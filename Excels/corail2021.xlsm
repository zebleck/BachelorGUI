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D55" i="6" l="1"/>
  <c r="D54" i="6"/>
  <c r="D53" i="6"/>
  <c r="D52" i="6"/>
  <c r="D51" i="6"/>
  <c r="D50" i="6"/>
  <c r="D49" i="6"/>
  <c r="D48" i="6"/>
  <c r="D47" i="6"/>
  <c r="D46" i="6"/>
  <c r="D45" i="6"/>
  <c r="D43" i="6"/>
  <c r="D42" i="6"/>
  <c r="D41" i="6"/>
  <c r="D40" i="6"/>
  <c r="D39" i="6"/>
  <c r="D38" i="6"/>
  <c r="D37" i="6"/>
  <c r="D36" i="6"/>
  <c r="D35" i="6"/>
  <c r="D33" i="6"/>
  <c r="D32" i="6"/>
  <c r="D31" i="6"/>
  <c r="D30" i="6"/>
  <c r="D29" i="6"/>
  <c r="D28" i="6"/>
  <c r="D27" i="6"/>
  <c r="D26" i="6"/>
  <c r="D25" i="6"/>
  <c r="D24" i="6"/>
  <c r="D23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U55" i="6" l="1"/>
  <c r="S55" i="6"/>
  <c r="E55" i="6"/>
  <c r="B55" i="6"/>
  <c r="A55" i="6"/>
  <c r="U54" i="6"/>
  <c r="S54" i="6"/>
  <c r="F54" i="6"/>
  <c r="B54" i="6"/>
  <c r="A54" i="6"/>
  <c r="U53" i="6"/>
  <c r="S53" i="6"/>
  <c r="B53" i="6"/>
  <c r="A53" i="6"/>
  <c r="U52" i="6"/>
  <c r="S52" i="6"/>
  <c r="B52" i="6"/>
  <c r="A52" i="6"/>
  <c r="U51" i="6"/>
  <c r="S51" i="6"/>
  <c r="B51" i="6"/>
  <c r="A51" i="6"/>
  <c r="U50" i="6"/>
  <c r="S50" i="6"/>
  <c r="B50" i="6"/>
  <c r="A50" i="6"/>
  <c r="U49" i="6"/>
  <c r="S49" i="6"/>
  <c r="E49" i="6"/>
  <c r="B49" i="6"/>
  <c r="A49" i="6"/>
  <c r="U48" i="6"/>
  <c r="S48" i="6"/>
  <c r="B48" i="6"/>
  <c r="A48" i="6"/>
  <c r="U47" i="6"/>
  <c r="S47" i="6"/>
  <c r="B47" i="6"/>
  <c r="A47" i="6"/>
  <c r="U46" i="6"/>
  <c r="S46" i="6"/>
  <c r="F46" i="6"/>
  <c r="B46" i="6"/>
  <c r="A46" i="6"/>
  <c r="U45" i="6"/>
  <c r="S45" i="6"/>
  <c r="B45" i="6"/>
  <c r="A45" i="6"/>
  <c r="BB55" i="2"/>
  <c r="BA55" i="2"/>
  <c r="AV55" i="2"/>
  <c r="AD55" i="2"/>
  <c r="AF55" i="2" s="1"/>
  <c r="Y55" i="2"/>
  <c r="F55" i="6" s="1"/>
  <c r="X55" i="2"/>
  <c r="Z55" i="2" s="1"/>
  <c r="S55" i="2"/>
  <c r="U55" i="2" s="1"/>
  <c r="J55" i="2"/>
  <c r="L55" i="2" s="1"/>
  <c r="M55" i="2" s="1"/>
  <c r="E55" i="2"/>
  <c r="G55" i="2" s="1"/>
  <c r="D55" i="2"/>
  <c r="C55" i="2"/>
  <c r="B55" i="2"/>
  <c r="A55" i="2"/>
  <c r="BB54" i="2"/>
  <c r="BA54" i="2"/>
  <c r="AV54" i="2"/>
  <c r="AD54" i="2"/>
  <c r="AE54" i="2" s="1"/>
  <c r="X54" i="2"/>
  <c r="Y54" i="2" s="1"/>
  <c r="S54" i="2"/>
  <c r="T54" i="2" s="1"/>
  <c r="E54" i="2"/>
  <c r="F54" i="2" s="1"/>
  <c r="C54" i="2"/>
  <c r="D54" i="2" s="1"/>
  <c r="B54" i="2"/>
  <c r="A54" i="2"/>
  <c r="BB53" i="2"/>
  <c r="BA53" i="2"/>
  <c r="AV53" i="2"/>
  <c r="AD53" i="2"/>
  <c r="X53" i="2"/>
  <c r="E53" i="6" s="1"/>
  <c r="S53" i="2"/>
  <c r="E53" i="2"/>
  <c r="D53" i="2"/>
  <c r="C53" i="2"/>
  <c r="J53" i="2" s="1"/>
  <c r="B53" i="2"/>
  <c r="A53" i="2"/>
  <c r="BB52" i="2"/>
  <c r="BA52" i="2"/>
  <c r="AV52" i="2"/>
  <c r="AD52" i="2"/>
  <c r="AF52" i="2" s="1"/>
  <c r="X52" i="2"/>
  <c r="T52" i="2"/>
  <c r="S52" i="2"/>
  <c r="J52" i="2"/>
  <c r="L52" i="2" s="1"/>
  <c r="M52" i="2" s="1"/>
  <c r="E52" i="2"/>
  <c r="G52" i="2" s="1"/>
  <c r="H52" i="2" s="1"/>
  <c r="C52" i="2"/>
  <c r="D52" i="2" s="1"/>
  <c r="B52" i="2"/>
  <c r="A52" i="2"/>
  <c r="BB51" i="2"/>
  <c r="BA51" i="2"/>
  <c r="AV51" i="2"/>
  <c r="AF51" i="2"/>
  <c r="AE51" i="2"/>
  <c r="AD51" i="2"/>
  <c r="X51" i="2"/>
  <c r="S51" i="2"/>
  <c r="U51" i="2" s="1"/>
  <c r="G51" i="2"/>
  <c r="F51" i="2"/>
  <c r="E51" i="2"/>
  <c r="C51" i="2"/>
  <c r="B51" i="2"/>
  <c r="A51" i="2"/>
  <c r="BB50" i="2"/>
  <c r="BA50" i="2"/>
  <c r="AV50" i="2"/>
  <c r="AD50" i="2"/>
  <c r="AF50" i="2" s="1"/>
  <c r="Z50" i="2"/>
  <c r="X50" i="2"/>
  <c r="Y50" i="2" s="1"/>
  <c r="F50" i="6" s="1"/>
  <c r="S50" i="2"/>
  <c r="T50" i="2" s="1"/>
  <c r="G50" i="2"/>
  <c r="O50" i="2" s="1"/>
  <c r="P50" i="2" s="1"/>
  <c r="E50" i="2"/>
  <c r="F50" i="2" s="1"/>
  <c r="C50" i="2"/>
  <c r="B50" i="2"/>
  <c r="A50" i="2"/>
  <c r="BB49" i="2"/>
  <c r="BA49" i="2"/>
  <c r="AV49" i="2"/>
  <c r="AD49" i="2"/>
  <c r="X49" i="2"/>
  <c r="S49" i="2"/>
  <c r="E49" i="2"/>
  <c r="C49" i="2"/>
  <c r="B49" i="2"/>
  <c r="A49" i="2"/>
  <c r="BB48" i="2"/>
  <c r="BA48" i="2"/>
  <c r="AV48" i="2"/>
  <c r="AD48" i="2"/>
  <c r="X48" i="2"/>
  <c r="S48" i="2"/>
  <c r="E48" i="2"/>
  <c r="D48" i="2"/>
  <c r="C48" i="2"/>
  <c r="J48" i="2" s="1"/>
  <c r="B48" i="2"/>
  <c r="A48" i="2"/>
  <c r="BB47" i="2"/>
  <c r="BA47" i="2"/>
  <c r="AV47" i="2"/>
  <c r="AF47" i="2"/>
  <c r="AE47" i="2"/>
  <c r="AD47" i="2"/>
  <c r="Y47" i="2"/>
  <c r="F47" i="6" s="1"/>
  <c r="X47" i="2"/>
  <c r="E47" i="6" s="1"/>
  <c r="S47" i="2"/>
  <c r="G47" i="2"/>
  <c r="E47" i="2"/>
  <c r="F47" i="2" s="1"/>
  <c r="C47" i="2"/>
  <c r="B47" i="2"/>
  <c r="A47" i="2"/>
  <c r="BB46" i="2"/>
  <c r="BA46" i="2"/>
  <c r="AV46" i="2"/>
  <c r="AD46" i="2"/>
  <c r="Z46" i="2"/>
  <c r="X46" i="2"/>
  <c r="Y46" i="2" s="1"/>
  <c r="S46" i="2"/>
  <c r="T46" i="2" s="1"/>
  <c r="H46" i="2"/>
  <c r="G46" i="2"/>
  <c r="O46" i="2" s="1"/>
  <c r="P46" i="2" s="1"/>
  <c r="E46" i="2"/>
  <c r="F46" i="2" s="1"/>
  <c r="C46" i="2"/>
  <c r="J46" i="2" s="1"/>
  <c r="K46" i="2" s="1"/>
  <c r="B46" i="2"/>
  <c r="A46" i="2"/>
  <c r="BB45" i="2"/>
  <c r="BA45" i="2"/>
  <c r="AV45" i="2"/>
  <c r="AD45" i="2"/>
  <c r="AF45" i="2" s="1"/>
  <c r="Z45" i="2"/>
  <c r="AA45" i="2" s="1"/>
  <c r="X45" i="2"/>
  <c r="Y45" i="2" s="1"/>
  <c r="F45" i="6" s="1"/>
  <c r="T45" i="2"/>
  <c r="S45" i="2"/>
  <c r="U45" i="2" s="1"/>
  <c r="K45" i="2"/>
  <c r="E45" i="2"/>
  <c r="C45" i="2"/>
  <c r="J45" i="2" s="1"/>
  <c r="L45" i="2" s="1"/>
  <c r="M45" i="2" s="1"/>
  <c r="B45" i="2"/>
  <c r="A45" i="2"/>
  <c r="J49" i="2" l="1"/>
  <c r="D49" i="2"/>
  <c r="Z51" i="2"/>
  <c r="E51" i="6"/>
  <c r="Y51" i="2"/>
  <c r="F51" i="6" s="1"/>
  <c r="AE46" i="2"/>
  <c r="AF46" i="2"/>
  <c r="AG46" i="2" s="1"/>
  <c r="Z48" i="2"/>
  <c r="AA48" i="2" s="1"/>
  <c r="E48" i="6"/>
  <c r="Y48" i="2"/>
  <c r="F48" i="6" s="1"/>
  <c r="G48" i="2"/>
  <c r="H48" i="2" s="1"/>
  <c r="F48" i="2"/>
  <c r="G45" i="2"/>
  <c r="F45" i="2"/>
  <c r="U47" i="2"/>
  <c r="T47" i="2"/>
  <c r="J50" i="2"/>
  <c r="D50" i="2"/>
  <c r="Z52" i="2"/>
  <c r="E52" i="6"/>
  <c r="Z47" i="2"/>
  <c r="J54" i="2"/>
  <c r="K54" i="2" s="1"/>
  <c r="C46" i="6"/>
  <c r="E50" i="6"/>
  <c r="AE45" i="2"/>
  <c r="AE50" i="2"/>
  <c r="T51" i="2"/>
  <c r="AE55" i="2"/>
  <c r="E45" i="6"/>
  <c r="D45" i="2"/>
  <c r="E46" i="6"/>
  <c r="C50" i="6"/>
  <c r="E54" i="6"/>
  <c r="O55" i="2"/>
  <c r="C55" i="6" s="1"/>
  <c r="H55" i="2"/>
  <c r="AH55" i="2"/>
  <c r="I55" i="6" s="1"/>
  <c r="AG55" i="2"/>
  <c r="V55" i="2"/>
  <c r="AJ55" i="2"/>
  <c r="K55" i="6" s="1"/>
  <c r="AA55" i="6" s="1"/>
  <c r="AA55" i="2"/>
  <c r="G54" i="2"/>
  <c r="L54" i="2"/>
  <c r="M54" i="2" s="1"/>
  <c r="Z54" i="2"/>
  <c r="AF54" i="2"/>
  <c r="F55" i="2"/>
  <c r="K55" i="2"/>
  <c r="T55" i="2"/>
  <c r="AH47" i="2"/>
  <c r="AG47" i="2"/>
  <c r="T48" i="2"/>
  <c r="AH45" i="2"/>
  <c r="I45" i="6" s="1"/>
  <c r="AG45" i="2"/>
  <c r="D46" i="2"/>
  <c r="L46" i="2"/>
  <c r="M46" i="2" s="1"/>
  <c r="AH51" i="2"/>
  <c r="AG51" i="2"/>
  <c r="Z53" i="2"/>
  <c r="Y53" i="2"/>
  <c r="F53" i="6" s="1"/>
  <c r="K52" i="2"/>
  <c r="AF49" i="2"/>
  <c r="AE49" i="2"/>
  <c r="AH50" i="2"/>
  <c r="I50" i="6" s="1"/>
  <c r="AA46" i="2"/>
  <c r="O47" i="2"/>
  <c r="C47" i="6" s="1"/>
  <c r="H47" i="2"/>
  <c r="U49" i="2"/>
  <c r="U48" i="2" s="1"/>
  <c r="T49" i="2"/>
  <c r="AA50" i="2"/>
  <c r="AG50" i="2"/>
  <c r="J47" i="2"/>
  <c r="D47" i="2"/>
  <c r="L48" i="2"/>
  <c r="M48" i="2" s="1"/>
  <c r="K48" i="2"/>
  <c r="O51" i="2"/>
  <c r="C51" i="6" s="1"/>
  <c r="H51" i="2"/>
  <c r="AG52" i="2"/>
  <c r="AH52" i="2"/>
  <c r="I52" i="6" s="1"/>
  <c r="U46" i="2"/>
  <c r="V45" i="2"/>
  <c r="AJ45" i="2"/>
  <c r="K45" i="6" s="1"/>
  <c r="AA45" i="6" s="1"/>
  <c r="AH46" i="2"/>
  <c r="AF48" i="2"/>
  <c r="AE48" i="2"/>
  <c r="L49" i="2"/>
  <c r="M49" i="2" s="1"/>
  <c r="K49" i="2"/>
  <c r="J51" i="2"/>
  <c r="D51" i="2"/>
  <c r="AE52" i="2"/>
  <c r="G53" i="2"/>
  <c r="F53" i="2"/>
  <c r="AA47" i="2"/>
  <c r="AA52" i="2"/>
  <c r="G49" i="2"/>
  <c r="F49" i="2"/>
  <c r="Z49" i="2"/>
  <c r="Y49" i="2"/>
  <c r="F49" i="6" s="1"/>
  <c r="Q50" i="2"/>
  <c r="R50" i="2" s="1"/>
  <c r="AA51" i="2"/>
  <c r="O52" i="2"/>
  <c r="C52" i="6" s="1"/>
  <c r="Q46" i="2"/>
  <c r="R46" i="2" s="1"/>
  <c r="V47" i="2"/>
  <c r="AJ47" i="2"/>
  <c r="K47" i="6" s="1"/>
  <c r="AA47" i="6" s="1"/>
  <c r="O48" i="2"/>
  <c r="C48" i="6" s="1"/>
  <c r="H50" i="2"/>
  <c r="V51" i="2"/>
  <c r="AJ51" i="2"/>
  <c r="K51" i="6" s="1"/>
  <c r="AA51" i="6" s="1"/>
  <c r="F52" i="2"/>
  <c r="Y52" i="2"/>
  <c r="F52" i="6" s="1"/>
  <c r="L53" i="2"/>
  <c r="M53" i="2" s="1"/>
  <c r="K53" i="2"/>
  <c r="U53" i="2"/>
  <c r="U52" i="2" s="1"/>
  <c r="T53" i="2"/>
  <c r="AF53" i="2"/>
  <c r="AE53" i="2"/>
  <c r="U43" i="6"/>
  <c r="S43" i="6"/>
  <c r="B43" i="6"/>
  <c r="A43" i="6"/>
  <c r="U42" i="6"/>
  <c r="S42" i="6"/>
  <c r="E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C37" i="6"/>
  <c r="B37" i="6"/>
  <c r="A37" i="6"/>
  <c r="U36" i="6"/>
  <c r="S36" i="6"/>
  <c r="E36" i="6"/>
  <c r="B36" i="6"/>
  <c r="A36" i="6"/>
  <c r="U35" i="6"/>
  <c r="S35" i="6"/>
  <c r="B35" i="6"/>
  <c r="A35" i="6"/>
  <c r="BB43" i="2"/>
  <c r="BA43" i="2"/>
  <c r="AV43" i="2"/>
  <c r="AD43" i="2"/>
  <c r="X43" i="2"/>
  <c r="S43" i="2"/>
  <c r="E43" i="2"/>
  <c r="C43" i="2"/>
  <c r="D43" i="2" s="1"/>
  <c r="B43" i="2"/>
  <c r="A43" i="2"/>
  <c r="BB42" i="2"/>
  <c r="BA42" i="2"/>
  <c r="AV42" i="2"/>
  <c r="AF42" i="2"/>
  <c r="AD42" i="2"/>
  <c r="AE42" i="2" s="1"/>
  <c r="Z42" i="2"/>
  <c r="X42" i="2"/>
  <c r="Y42" i="2" s="1"/>
  <c r="F42" i="6" s="1"/>
  <c r="S42" i="2"/>
  <c r="T42" i="2" s="1"/>
  <c r="E42" i="2"/>
  <c r="C42" i="2"/>
  <c r="B42" i="2"/>
  <c r="A42" i="2"/>
  <c r="BB41" i="2"/>
  <c r="BA41" i="2"/>
  <c r="AV41" i="2"/>
  <c r="AD41" i="2"/>
  <c r="AE41" i="2" s="1"/>
  <c r="X41" i="2"/>
  <c r="S41" i="2"/>
  <c r="T41" i="2" s="1"/>
  <c r="E41" i="2"/>
  <c r="F41" i="2" s="1"/>
  <c r="C41" i="2"/>
  <c r="B41" i="2"/>
  <c r="A41" i="2"/>
  <c r="BB40" i="2"/>
  <c r="BA40" i="2"/>
  <c r="AV40" i="2"/>
  <c r="AD40" i="2"/>
  <c r="X40" i="2"/>
  <c r="E40" i="6" s="1"/>
  <c r="S40" i="2"/>
  <c r="J40" i="2"/>
  <c r="E40" i="2"/>
  <c r="C40" i="2"/>
  <c r="D40" i="2" s="1"/>
  <c r="B40" i="2"/>
  <c r="A40" i="2"/>
  <c r="BB39" i="2"/>
  <c r="BA39" i="2"/>
  <c r="AV39" i="2"/>
  <c r="AD39" i="2"/>
  <c r="X39" i="2"/>
  <c r="S39" i="2"/>
  <c r="E39" i="2"/>
  <c r="C39" i="2"/>
  <c r="D39" i="2" s="1"/>
  <c r="B39" i="2"/>
  <c r="A39" i="2"/>
  <c r="BB38" i="2"/>
  <c r="BA38" i="2"/>
  <c r="AV38" i="2"/>
  <c r="AF38" i="2"/>
  <c r="AD38" i="2"/>
  <c r="AE38" i="2" s="1"/>
  <c r="X38" i="2"/>
  <c r="Z38" i="2" s="1"/>
  <c r="S38" i="2"/>
  <c r="T38" i="2" s="1"/>
  <c r="E38" i="2"/>
  <c r="C38" i="2"/>
  <c r="B38" i="2"/>
  <c r="A38" i="2"/>
  <c r="BB37" i="2"/>
  <c r="BA37" i="2"/>
  <c r="AV37" i="2"/>
  <c r="AD37" i="2"/>
  <c r="AF37" i="2" s="1"/>
  <c r="AG37" i="2" s="1"/>
  <c r="X37" i="2"/>
  <c r="S37" i="2"/>
  <c r="U37" i="2" s="1"/>
  <c r="V37" i="2" s="1"/>
  <c r="AK37" i="2" s="1"/>
  <c r="L37" i="6" s="1"/>
  <c r="J37" i="2"/>
  <c r="F37" i="2"/>
  <c r="E37" i="2"/>
  <c r="G37" i="2" s="1"/>
  <c r="O37" i="2" s="1"/>
  <c r="C37" i="2"/>
  <c r="D37" i="2" s="1"/>
  <c r="B37" i="2"/>
  <c r="A37" i="2"/>
  <c r="BB36" i="2"/>
  <c r="BA36" i="2"/>
  <c r="AV36" i="2"/>
  <c r="AD36" i="2"/>
  <c r="AE36" i="2" s="1"/>
  <c r="X36" i="2"/>
  <c r="Y36" i="2" s="1"/>
  <c r="F36" i="6" s="1"/>
  <c r="S36" i="2"/>
  <c r="T36" i="2" s="1"/>
  <c r="J36" i="2"/>
  <c r="K36" i="2" s="1"/>
  <c r="E36" i="2"/>
  <c r="F36" i="2" s="1"/>
  <c r="C36" i="2"/>
  <c r="D36" i="2" s="1"/>
  <c r="B36" i="2"/>
  <c r="A36" i="2"/>
  <c r="BB35" i="2"/>
  <c r="BA35" i="2"/>
  <c r="AV35" i="2"/>
  <c r="AF35" i="2"/>
  <c r="AD35" i="2"/>
  <c r="AE35" i="2" s="1"/>
  <c r="Z35" i="2"/>
  <c r="Y35" i="2"/>
  <c r="F35" i="6" s="1"/>
  <c r="X35" i="2"/>
  <c r="E35" i="6" s="1"/>
  <c r="S35" i="2"/>
  <c r="U35" i="2" s="1"/>
  <c r="AJ35" i="2" s="1"/>
  <c r="K35" i="6" s="1"/>
  <c r="AA35" i="6" s="1"/>
  <c r="E35" i="2"/>
  <c r="G35" i="2" s="1"/>
  <c r="C35" i="2"/>
  <c r="J35" i="2" s="1"/>
  <c r="L35" i="2" s="1"/>
  <c r="M35" i="2" s="1"/>
  <c r="B35" i="2"/>
  <c r="A35" i="2"/>
  <c r="AI51" i="2" l="1"/>
  <c r="J51" i="6" s="1"/>
  <c r="AB51" i="6" s="1"/>
  <c r="I51" i="6"/>
  <c r="U54" i="2"/>
  <c r="AJ54" i="2" s="1"/>
  <c r="K54" i="6" s="1"/>
  <c r="AA54" i="6" s="1"/>
  <c r="AI46" i="2"/>
  <c r="J46" i="6" s="1"/>
  <c r="AB46" i="6" s="1"/>
  <c r="I46" i="6"/>
  <c r="AI47" i="2"/>
  <c r="J47" i="6" s="1"/>
  <c r="AB47" i="6" s="1"/>
  <c r="I47" i="6"/>
  <c r="K50" i="2"/>
  <c r="L50" i="2"/>
  <c r="M50" i="2" s="1"/>
  <c r="O45" i="2"/>
  <c r="H45" i="2"/>
  <c r="V54" i="2"/>
  <c r="AH54" i="2"/>
  <c r="I54" i="6" s="1"/>
  <c r="AG54" i="2"/>
  <c r="O54" i="2"/>
  <c r="C54" i="6" s="1"/>
  <c r="H54" i="2"/>
  <c r="AK55" i="2"/>
  <c r="L55" i="6" s="1"/>
  <c r="AI55" i="2"/>
  <c r="J55" i="6" s="1"/>
  <c r="AB55" i="6" s="1"/>
  <c r="AA54" i="2"/>
  <c r="Q55" i="2"/>
  <c r="P55" i="2"/>
  <c r="H49" i="2"/>
  <c r="O49" i="2"/>
  <c r="C49" i="6" s="1"/>
  <c r="V52" i="2"/>
  <c r="AJ52" i="2"/>
  <c r="K52" i="6" s="1"/>
  <c r="AA52" i="6" s="1"/>
  <c r="V46" i="2"/>
  <c r="AJ46" i="2"/>
  <c r="K46" i="6" s="1"/>
  <c r="AA46" i="6" s="1"/>
  <c r="AS50" i="2"/>
  <c r="W50" i="6" s="1"/>
  <c r="AK47" i="2"/>
  <c r="L47" i="6" s="1"/>
  <c r="AA49" i="2"/>
  <c r="H53" i="2"/>
  <c r="O53" i="2"/>
  <c r="C53" i="6" s="1"/>
  <c r="AI52" i="2"/>
  <c r="J52" i="6" s="1"/>
  <c r="AB52" i="6" s="1"/>
  <c r="L47" i="2"/>
  <c r="M47" i="2" s="1"/>
  <c r="K47" i="2"/>
  <c r="AA53" i="2"/>
  <c r="V48" i="2"/>
  <c r="AJ48" i="2"/>
  <c r="K48" i="6" s="1"/>
  <c r="AA48" i="6" s="1"/>
  <c r="AG53" i="2"/>
  <c r="AH53" i="2"/>
  <c r="I53" i="6" s="1"/>
  <c r="AK51" i="2"/>
  <c r="L51" i="6" s="1"/>
  <c r="L51" i="2"/>
  <c r="M51" i="2" s="1"/>
  <c r="K51" i="2"/>
  <c r="AG48" i="2"/>
  <c r="AH48" i="2"/>
  <c r="AL48" i="2"/>
  <c r="AK45" i="2"/>
  <c r="L45" i="6" s="1"/>
  <c r="AJ49" i="2"/>
  <c r="K49" i="6" s="1"/>
  <c r="AA49" i="6" s="1"/>
  <c r="U50" i="2"/>
  <c r="V49" i="2"/>
  <c r="AS46" i="2"/>
  <c r="W46" i="6" s="1"/>
  <c r="AH49" i="2"/>
  <c r="AG49" i="2"/>
  <c r="AI50" i="2"/>
  <c r="J50" i="6" s="1"/>
  <c r="AB50" i="6" s="1"/>
  <c r="Q48" i="2"/>
  <c r="P48" i="2"/>
  <c r="AJ53" i="2"/>
  <c r="K53" i="6" s="1"/>
  <c r="AA53" i="6" s="1"/>
  <c r="V53" i="2"/>
  <c r="Q52" i="2"/>
  <c r="P52" i="2"/>
  <c r="AL46" i="2"/>
  <c r="P51" i="2"/>
  <c r="Q51" i="2"/>
  <c r="P47" i="2"/>
  <c r="Q47" i="2"/>
  <c r="AL50" i="2"/>
  <c r="AI45" i="2"/>
  <c r="J45" i="6" s="1"/>
  <c r="AB45" i="6" s="1"/>
  <c r="Z37" i="2"/>
  <c r="AA37" i="2" s="1"/>
  <c r="Y37" i="2"/>
  <c r="F37" i="6" s="1"/>
  <c r="U39" i="2"/>
  <c r="T39" i="2"/>
  <c r="Y41" i="2"/>
  <c r="F41" i="6" s="1"/>
  <c r="E41" i="6"/>
  <c r="U43" i="2"/>
  <c r="T43" i="2"/>
  <c r="L37" i="2"/>
  <c r="M37" i="2" s="1"/>
  <c r="K37" i="2"/>
  <c r="Z39" i="2"/>
  <c r="E39" i="6"/>
  <c r="Y39" i="2"/>
  <c r="F39" i="6" s="1"/>
  <c r="G41" i="2"/>
  <c r="Z41" i="2"/>
  <c r="AA41" i="2" s="1"/>
  <c r="Z43" i="2"/>
  <c r="E43" i="6"/>
  <c r="Y43" i="2"/>
  <c r="F43" i="6" s="1"/>
  <c r="E37" i="6"/>
  <c r="T35" i="2"/>
  <c r="F38" i="2"/>
  <c r="G38" i="2"/>
  <c r="O38" i="2" s="1"/>
  <c r="C38" i="6" s="1"/>
  <c r="G39" i="2"/>
  <c r="F39" i="2"/>
  <c r="AF39" i="2"/>
  <c r="AG39" i="2" s="1"/>
  <c r="AE39" i="2"/>
  <c r="F42" i="2"/>
  <c r="G42" i="2"/>
  <c r="H42" i="2" s="1"/>
  <c r="G43" i="2"/>
  <c r="H43" i="2" s="1"/>
  <c r="F43" i="2"/>
  <c r="AF43" i="2"/>
  <c r="AE43" i="2"/>
  <c r="D35" i="2"/>
  <c r="T37" i="2"/>
  <c r="AE37" i="2"/>
  <c r="J39" i="2"/>
  <c r="J41" i="2"/>
  <c r="K41" i="2" s="1"/>
  <c r="D41" i="2"/>
  <c r="U41" i="2"/>
  <c r="AF41" i="2"/>
  <c r="AG41" i="2" s="1"/>
  <c r="J43" i="2"/>
  <c r="Y38" i="2"/>
  <c r="F38" i="6" s="1"/>
  <c r="E38" i="6"/>
  <c r="O35" i="2"/>
  <c r="C35" i="6" s="1"/>
  <c r="H35" i="2"/>
  <c r="J42" i="2"/>
  <c r="D42" i="2"/>
  <c r="AA42" i="2"/>
  <c r="L36" i="2"/>
  <c r="M36" i="2" s="1"/>
  <c r="U36" i="2"/>
  <c r="AF36" i="2"/>
  <c r="Q37" i="2"/>
  <c r="R37" i="2" s="1"/>
  <c r="P37" i="2"/>
  <c r="AH38" i="2"/>
  <c r="AG38" i="2"/>
  <c r="L40" i="2"/>
  <c r="M40" i="2" s="1"/>
  <c r="K40" i="2"/>
  <c r="F35" i="2"/>
  <c r="K35" i="2"/>
  <c r="AH35" i="2"/>
  <c r="AL37" i="2"/>
  <c r="AM37" i="2" s="1"/>
  <c r="O39" i="2"/>
  <c r="C39" i="6" s="1"/>
  <c r="H39" i="2"/>
  <c r="L41" i="2"/>
  <c r="M41" i="2" s="1"/>
  <c r="O42" i="2"/>
  <c r="C42" i="6" s="1"/>
  <c r="AH42" i="2"/>
  <c r="I42" i="6" s="1"/>
  <c r="AG42" i="2"/>
  <c r="AA43" i="2"/>
  <c r="V35" i="2"/>
  <c r="AA35" i="2"/>
  <c r="AG35" i="2"/>
  <c r="G36" i="2"/>
  <c r="Z36" i="2"/>
  <c r="H37" i="2"/>
  <c r="J38" i="2"/>
  <c r="D38" i="2"/>
  <c r="AA38" i="2"/>
  <c r="V39" i="2"/>
  <c r="AJ39" i="2"/>
  <c r="K39" i="6" s="1"/>
  <c r="AA39" i="6" s="1"/>
  <c r="AH39" i="2"/>
  <c r="I39" i="6" s="1"/>
  <c r="U40" i="2"/>
  <c r="T40" i="2"/>
  <c r="O43" i="2"/>
  <c r="C43" i="6" s="1"/>
  <c r="AJ37" i="2"/>
  <c r="K37" i="6" s="1"/>
  <c r="AA37" i="6" s="1"/>
  <c r="G40" i="2"/>
  <c r="F40" i="2"/>
  <c r="V43" i="2"/>
  <c r="AJ43" i="2"/>
  <c r="K43" i="6" s="1"/>
  <c r="AA43" i="6" s="1"/>
  <c r="AH43" i="2"/>
  <c r="I43" i="6" s="1"/>
  <c r="AG43" i="2"/>
  <c r="Z40" i="2"/>
  <c r="Y40" i="2"/>
  <c r="F40" i="6" s="1"/>
  <c r="U38" i="2"/>
  <c r="AA39" i="2"/>
  <c r="AF40" i="2"/>
  <c r="AE40" i="2"/>
  <c r="AH41" i="2"/>
  <c r="U33" i="6"/>
  <c r="S33" i="6"/>
  <c r="B33" i="6"/>
  <c r="A33" i="6"/>
  <c r="U32" i="6"/>
  <c r="S32" i="6"/>
  <c r="F32" i="6"/>
  <c r="B32" i="6"/>
  <c r="A32" i="6"/>
  <c r="U31" i="6"/>
  <c r="S31" i="6"/>
  <c r="B31" i="6"/>
  <c r="A31" i="6"/>
  <c r="U30" i="6"/>
  <c r="S30" i="6"/>
  <c r="B30" i="6"/>
  <c r="A30" i="6"/>
  <c r="U29" i="6"/>
  <c r="S29" i="6"/>
  <c r="C29" i="6"/>
  <c r="B29" i="6"/>
  <c r="A29" i="6"/>
  <c r="U28" i="6"/>
  <c r="S28" i="6"/>
  <c r="B28" i="6"/>
  <c r="A28" i="6"/>
  <c r="U27" i="6"/>
  <c r="S27" i="6"/>
  <c r="B27" i="6"/>
  <c r="A27" i="6"/>
  <c r="U26" i="6"/>
  <c r="S26" i="6"/>
  <c r="E26" i="6"/>
  <c r="B26" i="6"/>
  <c r="A26" i="6"/>
  <c r="U25" i="6"/>
  <c r="S25" i="6"/>
  <c r="B25" i="6"/>
  <c r="A25" i="6"/>
  <c r="U24" i="6"/>
  <c r="S24" i="6"/>
  <c r="F24" i="6"/>
  <c r="B24" i="6"/>
  <c r="A24" i="6"/>
  <c r="U23" i="6"/>
  <c r="S23" i="6"/>
  <c r="B23" i="6"/>
  <c r="A23" i="6"/>
  <c r="BB33" i="2"/>
  <c r="BA33" i="2"/>
  <c r="AV33" i="2"/>
  <c r="AD33" i="2"/>
  <c r="AF33" i="2" s="1"/>
  <c r="X33" i="2"/>
  <c r="S33" i="2"/>
  <c r="U33" i="2" s="1"/>
  <c r="J33" i="2"/>
  <c r="E33" i="2"/>
  <c r="G33" i="2" s="1"/>
  <c r="C33" i="2"/>
  <c r="D33" i="2" s="1"/>
  <c r="B33" i="2"/>
  <c r="A33" i="2"/>
  <c r="BB32" i="2"/>
  <c r="BA32" i="2"/>
  <c r="AV32" i="2"/>
  <c r="AF32" i="2"/>
  <c r="AD32" i="2"/>
  <c r="AE32" i="2" s="1"/>
  <c r="Z32" i="2"/>
  <c r="X32" i="2"/>
  <c r="Y32" i="2" s="1"/>
  <c r="S32" i="2"/>
  <c r="T32" i="2" s="1"/>
  <c r="G32" i="2"/>
  <c r="E32" i="2"/>
  <c r="F32" i="2" s="1"/>
  <c r="C32" i="2"/>
  <c r="B32" i="2"/>
  <c r="A32" i="2"/>
  <c r="BB31" i="2"/>
  <c r="BA31" i="2"/>
  <c r="AV31" i="2"/>
  <c r="AD31" i="2"/>
  <c r="X31" i="2"/>
  <c r="S31" i="2"/>
  <c r="E31" i="2"/>
  <c r="C31" i="2"/>
  <c r="J31" i="2" s="1"/>
  <c r="B31" i="2"/>
  <c r="A31" i="2"/>
  <c r="BB30" i="2"/>
  <c r="BA30" i="2"/>
  <c r="AV30" i="2"/>
  <c r="AF30" i="2"/>
  <c r="AG30" i="2" s="1"/>
  <c r="AD30" i="2"/>
  <c r="AE30" i="2" s="1"/>
  <c r="Z30" i="2"/>
  <c r="X30" i="2"/>
  <c r="Y30" i="2" s="1"/>
  <c r="F30" i="6" s="1"/>
  <c r="S30" i="2"/>
  <c r="T30" i="2" s="1"/>
  <c r="E30" i="2"/>
  <c r="F30" i="2" s="1"/>
  <c r="C30" i="2"/>
  <c r="D30" i="2" s="1"/>
  <c r="B30" i="2"/>
  <c r="A30" i="2"/>
  <c r="BB29" i="2"/>
  <c r="BA29" i="2"/>
  <c r="AV29" i="2"/>
  <c r="AG29" i="2"/>
  <c r="AE29" i="2"/>
  <c r="AD29" i="2"/>
  <c r="AF29" i="2" s="1"/>
  <c r="AA29" i="2"/>
  <c r="X29" i="2"/>
  <c r="Z29" i="2" s="1"/>
  <c r="S29" i="2"/>
  <c r="E29" i="2"/>
  <c r="G29" i="2" s="1"/>
  <c r="O29" i="2" s="1"/>
  <c r="Q29" i="2" s="1"/>
  <c r="R29" i="2" s="1"/>
  <c r="C29" i="2"/>
  <c r="D29" i="2" s="1"/>
  <c r="B29" i="2"/>
  <c r="A29" i="2"/>
  <c r="BB28" i="2"/>
  <c r="BA28" i="2"/>
  <c r="AV28" i="2"/>
  <c r="AE28" i="2"/>
  <c r="AD28" i="2"/>
  <c r="AF28" i="2" s="1"/>
  <c r="Z28" i="2"/>
  <c r="X28" i="2"/>
  <c r="Y28" i="2" s="1"/>
  <c r="F28" i="6" s="1"/>
  <c r="T28" i="2"/>
  <c r="S28" i="2"/>
  <c r="G28" i="2"/>
  <c r="H28" i="2" s="1"/>
  <c r="E28" i="2"/>
  <c r="F28" i="2" s="1"/>
  <c r="C28" i="2"/>
  <c r="D28" i="2" s="1"/>
  <c r="B28" i="2"/>
  <c r="A28" i="2"/>
  <c r="BB27" i="2"/>
  <c r="BA27" i="2"/>
  <c r="AV27" i="2"/>
  <c r="AF27" i="2"/>
  <c r="AG27" i="2" s="1"/>
  <c r="AD27" i="2"/>
  <c r="AE27" i="2" s="1"/>
  <c r="X27" i="2"/>
  <c r="S27" i="2"/>
  <c r="T27" i="2" s="1"/>
  <c r="E27" i="2"/>
  <c r="F27" i="2" s="1"/>
  <c r="C27" i="2"/>
  <c r="B27" i="2"/>
  <c r="A27" i="2"/>
  <c r="BB26" i="2"/>
  <c r="BA26" i="2"/>
  <c r="AV26" i="2"/>
  <c r="AD26" i="2"/>
  <c r="AE26" i="2" s="1"/>
  <c r="X26" i="2"/>
  <c r="S26" i="2"/>
  <c r="T26" i="2" s="1"/>
  <c r="E26" i="2"/>
  <c r="C26" i="2"/>
  <c r="D26" i="2" s="1"/>
  <c r="B26" i="2"/>
  <c r="A26" i="2"/>
  <c r="BB25" i="2"/>
  <c r="BA25" i="2"/>
  <c r="AV25" i="2"/>
  <c r="AF25" i="2"/>
  <c r="AG25" i="2" s="1"/>
  <c r="AD25" i="2"/>
  <c r="AE25" i="2" s="1"/>
  <c r="X25" i="2"/>
  <c r="Y25" i="2" s="1"/>
  <c r="F25" i="6" s="1"/>
  <c r="U25" i="2"/>
  <c r="S25" i="2"/>
  <c r="T25" i="2" s="1"/>
  <c r="E25" i="2"/>
  <c r="F25" i="2" s="1"/>
  <c r="C25" i="2"/>
  <c r="D25" i="2" s="1"/>
  <c r="B25" i="2"/>
  <c r="A25" i="2"/>
  <c r="BB24" i="2"/>
  <c r="BA24" i="2"/>
  <c r="AV24" i="2"/>
  <c r="AD24" i="2"/>
  <c r="AF24" i="2" s="1"/>
  <c r="Y24" i="2"/>
  <c r="X24" i="2"/>
  <c r="Z24" i="2" s="1"/>
  <c r="S24" i="2"/>
  <c r="T24" i="2" s="1"/>
  <c r="E24" i="2"/>
  <c r="G24" i="2" s="1"/>
  <c r="D24" i="2"/>
  <c r="C24" i="2"/>
  <c r="J24" i="2" s="1"/>
  <c r="L24" i="2" s="1"/>
  <c r="M24" i="2" s="1"/>
  <c r="B24" i="2"/>
  <c r="A24" i="2"/>
  <c r="BB23" i="2"/>
  <c r="BA23" i="2"/>
  <c r="AV23" i="2"/>
  <c r="AD23" i="2"/>
  <c r="AE23" i="2" s="1"/>
  <c r="X23" i="2"/>
  <c r="S23" i="2"/>
  <c r="T23" i="2" s="1"/>
  <c r="E23" i="2"/>
  <c r="F23" i="2" s="1"/>
  <c r="C23" i="2"/>
  <c r="D23" i="2" s="1"/>
  <c r="B23" i="2"/>
  <c r="A23" i="2"/>
  <c r="P45" i="2" l="1"/>
  <c r="Q45" i="2"/>
  <c r="C45" i="6"/>
  <c r="AI49" i="2"/>
  <c r="J49" i="6" s="1"/>
  <c r="AB49" i="6" s="1"/>
  <c r="I49" i="6"/>
  <c r="AI48" i="2"/>
  <c r="J48" i="6" s="1"/>
  <c r="AB48" i="6" s="1"/>
  <c r="I48" i="6"/>
  <c r="AK54" i="2"/>
  <c r="L54" i="6" s="1"/>
  <c r="R55" i="2"/>
  <c r="AL55" i="2"/>
  <c r="AN55" i="2"/>
  <c r="AS55" i="2"/>
  <c r="W55" i="6" s="1"/>
  <c r="AI54" i="2"/>
  <c r="J54" i="6" s="1"/>
  <c r="AB54" i="6" s="1"/>
  <c r="P54" i="2"/>
  <c r="Q54" i="2"/>
  <c r="R51" i="2"/>
  <c r="AL51" i="2"/>
  <c r="AM51" i="2" s="1"/>
  <c r="AN51" i="2"/>
  <c r="AS51" i="2"/>
  <c r="W51" i="6" s="1"/>
  <c r="R52" i="2"/>
  <c r="AL52" i="2"/>
  <c r="AS52" i="2"/>
  <c r="W52" i="6" s="1"/>
  <c r="AT46" i="2"/>
  <c r="X46" i="6" s="1"/>
  <c r="AM50" i="2"/>
  <c r="AK53" i="2"/>
  <c r="L53" i="6" s="1"/>
  <c r="R48" i="2"/>
  <c r="AM48" i="2" s="1"/>
  <c r="AS48" i="2"/>
  <c r="W48" i="6" s="1"/>
  <c r="AK49" i="2"/>
  <c r="L49" i="6" s="1"/>
  <c r="AI53" i="2"/>
  <c r="J53" i="6" s="1"/>
  <c r="AB53" i="6" s="1"/>
  <c r="AK46" i="2"/>
  <c r="L46" i="6" s="1"/>
  <c r="AK52" i="2"/>
  <c r="L52" i="6" s="1"/>
  <c r="R47" i="2"/>
  <c r="AL47" i="2"/>
  <c r="AN47" i="2"/>
  <c r="AS47" i="2"/>
  <c r="W47" i="6" s="1"/>
  <c r="AM46" i="2"/>
  <c r="AJ50" i="2"/>
  <c r="K50" i="6" s="1"/>
  <c r="AA50" i="6" s="1"/>
  <c r="V50" i="2"/>
  <c r="Q53" i="2"/>
  <c r="P53" i="2"/>
  <c r="Q49" i="2"/>
  <c r="P49" i="2"/>
  <c r="AK48" i="2"/>
  <c r="L48" i="6" s="1"/>
  <c r="AT50" i="2"/>
  <c r="X50" i="6" s="1"/>
  <c r="AI38" i="2"/>
  <c r="J38" i="6" s="1"/>
  <c r="AB38" i="6" s="1"/>
  <c r="I38" i="6"/>
  <c r="AI41" i="2"/>
  <c r="J41" i="6" s="1"/>
  <c r="AB41" i="6" s="1"/>
  <c r="I41" i="6"/>
  <c r="AN37" i="2"/>
  <c r="AO37" i="2" s="1"/>
  <c r="H38" i="2"/>
  <c r="L43" i="2"/>
  <c r="M43" i="2" s="1"/>
  <c r="K43" i="2"/>
  <c r="AI35" i="2"/>
  <c r="J35" i="6" s="1"/>
  <c r="AB35" i="6" s="1"/>
  <c r="I35" i="6"/>
  <c r="L39" i="2"/>
  <c r="M39" i="2" s="1"/>
  <c r="K39" i="2"/>
  <c r="AH37" i="2"/>
  <c r="AJ41" i="2"/>
  <c r="K41" i="6" s="1"/>
  <c r="AA41" i="6" s="1"/>
  <c r="V41" i="2"/>
  <c r="AK41" i="2" s="1"/>
  <c r="L41" i="6" s="1"/>
  <c r="U42" i="2"/>
  <c r="O41" i="2"/>
  <c r="H41" i="2"/>
  <c r="H40" i="2"/>
  <c r="O40" i="2"/>
  <c r="C40" i="6" s="1"/>
  <c r="AK39" i="2"/>
  <c r="L39" i="6" s="1"/>
  <c r="H36" i="2"/>
  <c r="O36" i="2"/>
  <c r="C36" i="6" s="1"/>
  <c r="Q39" i="2"/>
  <c r="P39" i="2"/>
  <c r="K42" i="2"/>
  <c r="L42" i="2"/>
  <c r="M42" i="2" s="1"/>
  <c r="AG40" i="2"/>
  <c r="AH40" i="2"/>
  <c r="I40" i="6" s="1"/>
  <c r="AI43" i="2"/>
  <c r="J43" i="6" s="1"/>
  <c r="AB43" i="6" s="1"/>
  <c r="AI39" i="2"/>
  <c r="J39" i="6" s="1"/>
  <c r="AB39" i="6" s="1"/>
  <c r="K38" i="2"/>
  <c r="L38" i="2"/>
  <c r="M38" i="2" s="1"/>
  <c r="AS37" i="2"/>
  <c r="W37" i="6" s="1"/>
  <c r="V38" i="2"/>
  <c r="AJ38" i="2"/>
  <c r="K38" i="6" s="1"/>
  <c r="AA38" i="6" s="1"/>
  <c r="AK43" i="2"/>
  <c r="L43" i="6" s="1"/>
  <c r="V40" i="2"/>
  <c r="AJ40" i="2"/>
  <c r="K40" i="6" s="1"/>
  <c r="AA40" i="6" s="1"/>
  <c r="P42" i="2"/>
  <c r="Q42" i="2"/>
  <c r="AG36" i="2"/>
  <c r="AH36" i="2"/>
  <c r="I36" i="6" s="1"/>
  <c r="Q43" i="2"/>
  <c r="P43" i="2"/>
  <c r="AA40" i="2"/>
  <c r="AA36" i="2"/>
  <c r="AK35" i="2"/>
  <c r="L35" i="6" s="1"/>
  <c r="AI42" i="2"/>
  <c r="J42" i="6" s="1"/>
  <c r="AB42" i="6" s="1"/>
  <c r="P38" i="2"/>
  <c r="Q38" i="2"/>
  <c r="V36" i="2"/>
  <c r="AJ36" i="2"/>
  <c r="K36" i="6" s="1"/>
  <c r="AA36" i="6" s="1"/>
  <c r="Q35" i="2"/>
  <c r="P35" i="2"/>
  <c r="J27" i="2"/>
  <c r="D27" i="2"/>
  <c r="L33" i="2"/>
  <c r="M33" i="2" s="1"/>
  <c r="K33" i="2"/>
  <c r="AE24" i="2"/>
  <c r="G25" i="2"/>
  <c r="H25" i="2" s="1"/>
  <c r="Z25" i="2"/>
  <c r="Y26" i="2"/>
  <c r="F26" i="6" s="1"/>
  <c r="Z26" i="2"/>
  <c r="E31" i="6"/>
  <c r="Z31" i="2"/>
  <c r="AA31" i="2" s="1"/>
  <c r="Y31" i="2"/>
  <c r="F31" i="6" s="1"/>
  <c r="J23" i="2"/>
  <c r="K23" i="2" s="1"/>
  <c r="F24" i="2"/>
  <c r="F26" i="2"/>
  <c r="G26" i="2"/>
  <c r="O26" i="2" s="1"/>
  <c r="C26" i="6" s="1"/>
  <c r="G27" i="2"/>
  <c r="Y27" i="2"/>
  <c r="F27" i="6" s="1"/>
  <c r="E27" i="6"/>
  <c r="AF31" i="2"/>
  <c r="AG31" i="2" s="1"/>
  <c r="AE31" i="2"/>
  <c r="Z33" i="2"/>
  <c r="Y33" i="2"/>
  <c r="F33" i="6" s="1"/>
  <c r="E33" i="6"/>
  <c r="K24" i="2"/>
  <c r="J26" i="2"/>
  <c r="K26" i="2" s="1"/>
  <c r="Z27" i="2"/>
  <c r="AA27" i="2" s="1"/>
  <c r="U29" i="2"/>
  <c r="V29" i="2" s="1"/>
  <c r="AK29" i="2" s="1"/>
  <c r="L29" i="6" s="1"/>
  <c r="T29" i="2"/>
  <c r="G31" i="2"/>
  <c r="F31" i="2"/>
  <c r="E25" i="6"/>
  <c r="Y23" i="2"/>
  <c r="F23" i="6" s="1"/>
  <c r="E23" i="6"/>
  <c r="U31" i="2"/>
  <c r="T31" i="2"/>
  <c r="U27" i="2"/>
  <c r="J29" i="2"/>
  <c r="E28" i="6"/>
  <c r="E29" i="6"/>
  <c r="E30" i="6"/>
  <c r="Y29" i="2"/>
  <c r="F29" i="6" s="1"/>
  <c r="G30" i="2"/>
  <c r="H30" i="2" s="1"/>
  <c r="D31" i="2"/>
  <c r="F33" i="2"/>
  <c r="T33" i="2"/>
  <c r="AE33" i="2"/>
  <c r="E24" i="6"/>
  <c r="E32" i="6"/>
  <c r="AA24" i="2"/>
  <c r="O24" i="2"/>
  <c r="C24" i="6" s="1"/>
  <c r="H24" i="2"/>
  <c r="AH24" i="2"/>
  <c r="I24" i="6" s="1"/>
  <c r="AG24" i="2"/>
  <c r="P26" i="2"/>
  <c r="AG28" i="2"/>
  <c r="AH28" i="2"/>
  <c r="I28" i="6" s="1"/>
  <c r="G23" i="2"/>
  <c r="U23" i="2"/>
  <c r="Z23" i="2"/>
  <c r="AF23" i="2"/>
  <c r="J25" i="2"/>
  <c r="AH25" i="2"/>
  <c r="I25" i="6" s="1"/>
  <c r="H29" i="2"/>
  <c r="P29" i="2"/>
  <c r="AL29" i="2"/>
  <c r="AM29" i="2" s="1"/>
  <c r="AH29" i="2"/>
  <c r="AN29" i="2"/>
  <c r="AS29" i="2"/>
  <c r="W29" i="6" s="1"/>
  <c r="AA30" i="2"/>
  <c r="L31" i="2"/>
  <c r="M31" i="2" s="1"/>
  <c r="K31" i="2"/>
  <c r="O32" i="2"/>
  <c r="C32" i="6" s="1"/>
  <c r="H32" i="2"/>
  <c r="AH32" i="2"/>
  <c r="I32" i="6" s="1"/>
  <c r="AG32" i="2"/>
  <c r="AA33" i="2"/>
  <c r="U26" i="2"/>
  <c r="AA26" i="2"/>
  <c r="AH27" i="2"/>
  <c r="J30" i="2"/>
  <c r="O33" i="2"/>
  <c r="C33" i="6" s="1"/>
  <c r="H33" i="2"/>
  <c r="O28" i="2"/>
  <c r="C28" i="6" s="1"/>
  <c r="AA28" i="2"/>
  <c r="AJ29" i="2"/>
  <c r="K29" i="6" s="1"/>
  <c r="AA29" i="6" s="1"/>
  <c r="J32" i="2"/>
  <c r="D32" i="2"/>
  <c r="AA32" i="2"/>
  <c r="V33" i="2"/>
  <c r="AJ33" i="2"/>
  <c r="K33" i="6" s="1"/>
  <c r="AA33" i="6" s="1"/>
  <c r="AH33" i="2"/>
  <c r="I33" i="6" s="1"/>
  <c r="AG33" i="2"/>
  <c r="AJ25" i="2"/>
  <c r="K25" i="6" s="1"/>
  <c r="AA25" i="6" s="1"/>
  <c r="V25" i="2"/>
  <c r="AA25" i="2"/>
  <c r="AF26" i="2"/>
  <c r="J28" i="2"/>
  <c r="U28" i="2"/>
  <c r="F29" i="2"/>
  <c r="O30" i="2"/>
  <c r="C30" i="6" s="1"/>
  <c r="AH30" i="2"/>
  <c r="I30" i="6" s="1"/>
  <c r="AH31" i="2"/>
  <c r="U21" i="6"/>
  <c r="S21" i="6"/>
  <c r="E21" i="6"/>
  <c r="B21" i="6"/>
  <c r="A21" i="6"/>
  <c r="U20" i="6"/>
  <c r="S20" i="6"/>
  <c r="B20" i="6"/>
  <c r="A20" i="6"/>
  <c r="U19" i="6"/>
  <c r="S19" i="6"/>
  <c r="B19" i="6"/>
  <c r="A19" i="6"/>
  <c r="U18" i="6"/>
  <c r="S18" i="6"/>
  <c r="B18" i="6"/>
  <c r="A18" i="6"/>
  <c r="U17" i="6"/>
  <c r="S17" i="6"/>
  <c r="E17" i="6"/>
  <c r="B17" i="6"/>
  <c r="A17" i="6"/>
  <c r="U16" i="6"/>
  <c r="S16" i="6"/>
  <c r="B16" i="6"/>
  <c r="A16" i="6"/>
  <c r="U15" i="6"/>
  <c r="S15" i="6"/>
  <c r="C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U10" i="6"/>
  <c r="S10" i="6"/>
  <c r="E10" i="6"/>
  <c r="B10" i="6"/>
  <c r="A10" i="6"/>
  <c r="BB21" i="2"/>
  <c r="BA21" i="2"/>
  <c r="AV21" i="2"/>
  <c r="AD21" i="2"/>
  <c r="X21" i="2"/>
  <c r="S21" i="2"/>
  <c r="E21" i="2"/>
  <c r="C21" i="2"/>
  <c r="D21" i="2" s="1"/>
  <c r="B21" i="2"/>
  <c r="A21" i="2"/>
  <c r="BB20" i="2"/>
  <c r="BA20" i="2"/>
  <c r="AV20" i="2"/>
  <c r="AD20" i="2"/>
  <c r="AF20" i="2" s="1"/>
  <c r="AG20" i="2" s="1"/>
  <c r="X20" i="2"/>
  <c r="S20" i="2"/>
  <c r="T20" i="2" s="1"/>
  <c r="E20" i="2"/>
  <c r="C20" i="2"/>
  <c r="D20" i="2" s="1"/>
  <c r="B20" i="2"/>
  <c r="A20" i="2"/>
  <c r="BB19" i="2"/>
  <c r="BA19" i="2"/>
  <c r="AV19" i="2"/>
  <c r="AD19" i="2"/>
  <c r="AF19" i="2" s="1"/>
  <c r="Z19" i="2"/>
  <c r="X19" i="2"/>
  <c r="E19" i="6" s="1"/>
  <c r="U19" i="2"/>
  <c r="T19" i="2"/>
  <c r="S19" i="2"/>
  <c r="P19" i="2"/>
  <c r="L19" i="2"/>
  <c r="M19" i="2" s="1"/>
  <c r="G19" i="2"/>
  <c r="O19" i="2" s="1"/>
  <c r="C19" i="6" s="1"/>
  <c r="F19" i="2"/>
  <c r="E19" i="2"/>
  <c r="C19" i="2"/>
  <c r="J19" i="2" s="1"/>
  <c r="K19" i="2" s="1"/>
  <c r="B19" i="2"/>
  <c r="A19" i="2"/>
  <c r="BB18" i="2"/>
  <c r="BA18" i="2"/>
  <c r="AV18" i="2"/>
  <c r="AD18" i="2"/>
  <c r="AE18" i="2" s="1"/>
  <c r="X18" i="2"/>
  <c r="Z18" i="2" s="1"/>
  <c r="AA18" i="2" s="1"/>
  <c r="S18" i="2"/>
  <c r="T18" i="2" s="1"/>
  <c r="E18" i="2"/>
  <c r="C18" i="2"/>
  <c r="J18" i="2" s="1"/>
  <c r="B18" i="2"/>
  <c r="A18" i="2"/>
  <c r="BB17" i="2"/>
  <c r="BA17" i="2"/>
  <c r="AV17" i="2"/>
  <c r="AG17" i="2"/>
  <c r="AD17" i="2"/>
  <c r="AF17" i="2" s="1"/>
  <c r="AH17" i="2" s="1"/>
  <c r="I17" i="6" s="1"/>
  <c r="X17" i="2"/>
  <c r="Z17" i="2" s="1"/>
  <c r="S17" i="2"/>
  <c r="U17" i="2" s="1"/>
  <c r="AJ17" i="2" s="1"/>
  <c r="K17" i="6" s="1"/>
  <c r="AA17" i="6" s="1"/>
  <c r="K17" i="2"/>
  <c r="E17" i="2"/>
  <c r="G17" i="2" s="1"/>
  <c r="O17" i="2" s="1"/>
  <c r="C17" i="6" s="1"/>
  <c r="D17" i="2"/>
  <c r="C17" i="2"/>
  <c r="J17" i="2" s="1"/>
  <c r="L17" i="2" s="1"/>
  <c r="M17" i="2" s="1"/>
  <c r="B17" i="2"/>
  <c r="A17" i="2"/>
  <c r="BB16" i="2"/>
  <c r="BA16" i="2"/>
  <c r="AV16" i="2"/>
  <c r="AD16" i="2"/>
  <c r="AF16" i="2" s="1"/>
  <c r="Z16" i="2"/>
  <c r="Y16" i="2"/>
  <c r="F16" i="6" s="1"/>
  <c r="X16" i="2"/>
  <c r="E16" i="6" s="1"/>
  <c r="T16" i="2"/>
  <c r="S16" i="2"/>
  <c r="E16" i="2"/>
  <c r="G16" i="2" s="1"/>
  <c r="H16" i="2" s="1"/>
  <c r="C16" i="2"/>
  <c r="D16" i="2" s="1"/>
  <c r="B16" i="2"/>
  <c r="A16" i="2"/>
  <c r="BB15" i="2"/>
  <c r="BA15" i="2"/>
  <c r="AV15" i="2"/>
  <c r="AD15" i="2"/>
  <c r="AF15" i="2" s="1"/>
  <c r="X15" i="2"/>
  <c r="S15" i="2"/>
  <c r="T15" i="2" s="1"/>
  <c r="G15" i="2"/>
  <c r="O15" i="2" s="1"/>
  <c r="F15" i="2"/>
  <c r="E15" i="2"/>
  <c r="C15" i="2"/>
  <c r="J15" i="2" s="1"/>
  <c r="B15" i="2"/>
  <c r="A15" i="2"/>
  <c r="BB14" i="2"/>
  <c r="BA14" i="2"/>
  <c r="AV14" i="2"/>
  <c r="AF14" i="2"/>
  <c r="AD14" i="2"/>
  <c r="AE14" i="2" s="1"/>
  <c r="Z14" i="2"/>
  <c r="X14" i="2"/>
  <c r="Y14" i="2" s="1"/>
  <c r="F14" i="6" s="1"/>
  <c r="S14" i="2"/>
  <c r="T14" i="2" s="1"/>
  <c r="E14" i="2"/>
  <c r="C14" i="2"/>
  <c r="B14" i="2"/>
  <c r="A14" i="2"/>
  <c r="BB13" i="2"/>
  <c r="BA13" i="2"/>
  <c r="AV13" i="2"/>
  <c r="AD13" i="2"/>
  <c r="AF13" i="2" s="1"/>
  <c r="X13" i="2"/>
  <c r="Z13" i="2" s="1"/>
  <c r="AA13" i="2" s="1"/>
  <c r="S13" i="2"/>
  <c r="U13" i="2" s="1"/>
  <c r="E13" i="2"/>
  <c r="G13" i="2" s="1"/>
  <c r="O13" i="2" s="1"/>
  <c r="C13" i="6" s="1"/>
  <c r="C13" i="2"/>
  <c r="J13" i="2" s="1"/>
  <c r="L13" i="2" s="1"/>
  <c r="M13" i="2" s="1"/>
  <c r="B13" i="2"/>
  <c r="A13" i="2"/>
  <c r="BB12" i="2"/>
  <c r="BA12" i="2"/>
  <c r="AV12" i="2"/>
  <c r="AD12" i="2"/>
  <c r="X12" i="2"/>
  <c r="E12" i="6" s="1"/>
  <c r="S12" i="2"/>
  <c r="E12" i="2"/>
  <c r="C12" i="2"/>
  <c r="B12" i="2"/>
  <c r="A12" i="2"/>
  <c r="BB11" i="2"/>
  <c r="BA11" i="2"/>
  <c r="AV11" i="2"/>
  <c r="AD11" i="2"/>
  <c r="AF11" i="2" s="1"/>
  <c r="X11" i="2"/>
  <c r="Z11" i="2" s="1"/>
  <c r="S11" i="2"/>
  <c r="U11" i="2" s="1"/>
  <c r="J11" i="2"/>
  <c r="L11" i="2" s="1"/>
  <c r="M11" i="2" s="1"/>
  <c r="E11" i="2"/>
  <c r="G11" i="2" s="1"/>
  <c r="C11" i="2"/>
  <c r="D11" i="2" s="1"/>
  <c r="B11" i="2"/>
  <c r="A11" i="2"/>
  <c r="BB10" i="2"/>
  <c r="BA10" i="2"/>
  <c r="AV10" i="2"/>
  <c r="AD10" i="2"/>
  <c r="AE10" i="2" s="1"/>
  <c r="X10" i="2"/>
  <c r="Z10" i="2" s="1"/>
  <c r="S10" i="2"/>
  <c r="T10" i="2" s="1"/>
  <c r="J10" i="2"/>
  <c r="L10" i="2" s="1"/>
  <c r="M10" i="2" s="1"/>
  <c r="E10" i="2"/>
  <c r="F10" i="2" s="1"/>
  <c r="C10" i="2"/>
  <c r="D10" i="2" s="1"/>
  <c r="B10" i="2"/>
  <c r="A10" i="2"/>
  <c r="AP29" i="2"/>
  <c r="AW29" i="2"/>
  <c r="AP37" i="2"/>
  <c r="AW37" i="2"/>
  <c r="AQ37" i="2"/>
  <c r="AW55" i="2"/>
  <c r="AP55" i="2"/>
  <c r="AP51" i="2"/>
  <c r="AW51" i="2"/>
  <c r="AW47" i="2"/>
  <c r="AP47" i="2"/>
  <c r="M47" i="6" l="1"/>
  <c r="O47" i="6"/>
  <c r="O51" i="6"/>
  <c r="M51" i="6"/>
  <c r="M55" i="6"/>
  <c r="O55" i="6"/>
  <c r="Y51" i="6"/>
  <c r="G51" i="6"/>
  <c r="Y55" i="6"/>
  <c r="G55" i="6"/>
  <c r="R45" i="2"/>
  <c r="AN45" i="2"/>
  <c r="AL45" i="2"/>
  <c r="AM45" i="2" s="1"/>
  <c r="AS45" i="2"/>
  <c r="Y47" i="6"/>
  <c r="G47" i="6"/>
  <c r="BE55" i="2"/>
  <c r="BC55" i="2"/>
  <c r="Q55" i="6" s="1"/>
  <c r="R54" i="2"/>
  <c r="AS54" i="2"/>
  <c r="W54" i="6" s="1"/>
  <c r="AL54" i="2"/>
  <c r="AO55" i="2"/>
  <c r="AM55" i="2"/>
  <c r="AT55" i="2"/>
  <c r="X55" i="6" s="1"/>
  <c r="BE47" i="2"/>
  <c r="BC47" i="2"/>
  <c r="Q47" i="6" s="1"/>
  <c r="BE51" i="2"/>
  <c r="BC51" i="2"/>
  <c r="Q51" i="6" s="1"/>
  <c r="AM52" i="2"/>
  <c r="AO47" i="2"/>
  <c r="AT48" i="2"/>
  <c r="X48" i="6" s="1"/>
  <c r="R49" i="2"/>
  <c r="AN49" i="2"/>
  <c r="AS49" i="2"/>
  <c r="W49" i="6" s="1"/>
  <c r="AL49" i="2"/>
  <c r="AT47" i="2"/>
  <c r="X47" i="6" s="1"/>
  <c r="R53" i="2"/>
  <c r="AL53" i="2"/>
  <c r="AS53" i="2"/>
  <c r="W53" i="6" s="1"/>
  <c r="AN53" i="2"/>
  <c r="AM47" i="2"/>
  <c r="AT51" i="2"/>
  <c r="X51" i="6" s="1"/>
  <c r="AK50" i="2"/>
  <c r="L50" i="6" s="1"/>
  <c r="AT52" i="2"/>
  <c r="X52" i="6" s="1"/>
  <c r="AO51" i="2"/>
  <c r="N37" i="6"/>
  <c r="O37" i="6"/>
  <c r="M37" i="6"/>
  <c r="Z37" i="6"/>
  <c r="H37" i="6"/>
  <c r="AJ42" i="2"/>
  <c r="K42" i="6" s="1"/>
  <c r="AA42" i="6" s="1"/>
  <c r="V42" i="2"/>
  <c r="AK42" i="2" s="1"/>
  <c r="L42" i="6" s="1"/>
  <c r="C41" i="6"/>
  <c r="Q41" i="2"/>
  <c r="P41" i="2"/>
  <c r="AI37" i="2"/>
  <c r="J37" i="6" s="1"/>
  <c r="AB37" i="6" s="1"/>
  <c r="I37" i="6"/>
  <c r="Y37" i="6"/>
  <c r="G37" i="6"/>
  <c r="AR37" i="2"/>
  <c r="BE37" i="2"/>
  <c r="BC37" i="2"/>
  <c r="Q37" i="6" s="1"/>
  <c r="AI36" i="2"/>
  <c r="J36" i="6" s="1"/>
  <c r="AB36" i="6" s="1"/>
  <c r="AI40" i="2"/>
  <c r="J40" i="6" s="1"/>
  <c r="AB40" i="6" s="1"/>
  <c r="R43" i="2"/>
  <c r="AN43" i="2"/>
  <c r="AL43" i="2"/>
  <c r="AS43" i="2"/>
  <c r="W43" i="6" s="1"/>
  <c r="AK38" i="2"/>
  <c r="L38" i="6" s="1"/>
  <c r="R42" i="2"/>
  <c r="AL42" i="2"/>
  <c r="AS42" i="2"/>
  <c r="W42" i="6" s="1"/>
  <c r="R39" i="2"/>
  <c r="AN39" i="2"/>
  <c r="AS39" i="2"/>
  <c r="W39" i="6" s="1"/>
  <c r="AL39" i="2"/>
  <c r="AM39" i="2" s="1"/>
  <c r="Q40" i="2"/>
  <c r="P40" i="2"/>
  <c r="AK36" i="2"/>
  <c r="L36" i="6" s="1"/>
  <c r="AK40" i="2"/>
  <c r="L40" i="6" s="1"/>
  <c r="AN35" i="2"/>
  <c r="R35" i="2"/>
  <c r="AL35" i="2"/>
  <c r="AS35" i="2"/>
  <c r="W35" i="6" s="1"/>
  <c r="R38" i="2"/>
  <c r="AS38" i="2"/>
  <c r="W38" i="6" s="1"/>
  <c r="AL38" i="2"/>
  <c r="AT37" i="2"/>
  <c r="P36" i="2"/>
  <c r="Q36" i="2"/>
  <c r="O29" i="6"/>
  <c r="M29" i="6"/>
  <c r="Y29" i="6"/>
  <c r="G29" i="6"/>
  <c r="O31" i="2"/>
  <c r="H31" i="2"/>
  <c r="O25" i="2"/>
  <c r="C25" i="6" s="1"/>
  <c r="L26" i="2"/>
  <c r="M26" i="2" s="1"/>
  <c r="U30" i="2"/>
  <c r="V30" i="2" s="1"/>
  <c r="AI27" i="2"/>
  <c r="J27" i="6" s="1"/>
  <c r="AB27" i="6" s="1"/>
  <c r="I27" i="6"/>
  <c r="H26" i="2"/>
  <c r="L23" i="2"/>
  <c r="M23" i="2" s="1"/>
  <c r="Q26" i="2"/>
  <c r="R26" i="2" s="1"/>
  <c r="AJ31" i="2"/>
  <c r="K31" i="6" s="1"/>
  <c r="AA31" i="6" s="1"/>
  <c r="V31" i="2"/>
  <c r="AK31" i="2" s="1"/>
  <c r="L31" i="6" s="1"/>
  <c r="U32" i="2"/>
  <c r="AI31" i="2"/>
  <c r="J31" i="6" s="1"/>
  <c r="AB31" i="6" s="1"/>
  <c r="I31" i="6"/>
  <c r="L29" i="2"/>
  <c r="M29" i="2" s="1"/>
  <c r="K29" i="2"/>
  <c r="AI29" i="2"/>
  <c r="J29" i="6" s="1"/>
  <c r="AB29" i="6" s="1"/>
  <c r="I29" i="6"/>
  <c r="AJ27" i="2"/>
  <c r="K27" i="6" s="1"/>
  <c r="AA27" i="6" s="1"/>
  <c r="V27" i="2"/>
  <c r="AK27" i="2" s="1"/>
  <c r="L27" i="6" s="1"/>
  <c r="O27" i="2"/>
  <c r="H27" i="2"/>
  <c r="K27" i="2"/>
  <c r="L27" i="2"/>
  <c r="M27" i="2" s="1"/>
  <c r="BE29" i="2"/>
  <c r="BC29" i="2"/>
  <c r="Q29" i="6" s="1"/>
  <c r="P30" i="2"/>
  <c r="Q30" i="2"/>
  <c r="AH26" i="2"/>
  <c r="I26" i="6" s="1"/>
  <c r="AL26" i="2"/>
  <c r="AG26" i="2"/>
  <c r="K30" i="2"/>
  <c r="L30" i="2"/>
  <c r="M30" i="2" s="1"/>
  <c r="AH23" i="2"/>
  <c r="I23" i="6" s="1"/>
  <c r="AG23" i="2"/>
  <c r="O23" i="2"/>
  <c r="C23" i="6" s="1"/>
  <c r="H23" i="2"/>
  <c r="Q33" i="2"/>
  <c r="P33" i="2"/>
  <c r="AJ26" i="2"/>
  <c r="K26" i="6" s="1"/>
  <c r="AA26" i="6" s="1"/>
  <c r="V26" i="2"/>
  <c r="AI25" i="2"/>
  <c r="J25" i="6" s="1"/>
  <c r="AB25" i="6" s="1"/>
  <c r="AA23" i="2"/>
  <c r="AS26" i="2"/>
  <c r="W26" i="6" s="1"/>
  <c r="AI24" i="2"/>
  <c r="J24" i="6" s="1"/>
  <c r="AB24" i="6" s="1"/>
  <c r="Q24" i="2"/>
  <c r="P24" i="2"/>
  <c r="V28" i="2"/>
  <c r="AJ28" i="2"/>
  <c r="K28" i="6" s="1"/>
  <c r="AA28" i="6" s="1"/>
  <c r="AK33" i="2"/>
  <c r="L33" i="6" s="1"/>
  <c r="P28" i="2"/>
  <c r="Q28" i="2"/>
  <c r="AI32" i="2"/>
  <c r="J32" i="6" s="1"/>
  <c r="AB32" i="6" s="1"/>
  <c r="AT29" i="2"/>
  <c r="X29" i="6" s="1"/>
  <c r="Q25" i="2"/>
  <c r="P25" i="2"/>
  <c r="V23" i="2"/>
  <c r="AJ23" i="2"/>
  <c r="K23" i="6" s="1"/>
  <c r="AA23" i="6" s="1"/>
  <c r="AI30" i="2"/>
  <c r="J30" i="6" s="1"/>
  <c r="AB30" i="6" s="1"/>
  <c r="L28" i="2"/>
  <c r="M28" i="2" s="1"/>
  <c r="K28" i="2"/>
  <c r="AK25" i="2"/>
  <c r="L25" i="6" s="1"/>
  <c r="AI33" i="2"/>
  <c r="J33" i="6" s="1"/>
  <c r="AB33" i="6" s="1"/>
  <c r="K32" i="2"/>
  <c r="L32" i="2"/>
  <c r="M32" i="2" s="1"/>
  <c r="P32" i="2"/>
  <c r="Q32" i="2"/>
  <c r="AO29" i="2"/>
  <c r="L25" i="2"/>
  <c r="M25" i="2" s="1"/>
  <c r="K25" i="2"/>
  <c r="AI28" i="2"/>
  <c r="J28" i="6" s="1"/>
  <c r="AB28" i="6" s="1"/>
  <c r="U24" i="2"/>
  <c r="AG19" i="2"/>
  <c r="D13" i="2"/>
  <c r="U15" i="2"/>
  <c r="U16" i="2" s="1"/>
  <c r="V16" i="2" s="1"/>
  <c r="AK16" i="2" s="1"/>
  <c r="L16" i="6" s="1"/>
  <c r="AE15" i="2"/>
  <c r="D12" i="2"/>
  <c r="J12" i="2"/>
  <c r="L12" i="2" s="1"/>
  <c r="M12" i="2" s="1"/>
  <c r="E15" i="6"/>
  <c r="Z15" i="2"/>
  <c r="F16" i="2"/>
  <c r="Q19" i="2"/>
  <c r="R19" i="2" s="1"/>
  <c r="AE19" i="2"/>
  <c r="G20" i="2"/>
  <c r="H20" i="2" s="1"/>
  <c r="F20" i="2"/>
  <c r="J21" i="2"/>
  <c r="L21" i="2" s="1"/>
  <c r="M21" i="2" s="1"/>
  <c r="Y15" i="2"/>
  <c r="F15" i="6" s="1"/>
  <c r="AE17" i="2"/>
  <c r="D18" i="2"/>
  <c r="D19" i="2"/>
  <c r="H19" i="2"/>
  <c r="Y19" i="2"/>
  <c r="F19" i="6" s="1"/>
  <c r="J20" i="2"/>
  <c r="L20" i="2" s="1"/>
  <c r="M20" i="2" s="1"/>
  <c r="E11" i="6"/>
  <c r="E14" i="6"/>
  <c r="F18" i="2"/>
  <c r="G18" i="2"/>
  <c r="AS19" i="2"/>
  <c r="AA19" i="2"/>
  <c r="E13" i="6"/>
  <c r="F14" i="2"/>
  <c r="G14" i="2"/>
  <c r="O14" i="2" s="1"/>
  <c r="C14" i="6" s="1"/>
  <c r="Y18" i="2"/>
  <c r="F18" i="6" s="1"/>
  <c r="E18" i="6"/>
  <c r="AJ19" i="2"/>
  <c r="K19" i="6" s="1"/>
  <c r="AA19" i="6" s="1"/>
  <c r="V19" i="2"/>
  <c r="Z20" i="2"/>
  <c r="AA20" i="2" s="1"/>
  <c r="E20" i="6"/>
  <c r="Y20" i="2"/>
  <c r="F20" i="6" s="1"/>
  <c r="AG16" i="2"/>
  <c r="AH16" i="2"/>
  <c r="Q17" i="2"/>
  <c r="P17" i="2"/>
  <c r="AS17" i="2"/>
  <c r="W17" i="6" s="1"/>
  <c r="AI17" i="2"/>
  <c r="J17" i="6" s="1"/>
  <c r="AB17" i="6" s="1"/>
  <c r="K18" i="2"/>
  <c r="L18" i="2"/>
  <c r="M18" i="2" s="1"/>
  <c r="F17" i="2"/>
  <c r="Y17" i="2"/>
  <c r="F17" i="6" s="1"/>
  <c r="AE16" i="2"/>
  <c r="H17" i="2"/>
  <c r="T17" i="2"/>
  <c r="AA17" i="2"/>
  <c r="AF18" i="2"/>
  <c r="K20" i="2"/>
  <c r="AE20" i="2"/>
  <c r="G21" i="2"/>
  <c r="F21" i="2"/>
  <c r="Z21" i="2"/>
  <c r="Y21" i="2"/>
  <c r="F21" i="6" s="1"/>
  <c r="J16" i="2"/>
  <c r="V17" i="2"/>
  <c r="AN17" i="2"/>
  <c r="O20" i="2"/>
  <c r="C20" i="6" s="1"/>
  <c r="O16" i="2"/>
  <c r="C16" i="6" s="1"/>
  <c r="AA16" i="2"/>
  <c r="U18" i="2"/>
  <c r="AL19" i="2"/>
  <c r="AM19" i="2" s="1"/>
  <c r="AH19" i="2"/>
  <c r="K21" i="2"/>
  <c r="U21" i="2"/>
  <c r="T21" i="2"/>
  <c r="AF21" i="2"/>
  <c r="AE21" i="2"/>
  <c r="F12" i="2"/>
  <c r="G12" i="2"/>
  <c r="Z12" i="2"/>
  <c r="Y12" i="2"/>
  <c r="F12" i="6" s="1"/>
  <c r="Q13" i="2"/>
  <c r="AL13" i="2" s="1"/>
  <c r="P13" i="2"/>
  <c r="K12" i="2"/>
  <c r="AF12" i="2"/>
  <c r="AE12" i="2"/>
  <c r="H13" i="2"/>
  <c r="AJ13" i="2"/>
  <c r="K13" i="6" s="1"/>
  <c r="AA13" i="6" s="1"/>
  <c r="U14" i="2"/>
  <c r="AH13" i="2"/>
  <c r="I13" i="6" s="1"/>
  <c r="J14" i="2"/>
  <c r="D14" i="2"/>
  <c r="Q15" i="2"/>
  <c r="R15" i="2" s="1"/>
  <c r="P15" i="2"/>
  <c r="V13" i="2"/>
  <c r="AG13" i="2"/>
  <c r="L15" i="2"/>
  <c r="M15" i="2" s="1"/>
  <c r="K15" i="2"/>
  <c r="AL15" i="2"/>
  <c r="U12" i="2"/>
  <c r="T12" i="2"/>
  <c r="Q14" i="2"/>
  <c r="R14" i="2" s="1"/>
  <c r="AS15" i="2"/>
  <c r="W15" i="6" s="1"/>
  <c r="AA14" i="2"/>
  <c r="AG14" i="2"/>
  <c r="AJ15" i="2"/>
  <c r="K15" i="6" s="1"/>
  <c r="AA15" i="6" s="1"/>
  <c r="F13" i="2"/>
  <c r="T13" i="2"/>
  <c r="AH14" i="2"/>
  <c r="D15" i="2"/>
  <c r="H15" i="2"/>
  <c r="AA15" i="2"/>
  <c r="AG15" i="2"/>
  <c r="AN15" i="2"/>
  <c r="K13" i="2"/>
  <c r="Y13" i="2"/>
  <c r="F13" i="6" s="1"/>
  <c r="AE13" i="2"/>
  <c r="AH15" i="2"/>
  <c r="I15" i="6" s="1"/>
  <c r="AJ11" i="2"/>
  <c r="K11" i="6" s="1"/>
  <c r="AA11" i="6" s="1"/>
  <c r="V11" i="2"/>
  <c r="AA10" i="2"/>
  <c r="AA11" i="2"/>
  <c r="O11" i="2"/>
  <c r="C11" i="6" s="1"/>
  <c r="H11" i="2"/>
  <c r="AH11" i="2"/>
  <c r="AG11" i="2"/>
  <c r="K10" i="2"/>
  <c r="Y10" i="2"/>
  <c r="F10" i="6" s="1"/>
  <c r="G10" i="2"/>
  <c r="AF10" i="2"/>
  <c r="F11" i="2"/>
  <c r="K11" i="2"/>
  <c r="T11" i="2"/>
  <c r="Y11" i="2"/>
  <c r="F11" i="6" s="1"/>
  <c r="AE11" i="2"/>
  <c r="AQ29" i="2"/>
  <c r="AX29" i="2"/>
  <c r="AW15" i="2"/>
  <c r="AP15" i="2"/>
  <c r="AW17" i="2"/>
  <c r="AP17" i="2"/>
  <c r="AW35" i="2"/>
  <c r="AX37" i="2"/>
  <c r="AP43" i="2"/>
  <c r="AP35" i="2"/>
  <c r="AP39" i="2"/>
  <c r="AW43" i="2"/>
  <c r="AW39" i="2"/>
  <c r="AW45" i="2"/>
  <c r="AP45" i="2"/>
  <c r="AQ55" i="2"/>
  <c r="AX55" i="2"/>
  <c r="AP49" i="2"/>
  <c r="AQ47" i="2"/>
  <c r="AW49" i="2"/>
  <c r="AW53" i="2"/>
  <c r="AX51" i="2"/>
  <c r="AX47" i="2"/>
  <c r="AP53" i="2"/>
  <c r="AQ51" i="2"/>
  <c r="N51" i="6" l="1"/>
  <c r="M53" i="6"/>
  <c r="P47" i="6"/>
  <c r="P51" i="6"/>
  <c r="O53" i="6"/>
  <c r="O49" i="6"/>
  <c r="N47" i="6"/>
  <c r="M49" i="6"/>
  <c r="P55" i="6"/>
  <c r="N55" i="6"/>
  <c r="M45" i="6"/>
  <c r="O45" i="6"/>
  <c r="BC45" i="2"/>
  <c r="Q45" i="6" s="1"/>
  <c r="BE45" i="2"/>
  <c r="G53" i="6"/>
  <c r="Y53" i="6"/>
  <c r="Z55" i="6"/>
  <c r="H55" i="6"/>
  <c r="Y45" i="6"/>
  <c r="G45" i="6"/>
  <c r="AO45" i="2"/>
  <c r="AN46" i="2"/>
  <c r="W45" i="6"/>
  <c r="AT45" i="2"/>
  <c r="Y49" i="6"/>
  <c r="G49" i="6"/>
  <c r="Z51" i="6"/>
  <c r="H51" i="6"/>
  <c r="AM53" i="2"/>
  <c r="Z47" i="6"/>
  <c r="H47" i="6"/>
  <c r="AZ55" i="2"/>
  <c r="AR55" i="2"/>
  <c r="AT54" i="2"/>
  <c r="X54" i="6" s="1"/>
  <c r="AM54" i="2"/>
  <c r="AN54" i="2"/>
  <c r="AY55" i="2"/>
  <c r="AR51" i="2"/>
  <c r="AZ47" i="2"/>
  <c r="AZ51" i="2"/>
  <c r="BE53" i="2"/>
  <c r="AY53" i="2"/>
  <c r="BC53" i="2"/>
  <c r="Q53" i="6" s="1"/>
  <c r="BE49" i="2"/>
  <c r="BC49" i="2"/>
  <c r="Q49" i="6" s="1"/>
  <c r="AR47" i="2"/>
  <c r="AO53" i="2"/>
  <c r="AN52" i="2"/>
  <c r="AT53" i="2"/>
  <c r="X53" i="6" s="1"/>
  <c r="AM49" i="2"/>
  <c r="AT49" i="2"/>
  <c r="X49" i="6" s="1"/>
  <c r="AO49" i="2"/>
  <c r="AN48" i="2"/>
  <c r="AN50" i="2"/>
  <c r="AY51" i="2"/>
  <c r="AY47" i="2"/>
  <c r="O39" i="6"/>
  <c r="O43" i="6"/>
  <c r="M39" i="6"/>
  <c r="M35" i="6"/>
  <c r="M43" i="6"/>
  <c r="P37" i="6"/>
  <c r="O35" i="6"/>
  <c r="AY37" i="2"/>
  <c r="BF37" i="2" s="1"/>
  <c r="X37" i="6"/>
  <c r="AM35" i="2"/>
  <c r="Y39" i="6"/>
  <c r="G39" i="6"/>
  <c r="Y35" i="6"/>
  <c r="G35" i="6"/>
  <c r="Y43" i="6"/>
  <c r="G43" i="6"/>
  <c r="AL41" i="2"/>
  <c r="R41" i="2"/>
  <c r="AN41" i="2"/>
  <c r="AS41" i="2"/>
  <c r="BE39" i="2"/>
  <c r="BC39" i="2"/>
  <c r="Q39" i="6" s="1"/>
  <c r="BE43" i="2"/>
  <c r="BC43" i="2"/>
  <c r="Q43" i="6" s="1"/>
  <c r="AZ37" i="2"/>
  <c r="BE35" i="2"/>
  <c r="BC35" i="2"/>
  <c r="Q35" i="6" s="1"/>
  <c r="BG37" i="2"/>
  <c r="BD37" i="2"/>
  <c r="R37" i="6" s="1"/>
  <c r="AM38" i="2"/>
  <c r="AN38" i="2"/>
  <c r="AT39" i="2"/>
  <c r="X39" i="6" s="1"/>
  <c r="AM42" i="2"/>
  <c r="AN42" i="2"/>
  <c r="AT43" i="2"/>
  <c r="X43" i="6" s="1"/>
  <c r="R36" i="2"/>
  <c r="AL36" i="2"/>
  <c r="AS36" i="2"/>
  <c r="W36" i="6" s="1"/>
  <c r="AT38" i="2"/>
  <c r="X38" i="6" s="1"/>
  <c r="AO39" i="2"/>
  <c r="AM43" i="2"/>
  <c r="AO35" i="2"/>
  <c r="R40" i="2"/>
  <c r="AL40" i="2"/>
  <c r="AS40" i="2"/>
  <c r="W40" i="6" s="1"/>
  <c r="AO43" i="2"/>
  <c r="AT35" i="2"/>
  <c r="X35" i="6" s="1"/>
  <c r="AT42" i="2"/>
  <c r="X42" i="6" s="1"/>
  <c r="P29" i="6"/>
  <c r="N29" i="6"/>
  <c r="Z29" i="6"/>
  <c r="H29" i="6"/>
  <c r="AJ32" i="2"/>
  <c r="K32" i="6" s="1"/>
  <c r="AA32" i="6" s="1"/>
  <c r="V32" i="2"/>
  <c r="AK32" i="2" s="1"/>
  <c r="L32" i="6" s="1"/>
  <c r="AJ30" i="2"/>
  <c r="K30" i="6" s="1"/>
  <c r="AA30" i="6" s="1"/>
  <c r="Q27" i="2"/>
  <c r="C27" i="6"/>
  <c r="P27" i="2"/>
  <c r="C31" i="6"/>
  <c r="Q31" i="2"/>
  <c r="P31" i="2"/>
  <c r="AZ29" i="2"/>
  <c r="AR29" i="2"/>
  <c r="P23" i="2"/>
  <c r="Q23" i="2"/>
  <c r="AI23" i="2"/>
  <c r="J23" i="6" s="1"/>
  <c r="AB23" i="6" s="1"/>
  <c r="R30" i="2"/>
  <c r="AL30" i="2"/>
  <c r="AS30" i="2"/>
  <c r="W30" i="6" s="1"/>
  <c r="AJ24" i="2"/>
  <c r="K24" i="6" s="1"/>
  <c r="AA24" i="6" s="1"/>
  <c r="V24" i="2"/>
  <c r="R32" i="2"/>
  <c r="AL32" i="2"/>
  <c r="AS32" i="2"/>
  <c r="W32" i="6" s="1"/>
  <c r="R28" i="2"/>
  <c r="AL28" i="2"/>
  <c r="AS28" i="2"/>
  <c r="W28" i="6" s="1"/>
  <c r="AK26" i="2"/>
  <c r="L26" i="6" s="1"/>
  <c r="AM26" i="2"/>
  <c r="R25" i="2"/>
  <c r="AN25" i="2"/>
  <c r="AS25" i="2"/>
  <c r="W25" i="6" s="1"/>
  <c r="AL25" i="2"/>
  <c r="AK28" i="2"/>
  <c r="L28" i="6" s="1"/>
  <c r="AT26" i="2"/>
  <c r="X26" i="6" s="1"/>
  <c r="AI26" i="2"/>
  <c r="J26" i="6" s="1"/>
  <c r="AB26" i="6" s="1"/>
  <c r="AK23" i="2"/>
  <c r="L23" i="6" s="1"/>
  <c r="AK30" i="2"/>
  <c r="L30" i="6" s="1"/>
  <c r="R24" i="2"/>
  <c r="AS24" i="2"/>
  <c r="W24" i="6" s="1"/>
  <c r="AL24" i="2"/>
  <c r="R33" i="2"/>
  <c r="AN33" i="2"/>
  <c r="AS33" i="2"/>
  <c r="W33" i="6" s="1"/>
  <c r="AL33" i="2"/>
  <c r="AY29" i="2"/>
  <c r="M15" i="6"/>
  <c r="O15" i="6"/>
  <c r="M17" i="6"/>
  <c r="O17" i="6"/>
  <c r="AI16" i="2"/>
  <c r="J16" i="6" s="1"/>
  <c r="AB16" i="6" s="1"/>
  <c r="I16" i="6"/>
  <c r="AM15" i="2"/>
  <c r="AK19" i="2"/>
  <c r="L19" i="6" s="1"/>
  <c r="Y17" i="6"/>
  <c r="G17" i="6"/>
  <c r="AH20" i="2"/>
  <c r="AT19" i="2"/>
  <c r="W19" i="6"/>
  <c r="V15" i="2"/>
  <c r="AJ16" i="2"/>
  <c r="K16" i="6" s="1"/>
  <c r="AA16" i="6" s="1"/>
  <c r="H18" i="2"/>
  <c r="O18" i="2"/>
  <c r="AI11" i="2"/>
  <c r="J11" i="6" s="1"/>
  <c r="AB11" i="6" s="1"/>
  <c r="I11" i="6"/>
  <c r="AI14" i="2"/>
  <c r="J14" i="6" s="1"/>
  <c r="AB14" i="6" s="1"/>
  <c r="I14" i="6"/>
  <c r="P14" i="2"/>
  <c r="Y15" i="6"/>
  <c r="G15" i="6"/>
  <c r="H14" i="2"/>
  <c r="AN13" i="2"/>
  <c r="AI19" i="2"/>
  <c r="J19" i="6" s="1"/>
  <c r="AB19" i="6" s="1"/>
  <c r="I19" i="6"/>
  <c r="AN19" i="2"/>
  <c r="BE17" i="2"/>
  <c r="BC17" i="2"/>
  <c r="Q17" i="6" s="1"/>
  <c r="AJ21" i="2"/>
  <c r="K21" i="6" s="1"/>
  <c r="AA21" i="6" s="1"/>
  <c r="V21" i="2"/>
  <c r="AK17" i="2"/>
  <c r="L17" i="6" s="1"/>
  <c r="AA21" i="2"/>
  <c r="AH21" i="2"/>
  <c r="I21" i="6" s="1"/>
  <c r="AG21" i="2"/>
  <c r="AJ18" i="2"/>
  <c r="K18" i="6" s="1"/>
  <c r="AA18" i="6" s="1"/>
  <c r="V18" i="2"/>
  <c r="Q16" i="2"/>
  <c r="P16" i="2"/>
  <c r="Q20" i="2"/>
  <c r="P20" i="2"/>
  <c r="L16" i="2"/>
  <c r="M16" i="2" s="1"/>
  <c r="K16" i="2"/>
  <c r="H21" i="2"/>
  <c r="O21" i="2"/>
  <c r="C21" i="6" s="1"/>
  <c r="AT17" i="2"/>
  <c r="X17" i="6" s="1"/>
  <c r="U20" i="2"/>
  <c r="AH18" i="2"/>
  <c r="AG18" i="2"/>
  <c r="R17" i="2"/>
  <c r="AO17" i="2" s="1"/>
  <c r="AL17" i="2"/>
  <c r="BE15" i="2"/>
  <c r="BC15" i="2"/>
  <c r="Q15" i="6" s="1"/>
  <c r="AK15" i="2"/>
  <c r="L15" i="6" s="1"/>
  <c r="AK13" i="2"/>
  <c r="L13" i="6" s="1"/>
  <c r="K14" i="2"/>
  <c r="L14" i="2"/>
  <c r="M14" i="2" s="1"/>
  <c r="V14" i="2"/>
  <c r="AJ14" i="2"/>
  <c r="K14" i="6" s="1"/>
  <c r="AA14" i="6" s="1"/>
  <c r="AI15" i="2"/>
  <c r="J15" i="6" s="1"/>
  <c r="AB15" i="6" s="1"/>
  <c r="AO15" i="2"/>
  <c r="AI13" i="2"/>
  <c r="J13" i="6" s="1"/>
  <c r="AB13" i="6" s="1"/>
  <c r="AG12" i="2"/>
  <c r="AH12" i="2"/>
  <c r="I12" i="6" s="1"/>
  <c r="AL14" i="2"/>
  <c r="AA12" i="2"/>
  <c r="AT15" i="2"/>
  <c r="X15" i="6" s="1"/>
  <c r="V12" i="2"/>
  <c r="AJ12" i="2"/>
  <c r="K12" i="6" s="1"/>
  <c r="AA12" i="6" s="1"/>
  <c r="AS14" i="2"/>
  <c r="W14" i="6" s="1"/>
  <c r="H12" i="2"/>
  <c r="O12" i="2"/>
  <c r="C12" i="6" s="1"/>
  <c r="AS13" i="2"/>
  <c r="W13" i="6" s="1"/>
  <c r="R13" i="2"/>
  <c r="AM13" i="2" s="1"/>
  <c r="O10" i="2"/>
  <c r="C10" i="6" s="1"/>
  <c r="H10" i="2"/>
  <c r="Q11" i="2"/>
  <c r="P11" i="2"/>
  <c r="AK11" i="2"/>
  <c r="L11" i="6" s="1"/>
  <c r="AH10" i="2"/>
  <c r="I10" i="6" s="1"/>
  <c r="AG10" i="2"/>
  <c r="AP25" i="2"/>
  <c r="AW25" i="2"/>
  <c r="AW33" i="2"/>
  <c r="AP33" i="2"/>
  <c r="AX15" i="2"/>
  <c r="AX17" i="2"/>
  <c r="AW13" i="2"/>
  <c r="AW19" i="2"/>
  <c r="AQ17" i="2"/>
  <c r="AP19" i="2"/>
  <c r="AQ15" i="2"/>
  <c r="AP13" i="2"/>
  <c r="AP41" i="2"/>
  <c r="AW41" i="2"/>
  <c r="AQ35" i="2"/>
  <c r="AW42" i="2"/>
  <c r="AP42" i="2"/>
  <c r="AQ43" i="2"/>
  <c r="AW38" i="2"/>
  <c r="AP38" i="2"/>
  <c r="AX43" i="2"/>
  <c r="AX35" i="2"/>
  <c r="AX39" i="2"/>
  <c r="AQ39" i="2"/>
  <c r="AP46" i="2"/>
  <c r="AW46" i="2"/>
  <c r="AX45" i="2"/>
  <c r="AQ45" i="2"/>
  <c r="AW54" i="2"/>
  <c r="AP54" i="2"/>
  <c r="AX53" i="2"/>
  <c r="AQ53" i="2"/>
  <c r="AX49" i="2"/>
  <c r="AW48" i="2"/>
  <c r="AP48" i="2"/>
  <c r="AW52" i="2"/>
  <c r="AP52" i="2"/>
  <c r="AP50" i="2"/>
  <c r="AW50" i="2"/>
  <c r="AQ49" i="2"/>
  <c r="N49" i="6" l="1"/>
  <c r="O50" i="6"/>
  <c r="M50" i="6"/>
  <c r="M52" i="6"/>
  <c r="O52" i="6"/>
  <c r="M48" i="6"/>
  <c r="O48" i="6"/>
  <c r="P49" i="6"/>
  <c r="N53" i="6"/>
  <c r="P53" i="6"/>
  <c r="M54" i="6"/>
  <c r="O54" i="6"/>
  <c r="N45" i="6"/>
  <c r="AR45" i="2"/>
  <c r="P45" i="6"/>
  <c r="AZ45" i="2"/>
  <c r="O46" i="6"/>
  <c r="BE46" i="2"/>
  <c r="BC46" i="2"/>
  <c r="Q46" i="6" s="1"/>
  <c r="M46" i="6"/>
  <c r="Y52" i="6"/>
  <c r="G52" i="6"/>
  <c r="Y48" i="6"/>
  <c r="G48" i="6"/>
  <c r="Z53" i="6"/>
  <c r="H53" i="6"/>
  <c r="Z45" i="6"/>
  <c r="H45" i="6"/>
  <c r="AY45" i="2"/>
  <c r="Y50" i="6"/>
  <c r="G50" i="6"/>
  <c r="Z49" i="6"/>
  <c r="H49" i="6"/>
  <c r="Y54" i="6"/>
  <c r="G54" i="6"/>
  <c r="X45" i="6"/>
  <c r="Y46" i="6"/>
  <c r="G46" i="6"/>
  <c r="AO46" i="2"/>
  <c r="AY46" i="2" s="1"/>
  <c r="BE54" i="2"/>
  <c r="BC54" i="2"/>
  <c r="Q54" i="6" s="1"/>
  <c r="BG55" i="2"/>
  <c r="BF55" i="2"/>
  <c r="BD55" i="2"/>
  <c r="R55" i="6" s="1"/>
  <c r="AO54" i="2"/>
  <c r="AR49" i="2"/>
  <c r="BE50" i="2"/>
  <c r="BC50" i="2"/>
  <c r="Q50" i="6" s="1"/>
  <c r="BE52" i="2"/>
  <c r="AY52" i="2"/>
  <c r="BC52" i="2"/>
  <c r="Q52" i="6" s="1"/>
  <c r="BE48" i="2"/>
  <c r="BC48" i="2"/>
  <c r="Q48" i="6" s="1"/>
  <c r="AZ49" i="2"/>
  <c r="AR53" i="2"/>
  <c r="AZ53" i="2"/>
  <c r="AO50" i="2"/>
  <c r="AO52" i="2"/>
  <c r="BG47" i="2"/>
  <c r="BF47" i="2"/>
  <c r="BD47" i="2"/>
  <c r="R47" i="6" s="1"/>
  <c r="AO48" i="2"/>
  <c r="AY49" i="2"/>
  <c r="BG53" i="2"/>
  <c r="BF53" i="2"/>
  <c r="BG51" i="2"/>
  <c r="BF51" i="2"/>
  <c r="BD51" i="2"/>
  <c r="R51" i="6" s="1"/>
  <c r="BD53" i="2"/>
  <c r="R53" i="6" s="1"/>
  <c r="N39" i="6"/>
  <c r="P39" i="6"/>
  <c r="P35" i="6"/>
  <c r="P43" i="6"/>
  <c r="M38" i="6"/>
  <c r="O38" i="6"/>
  <c r="N43" i="6"/>
  <c r="M42" i="6"/>
  <c r="O42" i="6"/>
  <c r="N35" i="6"/>
  <c r="O41" i="6"/>
  <c r="BE41" i="2"/>
  <c r="BC41" i="2"/>
  <c r="Q41" i="6" s="1"/>
  <c r="M41" i="6"/>
  <c r="Z43" i="6"/>
  <c r="H43" i="6"/>
  <c r="Z35" i="6"/>
  <c r="H35" i="6"/>
  <c r="Y42" i="6"/>
  <c r="G42" i="6"/>
  <c r="W41" i="6"/>
  <c r="AT41" i="2"/>
  <c r="Y41" i="6"/>
  <c r="G41" i="6"/>
  <c r="AO41" i="2"/>
  <c r="Z39" i="6"/>
  <c r="H39" i="6"/>
  <c r="Y38" i="6"/>
  <c r="G38" i="6"/>
  <c r="AM41" i="2"/>
  <c r="AR39" i="2"/>
  <c r="AZ39" i="2"/>
  <c r="AZ35" i="2"/>
  <c r="AZ43" i="2"/>
  <c r="BE38" i="2"/>
  <c r="BC38" i="2"/>
  <c r="Q38" i="6" s="1"/>
  <c r="AR43" i="2"/>
  <c r="BE42" i="2"/>
  <c r="BC42" i="2"/>
  <c r="Q42" i="6" s="1"/>
  <c r="AR35" i="2"/>
  <c r="AT40" i="2"/>
  <c r="X40" i="6" s="1"/>
  <c r="AN36" i="2"/>
  <c r="AM36" i="2"/>
  <c r="AN40" i="2"/>
  <c r="AM40" i="2"/>
  <c r="AO38" i="2"/>
  <c r="AY35" i="2"/>
  <c r="AT36" i="2"/>
  <c r="X36" i="6" s="1"/>
  <c r="AO42" i="2"/>
  <c r="AY43" i="2"/>
  <c r="AY39" i="2"/>
  <c r="M33" i="6"/>
  <c r="O33" i="6"/>
  <c r="O25" i="6"/>
  <c r="M25" i="6"/>
  <c r="Y25" i="6"/>
  <c r="G25" i="6"/>
  <c r="AN31" i="2"/>
  <c r="R31" i="2"/>
  <c r="AM31" i="2" s="1"/>
  <c r="AS31" i="2"/>
  <c r="AL31" i="2"/>
  <c r="R27" i="2"/>
  <c r="AS27" i="2"/>
  <c r="AN27" i="2"/>
  <c r="AN28" i="2" s="1"/>
  <c r="AL27" i="2"/>
  <c r="Y33" i="6"/>
  <c r="G33" i="6"/>
  <c r="AM33" i="2"/>
  <c r="BE33" i="2"/>
  <c r="BC33" i="2"/>
  <c r="Q33" i="6" s="1"/>
  <c r="BE25" i="2"/>
  <c r="AY25" i="2"/>
  <c r="BC25" i="2"/>
  <c r="Q25" i="6" s="1"/>
  <c r="AO33" i="2"/>
  <c r="R23" i="2"/>
  <c r="AL23" i="2"/>
  <c r="AS23" i="2"/>
  <c r="W23" i="6" s="1"/>
  <c r="AN23" i="2"/>
  <c r="AN24" i="2"/>
  <c r="AM24" i="2"/>
  <c r="AT28" i="2"/>
  <c r="X28" i="6" s="1"/>
  <c r="AM32" i="2"/>
  <c r="AN32" i="2"/>
  <c r="AT33" i="2"/>
  <c r="AT24" i="2"/>
  <c r="X24" i="6" s="1"/>
  <c r="AM25" i="2"/>
  <c r="AM28" i="2"/>
  <c r="AT30" i="2"/>
  <c r="X30" i="6" s="1"/>
  <c r="AT25" i="2"/>
  <c r="X25" i="6" s="1"/>
  <c r="AK24" i="2"/>
  <c r="L24" i="6" s="1"/>
  <c r="AM30" i="2"/>
  <c r="BG29" i="2"/>
  <c r="BF29" i="2"/>
  <c r="BD29" i="2"/>
  <c r="R29" i="6" s="1"/>
  <c r="AO25" i="2"/>
  <c r="AT32" i="2"/>
  <c r="X32" i="6" s="1"/>
  <c r="O13" i="6"/>
  <c r="P15" i="6"/>
  <c r="N15" i="6"/>
  <c r="N17" i="6"/>
  <c r="P17" i="6"/>
  <c r="M13" i="6"/>
  <c r="M19" i="6"/>
  <c r="O19" i="6"/>
  <c r="BC19" i="2"/>
  <c r="Q19" i="6" s="1"/>
  <c r="BE19" i="2"/>
  <c r="Z17" i="6"/>
  <c r="H17" i="6"/>
  <c r="X19" i="6"/>
  <c r="AI20" i="2"/>
  <c r="J20" i="6" s="1"/>
  <c r="AB20" i="6" s="1"/>
  <c r="I20" i="6"/>
  <c r="AY15" i="2"/>
  <c r="BD15" i="2" s="1"/>
  <c r="R15" i="6" s="1"/>
  <c r="Y13" i="6"/>
  <c r="G13" i="6"/>
  <c r="AO13" i="2"/>
  <c r="H15" i="6"/>
  <c r="Z15" i="6"/>
  <c r="AM17" i="2"/>
  <c r="AI18" i="2"/>
  <c r="J18" i="6" s="1"/>
  <c r="AB18" i="6" s="1"/>
  <c r="I18" i="6"/>
  <c r="AO19" i="2"/>
  <c r="Y19" i="6"/>
  <c r="G19" i="6"/>
  <c r="P18" i="2"/>
  <c r="C18" i="6"/>
  <c r="Q18" i="2"/>
  <c r="AR17" i="2"/>
  <c r="AZ17" i="2"/>
  <c r="AY17" i="2"/>
  <c r="R16" i="2"/>
  <c r="AS16" i="2"/>
  <c r="W16" i="6" s="1"/>
  <c r="AL16" i="2"/>
  <c r="Q21" i="2"/>
  <c r="P21" i="2"/>
  <c r="AK18" i="2"/>
  <c r="L18" i="6" s="1"/>
  <c r="AI21" i="2"/>
  <c r="J21" i="6" s="1"/>
  <c r="AB21" i="6" s="1"/>
  <c r="R20" i="2"/>
  <c r="AL20" i="2"/>
  <c r="AS20" i="2"/>
  <c r="W20" i="6" s="1"/>
  <c r="V20" i="2"/>
  <c r="AJ20" i="2"/>
  <c r="K20" i="6" s="1"/>
  <c r="AA20" i="6" s="1"/>
  <c r="AK21" i="2"/>
  <c r="L21" i="6" s="1"/>
  <c r="BE13" i="2"/>
  <c r="BC13" i="2"/>
  <c r="Q13" i="6" s="1"/>
  <c r="AZ15" i="2"/>
  <c r="AR15" i="2"/>
  <c r="Q12" i="2"/>
  <c r="P12" i="2"/>
  <c r="AK12" i="2"/>
  <c r="L12" i="6" s="1"/>
  <c r="AM14" i="2"/>
  <c r="AN14" i="2"/>
  <c r="AT13" i="2"/>
  <c r="X13" i="6" s="1"/>
  <c r="AT14" i="2"/>
  <c r="X14" i="6" s="1"/>
  <c r="AI12" i="2"/>
  <c r="J12" i="6" s="1"/>
  <c r="AB12" i="6" s="1"/>
  <c r="AK14" i="2"/>
  <c r="L14" i="6" s="1"/>
  <c r="BG15" i="2"/>
  <c r="BF15" i="2"/>
  <c r="R11" i="2"/>
  <c r="AL11" i="2"/>
  <c r="AS11" i="2"/>
  <c r="W11" i="6" s="1"/>
  <c r="AN11" i="2"/>
  <c r="AI10" i="2"/>
  <c r="J10" i="6" s="1"/>
  <c r="AB10" i="6" s="1"/>
  <c r="Q10" i="2"/>
  <c r="P10" i="2"/>
  <c r="AP27" i="2"/>
  <c r="AP31" i="2"/>
  <c r="AW27" i="2"/>
  <c r="AW31" i="2"/>
  <c r="AX33" i="2"/>
  <c r="AW23" i="2"/>
  <c r="AQ33" i="2"/>
  <c r="AP23" i="2"/>
  <c r="AX25" i="2"/>
  <c r="AQ25" i="2"/>
  <c r="AW24" i="2"/>
  <c r="AP24" i="2"/>
  <c r="AW32" i="2"/>
  <c r="AP32" i="2"/>
  <c r="AW28" i="2"/>
  <c r="AP28" i="2"/>
  <c r="AP14" i="2"/>
  <c r="AX19" i="2"/>
  <c r="AQ19" i="2"/>
  <c r="AW11" i="2"/>
  <c r="AW14" i="2"/>
  <c r="AQ13" i="2"/>
  <c r="AX13" i="2"/>
  <c r="AP11" i="2"/>
  <c r="AQ41" i="2"/>
  <c r="AX41" i="2"/>
  <c r="AW40" i="2"/>
  <c r="AP40" i="2"/>
  <c r="AX42" i="2"/>
  <c r="AQ42" i="2"/>
  <c r="AW36" i="2"/>
  <c r="AP36" i="2"/>
  <c r="AX38" i="2"/>
  <c r="AQ38" i="2"/>
  <c r="AQ46" i="2"/>
  <c r="AX46" i="2"/>
  <c r="AX54" i="2"/>
  <c r="AQ54" i="2"/>
  <c r="AX50" i="2"/>
  <c r="AQ50" i="2"/>
  <c r="AX52" i="2"/>
  <c r="AQ52" i="2"/>
  <c r="AX48" i="2"/>
  <c r="AQ48" i="2"/>
  <c r="N48" i="6" l="1"/>
  <c r="N52" i="6"/>
  <c r="N50" i="6"/>
  <c r="N54" i="6"/>
  <c r="AZ46" i="2"/>
  <c r="N46" i="6"/>
  <c r="AR46" i="2"/>
  <c r="P46" i="6"/>
  <c r="BF46" i="2"/>
  <c r="BG46" i="2"/>
  <c r="BD46" i="2"/>
  <c r="R46" i="6" s="1"/>
  <c r="AY48" i="2"/>
  <c r="P48" i="6" s="1"/>
  <c r="Z48" i="6"/>
  <c r="H48" i="6"/>
  <c r="AY50" i="2"/>
  <c r="P50" i="6" s="1"/>
  <c r="Z50" i="6"/>
  <c r="H50" i="6"/>
  <c r="Z54" i="6"/>
  <c r="H54" i="6"/>
  <c r="BF45" i="2"/>
  <c r="BG45" i="2"/>
  <c r="BD45" i="2"/>
  <c r="R45" i="6" s="1"/>
  <c r="BD52" i="2"/>
  <c r="R52" i="6" s="1"/>
  <c r="P52" i="6"/>
  <c r="Z52" i="6"/>
  <c r="H52" i="6"/>
  <c r="Z46" i="6"/>
  <c r="H46" i="6"/>
  <c r="AR54" i="2"/>
  <c r="AZ54" i="2"/>
  <c r="AY54" i="2"/>
  <c r="P54" i="6" s="1"/>
  <c r="AR48" i="2"/>
  <c r="AZ48" i="2"/>
  <c r="AR52" i="2"/>
  <c r="AZ52" i="2"/>
  <c r="AR50" i="2"/>
  <c r="AZ50" i="2"/>
  <c r="BG50" i="2"/>
  <c r="BF50" i="2"/>
  <c r="BD50" i="2"/>
  <c r="R50" i="6" s="1"/>
  <c r="BF49" i="2"/>
  <c r="BG49" i="2"/>
  <c r="BD49" i="2"/>
  <c r="R49" i="6" s="1"/>
  <c r="BF52" i="2"/>
  <c r="BG52" i="2"/>
  <c r="N38" i="6"/>
  <c r="M36" i="6"/>
  <c r="O36" i="6"/>
  <c r="N42" i="6"/>
  <c r="M40" i="6"/>
  <c r="O40" i="6"/>
  <c r="P41" i="6"/>
  <c r="AZ41" i="2"/>
  <c r="N41" i="6"/>
  <c r="AR41" i="2"/>
  <c r="Z38" i="6"/>
  <c r="H38" i="6"/>
  <c r="Y36" i="6"/>
  <c r="G36" i="6"/>
  <c r="AY38" i="2"/>
  <c r="P38" i="6" s="1"/>
  <c r="Z42" i="6"/>
  <c r="H42" i="6"/>
  <c r="AY41" i="2"/>
  <c r="X41" i="6"/>
  <c r="Y40" i="6"/>
  <c r="G40" i="6"/>
  <c r="Z41" i="6"/>
  <c r="H41" i="6"/>
  <c r="AR38" i="2"/>
  <c r="AZ38" i="2"/>
  <c r="BE36" i="2"/>
  <c r="BC36" i="2"/>
  <c r="Q36" i="6" s="1"/>
  <c r="AR42" i="2"/>
  <c r="AZ42" i="2"/>
  <c r="BE40" i="2"/>
  <c r="BC40" i="2"/>
  <c r="Q40" i="6" s="1"/>
  <c r="BG43" i="2"/>
  <c r="BF43" i="2"/>
  <c r="BD43" i="2"/>
  <c r="R43" i="6" s="1"/>
  <c r="AO36" i="2"/>
  <c r="AY42" i="2"/>
  <c r="P42" i="6" s="1"/>
  <c r="AO40" i="2"/>
  <c r="BG38" i="2"/>
  <c r="BF38" i="2"/>
  <c r="BG39" i="2"/>
  <c r="BF39" i="2"/>
  <c r="BD39" i="2"/>
  <c r="R39" i="6" s="1"/>
  <c r="BG35" i="2"/>
  <c r="BF35" i="2"/>
  <c r="BD35" i="2"/>
  <c r="R35" i="6" s="1"/>
  <c r="BD38" i="2"/>
  <c r="R38" i="6" s="1"/>
  <c r="M28" i="6"/>
  <c r="O28" i="6"/>
  <c r="M32" i="6"/>
  <c r="O32" i="6"/>
  <c r="M24" i="6"/>
  <c r="O24" i="6"/>
  <c r="N25" i="6"/>
  <c r="P25" i="6"/>
  <c r="M23" i="6"/>
  <c r="N33" i="6"/>
  <c r="O23" i="6"/>
  <c r="P33" i="6"/>
  <c r="O31" i="6"/>
  <c r="BE31" i="2"/>
  <c r="BC31" i="2"/>
  <c r="Q31" i="6" s="1"/>
  <c r="O27" i="6"/>
  <c r="BE27" i="2"/>
  <c r="BC27" i="2"/>
  <c r="Q27" i="6" s="1"/>
  <c r="M31" i="6"/>
  <c r="M27" i="6"/>
  <c r="Y28" i="6"/>
  <c r="G28" i="6"/>
  <c r="AY33" i="2"/>
  <c r="BG33" i="2" s="1"/>
  <c r="X33" i="6"/>
  <c r="W31" i="6"/>
  <c r="AT31" i="2"/>
  <c r="AY31" i="2" s="1"/>
  <c r="Y32" i="6"/>
  <c r="G32" i="6"/>
  <c r="W27" i="6"/>
  <c r="AT27" i="2"/>
  <c r="AY27" i="2" s="1"/>
  <c r="Z25" i="6"/>
  <c r="H25" i="6"/>
  <c r="Y23" i="6"/>
  <c r="G23" i="6"/>
  <c r="Z33" i="6"/>
  <c r="H33" i="6"/>
  <c r="Y31" i="6"/>
  <c r="G31" i="6"/>
  <c r="AO31" i="2"/>
  <c r="AN30" i="2"/>
  <c r="AM27" i="2"/>
  <c r="Y27" i="6"/>
  <c r="G27" i="6"/>
  <c r="AO27" i="2"/>
  <c r="Y24" i="6"/>
  <c r="G24" i="6"/>
  <c r="AN26" i="2"/>
  <c r="BE28" i="2"/>
  <c r="BC28" i="2"/>
  <c r="Q28" i="6" s="1"/>
  <c r="AY32" i="2"/>
  <c r="P32" i="6" s="1"/>
  <c r="BE32" i="2"/>
  <c r="BC32" i="2"/>
  <c r="Q32" i="6" s="1"/>
  <c r="BE24" i="2"/>
  <c r="BC24" i="2"/>
  <c r="Q24" i="6" s="1"/>
  <c r="AR25" i="2"/>
  <c r="AZ25" i="2"/>
  <c r="AR33" i="2"/>
  <c r="BE23" i="2"/>
  <c r="BC23" i="2"/>
  <c r="Q23" i="6" s="1"/>
  <c r="AZ33" i="2"/>
  <c r="BD33" i="2"/>
  <c r="R33" i="6" s="1"/>
  <c r="AO28" i="2"/>
  <c r="AO32" i="2"/>
  <c r="AO24" i="2"/>
  <c r="BG25" i="2"/>
  <c r="BF25" i="2"/>
  <c r="AO23" i="2"/>
  <c r="AO30" i="2"/>
  <c r="AT23" i="2"/>
  <c r="X23" i="6" s="1"/>
  <c r="AM23" i="2"/>
  <c r="BD25" i="2"/>
  <c r="R25" i="6" s="1"/>
  <c r="M11" i="6"/>
  <c r="O11" i="6"/>
  <c r="P13" i="6"/>
  <c r="M14" i="6"/>
  <c r="O14" i="6"/>
  <c r="N19" i="6"/>
  <c r="AR19" i="2"/>
  <c r="P19" i="6"/>
  <c r="AZ19" i="2"/>
  <c r="N13" i="6"/>
  <c r="AR13" i="2"/>
  <c r="Y14" i="6"/>
  <c r="G14" i="6"/>
  <c r="Z19" i="6"/>
  <c r="H19" i="6"/>
  <c r="G11" i="6"/>
  <c r="Y11" i="6"/>
  <c r="AS18" i="2"/>
  <c r="R18" i="2"/>
  <c r="AL18" i="2"/>
  <c r="Z13" i="6"/>
  <c r="H13" i="6"/>
  <c r="AY19" i="2"/>
  <c r="AM20" i="2"/>
  <c r="R21" i="2"/>
  <c r="AN21" i="2"/>
  <c r="AL21" i="2"/>
  <c r="AS21" i="2"/>
  <c r="W21" i="6" s="1"/>
  <c r="AK20" i="2"/>
  <c r="L20" i="6" s="1"/>
  <c r="AM16" i="2"/>
  <c r="AN16" i="2"/>
  <c r="BF17" i="2"/>
  <c r="BG17" i="2"/>
  <c r="BD17" i="2"/>
  <c r="R17" i="6" s="1"/>
  <c r="AT20" i="2"/>
  <c r="X20" i="6" s="1"/>
  <c r="AT16" i="2"/>
  <c r="X16" i="6" s="1"/>
  <c r="AZ13" i="2"/>
  <c r="BE14" i="2"/>
  <c r="BC14" i="2"/>
  <c r="Q14" i="6" s="1"/>
  <c r="AO14" i="2"/>
  <c r="AY14" i="2" s="1"/>
  <c r="R12" i="2"/>
  <c r="AS12" i="2"/>
  <c r="W12" i="6" s="1"/>
  <c r="AL12" i="2"/>
  <c r="AY13" i="2"/>
  <c r="BE11" i="2"/>
  <c r="BC11" i="2"/>
  <c r="Q11" i="6" s="1"/>
  <c r="AO11" i="2"/>
  <c r="R10" i="2"/>
  <c r="AS10" i="2"/>
  <c r="W10" i="6" s="1"/>
  <c r="AL10" i="2"/>
  <c r="AT11" i="2"/>
  <c r="X11" i="6" s="1"/>
  <c r="AM11" i="2"/>
  <c r="AX31" i="2"/>
  <c r="AX27" i="2"/>
  <c r="AP30" i="2"/>
  <c r="AW30" i="2"/>
  <c r="AQ27" i="2"/>
  <c r="AQ31" i="2"/>
  <c r="AP26" i="2"/>
  <c r="AW26" i="2"/>
  <c r="AX32" i="2"/>
  <c r="AQ32" i="2"/>
  <c r="AX24" i="2"/>
  <c r="AQ24" i="2"/>
  <c r="AX30" i="2"/>
  <c r="AQ30" i="2"/>
  <c r="AX23" i="2"/>
  <c r="AX28" i="2"/>
  <c r="AQ28" i="2"/>
  <c r="AQ23" i="2"/>
  <c r="AW16" i="2"/>
  <c r="AX14" i="2"/>
  <c r="AP16" i="2"/>
  <c r="AW21" i="2"/>
  <c r="AX11" i="2"/>
  <c r="AQ14" i="2"/>
  <c r="AP21" i="2"/>
  <c r="AQ11" i="2"/>
  <c r="AX40" i="2"/>
  <c r="AQ40" i="2"/>
  <c r="AX36" i="2"/>
  <c r="AQ36" i="2"/>
  <c r="BD48" i="2" l="1"/>
  <c r="R48" i="6" s="1"/>
  <c r="BG48" i="2"/>
  <c r="BF48" i="2"/>
  <c r="BG54" i="2"/>
  <c r="BF54" i="2"/>
  <c r="BD54" i="2"/>
  <c r="R54" i="6" s="1"/>
  <c r="N36" i="6"/>
  <c r="N40" i="6"/>
  <c r="Z36" i="6"/>
  <c r="H36" i="6"/>
  <c r="BG41" i="2"/>
  <c r="BF41" i="2"/>
  <c r="BD41" i="2"/>
  <c r="R41" i="6" s="1"/>
  <c r="AY40" i="2"/>
  <c r="P40" i="6" s="1"/>
  <c r="Z40" i="6"/>
  <c r="H40" i="6"/>
  <c r="AR36" i="2"/>
  <c r="AZ36" i="2"/>
  <c r="AR40" i="2"/>
  <c r="AZ40" i="2"/>
  <c r="BG40" i="2"/>
  <c r="BG42" i="2"/>
  <c r="BF42" i="2"/>
  <c r="BD42" i="2"/>
  <c r="R42" i="6" s="1"/>
  <c r="AY36" i="2"/>
  <c r="P36" i="6" s="1"/>
  <c r="N23" i="6"/>
  <c r="N28" i="6"/>
  <c r="P23" i="6"/>
  <c r="N30" i="6"/>
  <c r="N24" i="6"/>
  <c r="N32" i="6"/>
  <c r="O26" i="6"/>
  <c r="BE26" i="2"/>
  <c r="BC26" i="2"/>
  <c r="Q26" i="6" s="1"/>
  <c r="AY26" i="2"/>
  <c r="P26" i="6" s="1"/>
  <c r="M26" i="6"/>
  <c r="N31" i="6"/>
  <c r="AR31" i="2"/>
  <c r="N27" i="6"/>
  <c r="AR27" i="2"/>
  <c r="O30" i="6"/>
  <c r="BE30" i="2"/>
  <c r="BC30" i="2"/>
  <c r="Q30" i="6" s="1"/>
  <c r="M30" i="6"/>
  <c r="P27" i="6"/>
  <c r="AZ27" i="2"/>
  <c r="P31" i="6"/>
  <c r="AZ31" i="2"/>
  <c r="BG27" i="2"/>
  <c r="BF27" i="2"/>
  <c r="BD27" i="2"/>
  <c r="R27" i="6" s="1"/>
  <c r="BD31" i="2"/>
  <c r="R31" i="6" s="1"/>
  <c r="BG31" i="2"/>
  <c r="BF31" i="2"/>
  <c r="Y26" i="6"/>
  <c r="G26" i="6"/>
  <c r="AO26" i="2"/>
  <c r="Z31" i="6"/>
  <c r="H31" i="6"/>
  <c r="Z24" i="6"/>
  <c r="H24" i="6"/>
  <c r="BF33" i="2"/>
  <c r="Z32" i="6"/>
  <c r="H32" i="6"/>
  <c r="Z23" i="6"/>
  <c r="H23" i="6"/>
  <c r="Z28" i="6"/>
  <c r="H28" i="6"/>
  <c r="Z27" i="6"/>
  <c r="H27" i="6"/>
  <c r="Y30" i="6"/>
  <c r="G30" i="6"/>
  <c r="Z30" i="6"/>
  <c r="H30" i="6"/>
  <c r="X27" i="6"/>
  <c r="X31" i="6"/>
  <c r="AR23" i="2"/>
  <c r="AR28" i="2"/>
  <c r="AZ28" i="2"/>
  <c r="AZ23" i="2"/>
  <c r="AR30" i="2"/>
  <c r="AZ30" i="2"/>
  <c r="AR24" i="2"/>
  <c r="AZ24" i="2"/>
  <c r="AR32" i="2"/>
  <c r="AZ32" i="2"/>
  <c r="AY23" i="2"/>
  <c r="AY30" i="2"/>
  <c r="P30" i="6" s="1"/>
  <c r="BD26" i="2"/>
  <c r="R26" i="6" s="1"/>
  <c r="BG32" i="2"/>
  <c r="BF32" i="2"/>
  <c r="AY28" i="2"/>
  <c r="P28" i="6" s="1"/>
  <c r="AY24" i="2"/>
  <c r="P24" i="6" s="1"/>
  <c r="BD32" i="2"/>
  <c r="R32" i="6" s="1"/>
  <c r="P11" i="6"/>
  <c r="N11" i="6"/>
  <c r="N14" i="6"/>
  <c r="O21" i="6"/>
  <c r="M21" i="6"/>
  <c r="M16" i="6"/>
  <c r="O16" i="6"/>
  <c r="BD14" i="2"/>
  <c r="R14" i="6" s="1"/>
  <c r="P14" i="6"/>
  <c r="Z11" i="6"/>
  <c r="H11" i="6"/>
  <c r="BF19" i="2"/>
  <c r="BG19" i="2"/>
  <c r="BD19" i="2"/>
  <c r="R19" i="6" s="1"/>
  <c r="AN18" i="2"/>
  <c r="AM18" i="2"/>
  <c r="Y16" i="6"/>
  <c r="G16" i="6"/>
  <c r="AT18" i="2"/>
  <c r="W18" i="6"/>
  <c r="Z14" i="6"/>
  <c r="H14" i="6"/>
  <c r="Y21" i="6"/>
  <c r="G21" i="6"/>
  <c r="BE21" i="2"/>
  <c r="BC21" i="2"/>
  <c r="Q21" i="6" s="1"/>
  <c r="BE16" i="2"/>
  <c r="BC16" i="2"/>
  <c r="Q16" i="6" s="1"/>
  <c r="AT21" i="2"/>
  <c r="X21" i="6" s="1"/>
  <c r="AO21" i="2"/>
  <c r="AO16" i="2"/>
  <c r="AM21" i="2"/>
  <c r="AN20" i="2"/>
  <c r="AR14" i="2"/>
  <c r="AZ14" i="2"/>
  <c r="BG13" i="2"/>
  <c r="BF13" i="2"/>
  <c r="BD13" i="2"/>
  <c r="R13" i="6" s="1"/>
  <c r="AT12" i="2"/>
  <c r="X12" i="6" s="1"/>
  <c r="BF14" i="2"/>
  <c r="BG14" i="2"/>
  <c r="AN12" i="2"/>
  <c r="AM12" i="2"/>
  <c r="AZ11" i="2"/>
  <c r="AR11" i="2"/>
  <c r="AY11" i="2"/>
  <c r="AM10" i="2"/>
  <c r="AT10" i="2"/>
  <c r="X10" i="6" s="1"/>
  <c r="AQ26" i="2"/>
  <c r="AX26" i="2"/>
  <c r="AW18" i="2"/>
  <c r="AP18" i="2"/>
  <c r="AP12" i="2"/>
  <c r="AQ21" i="2"/>
  <c r="AP20" i="2"/>
  <c r="AX16" i="2"/>
  <c r="AX21" i="2"/>
  <c r="AQ16" i="2"/>
  <c r="AW12" i="2"/>
  <c r="AW20" i="2"/>
  <c r="BF40" i="2" l="1"/>
  <c r="BD40" i="2"/>
  <c r="R40" i="6" s="1"/>
  <c r="BF36" i="2"/>
  <c r="BG36" i="2"/>
  <c r="BD36" i="2"/>
  <c r="R36" i="6" s="1"/>
  <c r="AZ26" i="2"/>
  <c r="N26" i="6"/>
  <c r="AR26" i="2"/>
  <c r="BF26" i="2"/>
  <c r="Z26" i="6"/>
  <c r="H26" i="6"/>
  <c r="BG26" i="2"/>
  <c r="BF30" i="2"/>
  <c r="BG30" i="2"/>
  <c r="BD30" i="2"/>
  <c r="R30" i="6" s="1"/>
  <c r="BG24" i="2"/>
  <c r="BF24" i="2"/>
  <c r="BD24" i="2"/>
  <c r="R24" i="6" s="1"/>
  <c r="BG23" i="2"/>
  <c r="BF23" i="2"/>
  <c r="BD23" i="2"/>
  <c r="R23" i="6" s="1"/>
  <c r="BF28" i="2"/>
  <c r="BG28" i="2"/>
  <c r="BD28" i="2"/>
  <c r="R28" i="6" s="1"/>
  <c r="M12" i="6"/>
  <c r="O12" i="6"/>
  <c r="P21" i="6"/>
  <c r="M20" i="6"/>
  <c r="O20" i="6"/>
  <c r="N16" i="6"/>
  <c r="N21" i="6"/>
  <c r="M18" i="6"/>
  <c r="O18" i="6"/>
  <c r="BC18" i="2"/>
  <c r="Q18" i="6" s="1"/>
  <c r="BE18" i="2"/>
  <c r="Z21" i="6"/>
  <c r="H21" i="6"/>
  <c r="Y20" i="6"/>
  <c r="G20" i="6"/>
  <c r="X18" i="6"/>
  <c r="G18" i="6"/>
  <c r="Y18" i="6"/>
  <c r="AO18" i="2"/>
  <c r="AY18" i="2" s="1"/>
  <c r="Y12" i="6"/>
  <c r="G12" i="6"/>
  <c r="Z16" i="6"/>
  <c r="H16" i="6"/>
  <c r="AY16" i="2"/>
  <c r="BF16" i="2" s="1"/>
  <c r="AZ21" i="2"/>
  <c r="BE20" i="2"/>
  <c r="BC20" i="2"/>
  <c r="Q20" i="6" s="1"/>
  <c r="AR16" i="2"/>
  <c r="AZ16" i="2"/>
  <c r="AR21" i="2"/>
  <c r="BG16" i="2"/>
  <c r="AY21" i="2"/>
  <c r="AO20" i="2"/>
  <c r="BE12" i="2"/>
  <c r="BC12" i="2"/>
  <c r="Q12" i="6" s="1"/>
  <c r="AO12" i="2"/>
  <c r="AY12" i="2" s="1"/>
  <c r="P12" i="6" s="1"/>
  <c r="BG11" i="2"/>
  <c r="BF11" i="2"/>
  <c r="BD11" i="2"/>
  <c r="R11" i="6" s="1"/>
  <c r="AQ18" i="2"/>
  <c r="AQ12" i="2"/>
  <c r="AX18" i="2"/>
  <c r="AX12" i="2"/>
  <c r="AX20" i="2"/>
  <c r="AQ20" i="2"/>
  <c r="N12" i="6" l="1"/>
  <c r="N20" i="6"/>
  <c r="N18" i="6"/>
  <c r="AR18" i="2"/>
  <c r="AZ18" i="2"/>
  <c r="P18" i="6"/>
  <c r="BG18" i="2"/>
  <c r="BF18" i="2"/>
  <c r="BD18" i="2"/>
  <c r="R18" i="6" s="1"/>
  <c r="P16" i="6"/>
  <c r="BD16" i="2"/>
  <c r="R16" i="6" s="1"/>
  <c r="H12" i="6"/>
  <c r="Z12" i="6"/>
  <c r="Z20" i="6"/>
  <c r="H20" i="6"/>
  <c r="Z18" i="6"/>
  <c r="H18" i="6"/>
  <c r="AR20" i="2"/>
  <c r="AZ20" i="2"/>
  <c r="BG21" i="2"/>
  <c r="BF21" i="2"/>
  <c r="BD21" i="2"/>
  <c r="R21" i="6" s="1"/>
  <c r="AY20" i="2"/>
  <c r="P20" i="6" s="1"/>
  <c r="AR12" i="2"/>
  <c r="AZ12" i="2"/>
  <c r="BF12" i="2"/>
  <c r="BG12" i="2"/>
  <c r="BD12" i="2"/>
  <c r="R12" i="6" s="1"/>
  <c r="BF20" i="2" l="1"/>
  <c r="BG20" i="2"/>
  <c r="BD20" i="2"/>
  <c r="R20" i="6" s="1"/>
  <c r="C25" i="9" l="1"/>
  <c r="AV8" i="2" l="1"/>
  <c r="S9" i="6"/>
  <c r="B9" i="6"/>
  <c r="A9" i="6"/>
  <c r="S8" i="6"/>
  <c r="B8" i="6"/>
  <c r="A8" i="6"/>
  <c r="S7" i="6"/>
  <c r="U9" i="6"/>
  <c r="U7" i="6"/>
  <c r="B7" i="6"/>
  <c r="A7" i="6"/>
  <c r="D23" i="9" l="1"/>
  <c r="D24" i="9"/>
  <c r="D25" i="9"/>
  <c r="AD8" i="2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BB8" i="2"/>
  <c r="BA8" i="2"/>
  <c r="C8" i="2"/>
  <c r="J8" i="2" s="1"/>
  <c r="B8" i="2"/>
  <c r="A8" i="2"/>
  <c r="X7" i="2"/>
  <c r="AV7" i="2"/>
  <c r="BB7" i="2"/>
  <c r="BA7" i="2"/>
  <c r="C7" i="2"/>
  <c r="D7" i="2" s="1"/>
  <c r="B7" i="2"/>
  <c r="A7" i="2"/>
  <c r="X9" i="2"/>
  <c r="E9" i="6" s="1"/>
  <c r="AV9" i="2"/>
  <c r="BB9" i="2"/>
  <c r="BA9" i="2"/>
  <c r="C9" i="2"/>
  <c r="J9" i="2" s="1"/>
  <c r="L9" i="2" s="1"/>
  <c r="M9" i="2" s="1"/>
  <c r="B9" i="2"/>
  <c r="A9" i="2"/>
  <c r="F9" i="2" l="1"/>
  <c r="Z7" i="2"/>
  <c r="AA7" i="2" s="1"/>
  <c r="E7" i="6"/>
  <c r="Y8" i="2"/>
  <c r="F8" i="6" s="1"/>
  <c r="E8" i="6"/>
  <c r="AE9" i="2"/>
  <c r="Q9" i="2"/>
  <c r="R9" i="2" s="1"/>
  <c r="C9" i="6"/>
  <c r="H9" i="2"/>
  <c r="L8" i="2"/>
  <c r="M8" i="2" s="1"/>
  <c r="P9" i="2"/>
  <c r="T7" i="2"/>
  <c r="Y7" i="2"/>
  <c r="F7" i="6" s="1"/>
  <c r="Z8" i="2"/>
  <c r="U9" i="2"/>
  <c r="U10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U8" i="2"/>
  <c r="AF7" i="2"/>
  <c r="K8" i="2"/>
  <c r="T8" i="2"/>
  <c r="V10" i="2" l="1"/>
  <c r="AJ10" i="2"/>
  <c r="K10" i="6" s="1"/>
  <c r="AA10" i="6" s="1"/>
  <c r="AL9" i="2"/>
  <c r="AM9" i="2" s="1"/>
  <c r="AN9" i="2"/>
  <c r="L7" i="2"/>
  <c r="M7" i="2" s="1"/>
  <c r="AA8" i="2"/>
  <c r="AH8" i="2"/>
  <c r="I8" i="6" s="1"/>
  <c r="V9" i="2"/>
  <c r="AK9" i="2" s="1"/>
  <c r="L9" i="6" s="1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AS9" i="2"/>
  <c r="W9" i="6" s="1"/>
  <c r="V8" i="2"/>
  <c r="AJ8" i="2"/>
  <c r="AH7" i="2"/>
  <c r="I7" i="6" s="1"/>
  <c r="AG7" i="2"/>
  <c r="AP9" i="2"/>
  <c r="AW9" i="2"/>
  <c r="AO9" i="2" l="1"/>
  <c r="Z9" i="6" s="1"/>
  <c r="AN10" i="2"/>
  <c r="AK10" i="2"/>
  <c r="L10" i="6" s="1"/>
  <c r="AI8" i="2"/>
  <c r="Y9" i="6"/>
  <c r="M9" i="6"/>
  <c r="K8" i="6"/>
  <c r="AA8" i="6" s="1"/>
  <c r="G9" i="6"/>
  <c r="J8" i="6"/>
  <c r="AB8" i="6" s="1"/>
  <c r="BC9" i="2"/>
  <c r="Q9" i="6" s="1"/>
  <c r="O9" i="6"/>
  <c r="AI9" i="2"/>
  <c r="J9" i="6" s="1"/>
  <c r="AB9" i="6" s="1"/>
  <c r="P7" i="2"/>
  <c r="Q7" i="2"/>
  <c r="P8" i="2"/>
  <c r="Q8" i="2"/>
  <c r="AS8" i="2" s="1"/>
  <c r="BE9" i="2"/>
  <c r="AI7" i="2"/>
  <c r="J7" i="6" s="1"/>
  <c r="AB7" i="6" s="1"/>
  <c r="AT9" i="2"/>
  <c r="X9" i="6" s="1"/>
  <c r="AK8" i="2"/>
  <c r="L8" i="6" s="1"/>
  <c r="AQ9" i="2"/>
  <c r="AX9" i="2"/>
  <c r="AW10" i="2"/>
  <c r="AP10" i="2"/>
  <c r="N9" i="6" l="1"/>
  <c r="AR9" i="2"/>
  <c r="M10" i="6"/>
  <c r="O10" i="6"/>
  <c r="BE10" i="2"/>
  <c r="BC10" i="2"/>
  <c r="Q10" i="6" s="1"/>
  <c r="H9" i="6"/>
  <c r="Y10" i="6"/>
  <c r="G10" i="6"/>
  <c r="AO10" i="2"/>
  <c r="AT8" i="2"/>
  <c r="P9" i="6"/>
  <c r="R8" i="2"/>
  <c r="AL8" i="2"/>
  <c r="W8" i="6"/>
  <c r="R7" i="2"/>
  <c r="AS7" i="2"/>
  <c r="W7" i="6" s="1"/>
  <c r="AN7" i="2"/>
  <c r="AL7" i="2"/>
  <c r="AZ9" i="2"/>
  <c r="AY9" i="2"/>
  <c r="BD9" i="2" s="1"/>
  <c r="R9" i="6" s="1"/>
  <c r="AQ10" i="2"/>
  <c r="AP7" i="2"/>
  <c r="AW7" i="2"/>
  <c r="AX10" i="2"/>
  <c r="N10" i="6" l="1"/>
  <c r="AR10" i="2"/>
  <c r="AZ10" i="2"/>
  <c r="Z10" i="6"/>
  <c r="H10" i="6"/>
  <c r="AY10" i="2"/>
  <c r="Y7" i="6"/>
  <c r="G7" i="6"/>
  <c r="M7" i="6"/>
  <c r="O7" i="6"/>
  <c r="BC7" i="2"/>
  <c r="Q7" i="6" s="1"/>
  <c r="AM7" i="2"/>
  <c r="BE7" i="2"/>
  <c r="AM8" i="2"/>
  <c r="AN8" i="2"/>
  <c r="G8" i="6" s="1"/>
  <c r="AO7" i="2"/>
  <c r="AT7" i="2"/>
  <c r="X7" i="6" s="1"/>
  <c r="BG9" i="2"/>
  <c r="BF9" i="2"/>
  <c r="AQ7" i="2"/>
  <c r="AX7" i="2"/>
  <c r="AP8" i="2"/>
  <c r="P10" i="6" l="1"/>
  <c r="BG10" i="2"/>
  <c r="BF10" i="2"/>
  <c r="BD10" i="2"/>
  <c r="R10" i="6" s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Q8" i="2"/>
  <c r="AX8" i="2"/>
  <c r="O8" i="6" l="1"/>
  <c r="BC8" i="2"/>
  <c r="Q8" i="6" s="1"/>
  <c r="BE8" i="2"/>
  <c r="AY8" i="2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<sst xmlns="http://schemas.openxmlformats.org/spreadsheetml/2006/main" count="406" uniqueCount="201">
  <si>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</si>
  <si>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</si>
  <si>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</si>
  <si>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</si>
  <si>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</si>
  <si>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</si>
  <si>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</si>
  <si>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</si>
  <si>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</si>
  <si>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</si>
  <si>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</si>
  <si>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</si>
  <si>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</si>
  <si>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</si>
  <si>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</si>
  <si>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</si>
  <si>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</si>
  <si>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</si>
  <si>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</si>
  <si>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</si>
  <si>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</si>
  <si>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</si>
  <si>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</si>
  <si>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</si>
  <si>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</si>
  <si>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</si>
  <si>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</si>
  <si>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</si>
  <si>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</si>
  <si>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</si>
  <si>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</si>
  <si>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</si>
  <si>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</si>
  <si>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</si>
  <si>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</si>
  <si>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</si>
  <si>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</si>
  <si>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</si>
  <si>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</si>
  <si>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</si>
  <si>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</si>
  <si>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</si>
  <si>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</si>
  <si>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</si>
  <si>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</si>
  <si>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</si>
  <si>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</si>
  <si>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</si>
  <si>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</si>
  <si>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</si>
  <si>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</si>
  <si>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</si>
  <si>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</si>
  <si>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</si>
  <si>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</si>
  <si>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</si>
  <si>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</si>
  <si>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</si>
  <si>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</si>
  <si>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</si>
  <si>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</si>
  <si>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</si>
  <si>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</si>
  <si>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</si>
  <si>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</si>
  <si>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</si>
  <si>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</si>
  <si>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</si>
  <si>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</si>
  <si>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</si>
  <si>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</si>
  <si>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</si>
  <si>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</si>
  <si>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</si>
  <si>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</si>
  <si>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</si>
  <si>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</si>
  <si>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</si>
  <si>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</si>
  <si>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</si>
  <si>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</si>
  <si>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</si>
  <si>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</si>
  <si>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</si>
  <si>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</si>
  <si>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</si>
  <si>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</si>
  <si>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</si>
  <si>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</si>
  <si>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</si>
  <si>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</si>
  <si>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</si>
  <si>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</si>
  <si>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</si>
  <si>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</si>
  <si>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</si>
  <si>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</si>
  <si>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</si>
  <si>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</si>
  <si>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</si>
  <si>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</si>
  <si>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</si>
  <si>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</si>
  <si>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</si>
  <si>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</si>
  <si>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</si>
  <si>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</si>
  <si>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</si>
  <si>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</si>
  <si>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</si>
  <si>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</si>
  <si>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</si>
  <si>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</si>
  <si>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</si>
  <si>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</si>
  <si>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</si>
  <si>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</si>
  <si>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</si>
  <si>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</si>
  <si>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</si>
  <si>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</si>
  <si>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</si>
  <si>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</si>
  <si>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</si>
  <si>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</si>
  <si>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</si>
  <si>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007j10815.exp</t>
  </si>
  <si>
    <t>010j10919.exp</t>
  </si>
  <si>
    <t>013j10815.exp</t>
  </si>
  <si>
    <t>016j10920.exp</t>
  </si>
  <si>
    <t>019j10815.exp</t>
  </si>
  <si>
    <t>022j10921.exp</t>
  </si>
  <si>
    <t>025j10815.exp</t>
  </si>
  <si>
    <t>028j10922.exp</t>
  </si>
  <si>
    <t>031j10815.exp</t>
  </si>
  <si>
    <t>034j10923.exp</t>
  </si>
  <si>
    <t>037j10815.exp</t>
  </si>
  <si>
    <t>040j10924.exp</t>
  </si>
  <si>
    <t>043j10815.exp</t>
  </si>
  <si>
    <t>046j10925.exp</t>
  </si>
  <si>
    <t>049j10815.exp</t>
  </si>
  <si>
    <t>SO236_7_1</t>
  </si>
  <si>
    <t>Koralle</t>
  </si>
  <si>
    <t>SO236_7_2</t>
  </si>
  <si>
    <t>SO236_7_3</t>
  </si>
  <si>
    <t>SO236_7_4</t>
  </si>
  <si>
    <t>SO236_7_5</t>
  </si>
  <si>
    <t>SO236_7_6</t>
  </si>
  <si>
    <t>SO236_7_7</t>
  </si>
  <si>
    <t>SO236_17_1</t>
  </si>
  <si>
    <t>SO236_17_2</t>
  </si>
  <si>
    <t>SO236_17_3</t>
  </si>
  <si>
    <t>010j10926.exp</t>
  </si>
  <si>
    <t>016j10927.exp</t>
  </si>
  <si>
    <t>022j10928.exp</t>
  </si>
  <si>
    <t>028j10917.exp</t>
  </si>
  <si>
    <t>034j10918.exp</t>
  </si>
  <si>
    <t>GeoB20582-1_3_163-166</t>
  </si>
  <si>
    <t>GeoB20582-1_3_184-186</t>
  </si>
  <si>
    <t>GeoB20582-1_2_17-21</t>
  </si>
  <si>
    <t>GeoB20582-1_2_62-63</t>
  </si>
  <si>
    <t>GeoB20582-1_2_83-86</t>
  </si>
  <si>
    <t>GeoB20582-1_3_124-125</t>
  </si>
  <si>
    <t>007m10815.exp</t>
  </si>
  <si>
    <t>010m10913.exp</t>
  </si>
  <si>
    <t>013m10815.exp</t>
  </si>
  <si>
    <t>016m10914.exp</t>
  </si>
  <si>
    <t>019m10815.exp</t>
  </si>
  <si>
    <t>022m10915.exp</t>
  </si>
  <si>
    <t>025m10815.exp</t>
  </si>
  <si>
    <t>028m10916.exp</t>
  </si>
  <si>
    <t>031m10815.exp</t>
  </si>
  <si>
    <t>007A10815.exp</t>
  </si>
  <si>
    <t>010A10929.exp</t>
  </si>
  <si>
    <t>013A10815.exp</t>
  </si>
  <si>
    <t>016A10930.exp</t>
  </si>
  <si>
    <t>019A10815.exp</t>
  </si>
  <si>
    <t>022A10931.exp</t>
  </si>
  <si>
    <t>025A10815.exp</t>
  </si>
  <si>
    <t>028A10932.exp</t>
  </si>
  <si>
    <t>031A10815.exp</t>
  </si>
  <si>
    <t>034A10933.exp</t>
  </si>
  <si>
    <t>037A10815.exp</t>
  </si>
  <si>
    <t>040A10934.exp</t>
  </si>
  <si>
    <t>043A10815.exp</t>
  </si>
  <si>
    <t>CSM_1779</t>
  </si>
  <si>
    <t>CSM_1781</t>
  </si>
  <si>
    <t>CSM_1784</t>
  </si>
  <si>
    <t>CSM_1788</t>
  </si>
  <si>
    <t>CSM_1818</t>
  </si>
  <si>
    <t>CSM_1820</t>
  </si>
  <si>
    <t>CSM_1821</t>
  </si>
  <si>
    <t>CSM_1823</t>
  </si>
  <si>
    <t>CSM_1928</t>
  </si>
  <si>
    <t>CSM_1929</t>
  </si>
  <si>
    <t>CSM_1936</t>
  </si>
  <si>
    <t>CSM_1937</t>
  </si>
  <si>
    <t>CSM_1968</t>
  </si>
  <si>
    <t>CSM_1972</t>
  </si>
  <si>
    <t>CSM_1999</t>
  </si>
  <si>
    <t>CSM_2012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</si>
</sst>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5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76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9" fillId="0" borderId="0" xfId="0" applyFont="1" applyFill="1"/>
    <xf numFmtId="177" fontId="0" fillId="0" borderId="0" xfId="0" applyNumberFormat="1"/>
    <xf numFmtId="177" fontId="0" fillId="12" borderId="0" xfId="0" applyNumberFormat="1" applyFill="1"/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78"/>
  <sheetViews>
    <sheetView topLeftCell="G1" zoomScaleNormal="100" workbookViewId="0">
      <pane ySplit="2" topLeftCell="A35" activePane="bottomLeft" state="frozen"/>
      <selection activeCell="B1" sqref="B1"/>
      <selection pane="bottomLeft" activeCell="H45" sqref="H45:Z57"/>
    </sheetView>
  </sheetViews>
  <sheetFormatPr baseColWidth="10" defaultRowHeight="14.25" x14ac:dyDescent="0.2"/>
  <cols>
    <col min="1" max="1" width="18" style="17" customWidth="1"/>
    <col min="2" max="2" width="25.140625" style="17" bestFit="1" customWidth="1"/>
    <col min="3" max="3" width="16.85546875" style="17" customWidth="1"/>
    <col min="4" max="4" width="13.28515625" style="72" customWidth="1"/>
    <col min="5" max="5" width="13" style="73" bestFit="1" customWidth="1"/>
    <col min="6" max="6" width="11.5703125" style="17" bestFit="1" customWidth="1"/>
    <col min="7" max="7" width="11.5703125" style="74" bestFit="1" customWidth="1"/>
    <col min="8" max="8" width="18.42578125" style="74" bestFit="1" customWidth="1"/>
    <col min="9" max="9" width="11.5703125" style="74" customWidth="1"/>
    <col min="10" max="10" width="11.42578125" style="75"/>
    <col min="11" max="11" width="11.7109375" style="74" bestFit="1" customWidth="1"/>
    <col min="12" max="12" width="10.7109375" style="76" bestFit="1" customWidth="1"/>
    <col min="13" max="14" width="10.7109375" style="76" customWidth="1"/>
    <col min="15" max="15" width="12.7109375" style="74" bestFit="1" customWidth="1"/>
    <col min="16" max="16" width="13.140625" style="75" customWidth="1"/>
    <col min="17" max="17" width="13.140625" style="77" customWidth="1"/>
    <col min="18" max="18" width="13.140625" style="78" customWidth="1"/>
    <col min="19" max="19" width="13.140625" style="79" customWidth="1"/>
    <col min="20" max="20" width="11.42578125" style="17"/>
    <col min="21" max="21" width="15" style="74" customWidth="1"/>
    <col min="22" max="22" width="13.85546875" style="75" customWidth="1"/>
    <col min="23" max="23" width="16.85546875" style="74" customWidth="1"/>
    <col min="24" max="24" width="13.7109375" style="75" customWidth="1"/>
    <col min="25" max="25" width="14.28515625" style="77" customWidth="1"/>
    <col min="26" max="26" width="14" style="75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44209</v>
      </c>
      <c r="E7" s="15"/>
      <c r="F7" s="16">
        <v>1.10995</v>
      </c>
      <c r="G7" s="16">
        <v>10.349080000000001</v>
      </c>
      <c r="H7" t="s">
        <v>126</v>
      </c>
      <c r="I7">
        <v>9.9110948659411752E-3</v>
      </c>
      <c r="J7">
        <v>0.54860213967346105</v>
      </c>
      <c r="K7">
        <v>7.1451118307029431E-3</v>
      </c>
      <c r="L7">
        <v>4.5313014002341416E-3</v>
      </c>
      <c r="M7">
        <v>2.7326004837481932</v>
      </c>
      <c r="N7">
        <v>7.138585984835316E-3</v>
      </c>
      <c r="O7">
        <v>2.0903104814436499</v>
      </c>
      <c r="P7">
        <v>0.53321479892453161</v>
      </c>
      <c r="Q7">
        <v>7.5778355061187465E-3</v>
      </c>
      <c r="R7">
        <v>9.8954887812676445E-2</v>
      </c>
      <c r="S7">
        <v>5.4959243885080215E-5</v>
      </c>
      <c r="T7">
        <v>9.8954887812677139E-2</v>
      </c>
      <c r="U7">
        <v>1.3165770688603684</v>
      </c>
      <c r="V7">
        <v>0.27645563543653112</v>
      </c>
      <c r="W7">
        <v>0.19126648602762386</v>
      </c>
      <c r="X7">
        <v>0.56994257321616237</v>
      </c>
      <c r="Y7">
        <v>0.25217554285846655</v>
      </c>
      <c r="Z7">
        <v>0.37473876388605837</v>
      </c>
    </row>
    <row r="8" spans="1:28" x14ac:dyDescent="0.2">
      <c r="A8" s="18">
        <v>10919</v>
      </c>
      <c r="B8" s="18" t="s">
        <v>141</v>
      </c>
      <c r="C8" s="18" t="s">
        <v>142</v>
      </c>
      <c r="D8" s="19">
        <v>44209</v>
      </c>
      <c r="E8" s="20"/>
      <c r="F8" s="21">
        <v>7.2069999999999995E-2</v>
      </c>
      <c r="G8" s="21">
        <v>0.20813000000000059</v>
      </c>
      <c r="H8" t="s">
        <v>127</v>
      </c>
      <c r="I8">
        <v>1.0027646906236733E-2</v>
      </c>
      <c r="J8">
        <v>0.16262597396593567</v>
      </c>
      <c r="K8">
        <v>7.1418199923043296E-3</v>
      </c>
      <c r="L8">
        <v>6.2361687914205344E-3</v>
      </c>
      <c r="M8">
        <v>2.456146164473517</v>
      </c>
      <c r="N8">
        <v>4.5520100184639582E-3</v>
      </c>
      <c r="O8">
        <v>2.1143098741483932</v>
      </c>
      <c r="P8">
        <v>0.17180102717542053</v>
      </c>
      <c r="Q8">
        <v>8.6286743297976538E-3</v>
      </c>
      <c r="R8">
        <v>5.6292338427281798E-2</v>
      </c>
      <c r="S8">
        <v>6.2580590000055499E-5</v>
      </c>
      <c r="T8">
        <v>5.6292338427282242E-2</v>
      </c>
      <c r="U8">
        <v>0.24133260588181193</v>
      </c>
      <c r="V8">
        <v>0.23589797412286789</v>
      </c>
      <c r="W8">
        <v>8.4867882542973935E-2</v>
      </c>
      <c r="X8">
        <v>0.14684591564103636</v>
      </c>
      <c r="Y8">
        <v>2.0495363298485017E-2</v>
      </c>
      <c r="Z8">
        <v>0.17587038381336031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44209</v>
      </c>
      <c r="E9" s="15"/>
      <c r="F9" s="16">
        <v>1.10995</v>
      </c>
      <c r="G9" s="16">
        <v>10.349080000000001</v>
      </c>
      <c r="H9" t="s">
        <v>128</v>
      </c>
      <c r="I9">
        <v>9.8671953399140436E-3</v>
      </c>
      <c r="J9">
        <v>0.49790637219116907</v>
      </c>
      <c r="K9">
        <v>7.1363371025790151E-3</v>
      </c>
      <c r="L9">
        <v>5.2809902517591293E-3</v>
      </c>
      <c r="M9">
        <v>2.7321056970071709</v>
      </c>
      <c r="N9">
        <v>9.4501441812127884E-3</v>
      </c>
      <c r="O9">
        <v>2.0962820075561166</v>
      </c>
      <c r="P9">
        <v>0.48045573079649306</v>
      </c>
      <c r="Q9">
        <v>7.5807156029179552E-3</v>
      </c>
      <c r="R9">
        <v>0.13963234278614675</v>
      </c>
      <c r="S9">
        <v>5.4980132164097678E-5</v>
      </c>
      <c r="T9">
        <v>0.13963234278614661</v>
      </c>
      <c r="U9">
        <v>1.3226730838182599</v>
      </c>
      <c r="V9">
        <v>0.22609118469620937</v>
      </c>
      <c r="W9">
        <v>0.19299628440244485</v>
      </c>
      <c r="X9">
        <v>0.32893778397552109</v>
      </c>
      <c r="Y9">
        <v>0.25514359151857213</v>
      </c>
      <c r="Z9">
        <v>0.30610616769844484</v>
      </c>
    </row>
    <row r="10" spans="1:28" s="68" customFormat="1" x14ac:dyDescent="0.2">
      <c r="A10" s="68">
        <v>10920</v>
      </c>
      <c r="B10" s="68" t="s">
        <v>143</v>
      </c>
      <c r="C10" s="68" t="s">
        <v>142</v>
      </c>
      <c r="D10" s="19">
        <v>44209</v>
      </c>
      <c r="E10" s="70"/>
      <c r="F10" s="68">
        <v>8.5519999999999999E-2</v>
      </c>
      <c r="G10" s="71">
        <v>0.20681000000000083</v>
      </c>
      <c r="H10" t="s">
        <v>129</v>
      </c>
      <c r="I10">
        <v>1.000729534888228E-2</v>
      </c>
      <c r="J10">
        <v>0.15956032469350478</v>
      </c>
      <c r="K10">
        <v>7.1374549083888265E-3</v>
      </c>
      <c r="L10">
        <v>4.1281738316209871E-3</v>
      </c>
      <c r="M10">
        <v>2.6855310285679046</v>
      </c>
      <c r="N10">
        <v>3.6374573804874729E-3</v>
      </c>
      <c r="O10">
        <v>2.3128850367962439</v>
      </c>
      <c r="P10">
        <v>0.15767479088812048</v>
      </c>
      <c r="Q10">
        <v>8.6226215806100119E-3</v>
      </c>
      <c r="R10">
        <v>4.3018310803703275E-2</v>
      </c>
      <c r="S10">
        <v>6.2536691644316553E-5</v>
      </c>
      <c r="T10">
        <v>4.3018310803703538E-2</v>
      </c>
      <c r="U10">
        <v>0.26481068358786042</v>
      </c>
      <c r="V10">
        <v>0.18781642167785673</v>
      </c>
      <c r="W10">
        <v>6.8926818630647743E-2</v>
      </c>
      <c r="X10">
        <v>0.17086598961174113</v>
      </c>
      <c r="Y10">
        <v>1.8246850626927363E-2</v>
      </c>
      <c r="Z10">
        <v>0.14110281521627976</v>
      </c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44209</v>
      </c>
      <c r="E11" s="15"/>
      <c r="F11" s="16">
        <v>1.10995</v>
      </c>
      <c r="G11" s="16">
        <v>10.349080000000001</v>
      </c>
      <c r="H11" t="s">
        <v>130</v>
      </c>
      <c r="I11">
        <v>9.9252647787156107E-3</v>
      </c>
      <c r="J11">
        <v>0.49474649454622338</v>
      </c>
      <c r="K11">
        <v>7.1345534342550261E-3</v>
      </c>
      <c r="L11">
        <v>5.2558765406307264E-3</v>
      </c>
      <c r="M11">
        <v>2.732731880413926</v>
      </c>
      <c r="N11">
        <v>8.6032475388932127E-3</v>
      </c>
      <c r="O11">
        <v>2.08788132870689</v>
      </c>
      <c r="P11">
        <v>0.50997943413452784</v>
      </c>
      <c r="Q11">
        <v>7.5732681032825693E-3</v>
      </c>
      <c r="R11">
        <v>0.11374152838430503</v>
      </c>
      <c r="S11">
        <v>5.4926118198174991E-5</v>
      </c>
      <c r="T11">
        <v>0.11374152838430517</v>
      </c>
      <c r="U11">
        <v>1.3194492440980941</v>
      </c>
      <c r="V11">
        <v>0.31092090983512338</v>
      </c>
      <c r="W11">
        <v>0.19258892733509933</v>
      </c>
      <c r="X11">
        <v>0.39919155853115018</v>
      </c>
      <c r="Y11">
        <v>0.25409684869788646</v>
      </c>
      <c r="Z11">
        <v>0.33116043385581351</v>
      </c>
    </row>
    <row r="12" spans="1:28" s="68" customFormat="1" x14ac:dyDescent="0.2">
      <c r="A12" s="68">
        <v>10921</v>
      </c>
      <c r="B12" s="68" t="s">
        <v>144</v>
      </c>
      <c r="C12" s="68" t="s">
        <v>142</v>
      </c>
      <c r="D12" s="19">
        <v>44209</v>
      </c>
      <c r="E12" s="70"/>
      <c r="F12" s="68">
        <v>7.0910000000000001E-2</v>
      </c>
      <c r="G12" s="71">
        <v>0.20472000000000001</v>
      </c>
      <c r="H12" t="s">
        <v>131</v>
      </c>
      <c r="I12">
        <v>1.0008481151630957E-2</v>
      </c>
      <c r="J12">
        <v>0.21010974040542046</v>
      </c>
      <c r="K12">
        <v>7.1344008474642957E-3</v>
      </c>
      <c r="L12">
        <v>8.2905394432141316E-3</v>
      </c>
      <c r="M12">
        <v>2.1180953482391218</v>
      </c>
      <c r="N12">
        <v>4.040736549529203E-3</v>
      </c>
      <c r="O12">
        <v>1.8266664318489592</v>
      </c>
      <c r="P12">
        <v>0.21469693958687344</v>
      </c>
      <c r="Q12">
        <v>8.6320242447680291E-3</v>
      </c>
      <c r="R12">
        <v>4.42689962286128E-2</v>
      </c>
      <c r="S12">
        <v>6.2604885696854724E-5</v>
      </c>
      <c r="T12">
        <v>4.4268996228613515E-2</v>
      </c>
      <c r="U12">
        <v>0.21343296930424191</v>
      </c>
      <c r="V12">
        <v>0.29137527416233883</v>
      </c>
      <c r="W12">
        <v>1.5539312921390427E-2</v>
      </c>
      <c r="X12">
        <v>0.18601209357574242</v>
      </c>
      <c r="Y12">
        <v>3.3220948767325232E-3</v>
      </c>
      <c r="Z12">
        <v>0.21865562204015798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44209</v>
      </c>
      <c r="E13" s="15"/>
      <c r="F13" s="16">
        <v>1.10995</v>
      </c>
      <c r="G13" s="16">
        <v>10.349080000000001</v>
      </c>
      <c r="H13" t="s">
        <v>132</v>
      </c>
      <c r="I13">
        <v>9.8074714577104614E-3</v>
      </c>
      <c r="J13">
        <v>0.53890296294350415</v>
      </c>
      <c r="K13">
        <v>7.1264027137097783E-3</v>
      </c>
      <c r="L13">
        <v>6.6025988865765347E-3</v>
      </c>
      <c r="M13">
        <v>2.7323197116492457</v>
      </c>
      <c r="N13">
        <v>9.607957538330783E-3</v>
      </c>
      <c r="O13">
        <v>2.1104843991115909</v>
      </c>
      <c r="P13">
        <v>0.58840168437819218</v>
      </c>
      <c r="Q13">
        <v>7.5797537922497309E-3</v>
      </c>
      <c r="R13">
        <v>9.9521556768518593E-2</v>
      </c>
      <c r="S13">
        <v>5.4973156506333206E-5</v>
      </c>
      <c r="T13">
        <v>9.952155676851869E-2</v>
      </c>
      <c r="U13">
        <v>1.3244657776123525</v>
      </c>
      <c r="V13">
        <v>0.25877338433288438</v>
      </c>
      <c r="W13">
        <v>0.19528128147716806</v>
      </c>
      <c r="X13">
        <v>0.3616152056348928</v>
      </c>
      <c r="Y13">
        <v>0.25806587695805949</v>
      </c>
      <c r="Z13">
        <v>0.28125285468967337</v>
      </c>
    </row>
    <row r="14" spans="1:28" s="68" customFormat="1" x14ac:dyDescent="0.2">
      <c r="A14" s="68">
        <v>10922</v>
      </c>
      <c r="B14" s="68" t="s">
        <v>145</v>
      </c>
      <c r="C14" s="68" t="s">
        <v>142</v>
      </c>
      <c r="D14" s="19">
        <v>44209</v>
      </c>
      <c r="E14" s="70"/>
      <c r="F14" s="68">
        <v>4.7710000000000002E-2</v>
      </c>
      <c r="G14" s="71">
        <v>0.20434000000000019</v>
      </c>
      <c r="H14" t="s">
        <v>133</v>
      </c>
      <c r="I14">
        <v>1.0019568901158245E-2</v>
      </c>
      <c r="J14">
        <v>0.22941056713642349</v>
      </c>
      <c r="K14">
        <v>7.1270408547796501E-3</v>
      </c>
      <c r="L14">
        <v>4.2622657754640006E-3</v>
      </c>
      <c r="M14">
        <v>1.5650410058902895</v>
      </c>
      <c r="N14">
        <v>3.7461276285933884E-3</v>
      </c>
      <c r="O14">
        <v>1.3475109510353851</v>
      </c>
      <c r="P14">
        <v>0.22632963880012086</v>
      </c>
      <c r="Q14">
        <v>8.6238896719244371E-3</v>
      </c>
      <c r="R14">
        <v>7.0860803666615887E-2</v>
      </c>
      <c r="S14">
        <v>6.2545888642557209E-5</v>
      </c>
      <c r="T14">
        <v>7.0860803666615915E-2</v>
      </c>
      <c r="U14">
        <v>0.1544730426167579</v>
      </c>
      <c r="V14">
        <v>0.30668386012469867</v>
      </c>
      <c r="W14">
        <v>6.8896605077074694E-2</v>
      </c>
      <c r="X14">
        <v>0.17597518129197609</v>
      </c>
      <c r="Y14">
        <v>1.0644958111247434E-2</v>
      </c>
      <c r="Z14">
        <v>0.26113283810177801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44209</v>
      </c>
      <c r="E15" s="15"/>
      <c r="F15" s="16">
        <v>1.10995</v>
      </c>
      <c r="G15" s="16">
        <v>10.349080000000001</v>
      </c>
      <c r="H15" t="s">
        <v>134</v>
      </c>
      <c r="I15">
        <v>9.8923013760169754E-3</v>
      </c>
      <c r="J15">
        <v>0.5937688002069117</v>
      </c>
      <c r="K15">
        <v>7.1271127397094253E-3</v>
      </c>
      <c r="L15">
        <v>5.0996841445780467E-3</v>
      </c>
      <c r="M15">
        <v>2.7324340201012309</v>
      </c>
      <c r="N15">
        <v>8.8434788774142594E-3</v>
      </c>
      <c r="O15">
        <v>2.0917607549019732</v>
      </c>
      <c r="P15">
        <v>0.61354226838818282</v>
      </c>
      <c r="Q15">
        <v>7.577680429970435E-3</v>
      </c>
      <c r="R15">
        <v>0.10649740365204509</v>
      </c>
      <c r="S15">
        <v>5.4958119175016397E-5</v>
      </c>
      <c r="T15">
        <v>0.10649740365204559</v>
      </c>
      <c r="U15">
        <v>1.3217582391397278</v>
      </c>
      <c r="V15">
        <v>0.24213011568536857</v>
      </c>
      <c r="W15">
        <v>0.19561993919915008</v>
      </c>
      <c r="X15">
        <v>0.36693906735491399</v>
      </c>
      <c r="Y15">
        <v>0.25797900305664723</v>
      </c>
      <c r="Z15">
        <v>0.30969823769836713</v>
      </c>
    </row>
    <row r="16" spans="1:28" s="68" customFormat="1" x14ac:dyDescent="0.2">
      <c r="A16" s="68">
        <v>10923</v>
      </c>
      <c r="B16" s="68" t="s">
        <v>146</v>
      </c>
      <c r="C16" s="68" t="s">
        <v>142</v>
      </c>
      <c r="D16" s="19">
        <v>44209</v>
      </c>
      <c r="E16" s="70"/>
      <c r="F16" s="68">
        <v>8.1839999999999996E-2</v>
      </c>
      <c r="G16" s="71">
        <v>0.20657999999999888</v>
      </c>
      <c r="H16" t="s">
        <v>135</v>
      </c>
      <c r="I16">
        <v>1.002357399614248E-2</v>
      </c>
      <c r="J16">
        <v>0.21523449139392736</v>
      </c>
      <c r="K16">
        <v>7.1307848266255729E-3</v>
      </c>
      <c r="L16">
        <v>6.3426107117637888E-3</v>
      </c>
      <c r="M16">
        <v>2.2418026809869609</v>
      </c>
      <c r="N16">
        <v>4.3874638194234521E-3</v>
      </c>
      <c r="O16">
        <v>1.9366625336441563</v>
      </c>
      <c r="P16">
        <v>0.22433846660837334</v>
      </c>
      <c r="Q16">
        <v>8.6599250909950749E-3</v>
      </c>
      <c r="R16">
        <v>5.5256440624752379E-2</v>
      </c>
      <c r="S16">
        <v>6.280724023610996E-5</v>
      </c>
      <c r="T16">
        <v>5.5256440624752157E-2</v>
      </c>
      <c r="U16">
        <v>0.21343605456186771</v>
      </c>
      <c r="V16">
        <v>0.226872419790627</v>
      </c>
      <c r="W16">
        <v>6.8225926705856615E-2</v>
      </c>
      <c r="X16">
        <v>0.18278626875071305</v>
      </c>
      <c r="Y16">
        <v>1.4558538435289309E-2</v>
      </c>
      <c r="Z16">
        <v>0.20119522049437791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44209</v>
      </c>
      <c r="E17" s="15"/>
      <c r="F17" s="16">
        <v>1.10995</v>
      </c>
      <c r="G17" s="16">
        <v>10.349080000000001</v>
      </c>
      <c r="H17" t="s">
        <v>136</v>
      </c>
      <c r="I17">
        <v>9.9558189189730261E-3</v>
      </c>
      <c r="J17">
        <v>0.46231804993877984</v>
      </c>
      <c r="K17">
        <v>7.1283475088166235E-3</v>
      </c>
      <c r="L17">
        <v>6.4847297275285832E-3</v>
      </c>
      <c r="M17">
        <v>2.732103128386365</v>
      </c>
      <c r="N17">
        <v>7.7864728458257124E-3</v>
      </c>
      <c r="O17">
        <v>2.0838650577701787</v>
      </c>
      <c r="P17">
        <v>0.45490783187754591</v>
      </c>
      <c r="Q17">
        <v>7.5836621044857696E-3</v>
      </c>
      <c r="R17">
        <v>9.8556303114082089E-2</v>
      </c>
      <c r="S17">
        <v>5.5001502052391343E-5</v>
      </c>
      <c r="T17">
        <v>9.855630311408177E-2</v>
      </c>
      <c r="U17">
        <v>1.3212937498834374</v>
      </c>
      <c r="V17">
        <v>0.2428738220987201</v>
      </c>
      <c r="W17">
        <v>0.19581562180582646</v>
      </c>
      <c r="X17">
        <v>0.33682980638187004</v>
      </c>
      <c r="Y17">
        <v>0.2582910862890414</v>
      </c>
      <c r="Z17">
        <v>0.25025290762375763</v>
      </c>
    </row>
    <row r="18" spans="1:26" s="68" customFormat="1" x14ac:dyDescent="0.2">
      <c r="A18" s="68">
        <v>10924</v>
      </c>
      <c r="B18" s="68" t="s">
        <v>147</v>
      </c>
      <c r="C18" s="68" t="s">
        <v>142</v>
      </c>
      <c r="D18" s="19">
        <v>44209</v>
      </c>
      <c r="E18" s="70"/>
      <c r="F18" s="68">
        <v>7.7429999999999999E-2</v>
      </c>
      <c r="G18" s="71">
        <v>0.20365</v>
      </c>
      <c r="H18" t="s">
        <v>137</v>
      </c>
      <c r="I18">
        <v>1.0014420421751368E-2</v>
      </c>
      <c r="J18">
        <v>0.17197605579561046</v>
      </c>
      <c r="K18">
        <v>7.1302432327520846E-3</v>
      </c>
      <c r="L18">
        <v>3.3111705834488535E-3</v>
      </c>
      <c r="M18">
        <v>3.0355367680055751</v>
      </c>
      <c r="N18">
        <v>4.073007689614703E-3</v>
      </c>
      <c r="O18">
        <v>2.6077627140844477</v>
      </c>
      <c r="P18">
        <v>0.1790231795221485</v>
      </c>
      <c r="Q18">
        <v>8.6004681283683958E-3</v>
      </c>
      <c r="R18">
        <v>5.1432686938833461E-2</v>
      </c>
      <c r="S18">
        <v>6.2376020832227762E-5</v>
      </c>
      <c r="T18">
        <v>5.1432686938833301E-2</v>
      </c>
      <c r="U18">
        <v>0.30111233032712131</v>
      </c>
      <c r="V18">
        <v>0.18356629990892109</v>
      </c>
      <c r="W18">
        <v>7.0810631690755008E-2</v>
      </c>
      <c r="X18">
        <v>0.12838227631025786</v>
      </c>
      <c r="Y18">
        <v>2.1305033553789154E-2</v>
      </c>
      <c r="Z18">
        <v>0.1252479613109283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44209</v>
      </c>
      <c r="E19" s="15"/>
      <c r="F19" s="16">
        <v>1.10995</v>
      </c>
      <c r="G19" s="16">
        <v>10.349080000000001</v>
      </c>
      <c r="H19" t="s">
        <v>138</v>
      </c>
      <c r="I19">
        <v>9.9789209510043227E-3</v>
      </c>
      <c r="J19">
        <v>0.59902893193401852</v>
      </c>
      <c r="K19">
        <v>7.125145106045375E-3</v>
      </c>
      <c r="L19">
        <v>5.6697244075034339E-3</v>
      </c>
      <c r="M19">
        <v>2.7323632623192693</v>
      </c>
      <c r="N19">
        <v>9.1703231008850444E-3</v>
      </c>
      <c r="O19">
        <v>2.0770935484111952</v>
      </c>
      <c r="P19">
        <v>0.61278231658783056</v>
      </c>
      <c r="Q19">
        <v>7.580540202669064E-3</v>
      </c>
      <c r="R19">
        <v>0.1231544878973906</v>
      </c>
      <c r="S19">
        <v>5.4978860050834147E-5</v>
      </c>
      <c r="T19">
        <v>0.12315448789738993</v>
      </c>
      <c r="U19">
        <v>1.3217158021893196</v>
      </c>
      <c r="V19">
        <v>0.27722099845990933</v>
      </c>
      <c r="W19">
        <v>0.19496262715107696</v>
      </c>
      <c r="X19">
        <v>0.43202251654149454</v>
      </c>
      <c r="Y19">
        <v>0.25800579560904835</v>
      </c>
      <c r="Z19">
        <v>0.30553413094307141</v>
      </c>
    </row>
    <row r="20" spans="1:26" s="68" customFormat="1" x14ac:dyDescent="0.2">
      <c r="A20" s="68">
        <v>10925</v>
      </c>
      <c r="B20" s="68" t="s">
        <v>148</v>
      </c>
      <c r="C20" s="68" t="s">
        <v>142</v>
      </c>
      <c r="D20" s="19">
        <v>44209</v>
      </c>
      <c r="E20" s="70"/>
      <c r="F20" s="68">
        <v>7.7439999999999995E-2</v>
      </c>
      <c r="G20" s="71">
        <v>0.20866000000000001</v>
      </c>
      <c r="H20" t="s">
        <v>139</v>
      </c>
      <c r="I20">
        <v>1.0019432036276241E-2</v>
      </c>
      <c r="J20">
        <v>0.14489909363300182</v>
      </c>
      <c r="K20">
        <v>7.1278401773334256E-3</v>
      </c>
      <c r="L20">
        <v>3.7868005803095022E-3</v>
      </c>
      <c r="M20">
        <v>2.9556821919374179</v>
      </c>
      <c r="N20">
        <v>3.9760578214838634E-3</v>
      </c>
      <c r="O20">
        <v>2.5371224446807723</v>
      </c>
      <c r="P20">
        <v>0.14156340045617211</v>
      </c>
      <c r="Q20">
        <v>8.5986549426588267E-3</v>
      </c>
      <c r="R20">
        <v>4.2138570631508596E-2</v>
      </c>
      <c r="S20">
        <v>6.2362870465537849E-5</v>
      </c>
      <c r="T20">
        <v>4.2138570631507652E-2</v>
      </c>
      <c r="U20">
        <v>0.29431009896526272</v>
      </c>
      <c r="V20">
        <v>0.24110127166046968</v>
      </c>
      <c r="W20">
        <v>0.17009150383473395</v>
      </c>
      <c r="X20">
        <v>0.2181232287954091</v>
      </c>
      <c r="Y20">
        <v>5.0046395436581681E-2</v>
      </c>
      <c r="Z20">
        <v>0.15282632955715181</v>
      </c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44209</v>
      </c>
      <c r="E21" s="15"/>
      <c r="F21" s="16">
        <v>1.10995</v>
      </c>
      <c r="G21" s="16">
        <v>10.349080000000001</v>
      </c>
      <c r="H21" t="s">
        <v>140</v>
      </c>
      <c r="I21">
        <v>9.9818303994220984E-3</v>
      </c>
      <c r="J21">
        <v>0.60802595531542247</v>
      </c>
      <c r="K21">
        <v>7.1255880207402224E-3</v>
      </c>
      <c r="L21">
        <v>5.101737911060172E-3</v>
      </c>
      <c r="M21">
        <v>2.7324641492659123</v>
      </c>
      <c r="N21">
        <v>1.1310584624337514E-2</v>
      </c>
      <c r="O21">
        <v>2.0756755360714734</v>
      </c>
      <c r="P21">
        <v>0.5998090234174358</v>
      </c>
      <c r="Q21">
        <v>7.5799233131772087E-3</v>
      </c>
      <c r="R21">
        <v>0.13649798493761556</v>
      </c>
      <c r="S21">
        <v>5.4974385979048676E-5</v>
      </c>
      <c r="T21">
        <v>0.13649798493761406</v>
      </c>
      <c r="U21">
        <v>1.3250893606460459</v>
      </c>
      <c r="V21">
        <v>0.24122108129125988</v>
      </c>
      <c r="W21">
        <v>0.19509424144412094</v>
      </c>
      <c r="X21">
        <v>0.2860822118061731</v>
      </c>
      <c r="Y21">
        <v>0.25866809784652117</v>
      </c>
      <c r="Z21">
        <v>0.23782169168693237</v>
      </c>
    </row>
    <row r="22" spans="1:26" s="68" customFormat="1" x14ac:dyDescent="0.2">
      <c r="D22" s="69"/>
      <c r="E22" s="70"/>
      <c r="G22" s="71"/>
      <c r="H22" s="192"/>
      <c r="I22" s="192"/>
      <c r="J22" s="192"/>
      <c r="K22" s="192"/>
      <c r="L22" s="192"/>
      <c r="M22" s="192"/>
      <c r="N22" s="192"/>
      <c r="O22" s="192"/>
      <c r="P22" s="192"/>
      <c r="Q22" s="192"/>
      <c r="R22" s="192"/>
      <c r="S22" s="192"/>
      <c r="T22" s="192"/>
      <c r="U22" s="192"/>
      <c r="V22" s="192"/>
      <c r="W22" s="192"/>
      <c r="X22" s="192"/>
      <c r="Y22" s="192"/>
      <c r="Z22" s="192"/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44210</v>
      </c>
      <c r="E23" s="15"/>
      <c r="F23" s="16">
        <v>1.10995</v>
      </c>
      <c r="G23" s="16">
        <v>10.349080000000001</v>
      </c>
      <c r="H23" t="s">
        <v>126</v>
      </c>
      <c r="I23">
        <v>9.9292352242310346E-3</v>
      </c>
      <c r="J23">
        <v>0.6303483000312361</v>
      </c>
      <c r="K23">
        <v>7.1522258117899164E-3</v>
      </c>
      <c r="L23">
        <v>6.640626150422233E-3</v>
      </c>
      <c r="M23">
        <v>2.7323966602695462</v>
      </c>
      <c r="N23">
        <v>8.4000709164941643E-3</v>
      </c>
      <c r="O23">
        <v>2.0804261788037244</v>
      </c>
      <c r="P23">
        <v>0.58742189984778925</v>
      </c>
      <c r="Q23">
        <v>7.5745490751049898E-3</v>
      </c>
      <c r="R23">
        <v>0.13078352399173848</v>
      </c>
      <c r="S23">
        <v>5.4935408613985911E-5</v>
      </c>
      <c r="T23">
        <v>0.13078352399173862</v>
      </c>
      <c r="U23">
        <v>1.3164577954653698</v>
      </c>
      <c r="V23">
        <v>0.33753482486673797</v>
      </c>
      <c r="W23">
        <v>0.18546428295062406</v>
      </c>
      <c r="X23">
        <v>0.42186996962388984</v>
      </c>
      <c r="Y23">
        <v>0.24405542438193889</v>
      </c>
      <c r="Z23">
        <v>0.33629702942355505</v>
      </c>
    </row>
    <row r="24" spans="1:26" x14ac:dyDescent="0.2">
      <c r="A24" s="68">
        <v>10926</v>
      </c>
      <c r="B24" s="68" t="s">
        <v>149</v>
      </c>
      <c r="C24" s="68" t="s">
        <v>142</v>
      </c>
      <c r="D24" s="69">
        <v>44210</v>
      </c>
      <c r="E24" s="70"/>
      <c r="F24" s="68">
        <v>6.3270000000000007E-2</v>
      </c>
      <c r="G24" s="71">
        <v>0.20458000000000001</v>
      </c>
      <c r="H24" t="s">
        <v>152</v>
      </c>
      <c r="I24">
        <v>1.0051163413116954E-2</v>
      </c>
      <c r="J24">
        <v>0.1639696790218278</v>
      </c>
      <c r="K24">
        <v>7.1472394036698767E-3</v>
      </c>
      <c r="L24">
        <v>3.9709574178241796E-3</v>
      </c>
      <c r="M24">
        <v>1.6426221727541703</v>
      </c>
      <c r="N24">
        <v>3.8131321518835512E-3</v>
      </c>
      <c r="O24">
        <v>1.4049183960827398</v>
      </c>
      <c r="P24">
        <v>0.20080304192864057</v>
      </c>
      <c r="Q24">
        <v>8.5932731758003641E-3</v>
      </c>
      <c r="R24">
        <v>7.7767250010299632E-2</v>
      </c>
      <c r="S24">
        <v>6.2323838496967381E-5</v>
      </c>
      <c r="T24">
        <v>7.7767250010299757E-2</v>
      </c>
      <c r="U24">
        <v>0.15834698228515073</v>
      </c>
      <c r="V24">
        <v>0.25559665096006473</v>
      </c>
      <c r="W24">
        <v>0.3232189716917665</v>
      </c>
      <c r="X24">
        <v>0.28367427136394896</v>
      </c>
      <c r="Y24">
        <v>5.1293265795868383E-2</v>
      </c>
      <c r="Z24">
        <v>0.24394500277503112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44210</v>
      </c>
      <c r="E25" s="15"/>
      <c r="F25" s="16">
        <v>1.10995</v>
      </c>
      <c r="G25" s="16">
        <v>10.349080000000001</v>
      </c>
      <c r="H25" t="s">
        <v>128</v>
      </c>
      <c r="I25">
        <v>9.9779658264449959E-3</v>
      </c>
      <c r="J25">
        <v>0.64164301769595167</v>
      </c>
      <c r="K25">
        <v>7.1489098775691737E-3</v>
      </c>
      <c r="L25">
        <v>8.2116643764269526E-3</v>
      </c>
      <c r="M25">
        <v>2.7321721294643853</v>
      </c>
      <c r="N25">
        <v>1.0737973093315414E-2</v>
      </c>
      <c r="O25">
        <v>2.0753364245300885</v>
      </c>
      <c r="P25">
        <v>0.605936327519218</v>
      </c>
      <c r="Q25">
        <v>7.5720364150994859E-3</v>
      </c>
      <c r="R25">
        <v>0.13607291521961457</v>
      </c>
      <c r="S25">
        <v>5.4917185218409243E-5</v>
      </c>
      <c r="T25">
        <v>0.13607291521961523</v>
      </c>
      <c r="U25">
        <v>1.3120076191774659</v>
      </c>
      <c r="V25">
        <v>0.3851809453210569</v>
      </c>
      <c r="W25">
        <v>0.18854832472982774</v>
      </c>
      <c r="X25">
        <v>0.48564241448503531</v>
      </c>
      <c r="Y25">
        <v>0.24772854307752071</v>
      </c>
      <c r="Z25">
        <v>0.26751730946623475</v>
      </c>
    </row>
    <row r="26" spans="1:26" x14ac:dyDescent="0.2">
      <c r="A26" s="17">
        <v>10927</v>
      </c>
      <c r="B26" s="17" t="s">
        <v>150</v>
      </c>
      <c r="C26" s="17" t="s">
        <v>142</v>
      </c>
      <c r="D26" s="69">
        <v>44210</v>
      </c>
      <c r="F26" s="17">
        <v>8.5459999999999994E-2</v>
      </c>
      <c r="G26" s="74">
        <v>0.20343</v>
      </c>
      <c r="H26" t="s">
        <v>153</v>
      </c>
      <c r="I26">
        <v>1.0004653657183279E-2</v>
      </c>
      <c r="J26">
        <v>0.14002930884889178</v>
      </c>
      <c r="K26">
        <v>7.142789303482458E-3</v>
      </c>
      <c r="L26">
        <v>3.6606011371490828E-3</v>
      </c>
      <c r="M26">
        <v>2.6207086993112645</v>
      </c>
      <c r="N26">
        <v>3.9844237939066348E-3</v>
      </c>
      <c r="O26">
        <v>2.2520651675645955</v>
      </c>
      <c r="P26">
        <v>0.15684640579742734</v>
      </c>
      <c r="Q26">
        <v>8.5974830570952863E-3</v>
      </c>
      <c r="R26">
        <v>4.0226794299961829E-2</v>
      </c>
      <c r="S26">
        <v>6.2354371212098013E-5</v>
      </c>
      <c r="T26">
        <v>4.0226794299961101E-2</v>
      </c>
      <c r="U26">
        <v>0.26084216085159417</v>
      </c>
      <c r="V26">
        <v>0.25582298200739156</v>
      </c>
      <c r="W26">
        <v>2.2506240324182618E-3</v>
      </c>
      <c r="X26">
        <v>0.1917848715523861</v>
      </c>
      <c r="Y26">
        <v>5.8726450158708653E-4</v>
      </c>
      <c r="Z26">
        <v>0.17588220119085771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44210</v>
      </c>
      <c r="E27" s="15"/>
      <c r="F27" s="16">
        <v>1.10995</v>
      </c>
      <c r="G27" s="16">
        <v>10.349080000000001</v>
      </c>
      <c r="H27" t="s">
        <v>130</v>
      </c>
      <c r="I27">
        <v>9.9293296470753904E-3</v>
      </c>
      <c r="J27">
        <v>0.66775809423566157</v>
      </c>
      <c r="K27">
        <v>7.1400045252179396E-3</v>
      </c>
      <c r="L27">
        <v>8.4766726947770148E-3</v>
      </c>
      <c r="M27">
        <v>2.732106385920583</v>
      </c>
      <c r="N27">
        <v>7.9390349739964488E-3</v>
      </c>
      <c r="O27">
        <v>2.0813908686320874</v>
      </c>
      <c r="P27">
        <v>0.67892919173515609</v>
      </c>
      <c r="Q27">
        <v>7.5732860697176451E-3</v>
      </c>
      <c r="R27">
        <v>0.12499222358977359</v>
      </c>
      <c r="S27">
        <v>5.4926248502097042E-5</v>
      </c>
      <c r="T27">
        <v>0.12499222358977279</v>
      </c>
      <c r="U27">
        <v>1.3192624783807525</v>
      </c>
      <c r="V27">
        <v>0.29629283444212856</v>
      </c>
      <c r="W27">
        <v>0.19136378295102338</v>
      </c>
      <c r="X27">
        <v>0.42822527875062322</v>
      </c>
      <c r="Y27">
        <v>0.2522002678255657</v>
      </c>
      <c r="Z27">
        <v>0.28995286229454187</v>
      </c>
    </row>
    <row r="28" spans="1:26" x14ac:dyDescent="0.2">
      <c r="A28" s="17">
        <v>10928</v>
      </c>
      <c r="B28" s="17" t="s">
        <v>151</v>
      </c>
      <c r="C28" s="17" t="s">
        <v>142</v>
      </c>
      <c r="D28" s="69">
        <v>44210</v>
      </c>
      <c r="F28" s="17">
        <v>7.9039999999999999E-2</v>
      </c>
      <c r="G28" s="74">
        <v>0.20508000000000001</v>
      </c>
      <c r="H28" t="s">
        <v>154</v>
      </c>
      <c r="I28">
        <v>9.9926878896284977E-3</v>
      </c>
      <c r="J28">
        <v>0.1648891486925044</v>
      </c>
      <c r="K28">
        <v>7.1430915570957028E-3</v>
      </c>
      <c r="L28">
        <v>3.6557034905312352E-3</v>
      </c>
      <c r="M28">
        <v>2.7111262296978786</v>
      </c>
      <c r="N28">
        <v>4.1093163369936439E-3</v>
      </c>
      <c r="O28">
        <v>2.3324341740117749</v>
      </c>
      <c r="P28">
        <v>0.16941759760875369</v>
      </c>
      <c r="Q28">
        <v>8.5959544847362748E-3</v>
      </c>
      <c r="R28">
        <v>5.0522744372922555E-2</v>
      </c>
      <c r="S28">
        <v>6.2343285040986632E-5</v>
      </c>
      <c r="T28">
        <v>5.0522744372922104E-2</v>
      </c>
      <c r="U28">
        <v>0.26235567142256183</v>
      </c>
      <c r="V28">
        <v>0.27609129846878683</v>
      </c>
      <c r="W28">
        <v>2.1893049506437817E-2</v>
      </c>
      <c r="X28">
        <v>0.21033602710332622</v>
      </c>
      <c r="Y28">
        <v>5.7454105600868314E-3</v>
      </c>
      <c r="Z28">
        <v>0.16601931525118571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44210</v>
      </c>
      <c r="E29" s="15"/>
      <c r="F29" s="16">
        <v>1.10995</v>
      </c>
      <c r="G29" s="16">
        <v>10.349080000000001</v>
      </c>
      <c r="H29" t="s">
        <v>132</v>
      </c>
      <c r="I29">
        <v>9.9375101564991696E-3</v>
      </c>
      <c r="J29">
        <v>0.48200814148646554</v>
      </c>
      <c r="K29">
        <v>7.1399846919592471E-3</v>
      </c>
      <c r="L29">
        <v>4.883737248254888E-3</v>
      </c>
      <c r="M29">
        <v>2.7324173200286799</v>
      </c>
      <c r="N29">
        <v>9.8761833734146206E-3</v>
      </c>
      <c r="O29">
        <v>2.0847867505581501</v>
      </c>
      <c r="P29">
        <v>0.54848903320678544</v>
      </c>
      <c r="Q29">
        <v>7.5810668531711718E-3</v>
      </c>
      <c r="R29">
        <v>0.15389173350000704</v>
      </c>
      <c r="S29">
        <v>5.4982679652534938E-5</v>
      </c>
      <c r="T29">
        <v>0.15389173350000632</v>
      </c>
      <c r="U29">
        <v>1.3180717884870561</v>
      </c>
      <c r="V29">
        <v>0.27581445065042781</v>
      </c>
      <c r="W29">
        <v>0.19113793176803631</v>
      </c>
      <c r="X29">
        <v>0.36909244543929748</v>
      </c>
      <c r="Y29">
        <v>0.25244167099537601</v>
      </c>
      <c r="Z29">
        <v>0.25440050049206797</v>
      </c>
    </row>
    <row r="30" spans="1:26" x14ac:dyDescent="0.2">
      <c r="A30" s="17">
        <v>10917</v>
      </c>
      <c r="B30" s="17" t="s">
        <v>157</v>
      </c>
      <c r="C30" s="17" t="s">
        <v>142</v>
      </c>
      <c r="D30" s="69">
        <v>44210</v>
      </c>
      <c r="E30" s="73">
        <v>164.5</v>
      </c>
      <c r="F30" s="17">
        <v>7.349E-2</v>
      </c>
      <c r="G30" s="74">
        <v>0.20892000000000088</v>
      </c>
      <c r="H30" t="s">
        <v>155</v>
      </c>
      <c r="I30">
        <v>1.0026087613928236E-2</v>
      </c>
      <c r="J30">
        <v>0.18213612662555662</v>
      </c>
      <c r="K30">
        <v>7.1431085512177533E-3</v>
      </c>
      <c r="L30">
        <v>4.3309201863662933E-3</v>
      </c>
      <c r="M30">
        <v>2.3691465617332752</v>
      </c>
      <c r="N30">
        <v>4.5368729333325466E-3</v>
      </c>
      <c r="O30">
        <v>2.0495720536377369</v>
      </c>
      <c r="P30">
        <v>0.1763810259579742</v>
      </c>
      <c r="Q30">
        <v>8.675685240910674E-3</v>
      </c>
      <c r="R30">
        <v>4.9397696084198681E-2</v>
      </c>
      <c r="S30">
        <v>6.2921542786248093E-5</v>
      </c>
      <c r="T30">
        <v>4.9397696084198486E-2</v>
      </c>
      <c r="U30">
        <v>7.5332725592603983E-2</v>
      </c>
      <c r="V30">
        <v>0.38987653655741217</v>
      </c>
      <c r="W30">
        <v>0.22997248906170406</v>
      </c>
      <c r="X30">
        <v>0.21826425801380805</v>
      </c>
      <c r="Y30">
        <v>1.7306337667641364E-2</v>
      </c>
      <c r="Z30">
        <v>0.35411905321855425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44210</v>
      </c>
      <c r="E31" s="15"/>
      <c r="F31" s="16">
        <v>1.10995</v>
      </c>
      <c r="G31" s="16">
        <v>10.349080000000001</v>
      </c>
      <c r="H31" t="s">
        <v>134</v>
      </c>
      <c r="I31">
        <v>9.975298418165305E-3</v>
      </c>
      <c r="J31">
        <v>0.5123399770765199</v>
      </c>
      <c r="K31">
        <v>7.1413939448779764E-3</v>
      </c>
      <c r="L31">
        <v>5.4791999215402717E-3</v>
      </c>
      <c r="M31">
        <v>2.7319140450427679</v>
      </c>
      <c r="N31">
        <v>7.2849099888495847E-3</v>
      </c>
      <c r="O31">
        <v>2.0819298347087547</v>
      </c>
      <c r="P31">
        <v>0.5018237056320225</v>
      </c>
      <c r="Q31">
        <v>7.5894307498427316E-3</v>
      </c>
      <c r="R31">
        <v>0.13556898950453253</v>
      </c>
      <c r="S31">
        <v>5.5043339907911389E-5</v>
      </c>
      <c r="T31">
        <v>0.13556898950453242</v>
      </c>
      <c r="U31">
        <v>1.3213767335890658</v>
      </c>
      <c r="V31">
        <v>0.28147034658678016</v>
      </c>
      <c r="W31">
        <v>0.1890720872612591</v>
      </c>
      <c r="X31">
        <v>0.38213972267671581</v>
      </c>
      <c r="Y31">
        <v>0.24955308315498065</v>
      </c>
      <c r="Z31">
        <v>0.26318596478831086</v>
      </c>
    </row>
    <row r="32" spans="1:26" x14ac:dyDescent="0.2">
      <c r="A32" s="17">
        <v>10918</v>
      </c>
      <c r="B32" s="17" t="s">
        <v>158</v>
      </c>
      <c r="C32" s="17" t="s">
        <v>142</v>
      </c>
      <c r="D32" s="69">
        <v>44210</v>
      </c>
      <c r="E32" s="73">
        <v>185</v>
      </c>
      <c r="F32" s="17">
        <v>5.7669999999999999E-2</v>
      </c>
      <c r="G32" s="74">
        <v>0.20659000000000027</v>
      </c>
      <c r="H32" t="s">
        <v>156</v>
      </c>
      <c r="I32">
        <v>1.0026513576150009E-2</v>
      </c>
      <c r="J32">
        <v>0.15647519330195309</v>
      </c>
      <c r="K32">
        <v>7.1431323843443237E-3</v>
      </c>
      <c r="L32">
        <v>4.6194853437124365E-3</v>
      </c>
      <c r="M32">
        <v>1.9746864028837978</v>
      </c>
      <c r="N32">
        <v>4.4118858575264387E-3</v>
      </c>
      <c r="O32">
        <v>1.7076228225622478</v>
      </c>
      <c r="P32">
        <v>0.17388000487999292</v>
      </c>
      <c r="Q32">
        <v>8.6735454746572366E-3</v>
      </c>
      <c r="R32">
        <v>6.548766181307876E-2</v>
      </c>
      <c r="S32">
        <v>6.2906023851417068E-5</v>
      </c>
      <c r="T32">
        <v>6.5487661813078579E-2</v>
      </c>
      <c r="U32">
        <v>6.4398586769999377E-2</v>
      </c>
      <c r="V32">
        <v>0.4095537794440659</v>
      </c>
      <c r="W32">
        <v>6.5237842857371192E-2</v>
      </c>
      <c r="X32">
        <v>0.21415882481403839</v>
      </c>
      <c r="Y32">
        <v>4.2021776819763206E-3</v>
      </c>
      <c r="Z32">
        <v>0.33553190094884111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44210</v>
      </c>
      <c r="E33" s="15"/>
      <c r="F33" s="16">
        <v>1.10995</v>
      </c>
      <c r="G33" s="16">
        <v>10.349080000000001</v>
      </c>
      <c r="H33" t="s">
        <v>136</v>
      </c>
      <c r="I33">
        <v>9.8332688073184647E-3</v>
      </c>
      <c r="J33">
        <v>0.7249930753700129</v>
      </c>
      <c r="K33">
        <v>7.1344270357680921E-3</v>
      </c>
      <c r="L33">
        <v>5.6904226156344285E-3</v>
      </c>
      <c r="M33">
        <v>2.7320738048912308</v>
      </c>
      <c r="N33">
        <v>1.0074481527070986E-2</v>
      </c>
      <c r="O33">
        <v>2.1044089136988591</v>
      </c>
      <c r="P33">
        <v>0.79381539681100732</v>
      </c>
      <c r="Q33">
        <v>7.5830233366392984E-3</v>
      </c>
      <c r="R33">
        <v>9.5712656831242568E-2</v>
      </c>
      <c r="S33">
        <v>5.499686930497528E-5</v>
      </c>
      <c r="T33">
        <v>9.5712656831242804E-2</v>
      </c>
      <c r="U33">
        <v>1.3222985258436135</v>
      </c>
      <c r="V33">
        <v>0.17026586832006743</v>
      </c>
      <c r="W33">
        <v>0.19089205688001143</v>
      </c>
      <c r="X33">
        <v>0.36605666274696402</v>
      </c>
      <c r="Y33">
        <v>0.25242602679923892</v>
      </c>
      <c r="Z33">
        <v>0.34203833530438166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44211</v>
      </c>
      <c r="E35" s="15"/>
      <c r="F35" s="16">
        <v>1.10995</v>
      </c>
      <c r="G35" s="16">
        <v>10.349080000000001</v>
      </c>
      <c r="H35" t="s">
        <v>163</v>
      </c>
      <c r="I35">
        <v>9.9651313388868894E-3</v>
      </c>
      <c r="J35">
        <v>0.57607802170939282</v>
      </c>
      <c r="K35">
        <v>7.1415547944141799E-3</v>
      </c>
      <c r="L35">
        <v>7.0829504476351852E-3</v>
      </c>
      <c r="M35">
        <v>2.7322302981887687</v>
      </c>
      <c r="N35">
        <v>9.254471438085228E-3</v>
      </c>
      <c r="O35">
        <v>2.0782249533183141</v>
      </c>
      <c r="P35">
        <v>0.59189577163534135</v>
      </c>
      <c r="Q35">
        <v>7.5834972987251998E-3</v>
      </c>
      <c r="R35">
        <v>0.11934113570408336</v>
      </c>
      <c r="S35">
        <v>5.5000306777041062E-5</v>
      </c>
      <c r="T35">
        <v>0.11934113570408413</v>
      </c>
      <c r="U35">
        <v>1.3193451281854718</v>
      </c>
      <c r="V35">
        <v>0.43045682369370253</v>
      </c>
      <c r="W35">
        <v>0.18470533036702222</v>
      </c>
      <c r="X35">
        <v>0.47961239945520678</v>
      </c>
      <c r="Y35">
        <v>0.24347999308277393</v>
      </c>
      <c r="Z35">
        <v>0.36276459287557505</v>
      </c>
    </row>
    <row r="36" spans="1:26" x14ac:dyDescent="0.2">
      <c r="A36" s="17">
        <v>10913</v>
      </c>
      <c r="B36" s="17" t="s">
        <v>159</v>
      </c>
      <c r="C36" s="17" t="s">
        <v>142</v>
      </c>
      <c r="D36" s="72">
        <v>44211</v>
      </c>
      <c r="E36" s="73">
        <v>19</v>
      </c>
      <c r="F36" s="17">
        <v>7.6910000000000006E-2</v>
      </c>
      <c r="G36" s="74">
        <v>0.20640000000000036</v>
      </c>
      <c r="H36" t="s">
        <v>164</v>
      </c>
      <c r="I36">
        <v>1.0055788221139211E-2</v>
      </c>
      <c r="J36">
        <v>0.16519547876659763</v>
      </c>
      <c r="K36">
        <v>7.1385282790529187E-3</v>
      </c>
      <c r="L36">
        <v>5.8133517688323047E-3</v>
      </c>
      <c r="M36">
        <v>2.0449561814104098</v>
      </c>
      <c r="N36">
        <v>4.6299359464735731E-3</v>
      </c>
      <c r="O36">
        <v>1.7640054536799306</v>
      </c>
      <c r="P36">
        <v>0.17313208812722186</v>
      </c>
      <c r="Q36">
        <v>8.6763540120592814E-3</v>
      </c>
      <c r="R36">
        <v>5.799088621016938E-2</v>
      </c>
      <c r="S36">
        <v>6.2926393136540046E-5</v>
      </c>
      <c r="T36">
        <v>5.7990886210168929E-2</v>
      </c>
      <c r="U36">
        <v>5.2542484652543839E-2</v>
      </c>
      <c r="V36">
        <v>0.35359152347288147</v>
      </c>
      <c r="W36">
        <v>0.13292329057782462</v>
      </c>
      <c r="X36">
        <v>0.19186704392141421</v>
      </c>
      <c r="Y36">
        <v>6.9866219152406803E-3</v>
      </c>
      <c r="Z36">
        <v>0.30949052008307976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44211</v>
      </c>
      <c r="E37" s="15"/>
      <c r="F37" s="16">
        <v>1.10995</v>
      </c>
      <c r="G37" s="16">
        <v>10.349080000000001</v>
      </c>
      <c r="H37" t="s">
        <v>165</v>
      </c>
      <c r="I37">
        <v>1.0019021864425475E-2</v>
      </c>
      <c r="J37">
        <v>0.53541488576948026</v>
      </c>
      <c r="K37">
        <v>7.1342590684235997E-3</v>
      </c>
      <c r="L37">
        <v>6.0671863546311903E-3</v>
      </c>
      <c r="M37">
        <v>2.7318546235066457</v>
      </c>
      <c r="N37">
        <v>7.9609929543596157E-3</v>
      </c>
      <c r="O37">
        <v>2.0666096721628802</v>
      </c>
      <c r="P37">
        <v>0.51994042206000146</v>
      </c>
      <c r="Q37">
        <v>7.5758576424314432E-3</v>
      </c>
      <c r="R37">
        <v>0.12681155790331897</v>
      </c>
      <c r="S37">
        <v>5.4944899169801815E-5</v>
      </c>
      <c r="T37">
        <v>0.12681155790331902</v>
      </c>
      <c r="U37">
        <v>1.3180168121287335</v>
      </c>
      <c r="V37">
        <v>0.26865293662650647</v>
      </c>
      <c r="W37">
        <v>0.18823811520548242</v>
      </c>
      <c r="X37">
        <v>0.38082023838158507</v>
      </c>
      <c r="Y37">
        <v>0.24798033365009664</v>
      </c>
      <c r="Z37">
        <v>0.34377091969418355</v>
      </c>
    </row>
    <row r="38" spans="1:26" x14ac:dyDescent="0.2">
      <c r="A38" s="17">
        <v>10914</v>
      </c>
      <c r="B38" s="17" t="s">
        <v>160</v>
      </c>
      <c r="C38" s="17" t="s">
        <v>142</v>
      </c>
      <c r="D38" s="72">
        <v>44211</v>
      </c>
      <c r="E38" s="73">
        <v>62.5</v>
      </c>
      <c r="F38" s="17">
        <v>8.3150000000000002E-2</v>
      </c>
      <c r="G38" s="74">
        <v>0.20571999999999946</v>
      </c>
      <c r="H38" t="s">
        <v>166</v>
      </c>
      <c r="I38">
        <v>1.0042999425556982E-2</v>
      </c>
      <c r="J38">
        <v>0.3359091509572833</v>
      </c>
      <c r="K38">
        <v>7.1379152296661185E-3</v>
      </c>
      <c r="L38">
        <v>5.6194790084115502E-3</v>
      </c>
      <c r="M38">
        <v>2.7303910997318228</v>
      </c>
      <c r="N38">
        <v>5.7089335046538554E-3</v>
      </c>
      <c r="O38">
        <v>2.358562707903884</v>
      </c>
      <c r="P38">
        <v>0.33922155075220273</v>
      </c>
      <c r="Q38">
        <v>8.6735519827392561E-3</v>
      </c>
      <c r="R38">
        <v>5.8992291459220317E-2</v>
      </c>
      <c r="S38">
        <v>6.2906071052133751E-5</v>
      </c>
      <c r="T38">
        <v>5.8992291459219928E-2</v>
      </c>
      <c r="U38">
        <v>8.0120217255138348E-2</v>
      </c>
      <c r="V38">
        <v>0.37797590594202612</v>
      </c>
      <c r="W38">
        <v>0.18732722155032863</v>
      </c>
      <c r="X38">
        <v>0.3059480452494342</v>
      </c>
      <c r="Y38">
        <v>1.4997816203288362E-2</v>
      </c>
      <c r="Z38">
        <v>0.3152868101645383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44211</v>
      </c>
      <c r="E39" s="15"/>
      <c r="F39" s="16">
        <v>1.10995</v>
      </c>
      <c r="G39" s="16">
        <v>10.349080000000001</v>
      </c>
      <c r="H39" t="s">
        <v>167</v>
      </c>
      <c r="I39">
        <v>9.9656905428647038E-3</v>
      </c>
      <c r="J39">
        <v>0.53628839930585293</v>
      </c>
      <c r="K39">
        <v>7.1304685354482101E-3</v>
      </c>
      <c r="L39">
        <v>4.1010220607948494E-3</v>
      </c>
      <c r="M39">
        <v>2.7323002933949065</v>
      </c>
      <c r="N39">
        <v>9.0473288763381742E-3</v>
      </c>
      <c r="O39">
        <v>2.0793383948053887</v>
      </c>
      <c r="P39">
        <v>0.53180452237783915</v>
      </c>
      <c r="Q39">
        <v>7.5764207065994096E-3</v>
      </c>
      <c r="R39">
        <v>0.12776530579861026</v>
      </c>
      <c r="S39">
        <v>5.4948982866380511E-5</v>
      </c>
      <c r="T39">
        <v>0.1277653057986104</v>
      </c>
      <c r="U39">
        <v>1.3184211222658297</v>
      </c>
      <c r="V39">
        <v>0.25173876256425437</v>
      </c>
      <c r="W39">
        <v>0.18801062509989408</v>
      </c>
      <c r="X39">
        <v>0.30813664136843838</v>
      </c>
      <c r="Y39">
        <v>0.24764210449375165</v>
      </c>
      <c r="Z39">
        <v>0.33068850131786259</v>
      </c>
    </row>
    <row r="40" spans="1:26" x14ac:dyDescent="0.2">
      <c r="A40" s="17">
        <v>10915</v>
      </c>
      <c r="B40" s="17" t="s">
        <v>161</v>
      </c>
      <c r="C40" s="17" t="s">
        <v>142</v>
      </c>
      <c r="D40" s="72">
        <v>44211</v>
      </c>
      <c r="E40" s="73">
        <v>84.5</v>
      </c>
      <c r="F40" s="17">
        <v>7.4469999999999995E-2</v>
      </c>
      <c r="G40" s="74">
        <v>0.20433999999999841</v>
      </c>
      <c r="H40" t="s">
        <v>168</v>
      </c>
      <c r="I40">
        <v>1.0028305378205742E-2</v>
      </c>
      <c r="J40">
        <v>0.19320279630792589</v>
      </c>
      <c r="K40">
        <v>7.1347332906887108E-3</v>
      </c>
      <c r="L40">
        <v>3.5929697636216057E-3</v>
      </c>
      <c r="M40">
        <v>2.218210513584252</v>
      </c>
      <c r="N40">
        <v>3.9812139263480859E-3</v>
      </c>
      <c r="O40">
        <v>1.919902515491597</v>
      </c>
      <c r="P40">
        <v>0.20659343813435102</v>
      </c>
      <c r="Q40">
        <v>8.6750186443186744E-3</v>
      </c>
      <c r="R40">
        <v>5.6635769282497056E-2</v>
      </c>
      <c r="S40">
        <v>6.2916708207212565E-5</v>
      </c>
      <c r="T40">
        <v>5.6635769282497771E-2</v>
      </c>
      <c r="U40">
        <v>6.8727311671744867E-2</v>
      </c>
      <c r="V40">
        <v>0.31772535521324435</v>
      </c>
      <c r="W40">
        <v>0.35404271993312547</v>
      </c>
      <c r="X40">
        <v>0.36260873233597529</v>
      </c>
      <c r="Y40">
        <v>2.4348799794882209E-2</v>
      </c>
      <c r="Z40">
        <v>0.43787430208957728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44211</v>
      </c>
      <c r="E41" s="15"/>
      <c r="F41" s="16">
        <v>1.10995</v>
      </c>
      <c r="G41" s="16">
        <v>10.349080000000001</v>
      </c>
      <c r="H41" t="s">
        <v>169</v>
      </c>
      <c r="I41">
        <v>9.9878780705991346E-3</v>
      </c>
      <c r="J41">
        <v>0.53798068947166366</v>
      </c>
      <c r="K41">
        <v>7.1256524542655329E-3</v>
      </c>
      <c r="L41">
        <v>5.6177891031446488E-3</v>
      </c>
      <c r="M41">
        <v>2.7322648709715209</v>
      </c>
      <c r="N41">
        <v>9.0479503729248966E-3</v>
      </c>
      <c r="O41">
        <v>2.0703643181941107</v>
      </c>
      <c r="P41">
        <v>0.48820245608299795</v>
      </c>
      <c r="Q41">
        <v>7.5822699843789082E-3</v>
      </c>
      <c r="R41">
        <v>0.12539372254933423</v>
      </c>
      <c r="S41">
        <v>5.4991405519099145E-5</v>
      </c>
      <c r="T41">
        <v>0.12539372254933501</v>
      </c>
      <c r="U41">
        <v>1.3208816358041437</v>
      </c>
      <c r="V41">
        <v>0.26396709669235441</v>
      </c>
      <c r="W41">
        <v>0.18890233200208664</v>
      </c>
      <c r="X41">
        <v>0.31371155761058056</v>
      </c>
      <c r="Y41">
        <v>0.24961039530732795</v>
      </c>
      <c r="Z41">
        <v>0.31224143568268287</v>
      </c>
    </row>
    <row r="42" spans="1:26" x14ac:dyDescent="0.2">
      <c r="A42" s="17">
        <v>10916</v>
      </c>
      <c r="B42" s="17" t="s">
        <v>162</v>
      </c>
      <c r="C42" s="17" t="s">
        <v>142</v>
      </c>
      <c r="D42" s="72">
        <v>44211</v>
      </c>
      <c r="E42" s="73">
        <v>124.5</v>
      </c>
      <c r="F42" s="17">
        <v>7.5459999999999999E-2</v>
      </c>
      <c r="G42" s="74">
        <v>0.20597000000000065</v>
      </c>
      <c r="H42" t="s">
        <v>170</v>
      </c>
      <c r="I42">
        <v>1.0037500815836131E-2</v>
      </c>
      <c r="J42">
        <v>0.16192686291253364</v>
      </c>
      <c r="K42">
        <v>7.1317945133495533E-3</v>
      </c>
      <c r="L42">
        <v>4.9643773213302591E-3</v>
      </c>
      <c r="M42">
        <v>2.4000561595628578</v>
      </c>
      <c r="N42">
        <v>3.4529530587790731E-3</v>
      </c>
      <c r="O42">
        <v>2.0751439932817144</v>
      </c>
      <c r="P42">
        <v>0.16784496666009407</v>
      </c>
      <c r="Q42">
        <v>8.6803048416911194E-3</v>
      </c>
      <c r="R42">
        <v>4.5194293407011386E-2</v>
      </c>
      <c r="S42">
        <v>6.2955047045576415E-5</v>
      </c>
      <c r="T42">
        <v>4.519429340701174E-2</v>
      </c>
      <c r="U42">
        <v>7.5362334738383663E-2</v>
      </c>
      <c r="V42">
        <v>0.34123258225190695</v>
      </c>
      <c r="W42">
        <v>5.5922838072092092E-2</v>
      </c>
      <c r="X42">
        <v>0.19724228908660776</v>
      </c>
      <c r="Y42">
        <v>4.2199568518638143E-3</v>
      </c>
      <c r="Z42">
        <v>0.27394472248246698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44211</v>
      </c>
      <c r="E43" s="15"/>
      <c r="F43" s="16">
        <v>1.10995</v>
      </c>
      <c r="G43" s="16">
        <v>10.349080000000001</v>
      </c>
      <c r="H43" t="s">
        <v>171</v>
      </c>
      <c r="I43">
        <v>9.9708622157539898E-3</v>
      </c>
      <c r="J43">
        <v>0.64519495270287164</v>
      </c>
      <c r="K43">
        <v>7.1198640135254855E-3</v>
      </c>
      <c r="L43">
        <v>4.3674245152922351E-3</v>
      </c>
      <c r="M43">
        <v>2.7320586745096671</v>
      </c>
      <c r="N43">
        <v>9.4034878188073226E-3</v>
      </c>
      <c r="O43">
        <v>2.0782289946360062</v>
      </c>
      <c r="P43">
        <v>0.65883452194754821</v>
      </c>
      <c r="Q43">
        <v>7.5795730668394273E-3</v>
      </c>
      <c r="R43">
        <v>0.11587821686168691</v>
      </c>
      <c r="S43">
        <v>5.4971845771639498E-5</v>
      </c>
      <c r="T43">
        <v>0.1158782168616888</v>
      </c>
      <c r="U43">
        <v>1.3237139758029959</v>
      </c>
      <c r="V43">
        <v>0.25650507953022894</v>
      </c>
      <c r="W43">
        <v>0.19058087218499833</v>
      </c>
      <c r="X43">
        <v>0.30583285696039408</v>
      </c>
      <c r="Y43">
        <v>0.25196204272143674</v>
      </c>
      <c r="Z43">
        <v>0.26120787464860579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44217</v>
      </c>
      <c r="E45" s="15"/>
      <c r="F45" s="16">
        <v>1.10995</v>
      </c>
      <c r="G45" s="16">
        <v>10.349080000000001</v>
      </c>
      <c r="H45" t="s">
        <v>172</v>
      </c>
      <c r="I45">
        <v>9.9973989542642121E-3</v>
      </c>
      <c r="J45">
        <v>1.0231225608627552</v>
      </c>
      <c r="K45">
        <v>7.1967627141539502E-3</v>
      </c>
      <c r="L45">
        <v>1.3656105495811265E-2</v>
      </c>
      <c r="M45">
        <v>2.7320361719978283</v>
      </c>
      <c r="N45">
        <v>1.4309666916248381E-2</v>
      </c>
      <c r="O45">
        <v>2.0690310735154949</v>
      </c>
      <c r="P45">
        <v>1.1233993030016842</v>
      </c>
      <c r="Q45">
        <v>7.5813300445954522E-3</v>
      </c>
      <c r="R45">
        <v>0.23753313057393374</v>
      </c>
      <c r="S45">
        <v>5.4984588482789138E-5</v>
      </c>
      <c r="T45">
        <v>0.23753313057393427</v>
      </c>
      <c r="U45">
        <v>1.3245362881429896</v>
      </c>
      <c r="V45">
        <v>0.44485725425592559</v>
      </c>
      <c r="W45">
        <v>0.17643423644078321</v>
      </c>
      <c r="X45">
        <v>0.59600266400033741</v>
      </c>
      <c r="Y45">
        <v>0.23383499222979146</v>
      </c>
      <c r="Z45">
        <v>0.47756530706133543</v>
      </c>
    </row>
    <row r="46" spans="1:26" x14ac:dyDescent="0.2">
      <c r="A46" s="17">
        <v>10929</v>
      </c>
      <c r="B46" s="17" t="s">
        <v>185</v>
      </c>
      <c r="C46" s="17" t="s">
        <v>142</v>
      </c>
      <c r="D46" s="72">
        <v>44217</v>
      </c>
      <c r="F46" s="17">
        <v>9.5089999999999994E-2</v>
      </c>
      <c r="G46" s="74">
        <v>9.8950000000000315E-2</v>
      </c>
      <c r="H46" t="s">
        <v>173</v>
      </c>
      <c r="I46">
        <v>9.8305820130183096E-3</v>
      </c>
      <c r="J46">
        <v>0.61225819263943282</v>
      </c>
      <c r="K46">
        <v>7.1986156521683681E-3</v>
      </c>
      <c r="L46">
        <v>3.2065825014266552E-2</v>
      </c>
      <c r="M46">
        <v>4.6038256223326295</v>
      </c>
      <c r="N46">
        <v>1.1473125452372421E-2</v>
      </c>
      <c r="O46">
        <v>4.0721257717374604</v>
      </c>
      <c r="P46">
        <v>0.62084724500623412</v>
      </c>
      <c r="Q46">
        <v>8.6924651525614877E-3</v>
      </c>
      <c r="R46">
        <v>8.4243816325826892E-2</v>
      </c>
      <c r="S46">
        <v>6.3043241291849429E-5</v>
      </c>
      <c r="T46">
        <v>8.4243816325827059E-2</v>
      </c>
      <c r="U46">
        <v>7.8579240951609855E-3</v>
      </c>
      <c r="V46">
        <v>2.4515740924967959</v>
      </c>
      <c r="W46">
        <v>0.35023343417482172</v>
      </c>
      <c r="X46">
        <v>1.3572749233859054</v>
      </c>
      <c r="Y46">
        <v>2.7334363267323505E-3</v>
      </c>
      <c r="Z46">
        <v>2.7223224928588925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44217</v>
      </c>
      <c r="E47" s="15"/>
      <c r="F47" s="16">
        <v>1.10995</v>
      </c>
      <c r="G47" s="16">
        <v>10.349080000000001</v>
      </c>
      <c r="H47" t="s">
        <v>174</v>
      </c>
      <c r="I47">
        <v>1.0026562772795244E-2</v>
      </c>
      <c r="J47">
        <v>0.87883341264107762</v>
      </c>
      <c r="K47">
        <v>7.1839665870836429E-3</v>
      </c>
      <c r="L47">
        <v>7.8327817501047288E-3</v>
      </c>
      <c r="M47">
        <v>2.7319804941197923</v>
      </c>
      <c r="N47">
        <v>1.3265230870549736E-2</v>
      </c>
      <c r="O47">
        <v>2.0680654794813131</v>
      </c>
      <c r="P47">
        <v>0.88474958725922315</v>
      </c>
      <c r="Q47">
        <v>7.5794205404773989E-3</v>
      </c>
      <c r="R47">
        <v>0.15846765975880764</v>
      </c>
      <c r="S47">
        <v>5.4970739554234446E-5</v>
      </c>
      <c r="T47">
        <v>0.15846765975880889</v>
      </c>
      <c r="U47">
        <v>1.32431493783684</v>
      </c>
      <c r="V47">
        <v>0.29866197420202478</v>
      </c>
      <c r="W47">
        <v>0.17694980826159462</v>
      </c>
      <c r="X47">
        <v>0.51706778859707103</v>
      </c>
      <c r="Y47">
        <v>0.23408324686665666</v>
      </c>
      <c r="Z47">
        <v>0.53576499605456529</v>
      </c>
    </row>
    <row r="48" spans="1:26" x14ac:dyDescent="0.2">
      <c r="A48" s="17">
        <v>10930</v>
      </c>
      <c r="B48" s="17" t="s">
        <v>186</v>
      </c>
      <c r="C48" s="17" t="s">
        <v>142</v>
      </c>
      <c r="D48" s="72">
        <v>44217</v>
      </c>
      <c r="F48" s="17">
        <v>9.8229999999999998E-2</v>
      </c>
      <c r="G48" s="74">
        <v>0.10049000000000063</v>
      </c>
      <c r="H48" t="s">
        <v>175</v>
      </c>
      <c r="I48">
        <v>9.8957184924964026E-3</v>
      </c>
      <c r="J48">
        <v>0.86665248195332434</v>
      </c>
      <c r="K48">
        <v>7.1997368384756179E-3</v>
      </c>
      <c r="L48">
        <v>2.431709117311202E-2</v>
      </c>
      <c r="M48">
        <v>4.6035572726056984</v>
      </c>
      <c r="N48">
        <v>1.1817294256689738E-2</v>
      </c>
      <c r="O48">
        <v>4.0362828166898845</v>
      </c>
      <c r="P48">
        <v>0.89995621115859081</v>
      </c>
      <c r="Q48">
        <v>8.6877693598253342E-3</v>
      </c>
      <c r="R48">
        <v>9.0848090877156701E-2</v>
      </c>
      <c r="S48">
        <v>6.3009184440389427E-5</v>
      </c>
      <c r="T48">
        <v>9.0848090877157853E-2</v>
      </c>
      <c r="U48">
        <v>7.7747642746229173E-3</v>
      </c>
      <c r="V48">
        <v>2.158195880602678</v>
      </c>
      <c r="W48">
        <v>0.21887086213612636</v>
      </c>
      <c r="X48">
        <v>0.57648091068816409</v>
      </c>
      <c r="Y48">
        <v>1.6989334957560399E-3</v>
      </c>
      <c r="Z48">
        <v>2.1616920985433232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44217</v>
      </c>
      <c r="E49" s="15"/>
      <c r="F49" s="16">
        <v>1.10995</v>
      </c>
      <c r="G49" s="16">
        <v>10.349080000000001</v>
      </c>
      <c r="H49" t="s">
        <v>176</v>
      </c>
      <c r="I49">
        <v>1.0065654598186105E-2</v>
      </c>
      <c r="J49">
        <v>0.97163234689122657</v>
      </c>
      <c r="K49">
        <v>7.176829466209911E-3</v>
      </c>
      <c r="L49">
        <v>7.1591326741627381E-3</v>
      </c>
      <c r="M49">
        <v>2.7318154189471153</v>
      </c>
      <c r="N49">
        <v>1.0597172660716716E-2</v>
      </c>
      <c r="O49">
        <v>2.060877777041259</v>
      </c>
      <c r="P49">
        <v>0.86741214114191179</v>
      </c>
      <c r="Q49">
        <v>7.5833538206277491E-3</v>
      </c>
      <c r="R49">
        <v>0.17056365415850902</v>
      </c>
      <c r="S49">
        <v>5.4999266183359181E-5</v>
      </c>
      <c r="T49">
        <v>0.17056365415850905</v>
      </c>
      <c r="U49">
        <v>1.3201969906676434</v>
      </c>
      <c r="V49">
        <v>0.41974121573445666</v>
      </c>
      <c r="W49">
        <v>0.17779598473933028</v>
      </c>
      <c r="X49">
        <v>0.54040847173126738</v>
      </c>
      <c r="Y49">
        <v>0.23453750085056616</v>
      </c>
      <c r="Z49">
        <v>0.40005514988063712</v>
      </c>
    </row>
    <row r="50" spans="1:26" x14ac:dyDescent="0.2">
      <c r="A50" s="17">
        <v>10931</v>
      </c>
      <c r="B50" s="17" t="s">
        <v>187</v>
      </c>
      <c r="C50" s="17" t="s">
        <v>142</v>
      </c>
      <c r="D50" s="72">
        <v>44217</v>
      </c>
      <c r="F50" s="17">
        <v>9.9650000000000002E-2</v>
      </c>
      <c r="G50" s="74">
        <v>0.10245999999999889</v>
      </c>
      <c r="H50" t="s">
        <v>177</v>
      </c>
      <c r="I50">
        <v>9.9943830098853468E-3</v>
      </c>
      <c r="J50">
        <v>0.86073648847352879</v>
      </c>
      <c r="K50">
        <v>7.162721170414609E-3</v>
      </c>
      <c r="L50">
        <v>1.7074239550291199E-2</v>
      </c>
      <c r="M50">
        <v>4.8983349545112675</v>
      </c>
      <c r="N50">
        <v>1.3715732098516776E-2</v>
      </c>
      <c r="O50">
        <v>4.2671421629813331</v>
      </c>
      <c r="P50">
        <v>0.83569536558759583</v>
      </c>
      <c r="Q50">
        <v>8.6962154117542281E-3</v>
      </c>
      <c r="R50">
        <v>9.828326340389594E-2</v>
      </c>
      <c r="S50">
        <v>6.3070440537523145E-5</v>
      </c>
      <c r="T50">
        <v>9.8283263403896398E-2</v>
      </c>
      <c r="U50">
        <v>1.1293391271369373E-2</v>
      </c>
      <c r="V50">
        <v>3.735172063261631</v>
      </c>
      <c r="W50">
        <v>0.26413208393400872</v>
      </c>
      <c r="X50">
        <v>2.5642479623777814</v>
      </c>
      <c r="Y50">
        <v>2.9847697527273539E-3</v>
      </c>
      <c r="Z50">
        <v>4.1203694575130196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44217</v>
      </c>
      <c r="E51" s="15"/>
      <c r="F51" s="16">
        <v>1.10995</v>
      </c>
      <c r="G51" s="16">
        <v>10.349080000000001</v>
      </c>
      <c r="H51" t="s">
        <v>178</v>
      </c>
      <c r="I51">
        <v>9.9916216455949673E-3</v>
      </c>
      <c r="J51">
        <v>0.99634799480381075</v>
      </c>
      <c r="K51">
        <v>7.1660680764826876E-3</v>
      </c>
      <c r="L51">
        <v>6.0605037820302826E-3</v>
      </c>
      <c r="M51">
        <v>2.7328875108870085</v>
      </c>
      <c r="N51">
        <v>1.2130459972990662E-2</v>
      </c>
      <c r="O51">
        <v>2.0747537192815639</v>
      </c>
      <c r="P51">
        <v>0.95861649444149799</v>
      </c>
      <c r="Q51">
        <v>7.5754206913939909E-3</v>
      </c>
      <c r="R51">
        <v>0.12738220986149365</v>
      </c>
      <c r="S51">
        <v>5.4941730125209344E-5</v>
      </c>
      <c r="T51">
        <v>0.12738220986149432</v>
      </c>
      <c r="U51">
        <v>1.32319347589628</v>
      </c>
      <c r="V51">
        <v>0.3057641343834448</v>
      </c>
      <c r="W51">
        <v>0.17790329206569847</v>
      </c>
      <c r="X51">
        <v>0.47932785165335318</v>
      </c>
      <c r="Y51">
        <v>0.23541864931783002</v>
      </c>
      <c r="Z51">
        <v>0.47976829569693458</v>
      </c>
    </row>
    <row r="52" spans="1:26" x14ac:dyDescent="0.2">
      <c r="A52" s="17">
        <v>10932</v>
      </c>
      <c r="B52" s="17" t="s">
        <v>188</v>
      </c>
      <c r="C52" s="17" t="s">
        <v>142</v>
      </c>
      <c r="D52" s="72">
        <v>44217</v>
      </c>
      <c r="F52" s="17">
        <v>9.1689999999999994E-2</v>
      </c>
      <c r="G52" s="74">
        <v>0.10274000000000072</v>
      </c>
      <c r="H52" t="s">
        <v>179</v>
      </c>
      <c r="I52">
        <v>1.0139437321591442E-2</v>
      </c>
      <c r="J52">
        <v>0.90680218331900142</v>
      </c>
      <c r="K52">
        <v>7.156650258553208E-3</v>
      </c>
      <c r="L52">
        <v>1.8359251610473467E-2</v>
      </c>
      <c r="M52">
        <v>4.5321334407217888</v>
      </c>
      <c r="N52">
        <v>1.076745899019273E-2</v>
      </c>
      <c r="O52">
        <v>3.8908215145866611</v>
      </c>
      <c r="P52">
        <v>0.90887971300163684</v>
      </c>
      <c r="Q52">
        <v>8.6925796036309219E-3</v>
      </c>
      <c r="R52">
        <v>9.230695306922973E-2</v>
      </c>
      <c r="S52">
        <v>6.30440713632112E-5</v>
      </c>
      <c r="T52">
        <v>9.230695306922948E-2</v>
      </c>
      <c r="U52">
        <v>1.8096830691093108E-2</v>
      </c>
      <c r="V52">
        <v>2.8398791158072592</v>
      </c>
      <c r="W52">
        <v>0.37807909562132053</v>
      </c>
      <c r="X52">
        <v>2.1644876276276879</v>
      </c>
      <c r="Y52">
        <v>6.9195412459515651E-3</v>
      </c>
      <c r="Z52">
        <v>3.6926850724990792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44217</v>
      </c>
      <c r="E53" s="15"/>
      <c r="F53" s="16">
        <v>1.10995</v>
      </c>
      <c r="G53" s="16">
        <v>10.349080000000001</v>
      </c>
      <c r="H53" t="s">
        <v>180</v>
      </c>
      <c r="I53">
        <v>9.8843784071959654E-3</v>
      </c>
      <c r="J53">
        <v>0.71419799979366527</v>
      </c>
      <c r="K53">
        <v>7.1584383766013443E-3</v>
      </c>
      <c r="L53">
        <v>5.554790397392928E-3</v>
      </c>
      <c r="M53">
        <v>2.7320200583565573</v>
      </c>
      <c r="N53">
        <v>1.1219824915624605E-2</v>
      </c>
      <c r="O53">
        <v>2.0955659112401528</v>
      </c>
      <c r="P53">
        <v>0.75212494043795797</v>
      </c>
      <c r="Q53">
        <v>7.5712593764072078E-3</v>
      </c>
      <c r="R53">
        <v>0.16595002671400066</v>
      </c>
      <c r="S53">
        <v>5.4911549643585471E-5</v>
      </c>
      <c r="T53">
        <v>0.16595002671400083</v>
      </c>
      <c r="U53">
        <v>1.3209645115618438</v>
      </c>
      <c r="V53">
        <v>0.36167908289108125</v>
      </c>
      <c r="W53">
        <v>0.17921083915438665</v>
      </c>
      <c r="X53">
        <v>0.62505639406998903</v>
      </c>
      <c r="Y53">
        <v>0.23806346530988515</v>
      </c>
      <c r="Z53">
        <v>0.4846916594181549</v>
      </c>
    </row>
    <row r="54" spans="1:26" x14ac:dyDescent="0.2">
      <c r="A54" s="17">
        <v>10933</v>
      </c>
      <c r="B54" s="17" t="s">
        <v>189</v>
      </c>
      <c r="C54" s="17" t="s">
        <v>142</v>
      </c>
      <c r="D54" s="72">
        <v>44217</v>
      </c>
      <c r="F54" s="17">
        <v>9.1120000000000007E-2</v>
      </c>
      <c r="G54" s="74">
        <v>0.10377000000000081</v>
      </c>
      <c r="H54" t="s">
        <v>181</v>
      </c>
      <c r="I54">
        <v>9.8818939118824715E-3</v>
      </c>
      <c r="J54">
        <v>0.47991504521613276</v>
      </c>
      <c r="K54">
        <v>7.1396781349709901E-3</v>
      </c>
      <c r="L54">
        <v>6.203810111753816E-3</v>
      </c>
      <c r="M54">
        <v>4.5376360347567797</v>
      </c>
      <c r="N54">
        <v>8.5670589048237825E-3</v>
      </c>
      <c r="O54">
        <v>3.9940671564258485</v>
      </c>
      <c r="P54">
        <v>0.46842050187653067</v>
      </c>
      <c r="Q54">
        <v>8.6911584821606144E-3</v>
      </c>
      <c r="R54">
        <v>7.0738746705633654E-2</v>
      </c>
      <c r="S54">
        <v>6.3033764493734571E-5</v>
      </c>
      <c r="T54">
        <v>7.073874670563389E-2</v>
      </c>
      <c r="U54">
        <v>1.3995942205315382E-2</v>
      </c>
      <c r="V54">
        <v>3.7829831241853178</v>
      </c>
      <c r="W54">
        <v>0.36198094720390583</v>
      </c>
      <c r="X54">
        <v>1.5317751422175794</v>
      </c>
      <c r="Y54">
        <v>5.0803021146259789E-3</v>
      </c>
      <c r="Z54">
        <v>4.2962724950841222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44217</v>
      </c>
      <c r="E55" s="15"/>
      <c r="F55" s="16">
        <v>1.10995</v>
      </c>
      <c r="G55" s="16">
        <v>10.349080000000001</v>
      </c>
      <c r="H55" t="s">
        <v>182</v>
      </c>
      <c r="I55">
        <v>1.0024188887532107E-2</v>
      </c>
      <c r="J55">
        <v>1.0495604012410753</v>
      </c>
      <c r="K55">
        <v>7.1567329281879959E-3</v>
      </c>
      <c r="L55">
        <v>7.1444622219402933E-3</v>
      </c>
      <c r="M55">
        <v>2.7325378355104148</v>
      </c>
      <c r="N55">
        <v>1.2304453834630148E-2</v>
      </c>
      <c r="O55">
        <v>2.0609471820448548</v>
      </c>
      <c r="P55">
        <v>1.0988598941226633</v>
      </c>
      <c r="Q55">
        <v>7.582397699845961E-3</v>
      </c>
      <c r="R55">
        <v>0.19483837794884679</v>
      </c>
      <c r="S55">
        <v>5.4992331792240856E-5</v>
      </c>
      <c r="T55">
        <v>0.19483837794884631</v>
      </c>
      <c r="U55">
        <v>1.3208661770026793</v>
      </c>
      <c r="V55">
        <v>0.26119849879748513</v>
      </c>
      <c r="W55">
        <v>0.17934389622055016</v>
      </c>
      <c r="X55">
        <v>0.73249773163345855</v>
      </c>
      <c r="Y55">
        <v>0.23755713494347983</v>
      </c>
      <c r="Z55">
        <v>0.59012121360588821</v>
      </c>
    </row>
    <row r="56" spans="1:26" x14ac:dyDescent="0.2">
      <c r="A56" s="17">
        <v>10934</v>
      </c>
      <c r="B56" s="17" t="s">
        <v>190</v>
      </c>
      <c r="C56" s="17" t="s">
        <v>142</v>
      </c>
      <c r="D56" s="72">
        <v>44217</v>
      </c>
      <c r="F56" s="17">
        <v>9.6820000000000003E-2</v>
      </c>
      <c r="G56" s="74">
        <v>0.10721999999999987</v>
      </c>
      <c r="H56" t="s">
        <v>183</v>
      </c>
      <c r="I56">
        <v>9.9731048823008591E-3</v>
      </c>
      <c r="J56">
        <v>0.60094862713460606</v>
      </c>
      <c r="K56">
        <v>7.1375221947554508E-3</v>
      </c>
      <c r="L56">
        <v>4.9762897575977294E-3</v>
      </c>
      <c r="M56">
        <v>4.7361177664266316</v>
      </c>
      <c r="N56">
        <v>8.8210154537541312E-3</v>
      </c>
      <c r="O56">
        <v>4.1317915797858467</v>
      </c>
      <c r="P56">
        <v>0.59905334327617965</v>
      </c>
      <c r="Q56">
        <v>8.6940667788625477E-3</v>
      </c>
      <c r="R56">
        <v>5.0648397056543885E-2</v>
      </c>
      <c r="S56">
        <v>6.3054857296237699E-5</v>
      </c>
      <c r="T56">
        <v>5.0648397056543906E-2</v>
      </c>
      <c r="U56">
        <v>1.1954491812299791E-2</v>
      </c>
      <c r="V56">
        <v>2.58024235851923</v>
      </c>
      <c r="W56">
        <v>0.45677919167311748</v>
      </c>
      <c r="X56">
        <v>1.9170507566532422</v>
      </c>
      <c r="Y56">
        <v>5.5171792393068873E-3</v>
      </c>
      <c r="Z56">
        <v>2.9026482606365254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44217</v>
      </c>
      <c r="E57" s="15"/>
      <c r="F57" s="16">
        <v>1.10995</v>
      </c>
      <c r="G57" s="16">
        <v>10.349080000000001</v>
      </c>
      <c r="H57" t="s">
        <v>184</v>
      </c>
      <c r="I57">
        <v>9.9470703692211646E-3</v>
      </c>
      <c r="J57">
        <v>1.0197855309671173</v>
      </c>
      <c r="K57">
        <v>7.1544116034076575E-3</v>
      </c>
      <c r="L57">
        <v>7.3970992420236033E-3</v>
      </c>
      <c r="M57">
        <v>2.7321687682977935</v>
      </c>
      <c r="N57">
        <v>1.4412477953160391E-2</v>
      </c>
      <c r="O57">
        <v>2.0860116391228782</v>
      </c>
      <c r="P57">
        <v>0.99249070581826015</v>
      </c>
      <c r="Q57">
        <v>7.5896805086050831E-3</v>
      </c>
      <c r="R57">
        <v>0.23443158166665079</v>
      </c>
      <c r="S57">
        <v>5.5045151316026724E-5</v>
      </c>
      <c r="T57">
        <v>0.23443158166665004</v>
      </c>
      <c r="U57">
        <v>1.3229134956426656</v>
      </c>
      <c r="V57">
        <v>0.27901818386757327</v>
      </c>
      <c r="W57">
        <v>0.18073837769407347</v>
      </c>
      <c r="X57">
        <v>0.57264428546029955</v>
      </c>
      <c r="Y57">
        <v>0.2390313275167667</v>
      </c>
      <c r="Z57">
        <v>0.45176035633752554</v>
      </c>
    </row>
    <row r="60" spans="1:26" x14ac:dyDescent="0.2">
      <c r="A60" s="17">
        <v>10935</v>
      </c>
      <c r="B60" s="17" t="s">
        <v>191</v>
      </c>
      <c r="C60" s="17" t="s">
        <v>142</v>
      </c>
      <c r="F60" s="17">
        <v>9.7850000000000006E-2</v>
      </c>
      <c r="G60" s="74">
        <v>0.10157999999999845</v>
      </c>
    </row>
    <row r="62" spans="1:26" x14ac:dyDescent="0.2">
      <c r="A62" s="17">
        <v>10936</v>
      </c>
      <c r="B62" s="17" t="s">
        <v>192</v>
      </c>
      <c r="C62" s="17" t="s">
        <v>142</v>
      </c>
      <c r="F62" s="17">
        <v>9.3509999999999996E-2</v>
      </c>
      <c r="G62" s="74">
        <v>0.10193999999999903</v>
      </c>
    </row>
    <row r="64" spans="1:26" x14ac:dyDescent="0.2">
      <c r="A64" s="17">
        <v>10937</v>
      </c>
      <c r="B64" s="17" t="s">
        <v>193</v>
      </c>
      <c r="C64" s="17" t="s">
        <v>142</v>
      </c>
      <c r="F64" s="17">
        <v>9.7640000000000005E-2</v>
      </c>
      <c r="G64" s="74">
        <v>0.10335000000000072</v>
      </c>
    </row>
    <row r="66" spans="1:7" x14ac:dyDescent="0.2">
      <c r="A66" s="17">
        <v>10938</v>
      </c>
      <c r="B66" s="17" t="s">
        <v>194</v>
      </c>
      <c r="C66" s="17" t="s">
        <v>142</v>
      </c>
      <c r="F66" s="17">
        <v>9.0759999999999993E-2</v>
      </c>
      <c r="G66" s="74">
        <v>0.10203000000000095</v>
      </c>
    </row>
    <row r="68" spans="1:7" x14ac:dyDescent="0.2">
      <c r="A68" s="17">
        <v>10939</v>
      </c>
      <c r="B68" s="17" t="s">
        <v>195</v>
      </c>
      <c r="C68" s="17" t="s">
        <v>142</v>
      </c>
      <c r="F68" s="17">
        <v>9.4939999999999997E-2</v>
      </c>
      <c r="G68" s="74">
        <v>0.10117999999999938</v>
      </c>
    </row>
    <row r="70" spans="1:7" x14ac:dyDescent="0.2">
      <c r="A70" s="17">
        <v>10940</v>
      </c>
      <c r="B70" s="17" t="s">
        <v>196</v>
      </c>
      <c r="C70" s="17" t="s">
        <v>142</v>
      </c>
      <c r="F70" s="17">
        <v>9.2560000000000003E-2</v>
      </c>
      <c r="G70" s="74">
        <v>0.10509</v>
      </c>
    </row>
    <row r="72" spans="1:7" x14ac:dyDescent="0.2">
      <c r="A72" s="17">
        <v>10941</v>
      </c>
      <c r="B72" s="17" t="s">
        <v>197</v>
      </c>
      <c r="C72" s="17" t="s">
        <v>142</v>
      </c>
      <c r="F72" s="17">
        <v>9.7019999999999995E-2</v>
      </c>
      <c r="G72" s="74">
        <v>0.11101</v>
      </c>
    </row>
    <row r="74" spans="1:7" x14ac:dyDescent="0.2">
      <c r="A74" s="17">
        <v>10942</v>
      </c>
      <c r="B74" s="17" t="s">
        <v>198</v>
      </c>
      <c r="C74" s="17" t="s">
        <v>142</v>
      </c>
      <c r="F74" s="17">
        <v>9.0249999999999997E-2</v>
      </c>
      <c r="G74" s="74">
        <v>0.10079</v>
      </c>
    </row>
    <row r="76" spans="1:7" x14ac:dyDescent="0.2">
      <c r="A76" s="17">
        <v>10943</v>
      </c>
      <c r="B76" s="17" t="s">
        <v>199</v>
      </c>
      <c r="C76" s="17" t="s">
        <v>142</v>
      </c>
      <c r="F76" s="17">
        <v>9.3160000000000007E-2</v>
      </c>
      <c r="G76" s="74">
        <v>0.10113999999999999</v>
      </c>
    </row>
    <row r="78" spans="1:7" x14ac:dyDescent="0.2">
      <c r="A78" s="17">
        <v>10944</v>
      </c>
      <c r="B78" s="17" t="s">
        <v>200</v>
      </c>
      <c r="C78" s="17" t="s">
        <v>142</v>
      </c>
      <c r="F78" s="17">
        <v>9.146E-2</v>
      </c>
      <c r="G78" s="74">
        <v>0.10410999999999999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55"/>
  <sheetViews>
    <sheetView zoomScaleNormal="100" workbookViewId="0">
      <pane xSplit="2" ySplit="3" topLeftCell="AL25" activePane="bottomRight" state="frozen"/>
      <selection pane="topRight" activeCell="C1" sqref="C1"/>
      <selection pane="bottomLeft" activeCell="A4" sqref="A4"/>
      <selection pane="bottomRight" activeCell="AU46" sqref="AU46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7" bestFit="1" customWidth="1"/>
    <col min="6" max="6" width="13.5703125" style="17" customWidth="1"/>
    <col min="7" max="7" width="12.28515625" style="74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3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5" t="s">
        <v>105</v>
      </c>
      <c r="W1" s="155" t="s">
        <v>106</v>
      </c>
      <c r="AJ1" s="155" t="s">
        <v>107</v>
      </c>
      <c r="AW1" s="155" t="s">
        <v>108</v>
      </c>
    </row>
    <row r="2" spans="1:110" s="18" customFormat="1" ht="18" x14ac:dyDescent="0.3">
      <c r="A2" s="80" t="s">
        <v>53</v>
      </c>
      <c r="B2" s="80" t="s">
        <v>0</v>
      </c>
      <c r="C2" s="80" t="s">
        <v>5</v>
      </c>
      <c r="D2" s="80" t="s">
        <v>49</v>
      </c>
      <c r="E2" s="81" t="s">
        <v>41</v>
      </c>
      <c r="F2" s="80" t="s">
        <v>49</v>
      </c>
      <c r="G2" s="82" t="s">
        <v>42</v>
      </c>
      <c r="H2" s="80" t="s">
        <v>49</v>
      </c>
      <c r="I2" s="80" t="s">
        <v>18</v>
      </c>
      <c r="J2" s="80" t="s">
        <v>19</v>
      </c>
      <c r="K2" s="80" t="s">
        <v>49</v>
      </c>
      <c r="L2" s="80" t="s">
        <v>20</v>
      </c>
      <c r="M2" s="80" t="s">
        <v>50</v>
      </c>
      <c r="N2" s="80" t="s">
        <v>21</v>
      </c>
      <c r="O2" s="80" t="s">
        <v>22</v>
      </c>
      <c r="P2" s="80" t="s">
        <v>50</v>
      </c>
      <c r="Q2" s="83" t="s">
        <v>22</v>
      </c>
      <c r="R2" s="80" t="s">
        <v>50</v>
      </c>
      <c r="S2" s="84" t="s">
        <v>7</v>
      </c>
      <c r="T2" s="84" t="s">
        <v>50</v>
      </c>
      <c r="U2" s="84" t="s">
        <v>74</v>
      </c>
      <c r="V2" s="84" t="s">
        <v>50</v>
      </c>
      <c r="W2" s="80" t="s">
        <v>23</v>
      </c>
      <c r="X2" s="85" t="s">
        <v>24</v>
      </c>
      <c r="Y2" s="80" t="s">
        <v>50</v>
      </c>
      <c r="Z2" s="86" t="s">
        <v>25</v>
      </c>
      <c r="AA2" s="80" t="s">
        <v>50</v>
      </c>
      <c r="AB2" s="80" t="s">
        <v>62</v>
      </c>
      <c r="AC2" s="80" t="s">
        <v>63</v>
      </c>
      <c r="AD2" s="87" t="s">
        <v>26</v>
      </c>
      <c r="AE2" s="80" t="s">
        <v>50</v>
      </c>
      <c r="AF2" s="80" t="s">
        <v>27</v>
      </c>
      <c r="AG2" s="80" t="s">
        <v>50</v>
      </c>
      <c r="AH2" s="86" t="s">
        <v>11</v>
      </c>
      <c r="AI2" s="80" t="s">
        <v>50</v>
      </c>
      <c r="AJ2" s="88" t="s">
        <v>117</v>
      </c>
      <c r="AK2" s="88" t="s">
        <v>49</v>
      </c>
      <c r="AL2" s="83" t="s">
        <v>28</v>
      </c>
      <c r="AM2" s="89" t="s">
        <v>50</v>
      </c>
      <c r="AN2" s="83" t="s">
        <v>75</v>
      </c>
      <c r="AO2" s="89" t="s">
        <v>50</v>
      </c>
      <c r="AP2" s="86" t="s">
        <v>47</v>
      </c>
      <c r="AQ2" s="80" t="s">
        <v>50</v>
      </c>
      <c r="AR2" s="80" t="s">
        <v>6</v>
      </c>
      <c r="AS2" s="90" t="s">
        <v>44</v>
      </c>
      <c r="AT2" s="91" t="s">
        <v>50</v>
      </c>
      <c r="AU2" s="92" t="s">
        <v>104</v>
      </c>
      <c r="AV2" s="93" t="s">
        <v>50</v>
      </c>
      <c r="AW2" s="94" t="s">
        <v>45</v>
      </c>
      <c r="AX2" s="95" t="s">
        <v>49</v>
      </c>
      <c r="AY2" s="95" t="s">
        <v>59</v>
      </c>
      <c r="AZ2" s="95" t="s">
        <v>49</v>
      </c>
      <c r="BA2" s="86" t="s">
        <v>46</v>
      </c>
      <c r="BB2" s="86" t="s">
        <v>2</v>
      </c>
      <c r="BC2" s="88" t="s">
        <v>118</v>
      </c>
      <c r="BD2" s="88" t="s">
        <v>49</v>
      </c>
      <c r="BE2" s="95" t="s">
        <v>45</v>
      </c>
      <c r="BF2" s="95" t="s">
        <v>51</v>
      </c>
      <c r="BG2" s="96" t="s">
        <v>119</v>
      </c>
      <c r="BH2" s="97" t="s">
        <v>64</v>
      </c>
    </row>
    <row r="3" spans="1:110" s="18" customFormat="1" ht="18.75" thickBot="1" x14ac:dyDescent="0.35">
      <c r="A3" s="98"/>
      <c r="B3" s="98"/>
      <c r="C3" s="98" t="s">
        <v>15</v>
      </c>
      <c r="D3" s="99" t="s">
        <v>29</v>
      </c>
      <c r="E3" s="98" t="s">
        <v>15</v>
      </c>
      <c r="F3" s="99" t="s">
        <v>29</v>
      </c>
      <c r="G3" s="100"/>
      <c r="H3" s="99" t="s">
        <v>29</v>
      </c>
      <c r="I3" s="99" t="s">
        <v>30</v>
      </c>
      <c r="J3" s="99" t="s">
        <v>31</v>
      </c>
      <c r="K3" s="99" t="s">
        <v>29</v>
      </c>
      <c r="L3" s="99" t="s">
        <v>32</v>
      </c>
      <c r="M3" s="99" t="s">
        <v>33</v>
      </c>
      <c r="N3" s="99" t="s">
        <v>34</v>
      </c>
      <c r="O3" s="99" t="s">
        <v>35</v>
      </c>
      <c r="P3" s="99" t="s">
        <v>33</v>
      </c>
      <c r="Q3" s="101" t="s">
        <v>32</v>
      </c>
      <c r="R3" s="99" t="s">
        <v>33</v>
      </c>
      <c r="S3" s="102" t="s">
        <v>58</v>
      </c>
      <c r="T3" s="102" t="s">
        <v>33</v>
      </c>
      <c r="U3" s="102" t="s">
        <v>58</v>
      </c>
      <c r="V3" s="102" t="s">
        <v>33</v>
      </c>
      <c r="W3" s="99" t="s">
        <v>34</v>
      </c>
      <c r="X3" s="103" t="s">
        <v>36</v>
      </c>
      <c r="Y3" s="99" t="s">
        <v>37</v>
      </c>
      <c r="Z3" s="99" t="s">
        <v>32</v>
      </c>
      <c r="AA3" s="99" t="s">
        <v>37</v>
      </c>
      <c r="AB3" s="99" t="s">
        <v>30</v>
      </c>
      <c r="AC3" s="99" t="s">
        <v>38</v>
      </c>
      <c r="AD3" s="104" t="s">
        <v>31</v>
      </c>
      <c r="AE3" s="99" t="s">
        <v>37</v>
      </c>
      <c r="AF3" s="99" t="s">
        <v>32</v>
      </c>
      <c r="AG3" s="99" t="s">
        <v>37</v>
      </c>
      <c r="AH3" s="105"/>
      <c r="AI3" s="99" t="s">
        <v>37</v>
      </c>
      <c r="AJ3" s="106" t="s">
        <v>115</v>
      </c>
      <c r="AK3" s="106" t="s">
        <v>116</v>
      </c>
      <c r="AL3" s="101" t="s">
        <v>57</v>
      </c>
      <c r="AM3" s="107" t="s">
        <v>37</v>
      </c>
      <c r="AN3" s="101" t="s">
        <v>57</v>
      </c>
      <c r="AO3" s="107" t="s">
        <v>37</v>
      </c>
      <c r="AP3" s="98" t="s">
        <v>39</v>
      </c>
      <c r="AQ3" s="99" t="s">
        <v>56</v>
      </c>
      <c r="AR3" s="99" t="s">
        <v>40</v>
      </c>
      <c r="AS3" s="108" t="s">
        <v>57</v>
      </c>
      <c r="AT3" s="109" t="s">
        <v>37</v>
      </c>
      <c r="AU3" s="110" t="s">
        <v>61</v>
      </c>
      <c r="AV3" s="111" t="s">
        <v>37</v>
      </c>
      <c r="AW3" s="112" t="s">
        <v>39</v>
      </c>
      <c r="AX3" s="113" t="s">
        <v>39</v>
      </c>
      <c r="AY3" s="113" t="s">
        <v>60</v>
      </c>
      <c r="AZ3" s="113" t="s">
        <v>13</v>
      </c>
      <c r="BA3" s="105"/>
      <c r="BB3" s="98" t="s">
        <v>12</v>
      </c>
      <c r="BC3" s="106" t="s">
        <v>115</v>
      </c>
      <c r="BD3" s="106" t="s">
        <v>116</v>
      </c>
      <c r="BE3" s="113" t="s">
        <v>48</v>
      </c>
      <c r="BF3" s="113" t="s">
        <v>52</v>
      </c>
      <c r="BG3" s="114" t="s">
        <v>13</v>
      </c>
      <c r="BH3" s="115"/>
    </row>
    <row r="4" spans="1:110" ht="15" thickTop="1" x14ac:dyDescent="0.2">
      <c r="A4" s="46"/>
      <c r="B4" s="46"/>
      <c r="C4" s="46"/>
      <c r="D4" s="46"/>
      <c r="E4" s="156"/>
      <c r="F4" s="46"/>
      <c r="G4" s="157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8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5" customFormat="1" ht="15" x14ac:dyDescent="0.25">
      <c r="A5" s="116" t="s">
        <v>80</v>
      </c>
      <c r="B5" s="117" t="s">
        <v>111</v>
      </c>
      <c r="C5" s="116" t="s">
        <v>66</v>
      </c>
      <c r="D5" s="116">
        <v>3.8677800000000002</v>
      </c>
      <c r="E5" s="118" t="s">
        <v>67</v>
      </c>
      <c r="F5" s="116" t="s">
        <v>68</v>
      </c>
      <c r="G5" s="116">
        <v>3.8556E-2</v>
      </c>
      <c r="H5" s="118" t="s">
        <v>67</v>
      </c>
      <c r="I5" s="116"/>
      <c r="J5" s="116"/>
      <c r="K5" s="116" t="s">
        <v>69</v>
      </c>
      <c r="L5" s="119">
        <v>1.8037000000000001E-2</v>
      </c>
      <c r="M5" s="118" t="s">
        <v>67</v>
      </c>
      <c r="N5" s="120" t="s">
        <v>112</v>
      </c>
      <c r="O5" s="121"/>
      <c r="P5" s="117"/>
      <c r="Q5" s="122"/>
      <c r="R5" s="123"/>
      <c r="S5" s="124"/>
      <c r="T5" s="121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6"/>
      <c r="AI5" s="185"/>
      <c r="AJ5" s="184"/>
      <c r="AK5" s="185"/>
      <c r="AL5" s="185"/>
      <c r="AM5" s="185"/>
      <c r="AN5" s="126"/>
      <c r="AO5" s="182"/>
      <c r="AP5" s="126"/>
      <c r="AQ5" s="126"/>
      <c r="AR5" s="126"/>
      <c r="AS5" s="183"/>
      <c r="AT5" s="183"/>
      <c r="AU5" s="126"/>
      <c r="AV5" s="126"/>
      <c r="AW5" s="126"/>
      <c r="AX5" s="187"/>
      <c r="AY5" s="187"/>
      <c r="AZ5" s="187"/>
      <c r="BA5" s="126"/>
      <c r="BB5" s="188"/>
      <c r="BC5" s="126"/>
      <c r="BD5" s="184"/>
      <c r="BE5" s="126"/>
      <c r="BF5" s="189"/>
      <c r="BG5" s="190"/>
      <c r="BH5" s="126"/>
      <c r="BI5" s="126"/>
      <c r="BJ5" s="126"/>
      <c r="BK5" s="126"/>
      <c r="BL5" s="126"/>
      <c r="BM5" s="126"/>
      <c r="BN5" s="191"/>
      <c r="BO5" s="126"/>
      <c r="BP5" s="126"/>
      <c r="BQ5" s="126"/>
      <c r="BR5" s="126"/>
      <c r="BS5" s="126"/>
      <c r="BT5" s="126"/>
      <c r="BU5" s="126"/>
      <c r="BV5" s="126"/>
      <c r="BW5" s="126"/>
      <c r="BX5" s="126"/>
      <c r="BY5" s="126"/>
      <c r="BZ5" s="126"/>
      <c r="CA5" s="126"/>
      <c r="CB5" s="126"/>
      <c r="CC5" s="126"/>
      <c r="CD5" s="126"/>
      <c r="CE5" s="126"/>
      <c r="CF5" s="126"/>
      <c r="CG5" s="126"/>
      <c r="CH5" s="126"/>
      <c r="CI5" s="126"/>
      <c r="CJ5" s="126"/>
      <c r="CK5" s="126"/>
      <c r="CL5" s="126"/>
      <c r="CM5" s="126"/>
      <c r="CN5" s="126"/>
      <c r="CO5" s="126"/>
      <c r="CP5" s="126"/>
      <c r="CQ5" s="126"/>
      <c r="CR5" s="126"/>
      <c r="CS5" s="126"/>
      <c r="CT5" s="126"/>
      <c r="CU5" s="126"/>
      <c r="CV5" s="126"/>
      <c r="CW5" s="126"/>
      <c r="CX5" s="126"/>
      <c r="CY5" s="126"/>
      <c r="CZ5" s="126"/>
      <c r="DA5" s="126"/>
      <c r="DB5" s="126"/>
      <c r="DC5" s="126"/>
      <c r="DD5" s="126"/>
      <c r="DE5" s="126"/>
      <c r="DF5" s="126"/>
    </row>
    <row r="6" spans="1:110" ht="15" x14ac:dyDescent="0.25">
      <c r="A6" s="125"/>
      <c r="B6" s="126"/>
      <c r="C6" s="125"/>
      <c r="D6" s="125"/>
      <c r="E6" s="127"/>
      <c r="F6" s="125"/>
      <c r="G6" s="125"/>
      <c r="H6" s="127"/>
      <c r="I6" s="125"/>
      <c r="J6" s="125"/>
      <c r="K6" s="125"/>
      <c r="L6" s="128"/>
      <c r="M6" s="127"/>
      <c r="N6" s="18"/>
      <c r="O6" s="129"/>
      <c r="P6" s="18"/>
      <c r="Q6" s="130"/>
      <c r="R6" s="131"/>
      <c r="S6" s="132"/>
      <c r="T6" s="129"/>
      <c r="U6" s="129"/>
      <c r="V6" s="129"/>
      <c r="W6" s="133"/>
      <c r="X6" s="129"/>
      <c r="Y6" s="129"/>
      <c r="Z6" s="129"/>
      <c r="AA6" s="129"/>
      <c r="AB6" s="134"/>
      <c r="AC6" s="134"/>
      <c r="AD6" s="129"/>
      <c r="AE6" s="129"/>
      <c r="AF6" s="129"/>
      <c r="AG6" s="129"/>
      <c r="AH6" s="18"/>
      <c r="AI6" s="133"/>
      <c r="AJ6" s="132"/>
      <c r="AK6" s="133"/>
      <c r="AL6" s="133"/>
      <c r="AM6" s="133"/>
      <c r="AN6" s="18"/>
      <c r="AO6" s="129"/>
      <c r="AP6" s="18"/>
      <c r="AQ6" s="18"/>
      <c r="AR6" s="18"/>
      <c r="AS6" s="131"/>
      <c r="AT6" s="131"/>
      <c r="AU6" s="18"/>
      <c r="AV6" s="18"/>
      <c r="AW6" s="18"/>
      <c r="AX6" s="135"/>
      <c r="AY6" s="135"/>
      <c r="AZ6" s="135"/>
      <c r="BA6" s="18"/>
      <c r="BB6" s="136"/>
      <c r="BC6" s="18"/>
      <c r="BD6" s="132"/>
      <c r="BE6" s="18"/>
      <c r="BF6" s="137"/>
      <c r="BG6" s="20"/>
      <c r="BH6" s="18"/>
      <c r="BI6" s="18"/>
      <c r="BJ6" s="18"/>
      <c r="BK6" s="18"/>
      <c r="BL6" s="18"/>
      <c r="BM6" s="18"/>
      <c r="BN6" s="159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8">
        <f>Input!A7</f>
        <v>10815</v>
      </c>
      <c r="B7" s="138" t="str">
        <f>Input!B7</f>
        <v>Hu1-13</v>
      </c>
      <c r="C7" s="138">
        <f>Input!O7</f>
        <v>2.0903104814436499</v>
      </c>
      <c r="D7" s="138">
        <f>C7*Input!P7/100</f>
        <v>1.1145844830528167E-2</v>
      </c>
      <c r="E7" s="139">
        <f>Input!M7</f>
        <v>2.7326004837481932</v>
      </c>
      <c r="F7" s="140">
        <f>E7*Input!N7/100</f>
        <v>1.9506903515439055E-4</v>
      </c>
      <c r="G7" s="141">
        <f>E7*137.88</f>
        <v>376.77095469920084</v>
      </c>
      <c r="H7" s="140">
        <f>G7*Input!L7/100</f>
        <v>1.707262754596043E-2</v>
      </c>
      <c r="I7" s="138">
        <v>0</v>
      </c>
      <c r="J7" s="142">
        <f>(((C7*Constants!$B$24*0.000000001*Input!G7*(Constants!$B$4/Constants!$B$3))-(I7*0.000000000000001))/Input!F7)*1000000000000</f>
        <v>754.68055967822056</v>
      </c>
      <c r="K7" s="138">
        <f>J7*Input!P7/100</f>
        <v>4.0240684288107538</v>
      </c>
      <c r="L7" s="143">
        <f>(J7/Constants!$B$4)*602200000000*Constants!$B$17/(365.2425*24*60)</f>
        <v>10.419203059382474</v>
      </c>
      <c r="M7" s="144">
        <f>L7*Input!P7/100</f>
        <v>5.5556732642624909E-2</v>
      </c>
      <c r="N7" s="138">
        <v>0</v>
      </c>
      <c r="O7" s="142">
        <f>(((G7*Constants!$B$23*0.000000001*Input!G7*(Constants!$B$7/Constants!$B$6))-(N7*0.000000001))/Input!F7)*1000000</f>
        <v>13.702861900025455</v>
      </c>
      <c r="P7" s="138">
        <f>O7*Input!N7/100</f>
        <v>9.7819057911655537E-4</v>
      </c>
      <c r="Q7" s="145">
        <f>(O7/Constants!$B$7)*602200000000000000*Constants!$B$18/(365.2425*24*60)</f>
        <v>10.223989714008182</v>
      </c>
      <c r="R7" s="146">
        <f>Q7*Input!N7/100</f>
        <v>7.2984829681519228E-4</v>
      </c>
      <c r="S7" s="144">
        <f>Input!S7*Constants!$B$17/Constants!$B$18</f>
        <v>0.99982777629865893</v>
      </c>
      <c r="T7" s="138">
        <f>S7*Input!T7/100</f>
        <v>9.8937845435632249E-4</v>
      </c>
      <c r="U7" s="144">
        <f>S7</f>
        <v>0.99982777629865893</v>
      </c>
      <c r="V7" s="138">
        <f>U7*Input!T7/100</f>
        <v>9.8937845435632249E-4</v>
      </c>
      <c r="W7" s="147">
        <v>0</v>
      </c>
      <c r="X7" s="142">
        <f>(((Constants!$B$25*0.000000001*Input!G7/Input!W7*(Constants!$B$11/Constants!$B$9))-(W7*0.000000001))/Input!F7)*1000000000</f>
        <v>0.89229610430290107</v>
      </c>
      <c r="Y7" s="142">
        <f>X7*Input!X7/100</f>
        <v>5.0855753775715263E-3</v>
      </c>
      <c r="Z7" s="142">
        <f>(X7/Constants!$B$11)*6.022E+23*0.000000001*Constants!$B$19/(365.2425*24*60)</f>
        <v>2.1783832586086142E-4</v>
      </c>
      <c r="AA7" s="142">
        <f>Z7*Input!X7/100</f>
        <v>1.2415533598624024E-6</v>
      </c>
      <c r="AB7" s="143">
        <v>0</v>
      </c>
      <c r="AC7" s="143">
        <v>0.9</v>
      </c>
      <c r="AD7" s="142">
        <f>(((Input!G7*Constants!$B$25*0.000000001*Input!U7*(Constants!$B$10/Constants!$B$9))-((AB7*0.000000000000001)+(Input!G7*AC7*0.000000000000001)))/Input!F7)*1000000000000</f>
        <v>222.74552132170422</v>
      </c>
      <c r="AE7" s="142">
        <f>AD7*Input!V7/100</f>
        <v>0.6157925463763313</v>
      </c>
      <c r="AF7" s="142">
        <f>(AD7/Constants!$B$10)*602200000000*Constants!$B$16/(365.2425*24*60)</f>
        <v>10.167368218175486</v>
      </c>
      <c r="AG7" s="142">
        <f>AF7*Input!V7/100</f>
        <v>2.8108262414728951E-2</v>
      </c>
      <c r="AH7" s="138">
        <f>AF7/Z7</f>
        <v>46673.91827400303</v>
      </c>
      <c r="AI7" s="147">
        <f>AH7*SQRT((AG7/AF7)^2+(AA7/Z7)^2)</f>
        <v>295.65717044756207</v>
      </c>
      <c r="AJ7" s="144">
        <f t="shared" ref="AJ7:AJ9" si="0">(U7-1)*1000</f>
        <v>-0.17222370134106768</v>
      </c>
      <c r="AK7" s="147">
        <f>V7*1000</f>
        <v>0.98937845435632243</v>
      </c>
      <c r="AL7" s="147">
        <f>AF7/Q7</f>
        <v>0.99446189820055109</v>
      </c>
      <c r="AM7" s="147">
        <f>AL7*SQRT((R7/Q7)^2+(AG7/AF7)^2)</f>
        <v>2.7501623590841409E-3</v>
      </c>
      <c r="AN7" s="138">
        <f>AF7/Q7</f>
        <v>0.99446189820055109</v>
      </c>
      <c r="AO7" s="142">
        <f>AN7*SQRT((R7/Q7)^2+(AG7/AF7)^2)</f>
        <v>2.7501623590841409E-3</v>
      </c>
      <c r="AP7" s="138">
        <f t="shared" ref="AP7:AP9" si="1">ThU_Alter_Kombi(AN7,U7)</f>
        <v>571.48569999999995</v>
      </c>
      <c r="AQ7" s="138" t="e">
        <f t="shared" ref="AQ7:AQ9" si="2">Montealter(AN7,AO7,U7,V7)</f>
        <v>#VALUE!</v>
      </c>
      <c r="AR7" s="138" t="e">
        <f>(AQ7/AP7)*100</f>
        <v>#VALUE!</v>
      </c>
      <c r="AS7" s="146">
        <f t="shared" ref="AS7:AS21" si="3">Z7/Q7</f>
        <v>2.1306586954248875E-5</v>
      </c>
      <c r="AT7" s="146">
        <f t="shared" ref="AT7:AT21" si="4">AS7*SQRT((Y7/X7)^2+(P7/O7)^2)</f>
        <v>1.2144483484556861E-7</v>
      </c>
      <c r="AU7" s="138">
        <v>0.75</v>
      </c>
      <c r="AV7" s="138">
        <f>AU7/2</f>
        <v>0.375</v>
      </c>
      <c r="AW7" s="138">
        <f t="shared" ref="AW7:AW21" si="5">marincorr_age(AN7,U7,AS7,AU7)</f>
        <v>571.48389999999995</v>
      </c>
      <c r="AX7" s="148">
        <f t="shared" ref="AX7:AX21" si="6">marincorr_age_error(AN7, AO7, U7, V7, AS7, AT7, AU7, AV7)</f>
        <v>151.35194514119999</v>
      </c>
      <c r="AY7" s="148">
        <f t="shared" ref="AY7:AY21" si="7"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63.153018874209067</v>
      </c>
      <c r="AZ7" s="149">
        <f t="shared" ref="AZ7:AZ21" si="8">AX7/AW7</f>
        <v>0.26484026083884427</v>
      </c>
      <c r="BA7" s="138" t="str">
        <f>Input!B7</f>
        <v>Hu1-13</v>
      </c>
      <c r="BB7" s="150">
        <f>Input!E7</f>
        <v>0</v>
      </c>
      <c r="BC7" s="138">
        <f>((U7-1)*EXP(Constants!$B$17*AW7*1000))*1000</f>
        <v>-0.86398557737022996</v>
      </c>
      <c r="BD7" s="144">
        <f>SQRT((EXP(Constants!$B$17*AW7*1000)*V7)^2+((U7-1)*Constants!$B$17*EXP(Constants!$B$17*AW7*1000)*AY7*1000)^2)*1000</f>
        <v>4.9657507541367227</v>
      </c>
      <c r="BE7" s="138">
        <f t="shared" ref="BE7:BE9" si="9">AW7*1000-58</f>
        <v>571425.89999999991</v>
      </c>
      <c r="BF7" s="151">
        <f t="shared" ref="BF7:BF9" si="10">AY7/2*1000</f>
        <v>31576.509437104534</v>
      </c>
      <c r="BG7" s="160">
        <f t="shared" ref="BG7:BG9" si="11">AY7/AW7*100</f>
        <v>11.050708318153681</v>
      </c>
      <c r="BH7" s="138"/>
      <c r="BI7" s="18"/>
      <c r="BJ7" s="18"/>
      <c r="BK7" s="18"/>
      <c r="BL7" s="18"/>
      <c r="BM7" s="18"/>
      <c r="BN7" s="159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10919</v>
      </c>
      <c r="B8" s="18" t="str">
        <f>Input!B8</f>
        <v>SO236_7_1</v>
      </c>
      <c r="C8" s="18">
        <f>Input!O8</f>
        <v>2.1143098741483932</v>
      </c>
      <c r="D8" s="18">
        <f>C8*Input!P8/100</f>
        <v>3.632406081458281E-3</v>
      </c>
      <c r="E8" s="152">
        <f>Input!M8</f>
        <v>2.456146164473517</v>
      </c>
      <c r="F8" s="153">
        <f>E8*Input!N8/100</f>
        <v>1.1180401947495274E-4</v>
      </c>
      <c r="G8" s="21">
        <f>E8*137.88</f>
        <v>338.6534331576085</v>
      </c>
      <c r="H8" s="153">
        <f>G8*Input!L8/100</f>
        <v>2.1118999709648981E-2</v>
      </c>
      <c r="I8" s="18">
        <v>0.3</v>
      </c>
      <c r="J8" s="129">
        <f>(((C8*Constants!$B$24*0.000000001*Input!G8*(Constants!$B$4/Constants!$B$3))-(I8*0.000000000000001))/Input!F8)*1000000000000</f>
        <v>236.42597564456642</v>
      </c>
      <c r="K8" s="18">
        <f>J8*Input!P8/100</f>
        <v>0.40618225466687469</v>
      </c>
      <c r="L8" s="134">
        <f>(J8/Constants!$B$4)*602200000000*Constants!$B$17/(365.2425*24*60)</f>
        <v>3.2641231010424856</v>
      </c>
      <c r="M8" s="132">
        <f>L8*Input!P8/100</f>
        <v>5.6077970158611799E-3</v>
      </c>
      <c r="N8" s="18">
        <v>5.0000000000000001E-3</v>
      </c>
      <c r="O8" s="129">
        <f>(((G8*Constants!$B$23*0.000000001*Input!G8*(Constants!$B$7/Constants!$B$6))-(N8*0.000000001))/Input!F8)*1000000</f>
        <v>3.8147254189337043</v>
      </c>
      <c r="P8" s="18">
        <f>O8*Input!N8/100</f>
        <v>1.7364668324675343E-4</v>
      </c>
      <c r="Q8" s="130">
        <f>(O8/Constants!$B$7)*602200000000000000*Constants!$B$18/(365.2425*24*60)</f>
        <v>2.8462458229161078</v>
      </c>
      <c r="R8" s="131">
        <f>Q8*Input!N8/100</f>
        <v>1.2956139500925316E-4</v>
      </c>
      <c r="S8" s="132">
        <f>Input!S8*Constants!$B$17/Constants!$B$18</f>
        <v>1.1384765822114851</v>
      </c>
      <c r="T8" s="18">
        <f>S8*Input!T8/100</f>
        <v>6.4087509057384525E-4</v>
      </c>
      <c r="U8" s="18">
        <f>S8*1/((U7+U9)/2)</f>
        <v>1.1384563429223404</v>
      </c>
      <c r="V8" s="18">
        <f>U8*Input!T8/100</f>
        <v>6.4086369740470471E-4</v>
      </c>
      <c r="W8" s="133">
        <v>3.0000000000000001E-3</v>
      </c>
      <c r="X8" s="129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0.58122792514230925</v>
      </c>
      <c r="Y8" s="129">
        <f>X8*Input!X8/100</f>
        <v>8.5350946863662139E-4</v>
      </c>
      <c r="Z8" s="129">
        <f>(X8/Constants!$B$11)*6.022E+23*0.000000001*Constants!$B$19/(365.2425*24*60)</f>
        <v>1.4189652688834572E-4</v>
      </c>
      <c r="AA8" s="129">
        <f>Z8*Input!X8/100</f>
        <v>2.0836925417202061E-7</v>
      </c>
      <c r="AB8" s="134">
        <v>0.05</v>
      </c>
      <c r="AC8" s="134">
        <v>0.9</v>
      </c>
      <c r="AD8" s="129">
        <f>(((Input!G8*Constants!$B$25*0.000000001*Input!U8*(Constants!$B$10/Constants!$B$9))-((AB8*0.000000000000001)+(Input!G8*AC8*0.000000000000001)))/Input!F8)*1000000000000</f>
        <v>12.643397648196322</v>
      </c>
      <c r="AE8" s="129">
        <f>AD8*Input!V8/100</f>
        <v>2.9825518912393444E-2</v>
      </c>
      <c r="AF8" s="129">
        <f>(AD8/Constants!$B$10)*602200000000*Constants!$B$16/(365.2425*24*60)</f>
        <v>0.57711633731286227</v>
      </c>
      <c r="AG8" s="129">
        <f>AF8*Input!V8/100</f>
        <v>1.361405748053139E-3</v>
      </c>
      <c r="AH8" s="18">
        <f>AF8/Z8</f>
        <v>4067.1632348477315</v>
      </c>
      <c r="AI8" s="133">
        <f>AH8*SQRT((AG8/AF8)^2+(AA8/Z8)^2)</f>
        <v>11.301414788374437</v>
      </c>
      <c r="AJ8" s="132">
        <f t="shared" si="0"/>
        <v>138.45634292234044</v>
      </c>
      <c r="AK8" s="133">
        <f>V8*1000</f>
        <v>0.64086369740470472</v>
      </c>
      <c r="AL8" s="133">
        <f>AF8/Q8</f>
        <v>0.20276405244631346</v>
      </c>
      <c r="AM8" s="133">
        <f>AL8*SQRT((R8/Q8)^2+(AG8/AF8)^2)</f>
        <v>4.7840533557881587E-4</v>
      </c>
      <c r="AN8" s="18">
        <f>AL8*1/((AN7+AN9)/2)</f>
        <v>0.20340381245177225</v>
      </c>
      <c r="AO8" s="129">
        <f>AN8*SQRT((R8/Q8)^2+(AG8/AF8)^2)</f>
        <v>4.7991479742083765E-4</v>
      </c>
      <c r="AP8" s="18">
        <f>ThU_Alter_Kombi(AN8,U8)</f>
        <v>21.377400000000002</v>
      </c>
      <c r="AQ8" s="18">
        <f t="shared" si="2"/>
        <v>5.9700000000000003E-2</v>
      </c>
      <c r="AR8" s="154">
        <f>(AQ8/AP8)</f>
        <v>2.7926688933172417E-3</v>
      </c>
      <c r="AS8" s="131">
        <f t="shared" si="3"/>
        <v>4.9853925386868484E-5</v>
      </c>
      <c r="AT8" s="131">
        <f t="shared" si="4"/>
        <v>7.3243618136125468E-8</v>
      </c>
      <c r="AU8" s="18">
        <v>8</v>
      </c>
      <c r="AV8" s="18">
        <f>AU8/2</f>
        <v>4</v>
      </c>
      <c r="AW8" s="18">
        <f t="shared" si="5"/>
        <v>21.339500000000001</v>
      </c>
      <c r="AX8" s="135">
        <f t="shared" si="6"/>
        <v>6.3097912300000003E-2</v>
      </c>
      <c r="AY8" s="135">
        <f t="shared" si="7"/>
        <v>6.0267997113946759E-2</v>
      </c>
      <c r="AZ8" s="154">
        <f t="shared" si="8"/>
        <v>2.9568599217413716E-3</v>
      </c>
      <c r="BA8" s="18" t="str">
        <f>Input!B8</f>
        <v>SO236_7_1</v>
      </c>
      <c r="BB8" s="136">
        <f>Input!E8</f>
        <v>0</v>
      </c>
      <c r="BC8" s="18">
        <f>((U8-1)*EXP(Constants!$B$17*AW8*1000))*1000</f>
        <v>147.05055096062623</v>
      </c>
      <c r="BD8" s="132">
        <f>SQRT((EXP(Constants!$B$17*AW8*1000)*V8)^2+((U8-1)*Constants!$B$17*EXP(Constants!$B$17*AW8*1000)*AY8*1000)^2)*1000</f>
        <v>0.68110248809862017</v>
      </c>
      <c r="BE8" s="18">
        <f t="shared" si="9"/>
        <v>21281.5</v>
      </c>
      <c r="BF8" s="137">
        <f t="shared" si="10"/>
        <v>30.133998556973378</v>
      </c>
      <c r="BG8" s="20">
        <f t="shared" si="11"/>
        <v>0.28242459811123388</v>
      </c>
      <c r="BH8" s="18"/>
      <c r="BI8" s="18"/>
      <c r="BJ8" s="18"/>
      <c r="BK8" s="18"/>
      <c r="BL8" s="18"/>
      <c r="BM8" s="18"/>
      <c r="BN8" s="159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8">
        <f>Input!A9</f>
        <v>10815</v>
      </c>
      <c r="B9" s="138" t="str">
        <f>Input!B9</f>
        <v>Hu1-13</v>
      </c>
      <c r="C9" s="138">
        <f>Input!O9</f>
        <v>2.0962820075561166</v>
      </c>
      <c r="D9" s="138">
        <f>C9*Input!P9/100</f>
        <v>1.0071707038959137E-2</v>
      </c>
      <c r="E9" s="139">
        <f>Input!M9</f>
        <v>2.7321056970071709</v>
      </c>
      <c r="F9" s="140">
        <f>E9*Input!N9/100</f>
        <v>2.5818792755030626E-4</v>
      </c>
      <c r="G9" s="141">
        <f t="shared" ref="G9" si="12">E9*137.88</f>
        <v>376.70273350334872</v>
      </c>
      <c r="H9" s="140">
        <f>G9*Input!L9/100</f>
        <v>1.9893634634422019E-2</v>
      </c>
      <c r="I9" s="138">
        <v>0</v>
      </c>
      <c r="J9" s="142">
        <f>(((C9*Constants!$B$24*0.000000001*Input!G9*(Constants!$B$4/Constants!$B$3))-(I9*0.000000000000001))/Input!F9)*1000000000000</f>
        <v>756.83650479197104</v>
      </c>
      <c r="K9" s="138">
        <f>J9*Input!P9/100</f>
        <v>3.6362643600329001</v>
      </c>
      <c r="L9" s="143">
        <f>(J9/Constants!$B$4)*602200000000*Constants!$B$17/(365.2425*24*60)</f>
        <v>10.44896827545565</v>
      </c>
      <c r="M9" s="144">
        <f>L9*Input!P9/100</f>
        <v>5.0202666888534163E-2</v>
      </c>
      <c r="N9" s="138">
        <v>0</v>
      </c>
      <c r="O9" s="142">
        <f>(((G9*Constants!$B$23*0.000000001*Input!G9*(Constants!$B$7/Constants!$B$6))-(N9*0.000000001))/Input!F9)*1000000</f>
        <v>13.700380749040338</v>
      </c>
      <c r="P9" s="138">
        <f>O9*Input!N9/100</f>
        <v>1.2947057341594326E-3</v>
      </c>
      <c r="Q9" s="145">
        <f>(O9/Constants!$B$7)*602200000000000000*Constants!$B$18/(365.2425*24*60)</f>
        <v>10.222138475753296</v>
      </c>
      <c r="R9" s="146">
        <f>Q9*Input!N9/100</f>
        <v>9.6600682436191363E-4</v>
      </c>
      <c r="S9" s="144">
        <f>Input!S9*Constants!$B$17/Constants!$B$18</f>
        <v>1.0002077793715616</v>
      </c>
      <c r="T9" s="138">
        <f>S9*Input!T9/100</f>
        <v>1.3966135550658038E-3</v>
      </c>
      <c r="U9" s="144">
        <f>S9</f>
        <v>1.0002077793715616</v>
      </c>
      <c r="V9" s="138">
        <f>U9*Input!T9/100</f>
        <v>1.3966135550658038E-3</v>
      </c>
      <c r="W9" s="147">
        <v>0</v>
      </c>
      <c r="X9" s="142">
        <f>(((Constants!$B$25*0.000000001*Input!G9/Input!W9*(Constants!$B$11/Constants!$B$9))-(W9*0.000000001))/Input!F9)*1000000000</f>
        <v>0.88429858064144207</v>
      </c>
      <c r="Y9" s="142">
        <f>X9*Input!X9/100</f>
        <v>2.9087921548889462E-3</v>
      </c>
      <c r="Z9" s="142">
        <f>(X9/Constants!$B$11)*6.022E+23*0.000000001*Constants!$B$19/(365.2425*24*60)</f>
        <v>2.1588587178531004E-4</v>
      </c>
      <c r="AA9" s="142">
        <f>Z9*Input!X9/100</f>
        <v>7.1013020256683356E-7</v>
      </c>
      <c r="AB9" s="143">
        <v>0</v>
      </c>
      <c r="AC9" s="143">
        <v>0.9</v>
      </c>
      <c r="AD9" s="142">
        <f>(((Input!G9*Constants!$B$25*0.000000001*Input!U9*(Constants!$B$10/Constants!$B$9))-((AB9*0.000000000000001)+(Input!G9*AC9*0.000000000000001)))/Input!F9)*1000000000000</f>
        <v>223.77691645743397</v>
      </c>
      <c r="AE9" s="142">
        <f>AD9*Input!V9/100</f>
        <v>0.50593988149525915</v>
      </c>
      <c r="AF9" s="142">
        <f>(AD9/Constants!$B$10)*602200000000*Constants!$B$16/(365.2425*24*60)</f>
        <v>10.214446938596781</v>
      </c>
      <c r="AG9" s="142">
        <f>AF9*Input!V9/100</f>
        <v>2.3093964093639154E-2</v>
      </c>
      <c r="AH9" s="138">
        <f t="shared" ref="AH9" si="13">AF9/Z9</f>
        <v>47314.105615742403</v>
      </c>
      <c r="AI9" s="147">
        <f t="shared" ref="AI9" si="14">AH9*SQRT((AG9/AF9)^2+(AA9/Z9)^2)</f>
        <v>188.85221787826225</v>
      </c>
      <c r="AJ9" s="144">
        <f t="shared" si="0"/>
        <v>0.20777937156157833</v>
      </c>
      <c r="AK9" s="147">
        <f t="shared" ref="AK9" si="15">V9*1000</f>
        <v>1.3966135550658039</v>
      </c>
      <c r="AL9" s="147">
        <f t="shared" ref="AL9" si="16">AF9/Q9</f>
        <v>0.99924756085287259</v>
      </c>
      <c r="AM9" s="147">
        <f t="shared" ref="AM9" si="17">AL9*SQRT((R9/Q9)^2+(AG9/AF9)^2)</f>
        <v>2.2611832835853639E-3</v>
      </c>
      <c r="AN9" s="138">
        <f>AF9/Q9</f>
        <v>0.99924756085287259</v>
      </c>
      <c r="AO9" s="142">
        <f t="shared" ref="AO9" si="18">AN9*SQRT((R9/Q9)^2+(AG9/AF9)^2)</f>
        <v>2.2611832835853639E-3</v>
      </c>
      <c r="AP9" s="138">
        <f t="shared" si="1"/>
        <v>747.93859999999995</v>
      </c>
      <c r="AQ9" s="138" t="e">
        <f t="shared" si="2"/>
        <v>#VALUE!</v>
      </c>
      <c r="AR9" s="138" t="e">
        <f>(AQ9/AP9)*100</f>
        <v>#VALUE!</v>
      </c>
      <c r="AS9" s="146">
        <f t="shared" si="3"/>
        <v>2.1119443088878802E-5</v>
      </c>
      <c r="AT9" s="146">
        <f t="shared" si="4"/>
        <v>6.9498491371204141E-8</v>
      </c>
      <c r="AU9" s="138">
        <v>0.75</v>
      </c>
      <c r="AV9" s="138">
        <f t="shared" ref="AV9" si="19">AU9/2</f>
        <v>0.375</v>
      </c>
      <c r="AW9" s="138">
        <f t="shared" si="5"/>
        <v>747.93690000000004</v>
      </c>
      <c r="AX9" s="148">
        <f t="shared" si="6"/>
        <v>351.6343621474</v>
      </c>
      <c r="AY9" s="148">
        <f t="shared" si="7"/>
        <v>310.57990352428567</v>
      </c>
      <c r="AZ9" s="149">
        <f t="shared" si="8"/>
        <v>0.47013907476339245</v>
      </c>
      <c r="BA9" s="138" t="str">
        <f>Input!B9</f>
        <v>Hu1-13</v>
      </c>
      <c r="BB9" s="150">
        <f>Input!E9</f>
        <v>0</v>
      </c>
      <c r="BC9" s="138">
        <f>((U9-1)*EXP(Constants!$B$17*AW9*1000))*1000</f>
        <v>1.7150535971843033</v>
      </c>
      <c r="BD9" s="144">
        <f>SQRT((EXP(Constants!$B$17*AW9*1000)*V9)^2+((U9-1)*Constants!$B$17*EXP(Constants!$B$17*AW9*1000)*AY9*1000)^2)*1000</f>
        <v>11.625528046469926</v>
      </c>
      <c r="BE9" s="138">
        <f t="shared" si="9"/>
        <v>747878.9</v>
      </c>
      <c r="BF9" s="151">
        <f t="shared" si="10"/>
        <v>155289.95176214282</v>
      </c>
      <c r="BG9" s="160">
        <f t="shared" si="11"/>
        <v>41.524880444364442</v>
      </c>
      <c r="BH9" s="138"/>
      <c r="BI9" s="18"/>
      <c r="BJ9" s="18"/>
      <c r="BK9" s="18"/>
      <c r="BL9" s="18"/>
      <c r="BM9" s="18"/>
      <c r="BN9" s="159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>
        <f>Input!A10</f>
        <v>10920</v>
      </c>
      <c r="B10" s="18" t="str">
        <f>Input!B10</f>
        <v>SO236_7_2</v>
      </c>
      <c r="C10" s="18">
        <f>Input!O10</f>
        <v>2.3128850367962439</v>
      </c>
      <c r="D10" s="18">
        <f>C10*Input!P10/100</f>
        <v>3.6468366452511057E-3</v>
      </c>
      <c r="E10" s="152">
        <f>Input!M10</f>
        <v>2.6855310285679046</v>
      </c>
      <c r="F10" s="153">
        <f>E10*Input!N10/100</f>
        <v>9.7685046603924398E-5</v>
      </c>
      <c r="G10" s="21">
        <f>E10*137.88</f>
        <v>370.28101821894268</v>
      </c>
      <c r="H10" s="153">
        <f>G10*Input!L10/100</f>
        <v>1.5285844097574131E-2</v>
      </c>
      <c r="I10" s="18">
        <v>0.3</v>
      </c>
      <c r="J10" s="129">
        <f>(((C10*Constants!$B$24*0.000000001*Input!G10*(Constants!$B$4/Constants!$B$3))-(I10*0.000000000000001))/Input!F10)*1000000000000</f>
        <v>216.57328822138953</v>
      </c>
      <c r="K10" s="18">
        <f>J10*Input!P10/100</f>
        <v>0.34148147932260237</v>
      </c>
      <c r="L10" s="134">
        <f>(J10/Constants!$B$4)*602200000000*Constants!$B$17/(365.2425*24*60)</f>
        <v>2.9900347084320753</v>
      </c>
      <c r="M10" s="132">
        <f>L10*Input!P10/100</f>
        <v>4.7145309740024973E-3</v>
      </c>
      <c r="N10" s="18">
        <v>5.0000000000000001E-3</v>
      </c>
      <c r="O10" s="129">
        <f>(((G10*Constants!$B$23*0.000000001*Input!G10*(Constants!$B$7/Constants!$B$6))-(N10*0.000000001))/Input!F10)*1000000</f>
        <v>3.4927182914369013</v>
      </c>
      <c r="P10" s="18">
        <f>O10*Input!N10/100</f>
        <v>1.2704613927150751E-4</v>
      </c>
      <c r="Q10" s="130">
        <f>(O10/Constants!$B$7)*602200000000000000*Constants!$B$18/(365.2425*24*60)</f>
        <v>2.6059896207165867</v>
      </c>
      <c r="R10" s="131">
        <f>Q10*Input!N10/100</f>
        <v>9.4791761793492987E-5</v>
      </c>
      <c r="S10" s="132">
        <f>Input!S10*Constants!$B$17/Constants!$B$18</f>
        <v>1.1376779759662206</v>
      </c>
      <c r="T10" s="18">
        <f>S10*Input!T10/100</f>
        <v>4.8940984764643232E-4</v>
      </c>
      <c r="U10" s="18">
        <f>S10*1/((U9+U11)/2)</f>
        <v>1.1380006403308873</v>
      </c>
      <c r="V10" s="18">
        <f>U10*Input!T10/100</f>
        <v>4.8954865240567757E-4</v>
      </c>
      <c r="W10" s="133">
        <v>3.0000000000000001E-3</v>
      </c>
      <c r="X10" s="129">
        <f>IF((((Constants!$B$25*0.000000001*Input!G10/Input!W10*(Constants!$B$11/Constants!$B$9))-(W10*0.000000001))/Input!F10)*1000000000&lt;0, "n.d.", (((Constants!$B$25*0.000000001*Input!G10/Input!W10*(Constants!$B$11/Constants!$B$9))-(W10*0.000000001))/Input!F10)*1000000000)</f>
        <v>0.60711287808861247</v>
      </c>
      <c r="Y10" s="129">
        <f>X10*Input!X10/100</f>
        <v>1.0373494272064312E-3</v>
      </c>
      <c r="Z10" s="129">
        <f>(X10/Constants!$B$11)*6.022E+23*0.000000001*Constants!$B$19/(365.2425*24*60)</f>
        <v>1.4821588073021314E-4</v>
      </c>
      <c r="AA10" s="129">
        <f>Z10*Input!X10/100</f>
        <v>2.5325053137143659E-7</v>
      </c>
      <c r="AB10" s="134">
        <v>0.05</v>
      </c>
      <c r="AC10" s="134">
        <v>0.9</v>
      </c>
      <c r="AD10" s="129">
        <f>(((Input!G10*Constants!$B$25*0.000000001*Input!U10*(Constants!$B$10/Constants!$B$9))-((AB10*0.000000000000001)+(Input!G10*AC10*0.000000000000001)))/Input!F10)*1000000000000</f>
        <v>11.617611970191827</v>
      </c>
      <c r="AE10" s="129">
        <f>AD10*Input!V10/100</f>
        <v>2.1819783086832644E-2</v>
      </c>
      <c r="AF10" s="129">
        <f>(AD10/Constants!$B$10)*602200000000*Constants!$B$16/(365.2425*24*60)</f>
        <v>0.53029366433916203</v>
      </c>
      <c r="AG10" s="129">
        <f>AF10*Input!V10/100</f>
        <v>9.9597858474619874E-4</v>
      </c>
      <c r="AH10" s="18">
        <f>AF10/Z10</f>
        <v>3577.8464610308392</v>
      </c>
      <c r="AI10" s="133">
        <f>AH10*SQRT((AG10/AF10)^2+(AA10/Z10)^2)</f>
        <v>9.0845033657348413</v>
      </c>
      <c r="AJ10" s="132">
        <f t="shared" ref="AJ10:AJ13" si="20">(U10-1)*1000</f>
        <v>138.00064033088734</v>
      </c>
      <c r="AK10" s="133">
        <f>V10*1000</f>
        <v>0.48954865240567758</v>
      </c>
      <c r="AL10" s="133">
        <f>AF10/Q10</f>
        <v>0.20349032096042791</v>
      </c>
      <c r="AM10" s="133">
        <f>AL10*SQRT((R10/Q10)^2+(AG10/AF10)^2)</f>
        <v>3.8225990894261125E-4</v>
      </c>
      <c r="AN10" s="18">
        <f>AL10*1/((AN9+AN11)/2)</f>
        <v>0.20391537379313579</v>
      </c>
      <c r="AO10" s="129">
        <f>AN10*SQRT((R10/Q10)^2+(AG10/AF10)^2)</f>
        <v>3.8305837766760929E-4</v>
      </c>
      <c r="AP10" s="18">
        <f>ThU_Alter_Kombi(AN10,U10)</f>
        <v>21.446300000000001</v>
      </c>
      <c r="AQ10" s="18">
        <f t="shared" ref="AQ10:AQ13" si="21">Montealter(AN10,AO10,U10,V10)</f>
        <v>4.3799999999999999E-2</v>
      </c>
      <c r="AR10" s="154">
        <f>(AQ10/AP10)</f>
        <v>2.0423103285881479E-3</v>
      </c>
      <c r="AS10" s="131">
        <f t="shared" si="3"/>
        <v>5.6875084824573174E-5</v>
      </c>
      <c r="AT10" s="131">
        <f t="shared" si="4"/>
        <v>9.7202194791576497E-8</v>
      </c>
      <c r="AU10" s="18">
        <v>8</v>
      </c>
      <c r="AV10" s="18">
        <f>AU10/2</f>
        <v>4</v>
      </c>
      <c r="AW10" s="18">
        <f t="shared" si="5"/>
        <v>21.402999999999999</v>
      </c>
      <c r="AX10" s="135">
        <f t="shared" si="6"/>
        <v>5.3093435799999998E-2</v>
      </c>
      <c r="AY10" s="135">
        <f t="shared" si="7"/>
        <v>5.0488177099105983E-2</v>
      </c>
      <c r="AZ10" s="154">
        <f t="shared" si="8"/>
        <v>2.4806539176750924E-3</v>
      </c>
      <c r="BA10" s="18" t="str">
        <f>Input!B10</f>
        <v>SO236_7_2</v>
      </c>
      <c r="BB10" s="136">
        <f>Input!E10</f>
        <v>0</v>
      </c>
      <c r="BC10" s="18">
        <f>((U10-1)*EXP(Constants!$B$17*AW10*1000))*1000</f>
        <v>146.59282937605138</v>
      </c>
      <c r="BD10" s="132">
        <f>SQRT((EXP(Constants!$B$17*AW10*1000)*V10)^2+((U10-1)*Constants!$B$17*EXP(Constants!$B$17*AW10*1000)*AY10*1000)^2)*1000</f>
        <v>0.5204481870261809</v>
      </c>
      <c r="BE10" s="18">
        <f t="shared" ref="BE10:BE13" si="22">AW10*1000-58</f>
        <v>21345</v>
      </c>
      <c r="BF10" s="137">
        <f t="shared" ref="BF10:BF13" si="23">AY10/2*1000</f>
        <v>25.244088549552991</v>
      </c>
      <c r="BG10" s="20">
        <f t="shared" ref="BG10:BG13" si="24">AY10/AW10*100</f>
        <v>0.23589299209973361</v>
      </c>
      <c r="BH10" s="18"/>
      <c r="BI10" s="18"/>
      <c r="BJ10" s="18"/>
      <c r="BK10" s="18"/>
      <c r="BL10" s="18"/>
      <c r="BM10" s="18"/>
      <c r="BN10" s="159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8">
        <f>Input!A11</f>
        <v>10815</v>
      </c>
      <c r="B11" s="138" t="str">
        <f>Input!B11</f>
        <v>Hu1-13</v>
      </c>
      <c r="C11" s="138">
        <f>Input!O11</f>
        <v>2.08788132870689</v>
      </c>
      <c r="D11" s="138">
        <f>C11*Input!P11/100</f>
        <v>1.0647765385539859E-2</v>
      </c>
      <c r="E11" s="139">
        <f>Input!M11</f>
        <v>2.732731880413926</v>
      </c>
      <c r="F11" s="140">
        <f>E11*Input!N11/100</f>
        <v>2.3510368824626132E-4</v>
      </c>
      <c r="G11" s="141">
        <f t="shared" ref="G11" si="25">E11*137.88</f>
        <v>376.78907167147213</v>
      </c>
      <c r="H11" s="140">
        <f>G11*Input!L11/100</f>
        <v>1.9803568425641196E-2</v>
      </c>
      <c r="I11" s="138">
        <v>0</v>
      </c>
      <c r="J11" s="142">
        <f>(((C11*Constants!$B$24*0.000000001*Input!G11*(Constants!$B$4/Constants!$B$3))-(I11*0.000000000000001))/Input!F11)*1000000000000</f>
        <v>753.80354434332378</v>
      </c>
      <c r="K11" s="138">
        <f>J11*Input!P11/100</f>
        <v>3.8442430499280973</v>
      </c>
      <c r="L11" s="143">
        <f>(J11/Constants!$B$4)*602200000000*Constants!$B$17/(365.2425*24*60)</f>
        <v>10.407094888921081</v>
      </c>
      <c r="M11" s="144">
        <f>L11*Input!P11/100</f>
        <v>5.3074043624363104E-2</v>
      </c>
      <c r="N11" s="138">
        <v>0</v>
      </c>
      <c r="O11" s="142">
        <f>(((G11*Constants!$B$23*0.000000001*Input!G11*(Constants!$B$7/Constants!$B$6))-(N11*0.000000001))/Input!F11)*1000000</f>
        <v>13.703520799991026</v>
      </c>
      <c r="P11" s="138">
        <f>O11*Input!N11/100</f>
        <v>1.1789478159669473E-3</v>
      </c>
      <c r="Q11" s="145">
        <f>(O11/Constants!$B$7)*602200000000000000*Constants!$B$18/(365.2425*24*60)</f>
        <v>10.224481332950246</v>
      </c>
      <c r="R11" s="146">
        <f>Q11*Input!N11/100</f>
        <v>8.7963743864163794E-4</v>
      </c>
      <c r="S11" s="144">
        <f>Input!S11*Constants!$B$17/Constants!$B$18</f>
        <v>0.99922514825038977</v>
      </c>
      <c r="T11" s="138">
        <f>S11*Input!T11/100</f>
        <v>1.1365339556203323E-3</v>
      </c>
      <c r="U11" s="144">
        <f>S11</f>
        <v>0.99922514825038977</v>
      </c>
      <c r="V11" s="138">
        <f>U11*Input!T11/100</f>
        <v>1.1365339556203323E-3</v>
      </c>
      <c r="W11" s="147">
        <v>0</v>
      </c>
      <c r="X11" s="142">
        <f>(((Constants!$B$25*0.000000001*Input!G11/Input!W11*(Constants!$B$11/Constants!$B$9))-(W11*0.000000001))/Input!F11)*1000000000</f>
        <v>0.88616901671194959</v>
      </c>
      <c r="Y11" s="142">
        <f>X11*Input!X11/100</f>
        <v>3.5375119090326002E-3</v>
      </c>
      <c r="Z11" s="142">
        <f>(X11/Constants!$B$11)*6.022E+23*0.000000001*Constants!$B$19/(365.2425*24*60)</f>
        <v>2.1634250569894508E-4</v>
      </c>
      <c r="AA11" s="142">
        <f>Z11*Input!X11/100</f>
        <v>8.6362102026496122E-7</v>
      </c>
      <c r="AB11" s="143">
        <v>0</v>
      </c>
      <c r="AC11" s="143">
        <v>0.9</v>
      </c>
      <c r="AD11" s="142">
        <f>(((Input!G11*Constants!$B$25*0.000000001*Input!U11*(Constants!$B$10/Constants!$B$9))-((AB11*0.000000000000001)+(Input!G11*AC11*0.000000000000001)))/Input!F11)*1000000000000</f>
        <v>223.23146953371091</v>
      </c>
      <c r="AE11" s="142">
        <f>AD11*Input!V11/100</f>
        <v>0.69407331611253031</v>
      </c>
      <c r="AF11" s="142">
        <f>(AD11/Constants!$B$10)*602200000000*Constants!$B$16/(365.2425*24*60)</f>
        <v>10.189549649151603</v>
      </c>
      <c r="AG11" s="142">
        <f>AF11*Input!V11/100</f>
        <v>3.1681440477243784E-2</v>
      </c>
      <c r="AH11" s="138">
        <f t="shared" ref="AH11" si="26">AF11/Z11</f>
        <v>47099.157034498974</v>
      </c>
      <c r="AI11" s="147">
        <f t="shared" ref="AI11" si="27">AH11*SQRT((AG11/AF11)^2+(AA11/Z11)^2)</f>
        <v>238.31694671015887</v>
      </c>
      <c r="AJ11" s="144">
        <f t="shared" si="20"/>
        <v>-0.77485174961022807</v>
      </c>
      <c r="AK11" s="147">
        <f t="shared" ref="AK11" si="28">V11*1000</f>
        <v>1.1365339556203324</v>
      </c>
      <c r="AL11" s="147">
        <f t="shared" ref="AL11" si="29">AF11/Q11</f>
        <v>0.99658352510400017</v>
      </c>
      <c r="AM11" s="147">
        <f t="shared" ref="AM11" si="30">AL11*SQRT((R11/Q11)^2+(AG11/AF11)^2)</f>
        <v>3.0997725384570595E-3</v>
      </c>
      <c r="AN11" s="138">
        <f>AF11/Q11</f>
        <v>0.99658352510400017</v>
      </c>
      <c r="AO11" s="142">
        <f t="shared" ref="AO11" si="31">AN11*SQRT((R11/Q11)^2+(AG11/AF11)^2)</f>
        <v>3.0997725384570595E-3</v>
      </c>
      <c r="AP11" s="138">
        <f t="shared" ref="AP11" si="32">ThU_Alter_Kombi(AN11,U11)</f>
        <v>661.77480000000003</v>
      </c>
      <c r="AQ11" s="138" t="e">
        <f t="shared" si="21"/>
        <v>#VALUE!</v>
      </c>
      <c r="AR11" s="138" t="e">
        <f>(AQ11/AP11)*100</f>
        <v>#VALUE!</v>
      </c>
      <c r="AS11" s="146">
        <f t="shared" si="3"/>
        <v>2.1159264578217979E-5</v>
      </c>
      <c r="AT11" s="146">
        <f t="shared" si="4"/>
        <v>8.4485611929274643E-8</v>
      </c>
      <c r="AU11" s="138">
        <v>0.75</v>
      </c>
      <c r="AV11" s="138">
        <f t="shared" ref="AV11" si="33">AU11/2</f>
        <v>0.375</v>
      </c>
      <c r="AW11" s="138">
        <f t="shared" si="5"/>
        <v>661.7731</v>
      </c>
      <c r="AX11" s="148">
        <f t="shared" si="6"/>
        <v>295.31374530319999</v>
      </c>
      <c r="AY11" s="148">
        <f t="shared" si="7"/>
        <v>164.46784260793387</v>
      </c>
      <c r="AZ11" s="149">
        <f t="shared" si="8"/>
        <v>0.44624622140609826</v>
      </c>
      <c r="BA11" s="138" t="str">
        <f>Input!B11</f>
        <v>Hu1-13</v>
      </c>
      <c r="BB11" s="150">
        <f>Input!E11</f>
        <v>0</v>
      </c>
      <c r="BC11" s="138">
        <f>((U11-1)*EXP(Constants!$B$17*AW11*1000))*1000</f>
        <v>-5.0152327737151534</v>
      </c>
      <c r="BD11" s="144">
        <f>SQRT((EXP(Constants!$B$17*AW11*1000)*V11)^2+((U11-1)*Constants!$B$17*EXP(Constants!$B$17*AW11*1000)*AY11*1000)^2)*1000</f>
        <v>7.7157299253778895</v>
      </c>
      <c r="BE11" s="138">
        <f t="shared" si="22"/>
        <v>661715.1</v>
      </c>
      <c r="BF11" s="151">
        <f t="shared" si="23"/>
        <v>82233.921303966941</v>
      </c>
      <c r="BG11" s="160">
        <f t="shared" si="24"/>
        <v>24.852603197067676</v>
      </c>
      <c r="BH11" s="138"/>
      <c r="BI11" s="18"/>
      <c r="BJ11" s="18"/>
      <c r="BK11" s="18"/>
      <c r="BL11" s="18"/>
      <c r="BM11" s="18"/>
      <c r="BN11" s="159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10921</v>
      </c>
      <c r="B12" s="18" t="str">
        <f>Input!B12</f>
        <v>SO236_7_3</v>
      </c>
      <c r="C12" s="18">
        <f>Input!O12</f>
        <v>1.8266664318489592</v>
      </c>
      <c r="D12" s="18">
        <f>C12*Input!P12/100</f>
        <v>3.9217969256404566E-3</v>
      </c>
      <c r="E12" s="152">
        <f>Input!M12</f>
        <v>2.1180953482391218</v>
      </c>
      <c r="F12" s="153">
        <f>E12*Input!N12/100</f>
        <v>8.5586652890176049E-5</v>
      </c>
      <c r="G12" s="21">
        <f>E12*137.88</f>
        <v>292.04298661521011</v>
      </c>
      <c r="H12" s="153">
        <f>G12*Input!L12/100</f>
        <v>2.4211938996474561E-2</v>
      </c>
      <c r="I12" s="18">
        <v>0.3</v>
      </c>
      <c r="J12" s="129">
        <f>(((C12*Constants!$B$24*0.000000001*Input!G12*(Constants!$B$4/Constants!$B$3))-(I12*0.000000000000001))/Input!F12)*1000000000000</f>
        <v>204.20062812561684</v>
      </c>
      <c r="K12" s="18">
        <f>J12*Input!P12/100</f>
        <v>0.43841249920287167</v>
      </c>
      <c r="L12" s="134">
        <f>(J12/Constants!$B$4)*602200000000*Constants!$B$17/(365.2425*24*60)</f>
        <v>2.8192163982618221</v>
      </c>
      <c r="M12" s="132">
        <f>L12*Input!P12/100</f>
        <v>6.0527713273994133E-3</v>
      </c>
      <c r="N12" s="18">
        <v>5.0000000000000001E-3</v>
      </c>
      <c r="O12" s="129">
        <f>(((G12*Constants!$B$23*0.000000001*Input!G12*(Constants!$B$7/Constants!$B$6))-(N12*0.000000001))/Input!F12)*1000000</f>
        <v>3.2887116280623627</v>
      </c>
      <c r="P12" s="18">
        <f>O12*Input!N12/100</f>
        <v>1.328881727637328E-4</v>
      </c>
      <c r="Q12" s="130">
        <f>(O12/Constants!$B$7)*602200000000000000*Constants!$B$18/(365.2425*24*60)</f>
        <v>2.4537760143073641</v>
      </c>
      <c r="R12" s="131">
        <f>Q12*Input!N12/100</f>
        <v>9.915062425369859E-5</v>
      </c>
      <c r="S12" s="132">
        <f>Input!S12*Constants!$B$17/Constants!$B$18</f>
        <v>1.1389185735997798</v>
      </c>
      <c r="T12" s="18">
        <f>S12*Input!T12/100</f>
        <v>5.0418782039386538E-4</v>
      </c>
      <c r="U12" s="18">
        <f>S12*1/((U11+U13)/2)</f>
        <v>1.139313901118705</v>
      </c>
      <c r="V12" s="18">
        <f>U12*Input!T12/100</f>
        <v>5.0436282791830906E-4</v>
      </c>
      <c r="W12" s="133">
        <v>3.0000000000000001E-3</v>
      </c>
      <c r="X12" s="129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3.3584100855210015</v>
      </c>
      <c r="Y12" s="129">
        <f>X12*Input!X12/100</f>
        <v>6.2470489109364953E-3</v>
      </c>
      <c r="Z12" s="129">
        <f>(X12/Constants!$B$11)*6.022E+23*0.000000001*Constants!$B$19/(365.2425*24*60)</f>
        <v>8.1989647501114714E-4</v>
      </c>
      <c r="AA12" s="129">
        <f>Z12*Input!X12/100</f>
        <v>1.5251065983219486E-6</v>
      </c>
      <c r="AB12" s="134">
        <v>0.05</v>
      </c>
      <c r="AC12" s="134">
        <v>0.9</v>
      </c>
      <c r="AD12" s="129">
        <f>(((Input!G12*Constants!$B$25*0.000000001*Input!U12*(Constants!$B$10/Constants!$B$9))-((AB12*0.000000000000001)+(Input!G12*AC12*0.000000000000001)))/Input!F12)*1000000000000</f>
        <v>11.178066579184446</v>
      </c>
      <c r="AE12" s="129">
        <f>AD12*Input!V12/100</f>
        <v>3.2570122141147448E-2</v>
      </c>
      <c r="AF12" s="129">
        <f>(AD12/Constants!$B$10)*602200000000*Constants!$B$16/(365.2425*24*60)</f>
        <v>0.51023032114619393</v>
      </c>
      <c r="AG12" s="129">
        <f>AF12*Input!V12/100</f>
        <v>1.4866849970991045E-3</v>
      </c>
      <c r="AH12" s="18">
        <f>AF12/Z12</f>
        <v>622.31066567185439</v>
      </c>
      <c r="AI12" s="133">
        <f>AH12*SQRT((AG12/AF12)^2+(AA12/Z12)^2)</f>
        <v>2.1512519978473001</v>
      </c>
      <c r="AJ12" s="132">
        <f t="shared" si="20"/>
        <v>139.31390111870502</v>
      </c>
      <c r="AK12" s="133">
        <f>V12*1000</f>
        <v>0.50436282791830911</v>
      </c>
      <c r="AL12" s="133">
        <f>AF12/Q12</f>
        <v>0.20793679544146104</v>
      </c>
      <c r="AM12" s="133">
        <f>AL12*SQRT((R12/Q12)^2+(AG12/AF12)^2)</f>
        <v>6.0593466490017987E-4</v>
      </c>
      <c r="AN12" s="18">
        <f>AL12*1/((AN11+AN13)/2)</f>
        <v>0.20823800136506845</v>
      </c>
      <c r="AO12" s="129">
        <f>AN12*SQRT((R12/Q12)^2+(AG12/AF12)^2)</f>
        <v>6.0681238887394561E-4</v>
      </c>
      <c r="AP12" s="18">
        <f>ThU_Alter_Kombi(AN12,U12)</f>
        <v>21.9192</v>
      </c>
      <c r="AQ12" s="18">
        <f t="shared" si="21"/>
        <v>7.2300000000000003E-2</v>
      </c>
      <c r="AR12" s="154">
        <f>(AQ12/AP12)</f>
        <v>3.2984780466440381E-3</v>
      </c>
      <c r="AS12" s="131">
        <f t="shared" si="3"/>
        <v>3.3413664092832134E-4</v>
      </c>
      <c r="AT12" s="131">
        <f t="shared" si="4"/>
        <v>6.2168119117340996E-7</v>
      </c>
      <c r="AU12" s="18">
        <v>8</v>
      </c>
      <c r="AV12" s="18">
        <f>AU12/2</f>
        <v>4</v>
      </c>
      <c r="AW12" s="18">
        <f t="shared" si="5"/>
        <v>21.664999999999999</v>
      </c>
      <c r="AX12" s="135">
        <f t="shared" si="6"/>
        <v>0.15099585660000001</v>
      </c>
      <c r="AY12" s="135">
        <f t="shared" si="7"/>
        <v>0.14604722985048035</v>
      </c>
      <c r="AZ12" s="154">
        <f t="shared" si="8"/>
        <v>6.9695756565889685E-3</v>
      </c>
      <c r="BA12" s="18" t="str">
        <f>Input!B12</f>
        <v>SO236_7_3</v>
      </c>
      <c r="BB12" s="136">
        <f>Input!E12</f>
        <v>0</v>
      </c>
      <c r="BC12" s="18">
        <f>((U12-1)*EXP(Constants!$B$17*AW12*1000))*1000</f>
        <v>148.0973160230422</v>
      </c>
      <c r="BD12" s="132">
        <f>SQRT((EXP(Constants!$B$17*AW12*1000)*V12)^2+((U12-1)*Constants!$B$17*EXP(Constants!$B$17*AW12*1000)*AY12*1000)^2)*1000</f>
        <v>0.53962499976682132</v>
      </c>
      <c r="BE12" s="18">
        <f t="shared" si="22"/>
        <v>21607</v>
      </c>
      <c r="BF12" s="137">
        <f t="shared" si="23"/>
        <v>73.023614925240182</v>
      </c>
      <c r="BG12" s="20">
        <f t="shared" si="24"/>
        <v>0.67411599284782076</v>
      </c>
      <c r="BH12" s="18"/>
      <c r="BI12" s="18"/>
      <c r="BJ12" s="18"/>
      <c r="BK12" s="18"/>
      <c r="BL12" s="18"/>
      <c r="BM12" s="18"/>
      <c r="BN12" s="159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8">
        <f>Input!A13</f>
        <v>10815</v>
      </c>
      <c r="B13" s="138" t="str">
        <f>Input!B13</f>
        <v>Hu1-13</v>
      </c>
      <c r="C13" s="138">
        <f>Input!O13</f>
        <v>2.1104843991115909</v>
      </c>
      <c r="D13" s="138">
        <f>C13*Input!P13/100</f>
        <v>1.2418125752911569E-2</v>
      </c>
      <c r="E13" s="139">
        <f>Input!M13</f>
        <v>2.7323197116492457</v>
      </c>
      <c r="F13" s="140">
        <f>E13*Input!N13/100</f>
        <v>2.6252011770670162E-4</v>
      </c>
      <c r="G13" s="141">
        <f t="shared" ref="G13" si="34">E13*137.88</f>
        <v>376.73224184219799</v>
      </c>
      <c r="H13" s="140">
        <f>G13*Input!L13/100</f>
        <v>2.4874118805247782E-2</v>
      </c>
      <c r="I13" s="138">
        <v>0</v>
      </c>
      <c r="J13" s="142">
        <f>(((C13*Constants!$B$24*0.000000001*Input!G13*(Constants!$B$4/Constants!$B$3))-(I13*0.000000000000001))/Input!F13)*1000000000000</f>
        <v>761.96410133947131</v>
      </c>
      <c r="K13" s="138">
        <f>J13*Input!P13/100</f>
        <v>4.4834096066386042</v>
      </c>
      <c r="L13" s="143">
        <f>(J13/Constants!$B$4)*602200000000*Constants!$B$17/(365.2425*24*60)</f>
        <v>10.519760439040429</v>
      </c>
      <c r="M13" s="144">
        <f>L13*Input!P13/100</f>
        <v>6.1898447615864584E-2</v>
      </c>
      <c r="N13" s="138">
        <v>0</v>
      </c>
      <c r="O13" s="142">
        <f>(((G13*Constants!$B$23*0.000000001*Input!G13*(Constants!$B$7/Constants!$B$6))-(N13*0.000000001))/Input!F13)*1000000</f>
        <v>13.701453944006955</v>
      </c>
      <c r="P13" s="138">
        <f>O13*Input!N13/100</f>
        <v>1.3164298770741367E-3</v>
      </c>
      <c r="Q13" s="145">
        <f>(O13/Constants!$B$7)*602200000000000000*Constants!$B$18/(365.2425*24*60)</f>
        <v>10.22293920879577</v>
      </c>
      <c r="R13" s="146">
        <f>Q13*Input!N13/100</f>
        <v>9.8221565835046663E-4</v>
      </c>
      <c r="S13" s="144">
        <f>Input!S13*Constants!$B$17/Constants!$B$18</f>
        <v>1.000080877036343</v>
      </c>
      <c r="T13" s="138">
        <f>S13*Input!T13/100</f>
        <v>9.9529605777082361E-4</v>
      </c>
      <c r="U13" s="144">
        <f>S13</f>
        <v>1.000080877036343</v>
      </c>
      <c r="V13" s="138">
        <f>U13*Input!T13/100</f>
        <v>9.9529605777082361E-4</v>
      </c>
      <c r="W13" s="147">
        <v>0</v>
      </c>
      <c r="X13" s="142">
        <f>(((Constants!$B$25*0.000000001*Input!G13/Input!W13*(Constants!$B$11/Constants!$B$9))-(W13*0.000000001))/Input!F13)*1000000000</f>
        <v>0.87395135404264557</v>
      </c>
      <c r="Y13" s="142">
        <f>X13*Input!X13/100</f>
        <v>3.160340986070243E-3</v>
      </c>
      <c r="Z13" s="142">
        <f>(X13/Constants!$B$11)*6.022E+23*0.000000001*Constants!$B$19/(365.2425*24*60)</f>
        <v>2.1335977925984086E-4</v>
      </c>
      <c r="AA13" s="142">
        <f>Z13*Input!X13/100</f>
        <v>7.7154140451262698E-7</v>
      </c>
      <c r="AB13" s="143">
        <v>0</v>
      </c>
      <c r="AC13" s="143">
        <v>0.9</v>
      </c>
      <c r="AD13" s="142">
        <f>(((Input!G13*Constants!$B$25*0.000000001*Input!U13*(Constants!$B$10/Constants!$B$9))-((AB13*0.000000000000001)+(Input!G13*AC13*0.000000000000001)))/Input!F13)*1000000000000</f>
        <v>224.08022536855901</v>
      </c>
      <c r="AE13" s="142">
        <f>AD13*Input!V13/100</f>
        <v>0.57985998280697471</v>
      </c>
      <c r="AF13" s="142">
        <f>(AD13/Constants!$B$10)*602200000000*Constants!$B$16/(365.2425*24*60)</f>
        <v>10.228291676596285</v>
      </c>
      <c r="AG13" s="142">
        <f>AF13*Input!V13/100</f>
        <v>2.646809653096693E-2</v>
      </c>
      <c r="AH13" s="138">
        <f t="shared" ref="AH13" si="35">AF13/Z13</f>
        <v>47939.174440838397</v>
      </c>
      <c r="AI13" s="147">
        <f t="shared" ref="AI13" si="36">AH13*SQRT((AG13/AF13)^2+(AA13/Z13)^2)</f>
        <v>213.1699478202774</v>
      </c>
      <c r="AJ13" s="144">
        <f t="shared" si="20"/>
        <v>8.0877036342963393E-2</v>
      </c>
      <c r="AK13" s="147">
        <f t="shared" ref="AK13" si="37">V13*1000</f>
        <v>0.99529605777082364</v>
      </c>
      <c r="AL13" s="147">
        <f t="shared" ref="AL13" si="38">AF13/Q13</f>
        <v>1.0005235742569916</v>
      </c>
      <c r="AM13" s="147">
        <f t="shared" ref="AM13" si="39">AL13*SQRT((R13/Q13)^2+(AG13/AF13)^2)</f>
        <v>2.5908726953707746E-3</v>
      </c>
      <c r="AN13" s="138">
        <f>AF13/Q13</f>
        <v>1.0005235742569916</v>
      </c>
      <c r="AO13" s="142">
        <f t="shared" ref="AO13" si="40">AN13*SQRT((R13/Q13)^2+(AG13/AF13)^2)</f>
        <v>2.5908726953707746E-3</v>
      </c>
      <c r="AP13" s="138" t="str">
        <f t="shared" ref="AP13" si="41">ThU_Alter_Kombi(AN13,U13)</f>
        <v>Out of range</v>
      </c>
      <c r="AQ13" s="138" t="e">
        <f t="shared" si="21"/>
        <v>#VALUE!</v>
      </c>
      <c r="AR13" s="138" t="e">
        <f>(AQ13/AP13)*100</f>
        <v>#VALUE!</v>
      </c>
      <c r="AS13" s="146">
        <f t="shared" si="3"/>
        <v>2.0870688448999782E-5</v>
      </c>
      <c r="AT13" s="146">
        <f t="shared" si="4"/>
        <v>7.5498217517948523E-8</v>
      </c>
      <c r="AU13" s="138">
        <v>0.75</v>
      </c>
      <c r="AV13" s="138">
        <f t="shared" ref="AV13" si="42">AU13/2</f>
        <v>0.375</v>
      </c>
      <c r="AW13" s="138" t="str">
        <f t="shared" si="5"/>
        <v>Out of range</v>
      </c>
      <c r="AX13" s="148">
        <f t="shared" si="6"/>
        <v>351.36440772219999</v>
      </c>
      <c r="AY13" s="148" t="e">
        <f t="shared" si="7"/>
        <v>#VALUE!</v>
      </c>
      <c r="AZ13" s="149" t="e">
        <f t="shared" si="8"/>
        <v>#VALUE!</v>
      </c>
      <c r="BA13" s="138" t="str">
        <f>Input!B13</f>
        <v>Hu1-13</v>
      </c>
      <c r="BB13" s="150">
        <f>Input!E13</f>
        <v>0</v>
      </c>
      <c r="BC13" s="138" t="e">
        <f>((U13-1)*EXP(Constants!$B$17*AW13*1000))*1000</f>
        <v>#VALUE!</v>
      </c>
      <c r="BD13" s="144" t="e">
        <f>SQRT((EXP(Constants!$B$17*AW13*1000)*V13)^2+((U13-1)*Constants!$B$17*EXP(Constants!$B$17*AW13*1000)*AY13*1000)^2)*1000</f>
        <v>#VALUE!</v>
      </c>
      <c r="BE13" s="138" t="e">
        <f t="shared" si="22"/>
        <v>#VALUE!</v>
      </c>
      <c r="BF13" s="151" t="e">
        <f t="shared" si="23"/>
        <v>#VALUE!</v>
      </c>
      <c r="BG13" s="160" t="e">
        <f t="shared" si="24"/>
        <v>#VALUE!</v>
      </c>
      <c r="BH13" s="138"/>
      <c r="BI13" s="18"/>
      <c r="BJ13" s="18"/>
      <c r="BK13" s="18"/>
      <c r="BL13" s="18"/>
      <c r="BM13" s="18"/>
      <c r="BN13" s="159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10922</v>
      </c>
      <c r="B14" s="18" t="str">
        <f>Input!B14</f>
        <v>SO236_7_4</v>
      </c>
      <c r="C14" s="18">
        <f>Input!O14</f>
        <v>1.3475109510353851</v>
      </c>
      <c r="D14" s="18">
        <f>C14*Input!P14/100</f>
        <v>3.0498166682704601E-3</v>
      </c>
      <c r="E14" s="152">
        <f>Input!M14</f>
        <v>1.5650410058902895</v>
      </c>
      <c r="F14" s="153">
        <f>E14*Input!N14/100</f>
        <v>5.8628433520472018E-5</v>
      </c>
      <c r="G14" s="21">
        <f>E14*137.88</f>
        <v>215.78785389215309</v>
      </c>
      <c r="H14" s="153">
        <f>G14*Input!L14/100</f>
        <v>9.197451844053503E-3</v>
      </c>
      <c r="I14" s="18">
        <v>0.3</v>
      </c>
      <c r="J14" s="129">
        <f>(((C14*Constants!$B$24*0.000000001*Input!G14*(Constants!$B$4/Constants!$B$3))-(I14*0.000000000000001))/Input!F14)*1000000000000</f>
        <v>223.46941485016683</v>
      </c>
      <c r="K14" s="18">
        <f>J14*Input!P14/100</f>
        <v>0.50577751945912619</v>
      </c>
      <c r="L14" s="134">
        <f>(J14/Constants!$B$4)*602200000000*Constants!$B$17/(365.2425*24*60)</f>
        <v>3.0852433934140779</v>
      </c>
      <c r="M14" s="132">
        <f>L14*Input!P14/100</f>
        <v>6.9828202284186744E-3</v>
      </c>
      <c r="N14" s="18">
        <v>5.0000000000000001E-3</v>
      </c>
      <c r="O14" s="129">
        <f>(((G14*Constants!$B$23*0.000000001*Input!G14*(Constants!$B$7/Constants!$B$6))-(N14*0.000000001))/Input!F14)*1000000</f>
        <v>3.6049054588093097</v>
      </c>
      <c r="P14" s="18">
        <f>O14*Input!N14/100</f>
        <v>1.3504435937712682E-4</v>
      </c>
      <c r="Q14" s="130">
        <f>(O14/Constants!$B$7)*602200000000000000*Constants!$B$18/(365.2425*24*60)</f>
        <v>2.6896947951266927</v>
      </c>
      <c r="R14" s="131">
        <f>Q14*Input!N14/100</f>
        <v>1.0075939984507937E-4</v>
      </c>
      <c r="S14" s="132">
        <f>Input!S14*Constants!$B$17/Constants!$B$18</f>
        <v>1.1378452892996938</v>
      </c>
      <c r="T14" s="18">
        <f>S14*Input!T14/100</f>
        <v>8.0628631648049386E-4</v>
      </c>
      <c r="U14" s="18">
        <f>S14*1/((U13+U15)/2)</f>
        <v>1.1379089027194549</v>
      </c>
      <c r="V14" s="18">
        <f>U14*Input!T14/100</f>
        <v>8.0633139346097645E-4</v>
      </c>
      <c r="W14" s="133">
        <v>3.0000000000000001E-3</v>
      </c>
      <c r="X14" s="129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1.074998092112174</v>
      </c>
      <c r="Y14" s="129">
        <f>X14*Input!X14/100</f>
        <v>1.8917298414796824E-3</v>
      </c>
      <c r="Z14" s="129">
        <f>(X14/Constants!$B$11)*6.022E+23*0.000000001*Constants!$B$19/(365.2425*24*60)</f>
        <v>2.6244178760848009E-4</v>
      </c>
      <c r="AA14" s="129">
        <f>Z14*Input!X14/100</f>
        <v>4.6183241152992569E-7</v>
      </c>
      <c r="AB14" s="134">
        <v>0.05</v>
      </c>
      <c r="AC14" s="134">
        <v>0.9</v>
      </c>
      <c r="AD14" s="129">
        <f>(((Input!G14*Constants!$B$25*0.000000001*Input!U14*(Constants!$B$10/Constants!$B$9))-((AB14*0.000000000000001)+(Input!G14*AC14*0.000000000000001)))/Input!F14)*1000000000000</f>
        <v>12.000518485217466</v>
      </c>
      <c r="AE14" s="129">
        <f>AD14*Input!V14/100</f>
        <v>3.6803653325442942E-2</v>
      </c>
      <c r="AF14" s="129">
        <f>(AD14/Constants!$B$10)*602200000000*Constants!$B$16/(365.2425*24*60)</f>
        <v>0.54777168817687272</v>
      </c>
      <c r="AG14" s="129">
        <f>AF14*Input!V14/100</f>
        <v>1.6799273579710609E-3</v>
      </c>
      <c r="AH14" s="18">
        <f>AF14/Z14</f>
        <v>2087.2121515726672</v>
      </c>
      <c r="AI14" s="133">
        <f>AH14*SQRT((AG14/AF14)^2+(AA14/Z14)^2)</f>
        <v>7.3800662015403189</v>
      </c>
      <c r="AJ14" s="132">
        <f t="shared" ref="AJ14:AJ19" si="43">(U14-1)*1000</f>
        <v>137.90890271945489</v>
      </c>
      <c r="AK14" s="133">
        <f>V14*1000</f>
        <v>0.80633139346097649</v>
      </c>
      <c r="AL14" s="133">
        <f>AF14/Q14</f>
        <v>0.20365570442020023</v>
      </c>
      <c r="AM14" s="133">
        <f>AL14*SQRT((R14/Q14)^2+(AG14/AF14)^2)</f>
        <v>6.2462576910146856E-4</v>
      </c>
      <c r="AN14" s="18">
        <f>AL14*1/((AN13+AN15)/2)</f>
        <v>0.20376166233265955</v>
      </c>
      <c r="AO14" s="129">
        <f>AN14*SQRT((R14/Q14)^2+(AG14/AF14)^2)</f>
        <v>6.2495074915911396E-4</v>
      </c>
      <c r="AP14" s="18">
        <f>ThU_Alter_Kombi(AN14,U14)</f>
        <v>21.430399999999999</v>
      </c>
      <c r="AQ14" s="18">
        <f t="shared" ref="AQ14:AQ19" si="44">Montealter(AN14,AO14,U14,V14)</f>
        <v>7.85E-2</v>
      </c>
      <c r="AR14" s="154">
        <f>(AQ14/AP14)</f>
        <v>3.6630207555621921E-3</v>
      </c>
      <c r="AS14" s="131">
        <f t="shared" si="3"/>
        <v>9.7573073377687182E-5</v>
      </c>
      <c r="AT14" s="131">
        <f t="shared" si="4"/>
        <v>1.7174329410417413E-7</v>
      </c>
      <c r="AU14" s="18">
        <v>8</v>
      </c>
      <c r="AV14" s="18">
        <f>AU14/2</f>
        <v>4</v>
      </c>
      <c r="AW14" s="18">
        <f t="shared" si="5"/>
        <v>21.356200000000001</v>
      </c>
      <c r="AX14" s="135">
        <f t="shared" si="6"/>
        <v>8.8846079499999994E-2</v>
      </c>
      <c r="AY14" s="135">
        <f t="shared" si="7"/>
        <v>8.3199521358228987E-2</v>
      </c>
      <c r="AZ14" s="154">
        <f t="shared" si="8"/>
        <v>4.1602007613714045E-3</v>
      </c>
      <c r="BA14" s="18" t="str">
        <f>Input!B14</f>
        <v>SO236_7_4</v>
      </c>
      <c r="BB14" s="136">
        <f>Input!E14</f>
        <v>0</v>
      </c>
      <c r="BC14" s="18">
        <f>((U14-1)*EXP(Constants!$B$17*AW14*1000))*1000</f>
        <v>146.47603328200603</v>
      </c>
      <c r="BD14" s="132">
        <f>SQRT((EXP(Constants!$B$17*AW14*1000)*V14)^2+((U14-1)*Constants!$B$17*EXP(Constants!$B$17*AW14*1000)*AY14*1000)^2)*1000</f>
        <v>0.85711230442223196</v>
      </c>
      <c r="BE14" s="18">
        <f t="shared" ref="BE14:BE19" si="45">AW14*1000-58</f>
        <v>21298.2</v>
      </c>
      <c r="BF14" s="137">
        <f t="shared" ref="BF14:BF19" si="46">AY14/2*1000</f>
        <v>41.599760679114496</v>
      </c>
      <c r="BG14" s="20">
        <f t="shared" ref="BG14:BG19" si="47">AY14/AW14*100</f>
        <v>0.38958017511649534</v>
      </c>
      <c r="BH14" s="18"/>
      <c r="BI14" s="18"/>
      <c r="BJ14" s="18"/>
      <c r="BK14" s="18"/>
      <c r="BL14" s="18"/>
      <c r="BM14" s="18"/>
      <c r="BN14" s="159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8">
        <f>Input!A15</f>
        <v>10815</v>
      </c>
      <c r="B15" s="138" t="str">
        <f>Input!B15</f>
        <v>Hu1-13</v>
      </c>
      <c r="C15" s="138">
        <f>Input!O15</f>
        <v>2.0917607549019732</v>
      </c>
      <c r="D15" s="138">
        <f>C15*Input!P15/100</f>
        <v>1.2833836384879345E-2</v>
      </c>
      <c r="E15" s="139">
        <f>Input!M15</f>
        <v>2.7324340201012309</v>
      </c>
      <c r="F15" s="140">
        <f>E15*Input!N15/100</f>
        <v>2.4164222540693365E-4</v>
      </c>
      <c r="G15" s="141">
        <f t="shared" ref="G15" si="48">E15*137.88</f>
        <v>376.7480026915577</v>
      </c>
      <c r="H15" s="140">
        <f>G15*Input!L15/100</f>
        <v>1.9212958158275843E-2</v>
      </c>
      <c r="I15" s="138">
        <v>0</v>
      </c>
      <c r="J15" s="142">
        <f>(((C15*Constants!$B$24*0.000000001*Input!G15*(Constants!$B$4/Constants!$B$3))-(I15*0.000000000000001))/Input!F15)*1000000000000</f>
        <v>755.20416284384135</v>
      </c>
      <c r="K15" s="138">
        <f>J15*Input!P15/100</f>
        <v>4.6334967516740901</v>
      </c>
      <c r="L15" s="143">
        <f>(J15/Constants!$B$4)*602200000000*Constants!$B$17/(365.2425*24*60)</f>
        <v>10.426431982448232</v>
      </c>
      <c r="M15" s="144">
        <f>L15*Input!P15/100</f>
        <v>6.3970567297063866E-2</v>
      </c>
      <c r="N15" s="138">
        <v>0</v>
      </c>
      <c r="O15" s="142">
        <f>(((G15*Constants!$B$23*0.000000001*Input!G15*(Constants!$B$7/Constants!$B$6))-(N15*0.000000001))/Input!F15)*1000000</f>
        <v>13.702027153644027</v>
      </c>
      <c r="P15" s="138">
        <f>O15*Input!N15/100</f>
        <v>1.2117358771100758E-3</v>
      </c>
      <c r="Q15" s="145">
        <f>(O15/Constants!$B$7)*602200000000000000*Constants!$B$18/(365.2425*24*60)</f>
        <v>10.223366892404941</v>
      </c>
      <c r="R15" s="146">
        <f>Q15*Input!N15/100</f>
        <v>9.0410129169039356E-4</v>
      </c>
      <c r="S15" s="144">
        <f>Input!S15*Constants!$B$17/Constants!$B$18</f>
        <v>0.99980731538466883</v>
      </c>
      <c r="T15" s="138">
        <f>S15*Input!T15/100</f>
        <v>1.0647688324078911E-3</v>
      </c>
      <c r="U15" s="144">
        <f>S15</f>
        <v>0.99980731538466883</v>
      </c>
      <c r="V15" s="138">
        <f>U15*Input!T15/100</f>
        <v>1.0647688324078911E-3</v>
      </c>
      <c r="W15" s="147">
        <v>0</v>
      </c>
      <c r="X15" s="142">
        <f>(((Constants!$B$25*0.000000001*Input!G15/Input!W15*(Constants!$B$11/Constants!$B$9))-(W15*0.000000001))/Input!F15)*1000000000</f>
        <v>0.87243836729960267</v>
      </c>
      <c r="Y15" s="142">
        <f>X15*Input!X15/100</f>
        <v>3.201317208215601E-3</v>
      </c>
      <c r="Z15" s="142">
        <f>(X15/Constants!$B$11)*6.022E+23*0.000000001*Constants!$B$19/(365.2425*24*60)</f>
        <v>2.1299041028292304E-4</v>
      </c>
      <c r="AA15" s="142">
        <f>Z15*Input!X15/100</f>
        <v>7.8154502504756271E-7</v>
      </c>
      <c r="AB15" s="143">
        <v>0</v>
      </c>
      <c r="AC15" s="143">
        <v>0.9</v>
      </c>
      <c r="AD15" s="142">
        <f>(((Input!G15*Constants!$B$25*0.000000001*Input!U15*(Constants!$B$10/Constants!$B$9))-((AB15*0.000000000000001)+(Input!G15*AC15*0.000000000000001)))/Input!F15)*1000000000000</f>
        <v>223.62213233077026</v>
      </c>
      <c r="AE15" s="142">
        <f>AD15*Input!V15/100</f>
        <v>0.54145652771058206</v>
      </c>
      <c r="AF15" s="142">
        <f>(AD15/Constants!$B$10)*602200000000*Constants!$B$16/(365.2425*24*60)</f>
        <v>10.207381713667539</v>
      </c>
      <c r="AG15" s="142">
        <f>AF15*Input!V15/100</f>
        <v>2.471514515175037E-2</v>
      </c>
      <c r="AH15" s="138">
        <f t="shared" ref="AH15" si="49">AF15/Z15</f>
        <v>47924.137523885212</v>
      </c>
      <c r="AI15" s="147">
        <f t="shared" ref="AI15" si="50">AH15*SQRT((AG15/AF15)^2+(AA15/Z15)^2)</f>
        <v>210.68710629219734</v>
      </c>
      <c r="AJ15" s="144">
        <f t="shared" si="43"/>
        <v>-0.19268461533117343</v>
      </c>
      <c r="AK15" s="147">
        <f t="shared" ref="AK15" si="51">V15*1000</f>
        <v>1.064768832407891</v>
      </c>
      <c r="AL15" s="147">
        <f t="shared" ref="AL15" si="52">AF15/Q15</f>
        <v>0.99843640760371444</v>
      </c>
      <c r="AM15" s="147">
        <f t="shared" ref="AM15" si="53">AL15*SQRT((R15/Q15)^2+(AG15/AF15)^2)</f>
        <v>2.4191271474515428E-3</v>
      </c>
      <c r="AN15" s="138">
        <f>AF15/Q15</f>
        <v>0.99843640760371444</v>
      </c>
      <c r="AO15" s="142">
        <f t="shared" ref="AO15" si="54">AN15*SQRT((R15/Q15)^2+(AG15/AF15)^2)</f>
        <v>2.4191271474515428E-3</v>
      </c>
      <c r="AP15" s="138">
        <f t="shared" ref="AP15" si="55">ThU_Alter_Kombi(AN15,U15)</f>
        <v>725.65790000000004</v>
      </c>
      <c r="AQ15" s="138" t="e">
        <f t="shared" si="44"/>
        <v>#VALUE!</v>
      </c>
      <c r="AR15" s="138" t="e">
        <f>(AQ15/AP15)*100</f>
        <v>#VALUE!</v>
      </c>
      <c r="AS15" s="146">
        <f t="shared" si="3"/>
        <v>2.0833685470210024E-5</v>
      </c>
      <c r="AT15" s="146">
        <f t="shared" si="4"/>
        <v>7.6469129750047661E-8</v>
      </c>
      <c r="AU15" s="138">
        <v>0.75</v>
      </c>
      <c r="AV15" s="138">
        <f t="shared" ref="AV15" si="56">AU15/2</f>
        <v>0.375</v>
      </c>
      <c r="AW15" s="138">
        <f t="shared" si="5"/>
        <v>725.65620000000001</v>
      </c>
      <c r="AX15" s="148">
        <f t="shared" si="6"/>
        <v>346.17127907370002</v>
      </c>
      <c r="AY15" s="148">
        <f t="shared" si="7"/>
        <v>240.53884303665569</v>
      </c>
      <c r="AZ15" s="149">
        <f t="shared" si="8"/>
        <v>0.47704585046431081</v>
      </c>
      <c r="BA15" s="138" t="str">
        <f>Input!B15</f>
        <v>Hu1-13</v>
      </c>
      <c r="BB15" s="150">
        <f>Input!E15</f>
        <v>0</v>
      </c>
      <c r="BC15" s="138">
        <f>((U15-1)*EXP(Constants!$B$17*AW15*1000))*1000</f>
        <v>-1.493533503970786</v>
      </c>
      <c r="BD15" s="144">
        <f>SQRT((EXP(Constants!$B$17*AW15*1000)*V15)^2+((U15-1)*Constants!$B$17*EXP(Constants!$B$17*AW15*1000)*AY15*1000)^2)*1000</f>
        <v>8.3152538576565114</v>
      </c>
      <c r="BE15" s="138">
        <f t="shared" si="45"/>
        <v>725598.20000000007</v>
      </c>
      <c r="BF15" s="151">
        <f t="shared" si="46"/>
        <v>120269.42151832784</v>
      </c>
      <c r="BG15" s="160">
        <f t="shared" si="47"/>
        <v>33.147769293042032</v>
      </c>
      <c r="BH15" s="138"/>
      <c r="BI15" s="18"/>
      <c r="BJ15" s="18"/>
      <c r="BK15" s="18"/>
      <c r="BL15" s="18"/>
      <c r="BM15" s="18"/>
      <c r="BN15" s="159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10923</v>
      </c>
      <c r="B16" s="18" t="str">
        <f>Input!B16</f>
        <v>SO236_7_5</v>
      </c>
      <c r="C16" s="18">
        <f>Input!O16</f>
        <v>1.9366625336441563</v>
      </c>
      <c r="D16" s="18">
        <f>C16*Input!P16/100</f>
        <v>4.3446790313561726E-3</v>
      </c>
      <c r="E16" s="152">
        <f>Input!M16</f>
        <v>2.2418026809869609</v>
      </c>
      <c r="F16" s="153">
        <f>E16*Input!N16/100</f>
        <v>9.8358281531167867E-5</v>
      </c>
      <c r="G16" s="21">
        <f>E16*137.88</f>
        <v>309.09975365448219</v>
      </c>
      <c r="H16" s="153">
        <f>G16*Input!L16/100</f>
        <v>1.9604994085324668E-2</v>
      </c>
      <c r="I16" s="18">
        <v>0.3</v>
      </c>
      <c r="J16" s="129">
        <f>(((C16*Constants!$B$24*0.000000001*Input!G16*(Constants!$B$4/Constants!$B$3))-(I16*0.000000000000001))/Input!F16)*1000000000000</f>
        <v>189.2876279435101</v>
      </c>
      <c r="K16" s="18">
        <f>J16*Input!P16/100</f>
        <v>0.42464496200783336</v>
      </c>
      <c r="L16" s="134">
        <f>(J16/Constants!$B$4)*602200000000*Constants!$B$17/(365.2425*24*60)</f>
        <v>2.6133258726224327</v>
      </c>
      <c r="M16" s="132">
        <f>L16*Input!P16/100</f>
        <v>5.862695190121058E-3</v>
      </c>
      <c r="N16" s="18">
        <v>5.0000000000000001E-3</v>
      </c>
      <c r="O16" s="129">
        <f>(((G16*Constants!$B$23*0.000000001*Input!G16*(Constants!$B$7/Constants!$B$6))-(N16*0.000000001))/Input!F16)*1000000</f>
        <v>3.0433235701837313</v>
      </c>
      <c r="P16" s="18">
        <f>O16*Input!N16/100</f>
        <v>1.3352472054979731E-4</v>
      </c>
      <c r="Q16" s="130">
        <f>(O16/Constants!$B$7)*602200000000000000*Constants!$B$18/(365.2425*24*60)</f>
        <v>2.2706868904443476</v>
      </c>
      <c r="R16" s="131">
        <f>Q16*Input!N16/100</f>
        <v>9.962556577063719E-5</v>
      </c>
      <c r="S16" s="132">
        <f>Input!S16*Constants!$B$17/Constants!$B$18</f>
        <v>1.1425998412939014</v>
      </c>
      <c r="T16" s="18">
        <f>S16*Input!T16/100</f>
        <v>6.31360002883077E-4</v>
      </c>
      <c r="U16" s="18">
        <f>S16*1/((U15+U17)/2)</f>
        <v>1.1423691630624695</v>
      </c>
      <c r="V16" s="18">
        <f>U16*Input!T16/100</f>
        <v>6.3123253830309157E-4</v>
      </c>
      <c r="W16" s="133">
        <v>3.0000000000000001E-3</v>
      </c>
      <c r="X16" s="129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0.6405521633508362</v>
      </c>
      <c r="Y16" s="129">
        <f>X16*Input!X16/100</f>
        <v>1.1708413987909659E-3</v>
      </c>
      <c r="Z16" s="129">
        <f>(X16/Constants!$B$11)*6.022E+23*0.000000001*Constants!$B$19/(365.2425*24*60)</f>
        <v>1.5637949131237238E-4</v>
      </c>
      <c r="AA16" s="129">
        <f>Z16*Input!X16/100</f>
        <v>2.8584023726123093E-7</v>
      </c>
      <c r="AB16" s="134">
        <v>0.05</v>
      </c>
      <c r="AC16" s="134">
        <v>0.9</v>
      </c>
      <c r="AD16" s="129">
        <f>(((Input!G16*Constants!$B$25*0.000000001*Input!U16*(Constants!$B$10/Constants!$B$9))-((AB16*0.000000000000001)+(Input!G16*AC16*0.000000000000001)))/Input!F16)*1000000000000</f>
        <v>9.7733417058121592</v>
      </c>
      <c r="AE16" s="129">
        <f>AD16*Input!V16/100</f>
        <v>2.2173016822382586E-2</v>
      </c>
      <c r="AF16" s="129">
        <f>(AD16/Constants!$B$10)*602200000000*Constants!$B$16/(365.2425*24*60)</f>
        <v>0.44611071529257756</v>
      </c>
      <c r="AG16" s="129">
        <f>AF16*Input!V16/100</f>
        <v>1.0121021747295455E-3</v>
      </c>
      <c r="AH16" s="18">
        <f>AF16/Z16</f>
        <v>2852.7443819436594</v>
      </c>
      <c r="AI16" s="133">
        <f>AH16*SQRT((AG16/AF16)^2+(AA16/Z16)^2)</f>
        <v>8.3113284074705032</v>
      </c>
      <c r="AJ16" s="132">
        <f t="shared" si="43"/>
        <v>142.36916306246948</v>
      </c>
      <c r="AK16" s="133">
        <f>V16*1000</f>
        <v>0.63123253830309156</v>
      </c>
      <c r="AL16" s="133">
        <f>AF16/Q16</f>
        <v>0.19646509484417676</v>
      </c>
      <c r="AM16" s="133">
        <f>AL16*SQRT((R16/Q16)^2+(AG16/AF16)^2)</f>
        <v>4.458084560033152E-4</v>
      </c>
      <c r="AN16" s="18">
        <f>AL16*1/((AN15+AN17)/2)</f>
        <v>0.19679543424410956</v>
      </c>
      <c r="AO16" s="129">
        <f>AN16*SQRT((R16/Q16)^2+(AG16/AF16)^2)</f>
        <v>4.4655804512477165E-4</v>
      </c>
      <c r="AP16" s="18">
        <f>ThU_Alter_Kombi(AN16,U16)</f>
        <v>20.536300000000001</v>
      </c>
      <c r="AQ16" s="18">
        <f t="shared" si="44"/>
        <v>4.8000000000000001E-2</v>
      </c>
      <c r="AR16" s="154">
        <f>(AQ16/AP16)</f>
        <v>2.337324639784187E-3</v>
      </c>
      <c r="AS16" s="131">
        <f t="shared" si="3"/>
        <v>6.8868804400315487E-5</v>
      </c>
      <c r="AT16" s="131">
        <f t="shared" si="4"/>
        <v>1.2591897670556603E-7</v>
      </c>
      <c r="AU16" s="18">
        <v>8</v>
      </c>
      <c r="AV16" s="18">
        <f>AU16/2</f>
        <v>4</v>
      </c>
      <c r="AW16" s="18">
        <f t="shared" si="5"/>
        <v>20.484100000000002</v>
      </c>
      <c r="AX16" s="135">
        <f t="shared" si="6"/>
        <v>5.6643583300000001E-2</v>
      </c>
      <c r="AY16" s="135">
        <f t="shared" si="7"/>
        <v>5.8828610587434993E-2</v>
      </c>
      <c r="AZ16" s="154">
        <f t="shared" si="8"/>
        <v>2.7652463764578378E-3</v>
      </c>
      <c r="BA16" s="18" t="str">
        <f>Input!B16</f>
        <v>SO236_7_5</v>
      </c>
      <c r="BB16" s="136">
        <f>Input!E16</f>
        <v>0</v>
      </c>
      <c r="BC16" s="18">
        <f>((U16-1)*EXP(Constants!$B$17*AW16*1000))*1000</f>
        <v>150.84167597074673</v>
      </c>
      <c r="BD16" s="132">
        <f>SQRT((EXP(Constants!$B$17*AW16*1000)*V16)^2+((U16-1)*Constants!$B$17*EXP(Constants!$B$17*AW16*1000)*AY16*1000)^2)*1000</f>
        <v>0.66926641544112475</v>
      </c>
      <c r="BE16" s="18">
        <f t="shared" si="45"/>
        <v>20426.100000000002</v>
      </c>
      <c r="BF16" s="137">
        <f t="shared" si="46"/>
        <v>29.414305293717497</v>
      </c>
      <c r="BG16" s="20">
        <f t="shared" si="47"/>
        <v>0.28719158072570916</v>
      </c>
      <c r="BH16" s="18"/>
      <c r="BI16" s="18"/>
      <c r="BJ16" s="18"/>
      <c r="BK16" s="18"/>
      <c r="BL16" s="18"/>
      <c r="BM16" s="18"/>
      <c r="BN16" s="159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8">
        <f>Input!A17</f>
        <v>10815</v>
      </c>
      <c r="B17" s="138" t="str">
        <f>Input!B17</f>
        <v>Hu1-13</v>
      </c>
      <c r="C17" s="138">
        <f>Input!O17</f>
        <v>2.0838650577701787</v>
      </c>
      <c r="D17" s="138">
        <f>C17*Input!P17/100</f>
        <v>9.4796653535560889E-3</v>
      </c>
      <c r="E17" s="139">
        <f>Input!M17</f>
        <v>2.732103128386365</v>
      </c>
      <c r="F17" s="140">
        <f>E17*Input!N17/100</f>
        <v>2.1273446821175909E-4</v>
      </c>
      <c r="G17" s="141">
        <f t="shared" ref="G17" si="57">E17*137.88</f>
        <v>376.70237934191198</v>
      </c>
      <c r="H17" s="140">
        <f>G17*Input!L17/100</f>
        <v>2.442813117749246E-2</v>
      </c>
      <c r="I17" s="138">
        <v>0</v>
      </c>
      <c r="J17" s="142">
        <f>(((C17*Constants!$B$24*0.000000001*Input!G17*(Constants!$B$4/Constants!$B$3))-(I17*0.000000000000001))/Input!F17)*1000000000000</f>
        <v>752.35351975355877</v>
      </c>
      <c r="K17" s="138">
        <f>J17*Input!P17/100</f>
        <v>3.4225150847653185</v>
      </c>
      <c r="L17" s="143">
        <f>(J17/Constants!$B$4)*602200000000*Constants!$B$17/(365.2425*24*60)</f>
        <v>10.387075689475555</v>
      </c>
      <c r="M17" s="144">
        <f>L17*Input!P17/100</f>
        <v>4.72516208144729E-2</v>
      </c>
      <c r="N17" s="138">
        <v>0</v>
      </c>
      <c r="O17" s="142">
        <f>(((G17*Constants!$B$23*0.000000001*Input!G17*(Constants!$B$7/Constants!$B$6))-(N17*0.000000001))/Input!F17)*1000000</f>
        <v>13.700367868468739</v>
      </c>
      <c r="P17" s="138">
        <f>O17*Input!N17/100</f>
        <v>1.0667754238565493E-3</v>
      </c>
      <c r="Q17" s="145">
        <f>(O17/Constants!$B$7)*602200000000000000*Constants!$B$18/(365.2425*24*60)</f>
        <v>10.222128865291443</v>
      </c>
      <c r="R17" s="146">
        <f>Q17*Input!N17/100</f>
        <v>7.959432883612302E-4</v>
      </c>
      <c r="S17" s="144">
        <f>Input!S17*Constants!$B$17/Constants!$B$18</f>
        <v>1.0005965439611377</v>
      </c>
      <c r="T17" s="138">
        <f>S17*Input!T17/100</f>
        <v>9.8615096281536529E-4</v>
      </c>
      <c r="U17" s="144">
        <f>S17</f>
        <v>1.0005965439611377</v>
      </c>
      <c r="V17" s="138">
        <f>U17*Input!T17/100</f>
        <v>9.8615096281536529E-4</v>
      </c>
      <c r="W17" s="147">
        <v>0</v>
      </c>
      <c r="X17" s="142">
        <f>(((Constants!$B$25*0.000000001*Input!G17/Input!W17*(Constants!$B$11/Constants!$B$9))-(W17*0.000000001))/Input!F17)*1000000000</f>
        <v>0.87156652156889303</v>
      </c>
      <c r="Y17" s="142">
        <f>X17*Input!X17/100</f>
        <v>2.9356958270897022E-3</v>
      </c>
      <c r="Z17" s="142">
        <f>(X17/Constants!$B$11)*6.022E+23*0.000000001*Constants!$B$19/(365.2425*24*60)</f>
        <v>2.1277756455439091E-4</v>
      </c>
      <c r="AA17" s="142">
        <f>Z17*Input!X17/100</f>
        <v>7.1669825871261346E-7</v>
      </c>
      <c r="AB17" s="143">
        <v>0</v>
      </c>
      <c r="AC17" s="143">
        <v>0.9</v>
      </c>
      <c r="AD17" s="142">
        <f>(((Input!G17*Constants!$B$25*0.000000001*Input!U17*(Constants!$B$10/Constants!$B$9))-((AB17*0.000000000000001)+(Input!G17*AC17*0.000000000000001)))/Input!F17)*1000000000000</f>
        <v>223.54354460373119</v>
      </c>
      <c r="AE17" s="142">
        <f>AD17*Input!V17/100</f>
        <v>0.54292875083403913</v>
      </c>
      <c r="AF17" s="142">
        <f>(AD17/Constants!$B$10)*602200000000*Constants!$B$16/(365.2425*24*60)</f>
        <v>10.203794524333745</v>
      </c>
      <c r="AG17" s="142">
        <f>AF17*Input!V17/100</f>
        <v>2.4782345760349281E-2</v>
      </c>
      <c r="AH17" s="138">
        <f t="shared" ref="AH17" si="58">AF17/Z17</f>
        <v>47955.218143900769</v>
      </c>
      <c r="AI17" s="147">
        <f t="shared" ref="AI17" si="59">AH17*SQRT((AG17/AF17)^2+(AA17/Z17)^2)</f>
        <v>199.13949961199137</v>
      </c>
      <c r="AJ17" s="144">
        <f t="shared" si="43"/>
        <v>0.59654396113772989</v>
      </c>
      <c r="AK17" s="147">
        <f t="shared" ref="AK17" si="60">V17*1000</f>
        <v>0.9861509628153653</v>
      </c>
      <c r="AL17" s="147">
        <f t="shared" ref="AL17" si="61">AF17/Q17</f>
        <v>0.99820640678675532</v>
      </c>
      <c r="AM17" s="147">
        <f t="shared" ref="AM17" si="62">AL17*SQRT((R17/Q17)^2+(AG17/AF17)^2)</f>
        <v>2.4256276555951928E-3</v>
      </c>
      <c r="AN17" s="138">
        <f>AF17/Q17</f>
        <v>0.99820640678675532</v>
      </c>
      <c r="AO17" s="142">
        <f t="shared" ref="AO17" si="63">AN17*SQRT((R17/Q17)^2+(AG17/AF17)^2)</f>
        <v>2.4256276555951928E-3</v>
      </c>
      <c r="AP17" s="138">
        <f t="shared" ref="AP17" si="64">ThU_Alter_Kombi(AN17,U17)</f>
        <v>647.35090000000002</v>
      </c>
      <c r="AQ17" s="138" t="e">
        <f t="shared" si="44"/>
        <v>#VALUE!</v>
      </c>
      <c r="AR17" s="138" t="e">
        <f>(AQ17/AP17)*100</f>
        <v>#VALUE!</v>
      </c>
      <c r="AS17" s="146">
        <f t="shared" si="3"/>
        <v>2.081538663407609E-5</v>
      </c>
      <c r="AT17" s="146">
        <f t="shared" si="4"/>
        <v>7.0131157779455145E-8</v>
      </c>
      <c r="AU17" s="138">
        <v>0.75</v>
      </c>
      <c r="AV17" s="138">
        <f t="shared" ref="AV17" si="65">AU17/2</f>
        <v>0.375</v>
      </c>
      <c r="AW17" s="138">
        <f t="shared" si="5"/>
        <v>647.3492</v>
      </c>
      <c r="AX17" s="148">
        <f t="shared" si="6"/>
        <v>264.3328159596</v>
      </c>
      <c r="AY17" s="148">
        <f t="shared" si="7"/>
        <v>114.46555307623264</v>
      </c>
      <c r="AZ17" s="149">
        <f t="shared" si="8"/>
        <v>0.40833110778479376</v>
      </c>
      <c r="BA17" s="138" t="str">
        <f>Input!B17</f>
        <v>Hu1-13</v>
      </c>
      <c r="BB17" s="150">
        <f>Input!E17</f>
        <v>0</v>
      </c>
      <c r="BC17" s="138">
        <f>((U17-1)*EXP(Constants!$B$17*AW17*1000))*1000</f>
        <v>3.7071223978718764</v>
      </c>
      <c r="BD17" s="144">
        <f>SQRT((EXP(Constants!$B$17*AW17*1000)*V17)^2+((U17-1)*Constants!$B$17*EXP(Constants!$B$17*AW17*1000)*AY17*1000)^2)*1000</f>
        <v>6.2441743104821272</v>
      </c>
      <c r="BE17" s="138">
        <f t="shared" si="45"/>
        <v>647291.19999999995</v>
      </c>
      <c r="BF17" s="151">
        <f t="shared" si="46"/>
        <v>57232.776538116319</v>
      </c>
      <c r="BG17" s="160">
        <f t="shared" si="47"/>
        <v>17.682195803475565</v>
      </c>
      <c r="BH17" s="138"/>
      <c r="BI17" s="18"/>
      <c r="BJ17" s="18"/>
      <c r="BK17" s="18"/>
      <c r="BL17" s="18"/>
      <c r="BM17" s="18"/>
      <c r="BN17" s="159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10924</v>
      </c>
      <c r="B18" s="18" t="str">
        <f>Input!B18</f>
        <v>SO236_7_6</v>
      </c>
      <c r="C18" s="18">
        <f>Input!O18</f>
        <v>2.6077627140844477</v>
      </c>
      <c r="D18" s="18">
        <f>C18*Input!P18/100</f>
        <v>4.6684997251470531E-3</v>
      </c>
      <c r="E18" s="152">
        <f>Input!M18</f>
        <v>3.0355367680055751</v>
      </c>
      <c r="F18" s="153">
        <f>E18*Input!N18/100</f>
        <v>1.2363764598194869E-4</v>
      </c>
      <c r="G18" s="21">
        <f>E18*137.88</f>
        <v>418.5398095726087</v>
      </c>
      <c r="H18" s="153">
        <f>G18*Input!L18/100</f>
        <v>1.3858567054591068E-2</v>
      </c>
      <c r="I18" s="18">
        <v>0.3</v>
      </c>
      <c r="J18" s="129">
        <f>(((C18*Constants!$B$24*0.000000001*Input!G18*(Constants!$B$4/Constants!$B$3))-(I18*0.000000000000001))/Input!F18)*1000000000000</f>
        <v>265.57728502659677</v>
      </c>
      <c r="K18" s="18">
        <f>J18*Input!P18/100</f>
        <v>0.4754448997432123</v>
      </c>
      <c r="L18" s="134">
        <f>(J18/Constants!$B$4)*602200000000*Constants!$B$17/(365.2425*24*60)</f>
        <v>3.6665892941928178</v>
      </c>
      <c r="M18" s="132">
        <f>L18*Input!P18/100</f>
        <v>6.5640447344826854E-3</v>
      </c>
      <c r="N18" s="18">
        <v>5.0000000000000001E-3</v>
      </c>
      <c r="O18" s="129">
        <f>(((G18*Constants!$B$23*0.000000001*Input!G18*(Constants!$B$7/Constants!$B$6))-(N18*0.000000001))/Input!F18)*1000000</f>
        <v>4.2937913114267356</v>
      </c>
      <c r="P18" s="18">
        <f>O18*Input!N18/100</f>
        <v>1.7488645029041896E-4</v>
      </c>
      <c r="Q18" s="130">
        <f>(O18/Constants!$B$7)*602200000000000000*Constants!$B$18/(365.2425*24*60)</f>
        <v>3.2036868299784218</v>
      </c>
      <c r="R18" s="131">
        <f>Q18*Input!N18/100</f>
        <v>1.3048641093619466E-4</v>
      </c>
      <c r="S18" s="132">
        <f>Input!S18*Constants!$B$17/Constants!$B$18</f>
        <v>1.1347550256231855</v>
      </c>
      <c r="T18" s="18">
        <f>S18*Input!T18/100</f>
        <v>5.8363499985145063E-4</v>
      </c>
      <c r="U18" s="18">
        <f>S18*1/((U17+U19)/2)</f>
        <v>1.1343119742355967</v>
      </c>
      <c r="V18" s="18">
        <f>U18*Input!T18/100</f>
        <v>5.8340712661829395E-4</v>
      </c>
      <c r="W18" s="133">
        <v>3.0000000000000001E-3</v>
      </c>
      <c r="X18" s="129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0.64112588458067343</v>
      </c>
      <c r="Y18" s="129">
        <f>X18*Input!X18/100</f>
        <v>8.2309200463894503E-4</v>
      </c>
      <c r="Z18" s="129">
        <f>(X18/Constants!$B$11)*6.022E+23*0.000000001*Constants!$B$19/(365.2425*24*60)</f>
        <v>1.5651955521225479E-4</v>
      </c>
      <c r="AA18" s="129">
        <f>Z18*Input!X18/100</f>
        <v>2.0094336785218358E-7</v>
      </c>
      <c r="AB18" s="134">
        <v>0.05</v>
      </c>
      <c r="AC18" s="134">
        <v>0.9</v>
      </c>
      <c r="AD18" s="129">
        <f>(((Input!G18*Constants!$B$25*0.000000001*Input!U18*(Constants!$B$10/Constants!$B$9))-((AB18*0.000000000000001)+(Input!G18*AC18*0.000000000000001)))/Input!F18)*1000000000000</f>
        <v>14.367902173071499</v>
      </c>
      <c r="AE18" s="129">
        <f>AD18*Input!V18/100</f>
        <v>2.637462639364082E-2</v>
      </c>
      <c r="AF18" s="129">
        <f>(AD18/Constants!$B$10)*602200000000*Constants!$B$16/(365.2425*24*60)</f>
        <v>0.65583249912063368</v>
      </c>
      <c r="AG18" s="129">
        <f>AF18*Input!V18/100</f>
        <v>1.2038874522359547E-3</v>
      </c>
      <c r="AH18" s="18">
        <f>AF18/Z18</f>
        <v>4190.0994302677709</v>
      </c>
      <c r="AI18" s="133">
        <f>AH18*SQRT((AG18/AF18)^2+(AA18/Z18)^2)</f>
        <v>9.3860654595609656</v>
      </c>
      <c r="AJ18" s="132">
        <f t="shared" si="43"/>
        <v>134.31197423559672</v>
      </c>
      <c r="AK18" s="133">
        <f>V18*1000</f>
        <v>0.58340712661829397</v>
      </c>
      <c r="AL18" s="133">
        <f>AF18/Q18</f>
        <v>0.20471180047428386</v>
      </c>
      <c r="AM18" s="133">
        <f>AL18*SQRT((R18/Q18)^2+(AG18/AF18)^2)</f>
        <v>3.7587436806888527E-4</v>
      </c>
      <c r="AN18" s="18">
        <f>AL18*1/((AN17+AN19)/2)</f>
        <v>0.20505664301971913</v>
      </c>
      <c r="AO18" s="129">
        <f>AN18*SQRT((R18/Q18)^2+(AG18/AF18)^2)</f>
        <v>3.7650753857272748E-4</v>
      </c>
      <c r="AP18" s="18">
        <f>ThU_Alter_Kombi(AN18,U18)</f>
        <v>21.657900000000001</v>
      </c>
      <c r="AQ18" s="18">
        <f t="shared" si="44"/>
        <v>4.6300000000000001E-2</v>
      </c>
      <c r="AR18" s="154">
        <f>(AQ18/AP18)</f>
        <v>2.137788058860739E-3</v>
      </c>
      <c r="AS18" s="131">
        <f t="shared" si="3"/>
        <v>4.8856072243899388E-5</v>
      </c>
      <c r="AT18" s="131">
        <f t="shared" si="4"/>
        <v>6.2754095315904109E-8</v>
      </c>
      <c r="AU18" s="18">
        <v>8</v>
      </c>
      <c r="AV18" s="18">
        <f>AU18/2</f>
        <v>4</v>
      </c>
      <c r="AW18" s="18">
        <f t="shared" si="5"/>
        <v>21.6205</v>
      </c>
      <c r="AX18" s="135">
        <f t="shared" si="6"/>
        <v>5.3576197499999999E-2</v>
      </c>
      <c r="AY18" s="135">
        <f t="shared" si="7"/>
        <v>4.9313529144669299E-2</v>
      </c>
      <c r="AZ18" s="154">
        <f t="shared" si="8"/>
        <v>2.4780276820610069E-3</v>
      </c>
      <c r="BA18" s="18" t="str">
        <f>Input!B18</f>
        <v>SO236_7_6</v>
      </c>
      <c r="BB18" s="136">
        <f>Input!E18</f>
        <v>0</v>
      </c>
      <c r="BC18" s="18">
        <f>((U18-1)*EXP(Constants!$B$17*AW18*1000))*1000</f>
        <v>142.76209994610431</v>
      </c>
      <c r="BD18" s="132">
        <f>SQRT((EXP(Constants!$B$17*AW18*1000)*V18)^2+((U18-1)*Constants!$B$17*EXP(Constants!$B$17*AW18*1000)*AY18*1000)^2)*1000</f>
        <v>0.62042988347300387</v>
      </c>
      <c r="BE18" s="18">
        <f t="shared" si="45"/>
        <v>21562.5</v>
      </c>
      <c r="BF18" s="137">
        <f t="shared" si="46"/>
        <v>24.656764572334648</v>
      </c>
      <c r="BG18" s="20">
        <f t="shared" si="47"/>
        <v>0.2280869043022562</v>
      </c>
      <c r="BH18" s="18"/>
      <c r="BI18" s="18"/>
      <c r="BJ18" s="18"/>
      <c r="BK18" s="18"/>
      <c r="BL18" s="18"/>
      <c r="BM18" s="18"/>
      <c r="BN18" s="159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8">
        <f>Input!A19</f>
        <v>10815</v>
      </c>
      <c r="B19" s="138" t="str">
        <f>Input!B19</f>
        <v>Hu1-13</v>
      </c>
      <c r="C19" s="138">
        <f>Input!O19</f>
        <v>2.0770935484111952</v>
      </c>
      <c r="D19" s="138">
        <f>C19*Input!P19/100</f>
        <v>1.2728061963650495E-2</v>
      </c>
      <c r="E19" s="139">
        <f>Input!M19</f>
        <v>2.7323632623192693</v>
      </c>
      <c r="F19" s="140">
        <f>E19*Input!N19/100</f>
        <v>2.5056653944456017E-4</v>
      </c>
      <c r="G19" s="141">
        <f t="shared" ref="G19" si="66">E19*137.88</f>
        <v>376.73824660858082</v>
      </c>
      <c r="H19" s="140">
        <f>G19*Input!L19/100</f>
        <v>2.1360020320367185E-2</v>
      </c>
      <c r="I19" s="138">
        <v>0</v>
      </c>
      <c r="J19" s="142">
        <f>(((C19*Constants!$B$24*0.000000001*Input!G19*(Constants!$B$4/Constants!$B$3))-(I19*0.000000000000001))/Input!F19)*1000000000000</f>
        <v>749.90875065429339</v>
      </c>
      <c r="K19" s="138">
        <f>J19*Input!P19/100</f>
        <v>4.5953082145542368</v>
      </c>
      <c r="L19" s="143">
        <f>(J19/Constants!$B$4)*602200000000*Constants!$B$17/(365.2425*24*60)</f>
        <v>10.353322937596785</v>
      </c>
      <c r="M19" s="144">
        <f>L19*Input!P19/100</f>
        <v>6.3443332140824801E-2</v>
      </c>
      <c r="N19" s="138">
        <v>0</v>
      </c>
      <c r="O19" s="142">
        <f>(((G19*Constants!$B$23*0.000000001*Input!G19*(Constants!$B$7/Constants!$B$6))-(N19*0.000000001))/Input!F19)*1000000</f>
        <v>13.701672332615363</v>
      </c>
      <c r="P19" s="138">
        <f>O19*Input!N19/100</f>
        <v>1.2564876231254012E-3</v>
      </c>
      <c r="Q19" s="145">
        <f>(O19/Constants!$B$7)*602200000000000000*Constants!$B$18/(365.2425*24*60)</f>
        <v>10.223102153069917</v>
      </c>
      <c r="R19" s="146">
        <f>Q19*Input!N19/100</f>
        <v>9.3749149837004688E-4</v>
      </c>
      <c r="S19" s="144">
        <f>Input!S19*Constants!$B$17/Constants!$B$18</f>
        <v>1.0001846368738567</v>
      </c>
      <c r="T19" s="138">
        <f>S19*Input!T19/100</f>
        <v>1.2317722675703675E-3</v>
      </c>
      <c r="U19" s="144">
        <f>S19</f>
        <v>1.0001846368738567</v>
      </c>
      <c r="V19" s="138">
        <f>U19*Input!T19/100</f>
        <v>1.2317722675703675E-3</v>
      </c>
      <c r="W19" s="147">
        <v>0</v>
      </c>
      <c r="X19" s="142">
        <f>(((Constants!$B$25*0.000000001*Input!G19/Input!W19*(Constants!$B$11/Constants!$B$9))-(W19*0.000000001))/Input!F19)*1000000000</f>
        <v>0.87537977334447981</v>
      </c>
      <c r="Y19" s="142">
        <f>X19*Input!X19/100</f>
        <v>3.7818377260980529E-3</v>
      </c>
      <c r="Z19" s="142">
        <f>(X19/Constants!$B$11)*6.022E+23*0.000000001*Constants!$B$19/(365.2425*24*60)</f>
        <v>2.1370850259040165E-4</v>
      </c>
      <c r="AA19" s="142">
        <f>Z19*Input!X19/100</f>
        <v>9.2326885095419828E-7</v>
      </c>
      <c r="AB19" s="143">
        <v>0</v>
      </c>
      <c r="AC19" s="143">
        <v>0.9</v>
      </c>
      <c r="AD19" s="142">
        <f>(((Input!G19*Constants!$B$25*0.000000001*Input!U19*(Constants!$B$10/Constants!$B$9))-((AB19*0.000000000000001)+(Input!G19*AC19*0.000000000000001)))/Input!F19)*1000000000000</f>
        <v>223.61495235097544</v>
      </c>
      <c r="AE19" s="142">
        <f>AD19*Input!V19/100</f>
        <v>0.61990760361302466</v>
      </c>
      <c r="AF19" s="142">
        <f>(AD19/Constants!$B$10)*602200000000*Constants!$B$16/(365.2425*24*60)</f>
        <v>10.207053978690244</v>
      </c>
      <c r="AG19" s="142">
        <f>AF19*Input!V19/100</f>
        <v>2.8296096953066993E-2</v>
      </c>
      <c r="AH19" s="138">
        <f t="shared" ref="AH19" si="67">AF19/Z19</f>
        <v>47761.571743606779</v>
      </c>
      <c r="AI19" s="147">
        <f t="shared" ref="AI19" si="68">AH19*SQRT((AG19/AF19)^2+(AA19/Z19)^2)</f>
        <v>245.16854370872568</v>
      </c>
      <c r="AJ19" s="144">
        <f t="shared" si="43"/>
        <v>0.184636873856725</v>
      </c>
      <c r="AK19" s="147">
        <f t="shared" ref="AK19" si="69">V19*1000</f>
        <v>1.2317722675703675</v>
      </c>
      <c r="AL19" s="147">
        <f t="shared" ref="AL19" si="70">AF19/Q19</f>
        <v>0.99843020502589286</v>
      </c>
      <c r="AM19" s="147">
        <f t="shared" ref="AM19" si="71">AL19*SQRT((R19/Q19)^2+(AG19/AF19)^2)</f>
        <v>2.769372135308628E-3</v>
      </c>
      <c r="AN19" s="138">
        <f>AF19/Q19</f>
        <v>0.99843020502589286</v>
      </c>
      <c r="AO19" s="142">
        <f t="shared" ref="AO19" si="72">AN19*SQRT((R19/Q19)^2+(AG19/AF19)^2)</f>
        <v>2.769372135308628E-3</v>
      </c>
      <c r="AP19" s="138">
        <f t="shared" ref="AP19" si="73">ThU_Alter_Kombi(AN19,U19)</f>
        <v>687.17309999999998</v>
      </c>
      <c r="AQ19" s="138" t="e">
        <f t="shared" si="44"/>
        <v>#VALUE!</v>
      </c>
      <c r="AR19" s="138" t="e">
        <f>(AQ19/AP19)*100</f>
        <v>#VALUE!</v>
      </c>
      <c r="AS19" s="146">
        <f t="shared" si="3"/>
        <v>2.0904467097223193E-5</v>
      </c>
      <c r="AT19" s="146">
        <f t="shared" si="4"/>
        <v>9.0332348201860058E-8</v>
      </c>
      <c r="AU19" s="138">
        <v>0.75</v>
      </c>
      <c r="AV19" s="138">
        <f t="shared" ref="AV19" si="74">AU19/2</f>
        <v>0.375</v>
      </c>
      <c r="AW19" s="138">
        <f t="shared" si="5"/>
        <v>687.17139999999995</v>
      </c>
      <c r="AX19" s="148">
        <f t="shared" si="6"/>
        <v>308.32495222940003</v>
      </c>
      <c r="AY19" s="148">
        <f t="shared" si="7"/>
        <v>193.45922435322737</v>
      </c>
      <c r="AZ19" s="149">
        <f t="shared" si="8"/>
        <v>0.44868711391277349</v>
      </c>
      <c r="BA19" s="138" t="str">
        <f>Input!B19</f>
        <v>Hu1-13</v>
      </c>
      <c r="BB19" s="150">
        <f>Input!E19</f>
        <v>0</v>
      </c>
      <c r="BC19" s="138">
        <f>((U19-1)*EXP(Constants!$B$17*AW19*1000))*1000</f>
        <v>1.283864531012451</v>
      </c>
      <c r="BD19" s="144">
        <f>SQRT((EXP(Constants!$B$17*AW19*1000)*V19)^2+((U19-1)*Constants!$B$17*EXP(Constants!$B$17*AW19*1000)*AY19*1000)^2)*1000</f>
        <v>8.5937080476453271</v>
      </c>
      <c r="BE19" s="138">
        <f t="shared" si="45"/>
        <v>687113.39999999991</v>
      </c>
      <c r="BF19" s="151">
        <f t="shared" si="46"/>
        <v>96729.612176613678</v>
      </c>
      <c r="BG19" s="160">
        <f t="shared" si="47"/>
        <v>28.15297964281217</v>
      </c>
      <c r="BH19" s="138"/>
      <c r="BI19" s="18"/>
      <c r="BJ19" s="18"/>
      <c r="BK19" s="18"/>
      <c r="BL19" s="18"/>
      <c r="BM19" s="18"/>
      <c r="BN19" s="159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>
        <f>Input!A20</f>
        <v>10925</v>
      </c>
      <c r="B20" s="18" t="str">
        <f>Input!B20</f>
        <v>SO236_7_7</v>
      </c>
      <c r="C20" s="18">
        <f>Input!O20</f>
        <v>2.5371224446807723</v>
      </c>
      <c r="D20" s="18">
        <f>C20*Input!P20/100</f>
        <v>3.5916368064268654E-3</v>
      </c>
      <c r="E20" s="152">
        <f>Input!M20</f>
        <v>2.9556821919374179</v>
      </c>
      <c r="F20" s="153">
        <f>E20*Input!N20/100</f>
        <v>1.175196329707334E-4</v>
      </c>
      <c r="G20" s="21">
        <f>E20*137.88</f>
        <v>407.52946062433114</v>
      </c>
      <c r="H20" s="153">
        <f>G20*Input!L20/100</f>
        <v>1.5432327979854357E-2</v>
      </c>
      <c r="I20" s="18">
        <v>0.3</v>
      </c>
      <c r="J20" s="129">
        <f>(((C20*Constants!$B$24*0.000000001*Input!G20*(Constants!$B$4/Constants!$B$3))-(I20*0.000000000000001))/Input!F20)*1000000000000</f>
        <v>264.70550069526183</v>
      </c>
      <c r="K20" s="18">
        <f>J20*Input!P20/100</f>
        <v>0.37472610797874895</v>
      </c>
      <c r="L20" s="134">
        <f>(J20/Constants!$B$4)*602200000000*Constants!$B$17/(365.2425*24*60)</f>
        <v>3.6545533435436592</v>
      </c>
      <c r="M20" s="132">
        <f>L20*Input!P20/100</f>
        <v>5.1735099846051376E-3</v>
      </c>
      <c r="N20" s="18">
        <v>5.0000000000000001E-3</v>
      </c>
      <c r="O20" s="129">
        <f>(((G20*Constants!$B$23*0.000000001*Input!G20*(Constants!$B$7/Constants!$B$6))-(N20*0.000000001))/Input!F20)*1000000</f>
        <v>4.2831359392568382</v>
      </c>
      <c r="P20" s="18">
        <f>O20*Input!N20/100</f>
        <v>1.7029996151760786E-4</v>
      </c>
      <c r="Q20" s="130">
        <f>(O20/Constants!$B$7)*602200000000000000*Constants!$B$18/(365.2425*24*60)</f>
        <v>3.1957366356132755</v>
      </c>
      <c r="R20" s="131">
        <f>Q20*Input!N20/100</f>
        <v>1.2706433645432691E-4</v>
      </c>
      <c r="S20" s="132">
        <f>Input!S20*Constants!$B$17/Constants!$B$18</f>
        <v>1.1345157919482722</v>
      </c>
      <c r="T20" s="18">
        <f>S20*Input!T20/100</f>
        <v>4.7806873831573109E-4</v>
      </c>
      <c r="U20" s="18">
        <f>S20*1/((U19+U21)/2)</f>
        <v>1.1343525128596752</v>
      </c>
      <c r="V20" s="18">
        <f>U20*Input!T20/100</f>
        <v>4.7799993484165618E-4</v>
      </c>
      <c r="W20" s="133">
        <v>3.0000000000000001E-3</v>
      </c>
      <c r="X20" s="129">
        <f>IF((((Constants!$B$25*0.000000001*Input!G20/Input!W20*(Constants!$B$11/Constants!$B$9))-(W20*0.000000001))/Input!F20)*1000000000&lt;0, "n.d.", (((Constants!$B$25*0.000000001*Input!G20/Input!W20*(Constants!$B$11/Constants!$B$9))-(W20*0.000000001))/Input!F20)*1000000000)</f>
        <v>0.25122212931430821</v>
      </c>
      <c r="Y20" s="129">
        <f>X20*Input!X20/100</f>
        <v>5.4797381990894694E-4</v>
      </c>
      <c r="Z20" s="129">
        <f>(X20/Constants!$B$11)*6.022E+23*0.000000001*Constants!$B$19/(365.2425*24*60)</f>
        <v>6.1331443458204741E-5</v>
      </c>
      <c r="AA20" s="129">
        <f>Z20*Input!X20/100</f>
        <v>1.3377812473786691E-7</v>
      </c>
      <c r="AB20" s="134">
        <v>0.05</v>
      </c>
      <c r="AC20" s="134">
        <v>0.9</v>
      </c>
      <c r="AD20" s="129">
        <f>(((Input!G20*Constants!$B$25*0.000000001*Input!U20*(Constants!$B$10/Constants!$B$9))-((AB20*0.000000000000001)+(Input!G20*AC20*0.000000000000001)))/Input!F20)*1000000000000</f>
        <v>14.386894716046616</v>
      </c>
      <c r="AE20" s="129">
        <f>AD20*Input!V20/100</f>
        <v>3.4686986112841309E-2</v>
      </c>
      <c r="AF20" s="129">
        <f>(AD20/Constants!$B$10)*602200000000*Constants!$B$16/(365.2425*24*60)</f>
        <v>0.65669942644057133</v>
      </c>
      <c r="AG20" s="129">
        <f>AF20*Input!V20/100</f>
        <v>1.5833106681352282E-3</v>
      </c>
      <c r="AH20" s="18">
        <f>AF20/Z20</f>
        <v>10707.385794500162</v>
      </c>
      <c r="AI20" s="133">
        <f>AH20*SQRT((AG20/AF20)^2+(AA20/Z20)^2)</f>
        <v>34.812602213307997</v>
      </c>
      <c r="AJ20" s="132">
        <f t="shared" ref="AJ20:AJ21" si="75">(U20-1)*1000</f>
        <v>134.35251285967519</v>
      </c>
      <c r="AK20" s="133">
        <f>V20*1000</f>
        <v>0.4779999348416562</v>
      </c>
      <c r="AL20" s="133">
        <f>AF20/Q20</f>
        <v>0.20549234850028494</v>
      </c>
      <c r="AM20" s="133">
        <f>AL20*SQRT((R20/Q20)^2+(AG20/AF20)^2)</f>
        <v>4.95512031593992E-4</v>
      </c>
      <c r="AN20" s="18">
        <f>AL20*1/((AN19+AN21)/2)</f>
        <v>0.20555689855185197</v>
      </c>
      <c r="AO20" s="129">
        <f>AN20*SQRT((R20/Q20)^2+(AG20/AF20)^2)</f>
        <v>4.9566768375050737E-4</v>
      </c>
      <c r="AP20" s="18">
        <f>ThU_Alter_Kombi(AN20,U20)</f>
        <v>21.715199999999999</v>
      </c>
      <c r="AQ20" s="18">
        <f t="shared" ref="AQ20:AQ21" si="76">Montealter(AN20,AO20,U20,V20)</f>
        <v>5.91E-2</v>
      </c>
      <c r="AR20" s="154">
        <f>(AQ20/AP20)</f>
        <v>2.7215959328028296E-3</v>
      </c>
      <c r="AS20" s="131">
        <f t="shared" si="3"/>
        <v>1.9191645135812318E-5</v>
      </c>
      <c r="AT20" s="131">
        <f t="shared" si="4"/>
        <v>4.1868390268028052E-8</v>
      </c>
      <c r="AU20" s="18">
        <v>8</v>
      </c>
      <c r="AV20" s="18">
        <f>AU20/2</f>
        <v>4</v>
      </c>
      <c r="AW20" s="18">
        <f t="shared" si="5"/>
        <v>21.700600000000001</v>
      </c>
      <c r="AX20" s="135">
        <f t="shared" si="6"/>
        <v>5.5444443000000003E-2</v>
      </c>
      <c r="AY20" s="135">
        <f t="shared" si="7"/>
        <v>5.9156133997690041E-2</v>
      </c>
      <c r="AZ20" s="154">
        <f t="shared" si="8"/>
        <v>2.5549728118116548E-3</v>
      </c>
      <c r="BA20" s="18" t="str">
        <f>Input!B20</f>
        <v>SO236_7_7</v>
      </c>
      <c r="BB20" s="136">
        <f>Input!E20</f>
        <v>0</v>
      </c>
      <c r="BC20" s="18">
        <f>((U20-1)*EXP(Constants!$B$17*AW20*1000))*1000</f>
        <v>142.83747335803872</v>
      </c>
      <c r="BD20" s="132">
        <f>SQRT((EXP(Constants!$B$17*AW20*1000)*V20)^2+((U20-1)*Constants!$B$17*EXP(Constants!$B$17*AW20*1000)*AY20*1000)^2)*1000</f>
        <v>0.50874690650893339</v>
      </c>
      <c r="BE20" s="18">
        <f t="shared" ref="BE20:BE21" si="77">AW20*1000-58</f>
        <v>21642.600000000002</v>
      </c>
      <c r="BF20" s="137">
        <f t="shared" ref="BF20:BF21" si="78">AY20/2*1000</f>
        <v>29.578066998845021</v>
      </c>
      <c r="BG20" s="20">
        <f t="shared" ref="BG20:BG21" si="79">AY20/AW20*100</f>
        <v>0.27260137506654208</v>
      </c>
      <c r="BH20" s="18"/>
      <c r="BI20" s="18"/>
      <c r="BJ20" s="18"/>
      <c r="BK20" s="18"/>
      <c r="BL20" s="18"/>
      <c r="BM20" s="18"/>
      <c r="BN20" s="159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8">
        <f>Input!A21</f>
        <v>10815</v>
      </c>
      <c r="B21" s="138" t="str">
        <f>Input!B21</f>
        <v>Hu1-13</v>
      </c>
      <c r="C21" s="138">
        <f>Input!O21</f>
        <v>2.0756755360714734</v>
      </c>
      <c r="D21" s="138">
        <f>C21*Input!P21/100</f>
        <v>1.2450089162224929E-2</v>
      </c>
      <c r="E21" s="139">
        <f>Input!M21</f>
        <v>2.7324641492659123</v>
      </c>
      <c r="F21" s="140">
        <f>E21*Input!N21/100</f>
        <v>3.0905766993240513E-4</v>
      </c>
      <c r="G21" s="141">
        <f t="shared" ref="G21" si="80">E21*137.88</f>
        <v>376.75215690078397</v>
      </c>
      <c r="H21" s="140">
        <f>G21*Input!L21/100</f>
        <v>1.92209076193442E-2</v>
      </c>
      <c r="I21" s="138">
        <v>0</v>
      </c>
      <c r="J21" s="142">
        <f>(((C21*Constants!$B$24*0.000000001*Input!G21*(Constants!$B$4/Constants!$B$3))-(I21*0.000000000000001))/Input!F21)*1000000000000</f>
        <v>749.39679496365716</v>
      </c>
      <c r="K21" s="138">
        <f>J21*Input!P21/100</f>
        <v>4.4949495973930755</v>
      </c>
      <c r="L21" s="143">
        <f>(J21/Constants!$B$4)*602200000000*Constants!$B$17/(365.2425*24*60)</f>
        <v>10.346254820855551</v>
      </c>
      <c r="M21" s="144">
        <f>L21*Input!P21/100</f>
        <v>6.2057770001253051E-2</v>
      </c>
      <c r="N21" s="138">
        <v>0</v>
      </c>
      <c r="O21" s="142">
        <f>(((G21*Constants!$B$23*0.000000001*Input!G21*(Constants!$B$7/Constants!$B$6))-(N21*0.000000001))/Input!F21)*1000000</f>
        <v>13.702178238950953</v>
      </c>
      <c r="P21" s="138">
        <f>O21*Input!N21/100</f>
        <v>1.5497964650941073E-3</v>
      </c>
      <c r="Q21" s="145">
        <f>(O21/Constants!$B$7)*602200000000000000*Constants!$B$18/(365.2425*24*60)</f>
        <v>10.223479620288739</v>
      </c>
      <c r="R21" s="146">
        <f>Q21*Input!N21/100</f>
        <v>1.1563353140046574E-3</v>
      </c>
      <c r="S21" s="144">
        <f>Input!S21*Constants!$B$17/Constants!$B$18</f>
        <v>1.0001032438100506</v>
      </c>
      <c r="T21" s="138">
        <f>S21*Input!T21/100</f>
        <v>1.3651207750964326E-3</v>
      </c>
      <c r="U21" s="144">
        <f>S21</f>
        <v>1.0001032438100506</v>
      </c>
      <c r="V21" s="138">
        <f>U21*Input!T21/100</f>
        <v>1.3651207750964326E-3</v>
      </c>
      <c r="W21" s="147">
        <v>0</v>
      </c>
      <c r="X21" s="142">
        <f>(((Constants!$B$25*0.000000001*Input!G21/Input!W21*(Constants!$B$11/Constants!$B$9))-(W21*0.000000001))/Input!F21)*1000000000</f>
        <v>0.87478922546792048</v>
      </c>
      <c r="Y21" s="142">
        <f>X21*Input!X21/100</f>
        <v>2.5026163648607176E-3</v>
      </c>
      <c r="Z21" s="142">
        <f>(X21/Constants!$B$11)*6.022E+23*0.000000001*Constants!$B$19/(365.2425*24*60)</f>
        <v>2.1356433076207018E-4</v>
      </c>
      <c r="AA21" s="142">
        <f>Z21*Input!X21/100</f>
        <v>6.1096956107318171E-7</v>
      </c>
      <c r="AB21" s="143">
        <v>0</v>
      </c>
      <c r="AC21" s="143">
        <v>0.9</v>
      </c>
      <c r="AD21" s="142">
        <f>(((Input!G21*Constants!$B$25*0.000000001*Input!U21*(Constants!$B$10/Constants!$B$9))-((AB21*0.000000000000001)+(Input!G21*AC21*0.000000000000001)))/Input!F21)*1000000000000</f>
        <v>224.18573044230271</v>
      </c>
      <c r="AE21" s="142">
        <f>AD21*Input!V21/100</f>
        <v>0.54078324307363179</v>
      </c>
      <c r="AF21" s="142">
        <f>(AD21/Constants!$B$10)*602200000000*Constants!$B$16/(365.2425*24*60)</f>
        <v>10.233107526213701</v>
      </c>
      <c r="AG21" s="142">
        <f>AF21*Input!V21/100</f>
        <v>2.4684412624429983E-2</v>
      </c>
      <c r="AH21" s="138">
        <f t="shared" ref="AH21" si="81">AF21/Z21</f>
        <v>47915.808270503279</v>
      </c>
      <c r="AI21" s="147">
        <f t="shared" ref="AI21" si="82">AH21*SQRT((AG21/AF21)^2+(AA21/Z21)^2)</f>
        <v>179.30415699817513</v>
      </c>
      <c r="AJ21" s="144">
        <f t="shared" si="75"/>
        <v>0.10324381005055727</v>
      </c>
      <c r="AK21" s="147">
        <f t="shared" ref="AK21" si="83">V21*1000</f>
        <v>1.3651207750964327</v>
      </c>
      <c r="AL21" s="147">
        <f t="shared" ref="AL21" si="84">AF21/Q21</f>
        <v>1.0009417445216846</v>
      </c>
      <c r="AM21" s="147">
        <f t="shared" ref="AM21" si="85">AL21*SQRT((R21/Q21)^2+(AG21/AF21)^2)</f>
        <v>2.4171352420251993E-3</v>
      </c>
      <c r="AN21" s="138">
        <f>AF21/Q21</f>
        <v>1.0009417445216846</v>
      </c>
      <c r="AO21" s="142">
        <f t="shared" ref="AO21" si="86">AN21*SQRT((R21/Q21)^2+(AG21/AF21)^2)</f>
        <v>2.4171352420251993E-3</v>
      </c>
      <c r="AP21" s="138" t="str">
        <f t="shared" ref="AP21" si="87">ThU_Alter_Kombi(AN21,U21)</f>
        <v>Out of range</v>
      </c>
      <c r="AQ21" s="138" t="e">
        <f t="shared" si="76"/>
        <v>#VALUE!</v>
      </c>
      <c r="AR21" s="138" t="e">
        <f>(AQ21/AP21)*100</f>
        <v>#VALUE!</v>
      </c>
      <c r="AS21" s="146">
        <f t="shared" si="3"/>
        <v>2.0889593239687852E-5</v>
      </c>
      <c r="AT21" s="146">
        <f t="shared" si="4"/>
        <v>5.9808098845805927E-8</v>
      </c>
      <c r="AU21" s="138">
        <v>0.75</v>
      </c>
      <c r="AV21" s="138">
        <f t="shared" ref="AV21" si="88">AU21/2</f>
        <v>0.375</v>
      </c>
      <c r="AW21" s="138" t="str">
        <f t="shared" si="5"/>
        <v>Out of range</v>
      </c>
      <c r="AX21" s="148">
        <f t="shared" si="6"/>
        <v>331.78530328020003</v>
      </c>
      <c r="AY21" s="148" t="e">
        <f t="shared" si="7"/>
        <v>#VALUE!</v>
      </c>
      <c r="AZ21" s="149" t="e">
        <f t="shared" si="8"/>
        <v>#VALUE!</v>
      </c>
      <c r="BA21" s="138" t="str">
        <f>Input!B21</f>
        <v>Hu1-13</v>
      </c>
      <c r="BB21" s="150">
        <f>Input!E21</f>
        <v>0</v>
      </c>
      <c r="BC21" s="138" t="e">
        <f>((U21-1)*EXP(Constants!$B$17*AW21*1000))*1000</f>
        <v>#VALUE!</v>
      </c>
      <c r="BD21" s="144" t="e">
        <f>SQRT((EXP(Constants!$B$17*AW21*1000)*V21)^2+((U21-1)*Constants!$B$17*EXP(Constants!$B$17*AW21*1000)*AY21*1000)^2)*1000</f>
        <v>#VALUE!</v>
      </c>
      <c r="BE21" s="138" t="e">
        <f t="shared" si="77"/>
        <v>#VALUE!</v>
      </c>
      <c r="BF21" s="151" t="e">
        <f t="shared" si="78"/>
        <v>#VALUE!</v>
      </c>
      <c r="BG21" s="160" t="e">
        <f t="shared" si="79"/>
        <v>#VALUE!</v>
      </c>
      <c r="BH21" s="138"/>
      <c r="BI21" s="18"/>
      <c r="BJ21" s="18"/>
      <c r="BK21" s="18"/>
      <c r="BL21" s="18"/>
      <c r="BM21" s="18"/>
      <c r="BN21" s="159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/>
      <c r="B22" s="18"/>
      <c r="C22" s="18"/>
      <c r="D22" s="18"/>
      <c r="E22" s="152"/>
      <c r="F22" s="153"/>
      <c r="G22" s="21"/>
      <c r="H22" s="153"/>
      <c r="I22" s="18"/>
      <c r="J22" s="129"/>
      <c r="K22" s="18"/>
      <c r="L22" s="134"/>
      <c r="M22" s="132"/>
      <c r="N22" s="18"/>
      <c r="O22" s="129"/>
      <c r="P22" s="18"/>
      <c r="Q22" s="130"/>
      <c r="R22" s="131"/>
      <c r="S22" s="132"/>
      <c r="T22" s="18"/>
      <c r="U22" s="18"/>
      <c r="V22" s="18"/>
      <c r="W22" s="133"/>
      <c r="X22" s="129"/>
      <c r="Y22" s="129"/>
      <c r="Z22" s="129"/>
      <c r="AA22" s="129"/>
      <c r="AB22" s="134"/>
      <c r="AC22" s="134"/>
      <c r="AD22" s="129"/>
      <c r="AE22" s="129"/>
      <c r="AF22" s="129"/>
      <c r="AG22" s="129"/>
      <c r="AH22" s="18"/>
      <c r="AI22" s="133"/>
      <c r="AJ22" s="132"/>
      <c r="AK22" s="133"/>
      <c r="AL22" s="133"/>
      <c r="AM22" s="133"/>
      <c r="AN22" s="18"/>
      <c r="AO22" s="129"/>
      <c r="AP22" s="18"/>
      <c r="AQ22" s="18"/>
      <c r="AR22" s="154"/>
      <c r="AS22" s="131"/>
      <c r="AT22" s="131"/>
      <c r="AU22" s="18"/>
      <c r="AV22" s="18"/>
      <c r="AW22" s="18"/>
      <c r="AX22" s="135"/>
      <c r="AY22" s="135"/>
      <c r="AZ22" s="154"/>
      <c r="BA22" s="18"/>
      <c r="BB22" s="136"/>
      <c r="BC22" s="18"/>
      <c r="BD22" s="132"/>
      <c r="BE22" s="18"/>
      <c r="BF22" s="137"/>
      <c r="BG22" s="20"/>
      <c r="BH22" s="18"/>
      <c r="BI22" s="18"/>
      <c r="BJ22" s="18"/>
      <c r="BK22" s="18"/>
      <c r="BL22" s="18"/>
      <c r="BM22" s="18"/>
      <c r="BN22" s="159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8">
        <f>Input!A23</f>
        <v>10815</v>
      </c>
      <c r="B23" s="138" t="str">
        <f>Input!B23</f>
        <v>Hu1-13</v>
      </c>
      <c r="C23" s="138">
        <f>Input!O23</f>
        <v>2.0804261788037244</v>
      </c>
      <c r="D23" s="138">
        <f>C23*Input!P23/100</f>
        <v>1.2220878984459602E-2</v>
      </c>
      <c r="E23" s="139">
        <f>Input!M23</f>
        <v>2.7323966602695462</v>
      </c>
      <c r="F23" s="140">
        <f>E23*Input!N23/100</f>
        <v>2.2952325718256003E-4</v>
      </c>
      <c r="G23" s="141">
        <f t="shared" ref="G23" si="89">E23*137.88</f>
        <v>376.74285151796499</v>
      </c>
      <c r="H23" s="140">
        <f>G23*Input!L23/100</f>
        <v>2.5018084317748386E-2</v>
      </c>
      <c r="I23" s="138">
        <v>0</v>
      </c>
      <c r="J23" s="142">
        <f>(((C23*Constants!$B$24*0.000000001*Input!G23*(Constants!$B$4/Constants!$B$3))-(I23*0.000000000000001))/Input!F23)*1000000000000</f>
        <v>751.11195534190404</v>
      </c>
      <c r="K23" s="138">
        <f>J23*Input!P23/100</f>
        <v>4.4121961180532914</v>
      </c>
      <c r="L23" s="143">
        <f>(J23/Constants!$B$4)*602200000000*Constants!$B$17/(365.2425*24*60)</f>
        <v>10.369934514245271</v>
      </c>
      <c r="M23" s="144">
        <f>L23*Input!P23/100</f>
        <v>6.0915266336551185E-2</v>
      </c>
      <c r="N23" s="138">
        <v>0</v>
      </c>
      <c r="O23" s="142">
        <f>(((G23*Constants!$B$23*0.000000001*Input!G23*(Constants!$B$7/Constants!$B$6))-(N23*0.000000001))/Input!F23)*1000000</f>
        <v>13.70183980953089</v>
      </c>
      <c r="P23" s="138">
        <f>O23*Input!N23/100</f>
        <v>1.1509642608650236E-3</v>
      </c>
      <c r="Q23" s="145">
        <f>(O23/Constants!$B$7)*602200000000000000*Constants!$B$18/(365.2425*24*60)</f>
        <v>10.223227111073156</v>
      </c>
      <c r="R23" s="146">
        <f>Q23*Input!N23/100</f>
        <v>8.5875832728440264E-4</v>
      </c>
      <c r="S23" s="144">
        <f>Input!S23*Constants!$B$17/Constants!$B$18</f>
        <v>0.99939416105195855</v>
      </c>
      <c r="T23" s="138">
        <f>S23*Input!T23/100</f>
        <v>1.3070429023914231E-3</v>
      </c>
      <c r="U23" s="144">
        <f>S23</f>
        <v>0.99939416105195855</v>
      </c>
      <c r="V23" s="138">
        <f>U23*Input!T23/100</f>
        <v>1.3070429023914231E-3</v>
      </c>
      <c r="W23" s="147">
        <v>0</v>
      </c>
      <c r="X23" s="142">
        <f>(((Constants!$B$25*0.000000001*Input!G23/Input!W23*(Constants!$B$11/Constants!$B$9))-(W23*0.000000001))/Input!F23)*1000000000</f>
        <v>0.92021136172936513</v>
      </c>
      <c r="Y23" s="142">
        <f>X23*Input!X23/100</f>
        <v>3.8820953922032559E-3</v>
      </c>
      <c r="Z23" s="142">
        <f>(X23/Constants!$B$11)*6.022E+23*0.000000001*Constants!$B$19/(365.2425*24*60)</f>
        <v>2.2465334266350302E-4</v>
      </c>
      <c r="AA23" s="142">
        <f>Z23*Input!X23/100</f>
        <v>9.4774498845357341E-7</v>
      </c>
      <c r="AB23" s="143">
        <v>0</v>
      </c>
      <c r="AC23" s="143">
        <v>0.9</v>
      </c>
      <c r="AD23" s="142">
        <f>(((Input!G23*Constants!$B$25*0.000000001*Input!U23*(Constants!$B$10/Constants!$B$9))-((AB23*0.000000000000001)+(Input!G23*AC23*0.000000000000001)))/Input!F23)*1000000000000</f>
        <v>222.72534125320479</v>
      </c>
      <c r="AE23" s="142">
        <f>AD23*Input!V23/100</f>
        <v>0.75177559053284926</v>
      </c>
      <c r="AF23" s="142">
        <f>(AD23/Constants!$B$10)*602200000000*Constants!$B$16/(365.2425*24*60)</f>
        <v>10.166447085459176</v>
      </c>
      <c r="AG23" s="142">
        <f>AF23*Input!V23/100</f>
        <v>3.4315299365074214E-2</v>
      </c>
      <c r="AH23" s="138">
        <f t="shared" ref="AH23" si="90">AF23/Z23</f>
        <v>45253.931968806653</v>
      </c>
      <c r="AI23" s="147">
        <f t="shared" ref="AI23" si="91">AH23*SQRT((AG23/AF23)^2+(AA23/Z23)^2)</f>
        <v>244.49859314497832</v>
      </c>
      <c r="AJ23" s="144">
        <f t="shared" ref="AJ23:AJ33" si="92">(U23-1)*1000</f>
        <v>-0.60583894804144833</v>
      </c>
      <c r="AK23" s="147">
        <f t="shared" ref="AK23" si="93">V23*1000</f>
        <v>1.3070429023914232</v>
      </c>
      <c r="AL23" s="147">
        <f t="shared" ref="AL23" si="94">AF23/Q23</f>
        <v>0.9944459782613575</v>
      </c>
      <c r="AM23" s="147">
        <f t="shared" ref="AM23" si="95">AL23*SQRT((R23/Q23)^2+(AG23/AF23)^2)</f>
        <v>3.3576407680548761E-3</v>
      </c>
      <c r="AN23" s="138">
        <f>AF23/Q23</f>
        <v>0.9944459782613575</v>
      </c>
      <c r="AO23" s="142">
        <f t="shared" ref="AO23" si="96">AN23*SQRT((R23/Q23)^2+(AG23/AF23)^2)</f>
        <v>3.3576407680548761E-3</v>
      </c>
      <c r="AP23" s="138">
        <f t="shared" ref="AP23" si="97">ThU_Alter_Kombi(AN23,U23)</f>
        <v>584.49689999999998</v>
      </c>
      <c r="AQ23" s="138" t="e">
        <f t="shared" ref="AQ23:AQ33" si="98">Montealter(AN23,AO23,U23,V23)</f>
        <v>#VALUE!</v>
      </c>
      <c r="AR23" s="138" t="e">
        <f>(AQ23/AP23)*100</f>
        <v>#VALUE!</v>
      </c>
      <c r="AS23" s="146">
        <f t="shared" ref="AS23:AS33" si="99">Z23/Q23</f>
        <v>2.1974797216445741E-5</v>
      </c>
      <c r="AT23" s="146">
        <f t="shared" ref="AT23:AT33" si="100">AS23*SQRT((Y23/X23)^2+(P23/O23)^2)</f>
        <v>9.2723445840623517E-8</v>
      </c>
      <c r="AU23" s="138">
        <v>0.75</v>
      </c>
      <c r="AV23" s="138">
        <f t="shared" ref="AV23" si="101">AU23/2</f>
        <v>0.375</v>
      </c>
      <c r="AW23" s="138">
        <f t="shared" ref="AW23:AW33" si="102">marincorr_age(AN23,U23,AS23,AU23)</f>
        <v>584.49509999999998</v>
      </c>
      <c r="AX23" s="148">
        <f t="shared" ref="AX23:AX33" si="103">marincorr_age_error(AN23, AO23, U23, V23, AS23, AT23, AU23, AV23)</f>
        <v>229.347972943</v>
      </c>
      <c r="AY23" s="148">
        <f t="shared" ref="AY23:AY33" si="104">SQRT(((AU23*EXP(-0.0000091577*AW23*1000))/(0.0000091577*(EXP(-0.0000091577*AW23*1000)+(AJ23/1000)*EXP(-(0.0000091577-0.0000028263)*AW23*1000)-AS23*AU23*EXP(-0.0000091577*AW23*1000))))^2*AT23^2+((AS23*EXP(-0.0000091577*AW23*1000))/(0.0000091577*(EXP(-0.0000091577*AW23*1000)+(AJ23/1000)*EXP(-(0.0000091577-0.0000028263)*AW23*1000)-AS23*AU23*EXP(-0.0000091577*AW23*1000))))^2*AV23^2+((0.0000091577/(0.0000091577-0.0000028263))*(EXP(-(0.0000091577-0.0000028263)*AW23*1000)-1)/(0.0000091577*(EXP(-0.0000091577*AW23*1000)+(AJ23/1000)*EXP(-(0.0000091577-0.0000028263)*AW23*1000)-AS23*AU23*EXP(-0.0000091577*AW23*1000))))^2*T23^2+(1/(0.0000091577*(EXP(-0.0000091577*AW23*1000)+(AJ23/1000)*EXP(-(0.0000091577-0.0000028263)*AW23*1000)-AS23*AU23*EXP(-0.0000091577*AW23*1000))))^2*AO23^2)/1000</f>
        <v>88.608992209472675</v>
      </c>
      <c r="AZ23" s="149">
        <f t="shared" ref="AZ23:AZ33" si="105">AX23/AW23</f>
        <v>0.39238647670955668</v>
      </c>
      <c r="BA23" s="138" t="str">
        <f>Input!B23</f>
        <v>Hu1-13</v>
      </c>
      <c r="BB23" s="150">
        <f>Input!E23</f>
        <v>0</v>
      </c>
      <c r="BC23" s="138">
        <f>((U23-1)*EXP(Constants!$B$17*AW23*1000))*1000</f>
        <v>-3.1529519827022963</v>
      </c>
      <c r="BD23" s="144">
        <f>SQRT((EXP(Constants!$B$17*AW23*1000)*V23)^2+((U23-1)*Constants!$B$17*EXP(Constants!$B$17*AW23*1000)*AY23*1000)^2)*1000</f>
        <v>6.8477494378251063</v>
      </c>
      <c r="BE23" s="138">
        <f t="shared" ref="BE23:BE33" si="106">AW23*1000-58</f>
        <v>584437.1</v>
      </c>
      <c r="BF23" s="151">
        <f t="shared" ref="BF23:BF33" si="107">AY23/2*1000</f>
        <v>44304.496104736339</v>
      </c>
      <c r="BG23" s="160">
        <f t="shared" ref="BG23:BG33" si="108">AY23/AW23*100</f>
        <v>15.159920452621876</v>
      </c>
      <c r="BH23" s="138"/>
      <c r="BI23" s="18"/>
      <c r="BJ23" s="18"/>
      <c r="BK23" s="18"/>
      <c r="BL23" s="18"/>
      <c r="BM23" s="18"/>
      <c r="BN23" s="159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10926</v>
      </c>
      <c r="B24" s="18" t="str">
        <f>Input!B24</f>
        <v>SO236_17_1</v>
      </c>
      <c r="C24" s="18">
        <f>Input!O24</f>
        <v>1.4049183960827398</v>
      </c>
      <c r="D24" s="18">
        <f>C24*Input!P24/100</f>
        <v>2.8211188759492082E-3</v>
      </c>
      <c r="E24" s="152">
        <f>Input!M24</f>
        <v>1.6426221727541703</v>
      </c>
      <c r="F24" s="153">
        <f>E24*Input!N24/100</f>
        <v>6.2635354203257435E-5</v>
      </c>
      <c r="G24" s="21">
        <f>E24*137.88</f>
        <v>226.484745179345</v>
      </c>
      <c r="H24" s="153">
        <f>G24*Input!L24/100</f>
        <v>8.993612788939391E-3</v>
      </c>
      <c r="I24" s="18">
        <v>0.3</v>
      </c>
      <c r="J24" s="129">
        <f>(((C24*Constants!$B$24*0.000000001*Input!G24*(Constants!$B$4/Constants!$B$3))-(I24*0.000000000000001))/Input!F24)*1000000000000</f>
        <v>175.89713595366786</v>
      </c>
      <c r="K24" s="18">
        <f>J24*Input!P24/100</f>
        <v>0.35320679966032159</v>
      </c>
      <c r="L24" s="134">
        <f>(J24/Constants!$B$4)*602200000000*Constants!$B$17/(365.2425*24*60)</f>
        <v>2.4284552630406928</v>
      </c>
      <c r="M24" s="132">
        <f>L24*Input!P24/100</f>
        <v>4.876412040061881E-3</v>
      </c>
      <c r="N24" s="18">
        <v>5.0000000000000001E-3</v>
      </c>
      <c r="O24" s="129">
        <f>(((G24*Constants!$B$23*0.000000001*Input!G24*(Constants!$B$7/Constants!$B$6))-(N24*0.000000001))/Input!F24)*1000000</f>
        <v>2.8564578305902981</v>
      </c>
      <c r="P24" s="18">
        <f>O24*Input!N24/100</f>
        <v>1.0892051194323404E-4</v>
      </c>
      <c r="Q24" s="130">
        <f>(O24/Constants!$B$7)*602200000000000000*Constants!$B$18/(365.2425*24*60)</f>
        <v>2.1312624830874984</v>
      </c>
      <c r="R24" s="131">
        <f>Q24*Input!N24/100</f>
        <v>8.1267854983641129E-5</v>
      </c>
      <c r="S24" s="132">
        <f>Input!S24*Constants!$B$17/Constants!$B$18</f>
        <v>1.1338057158340162</v>
      </c>
      <c r="T24" s="18">
        <f>S24*Input!T24/100</f>
        <v>8.8172952566370824E-4</v>
      </c>
      <c r="U24" s="18">
        <f>S24*1/((U23+U25)/2)</f>
        <v>1.1346812364222627</v>
      </c>
      <c r="V24" s="18">
        <f>U24*Input!T24/100</f>
        <v>8.8241039394846145E-4</v>
      </c>
      <c r="W24" s="133">
        <v>3.0000000000000001E-3</v>
      </c>
      <c r="X24" s="129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0.13569668456692102</v>
      </c>
      <c r="Y24" s="129">
        <f>X24*Input!X24/100</f>
        <v>3.8493658121024942E-4</v>
      </c>
      <c r="Z24" s="129">
        <f>(X24/Constants!$B$11)*6.022E+23*0.000000001*Constants!$B$19/(365.2425*24*60)</f>
        <v>3.3127947604367204E-5</v>
      </c>
      <c r="AA24" s="129">
        <f>Z24*Input!X24/100</f>
        <v>9.3975463984519462E-8</v>
      </c>
      <c r="AB24" s="134">
        <v>0.05</v>
      </c>
      <c r="AC24" s="134">
        <v>0.9</v>
      </c>
      <c r="AD24" s="129">
        <f>(((Input!G24*Constants!$B$25*0.000000001*Input!U24*(Constants!$B$10/Constants!$B$9))-((AB24*0.000000000000001)+(Input!G24*AC24*0.000000000000001)))/Input!F24)*1000000000000</f>
        <v>9.2871583818252965</v>
      </c>
      <c r="AE24" s="129">
        <f>AD24*Input!V24/100</f>
        <v>2.3737665793302401E-2</v>
      </c>
      <c r="AF24" s="129">
        <f>(AD24/Constants!$B$10)*602200000000*Constants!$B$16/(365.2425*24*60)</f>
        <v>0.42391855247296406</v>
      </c>
      <c r="AG24" s="129">
        <f>AF24*Input!V24/100</f>
        <v>1.0835216229192809E-3</v>
      </c>
      <c r="AH24" s="18">
        <f>AF24/Z24</f>
        <v>12796.402528029825</v>
      </c>
      <c r="AI24" s="133">
        <f>AH24*SQRT((AG24/AF24)^2+(AA24/Z24)^2)</f>
        <v>48.861608245679925</v>
      </c>
      <c r="AJ24" s="132">
        <f t="shared" si="92"/>
        <v>134.68123642226271</v>
      </c>
      <c r="AK24" s="133">
        <f>V24*1000</f>
        <v>0.88241039394846144</v>
      </c>
      <c r="AL24" s="133">
        <f>AF24/Q24</f>
        <v>0.19890490065721303</v>
      </c>
      <c r="AM24" s="133">
        <f>AL24*SQRT((R24/Q24)^2+(AG24/AF24)^2)</f>
        <v>5.0845083646001011E-4</v>
      </c>
      <c r="AN24" s="18">
        <f>AL24*1/((AN23+AN25)/2)</f>
        <v>0.20034622794197593</v>
      </c>
      <c r="AO24" s="129">
        <f>AN24*SQRT((R24/Q24)^2+(AG24/AF24)^2)</f>
        <v>5.1213523066613023E-4</v>
      </c>
      <c r="AP24" s="18">
        <f>ThU_Alter_Kombi(AN24,U24)</f>
        <v>21.103200000000001</v>
      </c>
      <c r="AQ24" s="18">
        <f t="shared" si="98"/>
        <v>6.3799999999999996E-2</v>
      </c>
      <c r="AR24" s="154">
        <f>(AQ24/AP24)</f>
        <v>3.0232381818871066E-3</v>
      </c>
      <c r="AS24" s="131">
        <f t="shared" si="99"/>
        <v>1.5543813991590423E-5</v>
      </c>
      <c r="AT24" s="131">
        <f t="shared" si="100"/>
        <v>4.4097784462864654E-8</v>
      </c>
      <c r="AU24" s="18">
        <v>8</v>
      </c>
      <c r="AV24" s="18">
        <f>AU24/2</f>
        <v>4</v>
      </c>
      <c r="AW24" s="18">
        <f t="shared" si="102"/>
        <v>21.0913</v>
      </c>
      <c r="AX24" s="135">
        <f t="shared" si="103"/>
        <v>6.4562015E-2</v>
      </c>
      <c r="AY24" s="135">
        <f t="shared" si="104"/>
        <v>6.2453621610467684E-2</v>
      </c>
      <c r="AZ24" s="154">
        <f t="shared" si="105"/>
        <v>3.061073286141679E-3</v>
      </c>
      <c r="BA24" s="18" t="str">
        <f>Input!B24</f>
        <v>SO236_17_1</v>
      </c>
      <c r="BB24" s="136">
        <f>Input!E24</f>
        <v>0</v>
      </c>
      <c r="BC24" s="18">
        <f>((U24-1)*EXP(Constants!$B$17*AW24*1000))*1000</f>
        <v>142.9409615579529</v>
      </c>
      <c r="BD24" s="132">
        <f>SQRT((EXP(Constants!$B$17*AW24*1000)*V24)^2+((U24-1)*Constants!$B$17*EXP(Constants!$B$17*AW24*1000)*AY24*1000)^2)*1000</f>
        <v>0.93686561243640787</v>
      </c>
      <c r="BE24" s="18">
        <f t="shared" si="106"/>
        <v>21033.3</v>
      </c>
      <c r="BF24" s="137">
        <f t="shared" si="107"/>
        <v>31.226810805233843</v>
      </c>
      <c r="BG24" s="20">
        <f t="shared" si="108"/>
        <v>0.29611082109906778</v>
      </c>
      <c r="BH24" s="18"/>
      <c r="BI24" s="18"/>
      <c r="BJ24" s="18"/>
      <c r="BK24" s="18"/>
      <c r="BL24" s="18"/>
      <c r="BM24" s="18"/>
      <c r="BN24" s="159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8">
        <f>Input!A25</f>
        <v>10815</v>
      </c>
      <c r="B25" s="138" t="str">
        <f>Input!B25</f>
        <v>Hu1-13</v>
      </c>
      <c r="C25" s="138">
        <f>Input!O25</f>
        <v>2.0753364245300885</v>
      </c>
      <c r="D25" s="138">
        <f>C25*Input!P25/100</f>
        <v>1.2575217314466265E-2</v>
      </c>
      <c r="E25" s="139">
        <f>Input!M25</f>
        <v>2.7321721294643853</v>
      </c>
      <c r="F25" s="140">
        <f>E25*Input!N25/100</f>
        <v>2.9337990812494847E-4</v>
      </c>
      <c r="G25" s="141">
        <f t="shared" ref="G25" si="109">E25*137.88</f>
        <v>376.71189321054942</v>
      </c>
      <c r="H25" s="140">
        <f>G25*Input!L25/100</f>
        <v>3.0934316336534227E-2</v>
      </c>
      <c r="I25" s="138">
        <v>0</v>
      </c>
      <c r="J25" s="142">
        <f>(((C25*Constants!$B$24*0.000000001*Input!G25*(Constants!$B$4/Constants!$B$3))-(I25*0.000000000000001))/Input!F25)*1000000000000</f>
        <v>749.27436296605799</v>
      </c>
      <c r="K25" s="138">
        <f>J25*Input!P25/100</f>
        <v>4.5401255579995476</v>
      </c>
      <c r="L25" s="143">
        <f>(J25/Constants!$B$4)*602200000000*Constants!$B$17/(365.2425*24*60)</f>
        <v>10.344564511190633</v>
      </c>
      <c r="M25" s="144">
        <f>L25*Input!P25/100</f>
        <v>6.2681474296964856E-2</v>
      </c>
      <c r="N25" s="138">
        <v>0</v>
      </c>
      <c r="O25" s="142">
        <f>(((G25*Constants!$B$23*0.000000001*Input!G25*(Constants!$B$7/Constants!$B$6))-(N25*0.000000001))/Input!F25)*1000000</f>
        <v>13.700713880353272</v>
      </c>
      <c r="P25" s="138">
        <f>O25*Input!N25/100</f>
        <v>1.4711789700644646E-3</v>
      </c>
      <c r="Q25" s="145">
        <f>(O25/Constants!$B$7)*602200000000000000*Constants!$B$18/(365.2425*24*60)</f>
        <v>10.222387031941169</v>
      </c>
      <c r="R25" s="146">
        <f>Q25*Input!N25/100</f>
        <v>1.0976771689844068E-3</v>
      </c>
      <c r="S25" s="144">
        <f>Input!S25*Constants!$B$17/Constants!$B$18</f>
        <v>0.99906263798526351</v>
      </c>
      <c r="T25" s="138">
        <f>S25*Input!T25/100</f>
        <v>1.3594536563765391E-3</v>
      </c>
      <c r="U25" s="144">
        <f>S25</f>
        <v>0.99906263798526351</v>
      </c>
      <c r="V25" s="138">
        <f>U25*Input!T25/100</f>
        <v>1.3594536563765391E-3</v>
      </c>
      <c r="W25" s="147">
        <v>0</v>
      </c>
      <c r="X25" s="142">
        <f>(((Constants!$B$25*0.000000001*Input!G25/Input!W25*(Constants!$B$11/Constants!$B$9))-(W25*0.000000001))/Input!F25)*1000000000</f>
        <v>0.90515967516923346</v>
      </c>
      <c r="Y25" s="142">
        <f>X25*Input!X25/100</f>
        <v>4.3958393014367683E-3</v>
      </c>
      <c r="Z25" s="142">
        <f>(X25/Constants!$B$11)*6.022E+23*0.000000001*Constants!$B$19/(365.2425*24*60)</f>
        <v>2.2097873937225251E-4</v>
      </c>
      <c r="AA25" s="142">
        <f>Z25*Input!X25/100</f>
        <v>1.0731664853860006E-6</v>
      </c>
      <c r="AB25" s="143">
        <v>0</v>
      </c>
      <c r="AC25" s="143">
        <v>0.9</v>
      </c>
      <c r="AD25" s="142">
        <f>(((Input!G25*Constants!$B$25*0.000000001*Input!U25*(Constants!$B$10/Constants!$B$9))-((AB25*0.000000000000001)+(Input!G25*AC25*0.000000000000001)))/Input!F25)*1000000000000</f>
        <v>221.97240836045623</v>
      </c>
      <c r="AE25" s="142">
        <f>AD25*Input!V25/100</f>
        <v>0.85499542087472202</v>
      </c>
      <c r="AF25" s="142">
        <f>(AD25/Constants!$B$10)*602200000000*Constants!$B$16/(365.2425*24*60)</f>
        <v>10.13207896026085</v>
      </c>
      <c r="AG25" s="142">
        <f>AF25*Input!V25/100</f>
        <v>3.9026837519808656E-2</v>
      </c>
      <c r="AH25" s="138">
        <f t="shared" ref="AH25" si="110">AF25/Z25</f>
        <v>45850.922079850992</v>
      </c>
      <c r="AI25" s="147">
        <f t="shared" ref="AI25" si="111">AH25*SQRT((AG25/AF25)^2+(AA25/Z25)^2)</f>
        <v>284.20653103976616</v>
      </c>
      <c r="AJ25" s="144">
        <f t="shared" si="92"/>
        <v>-0.93736201473648695</v>
      </c>
      <c r="AK25" s="147">
        <f t="shared" ref="AK25" si="112">V25*1000</f>
        <v>1.3594536563765391</v>
      </c>
      <c r="AL25" s="147">
        <f t="shared" ref="AL25" si="113">AF25/Q25</f>
        <v>0.99116565716029537</v>
      </c>
      <c r="AM25" s="147">
        <f t="shared" ref="AM25" si="114">AL25*SQRT((R25/Q25)^2+(AG25/AF25)^2)</f>
        <v>3.8192644889512069E-3</v>
      </c>
      <c r="AN25" s="138">
        <f>AF25/Q25</f>
        <v>0.99116565716029537</v>
      </c>
      <c r="AO25" s="142">
        <f t="shared" ref="AO25" si="115">AN25*SQRT((R25/Q25)^2+(AG25/AF25)^2)</f>
        <v>3.8192644889512069E-3</v>
      </c>
      <c r="AP25" s="138">
        <f t="shared" ref="AP25" si="116">ThU_Alter_Kombi(AN25,U25)</f>
        <v>533.16189999999995</v>
      </c>
      <c r="AQ25" s="138" t="e">
        <f t="shared" si="98"/>
        <v>#VALUE!</v>
      </c>
      <c r="AR25" s="138" t="e">
        <f>(AQ25/AP25)*100</f>
        <v>#VALUE!</v>
      </c>
      <c r="AS25" s="146">
        <f t="shared" si="99"/>
        <v>2.1617136846978685E-5</v>
      </c>
      <c r="AT25" s="146">
        <f t="shared" si="100"/>
        <v>1.0500764452659304E-7</v>
      </c>
      <c r="AU25" s="138">
        <v>0.75</v>
      </c>
      <c r="AV25" s="138">
        <f t="shared" ref="AV25" si="117">AU25/2</f>
        <v>0.375</v>
      </c>
      <c r="AW25" s="138">
        <f t="shared" si="102"/>
        <v>533.16020000000003</v>
      </c>
      <c r="AX25" s="148">
        <f t="shared" si="103"/>
        <v>110.36785715809999</v>
      </c>
      <c r="AY25" s="148">
        <f t="shared" si="104"/>
        <v>61.726057907033166</v>
      </c>
      <c r="AZ25" s="149">
        <f t="shared" si="105"/>
        <v>0.20700693179667198</v>
      </c>
      <c r="BA25" s="138" t="str">
        <f>Input!B25</f>
        <v>Hu1-13</v>
      </c>
      <c r="BB25" s="150">
        <f>Input!E25</f>
        <v>0</v>
      </c>
      <c r="BC25" s="138">
        <f>((U25-1)*EXP(Constants!$B$17*AW25*1000))*1000</f>
        <v>-4.2203765661880377</v>
      </c>
      <c r="BD25" s="144">
        <f>SQRT((EXP(Constants!$B$17*AW25*1000)*V25)^2+((U25-1)*Constants!$B$17*EXP(Constants!$B$17*AW25*1000)*AY25*1000)^2)*1000</f>
        <v>6.164793209829087</v>
      </c>
      <c r="BE25" s="138">
        <f t="shared" si="106"/>
        <v>533102.20000000007</v>
      </c>
      <c r="BF25" s="151">
        <f t="shared" si="107"/>
        <v>30863.028953516583</v>
      </c>
      <c r="BG25" s="160">
        <f t="shared" si="108"/>
        <v>11.577394169150878</v>
      </c>
      <c r="BH25" s="138"/>
      <c r="BI25" s="18"/>
      <c r="BJ25" s="18"/>
      <c r="BK25" s="18"/>
      <c r="BL25" s="18"/>
      <c r="BM25" s="18"/>
      <c r="BN25" s="159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10927</v>
      </c>
      <c r="B26" s="18" t="str">
        <f>Input!B26</f>
        <v>SO236_17_2</v>
      </c>
      <c r="C26" s="18">
        <f>Input!O26</f>
        <v>2.2520651675645955</v>
      </c>
      <c r="D26" s="18">
        <f>C26*Input!P26/100</f>
        <v>3.5322832715408777E-3</v>
      </c>
      <c r="E26" s="152">
        <f>Input!M26</f>
        <v>2.6207086993112645</v>
      </c>
      <c r="F26" s="153">
        <f>E26*Input!N26/100</f>
        <v>1.0442014098433912E-4</v>
      </c>
      <c r="G26" s="21">
        <f>E26*137.88</f>
        <v>361.34331546103715</v>
      </c>
      <c r="H26" s="153">
        <f>G26*Input!L26/100</f>
        <v>1.3227337514778923E-2</v>
      </c>
      <c r="I26" s="18">
        <v>0.3</v>
      </c>
      <c r="J26" s="129">
        <f>(((C26*Constants!$B$24*0.000000001*Input!G26*(Constants!$B$4/Constants!$B$3))-(I26*0.000000000000001))/Input!F26)*1000000000000</f>
        <v>207.57725074095768</v>
      </c>
      <c r="K26" s="18">
        <f>J26*Input!P26/100</f>
        <v>0.32557745704030572</v>
      </c>
      <c r="L26" s="134">
        <f>(J26/Constants!$B$4)*602200000000*Constants!$B$17/(365.2425*24*60)</f>
        <v>2.8658344225808006</v>
      </c>
      <c r="M26" s="132">
        <f>L26*Input!P26/100</f>
        <v>4.4949582879234415E-3</v>
      </c>
      <c r="N26" s="18">
        <v>5.0000000000000001E-3</v>
      </c>
      <c r="O26" s="129">
        <f>(((G26*Constants!$B$23*0.000000001*Input!G26*(Constants!$B$7/Constants!$B$6))-(N26*0.000000001))/Input!F26)*1000000</f>
        <v>3.3550585145594733</v>
      </c>
      <c r="P26" s="18">
        <f>O26*Input!N26/100</f>
        <v>1.3367974975359815E-4</v>
      </c>
      <c r="Q26" s="130">
        <f>(O26/Constants!$B$7)*602200000000000000*Constants!$B$18/(365.2425*24*60)</f>
        <v>2.5032788035824765</v>
      </c>
      <c r="R26" s="131">
        <f>Q26*Input!N26/100</f>
        <v>9.9741236277761522E-5</v>
      </c>
      <c r="S26" s="132">
        <f>Input!S26*Constants!$B$17/Constants!$B$18</f>
        <v>1.1343611721051623</v>
      </c>
      <c r="T26" s="18">
        <f>S26*Input!T26/100</f>
        <v>4.5631713532137138E-4</v>
      </c>
      <c r="U26" s="18">
        <f>S26*1/((U25+U27)/2)</f>
        <v>1.1353317918075476</v>
      </c>
      <c r="V26" s="18">
        <f>U26*Input!T26/100</f>
        <v>4.5670758451248484E-4</v>
      </c>
      <c r="W26" s="133">
        <v>3.0000000000000001E-3</v>
      </c>
      <c r="X26" s="129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19.32459954822956</v>
      </c>
      <c r="Y26" s="129">
        <f>X26*Input!X26/100</f>
        <v>3.7061658421585049E-2</v>
      </c>
      <c r="Z26" s="129">
        <f>(X26/Constants!$B$11)*6.022E+23*0.000000001*Constants!$B$19/(365.2425*24*60)</f>
        <v>4.7177594894988704E-3</v>
      </c>
      <c r="AA26" s="129">
        <f>Z26*Input!X26/100</f>
        <v>9.0479489770859149E-6</v>
      </c>
      <c r="AB26" s="134">
        <v>0.05</v>
      </c>
      <c r="AC26" s="134">
        <v>0.9</v>
      </c>
      <c r="AD26" s="129">
        <f>(((Input!G26*Constants!$B$25*0.000000001*Input!U26*(Constants!$B$10/Constants!$B$9))-((AB26*0.000000000000001)+(Input!G26*AC26*0.000000000000001)))/Input!F26)*1000000000000</f>
        <v>11.264333057350019</v>
      </c>
      <c r="AE26" s="129">
        <f>AD26*Input!V26/100</f>
        <v>2.8816752730557199E-2</v>
      </c>
      <c r="AF26" s="129">
        <f>(AD26/Constants!$B$10)*602200000000*Constants!$B$16/(365.2425*24*60)</f>
        <v>0.51416801220812913</v>
      </c>
      <c r="AG26" s="129">
        <f>AF26*Input!V26/100</f>
        <v>1.3153599413589651E-3</v>
      </c>
      <c r="AH26" s="18">
        <f>AF26/Z26</f>
        <v>108.9856346752312</v>
      </c>
      <c r="AI26" s="133">
        <f>AH26*SQRT((AG26/AF26)^2+(AA26/Z26)^2)</f>
        <v>0.34845902355198266</v>
      </c>
      <c r="AJ26" s="132">
        <f t="shared" si="92"/>
        <v>135.33179180754763</v>
      </c>
      <c r="AK26" s="133">
        <f>V26*1000</f>
        <v>0.45670758451248483</v>
      </c>
      <c r="AL26" s="133">
        <f>AF26/Q26</f>
        <v>0.20539782123840791</v>
      </c>
      <c r="AM26" s="133">
        <f>AL26*SQRT((R26/Q26)^2+(AG26/AF26)^2)</f>
        <v>5.2551855937381863E-4</v>
      </c>
      <c r="AN26" s="18">
        <f>AL26*1/((AN25+AN27)/2)</f>
        <v>0.20665467013709907</v>
      </c>
      <c r="AO26" s="129">
        <f>AN26*SQRT((R26/Q26)^2+(AG26/AF26)^2)</f>
        <v>5.2873425766413352E-4</v>
      </c>
      <c r="AP26" s="18">
        <f>ThU_Alter_Kombi(AN26,U26)</f>
        <v>21.8218</v>
      </c>
      <c r="AQ26" s="18">
        <f t="shared" si="98"/>
        <v>6.2300000000000001E-2</v>
      </c>
      <c r="AR26" s="154">
        <f>(AQ26/AP26)</f>
        <v>2.8549432219156989E-3</v>
      </c>
      <c r="AS26" s="131">
        <f t="shared" si="99"/>
        <v>1.8846320604589551E-3</v>
      </c>
      <c r="AT26" s="131">
        <f t="shared" si="100"/>
        <v>3.6152191257857086E-6</v>
      </c>
      <c r="AU26" s="18">
        <v>8</v>
      </c>
      <c r="AV26" s="18">
        <f>AU26/2</f>
        <v>4</v>
      </c>
      <c r="AW26" s="18">
        <f t="shared" si="102"/>
        <v>20.374600000000001</v>
      </c>
      <c r="AX26" s="135">
        <f t="shared" si="103"/>
        <v>0.7558178485</v>
      </c>
      <c r="AY26" s="135">
        <f t="shared" si="104"/>
        <v>0.73226588694754635</v>
      </c>
      <c r="AZ26" s="154">
        <f t="shared" si="105"/>
        <v>3.7096082794263442E-2</v>
      </c>
      <c r="BA26" s="18" t="str">
        <f>Input!B26</f>
        <v>SO236_17_2</v>
      </c>
      <c r="BB26" s="136">
        <f>Input!E26</f>
        <v>0</v>
      </c>
      <c r="BC26" s="18">
        <f>((U26-1)*EXP(Constants!$B$17*AW26*1000))*1000</f>
        <v>143.34120311419568</v>
      </c>
      <c r="BD26" s="132">
        <f>SQRT((EXP(Constants!$B$17*AW26*1000)*V26)^2+((U26-1)*Constants!$B$17*EXP(Constants!$B$17*AW26*1000)*AY26*1000)^2)*1000</f>
        <v>0.56722532185168406</v>
      </c>
      <c r="BE26" s="18">
        <f t="shared" si="106"/>
        <v>20316.600000000002</v>
      </c>
      <c r="BF26" s="137">
        <f t="shared" si="107"/>
        <v>366.1329434737732</v>
      </c>
      <c r="BG26" s="20">
        <f t="shared" si="108"/>
        <v>3.5940135607449784</v>
      </c>
      <c r="BH26" s="18"/>
      <c r="BI26" s="18"/>
      <c r="BJ26" s="18"/>
      <c r="BK26" s="18"/>
      <c r="BL26" s="18"/>
      <c r="BM26" s="18"/>
      <c r="BN26" s="159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8">
        <f>Input!A27</f>
        <v>10815</v>
      </c>
      <c r="B27" s="138" t="str">
        <f>Input!B27</f>
        <v>Hu1-13</v>
      </c>
      <c r="C27" s="138">
        <f>Input!O27</f>
        <v>2.0813908686320874</v>
      </c>
      <c r="D27" s="138">
        <f>C27*Input!P27/100</f>
        <v>1.4131170201253176E-2</v>
      </c>
      <c r="E27" s="139">
        <f>Input!M27</f>
        <v>2.732106385920583</v>
      </c>
      <c r="F27" s="140">
        <f>E27*Input!N27/100</f>
        <v>2.1690288150502546E-4</v>
      </c>
      <c r="G27" s="141">
        <f t="shared" ref="G27" si="118">E27*137.88</f>
        <v>376.70282849072998</v>
      </c>
      <c r="H27" s="140">
        <f>G27*Input!L27/100</f>
        <v>3.1931865803126395E-2</v>
      </c>
      <c r="I27" s="138">
        <v>0</v>
      </c>
      <c r="J27" s="142">
        <f>(((C27*Constants!$B$24*0.000000001*Input!G27*(Constants!$B$4/Constants!$B$3))-(I27*0.000000000000001))/Input!F27)*1000000000000</f>
        <v>751.46024458699355</v>
      </c>
      <c r="K27" s="138">
        <f>J27*Input!P27/100</f>
        <v>5.101882964785502</v>
      </c>
      <c r="L27" s="143">
        <f>(J27/Constants!$B$4)*602200000000*Constants!$B$17/(365.2425*24*60)</f>
        <v>10.37474303398445</v>
      </c>
      <c r="M27" s="144">
        <f>L27*Input!P27/100</f>
        <v>7.0437159025230039E-2</v>
      </c>
      <c r="N27" s="138">
        <v>0</v>
      </c>
      <c r="O27" s="142">
        <f>(((G27*Constants!$B$23*0.000000001*Input!G27*(Constants!$B$7/Constants!$B$6))-(N27*0.000000001))/Input!F27)*1000000</f>
        <v>13.700384203656332</v>
      </c>
      <c r="P27" s="138">
        <f>O27*Input!N27/100</f>
        <v>1.0876782935001611E-3</v>
      </c>
      <c r="Q27" s="145">
        <f>(O27/Constants!$B$7)*602200000000000000*Constants!$B$18/(365.2425*24*60)</f>
        <v>10.222141053314001</v>
      </c>
      <c r="R27" s="146">
        <f>Q27*Input!N27/100</f>
        <v>8.1153935331384748E-4</v>
      </c>
      <c r="S27" s="144">
        <f>Input!S27*Constants!$B$17/Constants!$B$18</f>
        <v>0.99922751876117955</v>
      </c>
      <c r="T27" s="138">
        <f>S27*Input!T27/100</f>
        <v>1.2489566944205123E-3</v>
      </c>
      <c r="U27" s="144">
        <f>S27</f>
        <v>0.99922751876117955</v>
      </c>
      <c r="V27" s="138">
        <f>U27*Input!T27/100</f>
        <v>1.2489566944205123E-3</v>
      </c>
      <c r="W27" s="147">
        <v>0</v>
      </c>
      <c r="X27" s="142">
        <f>(((Constants!$B$25*0.000000001*Input!G27/Input!W27*(Constants!$B$11/Constants!$B$9))-(W27*0.000000001))/Input!F27)*1000000000</f>
        <v>0.89184242563721405</v>
      </c>
      <c r="Y27" s="142">
        <f>X27*Input!X27/100</f>
        <v>3.8190947132012792E-3</v>
      </c>
      <c r="Z27" s="142">
        <f>(X27/Constants!$B$11)*6.022E+23*0.000000001*Constants!$B$19/(365.2425*24*60)</f>
        <v>2.1772756823171184E-4</v>
      </c>
      <c r="AA27" s="142">
        <f>Z27*Input!X27/100</f>
        <v>9.3236448597720146E-7</v>
      </c>
      <c r="AB27" s="143">
        <v>0</v>
      </c>
      <c r="AC27" s="143">
        <v>0.9</v>
      </c>
      <c r="AD27" s="142">
        <f>(((Input!G27*Constants!$B$25*0.000000001*Input!U27*(Constants!$B$10/Constants!$B$9))-((AB27*0.000000000000001)+(Input!G27*AC27*0.000000000000001)))/Input!F27)*1000000000000</f>
        <v>223.19987032443771</v>
      </c>
      <c r="AE27" s="142">
        <f>AD27*Input!V27/100</f>
        <v>0.66132522225543189</v>
      </c>
      <c r="AF27" s="142">
        <f>(AD27/Constants!$B$10)*602200000000*Constants!$B$16/(365.2425*24*60)</f>
        <v>10.188107282121383</v>
      </c>
      <c r="AG27" s="142">
        <f>AF27*Input!V27/100</f>
        <v>3.0186631842202351E-2</v>
      </c>
      <c r="AH27" s="138">
        <f t="shared" ref="AH27" si="119">AF27/Z27</f>
        <v>46792.913570223274</v>
      </c>
      <c r="AI27" s="147">
        <f t="shared" ref="AI27" si="120">AH27*SQRT((AG27/AF27)^2+(AA27/Z27)^2)</f>
        <v>243.66770429463321</v>
      </c>
      <c r="AJ27" s="144">
        <f t="shared" si="92"/>
        <v>-0.77248123882045494</v>
      </c>
      <c r="AK27" s="147">
        <f t="shared" ref="AK27" si="121">V27*1000</f>
        <v>1.2489566944205122</v>
      </c>
      <c r="AL27" s="147">
        <f t="shared" ref="AL27" si="122">AF27/Q27</f>
        <v>0.99667058290282695</v>
      </c>
      <c r="AM27" s="147">
        <f t="shared" ref="AM27" si="123">AL27*SQRT((R27/Q27)^2+(AG27/AF27)^2)</f>
        <v>2.9541234033057767E-3</v>
      </c>
      <c r="AN27" s="138">
        <f>AF27/Q27</f>
        <v>0.99667058290282695</v>
      </c>
      <c r="AO27" s="142">
        <f t="shared" ref="AO27" si="124">AN27*SQRT((R27/Q27)^2+(AG27/AF27)^2)</f>
        <v>2.9541234033057767E-3</v>
      </c>
      <c r="AP27" s="138">
        <f t="shared" ref="AP27" si="125">ThU_Alter_Kombi(AN27,U27)</f>
        <v>665.8125</v>
      </c>
      <c r="AQ27" s="138" t="e">
        <f t="shared" si="98"/>
        <v>#VALUE!</v>
      </c>
      <c r="AR27" s="138" t="e">
        <f>(AQ27/AP27)*100</f>
        <v>#VALUE!</v>
      </c>
      <c r="AS27" s="146">
        <f t="shared" si="99"/>
        <v>2.1299605150833341E-5</v>
      </c>
      <c r="AT27" s="146">
        <f t="shared" si="100"/>
        <v>9.1225967079935993E-8</v>
      </c>
      <c r="AU27" s="138">
        <v>0.75</v>
      </c>
      <c r="AV27" s="138">
        <f t="shared" ref="AV27" si="126">AU27/2</f>
        <v>0.375</v>
      </c>
      <c r="AW27" s="138">
        <f t="shared" si="102"/>
        <v>665.81079999999997</v>
      </c>
      <c r="AX27" s="148">
        <f t="shared" si="103"/>
        <v>312.43777459080002</v>
      </c>
      <c r="AY27" s="148">
        <f t="shared" si="104"/>
        <v>168.31582244263274</v>
      </c>
      <c r="AZ27" s="149">
        <f t="shared" si="105"/>
        <v>0.46925909671456217</v>
      </c>
      <c r="BA27" s="138" t="str">
        <f>Input!B27</f>
        <v>Hu1-13</v>
      </c>
      <c r="BB27" s="150">
        <f>Input!E27</f>
        <v>0</v>
      </c>
      <c r="BC27" s="138">
        <f>((U27-1)*EXP(Constants!$B$17*AW27*1000))*1000</f>
        <v>-5.0571873518103256</v>
      </c>
      <c r="BD27" s="144">
        <f>SQRT((EXP(Constants!$B$17*AW27*1000)*V27)^2+((U27-1)*Constants!$B$17*EXP(Constants!$B$17*AW27*1000)*AY27*1000)^2)*1000</f>
        <v>8.522077234939621</v>
      </c>
      <c r="BE27" s="138">
        <f t="shared" si="106"/>
        <v>665752.79999999993</v>
      </c>
      <c r="BF27" s="151">
        <f t="shared" si="107"/>
        <v>84157.911221316375</v>
      </c>
      <c r="BG27" s="160">
        <f t="shared" si="108"/>
        <v>25.279827609079447</v>
      </c>
      <c r="BH27" s="138"/>
      <c r="BI27" s="18"/>
      <c r="BJ27" s="18"/>
      <c r="BK27" s="18"/>
      <c r="BL27" s="18"/>
      <c r="BM27" s="18"/>
      <c r="BN27" s="159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10928</v>
      </c>
      <c r="B28" s="18" t="str">
        <f>Input!B28</f>
        <v>SO236_17_3</v>
      </c>
      <c r="C28" s="18">
        <f>Input!O28</f>
        <v>2.3324341740117749</v>
      </c>
      <c r="D28" s="18">
        <f>C28*Input!P28/100</f>
        <v>3.9515539434163268E-3</v>
      </c>
      <c r="E28" s="152">
        <f>Input!M28</f>
        <v>2.7111262296978786</v>
      </c>
      <c r="F28" s="153">
        <f>E28*Input!N28/100</f>
        <v>1.1140875307349476E-4</v>
      </c>
      <c r="G28" s="21">
        <f>E28*137.88</f>
        <v>373.81008455074351</v>
      </c>
      <c r="H28" s="153">
        <f>G28*Input!L28/100</f>
        <v>1.3665388308879291E-2</v>
      </c>
      <c r="I28" s="18">
        <v>0.3</v>
      </c>
      <c r="J28" s="129">
        <f>(((C28*Constants!$B$24*0.000000001*Input!G28*(Constants!$B$4/Constants!$B$3))-(I28*0.000000000000001))/Input!F28)*1000000000000</f>
        <v>234.33263432204129</v>
      </c>
      <c r="K28" s="18">
        <f>J28*Input!P28/100</f>
        <v>0.39700071948170818</v>
      </c>
      <c r="L28" s="134">
        <f>(J28/Constants!$B$4)*602200000000*Constants!$B$17/(365.2425*24*60)</f>
        <v>3.2352221998170911</v>
      </c>
      <c r="M28" s="132">
        <f>L28*Input!P28/100</f>
        <v>5.4810357282351887E-3</v>
      </c>
      <c r="N28" s="18">
        <v>5.0000000000000001E-3</v>
      </c>
      <c r="O28" s="129">
        <f>(((G28*Constants!$B$23*0.000000001*Input!G28*(Constants!$B$7/Constants!$B$6))-(N28*0.000000001))/Input!F28)*1000000</f>
        <v>3.7831683302731678</v>
      </c>
      <c r="P28" s="18">
        <f>O28*Input!N28/100</f>
        <v>1.5546235425188494E-4</v>
      </c>
      <c r="Q28" s="130">
        <f>(O28/Constants!$B$7)*602200000000000000*Constants!$B$18/(365.2425*24*60)</f>
        <v>2.8227004239897155</v>
      </c>
      <c r="R28" s="131">
        <f>Q28*Input!N28/100</f>
        <v>1.1599368966739824E-4</v>
      </c>
      <c r="S28" s="132">
        <f>Input!S28*Constants!$B$17/Constants!$B$18</f>
        <v>1.1341594906221868</v>
      </c>
      <c r="T28" s="18">
        <f>S28*Input!T28/100</f>
        <v>5.7300850022828291E-4</v>
      </c>
      <c r="U28" s="18">
        <f>S28*1/((U27+U29)/2)</f>
        <v>1.1344535168840011</v>
      </c>
      <c r="V28" s="18">
        <f>U28*Input!T28/100</f>
        <v>5.7315705036492862E-4</v>
      </c>
      <c r="W28" s="133">
        <v>3.0000000000000001E-3</v>
      </c>
      <c r="X28" s="129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2.1313447798500622</v>
      </c>
      <c r="Y28" s="129">
        <f>X28*Input!X28/100</f>
        <v>4.4829859338107554E-3</v>
      </c>
      <c r="Z28" s="129">
        <f>(X28/Constants!$B$11)*6.022E+23*0.000000001*Constants!$B$19/(365.2425*24*60)</f>
        <v>5.2033016443296632E-4</v>
      </c>
      <c r="AA28" s="129">
        <f>Z28*Input!X28/100</f>
        <v>1.094441795688506E-6</v>
      </c>
      <c r="AB28" s="134">
        <v>0.05</v>
      </c>
      <c r="AC28" s="134">
        <v>0.9</v>
      </c>
      <c r="AD28" s="129">
        <f>(((Input!G28*Constants!$B$25*0.000000001*Input!U28*(Constants!$B$10/Constants!$B$9))-((AB28*0.000000000000001)+(Input!G28*AC28*0.000000000000001)))/Input!F28)*1000000000000</f>
        <v>12.349324545385677</v>
      </c>
      <c r="AE28" s="129">
        <f>AD28*Input!V28/100</f>
        <v>3.4095410489479921E-2</v>
      </c>
      <c r="AF28" s="129">
        <f>(AD28/Constants!$B$10)*602200000000*Constants!$B$16/(365.2425*24*60)</f>
        <v>0.5636931739576766</v>
      </c>
      <c r="AG28" s="129">
        <f>AF28*Input!V28/100</f>
        <v>1.5563078033596666E-3</v>
      </c>
      <c r="AH28" s="18">
        <f>AF28/Z28</f>
        <v>1083.3374893265423</v>
      </c>
      <c r="AI28" s="133">
        <f>AH28*SQRT((AG28/AF28)^2+(AA28/Z28)^2)</f>
        <v>3.7600964963985337</v>
      </c>
      <c r="AJ28" s="132">
        <f t="shared" si="92"/>
        <v>134.45351688400109</v>
      </c>
      <c r="AK28" s="133">
        <f>V28*1000</f>
        <v>0.57315705036492859</v>
      </c>
      <c r="AL28" s="133">
        <f>AF28/Q28</f>
        <v>0.19969996432031231</v>
      </c>
      <c r="AM28" s="133">
        <f>AL28*SQRT((R28/Q28)^2+(AG28/AF28)^2)</f>
        <v>5.5141529206604559E-4</v>
      </c>
      <c r="AN28" s="18">
        <f>AL28*1/((AN27+AN29)/2)</f>
        <v>0.20046893493168416</v>
      </c>
      <c r="AO28" s="129">
        <f>AN28*SQRT((R28/Q28)^2+(AG28/AF28)^2)</f>
        <v>5.5353858816027874E-4</v>
      </c>
      <c r="AP28" s="18">
        <f>ThU_Alter_Kombi(AN28,U28)</f>
        <v>21.122199999999999</v>
      </c>
      <c r="AQ28" s="18">
        <f t="shared" si="98"/>
        <v>6.8599999999999994E-2</v>
      </c>
      <c r="AR28" s="154">
        <f>(AQ28/AP28)</f>
        <v>3.2477677514652827E-3</v>
      </c>
      <c r="AS28" s="131">
        <f t="shared" si="99"/>
        <v>1.8433772142830207E-4</v>
      </c>
      <c r="AT28" s="131">
        <f t="shared" si="100"/>
        <v>3.8780262889400529E-7</v>
      </c>
      <c r="AU28" s="18">
        <v>8</v>
      </c>
      <c r="AV28" s="18">
        <f>AU28/2</f>
        <v>4</v>
      </c>
      <c r="AW28" s="18">
        <f t="shared" si="102"/>
        <v>20.981400000000001</v>
      </c>
      <c r="AX28" s="135">
        <f t="shared" si="103"/>
        <v>9.4863793000000002E-2</v>
      </c>
      <c r="AY28" s="135">
        <f t="shared" si="104"/>
        <v>9.6130312810769378E-2</v>
      </c>
      <c r="AZ28" s="154">
        <f t="shared" si="105"/>
        <v>4.5213280810622739E-3</v>
      </c>
      <c r="BA28" s="18" t="str">
        <f>Input!B28</f>
        <v>SO236_17_3</v>
      </c>
      <c r="BB28" s="136">
        <f>Input!E28</f>
        <v>0</v>
      </c>
      <c r="BC28" s="18">
        <f>((U28-1)*EXP(Constants!$B$17*AW28*1000))*1000</f>
        <v>142.6550259273022</v>
      </c>
      <c r="BD28" s="132">
        <f>SQRT((EXP(Constants!$B$17*AW28*1000)*V28)^2+((U28-1)*Constants!$B$17*EXP(Constants!$B$17*AW28*1000)*AY28*1000)^2)*1000</f>
        <v>0.60934915071198437</v>
      </c>
      <c r="BE28" s="18">
        <f t="shared" si="106"/>
        <v>20923.400000000001</v>
      </c>
      <c r="BF28" s="137">
        <f t="shared" si="107"/>
        <v>48.065156405384691</v>
      </c>
      <c r="BG28" s="20">
        <f t="shared" si="108"/>
        <v>0.45816920134390166</v>
      </c>
      <c r="BH28" s="18"/>
      <c r="BI28" s="18"/>
      <c r="BJ28" s="18"/>
      <c r="BK28" s="18"/>
      <c r="BL28" s="18"/>
      <c r="BM28" s="18"/>
      <c r="BN28" s="159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8">
        <f>Input!A29</f>
        <v>10815</v>
      </c>
      <c r="B29" s="138" t="str">
        <f>Input!B29</f>
        <v>Hu1-13</v>
      </c>
      <c r="C29" s="138">
        <f>Input!O29</f>
        <v>2.0847867505581501</v>
      </c>
      <c r="D29" s="138">
        <f>C29*Input!P29/100</f>
        <v>1.1434826692559553E-2</v>
      </c>
      <c r="E29" s="139">
        <f>Input!M29</f>
        <v>2.7324173200286799</v>
      </c>
      <c r="F29" s="140">
        <f>E29*Input!N29/100</f>
        <v>2.6985854505297383E-4</v>
      </c>
      <c r="G29" s="141">
        <f t="shared" ref="G29" si="127">E29*137.88</f>
        <v>376.74570008555435</v>
      </c>
      <c r="H29" s="140">
        <f>G29*Input!L29/100</f>
        <v>1.8399270086276863E-2</v>
      </c>
      <c r="I29" s="138">
        <v>0</v>
      </c>
      <c r="J29" s="142">
        <f>(((C29*Constants!$B$24*0.000000001*Input!G29*(Constants!$B$4/Constants!$B$3))-(I29*0.000000000000001))/Input!F29)*1000000000000</f>
        <v>752.68628545284241</v>
      </c>
      <c r="K29" s="138">
        <f>J29*Input!P29/100</f>
        <v>4.1284017301603608</v>
      </c>
      <c r="L29" s="143">
        <f>(J29/Constants!$B$4)*602200000000*Constants!$B$17/(365.2425*24*60)</f>
        <v>10.39166988942886</v>
      </c>
      <c r="M29" s="144">
        <f>L29*Input!P29/100</f>
        <v>5.6997169710568986E-2</v>
      </c>
      <c r="N29" s="138">
        <v>0</v>
      </c>
      <c r="O29" s="142">
        <f>(((G29*Constants!$B$23*0.000000001*Input!G29*(Constants!$B$7/Constants!$B$6))-(N29*0.000000001))/Input!F29)*1000000</f>
        <v>13.701943409683194</v>
      </c>
      <c r="P29" s="138">
        <f>O29*Input!N29/100</f>
        <v>1.353229056861812E-3</v>
      </c>
      <c r="Q29" s="145">
        <f>(O29/Constants!$B$7)*602200000000000000*Constants!$B$18/(365.2425*24*60)</f>
        <v>10.223304409297368</v>
      </c>
      <c r="R29" s="146">
        <f>Q29*Input!N29/100</f>
        <v>1.0096722902845905E-3</v>
      </c>
      <c r="S29" s="144">
        <f>Input!S29*Constants!$B$17/Constants!$B$18</f>
        <v>1.0002541237081886</v>
      </c>
      <c r="T29" s="138">
        <f>S29*Input!T29/100</f>
        <v>1.5393084103798292E-3</v>
      </c>
      <c r="U29" s="144">
        <f>S29</f>
        <v>1.0002541237081886</v>
      </c>
      <c r="V29" s="138">
        <f>U29*Input!T29/100</f>
        <v>1.5393084103798292E-3</v>
      </c>
      <c r="W29" s="147">
        <v>0</v>
      </c>
      <c r="X29" s="142">
        <f>(((Constants!$B$25*0.000000001*Input!G29/Input!W29*(Constants!$B$11/Constants!$B$9))-(W29*0.000000001))/Input!F29)*1000000000</f>
        <v>0.89289623879196056</v>
      </c>
      <c r="Y29" s="142">
        <f>X29*Input!X29/100</f>
        <v>3.2956125629927564E-3</v>
      </c>
      <c r="Z29" s="142">
        <f>(X29/Constants!$B$11)*6.022E+23*0.000000001*Constants!$B$19/(365.2425*24*60)</f>
        <v>2.1798483809122715E-4</v>
      </c>
      <c r="AA29" s="142">
        <f>Z29*Input!X29/100</f>
        <v>8.0456556959780359E-7</v>
      </c>
      <c r="AB29" s="143">
        <v>0</v>
      </c>
      <c r="AC29" s="143">
        <v>0.9</v>
      </c>
      <c r="AD29" s="142">
        <f>(((Input!G29*Constants!$B$25*0.000000001*Input!U29*(Constants!$B$10/Constants!$B$9))-((AB29*0.000000000000001)+(Input!G29*AC29*0.000000000000001)))/Input!F29)*1000000000000</f>
        <v>222.99841547680296</v>
      </c>
      <c r="AE29" s="142">
        <f>AD29*Input!V29/100</f>
        <v>0.61506185460650264</v>
      </c>
      <c r="AF29" s="142">
        <f>(AD29/Constants!$B$10)*602200000000*Constants!$B$16/(365.2425*24*60)</f>
        <v>10.178911740935703</v>
      </c>
      <c r="AG29" s="142">
        <f>AF29*Input!V29/100</f>
        <v>2.8074909500453708E-2</v>
      </c>
      <c r="AH29" s="138">
        <f t="shared" ref="AH29" si="128">AF29/Z29</f>
        <v>46695.503366503894</v>
      </c>
      <c r="AI29" s="147">
        <f t="shared" ref="AI29" si="129">AH29*SQRT((AG29/AF29)^2+(AA29/Z29)^2)</f>
        <v>215.1557553572741</v>
      </c>
      <c r="AJ29" s="144">
        <f t="shared" si="92"/>
        <v>0.25412370818855834</v>
      </c>
      <c r="AK29" s="147">
        <f t="shared" ref="AK29" si="130">V29*1000</f>
        <v>1.5393084103798291</v>
      </c>
      <c r="AL29" s="147">
        <f t="shared" ref="AL29" si="131">AF29/Q29</f>
        <v>0.99565769866724374</v>
      </c>
      <c r="AM29" s="147">
        <f t="shared" ref="AM29" si="132">AL29*SQRT((R29/Q29)^2+(AG29/AF29)^2)</f>
        <v>2.7479277694831658E-3</v>
      </c>
      <c r="AN29" s="138">
        <f>AF29/Q29</f>
        <v>0.99565769866724374</v>
      </c>
      <c r="AO29" s="142">
        <f t="shared" ref="AO29" si="133">AN29*SQRT((R29/Q29)^2+(AG29/AF29)^2)</f>
        <v>2.7479277694831658E-3</v>
      </c>
      <c r="AP29" s="138">
        <f t="shared" ref="AP29" si="134">ThU_Alter_Kombi(AN29,U29)</f>
        <v>584.49300000000005</v>
      </c>
      <c r="AQ29" s="138" t="e">
        <f t="shared" si="98"/>
        <v>#VALUE!</v>
      </c>
      <c r="AR29" s="138" t="e">
        <f>(AQ29/AP29)*100</f>
        <v>#VALUE!</v>
      </c>
      <c r="AS29" s="146">
        <f t="shared" si="99"/>
        <v>2.132234641208428E-5</v>
      </c>
      <c r="AT29" s="146">
        <f t="shared" si="100"/>
        <v>7.8727338731643074E-8</v>
      </c>
      <c r="AU29" s="138">
        <v>0.75</v>
      </c>
      <c r="AV29" s="138">
        <f t="shared" ref="AV29" si="135">AU29/2</f>
        <v>0.375</v>
      </c>
      <c r="AW29" s="138">
        <f t="shared" si="102"/>
        <v>584.49130000000002</v>
      </c>
      <c r="AX29" s="148">
        <f t="shared" si="103"/>
        <v>201.36958005880001</v>
      </c>
      <c r="AY29" s="148">
        <f t="shared" si="104"/>
        <v>80.649898740044591</v>
      </c>
      <c r="AZ29" s="149">
        <f t="shared" si="105"/>
        <v>0.34452109049150947</v>
      </c>
      <c r="BA29" s="138" t="str">
        <f>Input!B29</f>
        <v>Hu1-13</v>
      </c>
      <c r="BB29" s="150">
        <f>Input!E29</f>
        <v>0</v>
      </c>
      <c r="BC29" s="138">
        <f>((U29-1)*EXP(Constants!$B$17*AW29*1000))*1000</f>
        <v>1.3225152655878714</v>
      </c>
      <c r="BD29" s="144">
        <f>SQRT((EXP(Constants!$B$17*AW29*1000)*V29)^2+((U29-1)*Constants!$B$17*EXP(Constants!$B$17*AW29*1000)*AY29*1000)^2)*1000</f>
        <v>8.016550053615946</v>
      </c>
      <c r="BE29" s="138">
        <f t="shared" si="106"/>
        <v>584433.30000000005</v>
      </c>
      <c r="BF29" s="151">
        <f t="shared" si="107"/>
        <v>40324.949370022296</v>
      </c>
      <c r="BG29" s="160">
        <f t="shared" si="108"/>
        <v>13.798306106531369</v>
      </c>
      <c r="BH29" s="138"/>
      <c r="BI29" s="18"/>
      <c r="BJ29" s="18"/>
      <c r="BK29" s="18"/>
      <c r="BL29" s="18"/>
      <c r="BM29" s="18"/>
      <c r="BN29" s="159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10917</v>
      </c>
      <c r="B30" s="18" t="str">
        <f>Input!B30</f>
        <v>GeoB20582-1_3_163-166</v>
      </c>
      <c r="C30" s="18">
        <f>Input!O30</f>
        <v>2.0495720536377369</v>
      </c>
      <c r="D30" s="18">
        <f>C30*Input!P30/100</f>
        <v>3.6150562159541614E-3</v>
      </c>
      <c r="E30" s="152">
        <f>Input!M30</f>
        <v>2.3691465617332752</v>
      </c>
      <c r="F30" s="153">
        <f>E30*Input!N30/100</f>
        <v>1.0748516911025562E-4</v>
      </c>
      <c r="G30" s="21">
        <f>E30*137.88</f>
        <v>326.657927931784</v>
      </c>
      <c r="H30" s="153">
        <f>G30*Input!L30/100</f>
        <v>1.4147294141163492E-2</v>
      </c>
      <c r="I30" s="18">
        <v>0.3</v>
      </c>
      <c r="J30" s="129">
        <f>(((C30*Constants!$B$24*0.000000001*Input!G30*(Constants!$B$4/Constants!$B$3))-(I30*0.000000000000001))/Input!F30)*1000000000000</f>
        <v>225.61145093520969</v>
      </c>
      <c r="K30" s="18">
        <f>J30*Input!P30/100</f>
        <v>0.39793579183819439</v>
      </c>
      <c r="L30" s="134">
        <f>(J30/Constants!$B$4)*602200000000*Constants!$B$17/(365.2425*24*60)</f>
        <v>3.1148165799025471</v>
      </c>
      <c r="M30" s="132">
        <f>L30*Input!P30/100</f>
        <v>5.4939454403411959E-3</v>
      </c>
      <c r="N30" s="18">
        <v>5.0000000000000001E-3</v>
      </c>
      <c r="O30" s="129">
        <f>(((G30*Constants!$B$23*0.000000001*Input!G30*(Constants!$B$7/Constants!$B$6))-(N30*0.000000001))/Input!F30)*1000000</f>
        <v>3.6221993805900121</v>
      </c>
      <c r="P30" s="18">
        <f>O30*Input!N30/100</f>
        <v>1.643345832893274E-4</v>
      </c>
      <c r="Q30" s="130">
        <f>(O30/Constants!$B$7)*602200000000000000*Constants!$B$18/(365.2425*24*60)</f>
        <v>2.7025981491625695</v>
      </c>
      <c r="R30" s="131">
        <f>Q30*Input!N30/100</f>
        <v>1.2261344392610298E-4</v>
      </c>
      <c r="S30" s="132">
        <f>Input!S30*Constants!$B$17/Constants!$B$18</f>
        <v>1.1446792524438956</v>
      </c>
      <c r="T30" s="18">
        <f>S30*Input!T30/100</f>
        <v>5.6544517826111066E-4</v>
      </c>
      <c r="U30" s="18">
        <f>S30*1/((U29+U31)/2)</f>
        <v>1.1437575045906323</v>
      </c>
      <c r="V30" s="18">
        <f>U30*Input!T30/100</f>
        <v>5.6498985605789309E-4</v>
      </c>
      <c r="W30" s="133">
        <v>3.0000000000000001E-3</v>
      </c>
      <c r="X30" s="129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0.18544731426857522</v>
      </c>
      <c r="Y30" s="129">
        <f>X30*Input!X30/100</f>
        <v>4.0476520449484051E-4</v>
      </c>
      <c r="Z30" s="129">
        <f>(X30/Constants!$B$11)*6.022E+23*0.000000001*Constants!$B$19/(365.2425*24*60)</f>
        <v>4.527368468925426E-5</v>
      </c>
      <c r="AA30" s="129">
        <f>Z30*Input!X30/100</f>
        <v>9.8816271962511841E-8</v>
      </c>
      <c r="AB30" s="134">
        <v>0.05</v>
      </c>
      <c r="AC30" s="134">
        <v>0.9</v>
      </c>
      <c r="AD30" s="129">
        <f>(((Input!G30*Constants!$B$25*0.000000001*Input!U30*(Constants!$B$10/Constants!$B$9))-((AB30*0.000000000000001)+(Input!G30*AC30*0.000000000000001)))/Input!F30)*1000000000000</f>
        <v>3.8828808127214489</v>
      </c>
      <c r="AE30" s="129">
        <f>AD30*Input!V30/100</f>
        <v>1.5138441231290682E-2</v>
      </c>
      <c r="AF30" s="129">
        <f>(AD30/Constants!$B$10)*602200000000*Constants!$B$16/(365.2425*24*60)</f>
        <v>0.17723669026417674</v>
      </c>
      <c r="AG30" s="129">
        <f>AF30*Input!V30/100</f>
        <v>6.9100426951096037E-4</v>
      </c>
      <c r="AH30" s="18">
        <f>AF30/Z30</f>
        <v>3914.7838635330691</v>
      </c>
      <c r="AI30" s="133">
        <f>AH30*SQRT((AG30/AF30)^2+(AA30/Z30)^2)</f>
        <v>17.491813301527092</v>
      </c>
      <c r="AJ30" s="132">
        <f t="shared" si="92"/>
        <v>143.75750459063229</v>
      </c>
      <c r="AK30" s="133">
        <f>V30*1000</f>
        <v>0.56498985605789309</v>
      </c>
      <c r="AL30" s="133">
        <f>AF30/Q30</f>
        <v>6.5580112351921627E-2</v>
      </c>
      <c r="AM30" s="133">
        <f>AL30*SQRT((R30/Q30)^2+(AG30/AF30)^2)</f>
        <v>2.5569878136674513E-4</v>
      </c>
      <c r="AN30" s="18">
        <f>AL30*1/((AN29+AN31)/2)</f>
        <v>6.5777580166013302E-2</v>
      </c>
      <c r="AO30" s="129">
        <f>AN30*SQRT((R30/Q30)^2+(AG30/AF30)^2)</f>
        <v>2.5646871416514351E-4</v>
      </c>
      <c r="AP30" s="18">
        <f>ThU_Alter_Kombi(AN30,U30)</f>
        <v>6.4512</v>
      </c>
      <c r="AQ30" s="18">
        <f t="shared" si="98"/>
        <v>2.53E-2</v>
      </c>
      <c r="AR30" s="154">
        <f>(AQ30/AP30)</f>
        <v>3.921750992063492E-3</v>
      </c>
      <c r="AS30" s="131">
        <f t="shared" si="99"/>
        <v>1.6751911379530406E-5</v>
      </c>
      <c r="AT30" s="131">
        <f t="shared" si="100"/>
        <v>3.6571333092886084E-8</v>
      </c>
      <c r="AU30" s="18">
        <v>8</v>
      </c>
      <c r="AV30" s="18">
        <f>AU30/2</f>
        <v>4</v>
      </c>
      <c r="AW30" s="18">
        <f t="shared" si="102"/>
        <v>6.4383999999999997</v>
      </c>
      <c r="AX30" s="135">
        <f t="shared" si="103"/>
        <v>2.9062284099999999E-2</v>
      </c>
      <c r="AY30" s="135">
        <f t="shared" si="104"/>
        <v>2.6894086231263738E-2</v>
      </c>
      <c r="AZ30" s="154">
        <f t="shared" si="105"/>
        <v>4.5138984996272368E-3</v>
      </c>
      <c r="BA30" s="18" t="str">
        <f>Input!B30</f>
        <v>GeoB20582-1_3_163-166</v>
      </c>
      <c r="BB30" s="136">
        <f>Input!E30</f>
        <v>164.5</v>
      </c>
      <c r="BC30" s="18">
        <f>((U30-1)*EXP(Constants!$B$17*AW30*1000))*1000</f>
        <v>146.39338780878023</v>
      </c>
      <c r="BD30" s="132">
        <f>SQRT((EXP(Constants!$B$17*AW30*1000)*V30)^2+((U30-1)*Constants!$B$17*EXP(Constants!$B$17*AW30*1000)*AY30*1000)^2)*1000</f>
        <v>0.57545656844881465</v>
      </c>
      <c r="BE30" s="18">
        <f t="shared" si="106"/>
        <v>6380.4</v>
      </c>
      <c r="BF30" s="137">
        <f t="shared" si="107"/>
        <v>13.447043115631869</v>
      </c>
      <c r="BG30" s="20">
        <f t="shared" si="108"/>
        <v>0.41771381447663608</v>
      </c>
      <c r="BH30" s="18"/>
      <c r="BI30" s="18"/>
      <c r="BJ30" s="18"/>
      <c r="BK30" s="18"/>
      <c r="BL30" s="18"/>
      <c r="BM30" s="18"/>
      <c r="BN30" s="159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8">
        <f>Input!A31</f>
        <v>10815</v>
      </c>
      <c r="B31" s="138" t="str">
        <f>Input!B31</f>
        <v>Hu1-13</v>
      </c>
      <c r="C31" s="138">
        <f>Input!O31</f>
        <v>2.0819298347087547</v>
      </c>
      <c r="D31" s="138">
        <f>C31*Input!P31/100</f>
        <v>1.0447617445194114E-2</v>
      </c>
      <c r="E31" s="139">
        <f>Input!M31</f>
        <v>2.7319140450427679</v>
      </c>
      <c r="F31" s="140">
        <f>E31*Input!N31/100</f>
        <v>1.9901747915410532E-4</v>
      </c>
      <c r="G31" s="141">
        <f t="shared" ref="G31" si="136">E31*137.88</f>
        <v>376.67630853049684</v>
      </c>
      <c r="H31" s="140">
        <f>G31*Input!L31/100</f>
        <v>2.0638848001463775E-2</v>
      </c>
      <c r="I31" s="138">
        <v>0</v>
      </c>
      <c r="J31" s="142">
        <f>(((C31*Constants!$B$24*0.000000001*Input!G31*(Constants!$B$4/Constants!$B$3))-(I31*0.000000000000001))/Input!F31)*1000000000000</f>
        <v>751.65483157490655</v>
      </c>
      <c r="K31" s="138">
        <f>J31*Input!P31/100</f>
        <v>3.7719821293713336</v>
      </c>
      <c r="L31" s="143">
        <f>(J31/Constants!$B$4)*602200000000*Constants!$B$17/(365.2425*24*60)</f>
        <v>10.377429523405409</v>
      </c>
      <c r="M31" s="144">
        <f>L31*Input!P31/100</f>
        <v>5.2076401383704549E-2</v>
      </c>
      <c r="N31" s="138">
        <v>0</v>
      </c>
      <c r="O31" s="142">
        <f>(((G31*Constants!$B$23*0.000000001*Input!G31*(Constants!$B$7/Constants!$B$6))-(N31*0.000000001))/Input!F31)*1000000</f>
        <v>13.699419693658582</v>
      </c>
      <c r="P31" s="138">
        <f>O31*Input!N31/100</f>
        <v>9.9799039367776121E-4</v>
      </c>
      <c r="Q31" s="145">
        <f>(O31/Constants!$B$7)*602200000000000000*Constants!$B$18/(365.2425*24*60)</f>
        <v>10.221421412382931</v>
      </c>
      <c r="R31" s="146">
        <f>Q31*Input!N31/100</f>
        <v>7.4462134947309434E-4</v>
      </c>
      <c r="S31" s="144">
        <f>Input!S31*Constants!$B$17/Constants!$B$18</f>
        <v>1.0013576652410663</v>
      </c>
      <c r="T31" s="138">
        <f>S31*Input!T31/100</f>
        <v>1.3575304680934919E-3</v>
      </c>
      <c r="U31" s="144">
        <f>S31</f>
        <v>1.0013576652410663</v>
      </c>
      <c r="V31" s="138">
        <f>U31*Input!T31/100</f>
        <v>1.3575304680934919E-3</v>
      </c>
      <c r="W31" s="147">
        <v>0</v>
      </c>
      <c r="X31" s="142">
        <f>(((Constants!$B$25*0.000000001*Input!G31/Input!W31*(Constants!$B$11/Constants!$B$9))-(W31*0.000000001))/Input!F31)*1000000000</f>
        <v>0.90265222560497738</v>
      </c>
      <c r="Y31" s="142">
        <f>X31*Input!X31/100</f>
        <v>3.4493927116620638E-3</v>
      </c>
      <c r="Z31" s="142">
        <f>(X31/Constants!$B$11)*6.022E+23*0.000000001*Constants!$B$19/(365.2425*24*60)</f>
        <v>2.2036658987095568E-4</v>
      </c>
      <c r="AA31" s="142">
        <f>Z31*Input!X31/100</f>
        <v>8.4210827540500574E-7</v>
      </c>
      <c r="AB31" s="143">
        <v>0</v>
      </c>
      <c r="AC31" s="143">
        <v>0.9</v>
      </c>
      <c r="AD31" s="142">
        <f>(((Input!G31*Constants!$B$25*0.000000001*Input!U31*(Constants!$B$10/Constants!$B$9))-((AB31*0.000000000000001)+(Input!G31*AC31*0.000000000000001)))/Input!F31)*1000000000000</f>
        <v>223.55758475798299</v>
      </c>
      <c r="AE31" s="142">
        <f>AD31*Input!V31/100</f>
        <v>0.62924830863932957</v>
      </c>
      <c r="AF31" s="142">
        <f>(AD31/Constants!$B$10)*602200000000*Constants!$B$16/(365.2425*24*60)</f>
        <v>10.204435396559912</v>
      </c>
      <c r="AG31" s="142">
        <f>AF31*Input!V31/100</f>
        <v>2.872245967792126E-2</v>
      </c>
      <c r="AH31" s="138">
        <f t="shared" ref="AH31" si="137">AF31/Z31</f>
        <v>46306.635695254532</v>
      </c>
      <c r="AI31" s="147">
        <f t="shared" ref="AI31" si="138">AH31*SQRT((AG31/AF31)^2+(AA31/Z31)^2)</f>
        <v>219.77673912119809</v>
      </c>
      <c r="AJ31" s="144">
        <f t="shared" si="92"/>
        <v>1.3576652410662859</v>
      </c>
      <c r="AK31" s="147">
        <f t="shared" ref="AK31" si="139">V31*1000</f>
        <v>1.3575304680934919</v>
      </c>
      <c r="AL31" s="147">
        <f t="shared" ref="AL31" si="140">AF31/Q31</f>
        <v>0.99833819435304361</v>
      </c>
      <c r="AM31" s="147">
        <f t="shared" ref="AM31" si="141">AL31*SQRT((R31/Q31)^2+(AG31/AF31)^2)</f>
        <v>2.8109669781135028E-3</v>
      </c>
      <c r="AN31" s="138">
        <f>AF31/Q31</f>
        <v>0.99833819435304361</v>
      </c>
      <c r="AO31" s="142">
        <f t="shared" ref="AO31" si="142">AN31*SQRT((R31/Q31)^2+(AG31/AF31)^2)</f>
        <v>2.8109669781135028E-3</v>
      </c>
      <c r="AP31" s="138">
        <f t="shared" ref="AP31" si="143">ThU_Alter_Kombi(AN31,U31)</f>
        <v>614.08799999999997</v>
      </c>
      <c r="AQ31" s="138" t="e">
        <f t="shared" si="98"/>
        <v>#VALUE!</v>
      </c>
      <c r="AR31" s="138" t="e">
        <f>(AQ31/AP31)*100</f>
        <v>#VALUE!</v>
      </c>
      <c r="AS31" s="146">
        <f t="shared" si="99"/>
        <v>2.1559290139822285E-5</v>
      </c>
      <c r="AT31" s="146">
        <f t="shared" si="100"/>
        <v>8.2401580496829383E-8</v>
      </c>
      <c r="AU31" s="138">
        <v>0.75</v>
      </c>
      <c r="AV31" s="138">
        <f t="shared" ref="AV31" si="144">AU31/2</f>
        <v>0.375</v>
      </c>
      <c r="AW31" s="138">
        <f t="shared" si="102"/>
        <v>614.08630000000005</v>
      </c>
      <c r="AX31" s="148">
        <f t="shared" si="103"/>
        <v>257.71446804369998</v>
      </c>
      <c r="AY31" s="148">
        <f t="shared" si="104"/>
        <v>102.19642692546614</v>
      </c>
      <c r="AZ31" s="149">
        <f t="shared" si="105"/>
        <v>0.41967141759016602</v>
      </c>
      <c r="BA31" s="138" t="str">
        <f>Input!B31</f>
        <v>Hu1-13</v>
      </c>
      <c r="BB31" s="150">
        <f>Input!E31</f>
        <v>0</v>
      </c>
      <c r="BC31" s="138">
        <f>((U31-1)*EXP(Constants!$B$17*AW31*1000))*1000</f>
        <v>7.6810393784523265</v>
      </c>
      <c r="BD31" s="144">
        <f>SQRT((EXP(Constants!$B$17*AW31*1000)*V31)^2+((U31-1)*Constants!$B$17*EXP(Constants!$B$17*AW31*1000)*AY31*1000)^2)*1000</f>
        <v>7.9933702345706594</v>
      </c>
      <c r="BE31" s="138">
        <f t="shared" si="106"/>
        <v>614028.30000000005</v>
      </c>
      <c r="BF31" s="151">
        <f t="shared" si="107"/>
        <v>51098.213462733074</v>
      </c>
      <c r="BG31" s="160">
        <f t="shared" si="108"/>
        <v>16.642030106430667</v>
      </c>
      <c r="BH31" s="138"/>
      <c r="BI31" s="18"/>
      <c r="BJ31" s="18"/>
      <c r="BK31" s="18"/>
      <c r="BL31" s="18"/>
      <c r="BM31" s="18"/>
      <c r="BN31" s="159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2" spans="1:110" ht="15" customHeight="1" x14ac:dyDescent="0.2">
      <c r="A32" s="18">
        <f>Input!A32</f>
        <v>10918</v>
      </c>
      <c r="B32" s="18" t="str">
        <f>Input!B32</f>
        <v>GeoB20582-1_3_184-186</v>
      </c>
      <c r="C32" s="18">
        <f>Input!O32</f>
        <v>1.7076228225622478</v>
      </c>
      <c r="D32" s="18">
        <f>C32*Input!P32/100</f>
        <v>2.9692146472031096E-3</v>
      </c>
      <c r="E32" s="152">
        <f>Input!M32</f>
        <v>1.9746864028837978</v>
      </c>
      <c r="F32" s="153">
        <f>E32*Input!N32/100</f>
        <v>8.7120910139327842E-5</v>
      </c>
      <c r="G32" s="21">
        <f>E32*137.88</f>
        <v>272.26976122961804</v>
      </c>
      <c r="H32" s="153">
        <f>G32*Input!L32/100</f>
        <v>1.2577461715363052E-2</v>
      </c>
      <c r="I32" s="18">
        <v>0.3</v>
      </c>
      <c r="J32" s="129">
        <f>(((C32*Constants!$B$24*0.000000001*Input!G32*(Constants!$B$4/Constants!$B$3))-(I32*0.000000000000001))/Input!F32)*1000000000000</f>
        <v>236.86221861337916</v>
      </c>
      <c r="K32" s="18">
        <f>J32*Input!P32/100</f>
        <v>0.41185603728380316</v>
      </c>
      <c r="L32" s="134">
        <f>(J32/Constants!$B$4)*602200000000*Constants!$B$17/(365.2425*24*60)</f>
        <v>3.2701459195939875</v>
      </c>
      <c r="M32" s="132">
        <f>L32*Input!P32/100</f>
        <v>5.6861298845729148E-3</v>
      </c>
      <c r="N32" s="18">
        <v>5.0000000000000001E-3</v>
      </c>
      <c r="O32" s="129">
        <f>(((G32*Constants!$B$23*0.000000001*Input!G32*(Constants!$B$7/Constants!$B$6))-(N32*0.000000001))/Input!F32)*1000000</f>
        <v>3.8043844169528795</v>
      </c>
      <c r="P32" s="18">
        <f>O32*Input!N32/100</f>
        <v>1.6784509805748373E-4</v>
      </c>
      <c r="Q32" s="130">
        <f>(O32/Constants!$B$7)*602200000000000000*Constants!$B$18/(365.2425*24*60)</f>
        <v>2.8385301866748724</v>
      </c>
      <c r="R32" s="131">
        <f>Q32*Input!N32/100</f>
        <v>1.2523271186752751E-4</v>
      </c>
      <c r="S32" s="132">
        <f>Input!S32*Constants!$B$17/Constants!$B$18</f>
        <v>1.1443969293803709</v>
      </c>
      <c r="T32" s="18">
        <f>S32*Input!T32/100</f>
        <v>7.4943879091187294E-4</v>
      </c>
      <c r="U32" s="18">
        <f>S32*1/((U31+U33)/2)</f>
        <v>1.1433279580506328</v>
      </c>
      <c r="V32" s="18">
        <f>U32*Input!T32/100</f>
        <v>7.4873874658257537E-4</v>
      </c>
      <c r="W32" s="133">
        <v>3.0000000000000001E-3</v>
      </c>
      <c r="X32" s="129">
        <f>IF((((Constants!$B$25*0.000000001*Input!G32/Input!W32*(Constants!$B$11/Constants!$B$9))-(W32*0.000000001))/Input!F32)*1000000000&lt;0, "n.d.", (((Constants!$B$25*0.000000001*Input!G32/Input!W32*(Constants!$B$11/Constants!$B$9))-(W32*0.000000001))/Input!F32)*1000000000)</f>
        <v>0.95307994635579685</v>
      </c>
      <c r="Y32" s="129">
        <f>X32*Input!X32/100</f>
        <v>2.041104812653842E-3</v>
      </c>
      <c r="Z32" s="129">
        <f>(X32/Constants!$B$11)*6.022E+23*0.000000001*Constants!$B$19/(365.2425*24*60)</f>
        <v>2.3267762677043818E-4</v>
      </c>
      <c r="AA32" s="129">
        <f>Z32*Input!X32/100</f>
        <v>4.9829967109676476E-7</v>
      </c>
      <c r="AB32" s="134">
        <v>0.05</v>
      </c>
      <c r="AC32" s="134">
        <v>0.9</v>
      </c>
      <c r="AD32" s="129">
        <f>(((Input!G32*Constants!$B$25*0.000000001*Input!U32*(Constants!$B$10/Constants!$B$9))-((AB32*0.000000000000001)+(Input!G32*AC32*0.000000000000001)))/Input!F32)*1000000000000</f>
        <v>4.1820745747971007</v>
      </c>
      <c r="AE32" s="129">
        <f>AD32*Input!V32/100</f>
        <v>1.7127844480250877E-2</v>
      </c>
      <c r="AF32" s="129">
        <f>(AD32/Constants!$B$10)*602200000000*Constants!$B$16/(365.2425*24*60)</f>
        <v>0.19089358953449184</v>
      </c>
      <c r="AG32" s="129">
        <f>AF32*Input!V32/100</f>
        <v>7.8181191065495312E-4</v>
      </c>
      <c r="AH32" s="18">
        <f>AF32/Z32</f>
        <v>820.42090674592089</v>
      </c>
      <c r="AI32" s="133">
        <f>AH32*SQRT((AG32/AF32)^2+(AA32/Z32)^2)</f>
        <v>3.7917143779980242</v>
      </c>
      <c r="AJ32" s="132">
        <f t="shared" si="92"/>
        <v>143.32795805063282</v>
      </c>
      <c r="AK32" s="133">
        <f>V32*1000</f>
        <v>0.74873874658257533</v>
      </c>
      <c r="AL32" s="133">
        <f>AF32/Q32</f>
        <v>6.7250857655352089E-2</v>
      </c>
      <c r="AM32" s="133">
        <f>AL32*SQRT((R32/Q32)^2+(AG32/AF32)^2)</f>
        <v>2.7544440982683194E-4</v>
      </c>
      <c r="AN32" s="18">
        <f>AL32*1/((AN31+AN33)/2)</f>
        <v>6.7341282309237388E-2</v>
      </c>
      <c r="AO32" s="129">
        <f>AN32*SQRT((R32/Q32)^2+(AG32/AF32)^2)</f>
        <v>2.7581476890166894E-4</v>
      </c>
      <c r="AP32" s="18">
        <f>ThU_Alter_Kombi(AN32,U32)</f>
        <v>6.6116999999999999</v>
      </c>
      <c r="AQ32" s="18">
        <f t="shared" si="98"/>
        <v>2.7099999999999999E-2</v>
      </c>
      <c r="AR32" s="154">
        <f>(AQ32/AP32)</f>
        <v>4.0987945611567376E-3</v>
      </c>
      <c r="AS32" s="131">
        <f t="shared" si="99"/>
        <v>8.197116516946497E-5</v>
      </c>
      <c r="AT32" s="131">
        <f t="shared" si="100"/>
        <v>1.7558573155390769E-7</v>
      </c>
      <c r="AU32" s="18">
        <v>8</v>
      </c>
      <c r="AV32" s="18">
        <f>AU32/2</f>
        <v>4</v>
      </c>
      <c r="AW32" s="18">
        <f t="shared" si="102"/>
        <v>6.5492999999999997</v>
      </c>
      <c r="AX32" s="135">
        <f t="shared" si="103"/>
        <v>4.0992663399999997E-2</v>
      </c>
      <c r="AY32" s="135">
        <f t="shared" si="104"/>
        <v>4.2151186201027001E-2</v>
      </c>
      <c r="AZ32" s="154">
        <f t="shared" si="105"/>
        <v>6.2590908035973312E-3</v>
      </c>
      <c r="BA32" s="18" t="str">
        <f>Input!B32</f>
        <v>GeoB20582-1_3_184-186</v>
      </c>
      <c r="BB32" s="136">
        <f>Input!E32</f>
        <v>185</v>
      </c>
      <c r="BC32" s="18">
        <f>((U32-1)*EXP(Constants!$B$17*AW32*1000))*1000</f>
        <v>146.00165173561115</v>
      </c>
      <c r="BD32" s="132">
        <f>SQRT((EXP(Constants!$B$17*AW32*1000)*V32)^2+((U32-1)*Constants!$B$17*EXP(Constants!$B$17*AW32*1000)*AY32*1000)^2)*1000</f>
        <v>0.76290370899462501</v>
      </c>
      <c r="BE32" s="18">
        <f t="shared" si="106"/>
        <v>6491.2999999999993</v>
      </c>
      <c r="BF32" s="137">
        <f t="shared" si="107"/>
        <v>21.075593100513501</v>
      </c>
      <c r="BG32" s="20">
        <f t="shared" si="108"/>
        <v>0.64359834182320252</v>
      </c>
      <c r="BH32" s="18"/>
      <c r="BI32" s="18"/>
      <c r="BJ32" s="18"/>
      <c r="BK32" s="18"/>
      <c r="BL32" s="18"/>
      <c r="BM32" s="18"/>
      <c r="BN32" s="159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</row>
    <row r="33" spans="1:110" ht="15" customHeight="1" x14ac:dyDescent="0.2">
      <c r="A33" s="138">
        <f>Input!A33</f>
        <v>10815</v>
      </c>
      <c r="B33" s="138" t="str">
        <f>Input!B33</f>
        <v>Hu1-13</v>
      </c>
      <c r="C33" s="138">
        <f>Input!O33</f>
        <v>2.1044089136988591</v>
      </c>
      <c r="D33" s="138">
        <f>C33*Input!P33/100</f>
        <v>1.6705121968804807E-2</v>
      </c>
      <c r="E33" s="139">
        <f>Input!M33</f>
        <v>2.7320738048912308</v>
      </c>
      <c r="F33" s="140">
        <f>E33*Input!N33/100</f>
        <v>2.7524227077971243E-4</v>
      </c>
      <c r="G33" s="141">
        <f t="shared" ref="G33" si="145">E33*137.88</f>
        <v>376.69833621840286</v>
      </c>
      <c r="H33" s="140">
        <f>G33*Input!L33/100</f>
        <v>2.1435727316890613E-2</v>
      </c>
      <c r="I33" s="138">
        <v>0</v>
      </c>
      <c r="J33" s="142">
        <f>(((C33*Constants!$B$24*0.000000001*Input!G33*(Constants!$B$4/Constants!$B$3))-(I33*0.000000000000001))/Input!F33)*1000000000000</f>
        <v>759.77062301541378</v>
      </c>
      <c r="K33" s="138">
        <f>J33*Input!P33/100</f>
        <v>6.0311761859432691</v>
      </c>
      <c r="L33" s="143">
        <f>(J33/Constants!$B$4)*602200000000*Constants!$B$17/(365.2425*24*60)</f>
        <v>10.489477035325281</v>
      </c>
      <c r="M33" s="144">
        <f>L33*Input!P33/100</f>
        <v>8.3267083751366863E-2</v>
      </c>
      <c r="N33" s="138">
        <v>0</v>
      </c>
      <c r="O33" s="142">
        <f>(((G33*Constants!$B$23*0.000000001*Input!G33*(Constants!$B$7/Constants!$B$6))-(N33*0.000000001))/Input!F33)*1000000</f>
        <v>13.700220823261565</v>
      </c>
      <c r="P33" s="138">
        <f>O33*Input!N33/100</f>
        <v>1.3802262160074188E-3</v>
      </c>
      <c r="Q33" s="145">
        <f>(O33/Constants!$B$7)*602200000000000000*Constants!$B$18/(365.2425*24*60)</f>
        <v>10.222019151809938</v>
      </c>
      <c r="R33" s="146">
        <f>Q33*Input!N33/100</f>
        <v>1.0298154311427505E-3</v>
      </c>
      <c r="S33" s="144">
        <f>Input!S33*Constants!$B$17/Constants!$B$18</f>
        <v>1.000512264243665</v>
      </c>
      <c r="T33" s="138">
        <f>S33*Input!T33/100</f>
        <v>9.5761687003003619E-4</v>
      </c>
      <c r="U33" s="144">
        <f>S33</f>
        <v>1.000512264243665</v>
      </c>
      <c r="V33" s="138">
        <f>U33*Input!T33/100</f>
        <v>9.5761687003003619E-4</v>
      </c>
      <c r="W33" s="147">
        <v>0</v>
      </c>
      <c r="X33" s="142">
        <f>(((Constants!$B$25*0.000000001*Input!G33/Input!W33*(Constants!$B$11/Constants!$B$9))-(W33*0.000000001))/Input!F33)*1000000000</f>
        <v>0.89404631683249858</v>
      </c>
      <c r="Y33" s="142">
        <f>X33*Input!X33/100</f>
        <v>3.2727161108091927E-3</v>
      </c>
      <c r="Z33" s="142">
        <f>(X33/Constants!$B$11)*6.022E+23*0.000000001*Constants!$B$19/(365.2425*24*60)</f>
        <v>2.1826560932148583E-4</v>
      </c>
      <c r="AA33" s="142">
        <f>Z33*Input!X33/100</f>
        <v>7.989758054065575E-7</v>
      </c>
      <c r="AB33" s="143">
        <v>0</v>
      </c>
      <c r="AC33" s="143">
        <v>0.9</v>
      </c>
      <c r="AD33" s="142">
        <f>(((Input!G33*Constants!$B$25*0.000000001*Input!U33*(Constants!$B$10/Constants!$B$9))-((AB33*0.000000000000001)+(Input!G33*AC33*0.000000000000001)))/Input!F33)*1000000000000</f>
        <v>223.71354435684569</v>
      </c>
      <c r="AE33" s="142">
        <f>AD33*Input!V33/100</f>
        <v>0.3809078088487825</v>
      </c>
      <c r="AF33" s="142">
        <f>(AD33/Constants!$B$10)*602200000000*Constants!$B$16/(365.2425*24*60)</f>
        <v>10.211554276703435</v>
      </c>
      <c r="AG33" s="142">
        <f>AF33*Input!V33/100</f>
        <v>1.7386791558204086E-2</v>
      </c>
      <c r="AH33" s="138">
        <f t="shared" ref="AH33" si="146">AF33/Z33</f>
        <v>46784.989666707974</v>
      </c>
      <c r="AI33" s="147">
        <f t="shared" ref="AI33" si="147">AH33*SQRT((AG33/AF33)^2+(AA33/Z33)^2)</f>
        <v>188.87926392625099</v>
      </c>
      <c r="AJ33" s="144">
        <f t="shared" si="92"/>
        <v>0.5122642436650171</v>
      </c>
      <c r="AK33" s="147">
        <f t="shared" ref="AK33" si="148">V33*1000</f>
        <v>0.95761687003003615</v>
      </c>
      <c r="AL33" s="147">
        <f t="shared" ref="AL33" si="149">AF33/Q33</f>
        <v>0.99897624188028933</v>
      </c>
      <c r="AM33" s="147">
        <f t="shared" ref="AM33" si="150">AL33*SQRT((R33/Q33)^2+(AG33/AF33)^2)</f>
        <v>1.7038904108179684E-3</v>
      </c>
      <c r="AN33" s="138">
        <f>AF33/Q33</f>
        <v>0.99897624188028933</v>
      </c>
      <c r="AO33" s="142">
        <f t="shared" ref="AO33" si="151">AN33*SQRT((R33/Q33)^2+(AG33/AF33)^2)</f>
        <v>1.7038904108179684E-3</v>
      </c>
      <c r="AP33" s="138">
        <f t="shared" ref="AP33" si="152">ThU_Alter_Kombi(AN33,U33)</f>
        <v>691.95060000000001</v>
      </c>
      <c r="AQ33" s="138" t="e">
        <f t="shared" si="98"/>
        <v>#VALUE!</v>
      </c>
      <c r="AR33" s="138" t="e">
        <f>(AQ33/AP33)*100</f>
        <v>#VALUE!</v>
      </c>
      <c r="AS33" s="146">
        <f t="shared" si="99"/>
        <v>2.135249465687404E-5</v>
      </c>
      <c r="AT33" s="146">
        <f t="shared" si="100"/>
        <v>7.8191825387329959E-8</v>
      </c>
      <c r="AU33" s="138">
        <v>0.75</v>
      </c>
      <c r="AV33" s="138">
        <f t="shared" ref="AV33" si="153">AU33/2</f>
        <v>0.375</v>
      </c>
      <c r="AW33" s="138">
        <f t="shared" si="102"/>
        <v>691.94889999999998</v>
      </c>
      <c r="AX33" s="148">
        <f t="shared" si="103"/>
        <v>314.33299623750003</v>
      </c>
      <c r="AY33" s="148">
        <f t="shared" si="104"/>
        <v>134.29787181918368</v>
      </c>
      <c r="AZ33" s="149">
        <f t="shared" si="105"/>
        <v>0.45427197909773398</v>
      </c>
      <c r="BA33" s="138" t="str">
        <f>Input!B33</f>
        <v>Hu1-13</v>
      </c>
      <c r="BB33" s="150">
        <f>Input!E33</f>
        <v>0</v>
      </c>
      <c r="BC33" s="138">
        <f>((U33-1)*EXP(Constants!$B$17*AW33*1000))*1000</f>
        <v>3.6103568813755067</v>
      </c>
      <c r="BD33" s="144">
        <f>SQRT((EXP(Constants!$B$17*AW33*1000)*V33)^2+((U33-1)*Constants!$B$17*EXP(Constants!$B$17*AW33*1000)*AY33*1000)^2)*1000</f>
        <v>6.8864399112346932</v>
      </c>
      <c r="BE33" s="138">
        <f t="shared" si="106"/>
        <v>691890.9</v>
      </c>
      <c r="BF33" s="151">
        <f t="shared" si="107"/>
        <v>67148.935909591848</v>
      </c>
      <c r="BG33" s="160">
        <f t="shared" si="108"/>
        <v>19.408640120561461</v>
      </c>
      <c r="BH33" s="138"/>
      <c r="BI33" s="18"/>
      <c r="BJ33" s="18"/>
      <c r="BK33" s="18"/>
      <c r="BL33" s="18"/>
      <c r="BM33" s="18"/>
      <c r="BN33" s="159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5" spans="1:110" ht="15" customHeight="1" x14ac:dyDescent="0.2">
      <c r="A35" s="138">
        <f>Input!A35</f>
        <v>10815</v>
      </c>
      <c r="B35" s="138" t="str">
        <f>Input!B35</f>
        <v>Hu1-13</v>
      </c>
      <c r="C35" s="138">
        <f>Input!O35</f>
        <v>2.0782249533183141</v>
      </c>
      <c r="D35" s="138">
        <f>C35*Input!P35/100</f>
        <v>1.2300925623761647E-2</v>
      </c>
      <c r="E35" s="139">
        <f>Input!M35</f>
        <v>2.7322302981887687</v>
      </c>
      <c r="F35" s="140">
        <f>E35*Input!N35/100</f>
        <v>2.5285347256859047E-4</v>
      </c>
      <c r="G35" s="141">
        <f t="shared" ref="G35" si="154">E35*137.88</f>
        <v>376.71991351426743</v>
      </c>
      <c r="H35" s="140">
        <f>G35*Input!L35/100</f>
        <v>2.6682884800589685E-2</v>
      </c>
      <c r="I35" s="138">
        <v>0</v>
      </c>
      <c r="J35" s="142">
        <f>(((C35*Constants!$B$24*0.000000001*Input!G35*(Constants!$B$4/Constants!$B$3))-(I35*0.000000000000001))/Input!F35)*1000000000000</f>
        <v>750.31723030174635</v>
      </c>
      <c r="K35" s="138">
        <f>J35*Input!P35/100</f>
        <v>4.4410959600074422</v>
      </c>
      <c r="L35" s="143">
        <f>(J35/Constants!$B$4)*602200000000*Constants!$B$17/(365.2425*24*60)</f>
        <v>10.358962452670887</v>
      </c>
      <c r="M35" s="144">
        <f>L35*Input!P35/100</f>
        <v>6.131426074265163E-2</v>
      </c>
      <c r="N35" s="138">
        <v>0</v>
      </c>
      <c r="O35" s="142">
        <f>(((G35*Constants!$B$23*0.000000001*Input!G35*(Constants!$B$7/Constants!$B$6))-(N35*0.000000001))/Input!F35)*1000000</f>
        <v>13.701005572461899</v>
      </c>
      <c r="P35" s="138">
        <f>O35*Input!N35/100</f>
        <v>1.2679556474339518E-3</v>
      </c>
      <c r="Q35" s="145">
        <f>(O35/Constants!$B$7)*602200000000000000*Constants!$B$18/(365.2425*24*60)</f>
        <v>10.222604669478498</v>
      </c>
      <c r="R35" s="146">
        <f>Q35*Input!N35/100</f>
        <v>9.4604802936525437E-4</v>
      </c>
      <c r="S35" s="144">
        <f>Input!S35*Constants!$B$17/Constants!$B$18</f>
        <v>1.0005747993116294</v>
      </c>
      <c r="T35" s="138">
        <f>S35*Input!T35/100</f>
        <v>1.1940973290673589E-3</v>
      </c>
      <c r="U35" s="144">
        <f>S35</f>
        <v>1.0005747993116294</v>
      </c>
      <c r="V35" s="138">
        <f>U35*Input!T35/100</f>
        <v>1.1940973290673589E-3</v>
      </c>
      <c r="W35" s="147">
        <v>0</v>
      </c>
      <c r="X35" s="142">
        <f>(((Constants!$B$25*0.000000001*Input!G35/Input!W35*(Constants!$B$11/Constants!$B$9))-(W35*0.000000001))/Input!F35)*1000000000</f>
        <v>0.923992502149387</v>
      </c>
      <c r="Y35" s="142">
        <f>X35*Input!X35/100</f>
        <v>4.4315826103448778E-3</v>
      </c>
      <c r="Z35" s="142">
        <f>(X35/Constants!$B$11)*6.022E+23*0.000000001*Constants!$B$19/(365.2425*24*60)</f>
        <v>2.2557644127950107E-4</v>
      </c>
      <c r="AA35" s="142">
        <f>Z35*Input!X35/100</f>
        <v>1.0818925826262807E-6</v>
      </c>
      <c r="AB35" s="143">
        <v>0</v>
      </c>
      <c r="AC35" s="143">
        <v>0.9</v>
      </c>
      <c r="AD35" s="142">
        <f>(((Input!G35*Constants!$B$25*0.000000001*Input!U35*(Constants!$B$10/Constants!$B$9))-((AB35*0.000000000000001)+(Input!G35*AC35*0.000000000000001)))/Input!F35)*1000000000000</f>
        <v>223.21385398542697</v>
      </c>
      <c r="AE35" s="142">
        <f>AD35*Input!V35/100</f>
        <v>0.96083926590996793</v>
      </c>
      <c r="AF35" s="142">
        <f>(AD35/Constants!$B$10)*602200000000*Constants!$B$16/(365.2425*24*60)</f>
        <v>10.188745575674814</v>
      </c>
      <c r="AG35" s="142">
        <f>AF35*Input!V35/100</f>
        <v>4.3858150579282447E-2</v>
      </c>
      <c r="AH35" s="138">
        <f t="shared" ref="AH35" si="155">AF35/Z35</f>
        <v>45167.596039208824</v>
      </c>
      <c r="AI35" s="147">
        <f t="shared" ref="AI35" si="156">AH35*SQRT((AG35/AF35)^2+(AA35/Z35)^2)</f>
        <v>291.08443988416491</v>
      </c>
      <c r="AJ35" s="144">
        <f t="shared" ref="AJ35:AJ43" si="157">(U35-1)*1000</f>
        <v>0.57479931162940368</v>
      </c>
      <c r="AK35" s="147">
        <f t="shared" ref="AK35" si="158">V35*1000</f>
        <v>1.1940973290673589</v>
      </c>
      <c r="AL35" s="147">
        <f t="shared" ref="AL35" si="159">AF35/Q35</f>
        <v>0.99668782126488986</v>
      </c>
      <c r="AM35" s="147">
        <f t="shared" ref="AM35" si="160">AL35*SQRT((R35/Q35)^2+(AG35/AF35)^2)</f>
        <v>4.2913021460228157E-3</v>
      </c>
      <c r="AN35" s="138">
        <f>AF35/Q35</f>
        <v>0.99668782126488986</v>
      </c>
      <c r="AO35" s="142">
        <f t="shared" ref="AO35" si="161">AN35*SQRT((R35/Q35)^2+(AG35/AF35)^2)</f>
        <v>4.2913021460228157E-3</v>
      </c>
      <c r="AP35" s="138">
        <f t="shared" ref="AP35" si="162">ThU_Alter_Kombi(AN35,U35)</f>
        <v>598.76110000000006</v>
      </c>
      <c r="AQ35" s="138" t="e">
        <f t="shared" ref="AQ35:AQ43" si="163">Montealter(AN35,AO35,U35,V35)</f>
        <v>#VALUE!</v>
      </c>
      <c r="AR35" s="138" t="e">
        <f>(AQ35/AP35)*100</f>
        <v>#VALUE!</v>
      </c>
      <c r="AS35" s="146">
        <f t="shared" ref="AS35:AS43" si="164">Z35/Q35</f>
        <v>2.2066434981389997E-5</v>
      </c>
      <c r="AT35" s="146">
        <f t="shared" ref="AT35:AT43" si="165">AS35*SQRT((Y35/X35)^2+(P35/O35)^2)</f>
        <v>1.058530586681609E-7</v>
      </c>
      <c r="AU35" s="138">
        <v>0.75</v>
      </c>
      <c r="AV35" s="138">
        <f t="shared" ref="AV35" si="166">AU35/2</f>
        <v>0.375</v>
      </c>
      <c r="AW35" s="138">
        <f t="shared" ref="AW35:AW43" si="167">marincorr_age(AN35,U35,AS35,AU35)</f>
        <v>598.75930000000005</v>
      </c>
      <c r="AX35" s="148">
        <f t="shared" ref="AX35:AX43" si="168">marincorr_age_error(AN35, AO35, U35, V35, AS35, AT35, AU35, AV35)</f>
        <v>276.64760331100001</v>
      </c>
      <c r="AY35" s="148">
        <f t="shared" ref="AY35:AY43" si="169">SQRT(((AU35*EXP(-0.0000091577*AW35*1000))/(0.0000091577*(EXP(-0.0000091577*AW35*1000)+(AJ35/1000)*EXP(-(0.0000091577-0.0000028263)*AW35*1000)-AS35*AU35*EXP(-0.0000091577*AW35*1000))))^2*AT35^2+((AS35*EXP(-0.0000091577*AW35*1000))/(0.0000091577*(EXP(-0.0000091577*AW35*1000)+(AJ35/1000)*EXP(-(0.0000091577-0.0000028263)*AW35*1000)-AS35*AU35*EXP(-0.0000091577*AW35*1000))))^2*AV35^2+((0.0000091577/(0.0000091577-0.0000028263))*(EXP(-(0.0000091577-0.0000028263)*AW35*1000)-1)/(0.0000091577*(EXP(-0.0000091577*AW35*1000)+(AJ35/1000)*EXP(-(0.0000091577-0.0000028263)*AW35*1000)-AS35*AU35*EXP(-0.0000091577*AW35*1000))))^2*T35^2+(1/(0.0000091577*(EXP(-0.0000091577*AW35*1000)+(AJ35/1000)*EXP(-(0.0000091577-0.0000028263)*AW35*1000)-AS35*AU35*EXP(-0.0000091577*AW35*1000))))^2*AO35^2)/1000</f>
        <v>120.79515659858406</v>
      </c>
      <c r="AZ35" s="149">
        <f t="shared" ref="AZ35:AZ43" si="170">AX35/AW35</f>
        <v>0.46203474970827174</v>
      </c>
      <c r="BA35" s="138" t="str">
        <f>Input!B35</f>
        <v>Hu1-13</v>
      </c>
      <c r="BB35" s="150">
        <f>Input!E35</f>
        <v>0</v>
      </c>
      <c r="BC35" s="138">
        <f>((U35-1)*EXP(Constants!$B$17*AW35*1000))*1000</f>
        <v>3.1142873556937296</v>
      </c>
      <c r="BD35" s="144">
        <f>SQRT((EXP(Constants!$B$17*AW35*1000)*V35)^2+((U35-1)*Constants!$B$17*EXP(Constants!$B$17*AW35*1000)*AY35*1000)^2)*1000</f>
        <v>6.5561957434879927</v>
      </c>
      <c r="BE35" s="138">
        <f t="shared" ref="BE35:BE43" si="171">AW35*1000-58</f>
        <v>598701.30000000005</v>
      </c>
      <c r="BF35" s="151">
        <f t="shared" ref="BF35:BF43" si="172">AY35/2*1000</f>
        <v>60397.578299292029</v>
      </c>
      <c r="BG35" s="160">
        <f t="shared" ref="BG35:BG43" si="173">AY35/AW35*100</f>
        <v>20.174243072063188</v>
      </c>
      <c r="BH35" s="138"/>
      <c r="BI35" s="18"/>
      <c r="BJ35" s="18"/>
      <c r="BK35" s="18"/>
      <c r="BL35" s="18"/>
      <c r="BM35" s="18"/>
      <c r="BN35" s="159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10913</v>
      </c>
      <c r="B36" s="18" t="str">
        <f>Input!B36</f>
        <v>GeoB20582-1_2_17-21</v>
      </c>
      <c r="C36" s="18">
        <f>Input!O36</f>
        <v>1.7640054536799306</v>
      </c>
      <c r="D36" s="18">
        <f>C36*Input!P36/100</f>
        <v>3.0540594766341371E-3</v>
      </c>
      <c r="E36" s="152">
        <f>Input!M36</f>
        <v>2.0449561814104098</v>
      </c>
      <c r="F36" s="153">
        <f>E36*Input!N36/100</f>
        <v>9.46801613327539E-5</v>
      </c>
      <c r="G36" s="21">
        <f>E36*137.88</f>
        <v>281.95855829286728</v>
      </c>
      <c r="H36" s="153">
        <f>G36*Input!L36/100</f>
        <v>1.6391242835892467E-2</v>
      </c>
      <c r="I36" s="18">
        <v>0.3</v>
      </c>
      <c r="J36" s="129">
        <f>(((C36*Constants!$B$24*0.000000001*Input!G36*(Constants!$B$4/Constants!$B$3))-(I36*0.000000000000001))/Input!F36)*1000000000000</f>
        <v>183.30385540347768</v>
      </c>
      <c r="K36" s="18">
        <f>J36*Input!P36/100</f>
        <v>0.31735779247774432</v>
      </c>
      <c r="L36" s="134">
        <f>(J36/Constants!$B$4)*602200000000*Constants!$B$17/(365.2425*24*60)</f>
        <v>2.5307132488358364</v>
      </c>
      <c r="M36" s="132">
        <f>L36*Input!P36/100</f>
        <v>4.3814766922217396E-3</v>
      </c>
      <c r="N36" s="18">
        <v>5.0000000000000001E-3</v>
      </c>
      <c r="O36" s="129">
        <f>(((G36*Constants!$B$23*0.000000001*Input!G36*(Constants!$B$7/Constants!$B$6))-(N36*0.000000001))/Input!F36)*1000000</f>
        <v>2.9514683711748964</v>
      </c>
      <c r="P36" s="18">
        <f>O36*Input!N36/100</f>
        <v>1.3665109506582457E-4</v>
      </c>
      <c r="Q36" s="130">
        <f>(O36/Constants!$B$7)*602200000000000000*Constants!$B$18/(365.2425*24*60)</f>
        <v>2.2021518196907879</v>
      </c>
      <c r="R36" s="131">
        <f>Q36*Input!N36/100</f>
        <v>1.019582186957857E-4</v>
      </c>
      <c r="S36" s="132">
        <f>Input!S36*Constants!$B$17/Constants!$B$18</f>
        <v>1.1447674908293581</v>
      </c>
      <c r="T36" s="18">
        <f>S36*Input!T36/100</f>
        <v>6.6386081297785903E-4</v>
      </c>
      <c r="U36" s="18">
        <f>S36*1/((U35+U37)/2)</f>
        <v>1.144686438933302</v>
      </c>
      <c r="V36" s="18">
        <f>U36*Input!T36/100</f>
        <v>6.6381381026504611E-4</v>
      </c>
      <c r="W36" s="133">
        <v>3.0000000000000001E-3</v>
      </c>
      <c r="X36" s="129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0.33054518849619285</v>
      </c>
      <c r="Y36" s="129">
        <f>X36*Input!X36/100</f>
        <v>6.3420728199211176E-4</v>
      </c>
      <c r="Z36" s="129">
        <f>(X36/Constants!$B$11)*6.022E+23*0.000000001*Constants!$B$19/(365.2425*24*60)</f>
        <v>8.069676661832694E-5</v>
      </c>
      <c r="AA36" s="129">
        <f>Z36*Input!X36/100</f>
        <v>1.5483050065074649E-7</v>
      </c>
      <c r="AB36" s="134">
        <v>0.05</v>
      </c>
      <c r="AC36" s="134">
        <v>0.9</v>
      </c>
      <c r="AD36" s="129">
        <f>(((Input!G36*Constants!$B$25*0.000000001*Input!U36*(Constants!$B$10/Constants!$B$9))-((AB36*0.000000000000001)+(Input!G36*AC36*0.000000000000001)))/Input!F36)*1000000000000</f>
        <v>2.5556277929574973</v>
      </c>
      <c r="AE36" s="129">
        <f>AD36*Input!V36/100</f>
        <v>9.0364832474147914E-3</v>
      </c>
      <c r="AF36" s="129">
        <f>(AD36/Constants!$B$10)*602200000000*Constants!$B$16/(365.2425*24*60)</f>
        <v>0.11665333895568725</v>
      </c>
      <c r="AG36" s="129">
        <f>AF36*Input!V36/100</f>
        <v>4.1247631839539891E-4</v>
      </c>
      <c r="AH36" s="18">
        <f>AF36/Z36</f>
        <v>1445.5763699607048</v>
      </c>
      <c r="AI36" s="133">
        <f>AH36*SQRT((AG36/AF36)^2+(AA36/Z36)^2)</f>
        <v>5.8154573999985626</v>
      </c>
      <c r="AJ36" s="132">
        <f t="shared" si="157"/>
        <v>144.68643893330201</v>
      </c>
      <c r="AK36" s="133">
        <f>V36*1000</f>
        <v>0.66381381026504616</v>
      </c>
      <c r="AL36" s="133">
        <f>AF36/Q36</f>
        <v>5.2972432650927291E-2</v>
      </c>
      <c r="AM36" s="133">
        <f>AL36*SQRT((R36/Q36)^2+(AG36/AF36)^2)</f>
        <v>1.8732208807723986E-4</v>
      </c>
      <c r="AN36" s="18">
        <f>AL36*1/((AN35+AN37)/2)</f>
        <v>5.3171585152214665E-2</v>
      </c>
      <c r="AO36" s="129">
        <f>AN36*SQRT((R36/Q36)^2+(AG36/AF36)^2)</f>
        <v>1.8802633480558608E-4</v>
      </c>
      <c r="AP36" s="18">
        <f>ThU_Alter_Kombi(AN36,U36)</f>
        <v>5.1818</v>
      </c>
      <c r="AQ36" s="18">
        <f t="shared" si="163"/>
        <v>1.77E-2</v>
      </c>
      <c r="AR36" s="154">
        <f>(AQ36/AP36)</f>
        <v>3.4158014589524876E-3</v>
      </c>
      <c r="AS36" s="131">
        <f t="shared" si="164"/>
        <v>3.664450647624189E-5</v>
      </c>
      <c r="AT36" s="131">
        <f t="shared" si="165"/>
        <v>7.0329198856970547E-8</v>
      </c>
      <c r="AU36" s="18">
        <v>8</v>
      </c>
      <c r="AV36" s="18">
        <f>AU36/2</f>
        <v>4</v>
      </c>
      <c r="AW36" s="18">
        <f t="shared" si="167"/>
        <v>5.1539000000000001</v>
      </c>
      <c r="AX36" s="135">
        <f t="shared" si="168"/>
        <v>2.3335358600000002E-2</v>
      </c>
      <c r="AY36" s="135">
        <f t="shared" si="169"/>
        <v>2.3597143157142984E-2</v>
      </c>
      <c r="AZ36" s="154">
        <f t="shared" si="170"/>
        <v>4.5277088418479213E-3</v>
      </c>
      <c r="BA36" s="18" t="str">
        <f>Input!B36</f>
        <v>GeoB20582-1_2_17-21</v>
      </c>
      <c r="BB36" s="136">
        <f>Input!E36</f>
        <v>19</v>
      </c>
      <c r="BC36" s="18">
        <f>((U36-1)*EXP(Constants!$B$17*AW36*1000))*1000</f>
        <v>146.80622586143107</v>
      </c>
      <c r="BD36" s="132">
        <f>SQRT((EXP(Constants!$B$17*AW36*1000)*V36)^2+((U36-1)*Constants!$B$17*EXP(Constants!$B$17*AW36*1000)*AY36*1000)^2)*1000</f>
        <v>0.67361022720187291</v>
      </c>
      <c r="BE36" s="18">
        <f t="shared" si="171"/>
        <v>5095.9000000000005</v>
      </c>
      <c r="BF36" s="137">
        <f t="shared" si="172"/>
        <v>11.798571578571492</v>
      </c>
      <c r="BG36" s="20">
        <f t="shared" si="173"/>
        <v>0.45785023297198207</v>
      </c>
      <c r="BH36" s="18"/>
      <c r="BI36" s="18"/>
      <c r="BJ36" s="18"/>
      <c r="BK36" s="18"/>
      <c r="BL36" s="18"/>
      <c r="BM36" s="18"/>
      <c r="BN36" s="159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8">
        <f>Input!A37</f>
        <v>10815</v>
      </c>
      <c r="B37" s="138" t="str">
        <f>Input!B37</f>
        <v>Hu1-13</v>
      </c>
      <c r="C37" s="138">
        <f>Input!O37</f>
        <v>2.0666096721628802</v>
      </c>
      <c r="D37" s="138">
        <f>C37*Input!P37/100</f>
        <v>1.0745139051776492E-2</v>
      </c>
      <c r="E37" s="139">
        <f>Input!M37</f>
        <v>2.7318546235066457</v>
      </c>
      <c r="F37" s="140">
        <f>E37*Input!N37/100</f>
        <v>2.1748275410071147E-4</v>
      </c>
      <c r="G37" s="141">
        <f t="shared" ref="G37" si="174">E37*137.88</f>
        <v>376.66811548909629</v>
      </c>
      <c r="H37" s="140">
        <f>G37*Input!L37/100</f>
        <v>2.2853156505200905E-2</v>
      </c>
      <c r="I37" s="138">
        <v>0</v>
      </c>
      <c r="J37" s="142">
        <f>(((C37*Constants!$B$24*0.000000001*Input!G37*(Constants!$B$4/Constants!$B$3))-(I37*0.000000000000001))/Input!F37)*1000000000000</f>
        <v>746.12367773574249</v>
      </c>
      <c r="K37" s="138">
        <f>J37*Input!P37/100</f>
        <v>3.8793985991088249</v>
      </c>
      <c r="L37" s="143">
        <f>(J37/Constants!$B$4)*602200000000*Constants!$B$17/(365.2425*24*60)</f>
        <v>10.301065803333559</v>
      </c>
      <c r="M37" s="144">
        <f>L37*Input!P37/100</f>
        <v>5.3559405014530992E-2</v>
      </c>
      <c r="N37" s="138">
        <v>0</v>
      </c>
      <c r="O37" s="142">
        <f>(((G37*Constants!$B$23*0.000000001*Input!G37*(Constants!$B$7/Constants!$B$6))-(N37*0.000000001))/Input!F37)*1000000</f>
        <v>13.699121719216944</v>
      </c>
      <c r="P37" s="138">
        <f>O37*Input!N37/100</f>
        <v>1.0905861148760088E-3</v>
      </c>
      <c r="Q37" s="145">
        <f>(O37/Constants!$B$7)*602200000000000000*Constants!$B$18/(365.2425*24*60)</f>
        <v>10.221199087466532</v>
      </c>
      <c r="R37" s="146">
        <f>Q37*Input!N37/100</f>
        <v>8.1370893920428E-4</v>
      </c>
      <c r="S37" s="144">
        <f>Input!S37*Constants!$B$17/Constants!$B$18</f>
        <v>0.99956681483404297</v>
      </c>
      <c r="T37" s="138">
        <f>S37*Input!T37/100</f>
        <v>1.267566250175634E-3</v>
      </c>
      <c r="U37" s="144">
        <f>S37</f>
        <v>0.99956681483404297</v>
      </c>
      <c r="V37" s="138">
        <f>U37*Input!T37/100</f>
        <v>1.267566250175634E-3</v>
      </c>
      <c r="W37" s="147">
        <v>0</v>
      </c>
      <c r="X37" s="142">
        <f>(((Constants!$B$25*0.000000001*Input!G37/Input!W37*(Constants!$B$11/Constants!$B$9))-(W37*0.000000001))/Input!F37)*1000000000</f>
        <v>0.90665134518507651</v>
      </c>
      <c r="Y37" s="142">
        <f>X37*Input!X37/100</f>
        <v>3.4527118140236564E-3</v>
      </c>
      <c r="Z37" s="142">
        <f>(X37/Constants!$B$11)*6.022E+23*0.000000001*Constants!$B$19/(365.2425*24*60)</f>
        <v>2.2134290424691812E-4</v>
      </c>
      <c r="AA37" s="142">
        <f>Z37*Input!X37/100</f>
        <v>8.4291857559383717E-7</v>
      </c>
      <c r="AB37" s="143">
        <v>0</v>
      </c>
      <c r="AC37" s="143">
        <v>0.9</v>
      </c>
      <c r="AD37" s="142">
        <f>(((Input!G37*Constants!$B$25*0.000000001*Input!U37*(Constants!$B$10/Constants!$B$9))-((AB37*0.000000000000001)+(Input!G37*AC37*0.000000000000001)))/Input!F37)*1000000000000</f>
        <v>222.9891139332625</v>
      </c>
      <c r="AE37" s="142">
        <f>AD37*Input!V37/100</f>
        <v>0.59906680293913606</v>
      </c>
      <c r="AF37" s="142">
        <f>(AD37/Constants!$B$10)*602200000000*Constants!$B$16/(365.2425*24*60)</f>
        <v>10.17848716576305</v>
      </c>
      <c r="AG37" s="142">
        <f>AF37*Input!V37/100</f>
        <v>2.73448046749745E-2</v>
      </c>
      <c r="AH37" s="138">
        <f t="shared" ref="AH37" si="175">AF37/Z37</f>
        <v>45985.152315560488</v>
      </c>
      <c r="AI37" s="147">
        <f t="shared" ref="AI37" si="176">AH37*SQRT((AG37/AF37)^2+(AA37/Z37)^2)</f>
        <v>214.31175585188092</v>
      </c>
      <c r="AJ37" s="144">
        <f t="shared" si="157"/>
        <v>-0.4331851659570285</v>
      </c>
      <c r="AK37" s="147">
        <f t="shared" ref="AK37" si="177">V37*1000</f>
        <v>1.267566250175634</v>
      </c>
      <c r="AL37" s="147">
        <f t="shared" ref="AL37" si="178">AF37/Q37</f>
        <v>0.99582124158447749</v>
      </c>
      <c r="AM37" s="147">
        <f t="shared" ref="AM37" si="179">AL37*SQRT((R37/Q37)^2+(AG37/AF37)^2)</f>
        <v>2.6764773628969521E-3</v>
      </c>
      <c r="AN37" s="138">
        <f>AF37/Q37</f>
        <v>0.99582124158447749</v>
      </c>
      <c r="AO37" s="142">
        <f t="shared" ref="AO37" si="180">AN37*SQRT((R37/Q37)^2+(AG37/AF37)^2)</f>
        <v>2.6764773628969521E-3</v>
      </c>
      <c r="AP37" s="138">
        <f t="shared" ref="AP37" si="181">ThU_Alter_Kombi(AN37,U37)</f>
        <v>614.62469999999996</v>
      </c>
      <c r="AQ37" s="138" t="e">
        <f t="shared" si="163"/>
        <v>#VALUE!</v>
      </c>
      <c r="AR37" s="138" t="e">
        <f>(AQ37/AP37)*100</f>
        <v>#VALUE!</v>
      </c>
      <c r="AS37" s="146">
        <f t="shared" si="164"/>
        <v>2.1655277658991483E-5</v>
      </c>
      <c r="AT37" s="146">
        <f t="shared" si="165"/>
        <v>8.2485697762392784E-8</v>
      </c>
      <c r="AU37" s="138">
        <v>0.75</v>
      </c>
      <c r="AV37" s="138">
        <f t="shared" ref="AV37" si="182">AU37/2</f>
        <v>0.375</v>
      </c>
      <c r="AW37" s="138">
        <f t="shared" si="167"/>
        <v>614.62289999999996</v>
      </c>
      <c r="AX37" s="148">
        <f t="shared" si="168"/>
        <v>245.60493961029999</v>
      </c>
      <c r="AY37" s="148">
        <f t="shared" si="169"/>
        <v>98.179045541135991</v>
      </c>
      <c r="AZ37" s="149">
        <f t="shared" si="170"/>
        <v>0.39960265003191392</v>
      </c>
      <c r="BA37" s="138" t="str">
        <f>Input!B37</f>
        <v>Hu1-13</v>
      </c>
      <c r="BB37" s="150">
        <f>Input!E37</f>
        <v>0</v>
      </c>
      <c r="BC37" s="138">
        <f>((U37-1)*EXP(Constants!$B$17*AW37*1000))*1000</f>
        <v>-2.4544745206385072</v>
      </c>
      <c r="BD37" s="144">
        <f>SQRT((EXP(Constants!$B$17*AW37*1000)*V37)^2+((U37-1)*Constants!$B$17*EXP(Constants!$B$17*AW37*1000)*AY37*1000)^2)*1000</f>
        <v>7.2142931163983732</v>
      </c>
      <c r="BE37" s="138">
        <f t="shared" si="171"/>
        <v>614564.89999999991</v>
      </c>
      <c r="BF37" s="151">
        <f t="shared" si="172"/>
        <v>49089.522770567994</v>
      </c>
      <c r="BG37" s="160">
        <f t="shared" si="173"/>
        <v>15.973867153523894</v>
      </c>
      <c r="BH37" s="138"/>
      <c r="BI37" s="18"/>
      <c r="BJ37" s="18"/>
      <c r="BK37" s="18"/>
      <c r="BL37" s="18"/>
      <c r="BM37" s="18"/>
      <c r="BN37" s="159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10914</v>
      </c>
      <c r="B38" s="18" t="str">
        <f>Input!B38</f>
        <v>GeoB20582-1_2_62-63</v>
      </c>
      <c r="C38" s="18">
        <f>Input!O38</f>
        <v>2.358562707903884</v>
      </c>
      <c r="D38" s="18">
        <f>C38*Input!P38/100</f>
        <v>8.0007529932146996E-3</v>
      </c>
      <c r="E38" s="152">
        <f>Input!M38</f>
        <v>2.7303910997318228</v>
      </c>
      <c r="F38" s="153">
        <f>E38*Input!N38/100</f>
        <v>1.558762123006769E-4</v>
      </c>
      <c r="G38" s="21">
        <f>E38*137.88</f>
        <v>376.46632483102371</v>
      </c>
      <c r="H38" s="153">
        <f>G38*Input!L38/100</f>
        <v>2.1155446097617818E-2</v>
      </c>
      <c r="I38" s="18">
        <v>0.3</v>
      </c>
      <c r="J38" s="129">
        <f>(((C38*Constants!$B$24*0.000000001*Input!G38*(Constants!$B$4/Constants!$B$3))-(I38*0.000000000000001))/Input!F38)*1000000000000</f>
        <v>225.94815053251918</v>
      </c>
      <c r="K38" s="18">
        <f>J38*Input!P38/100</f>
        <v>0.76646482013233297</v>
      </c>
      <c r="L38" s="134">
        <f>(J38/Constants!$B$4)*602200000000*Constants!$B$17/(365.2425*24*60)</f>
        <v>3.1194650916859641</v>
      </c>
      <c r="M38" s="132">
        <f>L38*Input!P38/100</f>
        <v>1.058189785919075E-2</v>
      </c>
      <c r="N38" s="18">
        <v>5.0000000000000001E-3</v>
      </c>
      <c r="O38" s="129">
        <f>(((G38*Constants!$B$23*0.000000001*Input!G38*(Constants!$B$7/Constants!$B$6))-(N38*0.000000001))/Input!F38)*1000000</f>
        <v>3.6330279988626386</v>
      </c>
      <c r="P38" s="18">
        <f>O38*Input!N38/100</f>
        <v>2.0740715266052469E-4</v>
      </c>
      <c r="Q38" s="130">
        <f>(O38/Constants!$B$7)*602200000000000000*Constants!$B$18/(365.2425*24*60)</f>
        <v>2.710677606041286</v>
      </c>
      <c r="R38" s="131">
        <f>Q38*Input!N38/100</f>
        <v>1.5475078205444003E-4</v>
      </c>
      <c r="S38" s="132">
        <f>Input!S38*Constants!$B$17/Constants!$B$18</f>
        <v>1.1443977880637199</v>
      </c>
      <c r="T38" s="18">
        <f>S38*Input!T38/100</f>
        <v>6.7510647858741554E-4</v>
      </c>
      <c r="U38" s="18">
        <f>S38*1/((U37+U39)/2)</f>
        <v>1.1448511943808128</v>
      </c>
      <c r="V38" s="18">
        <f>U38*Input!T38/100</f>
        <v>6.7537395336348966E-4</v>
      </c>
      <c r="W38" s="133">
        <v>3.0000000000000001E-3</v>
      </c>
      <c r="X38" s="129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0.20566864091740897</v>
      </c>
      <c r="Y38" s="129">
        <f>X38*Input!X38/100</f>
        <v>6.2923918657789069E-4</v>
      </c>
      <c r="Z38" s="129">
        <f>(X38/Constants!$B$11)*6.022E+23*0.000000001*Constants!$B$19/(365.2425*24*60)</f>
        <v>5.0210364254059622E-5</v>
      </c>
      <c r="AA38" s="129">
        <f>Z38*Input!X38/100</f>
        <v>1.5361762794791607E-7</v>
      </c>
      <c r="AB38" s="134">
        <v>0.05</v>
      </c>
      <c r="AC38" s="134">
        <v>0.9</v>
      </c>
      <c r="AD38" s="129">
        <f>(((Input!G38*Constants!$B$25*0.000000001*Input!U38*(Constants!$B$10/Constants!$B$9))-((AB38*0.000000000000001)+(Input!G38*AC38*0.000000000000001)))/Input!F38)*1000000000000</f>
        <v>3.5941444124449107</v>
      </c>
      <c r="AE38" s="129">
        <f>AD38*Input!V38/100</f>
        <v>1.3584999903803362E-2</v>
      </c>
      <c r="AF38" s="129">
        <f>(AD38/Constants!$B$10)*602200000000*Constants!$B$16/(365.2425*24*60)</f>
        <v>0.16405712426355601</v>
      </c>
      <c r="AG38" s="129">
        <f>AF38*Input!V38/100</f>
        <v>6.2009640169761137E-4</v>
      </c>
      <c r="AH38" s="18">
        <f>AF38/Z38</f>
        <v>3267.3956204229612</v>
      </c>
      <c r="AI38" s="133">
        <f>AH38*SQRT((AG38/AF38)^2+(AA38/Z38)^2)</f>
        <v>15.888750331976093</v>
      </c>
      <c r="AJ38" s="132">
        <f t="shared" si="157"/>
        <v>144.85119438081284</v>
      </c>
      <c r="AK38" s="133">
        <f>V38*1000</f>
        <v>0.67537395336348971</v>
      </c>
      <c r="AL38" s="133">
        <f>AF38/Q38</f>
        <v>6.0522551224063664E-2</v>
      </c>
      <c r="AM38" s="133">
        <f>AL38*SQRT((R38/Q38)^2+(AG38/AF38)^2)</f>
        <v>2.2878675334526912E-4</v>
      </c>
      <c r="AN38" s="18">
        <f>AL38*1/((AN37+AN39)/2)</f>
        <v>6.0772157991844829E-2</v>
      </c>
      <c r="AO38" s="129">
        <f>AN38*SQRT((R38/Q38)^2+(AG38/AF38)^2)</f>
        <v>2.2973031439579787E-4</v>
      </c>
      <c r="AP38" s="18">
        <f>ThU_Alter_Kombi(AN38,U38)</f>
        <v>5.9413</v>
      </c>
      <c r="AQ38" s="18">
        <f t="shared" si="163"/>
        <v>2.2700000000000001E-2</v>
      </c>
      <c r="AR38" s="154">
        <f>(AQ38/AP38)</f>
        <v>3.8207126386481075E-3</v>
      </c>
      <c r="AS38" s="131">
        <f t="shared" si="164"/>
        <v>1.8523178168497722E-5</v>
      </c>
      <c r="AT38" s="131">
        <f t="shared" si="165"/>
        <v>5.6681166817752934E-8</v>
      </c>
      <c r="AU38" s="18">
        <v>8</v>
      </c>
      <c r="AV38" s="18">
        <f>AU38/2</f>
        <v>4</v>
      </c>
      <c r="AW38" s="18">
        <f t="shared" si="167"/>
        <v>5.9272</v>
      </c>
      <c r="AX38" s="135">
        <f t="shared" si="168"/>
        <v>2.3971742599999998E-2</v>
      </c>
      <c r="AY38" s="135">
        <f t="shared" si="169"/>
        <v>2.4410301076127842E-2</v>
      </c>
      <c r="AZ38" s="154">
        <f t="shared" si="170"/>
        <v>4.0443620259144279E-3</v>
      </c>
      <c r="BA38" s="18" t="str">
        <f>Input!B38</f>
        <v>GeoB20582-1_2_62-63</v>
      </c>
      <c r="BB38" s="136">
        <f>Input!E38</f>
        <v>62.5</v>
      </c>
      <c r="BC38" s="18">
        <f>((U38-1)*EXP(Constants!$B$17*AW38*1000))*1000</f>
        <v>147.29448524777024</v>
      </c>
      <c r="BD38" s="132">
        <f>SQRT((EXP(Constants!$B$17*AW38*1000)*V38)^2+((U38-1)*Constants!$B$17*EXP(Constants!$B$17*AW38*1000)*AY38*1000)^2)*1000</f>
        <v>0.68684083879927205</v>
      </c>
      <c r="BE38" s="18">
        <f t="shared" si="171"/>
        <v>5869.2</v>
      </c>
      <c r="BF38" s="137">
        <f t="shared" si="172"/>
        <v>12.205150538063922</v>
      </c>
      <c r="BG38" s="20">
        <f t="shared" si="173"/>
        <v>0.41183528607315162</v>
      </c>
      <c r="BH38" s="18"/>
      <c r="BI38" s="18"/>
      <c r="BJ38" s="18"/>
      <c r="BK38" s="18"/>
      <c r="BL38" s="18"/>
      <c r="BM38" s="18"/>
      <c r="BN38" s="159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8">
        <f>Input!A39</f>
        <v>10815</v>
      </c>
      <c r="B39" s="138" t="str">
        <f>Input!B39</f>
        <v>Hu1-13</v>
      </c>
      <c r="C39" s="138">
        <f>Input!O39</f>
        <v>2.0793383948053887</v>
      </c>
      <c r="D39" s="138">
        <f>C39*Input!P39/100</f>
        <v>1.1058015619113825E-2</v>
      </c>
      <c r="E39" s="139">
        <f>Input!M39</f>
        <v>2.7323002933949065</v>
      </c>
      <c r="F39" s="140">
        <f>E39*Input!N39/100</f>
        <v>2.4720019343259003E-4</v>
      </c>
      <c r="G39" s="141">
        <f t="shared" ref="G39" si="183">E39*137.88</f>
        <v>376.7295644532897</v>
      </c>
      <c r="H39" s="140">
        <f>G39*Input!L39/100</f>
        <v>1.5449762547765762E-2</v>
      </c>
      <c r="I39" s="138">
        <v>0</v>
      </c>
      <c r="J39" s="142">
        <f>(((C39*Constants!$B$24*0.000000001*Input!G39*(Constants!$B$4/Constants!$B$3))-(I39*0.000000000000001))/Input!F39)*1000000000000</f>
        <v>750.71922448016812</v>
      </c>
      <c r="K39" s="138">
        <f>J39*Input!P39/100</f>
        <v>3.9923587861453762</v>
      </c>
      <c r="L39" s="143">
        <f>(J39/Constants!$B$4)*602200000000*Constants!$B$17/(365.2425*24*60)</f>
        <v>10.364512428644103</v>
      </c>
      <c r="M39" s="144">
        <f>L39*Input!P39/100</f>
        <v>5.5118945817942543E-2</v>
      </c>
      <c r="N39" s="138">
        <v>0</v>
      </c>
      <c r="O39" s="142">
        <f>(((G39*Constants!$B$23*0.000000001*Input!G39*(Constants!$B$7/Constants!$B$6))-(N39*0.000000001))/Input!F39)*1000000</f>
        <v>13.701356569488018</v>
      </c>
      <c r="P39" s="138">
        <f>O39*Input!N39/100</f>
        <v>1.239606789361347E-3</v>
      </c>
      <c r="Q39" s="145">
        <f>(O39/Constants!$B$7)*602200000000000000*Constants!$B$18/(365.2425*24*60)</f>
        <v>10.222866555645847</v>
      </c>
      <c r="R39" s="146">
        <f>Q39*Input!N39/100</f>
        <v>9.2489635787846441E-4</v>
      </c>
      <c r="S39" s="144">
        <f>Input!S39*Constants!$B$17/Constants!$B$18</f>
        <v>0.9996411061266578</v>
      </c>
      <c r="T39" s="138">
        <f>S39*Input!T39/100</f>
        <v>1.2771945161313357E-3</v>
      </c>
      <c r="U39" s="144">
        <f>S39</f>
        <v>0.9996411061266578</v>
      </c>
      <c r="V39" s="138">
        <f>U39*Input!T39/100</f>
        <v>1.2771945161313357E-3</v>
      </c>
      <c r="W39" s="147">
        <v>0</v>
      </c>
      <c r="X39" s="142">
        <f>(((Constants!$B$25*0.000000001*Input!G39/Input!W39*(Constants!$B$11/Constants!$B$9))-(W39*0.000000001))/Input!F39)*1000000000</f>
        <v>0.90774838004753911</v>
      </c>
      <c r="Y39" s="142">
        <f>X39*Input!X39/100</f>
        <v>2.797105370354895E-3</v>
      </c>
      <c r="Z39" s="142">
        <f>(X39/Constants!$B$11)*6.022E+23*0.000000001*Constants!$B$19/(365.2425*24*60)</f>
        <v>2.2161072592258996E-4</v>
      </c>
      <c r="AA39" s="142">
        <f>Z39*Input!X39/100</f>
        <v>6.8286384777008392E-7</v>
      </c>
      <c r="AB39" s="143">
        <v>0</v>
      </c>
      <c r="AC39" s="143">
        <v>0.9</v>
      </c>
      <c r="AD39" s="142">
        <f>(((Input!G39*Constants!$B$25*0.000000001*Input!U39*(Constants!$B$10/Constants!$B$9))-((AB39*0.000000000000001)+(Input!G39*AC39*0.000000000000001)))/Input!F39)*1000000000000</f>
        <v>223.05751985280304</v>
      </c>
      <c r="AE39" s="142">
        <f>AD39*Input!V39/100</f>
        <v>0.56152224028396236</v>
      </c>
      <c r="AF39" s="142">
        <f>(AD39/Constants!$B$10)*602200000000*Constants!$B$16/(365.2425*24*60)</f>
        <v>10.181609599687397</v>
      </c>
      <c r="AG39" s="142">
        <f>AF39*Input!V39/100</f>
        <v>2.5631058015376386E-2</v>
      </c>
      <c r="AH39" s="138">
        <f t="shared" ref="AH39" si="184">AF39/Z39</f>
        <v>45943.667921758883</v>
      </c>
      <c r="AI39" s="147">
        <f t="shared" ref="AI39" si="185">AH39*SQRT((AG39/AF39)^2+(AA39/Z39)^2)</f>
        <v>182.80765175949335</v>
      </c>
      <c r="AJ39" s="144">
        <f t="shared" si="157"/>
        <v>-0.35889387334220313</v>
      </c>
      <c r="AK39" s="147">
        <f t="shared" ref="AK39" si="186">V39*1000</f>
        <v>1.2771945161313358</v>
      </c>
      <c r="AL39" s="147">
        <f t="shared" ref="AL39" si="187">AF39/Q39</f>
        <v>0.99596424782287063</v>
      </c>
      <c r="AM39" s="147">
        <f t="shared" ref="AM39" si="188">AL39*SQRT((R39/Q39)^2+(AG39/AF39)^2)</f>
        <v>2.5088467651444286E-3</v>
      </c>
      <c r="AN39" s="138">
        <f>AF39/Q39</f>
        <v>0.99596424782287063</v>
      </c>
      <c r="AO39" s="142">
        <f t="shared" ref="AO39" si="189">AN39*SQRT((R39/Q39)^2+(AG39/AF39)^2)</f>
        <v>2.5088467651444286E-3</v>
      </c>
      <c r="AP39" s="138">
        <f t="shared" ref="AP39" si="190">ThU_Alter_Kombi(AN39,U39)</f>
        <v>615.78909999999996</v>
      </c>
      <c r="AQ39" s="138" t="e">
        <f t="shared" si="163"/>
        <v>#VALUE!</v>
      </c>
      <c r="AR39" s="138" t="e">
        <f>(AQ39/AP39)*100</f>
        <v>#VALUE!</v>
      </c>
      <c r="AS39" s="146">
        <f t="shared" si="164"/>
        <v>2.1677943727065437E-5</v>
      </c>
      <c r="AT39" s="146">
        <f t="shared" si="165"/>
        <v>6.6826474421451121E-8</v>
      </c>
      <c r="AU39" s="138">
        <v>0.75</v>
      </c>
      <c r="AV39" s="138">
        <f t="shared" ref="AV39" si="191">AU39/2</f>
        <v>0.375</v>
      </c>
      <c r="AW39" s="138">
        <f t="shared" si="167"/>
        <v>615.78729999999996</v>
      </c>
      <c r="AX39" s="148">
        <f t="shared" si="168"/>
        <v>224.63962610639999</v>
      </c>
      <c r="AY39" s="148">
        <f t="shared" si="169"/>
        <v>95.200123418727912</v>
      </c>
      <c r="AZ39" s="149">
        <f t="shared" si="170"/>
        <v>0.36480068053758175</v>
      </c>
      <c r="BA39" s="138" t="str">
        <f>Input!B39</f>
        <v>Hu1-13</v>
      </c>
      <c r="BB39" s="150">
        <f>Input!E39</f>
        <v>0</v>
      </c>
      <c r="BC39" s="138">
        <f>((U39-1)*EXP(Constants!$B$17*AW39*1000))*1000</f>
        <v>-2.0402251230616493</v>
      </c>
      <c r="BD39" s="144">
        <f>SQRT((EXP(Constants!$B$17*AW39*1000)*V39)^2+((U39-1)*Constants!$B$17*EXP(Constants!$B$17*AW39*1000)*AY39*1000)^2)*1000</f>
        <v>7.2812036295482283</v>
      </c>
      <c r="BE39" s="138">
        <f t="shared" si="171"/>
        <v>615729.29999999993</v>
      </c>
      <c r="BF39" s="151">
        <f t="shared" si="172"/>
        <v>47600.061709363959</v>
      </c>
      <c r="BG39" s="160">
        <f t="shared" si="173"/>
        <v>15.459903674325195</v>
      </c>
      <c r="BH39" s="138"/>
      <c r="BI39" s="18"/>
      <c r="BJ39" s="18"/>
      <c r="BK39" s="18"/>
      <c r="BL39" s="18"/>
      <c r="BM39" s="18"/>
      <c r="BN39" s="159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10915</v>
      </c>
      <c r="B40" s="18" t="str">
        <f>Input!B40</f>
        <v>GeoB20582-1_2_83-86</v>
      </c>
      <c r="C40" s="18">
        <f>Input!O40</f>
        <v>1.919902515491597</v>
      </c>
      <c r="D40" s="18">
        <f>C40*Input!P40/100</f>
        <v>3.9663926155819812E-3</v>
      </c>
      <c r="E40" s="152">
        <f>Input!M40</f>
        <v>2.218210513584252</v>
      </c>
      <c r="F40" s="153">
        <f>E40*Input!N40/100</f>
        <v>8.8311705882533633E-5</v>
      </c>
      <c r="G40" s="21">
        <f>E40*137.88</f>
        <v>305.84686561299668</v>
      </c>
      <c r="H40" s="153">
        <f>G40*Input!L40/100</f>
        <v>1.0988985404459377E-2</v>
      </c>
      <c r="I40" s="18">
        <v>0.3</v>
      </c>
      <c r="J40" s="129">
        <f>(((C40*Constants!$B$24*0.000000001*Input!G40*(Constants!$B$4/Constants!$B$3))-(I40*0.000000000000001))/Input!F40)*1000000000000</f>
        <v>203.98426693012138</v>
      </c>
      <c r="K40" s="18">
        <f>J40*Input!P40/100</f>
        <v>0.42141811030408971</v>
      </c>
      <c r="L40" s="134">
        <f>(J40/Constants!$B$4)*602200000000*Constants!$B$17/(365.2425*24*60)</f>
        <v>2.8162292917289617</v>
      </c>
      <c r="M40" s="132">
        <f>L40*Input!P40/100</f>
        <v>5.8181449195295444E-3</v>
      </c>
      <c r="N40" s="18">
        <v>5.0000000000000001E-3</v>
      </c>
      <c r="O40" s="129">
        <f>(((G40*Constants!$B$23*0.000000001*Input!G40*(Constants!$B$7/Constants!$B$6))-(N40*0.000000001))/Input!F40)*1000000</f>
        <v>3.2734272863394054</v>
      </c>
      <c r="P40" s="18">
        <f>O40*Input!N40/100</f>
        <v>1.3032214299262264E-4</v>
      </c>
      <c r="Q40" s="130">
        <f>(O40/Constants!$B$7)*602200000000000000*Constants!$B$18/(365.2425*24*60)</f>
        <v>2.4423720496683705</v>
      </c>
      <c r="R40" s="131">
        <f>Q40*Input!N40/100</f>
        <v>9.7236056174630352E-5</v>
      </c>
      <c r="S40" s="132">
        <f>Input!S40*Constants!$B$17/Constants!$B$18</f>
        <v>1.144591300971773</v>
      </c>
      <c r="T40" s="18">
        <f>S40*Input!T40/100</f>
        <v>6.4824808844591295E-4</v>
      </c>
      <c r="U40" s="18">
        <f>S40*1/((U39+U41)/2)</f>
        <v>1.1445604137145702</v>
      </c>
      <c r="V40" s="18">
        <f>U40*Input!T40/100</f>
        <v>6.482305952101859E-4</v>
      </c>
      <c r="W40" s="133">
        <v>3.0000000000000001E-3</v>
      </c>
      <c r="X40" s="129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0.10157726791933541</v>
      </c>
      <c r="Y40" s="129">
        <f>X40*Input!X40/100</f>
        <v>3.6832804354381944E-4</v>
      </c>
      <c r="Z40" s="129">
        <f>(X40/Constants!$B$11)*6.022E+23*0.000000001*Constants!$B$19/(365.2425*24*60)</f>
        <v>2.4798294963256709E-5</v>
      </c>
      <c r="AA40" s="129">
        <f>Z40*Input!X40/100</f>
        <v>8.9920783007201165E-8</v>
      </c>
      <c r="AB40" s="134">
        <v>0.05</v>
      </c>
      <c r="AC40" s="134">
        <v>0.9</v>
      </c>
      <c r="AD40" s="129">
        <f>(((Input!G40*Constants!$B$25*0.000000001*Input!U40*(Constants!$B$10/Constants!$B$9))-((AB40*0.000000000000001)+(Input!G40*AC40*0.000000000000001)))/Input!F40)*1000000000000</f>
        <v>3.4188757045017413</v>
      </c>
      <c r="AE40" s="129">
        <f>AD40*Input!V40/100</f>
        <v>1.0862634976427468E-2</v>
      </c>
      <c r="AF40" s="129">
        <f>(AD40/Constants!$B$10)*602200000000*Constants!$B$16/(365.2425*24*60)</f>
        <v>0.15605686692860227</v>
      </c>
      <c r="AG40" s="129">
        <f>AF40*Input!V40/100</f>
        <v>4.958322347835616E-4</v>
      </c>
      <c r="AH40" s="18">
        <f>AF40/Z40</f>
        <v>6293.0482583512121</v>
      </c>
      <c r="AI40" s="133">
        <f>AH40*SQRT((AG40/AF40)^2+(AA40/Z40)^2)</f>
        <v>30.3397048679048</v>
      </c>
      <c r="AJ40" s="132">
        <f t="shared" si="157"/>
        <v>144.56041371457019</v>
      </c>
      <c r="AK40" s="133">
        <f>V40*1000</f>
        <v>0.64823059521018589</v>
      </c>
      <c r="AL40" s="133">
        <f>AF40/Q40</f>
        <v>6.3895616128505861E-2</v>
      </c>
      <c r="AM40" s="133">
        <f>AL40*SQRT((R40/Q40)^2+(AG40/AF40)^2)</f>
        <v>2.03028510185332E-4</v>
      </c>
      <c r="AN40" s="18">
        <f>AL40*1/((AN39+AN41)/2)</f>
        <v>6.4094301163011749E-2</v>
      </c>
      <c r="AO40" s="129">
        <f>AN40*SQRT((R40/Q40)^2+(AG40/AF40)^2)</f>
        <v>2.036598324730884E-4</v>
      </c>
      <c r="AP40" s="18">
        <f>ThU_Alter_Kombi(AN40,U40)</f>
        <v>6.2769000000000004</v>
      </c>
      <c r="AQ40" s="18">
        <f t="shared" si="163"/>
        <v>1.8499999999999999E-2</v>
      </c>
      <c r="AR40" s="154">
        <f>(AQ40/AP40)</f>
        <v>2.9473147572846464E-3</v>
      </c>
      <c r="AS40" s="131">
        <f t="shared" si="164"/>
        <v>1.0153365031598631E-5</v>
      </c>
      <c r="AT40" s="131">
        <f t="shared" si="165"/>
        <v>3.6819207242711246E-8</v>
      </c>
      <c r="AU40" s="18">
        <v>8</v>
      </c>
      <c r="AV40" s="18">
        <f>AU40/2</f>
        <v>4</v>
      </c>
      <c r="AW40" s="18">
        <f t="shared" si="167"/>
        <v>6.2691999999999997</v>
      </c>
      <c r="AX40" s="135">
        <f t="shared" si="168"/>
        <v>1.9988334999999999E-2</v>
      </c>
      <c r="AY40" s="135">
        <f t="shared" si="169"/>
        <v>2.1215828962480018E-2</v>
      </c>
      <c r="AZ40" s="154">
        <f t="shared" si="170"/>
        <v>3.1883390225228101E-3</v>
      </c>
      <c r="BA40" s="18" t="str">
        <f>Input!B40</f>
        <v>GeoB20582-1_2_83-86</v>
      </c>
      <c r="BB40" s="136">
        <f>Input!E40</f>
        <v>84.5</v>
      </c>
      <c r="BC40" s="18">
        <f>((U40-1)*EXP(Constants!$B$17*AW40*1000))*1000</f>
        <v>147.14074338494635</v>
      </c>
      <c r="BD40" s="132">
        <f>SQRT((EXP(Constants!$B$17*AW40*1000)*V40)^2+((U40-1)*Constants!$B$17*EXP(Constants!$B$17*AW40*1000)*AY40*1000)^2)*1000</f>
        <v>0.65985999143415475</v>
      </c>
      <c r="BE40" s="18">
        <f t="shared" si="171"/>
        <v>6211.2</v>
      </c>
      <c r="BF40" s="137">
        <f t="shared" si="172"/>
        <v>10.607914481240009</v>
      </c>
      <c r="BG40" s="20">
        <f t="shared" si="173"/>
        <v>0.33841365664646239</v>
      </c>
      <c r="BH40" s="18"/>
      <c r="BI40" s="18"/>
      <c r="BJ40" s="18"/>
      <c r="BK40" s="18"/>
      <c r="BL40" s="18"/>
      <c r="BM40" s="18"/>
      <c r="BN40" s="159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8">
        <f>Input!A41</f>
        <v>10815</v>
      </c>
      <c r="B41" s="138" t="str">
        <f>Input!B41</f>
        <v>Hu1-13</v>
      </c>
      <c r="C41" s="138">
        <f>Input!O41</f>
        <v>2.0703643181941107</v>
      </c>
      <c r="D41" s="138">
        <f>C41*Input!P41/100</f>
        <v>1.0107569451289664E-2</v>
      </c>
      <c r="E41" s="139">
        <f>Input!M41</f>
        <v>2.7322648709715209</v>
      </c>
      <c r="F41" s="140">
        <f>E41*Input!N41/100</f>
        <v>2.472139695823637E-4</v>
      </c>
      <c r="G41" s="141">
        <f t="shared" ref="G41" si="192">E41*137.88</f>
        <v>376.72468040955329</v>
      </c>
      <c r="H41" s="140">
        <f>G41*Input!L41/100</f>
        <v>2.1163598044904388E-2</v>
      </c>
      <c r="I41" s="138">
        <v>0</v>
      </c>
      <c r="J41" s="142">
        <f>(((C41*Constants!$B$24*0.000000001*Input!G41*(Constants!$B$4/Constants!$B$3))-(I41*0.000000000000001))/Input!F41)*1000000000000</f>
        <v>747.47924591252627</v>
      </c>
      <c r="K41" s="138">
        <f>J41*Input!P41/100</f>
        <v>3.6492120372556252</v>
      </c>
      <c r="L41" s="143">
        <f>(J41/Constants!$B$4)*602200000000*Constants!$B$17/(365.2425*24*60)</f>
        <v>10.319780927121522</v>
      </c>
      <c r="M41" s="144">
        <f>L41*Input!P41/100</f>
        <v>5.0381423948592047E-2</v>
      </c>
      <c r="N41" s="138">
        <v>0</v>
      </c>
      <c r="O41" s="142">
        <f>(((G41*Constants!$B$23*0.000000001*Input!G41*(Constants!$B$7/Constants!$B$6))-(N41*0.000000001))/Input!F41)*1000000</f>
        <v>13.70117894067667</v>
      </c>
      <c r="P41" s="138">
        <f>O41*Input!N41/100</f>
        <v>1.2396758710580622E-3</v>
      </c>
      <c r="Q41" s="145">
        <f>(O41/Constants!$B$7)*602200000000000000*Constants!$B$18/(365.2425*24*60)</f>
        <v>10.222734023102397</v>
      </c>
      <c r="R41" s="146">
        <f>Q41*Input!N41/100</f>
        <v>9.249479011664137E-4</v>
      </c>
      <c r="S41" s="144">
        <f>Input!S41*Constants!$B$17/Constants!$B$18</f>
        <v>1.0004128661352389</v>
      </c>
      <c r="T41" s="138">
        <f>S41*Input!T41/100</f>
        <v>1.2544549337094718E-3</v>
      </c>
      <c r="U41" s="144">
        <f>S41</f>
        <v>1.0004128661352389</v>
      </c>
      <c r="V41" s="138">
        <f>U41*Input!T41/100</f>
        <v>1.2544549337094718E-3</v>
      </c>
      <c r="W41" s="147">
        <v>0</v>
      </c>
      <c r="X41" s="142">
        <f>(((Constants!$B$25*0.000000001*Input!G41/Input!W41*(Constants!$B$11/Constants!$B$9))-(W41*0.000000001))/Input!F41)*1000000000</f>
        <v>0.90346338532373882</v>
      </c>
      <c r="Y41" s="142">
        <f>X41*Input!X41/100</f>
        <v>2.8342690585403825E-3</v>
      </c>
      <c r="Z41" s="142">
        <f>(X41/Constants!$B$11)*6.022E+23*0.000000001*Constants!$B$19/(365.2425*24*60)</f>
        <v>2.2056462018206954E-4</v>
      </c>
      <c r="AA41" s="142">
        <f>Z41*Input!X41/100</f>
        <v>6.9193670551103123E-7</v>
      </c>
      <c r="AB41" s="143">
        <v>0</v>
      </c>
      <c r="AC41" s="143">
        <v>0.9</v>
      </c>
      <c r="AD41" s="142">
        <f>(((Input!G41*Constants!$B$25*0.000000001*Input!U41*(Constants!$B$10/Constants!$B$9))-((AB41*0.000000000000001)+(Input!G41*AC41*0.000000000000001)))/Input!F41)*1000000000000</f>
        <v>223.47381832194137</v>
      </c>
      <c r="AE41" s="142">
        <f>AD41*Input!V41/100</f>
        <v>0.58989735009197541</v>
      </c>
      <c r="AF41" s="142">
        <f>(AD41/Constants!$B$10)*602200000000*Constants!$B$16/(365.2425*24*60)</f>
        <v>10.200611821591911</v>
      </c>
      <c r="AG41" s="142">
        <f>AF41*Input!V41/100</f>
        <v>2.6926258870313254E-2</v>
      </c>
      <c r="AH41" s="138">
        <f t="shared" ref="AH41" si="193">AF41/Z41</f>
        <v>46247.7246494547</v>
      </c>
      <c r="AI41" s="147">
        <f t="shared" ref="AI41" si="194">AH41*SQRT((AG41/AF41)^2+(AA41/Z41)^2)</f>
        <v>189.61204425593328</v>
      </c>
      <c r="AJ41" s="144">
        <f t="shared" si="157"/>
        <v>0.41286613523894289</v>
      </c>
      <c r="AK41" s="147">
        <f t="shared" ref="AK41" si="195">V41*1000</f>
        <v>1.2544549337094719</v>
      </c>
      <c r="AL41" s="147">
        <f t="shared" ref="AL41" si="196">AF41/Q41</f>
        <v>0.99783597993839102</v>
      </c>
      <c r="AM41" s="147">
        <f t="shared" ref="AM41" si="197">AL41*SQRT((R41/Q41)^2+(AG41/AF41)^2)</f>
        <v>2.6355055305248192E-3</v>
      </c>
      <c r="AN41" s="138">
        <f>AF41/Q41</f>
        <v>0.99783597993839102</v>
      </c>
      <c r="AO41" s="142">
        <f t="shared" ref="AO41" si="198">AN41*SQRT((R41/Q41)^2+(AG41/AF41)^2)</f>
        <v>2.6355055305248192E-3</v>
      </c>
      <c r="AP41" s="138">
        <f t="shared" ref="AP41" si="199">ThU_Alter_Kombi(AN41,U41)</f>
        <v>642.93719999999996</v>
      </c>
      <c r="AQ41" s="138" t="e">
        <f t="shared" si="163"/>
        <v>#VALUE!</v>
      </c>
      <c r="AR41" s="138" t="e">
        <f>(AQ41/AP41)*100</f>
        <v>#VALUE!</v>
      </c>
      <c r="AS41" s="146">
        <f t="shared" si="164"/>
        <v>2.1575893462904805E-5</v>
      </c>
      <c r="AT41" s="146">
        <f t="shared" si="165"/>
        <v>6.7714217562545761E-8</v>
      </c>
      <c r="AU41" s="138">
        <v>0.75</v>
      </c>
      <c r="AV41" s="138">
        <f t="shared" ref="AV41" si="200">AU41/2</f>
        <v>0.375</v>
      </c>
      <c r="AW41" s="138">
        <f t="shared" si="167"/>
        <v>642.93539999999996</v>
      </c>
      <c r="AX41" s="148">
        <f t="shared" si="168"/>
        <v>282.52734767520002</v>
      </c>
      <c r="AY41" s="148">
        <f t="shared" si="169"/>
        <v>124.99562810835289</v>
      </c>
      <c r="AZ41" s="149">
        <f t="shared" si="170"/>
        <v>0.43943349156882644</v>
      </c>
      <c r="BA41" s="138" t="str">
        <f>Input!B41</f>
        <v>Hu1-13</v>
      </c>
      <c r="BB41" s="150">
        <f>Input!E41</f>
        <v>0</v>
      </c>
      <c r="BC41" s="138">
        <f>((U41-1)*EXP(Constants!$B$17*AW41*1000))*1000</f>
        <v>2.5339273429310154</v>
      </c>
      <c r="BD41" s="144">
        <f>SQRT((EXP(Constants!$B$17*AW41*1000)*V41)^2+((U41-1)*Constants!$B$17*EXP(Constants!$B$17*AW41*1000)*AY41*1000)^2)*1000</f>
        <v>7.7508111699887214</v>
      </c>
      <c r="BE41" s="138">
        <f t="shared" si="171"/>
        <v>642877.39999999991</v>
      </c>
      <c r="BF41" s="151">
        <f t="shared" si="172"/>
        <v>62497.814054176444</v>
      </c>
      <c r="BG41" s="160">
        <f t="shared" si="173"/>
        <v>19.441397706263007</v>
      </c>
      <c r="BH41" s="138"/>
      <c r="BI41" s="18"/>
      <c r="BJ41" s="18"/>
      <c r="BK41" s="18"/>
      <c r="BL41" s="18"/>
      <c r="BM41" s="18"/>
      <c r="BN41" s="159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10916</v>
      </c>
      <c r="B42" s="18" t="str">
        <f>Input!B42</f>
        <v>GeoB20582-1_3_124-125</v>
      </c>
      <c r="C42" s="18">
        <f>Input!O42</f>
        <v>2.0751439932817144</v>
      </c>
      <c r="D42" s="18">
        <f>C42*Input!P42/100</f>
        <v>3.4830247436726386E-3</v>
      </c>
      <c r="E42" s="152">
        <f>Input!M42</f>
        <v>2.4000561595628578</v>
      </c>
      <c r="F42" s="153">
        <f>E42*Input!N42/100</f>
        <v>8.2872812574041245E-5</v>
      </c>
      <c r="G42" s="21">
        <f>E42*137.88</f>
        <v>330.9197432805268</v>
      </c>
      <c r="H42" s="153">
        <f>G42*Input!L42/100</f>
        <v>1.6428104687222788E-2</v>
      </c>
      <c r="I42" s="18">
        <v>0.3</v>
      </c>
      <c r="J42" s="129">
        <f>(((C42*Constants!$B$24*0.000000001*Input!G42*(Constants!$B$4/Constants!$B$3))-(I42*0.000000000000001))/Input!F42)*1000000000000</f>
        <v>219.32168277241419</v>
      </c>
      <c r="K42" s="18">
        <f>J42*Input!P42/100</f>
        <v>0.36812040532771589</v>
      </c>
      <c r="L42" s="134">
        <f>(J42/Constants!$B$4)*602200000000*Constants!$B$17/(365.2425*24*60)</f>
        <v>3.0279793467922262</v>
      </c>
      <c r="M42" s="132">
        <f>L42*Input!P42/100</f>
        <v>5.0823109250979466E-3</v>
      </c>
      <c r="N42" s="18">
        <v>5.0000000000000001E-3</v>
      </c>
      <c r="O42" s="129">
        <f>(((G42*Constants!$B$23*0.000000001*Input!G42*(Constants!$B$7/Constants!$B$6))-(N42*0.000000001))/Input!F42)*1000000</f>
        <v>3.5231993395208079</v>
      </c>
      <c r="P42" s="18">
        <f>O42*Input!N42/100</f>
        <v>1.2165441936086783E-4</v>
      </c>
      <c r="Q42" s="130">
        <f>(O42/Constants!$B$7)*602200000000000000*Constants!$B$18/(365.2425*24*60)</f>
        <v>2.6287321634318044</v>
      </c>
      <c r="R42" s="131">
        <f>Q42*Input!N42/100</f>
        <v>9.0768887644327787E-5</v>
      </c>
      <c r="S42" s="132">
        <f>Input!S42*Constants!$B$17/Constants!$B$18</f>
        <v>1.1452887675451369</v>
      </c>
      <c r="T42" s="18">
        <f>S42*Input!T42/100</f>
        <v>5.1760516596189774E-4</v>
      </c>
      <c r="U42" s="18">
        <f>S42*1/((U41+U43)/2)</f>
        <v>1.1450197462627887</v>
      </c>
      <c r="V42" s="18">
        <f>U42*Input!T42/100</f>
        <v>5.174835836942261E-4</v>
      </c>
      <c r="W42" s="133">
        <v>3.0000000000000001E-3</v>
      </c>
      <c r="X42" s="129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0.85364705447840628</v>
      </c>
      <c r="Y42" s="129">
        <f>X42*Input!X42/100</f>
        <v>1.6837529909736102E-3</v>
      </c>
      <c r="Z42" s="129">
        <f>(X42/Constants!$B$11)*6.022E+23*0.000000001*Constants!$B$19/(365.2425*24*60)</f>
        <v>2.0840284332397595E-4</v>
      </c>
      <c r="AA42" s="129">
        <f>Z42*Input!X42/100</f>
        <v>4.1105853869378687E-7</v>
      </c>
      <c r="AB42" s="134">
        <v>0.05</v>
      </c>
      <c r="AC42" s="134">
        <v>0.9</v>
      </c>
      <c r="AD42" s="129">
        <f>(((Input!G42*Constants!$B$25*0.000000001*Input!U42*(Constants!$B$10/Constants!$B$9))-((AB42*0.000000000000001)+(Input!G42*AC42*0.000000000000001)))/Input!F42)*1000000000000</f>
        <v>3.7295735374947707</v>
      </c>
      <c r="AE42" s="129">
        <f>AD42*Input!V42/100</f>
        <v>1.27265200889772E-2</v>
      </c>
      <c r="AF42" s="129">
        <f>(AD42/Constants!$B$10)*602200000000*Constants!$B$16/(365.2425*24*60)</f>
        <v>0.17023887720600267</v>
      </c>
      <c r="AG42" s="129">
        <f>AF42*Input!V42/100</f>
        <v>5.8091051668669594E-4</v>
      </c>
      <c r="AH42" s="18">
        <f>AF42/Z42</f>
        <v>816.87406222838865</v>
      </c>
      <c r="AI42" s="133">
        <f>AH42*SQRT((AG42/AF42)^2+(AA42/Z42)^2)</f>
        <v>3.2196052130907633</v>
      </c>
      <c r="AJ42" s="132">
        <f t="shared" si="157"/>
        <v>145.01974626278869</v>
      </c>
      <c r="AK42" s="133">
        <f>V42*1000</f>
        <v>0.51748358369422609</v>
      </c>
      <c r="AL42" s="133">
        <f>AF42/Q42</f>
        <v>6.4760830172883102E-2</v>
      </c>
      <c r="AM42" s="133">
        <f>AL42*SQRT((R42/Q42)^2+(AG42/AF42)^2)</f>
        <v>2.2099636672137112E-4</v>
      </c>
      <c r="AN42" s="18">
        <f>AL42*1/((AN41+AN43)/2)</f>
        <v>6.4829317452443247E-2</v>
      </c>
      <c r="AO42" s="129">
        <f>AN42*SQRT((R42/Q42)^2+(AG42/AF42)^2)</f>
        <v>2.2123007959856891E-4</v>
      </c>
      <c r="AP42" s="18">
        <f>ThU_Alter_Kombi(AN42,U42)</f>
        <v>6.3483000000000001</v>
      </c>
      <c r="AQ42" s="18">
        <f t="shared" si="163"/>
        <v>2.4E-2</v>
      </c>
      <c r="AR42" s="154">
        <f>(AQ42/AP42)</f>
        <v>3.7805396720381836E-3</v>
      </c>
      <c r="AS42" s="131">
        <f t="shared" si="164"/>
        <v>7.9278842562608762E-5</v>
      </c>
      <c r="AT42" s="131">
        <f t="shared" si="165"/>
        <v>1.563953631994012E-7</v>
      </c>
      <c r="AU42" s="18">
        <v>8</v>
      </c>
      <c r="AV42" s="18">
        <f>AU42/2</f>
        <v>4</v>
      </c>
      <c r="AW42" s="18">
        <f t="shared" si="167"/>
        <v>6.2880000000000003</v>
      </c>
      <c r="AX42" s="135">
        <f t="shared" si="168"/>
        <v>3.6130318000000002E-2</v>
      </c>
      <c r="AY42" s="135">
        <f t="shared" si="169"/>
        <v>3.765540917677003E-2</v>
      </c>
      <c r="AZ42" s="154">
        <f t="shared" si="170"/>
        <v>5.7459157124681937E-3</v>
      </c>
      <c r="BA42" s="18" t="str">
        <f>Input!B42</f>
        <v>GeoB20582-1_3_124-125</v>
      </c>
      <c r="BB42" s="136">
        <f>Input!E42</f>
        <v>124.5</v>
      </c>
      <c r="BC42" s="18">
        <f>((U42-1)*EXP(Constants!$B$17*AW42*1000))*1000</f>
        <v>147.61610630954425</v>
      </c>
      <c r="BD42" s="132">
        <f>SQRT((EXP(Constants!$B$17*AW42*1000)*V42)^2+((U42-1)*Constants!$B$17*EXP(Constants!$B$17*AW42*1000)*AY42*1000)^2)*1000</f>
        <v>0.52698186818378634</v>
      </c>
      <c r="BE42" s="18">
        <f t="shared" si="171"/>
        <v>6230</v>
      </c>
      <c r="BF42" s="137">
        <f t="shared" si="172"/>
        <v>18.827704588385014</v>
      </c>
      <c r="BG42" s="20">
        <f t="shared" si="173"/>
        <v>0.59884556578832737</v>
      </c>
      <c r="BH42" s="18"/>
      <c r="BI42" s="18"/>
      <c r="BJ42" s="18"/>
      <c r="BK42" s="18"/>
      <c r="BL42" s="18"/>
      <c r="BM42" s="18"/>
      <c r="BN42" s="159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8">
        <f>Input!A43</f>
        <v>10815</v>
      </c>
      <c r="B43" s="138" t="str">
        <f>Input!B43</f>
        <v>Hu1-13</v>
      </c>
      <c r="C43" s="138">
        <f>Input!O43</f>
        <v>2.0782289946360062</v>
      </c>
      <c r="D43" s="138">
        <f>C43*Input!P43/100</f>
        <v>1.369209006178547E-2</v>
      </c>
      <c r="E43" s="139">
        <f>Input!M43</f>
        <v>2.7320586745096671</v>
      </c>
      <c r="F43" s="140">
        <f>E43*Input!N43/100</f>
        <v>2.5690880466018535E-4</v>
      </c>
      <c r="G43" s="141">
        <f t="shared" ref="G43" si="201">E43*137.88</f>
        <v>376.69625004139289</v>
      </c>
      <c r="H43" s="140">
        <f>G43*Input!L43/100</f>
        <v>1.645192437249433E-2</v>
      </c>
      <c r="I43" s="138">
        <v>0</v>
      </c>
      <c r="J43" s="142">
        <f>(((C43*Constants!$B$24*0.000000001*Input!G43*(Constants!$B$4/Constants!$B$3))-(I43*0.000000000000001))/Input!F43)*1000000000000</f>
        <v>750.31868936915521</v>
      </c>
      <c r="K43" s="138">
        <f>J43*Input!P43/100</f>
        <v>4.9433585501883828</v>
      </c>
      <c r="L43" s="143">
        <f>(J43/Constants!$B$4)*602200000000*Constants!$B$17/(365.2425*24*60)</f>
        <v>10.358982596716492</v>
      </c>
      <c r="M43" s="144">
        <f>L43*Input!P43/100</f>
        <v>6.8248553469706819E-2</v>
      </c>
      <c r="N43" s="138">
        <v>0</v>
      </c>
      <c r="O43" s="142">
        <f>(((G43*Constants!$B$23*0.000000001*Input!G43*(Constants!$B$7/Constants!$B$6))-(N43*0.000000001))/Input!F43)*1000000</f>
        <v>13.700144950652199</v>
      </c>
      <c r="P43" s="138">
        <f>O43*Input!N43/100</f>
        <v>1.288291461593526E-3</v>
      </c>
      <c r="Q43" s="145">
        <f>(O43/Constants!$B$7)*602200000000000000*Constants!$B$18/(365.2425*24*60)</f>
        <v>10.221962541681091</v>
      </c>
      <c r="R43" s="146">
        <f>Q43*Input!N43/100</f>
        <v>9.6122100245002885E-4</v>
      </c>
      <c r="S43" s="144">
        <f>Input!S43*Constants!$B$17/Constants!$B$18</f>
        <v>1.0000570319311068</v>
      </c>
      <c r="T43" s="138">
        <f>S43*Input!T43/100</f>
        <v>1.1588482562016964E-3</v>
      </c>
      <c r="U43" s="144">
        <f>S43</f>
        <v>1.0000570319311068</v>
      </c>
      <c r="V43" s="138">
        <f>U43*Input!T43/100</f>
        <v>1.1588482562016964E-3</v>
      </c>
      <c r="W43" s="147">
        <v>0</v>
      </c>
      <c r="X43" s="142">
        <f>(((Constants!$B$25*0.000000001*Input!G43/Input!W43*(Constants!$B$11/Constants!$B$9))-(W43*0.000000001))/Input!F43)*1000000000</f>
        <v>0.89550613558157555</v>
      </c>
      <c r="Y43" s="142">
        <f>X43*Input!X43/100</f>
        <v>2.7387519987047528E-3</v>
      </c>
      <c r="Z43" s="142">
        <f>(X43/Constants!$B$11)*6.022E+23*0.000000001*Constants!$B$19/(365.2425*24*60)</f>
        <v>2.1862199827222287E-4</v>
      </c>
      <c r="AA43" s="142">
        <f>Z43*Input!X43/100</f>
        <v>6.6861790325984258E-7</v>
      </c>
      <c r="AB43" s="143">
        <v>0</v>
      </c>
      <c r="AC43" s="143">
        <v>0.9</v>
      </c>
      <c r="AD43" s="142">
        <f>(((Input!G43*Constants!$B$25*0.000000001*Input!U43*(Constants!$B$10/Constants!$B$9))-((AB43*0.000000000000001)+(Input!G43*AC43*0.000000000000001)))/Input!F43)*1000000000000</f>
        <v>223.95302674215156</v>
      </c>
      <c r="AE43" s="142">
        <f>AD43*Input!V43/100</f>
        <v>0.57445088935531075</v>
      </c>
      <c r="AF43" s="142">
        <f>(AD43/Constants!$B$10)*602200000000*Constants!$B$16/(365.2425*24*60)</f>
        <v>10.222485610266165</v>
      </c>
      <c r="AG43" s="142">
        <f>AF43*Input!V43/100</f>
        <v>2.6221194844579437E-2</v>
      </c>
      <c r="AH43" s="138">
        <f t="shared" ref="AH43" si="202">AF43/Z43</f>
        <v>46758.723692285399</v>
      </c>
      <c r="AI43" s="147">
        <f t="shared" ref="AI43" si="203">AH43*SQRT((AG43/AF43)^2+(AA43/Z43)^2)</f>
        <v>186.64205508265613</v>
      </c>
      <c r="AJ43" s="144">
        <f t="shared" si="157"/>
        <v>5.7031931106843459E-2</v>
      </c>
      <c r="AK43" s="147">
        <f t="shared" ref="AK43" si="204">V43*1000</f>
        <v>1.1588482562016964</v>
      </c>
      <c r="AL43" s="147">
        <f t="shared" ref="AL43" si="205">AF43/Q43</f>
        <v>1.0000511710528133</v>
      </c>
      <c r="AM43" s="147">
        <f t="shared" ref="AM43" si="206">AL43*SQRT((R43/Q43)^2+(AG43/AF43)^2)</f>
        <v>2.5669052225243197E-3</v>
      </c>
      <c r="AN43" s="138">
        <f>AF43/Q43</f>
        <v>1.0000511710528133</v>
      </c>
      <c r="AO43" s="142">
        <f t="shared" ref="AO43" si="207">AN43*SQRT((R43/Q43)^2+(AG43/AF43)^2)</f>
        <v>2.5669052225243197E-3</v>
      </c>
      <c r="AP43" s="138" t="str">
        <f t="shared" ref="AP43" si="208">ThU_Alter_Kombi(AN43,U43)</f>
        <v>Out of range</v>
      </c>
      <c r="AQ43" s="138" t="e">
        <f t="shared" si="163"/>
        <v>#VALUE!</v>
      </c>
      <c r="AR43" s="138" t="e">
        <f>(AQ43/AP43)*100</f>
        <v>#VALUE!</v>
      </c>
      <c r="AS43" s="146">
        <f t="shared" si="164"/>
        <v>2.138747793104988E-5</v>
      </c>
      <c r="AT43" s="146">
        <f t="shared" si="165"/>
        <v>6.5440846336841069E-8</v>
      </c>
      <c r="AU43" s="138">
        <v>0.75</v>
      </c>
      <c r="AV43" s="138">
        <f t="shared" ref="AV43" si="209">AU43/2</f>
        <v>0.375</v>
      </c>
      <c r="AW43" s="138" t="str">
        <f t="shared" si="167"/>
        <v>Out of range</v>
      </c>
      <c r="AX43" s="148">
        <f t="shared" si="168"/>
        <v>351.41048907779998</v>
      </c>
      <c r="AY43" s="148" t="e">
        <f t="shared" si="169"/>
        <v>#VALUE!</v>
      </c>
      <c r="AZ43" s="149" t="e">
        <f t="shared" si="170"/>
        <v>#VALUE!</v>
      </c>
      <c r="BA43" s="138" t="str">
        <f>Input!B43</f>
        <v>Hu1-13</v>
      </c>
      <c r="BB43" s="150">
        <f>Input!E43</f>
        <v>0</v>
      </c>
      <c r="BC43" s="138" t="e">
        <f>((U43-1)*EXP(Constants!$B$17*AW43*1000))*1000</f>
        <v>#VALUE!</v>
      </c>
      <c r="BD43" s="144" t="e">
        <f>SQRT((EXP(Constants!$B$17*AW43*1000)*V43)^2+((U43-1)*Constants!$B$17*EXP(Constants!$B$17*AW43*1000)*AY43*1000)^2)*1000</f>
        <v>#VALUE!</v>
      </c>
      <c r="BE43" s="138" t="e">
        <f t="shared" si="171"/>
        <v>#VALUE!</v>
      </c>
      <c r="BF43" s="151" t="e">
        <f t="shared" si="172"/>
        <v>#VALUE!</v>
      </c>
      <c r="BG43" s="160" t="e">
        <f t="shared" si="173"/>
        <v>#VALUE!</v>
      </c>
      <c r="BH43" s="138"/>
      <c r="BI43" s="18"/>
      <c r="BJ43" s="18"/>
      <c r="BK43" s="18"/>
      <c r="BL43" s="18"/>
      <c r="BM43" s="18"/>
      <c r="BN43" s="159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8">
        <f>Input!A45</f>
        <v>10815</v>
      </c>
      <c r="B45" s="138" t="str">
        <f>Input!B45</f>
        <v>Hu1-13</v>
      </c>
      <c r="C45" s="138">
        <f>Input!O45</f>
        <v>2.0690310735154949</v>
      </c>
      <c r="D45" s="138">
        <f>C45*Input!P45/100</f>
        <v>2.3243480658761334E-2</v>
      </c>
      <c r="E45" s="139">
        <f>Input!M45</f>
        <v>2.7320361719978283</v>
      </c>
      <c r="F45" s="140">
        <f>E45*Input!N45/100</f>
        <v>3.90945276244312E-4</v>
      </c>
      <c r="G45" s="141">
        <f t="shared" ref="G45" si="210">E45*137.88</f>
        <v>376.69314739506058</v>
      </c>
      <c r="H45" s="140">
        <f>G45*Input!L45/100</f>
        <v>5.1441613603761295E-2</v>
      </c>
      <c r="I45" s="138">
        <v>0</v>
      </c>
      <c r="J45" s="142">
        <f>(((C45*Constants!$B$24*0.000000001*Input!G45*(Constants!$B$4/Constants!$B$3))-(I45*0.000000000000001))/Input!F45)*1000000000000</f>
        <v>746.99789452995503</v>
      </c>
      <c r="K45" s="138">
        <f>J45*Input!P45/100</f>
        <v>8.3917691405867707</v>
      </c>
      <c r="L45" s="143">
        <f>(J45/Constants!$B$4)*602200000000*Constants!$B$17/(365.2425*24*60)</f>
        <v>10.313135336833545</v>
      </c>
      <c r="M45" s="144">
        <f>L45*Input!P45/100</f>
        <v>0.11585769049160845</v>
      </c>
      <c r="N45" s="138">
        <v>0</v>
      </c>
      <c r="O45" s="142">
        <f>(((G45*Constants!$B$23*0.000000001*Input!G45*(Constants!$B$7/Constants!$B$6))-(N45*0.000000001))/Input!F45)*1000000</f>
        <v>13.700032109856787</v>
      </c>
      <c r="P45" s="138">
        <f>O45*Input!N45/100</f>
        <v>1.9604289623395819E-3</v>
      </c>
      <c r="Q45" s="145">
        <f>(O45/Constants!$B$7)*602200000000000000*Constants!$B$18/(365.2425*24*60)</f>
        <v>10.221878348821235</v>
      </c>
      <c r="R45" s="146">
        <f>Q45*Input!N45/100</f>
        <v>1.4627167443004286E-3</v>
      </c>
      <c r="S45" s="144">
        <f>Input!S45*Constants!$B$17/Constants!$B$18</f>
        <v>1.0002888494681057</v>
      </c>
      <c r="T45" s="138">
        <f>S45*Input!T45/100</f>
        <v>2.3760174189235801E-3</v>
      </c>
      <c r="U45" s="144">
        <f>S45</f>
        <v>1.0002888494681057</v>
      </c>
      <c r="V45" s="138">
        <f>U45*Input!T45/100</f>
        <v>2.3760174189235801E-3</v>
      </c>
      <c r="W45" s="147">
        <v>0</v>
      </c>
      <c r="X45" s="142">
        <f>(((Constants!$B$25*0.000000001*Input!G45/Input!W45*(Constants!$B$11/Constants!$B$9))-(W45*0.000000001))/Input!F45)*1000000000</f>
        <v>0.96730852134492029</v>
      </c>
      <c r="Y45" s="142">
        <f>X45*Input!X45/100</f>
        <v>5.7651845563179973E-3</v>
      </c>
      <c r="Z45" s="142">
        <f>(X45/Constants!$B$11)*6.022E+23*0.000000001*Constants!$B$19/(365.2425*24*60)</f>
        <v>2.3615128191705335E-4</v>
      </c>
      <c r="AA45" s="142">
        <f>Z45*Input!X45/100</f>
        <v>1.4074679312965851E-6</v>
      </c>
      <c r="AB45" s="143">
        <v>0</v>
      </c>
      <c r="AC45" s="143">
        <v>0.9</v>
      </c>
      <c r="AD45" s="142">
        <f>(((Input!G45*Constants!$B$25*0.000000001*Input!U45*(Constants!$B$10/Constants!$B$9))-((AB45*0.000000000000001)+(Input!G45*AC45*0.000000000000001)))/Input!F45)*1000000000000</f>
        <v>224.09215516512597</v>
      </c>
      <c r="AE45" s="142">
        <f>AD45*Input!V45/100</f>
        <v>0.99689020847050769</v>
      </c>
      <c r="AF45" s="142">
        <f>(AD45/Constants!$B$10)*602200000000*Constants!$B$16/(365.2425*24*60)</f>
        <v>10.228836220135227</v>
      </c>
      <c r="AG45" s="142">
        <f>AF45*Input!V45/100</f>
        <v>4.5503719951229177E-2</v>
      </c>
      <c r="AH45" s="138">
        <f t="shared" ref="AH45" si="211">AF45/Z45</f>
        <v>43314.76050901998</v>
      </c>
      <c r="AI45" s="147">
        <f t="shared" ref="AI45" si="212">AH45*SQRT((AG45/AF45)^2+(AA45/Z45)^2)</f>
        <v>322.13987109599321</v>
      </c>
      <c r="AJ45" s="144">
        <f t="shared" ref="AJ45:AJ53" si="213">(U45-1)*1000</f>
        <v>0.28884946810570078</v>
      </c>
      <c r="AK45" s="147">
        <f t="shared" ref="AK45" si="214">V45*1000</f>
        <v>2.3760174189235799</v>
      </c>
      <c r="AL45" s="147">
        <f t="shared" ref="AL45" si="215">AF45/Q45</f>
        <v>1.0006806842222686</v>
      </c>
      <c r="AM45" s="147">
        <f t="shared" ref="AM45" si="216">AL45*SQRT((R45/Q45)^2+(AG45/AF45)^2)</f>
        <v>4.4539030730577295E-3</v>
      </c>
      <c r="AN45" s="138">
        <f>AF45/Q45</f>
        <v>1.0006806842222686</v>
      </c>
      <c r="AO45" s="142">
        <f t="shared" ref="AO45" si="217">AN45*SQRT((R45/Q45)^2+(AG45/AF45)^2)</f>
        <v>4.4539030730577295E-3</v>
      </c>
      <c r="AP45" s="138" t="str">
        <f t="shared" ref="AP45" si="218">ThU_Alter_Kombi(AN45,U45)</f>
        <v>Out of range</v>
      </c>
      <c r="AQ45" s="138" t="e">
        <f t="shared" ref="AQ45:AQ53" si="219">Montealter(AN45,AO45,U45,V45)</f>
        <v>#VALUE!</v>
      </c>
      <c r="AR45" s="138" t="e">
        <f>(AQ45/AP45)*100</f>
        <v>#VALUE!</v>
      </c>
      <c r="AS45" s="146">
        <f t="shared" ref="AS45:AS53" si="220">Z45/Q45</f>
        <v>2.3102533004052607E-5</v>
      </c>
      <c r="AT45" s="146">
        <f t="shared" ref="AT45:AT53" si="221">AS45*SQRT((Y45/X45)^2+(P45/O45)^2)</f>
        <v>1.3773139272356942E-7</v>
      </c>
      <c r="AU45" s="138">
        <v>0.75</v>
      </c>
      <c r="AV45" s="138">
        <f t="shared" ref="AV45" si="222">AU45/2</f>
        <v>0.375</v>
      </c>
      <c r="AW45" s="138" t="str">
        <f t="shared" ref="AW45:AW53" si="223">marincorr_age(AN45,U45,AS45,AU45)</f>
        <v>Out of range</v>
      </c>
      <c r="AX45" s="148">
        <f t="shared" ref="AX45:AX53" si="224">marincorr_age_error(AN45, AO45, U45, V45, AS45, AT45, AU45, AV45)</f>
        <v>330.63900313400001</v>
      </c>
      <c r="AY45" s="148" t="e">
        <f t="shared" ref="AY45:AY53" si="225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#VALUE!</v>
      </c>
      <c r="AZ45" s="149" t="e">
        <f t="shared" ref="AZ45:AZ53" si="226">AX45/AW45</f>
        <v>#VALUE!</v>
      </c>
      <c r="BA45" s="138" t="str">
        <f>Input!B45</f>
        <v>Hu1-13</v>
      </c>
      <c r="BB45" s="150">
        <f>Input!E45</f>
        <v>0</v>
      </c>
      <c r="BC45" s="138" t="e">
        <f>((U45-1)*EXP(Constants!$B$17*AW45*1000))*1000</f>
        <v>#VALUE!</v>
      </c>
      <c r="BD45" s="144" t="e">
        <f>SQRT((EXP(Constants!$B$17*AW45*1000)*V45)^2+((U45-1)*Constants!$B$17*EXP(Constants!$B$17*AW45*1000)*AY45*1000)^2)*1000</f>
        <v>#VALUE!</v>
      </c>
      <c r="BE45" s="138" t="e">
        <f t="shared" ref="BE45:BE53" si="227">AW45*1000-58</f>
        <v>#VALUE!</v>
      </c>
      <c r="BF45" s="151" t="e">
        <f t="shared" ref="BF45:BF53" si="228">AY45/2*1000</f>
        <v>#VALUE!</v>
      </c>
      <c r="BG45" s="160" t="e">
        <f t="shared" ref="BG45:BG53" si="229">AY45/AW45*100</f>
        <v>#VALUE!</v>
      </c>
      <c r="BH45" s="138"/>
      <c r="BI45" s="18"/>
      <c r="BJ45" s="18"/>
      <c r="BK45" s="18"/>
      <c r="BL45" s="18"/>
      <c r="BM45" s="18"/>
      <c r="BN45" s="159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10929</v>
      </c>
      <c r="B46" s="18" t="str">
        <f>Input!B46</f>
        <v>CSM_1779</v>
      </c>
      <c r="C46" s="18">
        <f>Input!O46</f>
        <v>4.0721257717374604</v>
      </c>
      <c r="D46" s="18">
        <f>C46*Input!P46/100</f>
        <v>2.5281680667020873E-2</v>
      </c>
      <c r="E46" s="152">
        <f>Input!M46</f>
        <v>4.6038256223326295</v>
      </c>
      <c r="F46" s="153">
        <f>E46*Input!N46/100</f>
        <v>5.2820268925868796E-4</v>
      </c>
      <c r="G46" s="21">
        <f>E46*137.88</f>
        <v>634.77547680722296</v>
      </c>
      <c r="H46" s="153">
        <f>G46*Input!L46/100</f>
        <v>0.20354599362648026</v>
      </c>
      <c r="I46" s="18">
        <v>0.3</v>
      </c>
      <c r="J46" s="129">
        <f>(((C46*Constants!$B$24*0.000000001*Input!G46*(Constants!$B$4/Constants!$B$3))-(I46*0.000000000000001))/Input!F46)*1000000000000</f>
        <v>164.0770426730258</v>
      </c>
      <c r="K46" s="18">
        <f>J46*Input!P46/100</f>
        <v>1.0186677991231838</v>
      </c>
      <c r="L46" s="134">
        <f>(J46/Constants!$B$4)*602200000000*Constants!$B$17/(365.2425*24*60)</f>
        <v>2.2652657512764534</v>
      </c>
      <c r="M46" s="132">
        <f>L46*Input!P46/100</f>
        <v>1.4063840008869632E-2</v>
      </c>
      <c r="N46" s="18">
        <v>5.0000000000000001E-3</v>
      </c>
      <c r="O46" s="129">
        <f>(((G46*Constants!$B$23*0.000000001*Input!G46*(Constants!$B$7/Constants!$B$6))-(N46*0.000000001))/Input!F46)*1000000</f>
        <v>2.5764858698788724</v>
      </c>
      <c r="P46" s="18">
        <f>O46*Input!N46/100</f>
        <v>2.956034561138519E-4</v>
      </c>
      <c r="Q46" s="130">
        <f>(O46/Constants!$B$7)*602200000000000000*Constants!$B$18/(365.2425*24*60)</f>
        <v>1.922369591412147</v>
      </c>
      <c r="R46" s="131">
        <f>Q46*Input!N46/100</f>
        <v>2.2055587488097476E-4</v>
      </c>
      <c r="S46" s="132">
        <f>Input!S46*Constants!$B$17/Constants!$B$18</f>
        <v>1.1468932120552884</v>
      </c>
      <c r="T46" s="18">
        <f>S46*Input!T46/100</f>
        <v>9.6618661101723546E-4</v>
      </c>
      <c r="U46" s="18">
        <f>S46*1/((U45+U47)/2)</f>
        <v>1.1467064382841339</v>
      </c>
      <c r="V46" s="18">
        <f>U46*Input!T46/100</f>
        <v>9.6602926566451922E-4</v>
      </c>
      <c r="W46" s="133">
        <v>3.0000000000000001E-3</v>
      </c>
      <c r="X46" s="129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2.2835160186741321E-2</v>
      </c>
      <c r="Y46" s="129">
        <f>X46*Input!X46/100</f>
        <v>3.0993590292964203E-4</v>
      </c>
      <c r="Z46" s="129">
        <f>(X46/Constants!$B$11)*6.022E+23*0.000000001*Constants!$B$19/(365.2425*24*60)</f>
        <v>5.5748008333293268E-6</v>
      </c>
      <c r="AA46" s="129">
        <f>Z46*Input!X46/100</f>
        <v>7.5665373739487436E-8</v>
      </c>
      <c r="AB46" s="134">
        <v>0.05</v>
      </c>
      <c r="AC46" s="134">
        <v>0.9</v>
      </c>
      <c r="AD46" s="129">
        <f>(((Input!G46*Constants!$B$25*0.000000001*Input!U46*(Constants!$B$10/Constants!$B$9))-((AB46*0.000000000000001)+(Input!G46*AC46*0.000000000000001)))/Input!F46)*1000000000000</f>
        <v>0.14691564646213168</v>
      </c>
      <c r="AE46" s="129">
        <f>AD46*Input!V46/100</f>
        <v>3.6017459264898054E-3</v>
      </c>
      <c r="AF46" s="129">
        <f>(AD46/Constants!$B$10)*602200000000*Constants!$B$16/(365.2425*24*60)</f>
        <v>6.7060628906401897E-3</v>
      </c>
      <c r="AG46" s="129">
        <f>AF46*Input!V46/100</f>
        <v>1.6440410045347661E-4</v>
      </c>
      <c r="AH46" s="18">
        <f>AF46/Z46</f>
        <v>1202.9242104126008</v>
      </c>
      <c r="AI46" s="133">
        <f>AH46*SQRT((AG46/AF46)^2+(AA46/Z46)^2)</f>
        <v>33.708526617367205</v>
      </c>
      <c r="AJ46" s="132">
        <f t="shared" si="213"/>
        <v>146.70643828413387</v>
      </c>
      <c r="AK46" s="133">
        <f>V46*1000</f>
        <v>0.96602926566451919</v>
      </c>
      <c r="AL46" s="133">
        <f>AF46/Q46</f>
        <v>3.4884357933034123E-3</v>
      </c>
      <c r="AM46" s="133">
        <f>AL46*SQRT((R46/Q46)^2+(AG46/AF46)^2)</f>
        <v>8.5522524661505809E-5</v>
      </c>
      <c r="AN46" s="18">
        <f>AL46*1/((AN45+AN47)/2)</f>
        <v>3.486318685116088E-3</v>
      </c>
      <c r="AO46" s="129">
        <f>AN46*SQRT((R46/Q46)^2+(AG46/AF46)^2)</f>
        <v>8.5470621617307873E-5</v>
      </c>
      <c r="AP46" s="18">
        <f>ThU_Alter_Kombi(AN46,U46)</f>
        <v>0.33200000000000002</v>
      </c>
      <c r="AQ46" s="18">
        <f t="shared" si="219"/>
        <v>8.5000000000000006E-3</v>
      </c>
      <c r="AR46" s="154">
        <f>(AQ46/AP46)</f>
        <v>2.5602409638554216E-2</v>
      </c>
      <c r="AS46" s="131">
        <f t="shared" si="220"/>
        <v>2.8999630759005881E-6</v>
      </c>
      <c r="AT46" s="131">
        <f t="shared" si="221"/>
        <v>3.9361877827271638E-8</v>
      </c>
      <c r="AU46" s="18">
        <v>8</v>
      </c>
      <c r="AV46" s="18">
        <f>AU46/2</f>
        <v>4</v>
      </c>
      <c r="AW46" s="18">
        <f t="shared" si="223"/>
        <v>0.32979999999999998</v>
      </c>
      <c r="AX46" s="135">
        <f t="shared" si="224"/>
        <v>8.4745714999999999E-3</v>
      </c>
      <c r="AY46" s="135">
        <f t="shared" si="225"/>
        <v>8.2420880833175263E-3</v>
      </c>
      <c r="AZ46" s="154">
        <f t="shared" si="226"/>
        <v>2.5696093086719225E-2</v>
      </c>
      <c r="BA46" s="18" t="str">
        <f>Input!B46</f>
        <v>CSM_1779</v>
      </c>
      <c r="BB46" s="136">
        <f>Input!E46</f>
        <v>0</v>
      </c>
      <c r="BC46" s="18">
        <f>((U46-1)*EXP(Constants!$B$17*AW46*1000))*1000</f>
        <v>146.84304378432313</v>
      </c>
      <c r="BD46" s="132">
        <f>SQRT((EXP(Constants!$B$17*AW46*1000)*V46)^2+((U46-1)*Constants!$B$17*EXP(Constants!$B$17*AW46*1000)*AY46*1000)^2)*1000</f>
        <v>0.96693481486858213</v>
      </c>
      <c r="BE46" s="18">
        <f t="shared" si="227"/>
        <v>271.79999999999995</v>
      </c>
      <c r="BF46" s="137">
        <f t="shared" si="228"/>
        <v>4.121044041658763</v>
      </c>
      <c r="BG46" s="20">
        <f t="shared" si="229"/>
        <v>2.4991170658937314</v>
      </c>
      <c r="BH46" s="18"/>
      <c r="BI46" s="18"/>
      <c r="BJ46" s="18"/>
      <c r="BK46" s="18"/>
      <c r="BL46" s="18"/>
      <c r="BM46" s="18"/>
      <c r="BN46" s="159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8">
        <f>Input!A47</f>
        <v>10815</v>
      </c>
      <c r="B47" s="138" t="str">
        <f>Input!B47</f>
        <v>Hu1-13</v>
      </c>
      <c r="C47" s="138">
        <f>Input!O47</f>
        <v>2.0680654794813131</v>
      </c>
      <c r="D47" s="138">
        <f>C47*Input!P47/100</f>
        <v>1.8297200793961393E-2</v>
      </c>
      <c r="E47" s="139">
        <f>Input!M47</f>
        <v>2.7319804941197923</v>
      </c>
      <c r="F47" s="140">
        <f>E47*Input!N47/100</f>
        <v>3.624035198833759E-4</v>
      </c>
      <c r="G47" s="141">
        <f t="shared" ref="G47" si="230">E47*137.88</f>
        <v>376.68547052923697</v>
      </c>
      <c r="H47" s="140">
        <f>G47*Input!L47/100</f>
        <v>2.95049507909102E-2</v>
      </c>
      <c r="I47" s="138">
        <v>0</v>
      </c>
      <c r="J47" s="142">
        <f>(((C47*Constants!$B$24*0.000000001*Input!G47*(Constants!$B$4/Constants!$B$3))-(I47*0.000000000000001))/Input!F47)*1000000000000</f>
        <v>746.64927883261873</v>
      </c>
      <c r="K47" s="138">
        <f>J47*Input!P47/100</f>
        <v>6.6059764127455605</v>
      </c>
      <c r="L47" s="143">
        <f>(J47/Constants!$B$4)*602200000000*Constants!$B$17/(365.2425*24*60)</f>
        <v>10.308322310058633</v>
      </c>
      <c r="M47" s="144">
        <f>L47*Input!P47/100</f>
        <v>9.1202839091594171E-2</v>
      </c>
      <c r="N47" s="138">
        <v>0</v>
      </c>
      <c r="O47" s="142">
        <f>(((G47*Constants!$B$23*0.000000001*Input!G47*(Constants!$B$7/Constants!$B$6))-(N47*0.000000001))/Input!F47)*1000000</f>
        <v>13.699752908313</v>
      </c>
      <c r="P47" s="138">
        <f>O47*Input!N47/100</f>
        <v>1.8173038519825712E-3</v>
      </c>
      <c r="Q47" s="145">
        <f>(O47/Constants!$B$7)*602200000000000000*Constants!$B$18/(365.2425*24*60)</f>
        <v>10.22167003075362</v>
      </c>
      <c r="R47" s="146">
        <f>Q47*Input!N47/100</f>
        <v>1.3559281284052599E-3</v>
      </c>
      <c r="S47" s="144">
        <f>Input!S47*Constants!$B$17/Constants!$B$18</f>
        <v>1.0000369074386646</v>
      </c>
      <c r="T47" s="138">
        <f>S47*Input!T47/100</f>
        <v>1.5847350839424176E-3</v>
      </c>
      <c r="U47" s="144">
        <f>S47</f>
        <v>1.0000369074386646</v>
      </c>
      <c r="V47" s="138">
        <f>U47*Input!T47/100</f>
        <v>1.5847350839424176E-3</v>
      </c>
      <c r="W47" s="147">
        <v>0</v>
      </c>
      <c r="X47" s="142">
        <f>(((Constants!$B$25*0.000000001*Input!G47/Input!W47*(Constants!$B$11/Constants!$B$9))-(W47*0.000000001))/Input!F47)*1000000000</f>
        <v>0.96449011187312872</v>
      </c>
      <c r="Y47" s="142">
        <f>X47*Input!X47/100</f>
        <v>4.9870676926998033E-3</v>
      </c>
      <c r="Z47" s="142">
        <f>(X47/Constants!$B$11)*6.022E+23*0.000000001*Constants!$B$19/(365.2425*24*60)</f>
        <v>2.3546321704938792E-4</v>
      </c>
      <c r="AA47" s="142">
        <f>Z47*Input!X47/100</f>
        <v>1.2175044493567916E-6</v>
      </c>
      <c r="AB47" s="143">
        <v>0</v>
      </c>
      <c r="AC47" s="143">
        <v>0.9</v>
      </c>
      <c r="AD47" s="142">
        <f>(((Input!G47*Constants!$B$25*0.000000001*Input!U47*(Constants!$B$10/Constants!$B$9))-((AB47*0.000000000000001)+(Input!G47*AC47*0.000000000000001)))/Input!F47)*1000000000000</f>
        <v>224.0547045304684</v>
      </c>
      <c r="AE47" s="142">
        <f>AD47*Input!V47/100</f>
        <v>0.66916620384321035</v>
      </c>
      <c r="AF47" s="142">
        <f>(AD47/Constants!$B$10)*602200000000*Constants!$B$16/(365.2425*24*60)</f>
        <v>10.227126760881866</v>
      </c>
      <c r="AG47" s="142">
        <f>AF47*Input!V47/100</f>
        <v>3.054453868819337E-2</v>
      </c>
      <c r="AH47" s="138">
        <f t="shared" ref="AH47" si="231">AF47/Z47</f>
        <v>43434.073861042794</v>
      </c>
      <c r="AI47" s="147">
        <f t="shared" ref="AI47" si="232">AH47*SQRT((AG47/AF47)^2+(AA47/Z47)^2)</f>
        <v>259.3556434277329</v>
      </c>
      <c r="AJ47" s="144">
        <f t="shared" si="213"/>
        <v>3.6907438664579573E-2</v>
      </c>
      <c r="AK47" s="147">
        <f t="shared" ref="AK47" si="233">V47*1000</f>
        <v>1.5847350839424175</v>
      </c>
      <c r="AL47" s="147">
        <f t="shared" ref="AL47" si="234">AF47/Q47</f>
        <v>1.0005338393933505</v>
      </c>
      <c r="AM47" s="147">
        <f t="shared" ref="AM47" si="235">AL47*SQRT((R47/Q47)^2+(AG47/AF47)^2)</f>
        <v>2.9911601492320292E-3</v>
      </c>
      <c r="AN47" s="138">
        <f>AF47/Q47</f>
        <v>1.0005338393933505</v>
      </c>
      <c r="AO47" s="142">
        <f t="shared" ref="AO47" si="236">AN47*SQRT((R47/Q47)^2+(AG47/AF47)^2)</f>
        <v>2.9911601492320292E-3</v>
      </c>
      <c r="AP47" s="138" t="str">
        <f t="shared" ref="AP47" si="237">ThU_Alter_Kombi(AN47,U47)</f>
        <v>Out of range</v>
      </c>
      <c r="AQ47" s="138" t="e">
        <f t="shared" si="219"/>
        <v>#VALUE!</v>
      </c>
      <c r="AR47" s="138" t="e">
        <f>(AQ47/AP47)*100</f>
        <v>#VALUE!</v>
      </c>
      <c r="AS47" s="146">
        <f t="shared" si="220"/>
        <v>2.3035689504841879E-5</v>
      </c>
      <c r="AT47" s="146">
        <f t="shared" si="221"/>
        <v>1.1914932091153239E-7</v>
      </c>
      <c r="AU47" s="138">
        <v>0.75</v>
      </c>
      <c r="AV47" s="138">
        <f t="shared" ref="AV47" si="238">AU47/2</f>
        <v>0.375</v>
      </c>
      <c r="AW47" s="138" t="str">
        <f t="shared" si="223"/>
        <v>Out of range</v>
      </c>
      <c r="AX47" s="148">
        <f t="shared" si="224"/>
        <v>344.33247331780001</v>
      </c>
      <c r="AY47" s="148" t="e">
        <f t="shared" si="225"/>
        <v>#VALUE!</v>
      </c>
      <c r="AZ47" s="149" t="e">
        <f t="shared" si="226"/>
        <v>#VALUE!</v>
      </c>
      <c r="BA47" s="138" t="str">
        <f>Input!B47</f>
        <v>Hu1-13</v>
      </c>
      <c r="BB47" s="150">
        <f>Input!E47</f>
        <v>0</v>
      </c>
      <c r="BC47" s="138" t="e">
        <f>((U47-1)*EXP(Constants!$B$17*AW47*1000))*1000</f>
        <v>#VALUE!</v>
      </c>
      <c r="BD47" s="144" t="e">
        <f>SQRT((EXP(Constants!$B$17*AW47*1000)*V47)^2+((U47-1)*Constants!$B$17*EXP(Constants!$B$17*AW47*1000)*AY47*1000)^2)*1000</f>
        <v>#VALUE!</v>
      </c>
      <c r="BE47" s="138" t="e">
        <f t="shared" si="227"/>
        <v>#VALUE!</v>
      </c>
      <c r="BF47" s="151" t="e">
        <f t="shared" si="228"/>
        <v>#VALUE!</v>
      </c>
      <c r="BG47" s="160" t="e">
        <f t="shared" si="229"/>
        <v>#VALUE!</v>
      </c>
      <c r="BH47" s="138"/>
      <c r="BI47" s="18"/>
      <c r="BJ47" s="18"/>
      <c r="BK47" s="18"/>
      <c r="BL47" s="18"/>
      <c r="BM47" s="18"/>
      <c r="BN47" s="159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10930</v>
      </c>
      <c r="B48" s="18" t="str">
        <f>Input!B48</f>
        <v>CSM_1781</v>
      </c>
      <c r="C48" s="18">
        <f>Input!O48</f>
        <v>4.0362828166898845</v>
      </c>
      <c r="D48" s="18">
        <f>C48*Input!P48/100</f>
        <v>3.6324777908727533E-2</v>
      </c>
      <c r="E48" s="152">
        <f>Input!M48</f>
        <v>4.6035572726056984</v>
      </c>
      <c r="F48" s="153">
        <f>E48*Input!N48/100</f>
        <v>5.4401590917905595E-4</v>
      </c>
      <c r="G48" s="21">
        <f>E48*137.88</f>
        <v>634.73847674687363</v>
      </c>
      <c r="H48" s="153">
        <f>G48*Input!L48/100</f>
        <v>0.15434993410135969</v>
      </c>
      <c r="I48" s="18">
        <v>0.3</v>
      </c>
      <c r="J48" s="129">
        <f>(((C48*Constants!$B$24*0.000000001*Input!G48*(Constants!$B$4/Constants!$B$3))-(I48*0.000000000000001))/Input!F48)*1000000000000</f>
        <v>159.8843779404697</v>
      </c>
      <c r="K48" s="18">
        <f>J48*Input!P48/100</f>
        <v>1.4388893899475328</v>
      </c>
      <c r="L48" s="134">
        <f>(J48/Constants!$B$4)*602200000000*Constants!$B$17/(365.2425*24*60)</f>
        <v>2.2073813594656464</v>
      </c>
      <c r="M48" s="132">
        <f>L48*Input!P48/100</f>
        <v>1.9865465648468025E-2</v>
      </c>
      <c r="N48" s="18">
        <v>5.0000000000000001E-3</v>
      </c>
      <c r="O48" s="129">
        <f>(((G48*Constants!$B$23*0.000000001*Input!G48*(Constants!$B$7/Constants!$B$6))-(N48*0.000000001))/Input!F48)*1000000</f>
        <v>2.5327967269574465</v>
      </c>
      <c r="P48" s="18">
        <f>O48*Input!N48/100</f>
        <v>2.9930804214836799E-4</v>
      </c>
      <c r="Q48" s="130">
        <f>(O48/Constants!$B$7)*602200000000000000*Constants!$B$18/(365.2425*24*60)</f>
        <v>1.8897722149588629</v>
      </c>
      <c r="R48" s="131">
        <f>Q48*Input!N48/100</f>
        <v>2.2331994342285214E-4</v>
      </c>
      <c r="S48" s="132">
        <f>Input!S48*Constants!$B$17/Constants!$B$18</f>
        <v>1.1462736441053691</v>
      </c>
      <c r="T48" s="18">
        <f>S48*Input!T48/100</f>
        <v>1.0413677218977548E-3</v>
      </c>
      <c r="U48" s="18">
        <f>S48*1/((U47+U49)/2)</f>
        <v>1.1459340029633103</v>
      </c>
      <c r="V48" s="18">
        <f>U48*Input!T48/100</f>
        <v>1.0410591644043608E-3</v>
      </c>
      <c r="W48" s="133">
        <v>3.0000000000000001E-3</v>
      </c>
      <c r="X48" s="129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5.5013428300199514E-2</v>
      </c>
      <c r="Y48" s="129">
        <f>X48*Input!X48/100</f>
        <v>3.1714191246577032E-4</v>
      </c>
      <c r="Z48" s="129">
        <f>(X48/Constants!$B$11)*6.022E+23*0.000000001*Constants!$B$19/(365.2425*24*60)</f>
        <v>1.3430556362390966E-5</v>
      </c>
      <c r="AA48" s="129">
        <f>Z48*Input!X48/100</f>
        <v>7.7424593628398602E-8</v>
      </c>
      <c r="AB48" s="134">
        <v>0.05</v>
      </c>
      <c r="AC48" s="134">
        <v>0.9</v>
      </c>
      <c r="AD48" s="129">
        <f>(((Input!G48*Constants!$B$25*0.000000001*Input!U48*(Constants!$B$10/Constants!$B$9))-((AB48*0.000000000000001)+(Input!G48*AC48*0.000000000000001)))/Input!F48)*1000000000000</f>
        <v>0.14289697644544486</v>
      </c>
      <c r="AE48" s="129">
        <f>AD48*Input!V48/100</f>
        <v>3.0839966591513701E-3</v>
      </c>
      <c r="AF48" s="129">
        <f>(AD48/Constants!$B$10)*602200000000*Constants!$B$16/(365.2425*24*60)</f>
        <v>6.5226280113907676E-3</v>
      </c>
      <c r="AG48" s="129">
        <f>AF48*Input!V48/100</f>
        <v>1.4077108904887194E-4</v>
      </c>
      <c r="AH48" s="18">
        <f>AF48/Z48</f>
        <v>485.65583103137965</v>
      </c>
      <c r="AI48" s="133">
        <f>AH48*SQRT((AG48/AF48)^2+(AA48/Z48)^2)</f>
        <v>10.848881347599139</v>
      </c>
      <c r="AJ48" s="132">
        <f t="shared" si="213"/>
        <v>145.93400296331026</v>
      </c>
      <c r="AK48" s="133">
        <f>V48*1000</f>
        <v>1.0410591644043607</v>
      </c>
      <c r="AL48" s="133">
        <f>AF48/Q48</f>
        <v>3.4515419158772814E-3</v>
      </c>
      <c r="AM48" s="133">
        <f>AL48*SQRT((R48/Q48)^2+(AG48/AF48)^2)</f>
        <v>7.4492152116490849E-5</v>
      </c>
      <c r="AN48" s="18">
        <f>AL48*1/((AN47+AN49)/2)</f>
        <v>3.454968067591423E-3</v>
      </c>
      <c r="AO48" s="129">
        <f>AN48*SQRT((R48/Q48)^2+(AG48/AF48)^2)</f>
        <v>7.4566096290104963E-5</v>
      </c>
      <c r="AP48" s="18">
        <f>ThU_Alter_Kombi(AN48,U48)</f>
        <v>0.32919999999999999</v>
      </c>
      <c r="AQ48" s="18">
        <f t="shared" si="219"/>
        <v>7.3000000000000001E-3</v>
      </c>
      <c r="AR48" s="154">
        <f>(AQ48/AP48)</f>
        <v>2.2174969623329283E-2</v>
      </c>
      <c r="AS48" s="131">
        <f t="shared" si="220"/>
        <v>7.1069710180299828E-6</v>
      </c>
      <c r="AT48" s="131">
        <f t="shared" si="221"/>
        <v>4.0978938411538342E-8</v>
      </c>
      <c r="AU48" s="18">
        <v>8</v>
      </c>
      <c r="AV48" s="18">
        <f>AU48/2</f>
        <v>4</v>
      </c>
      <c r="AW48" s="18">
        <f t="shared" si="223"/>
        <v>0.32379999999999998</v>
      </c>
      <c r="AX48" s="135">
        <f t="shared" si="224"/>
        <v>8.0427828000000003E-3</v>
      </c>
      <c r="AY48" s="135">
        <f t="shared" si="225"/>
        <v>7.6293539359477015E-3</v>
      </c>
      <c r="AZ48" s="154">
        <f t="shared" si="226"/>
        <v>2.4838736256948737E-2</v>
      </c>
      <c r="BA48" s="18" t="str">
        <f>Input!B48</f>
        <v>CSM_1781</v>
      </c>
      <c r="BB48" s="136">
        <f>Input!E48</f>
        <v>0</v>
      </c>
      <c r="BC48" s="18">
        <f>((U48-1)*EXP(Constants!$B$17*AW48*1000))*1000</f>
        <v>146.06741592439275</v>
      </c>
      <c r="BD48" s="132">
        <f>SQRT((EXP(Constants!$B$17*AW48*1000)*V48)^2+((U48-1)*Constants!$B$17*EXP(Constants!$B$17*AW48*1000)*AY48*1000)^2)*1000</f>
        <v>1.042015647196388</v>
      </c>
      <c r="BE48" s="18">
        <f t="shared" si="227"/>
        <v>265.79999999999995</v>
      </c>
      <c r="BF48" s="137">
        <f t="shared" si="228"/>
        <v>3.8146769679738508</v>
      </c>
      <c r="BG48" s="20">
        <f t="shared" si="229"/>
        <v>2.356193309434127</v>
      </c>
      <c r="BH48" s="18"/>
      <c r="BI48" s="18"/>
      <c r="BJ48" s="18"/>
      <c r="BK48" s="18"/>
      <c r="BL48" s="18"/>
      <c r="BM48" s="18"/>
      <c r="BN48" s="159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8">
        <f>Input!A49</f>
        <v>10815</v>
      </c>
      <c r="B49" s="138" t="str">
        <f>Input!B49</f>
        <v>Hu1-13</v>
      </c>
      <c r="C49" s="138">
        <f>Input!O49</f>
        <v>2.060877777041259</v>
      </c>
      <c r="D49" s="138">
        <f>C49*Input!P49/100</f>
        <v>1.7876304052151418E-2</v>
      </c>
      <c r="E49" s="139">
        <f>Input!M49</f>
        <v>2.7318154189471153</v>
      </c>
      <c r="F49" s="140">
        <f>E49*Input!N49/100</f>
        <v>2.894951967179075E-4</v>
      </c>
      <c r="G49" s="141">
        <f t="shared" ref="G49" si="239">E49*137.88</f>
        <v>376.66270996442825</v>
      </c>
      <c r="H49" s="140">
        <f>G49*Input!L49/100</f>
        <v>2.6965783140450207E-2</v>
      </c>
      <c r="I49" s="138">
        <v>0</v>
      </c>
      <c r="J49" s="142">
        <f>(((C49*Constants!$B$24*0.000000001*Input!G49*(Constants!$B$4/Constants!$B$3))-(I49*0.000000000000001))/Input!F49)*1000000000000</f>
        <v>744.05424840607941</v>
      </c>
      <c r="K49" s="138">
        <f>J49*Input!P49/100</f>
        <v>6.4540168873565325</v>
      </c>
      <c r="L49" s="143">
        <f>(J49/Constants!$B$4)*602200000000*Constants!$B$17/(365.2425*24*60)</f>
        <v>10.272495033719466</v>
      </c>
      <c r="M49" s="144">
        <f>L49*Input!P49/100</f>
        <v>8.9104869120682564E-2</v>
      </c>
      <c r="N49" s="138">
        <v>0</v>
      </c>
      <c r="O49" s="142">
        <f>(((G49*Constants!$B$23*0.000000001*Input!G49*(Constants!$B$7/Constants!$B$6))-(N49*0.000000001))/Input!F49)*1000000</f>
        <v>13.698925124556183</v>
      </c>
      <c r="P49" s="138">
        <f>O49*Input!N49/100</f>
        <v>1.4516987481115213E-3</v>
      </c>
      <c r="Q49" s="145">
        <f>(O49/Constants!$B$7)*602200000000000000*Constants!$B$18/(365.2425*24*60)</f>
        <v>10.221052404109136</v>
      </c>
      <c r="R49" s="146">
        <f>Q49*Input!N49/100</f>
        <v>1.083142571005782E-3</v>
      </c>
      <c r="S49" s="144">
        <f>Input!S49*Constants!$B$17/Constants!$B$18</f>
        <v>1.000555868656958</v>
      </c>
      <c r="T49" s="138">
        <f>S49*Input!T49/100</f>
        <v>1.7065846514787201E-3</v>
      </c>
      <c r="U49" s="144">
        <f>S49</f>
        <v>1.000555868656958</v>
      </c>
      <c r="V49" s="138">
        <f>U49*Input!T49/100</f>
        <v>1.7065846514787201E-3</v>
      </c>
      <c r="W49" s="147">
        <v>0</v>
      </c>
      <c r="X49" s="142">
        <f>(((Constants!$B$25*0.000000001*Input!G49/Input!W49*(Constants!$B$11/Constants!$B$9))-(W49*0.000000001))/Input!F49)*1000000000</f>
        <v>0.95989985722327131</v>
      </c>
      <c r="Y49" s="142">
        <f>X49*Input!X49/100</f>
        <v>5.1873801485708979E-3</v>
      </c>
      <c r="Z49" s="142">
        <f>(X49/Constants!$B$11)*6.022E+23*0.000000001*Constants!$B$19/(365.2425*24*60)</f>
        <v>2.3434258749225104E-4</v>
      </c>
      <c r="AA49" s="142">
        <f>Z49*Input!X49/100</f>
        <v>1.266407195682382E-6</v>
      </c>
      <c r="AB49" s="143">
        <v>0</v>
      </c>
      <c r="AC49" s="143">
        <v>0.9</v>
      </c>
      <c r="AD49" s="142">
        <f>(((Input!G49*Constants!$B$25*0.000000001*Input!U49*(Constants!$B$10/Constants!$B$9))-((AB49*0.000000000000001)+(Input!G49*AC49*0.000000000000001)))/Input!F49)*1000000000000</f>
        <v>223.35798204720035</v>
      </c>
      <c r="AE49" s="142">
        <f>AD49*Input!V49/100</f>
        <v>0.93752550928486822</v>
      </c>
      <c r="AF49" s="142">
        <f>(AD49/Constants!$B$10)*602200000000*Constants!$B$16/(365.2425*24*60)</f>
        <v>10.195324397398938</v>
      </c>
      <c r="AG49" s="142">
        <f>AF49*Input!V49/100</f>
        <v>4.2793978573713976E-2</v>
      </c>
      <c r="AH49" s="138">
        <f t="shared" ref="AH49" si="240">AF49/Z49</f>
        <v>43506.067362749694</v>
      </c>
      <c r="AI49" s="147">
        <f t="shared" ref="AI49" si="241">AH49*SQRT((AG49/AF49)^2+(AA49/Z49)^2)</f>
        <v>297.6985130541359</v>
      </c>
      <c r="AJ49" s="144">
        <f t="shared" si="213"/>
        <v>0.55586865695800292</v>
      </c>
      <c r="AK49" s="147">
        <f t="shared" ref="AK49" si="242">V49*1000</f>
        <v>1.70658465147872</v>
      </c>
      <c r="AL49" s="147">
        <f t="shared" ref="AL49" si="243">AF49/Q49</f>
        <v>0.99748284171795709</v>
      </c>
      <c r="AM49" s="147">
        <f t="shared" ref="AM49" si="244">AL49*SQRT((R49/Q49)^2+(AG49/AF49)^2)</f>
        <v>4.1881807565490748E-3</v>
      </c>
      <c r="AN49" s="138">
        <f>AF49/Q49</f>
        <v>0.99748284171795709</v>
      </c>
      <c r="AO49" s="142">
        <f t="shared" ref="AO49" si="245">AN49*SQRT((R49/Q49)^2+(AG49/AF49)^2)</f>
        <v>4.1881807565490748E-3</v>
      </c>
      <c r="AP49" s="138">
        <f t="shared" ref="AP49" si="246">ThU_Alter_Kombi(AN49,U49)</f>
        <v>622.91</v>
      </c>
      <c r="AQ49" s="138" t="e">
        <f t="shared" si="219"/>
        <v>#VALUE!</v>
      </c>
      <c r="AR49" s="138" t="e">
        <f>(AQ49/AP49)*100</f>
        <v>#VALUE!</v>
      </c>
      <c r="AS49" s="146">
        <f t="shared" si="220"/>
        <v>2.2927442128957197E-5</v>
      </c>
      <c r="AT49" s="146">
        <f t="shared" si="221"/>
        <v>1.2392565961512274E-7</v>
      </c>
      <c r="AU49" s="138">
        <v>0.75</v>
      </c>
      <c r="AV49" s="138">
        <f t="shared" ref="AV49" si="247">AU49/2</f>
        <v>0.375</v>
      </c>
      <c r="AW49" s="138">
        <f t="shared" si="223"/>
        <v>622.90809999999999</v>
      </c>
      <c r="AX49" s="148">
        <f t="shared" si="224"/>
        <v>288.82743876019998</v>
      </c>
      <c r="AY49" s="148">
        <f t="shared" si="225"/>
        <v>158.05909201862568</v>
      </c>
      <c r="AZ49" s="149">
        <f t="shared" si="226"/>
        <v>0.46367584361192282</v>
      </c>
      <c r="BA49" s="138" t="str">
        <f>Input!B49</f>
        <v>Hu1-13</v>
      </c>
      <c r="BB49" s="150">
        <f>Input!E49</f>
        <v>0</v>
      </c>
      <c r="BC49" s="138">
        <f>((U49-1)*EXP(Constants!$B$17*AW49*1000))*1000</f>
        <v>3.2241224076445034</v>
      </c>
      <c r="BD49" s="144">
        <f>SQRT((EXP(Constants!$B$17*AW49*1000)*V49)^2+((U49-1)*Constants!$B$17*EXP(Constants!$B$17*AW49*1000)*AY49*1000)^2)*1000</f>
        <v>10.002375285025947</v>
      </c>
      <c r="BE49" s="138">
        <f t="shared" si="227"/>
        <v>622850.1</v>
      </c>
      <c r="BF49" s="151">
        <f t="shared" si="228"/>
        <v>79029.546009312835</v>
      </c>
      <c r="BG49" s="160">
        <f t="shared" si="229"/>
        <v>25.374383800535856</v>
      </c>
      <c r="BH49" s="138"/>
      <c r="BI49" s="18"/>
      <c r="BJ49" s="18"/>
      <c r="BK49" s="18"/>
      <c r="BL49" s="18"/>
      <c r="BM49" s="18"/>
      <c r="BN49" s="159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10931</v>
      </c>
      <c r="B50" s="18" t="str">
        <f>Input!B50</f>
        <v>CSM_1784</v>
      </c>
      <c r="C50" s="18">
        <f>Input!O50</f>
        <v>4.2671421629813331</v>
      </c>
      <c r="D50" s="18">
        <f>C50*Input!P50/100</f>
        <v>3.5660309299069298E-2</v>
      </c>
      <c r="E50" s="152">
        <f>Input!M50</f>
        <v>4.8983349545112675</v>
      </c>
      <c r="F50" s="153">
        <f>E50*Input!N50/100</f>
        <v>6.7184249964876905E-4</v>
      </c>
      <c r="G50" s="21">
        <f>E50*137.88</f>
        <v>675.38242352801353</v>
      </c>
      <c r="H50" s="153">
        <f>G50*Input!L50/100</f>
        <v>0.1153164128737353</v>
      </c>
      <c r="I50" s="18">
        <v>0.3</v>
      </c>
      <c r="J50" s="129">
        <f>(((C50*Constants!$B$24*0.000000001*Input!G50*(Constants!$B$4/Constants!$B$3))-(I50*0.000000000000001))/Input!F50)*1000000000000</f>
        <v>169.88713815825352</v>
      </c>
      <c r="K50" s="18">
        <f>J50*Input!P50/100</f>
        <v>1.4197389403179208</v>
      </c>
      <c r="L50" s="134">
        <f>(J50/Constants!$B$4)*602200000000*Constants!$B$17/(365.2425*24*60)</f>
        <v>2.3454805704852597</v>
      </c>
      <c r="M50" s="132">
        <f>L50*Input!P50/100</f>
        <v>1.9601072428302821E-2</v>
      </c>
      <c r="N50" s="18">
        <v>5.0000000000000001E-3</v>
      </c>
      <c r="O50" s="129">
        <f>(((G50*Constants!$B$23*0.000000001*Input!G50*(Constants!$B$7/Constants!$B$6))-(N50*0.000000001))/Input!F50)*1000000</f>
        <v>2.7086587530690109</v>
      </c>
      <c r="P50" s="18">
        <f>O50*Input!N50/100</f>
        <v>3.7151237803397061E-4</v>
      </c>
      <c r="Q50" s="130">
        <f>(O50/Constants!$B$7)*602200000000000000*Constants!$B$18/(365.2425*24*60)</f>
        <v>2.0209865232666719</v>
      </c>
      <c r="R50" s="131">
        <f>Q50*Input!N50/100</f>
        <v>2.7719309727838512E-4</v>
      </c>
      <c r="S50" s="132">
        <f>Input!S50*Constants!$B$17/Constants!$B$18</f>
        <v>1.1473880252913622</v>
      </c>
      <c r="T50" s="18">
        <f>S50*Input!T50/100</f>
        <v>1.127690395161875E-3</v>
      </c>
      <c r="U50" s="18">
        <f>S50*1/((U49+U51)/2)</f>
        <v>1.1473507182071552</v>
      </c>
      <c r="V50" s="18">
        <f>U50*Input!T50/100</f>
        <v>1.1276537285420355E-3</v>
      </c>
      <c r="W50" s="133">
        <v>3.0000000000000001E-3</v>
      </c>
      <c r="X50" s="129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4.1148005872277849E-2</v>
      </c>
      <c r="Y50" s="129">
        <f>X50*Input!X50/100</f>
        <v>1.0551369021389746E-3</v>
      </c>
      <c r="Z50" s="129">
        <f>(X50/Constants!$B$11)*6.022E+23*0.000000001*Constants!$B$19/(365.2425*24*60)</f>
        <v>1.0045558496226599E-5</v>
      </c>
      <c r="AA50" s="129">
        <f>Z50*Input!X50/100</f>
        <v>2.5759302904895866E-7</v>
      </c>
      <c r="AB50" s="134">
        <v>0.05</v>
      </c>
      <c r="AC50" s="134">
        <v>0.9</v>
      </c>
      <c r="AD50" s="129">
        <f>(((Input!G50*Constants!$B$25*0.000000001*Input!U50*(Constants!$B$10/Constants!$B$9))-((AB50*0.000000000000001)+(Input!G50*AC50*0.000000000000001)))/Input!F50)*1000000000000</f>
        <v>0.20928141080186713</v>
      </c>
      <c r="AE50" s="129">
        <f>AD50*Input!V50/100</f>
        <v>7.8170207898711503E-3</v>
      </c>
      <c r="AF50" s="129">
        <f>(AD50/Constants!$B$10)*602200000000*Constants!$B$16/(365.2425*24*60)</f>
        <v>9.5527898932192632E-3</v>
      </c>
      <c r="AG50" s="129">
        <f>AF50*Input!V50/100</f>
        <v>3.5681313935360649E-4</v>
      </c>
      <c r="AH50" s="18">
        <f>AF50/Z50</f>
        <v>950.94661952419722</v>
      </c>
      <c r="AI50" s="133">
        <f>AH50*SQRT((AG50/AF50)^2+(AA50/Z50)^2)</f>
        <v>43.084155928349936</v>
      </c>
      <c r="AJ50" s="132">
        <f t="shared" si="213"/>
        <v>147.35071820715518</v>
      </c>
      <c r="AK50" s="133">
        <f>V50*1000</f>
        <v>1.1276537285420354</v>
      </c>
      <c r="AL50" s="133">
        <f>AF50/Q50</f>
        <v>4.7267954453146842E-3</v>
      </c>
      <c r="AM50" s="133">
        <f>AL50*SQRT((R50/Q50)^2+(AG50/AF50)^2)</f>
        <v>1.7655513327815642E-4</v>
      </c>
      <c r="AN50" s="18">
        <f>AL50*1/((AN49+AN51)/2)</f>
        <v>4.7342813202689319E-3</v>
      </c>
      <c r="AO50" s="129">
        <f>AN50*SQRT((R50/Q50)^2+(AG50/AF50)^2)</f>
        <v>1.7683474547325594E-4</v>
      </c>
      <c r="AP50" s="18">
        <f>ThU_Alter_Kombi(AN50,U50)</f>
        <v>0.45079999999999998</v>
      </c>
      <c r="AQ50" s="18">
        <f t="shared" si="219"/>
        <v>1.6899999999999998E-2</v>
      </c>
      <c r="AR50" s="154">
        <f>(AQ50/AP50)</f>
        <v>3.7488908606921029E-2</v>
      </c>
      <c r="AS50" s="131">
        <f t="shared" si="220"/>
        <v>4.9706212191802303E-6</v>
      </c>
      <c r="AT50" s="131">
        <f t="shared" si="221"/>
        <v>1.2746087661944743E-7</v>
      </c>
      <c r="AU50" s="18">
        <v>8</v>
      </c>
      <c r="AV50" s="18">
        <f>AU50/2</f>
        <v>4</v>
      </c>
      <c r="AW50" s="18">
        <f t="shared" si="223"/>
        <v>0.4471</v>
      </c>
      <c r="AX50" s="135">
        <f t="shared" si="224"/>
        <v>1.72026895E-2</v>
      </c>
      <c r="AY50" s="135">
        <f t="shared" si="225"/>
        <v>1.7008511939731904E-2</v>
      </c>
      <c r="AZ50" s="154">
        <f t="shared" si="226"/>
        <v>3.8476156340863342E-2</v>
      </c>
      <c r="BA50" s="18" t="str">
        <f>Input!B50</f>
        <v>CSM_1784</v>
      </c>
      <c r="BB50" s="136">
        <f>Input!E50</f>
        <v>0</v>
      </c>
      <c r="BC50" s="18">
        <f>((U50-1)*EXP(Constants!$B$17*AW50*1000))*1000</f>
        <v>147.53675428841248</v>
      </c>
      <c r="BD50" s="132">
        <f>SQRT((EXP(Constants!$B$17*AW50*1000)*V50)^2+((U50-1)*Constants!$B$17*EXP(Constants!$B$17*AW50*1000)*AY50*1000)^2)*1000</f>
        <v>1.1290996436616356</v>
      </c>
      <c r="BE50" s="18">
        <f t="shared" si="227"/>
        <v>389.1</v>
      </c>
      <c r="BF50" s="137">
        <f t="shared" si="228"/>
        <v>8.5042559698659517</v>
      </c>
      <c r="BG50" s="20">
        <f t="shared" si="229"/>
        <v>3.8041851799892425</v>
      </c>
      <c r="BH50" s="18"/>
      <c r="BI50" s="18"/>
      <c r="BJ50" s="18"/>
      <c r="BK50" s="18"/>
      <c r="BL50" s="18"/>
      <c r="BM50" s="18"/>
      <c r="BN50" s="159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8">
        <f>Input!A51</f>
        <v>10815</v>
      </c>
      <c r="B51" s="138" t="str">
        <f>Input!B51</f>
        <v>Hu1-13</v>
      </c>
      <c r="C51" s="138">
        <f>Input!O51</f>
        <v>2.0747537192815639</v>
      </c>
      <c r="D51" s="138">
        <f>C51*Input!P51/100</f>
        <v>1.9888931372071525E-2</v>
      </c>
      <c r="E51" s="139">
        <f>Input!M51</f>
        <v>2.7328875108870085</v>
      </c>
      <c r="F51" s="140">
        <f>E51*Input!N51/100</f>
        <v>3.3151182561500935E-4</v>
      </c>
      <c r="G51" s="141">
        <f t="shared" ref="G51" si="248">E51*137.88</f>
        <v>376.81053000110074</v>
      </c>
      <c r="H51" s="140">
        <f>G51*Input!L51/100</f>
        <v>2.2836616421805064E-2</v>
      </c>
      <c r="I51" s="138">
        <v>0</v>
      </c>
      <c r="J51" s="142">
        <f>(((C51*Constants!$B$24*0.000000001*Input!G51*(Constants!$B$4/Constants!$B$3))-(I51*0.000000000000001))/Input!F51)*1000000000000</f>
        <v>749.06398449501842</v>
      </c>
      <c r="K51" s="138">
        <f>J51*Input!P51/100</f>
        <v>7.1806509092899509</v>
      </c>
      <c r="L51" s="143">
        <f>(J51/Constants!$B$4)*602200000000*Constants!$B$17/(365.2425*24*60)</f>
        <v>10.341660002811592</v>
      </c>
      <c r="M51" s="144">
        <f>L51*Input!P51/100</f>
        <v>9.9136858586011012E-2</v>
      </c>
      <c r="N51" s="138">
        <v>0</v>
      </c>
      <c r="O51" s="142">
        <f>(((G51*Constants!$B$23*0.000000001*Input!G51*(Constants!$B$7/Constants!$B$6))-(N51*0.000000001))/Input!F51)*1000000</f>
        <v>13.704301222483362</v>
      </c>
      <c r="P51" s="138">
        <f>O51*Input!N51/100</f>
        <v>1.6623947743714144E-3</v>
      </c>
      <c r="Q51" s="145">
        <f>(O51/Constants!$B$7)*602200000000000000*Constants!$B$18/(365.2425*24*60)</f>
        <v>10.225063622372152</v>
      </c>
      <c r="R51" s="146">
        <f>Q51*Input!N51/100</f>
        <v>1.2403472499246831E-3</v>
      </c>
      <c r="S51" s="144">
        <f>Input!S51*Constants!$B$17/Constants!$B$18</f>
        <v>0.99950916304366333</v>
      </c>
      <c r="T51" s="138">
        <f>S51*Input!T51/100</f>
        <v>1.2731968596531446E-3</v>
      </c>
      <c r="U51" s="144">
        <f>S51</f>
        <v>0.99950916304366333</v>
      </c>
      <c r="V51" s="138">
        <f>U51*Input!T51/100</f>
        <v>1.2731968596531446E-3</v>
      </c>
      <c r="W51" s="147">
        <v>0</v>
      </c>
      <c r="X51" s="142">
        <f>(((Constants!$B$25*0.000000001*Input!G51/Input!W51*(Constants!$B$11/Constants!$B$9))-(W51*0.000000001))/Input!F51)*1000000000</f>
        <v>0.95932086688495977</v>
      </c>
      <c r="Y51" s="142">
        <f>X51*Input!X51/100</f>
        <v>4.5982921017020013E-3</v>
      </c>
      <c r="Z51" s="142">
        <f>(X51/Constants!$B$11)*6.022E+23*0.000000001*Constants!$B$19/(365.2425*24*60)</f>
        <v>2.3420123723264644E-4</v>
      </c>
      <c r="AA51" s="142">
        <f>Z51*Input!X51/100</f>
        <v>1.1225917589728171E-6</v>
      </c>
      <c r="AB51" s="143">
        <v>0</v>
      </c>
      <c r="AC51" s="143">
        <v>0.9</v>
      </c>
      <c r="AD51" s="142">
        <f>(((Input!G51*Constants!$B$25*0.000000001*Input!U51*(Constants!$B$10/Constants!$B$9))-((AB51*0.000000000000001)+(Input!G51*AC51*0.000000000000001)))/Input!F51)*1000000000000</f>
        <v>223.86496247793258</v>
      </c>
      <c r="AE51" s="142">
        <f>AD51*Input!V51/100</f>
        <v>0.68449876470847404</v>
      </c>
      <c r="AF51" s="142">
        <f>(AD51/Constants!$B$10)*602200000000*Constants!$B$16/(365.2425*24*60)</f>
        <v>10.218465858058066</v>
      </c>
      <c r="AG51" s="142">
        <f>AF51*Input!V51/100</f>
        <v>3.1244403678159088E-2</v>
      </c>
      <c r="AH51" s="138">
        <f t="shared" ref="AH51" si="249">AF51/Z51</f>
        <v>43631.135252746069</v>
      </c>
      <c r="AI51" s="147">
        <f t="shared" ref="AI51" si="250">AH51*SQRT((AG51/AF51)^2+(AA51/Z51)^2)</f>
        <v>248.06397254282771</v>
      </c>
      <c r="AJ51" s="144">
        <f t="shared" si="213"/>
        <v>-0.49083695633667102</v>
      </c>
      <c r="AK51" s="147">
        <f t="shared" ref="AK51" si="251">V51*1000</f>
        <v>1.2731968596531447</v>
      </c>
      <c r="AL51" s="147">
        <f t="shared" ref="AL51" si="252">AF51/Q51</f>
        <v>0.9993547458912968</v>
      </c>
      <c r="AM51" s="147">
        <f t="shared" ref="AM51" si="253">AL51*SQRT((R51/Q51)^2+(AG51/AF51)^2)</f>
        <v>3.0580721248974459E-3</v>
      </c>
      <c r="AN51" s="138">
        <f>AF51/Q51</f>
        <v>0.9993547458912968</v>
      </c>
      <c r="AO51" s="142">
        <f t="shared" ref="AO51" si="254">AN51*SQRT((R51/Q51)^2+(AG51/AF51)^2)</f>
        <v>3.0580721248974459E-3</v>
      </c>
      <c r="AP51" s="138" t="str">
        <f t="shared" ref="AP51" si="255">ThU_Alter_Kombi(AN51,U51)</f>
        <v>Out of range</v>
      </c>
      <c r="AQ51" s="138" t="e">
        <f t="shared" si="219"/>
        <v>#VALUE!</v>
      </c>
      <c r="AR51" s="138" t="e">
        <f>(AQ51/AP51)*100</f>
        <v>#VALUE!</v>
      </c>
      <c r="AS51" s="146">
        <f t="shared" si="220"/>
        <v>2.2904623959524388E-5</v>
      </c>
      <c r="AT51" s="146">
        <f t="shared" si="221"/>
        <v>1.0982339358898026E-7</v>
      </c>
      <c r="AU51" s="138">
        <v>0.75</v>
      </c>
      <c r="AV51" s="138">
        <f t="shared" ref="AV51" si="256">AU51/2</f>
        <v>0.375</v>
      </c>
      <c r="AW51" s="138" t="str">
        <f t="shared" si="223"/>
        <v>Out of range</v>
      </c>
      <c r="AX51" s="148">
        <f t="shared" si="224"/>
        <v>332.29453099099999</v>
      </c>
      <c r="AY51" s="148" t="e">
        <f t="shared" si="225"/>
        <v>#VALUE!</v>
      </c>
      <c r="AZ51" s="149" t="e">
        <f t="shared" si="226"/>
        <v>#VALUE!</v>
      </c>
      <c r="BA51" s="138" t="str">
        <f>Input!B51</f>
        <v>Hu1-13</v>
      </c>
      <c r="BB51" s="150">
        <f>Input!E51</f>
        <v>0</v>
      </c>
      <c r="BC51" s="138" t="e">
        <f>((U51-1)*EXP(Constants!$B$17*AW51*1000))*1000</f>
        <v>#VALUE!</v>
      </c>
      <c r="BD51" s="144" t="e">
        <f>SQRT((EXP(Constants!$B$17*AW51*1000)*V51)^2+((U51-1)*Constants!$B$17*EXP(Constants!$B$17*AW51*1000)*AY51*1000)^2)*1000</f>
        <v>#VALUE!</v>
      </c>
      <c r="BE51" s="138" t="e">
        <f t="shared" si="227"/>
        <v>#VALUE!</v>
      </c>
      <c r="BF51" s="151" t="e">
        <f t="shared" si="228"/>
        <v>#VALUE!</v>
      </c>
      <c r="BG51" s="160" t="e">
        <f t="shared" si="229"/>
        <v>#VALUE!</v>
      </c>
      <c r="BH51" s="138"/>
      <c r="BI51" s="18"/>
      <c r="BJ51" s="18"/>
      <c r="BK51" s="18"/>
      <c r="BL51" s="18"/>
      <c r="BM51" s="18"/>
      <c r="BN51" s="159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10932</v>
      </c>
      <c r="B52" s="18" t="str">
        <f>Input!B52</f>
        <v>CSM_1788</v>
      </c>
      <c r="C52" s="18">
        <f>Input!O52</f>
        <v>3.8908215145866611</v>
      </c>
      <c r="D52" s="18">
        <f>C52*Input!P52/100</f>
        <v>3.5362887415181184E-2</v>
      </c>
      <c r="E52" s="152">
        <f>Input!M52</f>
        <v>4.5321334407217888</v>
      </c>
      <c r="F52" s="153">
        <f>E52*Input!N52/100</f>
        <v>4.8799560961052939E-4</v>
      </c>
      <c r="G52" s="21">
        <f>E52*137.88</f>
        <v>624.89055880672026</v>
      </c>
      <c r="H52" s="153">
        <f>G52*Input!L52/100</f>
        <v>0.11472522998141944</v>
      </c>
      <c r="I52" s="18">
        <v>0.3</v>
      </c>
      <c r="J52" s="129">
        <f>(((C52*Constants!$B$24*0.000000001*Input!G52*(Constants!$B$4/Constants!$B$3))-(I52*0.000000000000001))/Input!F52)*1000000000000</f>
        <v>168.81246675638525</v>
      </c>
      <c r="K52" s="18">
        <f>J52*Input!P52/100</f>
        <v>1.5343022633664178</v>
      </c>
      <c r="L52" s="134">
        <f>(J52/Constants!$B$4)*602200000000*Constants!$B$17/(365.2425*24*60)</f>
        <v>2.3306435385588626</v>
      </c>
      <c r="M52" s="132">
        <f>L52*Input!P52/100</f>
        <v>2.1182746304344982E-2</v>
      </c>
      <c r="N52" s="18">
        <v>5.0000000000000001E-3</v>
      </c>
      <c r="O52" s="129">
        <f>(((G52*Constants!$B$23*0.000000001*Input!G52*(Constants!$B$7/Constants!$B$6))-(N52*0.000000001))/Input!F52)*1000000</f>
        <v>2.7311680119456883</v>
      </c>
      <c r="P52" s="18">
        <f>O52*Input!N52/100</f>
        <v>2.9407739563951411E-4</v>
      </c>
      <c r="Q52" s="130">
        <f>(O52/Constants!$B$7)*602200000000000000*Constants!$B$18/(365.2425*24*60)</f>
        <v>2.0377811485722575</v>
      </c>
      <c r="R52" s="131">
        <f>Q52*Input!N52/100</f>
        <v>2.1941724948239621E-4</v>
      </c>
      <c r="S52" s="132">
        <f>Input!S52*Constants!$B$17/Constants!$B$18</f>
        <v>1.1469083128526272</v>
      </c>
      <c r="T52" s="18">
        <f>S52*Input!T52/100</f>
        <v>1.058676118091966E-3</v>
      </c>
      <c r="U52" s="18">
        <f>S52*1/((U51+U53)/2)</f>
        <v>1.1477867842616685</v>
      </c>
      <c r="V52" s="18">
        <f>U52*Input!T52/100</f>
        <v>1.0594870082832365E-3</v>
      </c>
      <c r="W52" s="133">
        <v>3.0000000000000001E-3</v>
      </c>
      <c r="X52" s="129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2.1529148062399032E-2</v>
      </c>
      <c r="Y52" s="129">
        <f>X52*Input!X52/100</f>
        <v>4.6599574614427313E-4</v>
      </c>
      <c r="Z52" s="129">
        <f>(X52/Constants!$B$11)*6.022E+23*0.000000001*Constants!$B$19/(365.2425*24*60)</f>
        <v>5.2559610520630251E-6</v>
      </c>
      <c r="AA52" s="129">
        <f>Z52*Input!X52/100</f>
        <v>1.1376462668483423E-7</v>
      </c>
      <c r="AB52" s="134">
        <v>0.05</v>
      </c>
      <c r="AC52" s="134">
        <v>0.9</v>
      </c>
      <c r="AD52" s="129">
        <f>(((Input!G52*Constants!$B$25*0.000000001*Input!U52*(Constants!$B$10/Constants!$B$9))-((AB52*0.000000000000001)+(Input!G52*AC52*0.000000000000001)))/Input!F52)*1000000000000</f>
        <v>0.36640641417103881</v>
      </c>
      <c r="AE52" s="129">
        <f>AD52*Input!V52/100</f>
        <v>1.0405499235021581E-2</v>
      </c>
      <c r="AF52" s="129">
        <f>(AD52/Constants!$B$10)*602200000000*Constants!$B$16/(365.2425*24*60)</f>
        <v>1.6724865704472708E-2</v>
      </c>
      <c r="AG52" s="129">
        <f>AF52*Input!V52/100</f>
        <v>4.7496596828813104E-4</v>
      </c>
      <c r="AH52" s="18">
        <f>AF52/Z52</f>
        <v>3182.0756544434448</v>
      </c>
      <c r="AI52" s="133">
        <f>AH52*SQRT((AG52/AF52)^2+(AA52/Z52)^2)</f>
        <v>113.62247160558435</v>
      </c>
      <c r="AJ52" s="132">
        <f t="shared" si="213"/>
        <v>147.78678426166846</v>
      </c>
      <c r="AK52" s="133">
        <f>V52*1000</f>
        <v>1.0594870082832366</v>
      </c>
      <c r="AL52" s="133">
        <f>AF52/Q52</f>
        <v>8.2073905317019691E-3</v>
      </c>
      <c r="AM52" s="133">
        <f>AL52*SQRT((R52/Q52)^2+(AG52/AF52)^2)</f>
        <v>2.3308164499168148E-4</v>
      </c>
      <c r="AN52" s="18">
        <f>AL52*1/((AN51+AN53)/2)</f>
        <v>8.218309560629692E-3</v>
      </c>
      <c r="AO52" s="129">
        <f>AN52*SQRT((R52/Q52)^2+(AG52/AF52)^2)</f>
        <v>2.3339173444268969E-4</v>
      </c>
      <c r="AP52" s="18">
        <f>ThU_Alter_Kombi(AN52,U52)</f>
        <v>0.78349999999999997</v>
      </c>
      <c r="AQ52" s="18">
        <f t="shared" si="219"/>
        <v>2.2499999999999999E-2</v>
      </c>
      <c r="AR52" s="154">
        <f>(AQ52/AP52)</f>
        <v>2.8717294192724951E-2</v>
      </c>
      <c r="AS52" s="131">
        <f t="shared" si="220"/>
        <v>2.5792568822935377E-6</v>
      </c>
      <c r="AT52" s="131">
        <f t="shared" si="221"/>
        <v>5.5828386871649378E-8</v>
      </c>
      <c r="AU52" s="18">
        <v>8</v>
      </c>
      <c r="AV52" s="18">
        <f>AU52/2</f>
        <v>4</v>
      </c>
      <c r="AW52" s="18">
        <f t="shared" si="223"/>
        <v>0.78149999999999997</v>
      </c>
      <c r="AX52" s="135">
        <f t="shared" si="224"/>
        <v>2.2193803599999999E-2</v>
      </c>
      <c r="AY52" s="135">
        <f t="shared" si="225"/>
        <v>2.239112813148679E-2</v>
      </c>
      <c r="AZ52" s="154">
        <f t="shared" si="226"/>
        <v>2.8398980934101089E-2</v>
      </c>
      <c r="BA52" s="18" t="str">
        <f>Input!B52</f>
        <v>CSM_1788</v>
      </c>
      <c r="BB52" s="136">
        <f>Input!E52</f>
        <v>0</v>
      </c>
      <c r="BC52" s="18">
        <f>((U52-1)*EXP(Constants!$B$17*AW52*1000))*1000</f>
        <v>148.11307881014343</v>
      </c>
      <c r="BD52" s="132">
        <f>SQRT((EXP(Constants!$B$17*AW52*1000)*V52)^2+((U52-1)*Constants!$B$17*EXP(Constants!$B$17*AW52*1000)*AY52*1000)^2)*1000</f>
        <v>1.0618674675099733</v>
      </c>
      <c r="BE52" s="18">
        <f t="shared" si="227"/>
        <v>723.5</v>
      </c>
      <c r="BF52" s="137">
        <f t="shared" si="228"/>
        <v>11.195564065743396</v>
      </c>
      <c r="BG52" s="20">
        <f t="shared" si="229"/>
        <v>2.865147553613153</v>
      </c>
      <c r="BH52" s="18"/>
      <c r="BI52" s="18"/>
      <c r="BJ52" s="18"/>
      <c r="BK52" s="18"/>
      <c r="BL52" s="18"/>
      <c r="BM52" s="18"/>
      <c r="BN52" s="159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8">
        <f>Input!A53</f>
        <v>10815</v>
      </c>
      <c r="B53" s="138" t="str">
        <f>Input!B53</f>
        <v>Hu1-13</v>
      </c>
      <c r="C53" s="138">
        <f>Input!O53</f>
        <v>2.0955659112401528</v>
      </c>
      <c r="D53" s="138">
        <f>C53*Input!P53/100</f>
        <v>1.5761273861753151E-2</v>
      </c>
      <c r="E53" s="139">
        <f>Input!M53</f>
        <v>2.7320200583565573</v>
      </c>
      <c r="F53" s="140">
        <f>E53*Input!N53/100</f>
        <v>3.0652786720735092E-4</v>
      </c>
      <c r="G53" s="141">
        <f t="shared" ref="G53" si="257">E53*137.88</f>
        <v>376.69092564620212</v>
      </c>
      <c r="H53" s="140">
        <f>G53*Input!L53/100</f>
        <v>2.0924391365645771E-2</v>
      </c>
      <c r="I53" s="138">
        <v>0</v>
      </c>
      <c r="J53" s="142">
        <f>(((C53*Constants!$B$24*0.000000001*Input!G53*(Constants!$B$4/Constants!$B$3))-(I53*0.000000000000001))/Input!F53)*1000000000000</f>
        <v>756.57796713772632</v>
      </c>
      <c r="K53" s="138">
        <f>J53*Input!P53/100</f>
        <v>5.6904115847013372</v>
      </c>
      <c r="L53" s="143">
        <f>(J53/Constants!$B$4)*602200000000*Constants!$B$17/(365.2425*24*60)</f>
        <v>10.445398876080606</v>
      </c>
      <c r="M53" s="144">
        <f>L53*Input!P53/100</f>
        <v>7.8562450075228385E-2</v>
      </c>
      <c r="N53" s="138">
        <v>0</v>
      </c>
      <c r="O53" s="142">
        <f>(((G53*Constants!$B$23*0.000000001*Input!G53*(Constants!$B$7/Constants!$B$6))-(N53*0.000000001))/Input!F53)*1000000</f>
        <v>13.699951306606421</v>
      </c>
      <c r="P53" s="138">
        <f>O53*Input!N53/100</f>
        <v>1.537110550127066E-3</v>
      </c>
      <c r="Q53" s="145">
        <f>(O53/Constants!$B$7)*602200000000000000*Constants!$B$18/(365.2425*24*60)</f>
        <v>10.221818059838784</v>
      </c>
      <c r="R53" s="146">
        <f>Q53*Input!N53/100</f>
        <v>1.1468700895076074E-3</v>
      </c>
      <c r="S53" s="144">
        <f>Input!S53*Constants!$B$17/Constants!$B$18</f>
        <v>0.99896011466350887</v>
      </c>
      <c r="T53" s="138">
        <f>S53*Input!T53/100</f>
        <v>1.6577745771463063E-3</v>
      </c>
      <c r="U53" s="144">
        <f>S53</f>
        <v>0.99896011466350887</v>
      </c>
      <c r="V53" s="138">
        <f>U53*Input!T53/100</f>
        <v>1.6577745771463063E-3</v>
      </c>
      <c r="W53" s="147">
        <v>0</v>
      </c>
      <c r="X53" s="142">
        <f>(((Constants!$B$25*0.000000001*Input!G53/Input!W53*(Constants!$B$11/Constants!$B$9))-(W53*0.000000001))/Input!F53)*1000000000</f>
        <v>0.95232152905175749</v>
      </c>
      <c r="Y53" s="142">
        <f>X53*Input!X53/100</f>
        <v>5.9525466094430979E-3</v>
      </c>
      <c r="Z53" s="142">
        <f>(X53/Constants!$B$11)*6.022E+23*0.000000001*Constants!$B$19/(365.2425*24*60)</f>
        <v>2.3249247258785334E-4</v>
      </c>
      <c r="AA53" s="142">
        <f>Z53*Input!X53/100</f>
        <v>1.4532090656417938E-6</v>
      </c>
      <c r="AB53" s="143">
        <v>0</v>
      </c>
      <c r="AC53" s="143">
        <v>0.9</v>
      </c>
      <c r="AD53" s="142">
        <f>(((Input!G53*Constants!$B$25*0.000000001*Input!U53*(Constants!$B$10/Constants!$B$9))-((AB53*0.000000000000001)+(Input!G53*AC53*0.000000000000001)))/Input!F53)*1000000000000</f>
        <v>223.4878402122996</v>
      </c>
      <c r="AE53" s="142">
        <f>AD53*Input!V53/100</f>
        <v>0.80830877085293029</v>
      </c>
      <c r="AF53" s="142">
        <f>(AD53/Constants!$B$10)*602200000000*Constants!$B$16/(365.2425*24*60)</f>
        <v>10.20125186015045</v>
      </c>
      <c r="AG53" s="142">
        <f>AF53*Input!V53/100</f>
        <v>3.6895794171201507E-2</v>
      </c>
      <c r="AH53" s="138">
        <f t="shared" ref="AH53" si="258">AF53/Z53</f>
        <v>43877.772671954532</v>
      </c>
      <c r="AI53" s="147">
        <f t="shared" ref="AI53" si="259">AH53*SQRT((AG53/AF53)^2+(AA53/Z53)^2)</f>
        <v>316.86535022453177</v>
      </c>
      <c r="AJ53" s="144">
        <f t="shared" si="213"/>
        <v>-1.0398853364911309</v>
      </c>
      <c r="AK53" s="147">
        <f t="shared" ref="AK53" si="260">V53*1000</f>
        <v>1.6577745771463064</v>
      </c>
      <c r="AL53" s="147">
        <f t="shared" ref="AL53" si="261">AF53/Q53</f>
        <v>0.9979880096116035</v>
      </c>
      <c r="AM53" s="147">
        <f t="shared" ref="AM53" si="262">AL53*SQRT((R53/Q53)^2+(AG53/AF53)^2)</f>
        <v>3.6112502400297902E-3</v>
      </c>
      <c r="AN53" s="138">
        <f>AF53/Q53</f>
        <v>0.9979880096116035</v>
      </c>
      <c r="AO53" s="142">
        <f t="shared" ref="AO53" si="263">AN53*SQRT((R53/Q53)^2+(AG53/AF53)^2)</f>
        <v>3.6112502400297902E-3</v>
      </c>
      <c r="AP53" s="138">
        <f t="shared" ref="AP53" si="264">ThU_Alter_Kombi(AN53,U53)</f>
        <v>825.0104</v>
      </c>
      <c r="AQ53" s="138" t="e">
        <f t="shared" si="219"/>
        <v>#VALUE!</v>
      </c>
      <c r="AR53" s="138" t="e">
        <f>(AQ53/AP53)*100</f>
        <v>#VALUE!</v>
      </c>
      <c r="AS53" s="146">
        <f t="shared" si="220"/>
        <v>2.2744728112634805E-5</v>
      </c>
      <c r="AT53" s="146">
        <f t="shared" si="221"/>
        <v>1.421902791351892E-7</v>
      </c>
      <c r="AU53" s="138">
        <v>0.75</v>
      </c>
      <c r="AV53" s="138">
        <f t="shared" ref="AV53" si="265">AU53/2</f>
        <v>0.375</v>
      </c>
      <c r="AW53" s="138">
        <f t="shared" si="223"/>
        <v>825.00850000000003</v>
      </c>
      <c r="AX53" s="148">
        <f t="shared" si="224"/>
        <v>331.2713865577</v>
      </c>
      <c r="AY53" s="148">
        <f t="shared" si="225"/>
        <v>912.69026290923432</v>
      </c>
      <c r="AZ53" s="149">
        <f t="shared" si="226"/>
        <v>0.40153693756815839</v>
      </c>
      <c r="BA53" s="138" t="str">
        <f>Input!B53</f>
        <v>Hu1-13</v>
      </c>
      <c r="BB53" s="150">
        <f>Input!E53</f>
        <v>0</v>
      </c>
      <c r="BC53" s="138">
        <f>((U53-1)*EXP(Constants!$B$17*AW53*1000))*1000</f>
        <v>-10.668910391463388</v>
      </c>
      <c r="BD53" s="144">
        <f>SQRT((EXP(Constants!$B$17*AW53*1000)*V53)^2+((U53-1)*Constants!$B$17*EXP(Constants!$B$17*AW53*1000)*AY53*1000)^2)*1000</f>
        <v>32.317290001376819</v>
      </c>
      <c r="BE53" s="138">
        <f t="shared" si="227"/>
        <v>824950.5</v>
      </c>
      <c r="BF53" s="151">
        <f t="shared" si="228"/>
        <v>456345.13145461713</v>
      </c>
      <c r="BG53" s="160">
        <f t="shared" si="229"/>
        <v>110.62798297341594</v>
      </c>
      <c r="BH53" s="138"/>
      <c r="BI53" s="18"/>
      <c r="BJ53" s="18"/>
      <c r="BK53" s="18"/>
      <c r="BL53" s="18"/>
      <c r="BM53" s="18"/>
      <c r="BN53" s="159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10933</v>
      </c>
      <c r="B54" s="18" t="str">
        <f>Input!B54</f>
        <v>CSM_1818</v>
      </c>
      <c r="C54" s="18">
        <f>Input!O54</f>
        <v>3.9940671564258485</v>
      </c>
      <c r="D54" s="18">
        <f>C54*Input!P54/100</f>
        <v>1.8709029419415636E-2</v>
      </c>
      <c r="E54" s="152">
        <f>Input!M54</f>
        <v>4.5376360347567797</v>
      </c>
      <c r="F54" s="153">
        <f>E54*Input!N54/100</f>
        <v>3.8874195198412349E-4</v>
      </c>
      <c r="G54" s="21">
        <f>E54*137.88</f>
        <v>625.64925647226471</v>
      </c>
      <c r="H54" s="153">
        <f>G54*Input!L54/100</f>
        <v>3.8814091837138923E-2</v>
      </c>
      <c r="I54" s="18">
        <v>0.3</v>
      </c>
      <c r="J54" s="129">
        <f>(((C54*Constants!$B$24*0.000000001*Input!G54*(Constants!$B$4/Constants!$B$3))-(I54*0.000000000000001))/Input!F54)*1000000000000</f>
        <v>176.12434303885962</v>
      </c>
      <c r="K54" s="18">
        <f>J54*Input!P54/100</f>
        <v>0.82500253158936876</v>
      </c>
      <c r="L54" s="134">
        <f>(J54/Constants!$B$4)*602200000000*Constants!$B$17/(365.2425*24*60)</f>
        <v>2.431592109123164</v>
      </c>
      <c r="M54" s="132">
        <f>L54*Input!P54/100</f>
        <v>1.1390075961144844E-2</v>
      </c>
      <c r="N54" s="18">
        <v>5.0000000000000001E-3</v>
      </c>
      <c r="O54" s="129">
        <f>(((G54*Constants!$B$23*0.000000001*Input!G54*(Constants!$B$7/Constants!$B$6))-(N54*0.000000001))/Input!F54)*1000000</f>
        <v>2.7791756778260579</v>
      </c>
      <c r="P54" s="18">
        <f>O54*Input!N54/100</f>
        <v>2.3809361738789402E-4</v>
      </c>
      <c r="Q54" s="130">
        <f>(O54/Constants!$B$7)*602200000000000000*Constants!$B$18/(365.2425*24*60)</f>
        <v>2.0736006646511225</v>
      </c>
      <c r="R54" s="131">
        <f>Q54*Input!N54/100</f>
        <v>1.7764659039147914E-4</v>
      </c>
      <c r="S54" s="132">
        <f>Input!S54*Constants!$B$17/Constants!$B$18</f>
        <v>1.1467208085556073</v>
      </c>
      <c r="T54" s="18">
        <f>S54*Input!T54/100</f>
        <v>8.1117592818494798E-4</v>
      </c>
      <c r="U54" s="18">
        <f>S54*1/((U53+U55)/2)</f>
        <v>1.1470707616553186</v>
      </c>
      <c r="V54" s="18">
        <f>U54*Input!T54/100</f>
        <v>8.1142348062174133E-4</v>
      </c>
      <c r="W54" s="133">
        <v>3.0000000000000001E-3</v>
      </c>
      <c r="X54" s="129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2.4663049485901176E-2</v>
      </c>
      <c r="Y54" s="129">
        <f>X54*Input!X54/100</f>
        <v>3.777824613378547E-4</v>
      </c>
      <c r="Z54" s="129">
        <f>(X54/Constants!$B$11)*6.022E+23*0.000000001*Constants!$B$19/(365.2425*24*60)</f>
        <v>6.0210477045952777E-6</v>
      </c>
      <c r="AA54" s="129">
        <f>Z54*Input!X54/100</f>
        <v>9.2228912040052611E-8</v>
      </c>
      <c r="AB54" s="134">
        <v>0.05</v>
      </c>
      <c r="AC54" s="134">
        <v>0.9</v>
      </c>
      <c r="AD54" s="129">
        <f>(((Input!G54*Constants!$B$25*0.000000001*Input!U54*(Constants!$B$10/Constants!$B$9))-((AB54*0.000000000000001)+(Input!G54*AC54*0.000000000000001)))/Input!F54)*1000000000000</f>
        <v>0.28765475276887409</v>
      </c>
      <c r="AE54" s="129">
        <f>AD54*Input!V54/100</f>
        <v>1.0881930753163505E-2</v>
      </c>
      <c r="AF54" s="129">
        <f>(AD54/Constants!$B$10)*602200000000*Constants!$B$16/(365.2425*24*60)</f>
        <v>1.3130193477090565E-2</v>
      </c>
      <c r="AG54" s="129">
        <f>AF54*Input!V54/100</f>
        <v>4.9671300341121746E-4</v>
      </c>
      <c r="AH54" s="18">
        <f>AF54/Z54</f>
        <v>2180.7157360785518</v>
      </c>
      <c r="AI54" s="133">
        <f>AH54*SQRT((AG54/AF54)^2+(AA54/Z54)^2)</f>
        <v>89.002317317325094</v>
      </c>
      <c r="AJ54" s="132">
        <f t="shared" ref="AJ54:AJ55" si="266">(U54-1)*1000</f>
        <v>147.07076165531862</v>
      </c>
      <c r="AK54" s="133">
        <f>V54*1000</f>
        <v>0.8114234806217413</v>
      </c>
      <c r="AL54" s="133">
        <f>AF54/Q54</f>
        <v>6.3320742999953099E-3</v>
      </c>
      <c r="AM54" s="133">
        <f>AL54*SQRT((R54/Q54)^2+(AG54/AF54)^2)</f>
        <v>2.3954191642883065E-4</v>
      </c>
      <c r="AN54" s="18">
        <f>AL54*1/((AN53+AN55)/2)</f>
        <v>6.3456774200649838E-3</v>
      </c>
      <c r="AO54" s="129">
        <f>AN54*SQRT((R54/Q54)^2+(AG54/AF54)^2)</f>
        <v>2.4005652148501318E-4</v>
      </c>
      <c r="AP54" s="18">
        <f>ThU_Alter_Kombi(AN54,U54)</f>
        <v>0.60489999999999999</v>
      </c>
      <c r="AQ54" s="18">
        <f t="shared" ref="AQ54:AQ55" si="267">Montealter(AN54,AO54,U54,V54)</f>
        <v>2.3699999999999999E-2</v>
      </c>
      <c r="AR54" s="154">
        <f>(AQ54/AP54)</f>
        <v>3.9180029756984626E-2</v>
      </c>
      <c r="AS54" s="131">
        <f t="shared" ref="AS54:AS55" si="268">Z54/Q54</f>
        <v>2.9036679083088073E-6</v>
      </c>
      <c r="AT54" s="131">
        <f t="shared" ref="AT54:AT55" si="269">AS54*SQRT((Y54/X54)^2+(P54/O54)^2)</f>
        <v>4.4478358868010993E-8</v>
      </c>
      <c r="AU54" s="18">
        <v>8</v>
      </c>
      <c r="AV54" s="18">
        <f>AU54/2</f>
        <v>4</v>
      </c>
      <c r="AW54" s="18">
        <f t="shared" ref="AW54:AW55" si="270">marincorr_age(AN54,U54,AS54,AU54)</f>
        <v>0.60260000000000002</v>
      </c>
      <c r="AX54" s="135">
        <f t="shared" ref="AX54:AX55" si="271">marincorr_age_error(AN54, AO54, U54, V54, AS54, AT54, AU54, AV54)</f>
        <v>2.2787572900000001E-2</v>
      </c>
      <c r="AY54" s="135">
        <f t="shared" ref="AY54:AY55" si="272">SQRT(((AU54*EXP(-0.0000091577*AW54*1000))/(0.0000091577*(EXP(-0.0000091577*AW54*1000)+(AJ54/1000)*EXP(-(0.0000091577-0.0000028263)*AW54*1000)-AS54*AU54*EXP(-0.0000091577*AW54*1000))))^2*AT54^2+((AS54*EXP(-0.0000091577*AW54*1000))/(0.0000091577*(EXP(-0.0000091577*AW54*1000)+(AJ54/1000)*EXP(-(0.0000091577-0.0000028263)*AW54*1000)-AS54*AU54*EXP(-0.0000091577*AW54*1000))))^2*AV54^2+((0.0000091577/(0.0000091577-0.0000028263))*(EXP(-(0.0000091577-0.0000028263)*AW54*1000)-1)/(0.0000091577*(EXP(-0.0000091577*AW54*1000)+(AJ54/1000)*EXP(-(0.0000091577-0.0000028263)*AW54*1000)-AS54*AU54*EXP(-0.0000091577*AW54*1000))))^2*T54^2+(1/(0.0000091577*(EXP(-0.0000091577*AW54*1000)+(AJ54/1000)*EXP(-(0.0000091577-0.0000028263)*AW54*1000)-AS54*AU54*EXP(-0.0000091577*AW54*1000))))^2*AO54^2)/1000</f>
        <v>2.3005149815235274E-2</v>
      </c>
      <c r="AZ54" s="154">
        <f t="shared" ref="AZ54:AZ55" si="273">AX54/AW54</f>
        <v>3.7815421340856289E-2</v>
      </c>
      <c r="BA54" s="18" t="str">
        <f>Input!B54</f>
        <v>CSM_1818</v>
      </c>
      <c r="BB54" s="136">
        <f>Input!E54</f>
        <v>0</v>
      </c>
      <c r="BC54" s="18">
        <f>((U54-1)*EXP(Constants!$B$17*AW54*1000))*1000</f>
        <v>147.32107905526127</v>
      </c>
      <c r="BD54" s="132">
        <f>SQRT((EXP(Constants!$B$17*AW54*1000)*V54)^2+((U54-1)*Constants!$B$17*EXP(Constants!$B$17*AW54*1000)*AY54*1000)^2)*1000</f>
        <v>0.81286081029845159</v>
      </c>
      <c r="BE54" s="18">
        <f t="shared" ref="BE54:BE55" si="274">AW54*1000-58</f>
        <v>544.6</v>
      </c>
      <c r="BF54" s="137">
        <f t="shared" ref="BF54:BF55" si="275">AY54/2*1000</f>
        <v>11.502574907617637</v>
      </c>
      <c r="BG54" s="20">
        <f t="shared" ref="BG54:BG55" si="276">AY54/AW54*100</f>
        <v>3.8176484924054552</v>
      </c>
      <c r="BH54" s="18"/>
      <c r="BI54" s="18"/>
      <c r="BJ54" s="18"/>
      <c r="BK54" s="18"/>
      <c r="BL54" s="18"/>
      <c r="BM54" s="18"/>
      <c r="BN54" s="159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8">
        <f>Input!A55</f>
        <v>10815</v>
      </c>
      <c r="B55" s="138" t="str">
        <f>Input!B55</f>
        <v>Hu1-13</v>
      </c>
      <c r="C55" s="138">
        <f>Input!O55</f>
        <v>2.0609471820448548</v>
      </c>
      <c r="D55" s="138">
        <f>C55*Input!P55/100</f>
        <v>2.2646922022542103E-2</v>
      </c>
      <c r="E55" s="139">
        <f>Input!M55</f>
        <v>2.7325378355104148</v>
      </c>
      <c r="F55" s="140">
        <f>E55*Input!N55/100</f>
        <v>3.3622385648418086E-4</v>
      </c>
      <c r="G55" s="141">
        <f t="shared" ref="G55" si="277">E55*137.88</f>
        <v>376.76231676017596</v>
      </c>
      <c r="H55" s="140">
        <f>G55*Input!L55/100</f>
        <v>2.6917641387437793E-2</v>
      </c>
      <c r="I55" s="138">
        <v>0</v>
      </c>
      <c r="J55" s="142">
        <f>(((C55*Constants!$B$24*0.000000001*Input!G55*(Constants!$B$4/Constants!$B$3))-(I55*0.000000000000001))/Input!F55)*1000000000000</f>
        <v>744.0793062180278</v>
      </c>
      <c r="K55" s="138">
        <f>J55*Input!P55/100</f>
        <v>8.1763890764960667</v>
      </c>
      <c r="L55" s="143">
        <f>(J55/Constants!$B$4)*602200000000*Constants!$B$17/(365.2425*24*60)</f>
        <v>10.272840984635474</v>
      </c>
      <c r="M55" s="144">
        <f>L55*Input!P55/100</f>
        <v>0.11288412956715493</v>
      </c>
      <c r="N55" s="138">
        <v>0</v>
      </c>
      <c r="O55" s="142">
        <f>(((G55*Constants!$B$23*0.000000001*Input!G55*(Constants!$B$7/Constants!$B$6))-(N55*0.000000001))/Input!F55)*1000000</f>
        <v>13.702547745008772</v>
      </c>
      <c r="P55" s="138">
        <f>O55*Input!N55/100</f>
        <v>1.6860236614527587E-3</v>
      </c>
      <c r="Q55" s="145">
        <f>(O55/Constants!$B$7)*602200000000000000*Constants!$B$18/(365.2425*24*60)</f>
        <v>10.223755316428857</v>
      </c>
      <c r="R55" s="146">
        <f>Q55*Input!N55/100</f>
        <v>1.257977253075534E-3</v>
      </c>
      <c r="S55" s="144">
        <f>Input!S55*Constants!$B$17/Constants!$B$18</f>
        <v>1.0004297170514824</v>
      </c>
      <c r="T55" s="138">
        <f>S55*Input!T55/100</f>
        <v>1.9492210332213412E-3</v>
      </c>
      <c r="U55" s="144">
        <f>S55</f>
        <v>1.0004297170514824</v>
      </c>
      <c r="V55" s="138">
        <f>U55*Input!T55/100</f>
        <v>1.9492210332213412E-3</v>
      </c>
      <c r="W55" s="147">
        <v>0</v>
      </c>
      <c r="X55" s="142">
        <f>(((Constants!$B$25*0.000000001*Input!G55/Input!W55*(Constants!$B$11/Constants!$B$9))-(W55*0.000000001))/Input!F55)*1000000000</f>
        <v>0.95161499199434807</v>
      </c>
      <c r="Y55" s="142">
        <f>X55*Input!X55/100</f>
        <v>6.9705582302425177E-3</v>
      </c>
      <c r="Z55" s="142">
        <f>(X55/Constants!$B$11)*6.022E+23*0.000000001*Constants!$B$19/(365.2425*24*60)</f>
        <v>2.3231998405069343E-4</v>
      </c>
      <c r="AA55" s="142">
        <f>Z55*Input!X55/100</f>
        <v>1.7017386133025421E-6</v>
      </c>
      <c r="AB55" s="143">
        <v>0</v>
      </c>
      <c r="AC55" s="143">
        <v>0.9</v>
      </c>
      <c r="AD55" s="142">
        <f>(((Input!G55*Constants!$B$25*0.000000001*Input!U55*(Constants!$B$10/Constants!$B$9))-((AB55*0.000000000000001)+(Input!G55*AC55*0.000000000000001)))/Input!F55)*1000000000000</f>
        <v>223.47120282103708</v>
      </c>
      <c r="AE55" s="142">
        <f>AD55*Input!V55/100</f>
        <v>0.58370342701323208</v>
      </c>
      <c r="AF55" s="142">
        <f>(AD55/Constants!$B$10)*602200000000*Constants!$B$16/(365.2425*24*60)</f>
        <v>10.200492435304769</v>
      </c>
      <c r="AG55" s="142">
        <f>AF55*Input!V55/100</f>
        <v>2.664353311096709E-2</v>
      </c>
      <c r="AH55" s="138">
        <f t="shared" ref="AH55" si="278">AF55/Z55</f>
        <v>43907.081334333117</v>
      </c>
      <c r="AI55" s="147">
        <f t="shared" ref="AI55" si="279">AH55*SQRT((AG55/AF55)^2+(AA55/Z55)^2)</f>
        <v>341.45416243538858</v>
      </c>
      <c r="AJ55" s="144">
        <f t="shared" si="266"/>
        <v>0.42971705148242556</v>
      </c>
      <c r="AK55" s="147">
        <f t="shared" ref="AK55" si="280">V55*1000</f>
        <v>1.9492210332213411</v>
      </c>
      <c r="AL55" s="147">
        <f t="shared" ref="AL55" si="281">AF55/Q55</f>
        <v>0.99772462462137501</v>
      </c>
      <c r="AM55" s="147">
        <f t="shared" ref="AM55" si="282">AL55*SQRT((R55/Q55)^2+(AG55/AF55)^2)</f>
        <v>2.6089317158205722E-3</v>
      </c>
      <c r="AN55" s="138">
        <f>AF55/Q55</f>
        <v>0.99772462462137501</v>
      </c>
      <c r="AO55" s="142">
        <f t="shared" ref="AO55" si="283">AN55*SQRT((R55/Q55)^2+(AG55/AF55)^2)</f>
        <v>2.6089317158205722E-3</v>
      </c>
      <c r="AP55" s="138">
        <f t="shared" ref="AP55" si="284">ThU_Alter_Kombi(AN55,U55)</f>
        <v>637.71069999999997</v>
      </c>
      <c r="AQ55" s="138" t="e">
        <f t="shared" si="267"/>
        <v>#VALUE!</v>
      </c>
      <c r="AR55" s="138" t="e">
        <f>(AQ55/AP55)*100</f>
        <v>#VALUE!</v>
      </c>
      <c r="AS55" s="146">
        <f t="shared" si="268"/>
        <v>2.272354696100478E-5</v>
      </c>
      <c r="AT55" s="146">
        <f t="shared" si="269"/>
        <v>1.6647294797156985E-7</v>
      </c>
      <c r="AU55" s="138">
        <v>0.75</v>
      </c>
      <c r="AV55" s="138">
        <f t="shared" ref="AV55" si="285">AU55/2</f>
        <v>0.375</v>
      </c>
      <c r="AW55" s="138">
        <f t="shared" si="270"/>
        <v>637.70889999999997</v>
      </c>
      <c r="AX55" s="148">
        <f t="shared" si="271"/>
        <v>290.32042679400001</v>
      </c>
      <c r="AY55" s="148">
        <f t="shared" si="272"/>
        <v>142.45923206380962</v>
      </c>
      <c r="AZ55" s="149">
        <f t="shared" si="273"/>
        <v>0.45525541010012566</v>
      </c>
      <c r="BA55" s="138" t="str">
        <f>Input!B55</f>
        <v>Hu1-13</v>
      </c>
      <c r="BB55" s="150">
        <f>Input!E55</f>
        <v>0</v>
      </c>
      <c r="BC55" s="138">
        <f>((U55-1)*EXP(Constants!$B$17*AW55*1000))*1000</f>
        <v>2.5987341774315054</v>
      </c>
      <c r="BD55" s="144">
        <f>SQRT((EXP(Constants!$B$17*AW55*1000)*V55)^2+((U55-1)*Constants!$B$17*EXP(Constants!$B$17*AW55*1000)*AY55*1000)^2)*1000</f>
        <v>11.834214266987704</v>
      </c>
      <c r="BE55" s="138">
        <f t="shared" si="274"/>
        <v>637650.9</v>
      </c>
      <c r="BF55" s="151">
        <f t="shared" si="275"/>
        <v>71229.616031904807</v>
      </c>
      <c r="BG55" s="160">
        <f t="shared" si="276"/>
        <v>22.339225948361332</v>
      </c>
      <c r="BH55" s="138"/>
      <c r="BI55" s="18"/>
      <c r="BJ55" s="18"/>
      <c r="BK55" s="18"/>
      <c r="BL55" s="18"/>
      <c r="BM55" s="18"/>
      <c r="BN55" s="159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87" zoomScaleNormal="87" workbookViewId="0">
      <pane ySplit="3" topLeftCell="A25" activePane="bottomLeft" state="frozenSplit"/>
      <selection pane="bottomLeft" activeCell="D54" sqref="D54:D55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6" bestFit="1" customWidth="1"/>
    <col min="4" max="6" width="11.5703125" style="76" bestFit="1" customWidth="1"/>
    <col min="7" max="7" width="12.85546875" style="76" bestFit="1" customWidth="1"/>
    <col min="8" max="8" width="11.5703125" style="76" bestFit="1" customWidth="1"/>
    <col min="9" max="9" width="14" style="75" bestFit="1" customWidth="1"/>
    <col min="10" max="10" width="11.5703125" style="75" bestFit="1" customWidth="1"/>
    <col min="11" max="12" width="11.5703125" style="73" bestFit="1" customWidth="1"/>
    <col min="13" max="13" width="14.28515625" style="73" bestFit="1" customWidth="1"/>
    <col min="14" max="14" width="11.5703125" style="73" bestFit="1" customWidth="1"/>
    <col min="15" max="15" width="14.5703125" style="78" bestFit="1" customWidth="1"/>
    <col min="16" max="16" width="11.5703125" style="78" bestFit="1" customWidth="1"/>
    <col min="17" max="17" width="14.5703125" style="179" bestFit="1" customWidth="1"/>
    <col min="18" max="18" width="13.7109375" style="78" bestFit="1" customWidth="1"/>
    <col min="19" max="19" width="11.5703125" style="73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1" t="s">
        <v>65</v>
      </c>
      <c r="B1" s="161" t="s">
        <v>0</v>
      </c>
      <c r="C1" s="162" t="s">
        <v>120</v>
      </c>
      <c r="D1" s="162" t="s">
        <v>109</v>
      </c>
      <c r="E1" s="163" t="s">
        <v>121</v>
      </c>
      <c r="F1" s="162" t="s">
        <v>109</v>
      </c>
      <c r="G1" s="164" t="s">
        <v>122</v>
      </c>
      <c r="H1" s="162" t="s">
        <v>109</v>
      </c>
      <c r="I1" s="165" t="s">
        <v>123</v>
      </c>
      <c r="J1" s="162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4" t="s">
        <v>124</v>
      </c>
      <c r="X1" s="162" t="s">
        <v>109</v>
      </c>
      <c r="Y1" s="164" t="s">
        <v>122</v>
      </c>
      <c r="Z1" s="162" t="s">
        <v>109</v>
      </c>
      <c r="AA1" s="164" t="s">
        <v>125</v>
      </c>
      <c r="AB1" s="162" t="s">
        <v>109</v>
      </c>
    </row>
    <row r="2" spans="1:28" ht="18.75" thickBot="1" x14ac:dyDescent="0.35">
      <c r="A2" s="166"/>
      <c r="B2" s="166"/>
      <c r="C2" s="167" t="s">
        <v>35</v>
      </c>
      <c r="D2" s="167" t="s">
        <v>33</v>
      </c>
      <c r="E2" s="168" t="s">
        <v>36</v>
      </c>
      <c r="F2" s="168" t="s">
        <v>37</v>
      </c>
      <c r="G2" s="169" t="s">
        <v>76</v>
      </c>
      <c r="H2" s="169" t="s">
        <v>77</v>
      </c>
      <c r="I2" s="170" t="s">
        <v>76</v>
      </c>
      <c r="J2" s="170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69" t="s">
        <v>76</v>
      </c>
      <c r="X2" s="169" t="s">
        <v>77</v>
      </c>
      <c r="Y2" s="169" t="s">
        <v>76</v>
      </c>
      <c r="Z2" s="169" t="s">
        <v>77</v>
      </c>
      <c r="AA2" s="169" t="s">
        <v>76</v>
      </c>
      <c r="AB2" s="169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1">
        <f>Calc!O7</f>
        <v>13.702861900025455</v>
      </c>
      <c r="D7" s="171">
        <f>Calc!P7</f>
        <v>9.7819057911655537E-4</v>
      </c>
      <c r="E7" s="171">
        <f>Calc!X7</f>
        <v>0.89229610430290107</v>
      </c>
      <c r="F7" s="171">
        <f>Calc!Y7</f>
        <v>5.0855753775715263E-3</v>
      </c>
      <c r="G7" s="171">
        <f>Calc!AN7</f>
        <v>0.99446189820055109</v>
      </c>
      <c r="H7" s="172">
        <f>Calc!AO7</f>
        <v>2.7501623590841409E-3</v>
      </c>
      <c r="I7" s="15">
        <f>Calc!AH7</f>
        <v>46673.91827400303</v>
      </c>
      <c r="J7" s="15">
        <f>Calc!AI7</f>
        <v>295.65717044756207</v>
      </c>
      <c r="K7" s="15">
        <f>Calc!AJ7</f>
        <v>-0.17222370134106768</v>
      </c>
      <c r="L7" s="15">
        <f>Calc!AK7</f>
        <v>0.98937845435632243</v>
      </c>
      <c r="M7" s="173">
        <f>Calc!AP7</f>
        <v>571.48569999999995</v>
      </c>
      <c r="N7" s="173" t="e">
        <f>Calc!AQ7</f>
        <v>#VALUE!</v>
      </c>
      <c r="O7" s="173">
        <f>Calc!AW7</f>
        <v>571.48389999999995</v>
      </c>
      <c r="P7" s="173">
        <f>Calc!AX7</f>
        <v>151.35194514119999</v>
      </c>
      <c r="Q7" s="174">
        <f>Calc!BC7</f>
        <v>-0.86398557737022996</v>
      </c>
      <c r="R7" s="173">
        <f>Calc!BD7</f>
        <v>4.9657507541367227</v>
      </c>
      <c r="S7" s="15">
        <f>Input!E7</f>
        <v>0</v>
      </c>
      <c r="T7" s="68"/>
      <c r="U7" s="68">
        <f>Input!K7</f>
        <v>7.1451118307029431E-3</v>
      </c>
      <c r="W7" s="68">
        <f>Calc!AS7</f>
        <v>2.1306586954248875E-5</v>
      </c>
      <c r="X7" s="68">
        <f>Calc!AT7</f>
        <v>1.2144483484556861E-7</v>
      </c>
      <c r="Y7" s="68">
        <f>Calc!AN7</f>
        <v>0.99446189820055109</v>
      </c>
      <c r="Z7" s="68">
        <f>Calc!AO7</f>
        <v>2.7501623590841409E-3</v>
      </c>
      <c r="AA7" s="68">
        <f t="shared" ref="AA7:AA21" si="0">1+K7/1000</f>
        <v>0.99982777629865893</v>
      </c>
      <c r="AB7" s="68">
        <f t="shared" ref="AB7:AB21" si="1">J7/1000</f>
        <v>0.29565717044756207</v>
      </c>
    </row>
    <row r="8" spans="1:28" x14ac:dyDescent="0.2">
      <c r="A8" s="68">
        <f>Input!A8</f>
        <v>10919</v>
      </c>
      <c r="B8" s="68" t="str">
        <f>Input!B8</f>
        <v>SO236_7_1</v>
      </c>
      <c r="C8" s="175">
        <f>Calc!O8</f>
        <v>3.8147254189337043</v>
      </c>
      <c r="D8" s="175">
        <f>Calc!P8</f>
        <v>1.7364668324675343E-4</v>
      </c>
      <c r="E8" s="175">
        <f>Calc!X8</f>
        <v>0.58122792514230925</v>
      </c>
      <c r="F8" s="175">
        <f>Calc!Y8</f>
        <v>8.5350946863662139E-4</v>
      </c>
      <c r="G8" s="175">
        <f>Calc!AN8</f>
        <v>0.20340381245177225</v>
      </c>
      <c r="H8" s="71">
        <f>Calc!AO8</f>
        <v>4.7991479742083765E-4</v>
      </c>
      <c r="I8" s="70">
        <f>Calc!AH8</f>
        <v>4067.1632348477315</v>
      </c>
      <c r="J8" s="70">
        <f>Calc!AI8</f>
        <v>11.301414788374437</v>
      </c>
      <c r="K8" s="70">
        <f>Calc!AJ8</f>
        <v>138.45634292234044</v>
      </c>
      <c r="L8" s="70">
        <f>Calc!AK8</f>
        <v>0.64086369740470472</v>
      </c>
      <c r="M8" s="176">
        <f>Calc!AP8</f>
        <v>21.377400000000002</v>
      </c>
      <c r="N8" s="176">
        <f>Calc!AQ8</f>
        <v>5.9700000000000003E-2</v>
      </c>
      <c r="O8" s="176">
        <f>Calc!AW8</f>
        <v>21.339500000000001</v>
      </c>
      <c r="P8" s="176">
        <f>Calc!AY8</f>
        <v>6.0267997113946759E-2</v>
      </c>
      <c r="Q8" s="177">
        <f>Calc!BC8</f>
        <v>147.05055096062623</v>
      </c>
      <c r="R8" s="176">
        <f>Calc!BD8</f>
        <v>0.68110248809862017</v>
      </c>
      <c r="S8" s="70">
        <f>Input!E8</f>
        <v>0</v>
      </c>
      <c r="T8" s="68"/>
      <c r="U8" s="68">
        <f>Input!K8</f>
        <v>7.1418199923043296E-3</v>
      </c>
      <c r="W8" s="68">
        <f>Calc!AS8</f>
        <v>4.9853925386868484E-5</v>
      </c>
      <c r="X8" s="68">
        <f>Calc!AT8</f>
        <v>7.3243618136125468E-8</v>
      </c>
      <c r="Y8" s="68">
        <f>Calc!AN8</f>
        <v>0.20340381245177225</v>
      </c>
      <c r="Z8" s="68">
        <f>Calc!AO8</f>
        <v>4.7991479742083765E-4</v>
      </c>
      <c r="AA8" s="68">
        <f t="shared" si="0"/>
        <v>1.1384563429223404</v>
      </c>
      <c r="AB8" s="68">
        <f t="shared" si="1"/>
        <v>1.1301414788374438E-2</v>
      </c>
    </row>
    <row r="9" spans="1:28" x14ac:dyDescent="0.2">
      <c r="A9" s="13">
        <f>Input!A9</f>
        <v>10815</v>
      </c>
      <c r="B9" s="13" t="str">
        <f>Input!B9</f>
        <v>Hu1-13</v>
      </c>
      <c r="C9" s="171">
        <f>Calc!O9</f>
        <v>13.700380749040338</v>
      </c>
      <c r="D9" s="171">
        <f>Calc!P9</f>
        <v>1.2947057341594326E-3</v>
      </c>
      <c r="E9" s="171">
        <f>Calc!X9</f>
        <v>0.88429858064144207</v>
      </c>
      <c r="F9" s="171">
        <f>Calc!Y9</f>
        <v>2.9087921548889462E-3</v>
      </c>
      <c r="G9" s="171">
        <f>Calc!AN9</f>
        <v>0.99924756085287259</v>
      </c>
      <c r="H9" s="172">
        <f>Calc!AO9</f>
        <v>2.2611832835853639E-3</v>
      </c>
      <c r="I9" s="15">
        <f>Calc!AH9</f>
        <v>47314.105615742403</v>
      </c>
      <c r="J9" s="15">
        <f>Calc!AI9</f>
        <v>188.85221787826225</v>
      </c>
      <c r="K9" s="15">
        <f>Calc!AJ9</f>
        <v>0.20777937156157833</v>
      </c>
      <c r="L9" s="15">
        <f>Calc!AK9</f>
        <v>1.3966135550658039</v>
      </c>
      <c r="M9" s="173">
        <f>Calc!AP9</f>
        <v>747.93859999999995</v>
      </c>
      <c r="N9" s="173" t="e">
        <f>Calc!AQ9</f>
        <v>#VALUE!</v>
      </c>
      <c r="O9" s="173">
        <f>Calc!AW9</f>
        <v>747.93690000000004</v>
      </c>
      <c r="P9" s="173">
        <f>Calc!AX9</f>
        <v>351.6343621474</v>
      </c>
      <c r="Q9" s="178">
        <f>Calc!BC9</f>
        <v>1.7150535971843033</v>
      </c>
      <c r="R9" s="173">
        <f>Calc!BD9</f>
        <v>11.625528046469926</v>
      </c>
      <c r="S9" s="15">
        <f>Input!E9</f>
        <v>0</v>
      </c>
      <c r="T9" s="68"/>
      <c r="U9" s="68">
        <f>Input!K9</f>
        <v>7.1363371025790151E-3</v>
      </c>
      <c r="W9" s="68">
        <f>Calc!AS9</f>
        <v>2.1119443088878802E-5</v>
      </c>
      <c r="X9" s="68">
        <f>Calc!AT9</f>
        <v>6.9498491371204141E-8</v>
      </c>
      <c r="Y9" s="68">
        <f>Calc!AN9</f>
        <v>0.99924756085287259</v>
      </c>
      <c r="Z9" s="68">
        <f>Calc!AO9</f>
        <v>2.2611832835853639E-3</v>
      </c>
      <c r="AA9" s="68">
        <f t="shared" si="0"/>
        <v>1.0002077793715616</v>
      </c>
      <c r="AB9" s="68">
        <f t="shared" si="1"/>
        <v>0.18885221787826226</v>
      </c>
    </row>
    <row r="10" spans="1:28" x14ac:dyDescent="0.2">
      <c r="A10" s="68">
        <f>Input!A10</f>
        <v>10920</v>
      </c>
      <c r="B10" s="68" t="str">
        <f>Input!B10</f>
        <v>SO236_7_2</v>
      </c>
      <c r="C10" s="175">
        <f>Calc!O10</f>
        <v>3.4927182914369013</v>
      </c>
      <c r="D10" s="175">
        <f>Calc!P10</f>
        <v>1.2704613927150751E-4</v>
      </c>
      <c r="E10" s="175">
        <f>Calc!X10</f>
        <v>0.60711287808861247</v>
      </c>
      <c r="F10" s="175">
        <f>Calc!Y10</f>
        <v>1.0373494272064312E-3</v>
      </c>
      <c r="G10" s="175">
        <f>Calc!AN10</f>
        <v>0.20391537379313579</v>
      </c>
      <c r="H10" s="71">
        <f>Calc!AO10</f>
        <v>3.8305837766760929E-4</v>
      </c>
      <c r="I10" s="70">
        <f>Calc!AH10</f>
        <v>3577.8464610308392</v>
      </c>
      <c r="J10" s="70">
        <f>Calc!AI10</f>
        <v>9.0845033657348413</v>
      </c>
      <c r="K10" s="70">
        <f>Calc!AJ10</f>
        <v>138.00064033088734</v>
      </c>
      <c r="L10" s="70">
        <f>Calc!AK10</f>
        <v>0.48954865240567758</v>
      </c>
      <c r="M10" s="176">
        <f>Calc!AP10</f>
        <v>21.446300000000001</v>
      </c>
      <c r="N10" s="176">
        <f>Calc!AQ10</f>
        <v>4.3799999999999999E-2</v>
      </c>
      <c r="O10" s="176">
        <f>Calc!AW10</f>
        <v>21.402999999999999</v>
      </c>
      <c r="P10" s="176">
        <f>Calc!AY10</f>
        <v>5.0488177099105983E-2</v>
      </c>
      <c r="Q10" s="177">
        <f>Calc!BC10</f>
        <v>146.59282937605138</v>
      </c>
      <c r="R10" s="176">
        <f>Calc!BD10</f>
        <v>0.5204481870261809</v>
      </c>
      <c r="S10" s="70">
        <f>Input!E10</f>
        <v>0</v>
      </c>
      <c r="T10" s="68"/>
      <c r="U10" s="68">
        <f>Input!K10</f>
        <v>7.1374549083888265E-3</v>
      </c>
      <c r="W10" s="68">
        <f>Calc!AS10</f>
        <v>5.6875084824573174E-5</v>
      </c>
      <c r="X10" s="68">
        <f>Calc!AT10</f>
        <v>9.7202194791576497E-8</v>
      </c>
      <c r="Y10" s="68">
        <f>Calc!AN10</f>
        <v>0.20391537379313579</v>
      </c>
      <c r="Z10" s="68">
        <f>Calc!AO10</f>
        <v>3.8305837766760929E-4</v>
      </c>
      <c r="AA10" s="68">
        <f t="shared" si="0"/>
        <v>1.1380006403308873</v>
      </c>
      <c r="AB10" s="68">
        <f t="shared" si="1"/>
        <v>9.0845033657348407E-3</v>
      </c>
    </row>
    <row r="11" spans="1:28" x14ac:dyDescent="0.2">
      <c r="A11" s="13">
        <f>Input!A11</f>
        <v>10815</v>
      </c>
      <c r="B11" s="13" t="str">
        <f>Input!B11</f>
        <v>Hu1-13</v>
      </c>
      <c r="C11" s="171">
        <f>Calc!O11</f>
        <v>13.703520799991026</v>
      </c>
      <c r="D11" s="171">
        <f>Calc!P11</f>
        <v>1.1789478159669473E-3</v>
      </c>
      <c r="E11" s="171">
        <f>Calc!X11</f>
        <v>0.88616901671194959</v>
      </c>
      <c r="F11" s="171">
        <f>Calc!Y11</f>
        <v>3.5375119090326002E-3</v>
      </c>
      <c r="G11" s="171">
        <f>Calc!AN11</f>
        <v>0.99658352510400017</v>
      </c>
      <c r="H11" s="172">
        <f>Calc!AO11</f>
        <v>3.0997725384570595E-3</v>
      </c>
      <c r="I11" s="15">
        <f>Calc!AH11</f>
        <v>47099.157034498974</v>
      </c>
      <c r="J11" s="15">
        <f>Calc!AI11</f>
        <v>238.31694671015887</v>
      </c>
      <c r="K11" s="15">
        <f>Calc!AJ11</f>
        <v>-0.77485174961022807</v>
      </c>
      <c r="L11" s="15">
        <f>Calc!AK11</f>
        <v>1.1365339556203324</v>
      </c>
      <c r="M11" s="173">
        <f>Calc!AP11</f>
        <v>661.77480000000003</v>
      </c>
      <c r="N11" s="173" t="e">
        <f>Calc!AQ11</f>
        <v>#VALUE!</v>
      </c>
      <c r="O11" s="173">
        <f>Calc!AW11</f>
        <v>661.7731</v>
      </c>
      <c r="P11" s="173">
        <f>Calc!AX11</f>
        <v>295.31374530319999</v>
      </c>
      <c r="Q11" s="178">
        <f>Calc!BC11</f>
        <v>-5.0152327737151534</v>
      </c>
      <c r="R11" s="173">
        <f>Calc!BD11</f>
        <v>7.7157299253778895</v>
      </c>
      <c r="S11" s="15">
        <f>Input!E11</f>
        <v>0</v>
      </c>
      <c r="T11" s="68"/>
      <c r="U11" s="68">
        <f>Input!K11</f>
        <v>7.1345534342550261E-3</v>
      </c>
      <c r="W11" s="68">
        <f>Calc!AS11</f>
        <v>2.1159264578217979E-5</v>
      </c>
      <c r="X11" s="68">
        <f>Calc!AT11</f>
        <v>8.4485611929274643E-8</v>
      </c>
      <c r="Y11" s="68">
        <f>Calc!AN11</f>
        <v>0.99658352510400017</v>
      </c>
      <c r="Z11" s="68">
        <f>Calc!AO11</f>
        <v>3.0997725384570595E-3</v>
      </c>
      <c r="AA11" s="68">
        <f t="shared" si="0"/>
        <v>0.99922514825038977</v>
      </c>
      <c r="AB11" s="68">
        <f t="shared" si="1"/>
        <v>0.23831694671015888</v>
      </c>
    </row>
    <row r="12" spans="1:28" x14ac:dyDescent="0.2">
      <c r="A12" s="68">
        <f>Input!A12</f>
        <v>10921</v>
      </c>
      <c r="B12" s="68" t="str">
        <f>Input!B12</f>
        <v>SO236_7_3</v>
      </c>
      <c r="C12" s="175">
        <f>Calc!O12</f>
        <v>3.2887116280623627</v>
      </c>
      <c r="D12" s="175">
        <f>Calc!P12</f>
        <v>1.328881727637328E-4</v>
      </c>
      <c r="E12" s="175">
        <f>Calc!X12</f>
        <v>3.3584100855210015</v>
      </c>
      <c r="F12" s="175">
        <f>Calc!Y12</f>
        <v>6.2470489109364953E-3</v>
      </c>
      <c r="G12" s="175">
        <f>Calc!AN12</f>
        <v>0.20823800136506845</v>
      </c>
      <c r="H12" s="71">
        <f>Calc!AO12</f>
        <v>6.0681238887394561E-4</v>
      </c>
      <c r="I12" s="70">
        <f>Calc!AH12</f>
        <v>622.31066567185439</v>
      </c>
      <c r="J12" s="70">
        <f>Calc!AI12</f>
        <v>2.1512519978473001</v>
      </c>
      <c r="K12" s="70">
        <f>Calc!AJ12</f>
        <v>139.31390111870502</v>
      </c>
      <c r="L12" s="70">
        <f>Calc!AK12</f>
        <v>0.50436282791830911</v>
      </c>
      <c r="M12" s="176">
        <f>Calc!AP12</f>
        <v>21.9192</v>
      </c>
      <c r="N12" s="176">
        <f>Calc!AQ12</f>
        <v>7.2300000000000003E-2</v>
      </c>
      <c r="O12" s="176">
        <f>Calc!AW12</f>
        <v>21.664999999999999</v>
      </c>
      <c r="P12" s="176">
        <f>Calc!AY12</f>
        <v>0.14604722985048035</v>
      </c>
      <c r="Q12" s="177">
        <f>Calc!BC12</f>
        <v>148.0973160230422</v>
      </c>
      <c r="R12" s="176">
        <f>Calc!BD12</f>
        <v>0.53962499976682132</v>
      </c>
      <c r="S12" s="70">
        <f>Input!E12</f>
        <v>0</v>
      </c>
      <c r="T12" s="68"/>
      <c r="U12" s="68">
        <f>Input!K12</f>
        <v>7.1344008474642957E-3</v>
      </c>
      <c r="W12" s="68">
        <f>Calc!AS12</f>
        <v>3.3413664092832134E-4</v>
      </c>
      <c r="X12" s="68">
        <f>Calc!AT12</f>
        <v>6.2168119117340996E-7</v>
      </c>
      <c r="Y12" s="68">
        <f>Calc!AN12</f>
        <v>0.20823800136506845</v>
      </c>
      <c r="Z12" s="68">
        <f>Calc!AO12</f>
        <v>6.0681238887394561E-4</v>
      </c>
      <c r="AA12" s="68">
        <f t="shared" si="0"/>
        <v>1.139313901118705</v>
      </c>
      <c r="AB12" s="68">
        <f t="shared" si="1"/>
        <v>2.1512519978473003E-3</v>
      </c>
    </row>
    <row r="13" spans="1:28" x14ac:dyDescent="0.2">
      <c r="A13" s="13">
        <f>Input!A13</f>
        <v>10815</v>
      </c>
      <c r="B13" s="13" t="str">
        <f>Input!B13</f>
        <v>Hu1-13</v>
      </c>
      <c r="C13" s="171">
        <f>Calc!O13</f>
        <v>13.701453944006955</v>
      </c>
      <c r="D13" s="171">
        <f>Calc!P13</f>
        <v>1.3164298770741367E-3</v>
      </c>
      <c r="E13" s="171">
        <f>Calc!X13</f>
        <v>0.87395135404264557</v>
      </c>
      <c r="F13" s="171">
        <f>Calc!Y13</f>
        <v>3.160340986070243E-3</v>
      </c>
      <c r="G13" s="171">
        <f>Calc!AN13</f>
        <v>1.0005235742569916</v>
      </c>
      <c r="H13" s="172">
        <f>Calc!AO13</f>
        <v>2.5908726953707746E-3</v>
      </c>
      <c r="I13" s="15">
        <f>Calc!AH13</f>
        <v>47939.174440838397</v>
      </c>
      <c r="J13" s="15">
        <f>Calc!AI13</f>
        <v>213.1699478202774</v>
      </c>
      <c r="K13" s="15">
        <f>Calc!AJ13</f>
        <v>8.0877036342963393E-2</v>
      </c>
      <c r="L13" s="15">
        <f>Calc!AK13</f>
        <v>0.99529605777082364</v>
      </c>
      <c r="M13" s="173" t="str">
        <f>Calc!AP13</f>
        <v>Out of range</v>
      </c>
      <c r="N13" s="173" t="e">
        <f>Calc!AQ13</f>
        <v>#VALUE!</v>
      </c>
      <c r="O13" s="173" t="str">
        <f>Calc!AW13</f>
        <v>Out of range</v>
      </c>
      <c r="P13" s="173">
        <f>Calc!AX13</f>
        <v>351.36440772219999</v>
      </c>
      <c r="Q13" s="178" t="e">
        <f>Calc!BC13</f>
        <v>#VALUE!</v>
      </c>
      <c r="R13" s="173" t="e">
        <f>Calc!BD13</f>
        <v>#VALUE!</v>
      </c>
      <c r="S13" s="15">
        <f>Input!E13</f>
        <v>0</v>
      </c>
      <c r="T13" s="68"/>
      <c r="U13" s="68">
        <f>Input!K13</f>
        <v>7.1264027137097783E-3</v>
      </c>
      <c r="W13" s="68">
        <f>Calc!AS13</f>
        <v>2.0870688448999782E-5</v>
      </c>
      <c r="X13" s="68">
        <f>Calc!AT13</f>
        <v>7.5498217517948523E-8</v>
      </c>
      <c r="Y13" s="68">
        <f>Calc!AN13</f>
        <v>1.0005235742569916</v>
      </c>
      <c r="Z13" s="68">
        <f>Calc!AO13</f>
        <v>2.5908726953707746E-3</v>
      </c>
      <c r="AA13" s="68">
        <f t="shared" si="0"/>
        <v>1.000080877036343</v>
      </c>
      <c r="AB13" s="68">
        <f t="shared" si="1"/>
        <v>0.2131699478202774</v>
      </c>
    </row>
    <row r="14" spans="1:28" x14ac:dyDescent="0.2">
      <c r="A14" s="68">
        <f>Input!A14</f>
        <v>10922</v>
      </c>
      <c r="B14" s="68" t="str">
        <f>Input!B14</f>
        <v>SO236_7_4</v>
      </c>
      <c r="C14" s="175">
        <f>Calc!O14</f>
        <v>3.6049054588093097</v>
      </c>
      <c r="D14" s="175">
        <f>Calc!P14</f>
        <v>1.3504435937712682E-4</v>
      </c>
      <c r="E14" s="175">
        <f>Calc!X14</f>
        <v>1.074998092112174</v>
      </c>
      <c r="F14" s="175">
        <f>Calc!Y14</f>
        <v>1.8917298414796824E-3</v>
      </c>
      <c r="G14" s="175">
        <f>Calc!AN14</f>
        <v>0.20376166233265955</v>
      </c>
      <c r="H14" s="71">
        <f>Calc!AO14</f>
        <v>6.2495074915911396E-4</v>
      </c>
      <c r="I14" s="70">
        <f>Calc!AH14</f>
        <v>2087.2121515726672</v>
      </c>
      <c r="J14" s="70">
        <f>Calc!AI14</f>
        <v>7.3800662015403189</v>
      </c>
      <c r="K14" s="70">
        <f>Calc!AJ14</f>
        <v>137.90890271945489</v>
      </c>
      <c r="L14" s="70">
        <f>Calc!AK14</f>
        <v>0.80633139346097649</v>
      </c>
      <c r="M14" s="176">
        <f>Calc!AP14</f>
        <v>21.430399999999999</v>
      </c>
      <c r="N14" s="176">
        <f>Calc!AQ14</f>
        <v>7.85E-2</v>
      </c>
      <c r="O14" s="176">
        <f>Calc!AW14</f>
        <v>21.356200000000001</v>
      </c>
      <c r="P14" s="176">
        <f>Calc!AY14</f>
        <v>8.3199521358228987E-2</v>
      </c>
      <c r="Q14" s="177">
        <f>Calc!BC14</f>
        <v>146.47603328200603</v>
      </c>
      <c r="R14" s="176">
        <f>Calc!BD14</f>
        <v>0.85711230442223196</v>
      </c>
      <c r="S14" s="70">
        <f>Input!E14</f>
        <v>0</v>
      </c>
      <c r="T14" s="68"/>
      <c r="U14" s="68">
        <f>Input!K14</f>
        <v>7.1270408547796501E-3</v>
      </c>
      <c r="W14" s="68">
        <f>Calc!AS14</f>
        <v>9.7573073377687182E-5</v>
      </c>
      <c r="X14" s="68">
        <f>Calc!AT14</f>
        <v>1.7174329410417413E-7</v>
      </c>
      <c r="Y14" s="68">
        <f>Calc!AN14</f>
        <v>0.20376166233265955</v>
      </c>
      <c r="Z14" s="68">
        <f>Calc!AO14</f>
        <v>6.2495074915911396E-4</v>
      </c>
      <c r="AA14" s="68">
        <f t="shared" si="0"/>
        <v>1.1379089027194549</v>
      </c>
      <c r="AB14" s="68">
        <f t="shared" si="1"/>
        <v>7.3800662015403185E-3</v>
      </c>
    </row>
    <row r="15" spans="1:28" x14ac:dyDescent="0.2">
      <c r="A15" s="13">
        <f>Input!A15</f>
        <v>10815</v>
      </c>
      <c r="B15" s="13" t="str">
        <f>Input!B15</f>
        <v>Hu1-13</v>
      </c>
      <c r="C15" s="171">
        <f>Calc!O15</f>
        <v>13.702027153644027</v>
      </c>
      <c r="D15" s="171">
        <f>Calc!P15</f>
        <v>1.2117358771100758E-3</v>
      </c>
      <c r="E15" s="171">
        <f>Calc!X15</f>
        <v>0.87243836729960267</v>
      </c>
      <c r="F15" s="171">
        <f>Calc!Y15</f>
        <v>3.201317208215601E-3</v>
      </c>
      <c r="G15" s="171">
        <f>Calc!AN15</f>
        <v>0.99843640760371444</v>
      </c>
      <c r="H15" s="172">
        <f>Calc!AO15</f>
        <v>2.4191271474515428E-3</v>
      </c>
      <c r="I15" s="15">
        <f>Calc!AH15</f>
        <v>47924.137523885212</v>
      </c>
      <c r="J15" s="15">
        <f>Calc!AI15</f>
        <v>210.68710629219734</v>
      </c>
      <c r="K15" s="15">
        <f>Calc!AJ15</f>
        <v>-0.19268461533117343</v>
      </c>
      <c r="L15" s="15">
        <f>Calc!AK15</f>
        <v>1.064768832407891</v>
      </c>
      <c r="M15" s="173">
        <f>Calc!AP15</f>
        <v>725.65790000000004</v>
      </c>
      <c r="N15" s="173" t="e">
        <f>Calc!AQ15</f>
        <v>#VALUE!</v>
      </c>
      <c r="O15" s="173">
        <f>Calc!AW15</f>
        <v>725.65620000000001</v>
      </c>
      <c r="P15" s="173">
        <f>Calc!AX15</f>
        <v>346.17127907370002</v>
      </c>
      <c r="Q15" s="178">
        <f>Calc!BC15</f>
        <v>-1.493533503970786</v>
      </c>
      <c r="R15" s="173">
        <f>Calc!BD15</f>
        <v>8.3152538576565114</v>
      </c>
      <c r="S15" s="15">
        <f>Input!E15</f>
        <v>0</v>
      </c>
      <c r="T15" s="68"/>
      <c r="U15" s="68">
        <f>Input!K15</f>
        <v>7.1271127397094253E-3</v>
      </c>
      <c r="W15" s="68">
        <f>Calc!AS15</f>
        <v>2.0833685470210024E-5</v>
      </c>
      <c r="X15" s="68">
        <f>Calc!AT15</f>
        <v>7.6469129750047661E-8</v>
      </c>
      <c r="Y15" s="68">
        <f>Calc!AN15</f>
        <v>0.99843640760371444</v>
      </c>
      <c r="Z15" s="68">
        <f>Calc!AO15</f>
        <v>2.4191271474515428E-3</v>
      </c>
      <c r="AA15" s="68">
        <f t="shared" si="0"/>
        <v>0.99980731538466883</v>
      </c>
      <c r="AB15" s="68">
        <f t="shared" si="1"/>
        <v>0.21068710629219733</v>
      </c>
    </row>
    <row r="16" spans="1:28" x14ac:dyDescent="0.2">
      <c r="A16" s="68">
        <f>Input!A16</f>
        <v>10923</v>
      </c>
      <c r="B16" s="68" t="str">
        <f>Input!B16</f>
        <v>SO236_7_5</v>
      </c>
      <c r="C16" s="175">
        <f>Calc!O16</f>
        <v>3.0433235701837313</v>
      </c>
      <c r="D16" s="175">
        <f>Calc!P16</f>
        <v>1.3352472054979731E-4</v>
      </c>
      <c r="E16" s="175">
        <f>Calc!X16</f>
        <v>0.6405521633508362</v>
      </c>
      <c r="F16" s="175">
        <f>Calc!Y16</f>
        <v>1.1708413987909659E-3</v>
      </c>
      <c r="G16" s="175">
        <f>Calc!AN16</f>
        <v>0.19679543424410956</v>
      </c>
      <c r="H16" s="71">
        <f>Calc!AO16</f>
        <v>4.4655804512477165E-4</v>
      </c>
      <c r="I16" s="70">
        <f>Calc!AH16</f>
        <v>2852.7443819436594</v>
      </c>
      <c r="J16" s="70">
        <f>Calc!AI16</f>
        <v>8.3113284074705032</v>
      </c>
      <c r="K16" s="70">
        <f>Calc!AJ16</f>
        <v>142.36916306246948</v>
      </c>
      <c r="L16" s="70">
        <f>Calc!AK16</f>
        <v>0.63123253830309156</v>
      </c>
      <c r="M16" s="176">
        <f>Calc!AP16</f>
        <v>20.536300000000001</v>
      </c>
      <c r="N16" s="176">
        <f>Calc!AQ16</f>
        <v>4.8000000000000001E-2</v>
      </c>
      <c r="O16" s="176">
        <f>Calc!AW16</f>
        <v>20.484100000000002</v>
      </c>
      <c r="P16" s="176">
        <f>Calc!AY16</f>
        <v>5.8828610587434993E-2</v>
      </c>
      <c r="Q16" s="177">
        <f>Calc!BC16</f>
        <v>150.84167597074673</v>
      </c>
      <c r="R16" s="176">
        <f>Calc!BD16</f>
        <v>0.66926641544112475</v>
      </c>
      <c r="S16" s="70">
        <f>Input!E16</f>
        <v>0</v>
      </c>
      <c r="T16" s="68"/>
      <c r="U16" s="68">
        <f>Input!K16</f>
        <v>7.1307848266255729E-3</v>
      </c>
      <c r="W16" s="68">
        <f>Calc!AS16</f>
        <v>6.8868804400315487E-5</v>
      </c>
      <c r="X16" s="68">
        <f>Calc!AT16</f>
        <v>1.2591897670556603E-7</v>
      </c>
      <c r="Y16" s="68">
        <f>Calc!AN16</f>
        <v>0.19679543424410956</v>
      </c>
      <c r="Z16" s="68">
        <f>Calc!AO16</f>
        <v>4.4655804512477165E-4</v>
      </c>
      <c r="AA16" s="68">
        <f t="shared" si="0"/>
        <v>1.1423691630624695</v>
      </c>
      <c r="AB16" s="68">
        <f t="shared" si="1"/>
        <v>8.3113284074705033E-3</v>
      </c>
    </row>
    <row r="17" spans="1:28" x14ac:dyDescent="0.2">
      <c r="A17" s="13">
        <f>Input!A17</f>
        <v>10815</v>
      </c>
      <c r="B17" s="13" t="str">
        <f>Input!B17</f>
        <v>Hu1-13</v>
      </c>
      <c r="C17" s="171">
        <f>Calc!O17</f>
        <v>13.700367868468739</v>
      </c>
      <c r="D17" s="171">
        <f>Calc!P17</f>
        <v>1.0667754238565493E-3</v>
      </c>
      <c r="E17" s="171">
        <f>Calc!X17</f>
        <v>0.87156652156889303</v>
      </c>
      <c r="F17" s="171">
        <f>Calc!Y17</f>
        <v>2.9356958270897022E-3</v>
      </c>
      <c r="G17" s="171">
        <f>Calc!AN17</f>
        <v>0.99820640678675532</v>
      </c>
      <c r="H17" s="172">
        <f>Calc!AO17</f>
        <v>2.4256276555951928E-3</v>
      </c>
      <c r="I17" s="15">
        <f>Calc!AH17</f>
        <v>47955.218143900769</v>
      </c>
      <c r="J17" s="15">
        <f>Calc!AI17</f>
        <v>199.13949961199137</v>
      </c>
      <c r="K17" s="15">
        <f>Calc!AJ17</f>
        <v>0.59654396113772989</v>
      </c>
      <c r="L17" s="15">
        <f>Calc!AK17</f>
        <v>0.9861509628153653</v>
      </c>
      <c r="M17" s="173">
        <f>Calc!AP17</f>
        <v>647.35090000000002</v>
      </c>
      <c r="N17" s="173" t="e">
        <f>Calc!AQ17</f>
        <v>#VALUE!</v>
      </c>
      <c r="O17" s="173">
        <f>Calc!AW17</f>
        <v>647.3492</v>
      </c>
      <c r="P17" s="173">
        <f>Calc!AX17</f>
        <v>264.3328159596</v>
      </c>
      <c r="Q17" s="178">
        <f>Calc!BC17</f>
        <v>3.7071223978718764</v>
      </c>
      <c r="R17" s="173">
        <f>Calc!BD17</f>
        <v>6.2441743104821272</v>
      </c>
      <c r="S17" s="15">
        <f>Input!E17</f>
        <v>0</v>
      </c>
      <c r="T17" s="68"/>
      <c r="U17" s="68">
        <f>Input!K17</f>
        <v>7.1283475088166235E-3</v>
      </c>
      <c r="W17" s="68">
        <f>Calc!AS17</f>
        <v>2.081538663407609E-5</v>
      </c>
      <c r="X17" s="68">
        <f>Calc!AT17</f>
        <v>7.0131157779455145E-8</v>
      </c>
      <c r="Y17" s="68">
        <f>Calc!AN17</f>
        <v>0.99820640678675532</v>
      </c>
      <c r="Z17" s="68">
        <f>Calc!AO17</f>
        <v>2.4256276555951928E-3</v>
      </c>
      <c r="AA17" s="68">
        <f t="shared" si="0"/>
        <v>1.0005965439611377</v>
      </c>
      <c r="AB17" s="68">
        <f t="shared" si="1"/>
        <v>0.19913949961199137</v>
      </c>
    </row>
    <row r="18" spans="1:28" x14ac:dyDescent="0.2">
      <c r="A18" s="68">
        <f>Input!A18</f>
        <v>10924</v>
      </c>
      <c r="B18" s="68" t="str">
        <f>Input!B18</f>
        <v>SO236_7_6</v>
      </c>
      <c r="C18" s="175">
        <f>Calc!O18</f>
        <v>4.2937913114267356</v>
      </c>
      <c r="D18" s="175">
        <f>Calc!P18</f>
        <v>1.7488645029041896E-4</v>
      </c>
      <c r="E18" s="175">
        <f>Calc!X18</f>
        <v>0.64112588458067343</v>
      </c>
      <c r="F18" s="175">
        <f>Calc!Y18</f>
        <v>8.2309200463894503E-4</v>
      </c>
      <c r="G18" s="175">
        <f>Calc!AN18</f>
        <v>0.20505664301971913</v>
      </c>
      <c r="H18" s="71">
        <f>Calc!AO18</f>
        <v>3.7650753857272748E-4</v>
      </c>
      <c r="I18" s="70">
        <f>Calc!AH18</f>
        <v>4190.0994302677709</v>
      </c>
      <c r="J18" s="70">
        <f>Calc!AI18</f>
        <v>9.3860654595609656</v>
      </c>
      <c r="K18" s="70">
        <f>Calc!AJ18</f>
        <v>134.31197423559672</v>
      </c>
      <c r="L18" s="70">
        <f>Calc!AK18</f>
        <v>0.58340712661829397</v>
      </c>
      <c r="M18" s="176">
        <f>Calc!AP18</f>
        <v>21.657900000000001</v>
      </c>
      <c r="N18" s="176">
        <f>Calc!AQ18</f>
        <v>4.6300000000000001E-2</v>
      </c>
      <c r="O18" s="176">
        <f>Calc!AW18</f>
        <v>21.6205</v>
      </c>
      <c r="P18" s="176">
        <f>Calc!AY18</f>
        <v>4.9313529144669299E-2</v>
      </c>
      <c r="Q18" s="177">
        <f>Calc!BC18</f>
        <v>142.76209994610431</v>
      </c>
      <c r="R18" s="176">
        <f>Calc!BD18</f>
        <v>0.62042988347300387</v>
      </c>
      <c r="S18" s="70">
        <f>Input!E18</f>
        <v>0</v>
      </c>
      <c r="T18" s="68"/>
      <c r="U18" s="68">
        <f>Input!K18</f>
        <v>7.1302432327520846E-3</v>
      </c>
      <c r="W18" s="68">
        <f>Calc!AS18</f>
        <v>4.8856072243899388E-5</v>
      </c>
      <c r="X18" s="68">
        <f>Calc!AT18</f>
        <v>6.2754095315904109E-8</v>
      </c>
      <c r="Y18" s="68">
        <f>Calc!AN18</f>
        <v>0.20505664301971913</v>
      </c>
      <c r="Z18" s="68">
        <f>Calc!AO18</f>
        <v>3.7650753857272748E-4</v>
      </c>
      <c r="AA18" s="68">
        <f t="shared" si="0"/>
        <v>1.1343119742355967</v>
      </c>
      <c r="AB18" s="68">
        <f t="shared" si="1"/>
        <v>9.3860654595609664E-3</v>
      </c>
    </row>
    <row r="19" spans="1:28" x14ac:dyDescent="0.2">
      <c r="A19" s="13">
        <f>Input!A19</f>
        <v>10815</v>
      </c>
      <c r="B19" s="13" t="str">
        <f>Input!B19</f>
        <v>Hu1-13</v>
      </c>
      <c r="C19" s="171">
        <f>Calc!O19</f>
        <v>13.701672332615363</v>
      </c>
      <c r="D19" s="171">
        <f>Calc!P19</f>
        <v>1.2564876231254012E-3</v>
      </c>
      <c r="E19" s="171">
        <f>Calc!X19</f>
        <v>0.87537977334447981</v>
      </c>
      <c r="F19" s="171">
        <f>Calc!Y19</f>
        <v>3.7818377260980529E-3</v>
      </c>
      <c r="G19" s="171">
        <f>Calc!AN19</f>
        <v>0.99843020502589286</v>
      </c>
      <c r="H19" s="172">
        <f>Calc!AO19</f>
        <v>2.769372135308628E-3</v>
      </c>
      <c r="I19" s="15">
        <f>Calc!AH19</f>
        <v>47761.571743606779</v>
      </c>
      <c r="J19" s="15">
        <f>Calc!AI19</f>
        <v>245.16854370872568</v>
      </c>
      <c r="K19" s="15">
        <f>Calc!AJ19</f>
        <v>0.184636873856725</v>
      </c>
      <c r="L19" s="15">
        <f>Calc!AK19</f>
        <v>1.2317722675703675</v>
      </c>
      <c r="M19" s="173">
        <f>Calc!AP19</f>
        <v>687.17309999999998</v>
      </c>
      <c r="N19" s="173" t="e">
        <f>Calc!AQ19</f>
        <v>#VALUE!</v>
      </c>
      <c r="O19" s="173">
        <f>Calc!AW19</f>
        <v>687.17139999999995</v>
      </c>
      <c r="P19" s="173">
        <f>Calc!AX19</f>
        <v>308.32495222940003</v>
      </c>
      <c r="Q19" s="178">
        <f>Calc!BC19</f>
        <v>1.283864531012451</v>
      </c>
      <c r="R19" s="173">
        <f>Calc!BD19</f>
        <v>8.5937080476453271</v>
      </c>
      <c r="S19" s="15">
        <f>Input!E19</f>
        <v>0</v>
      </c>
      <c r="T19" s="68"/>
      <c r="U19" s="68">
        <f>Input!K19</f>
        <v>7.125145106045375E-3</v>
      </c>
      <c r="W19" s="68">
        <f>Calc!AS19</f>
        <v>2.0904467097223193E-5</v>
      </c>
      <c r="X19" s="68">
        <f>Calc!AT19</f>
        <v>9.0332348201860058E-8</v>
      </c>
      <c r="Y19" s="68">
        <f>Calc!AN19</f>
        <v>0.99843020502589286</v>
      </c>
      <c r="Z19" s="68">
        <f>Calc!AO19</f>
        <v>2.769372135308628E-3</v>
      </c>
      <c r="AA19" s="68">
        <f t="shared" si="0"/>
        <v>1.0001846368738567</v>
      </c>
      <c r="AB19" s="68">
        <f t="shared" si="1"/>
        <v>0.24516854370872568</v>
      </c>
    </row>
    <row r="20" spans="1:28" x14ac:dyDescent="0.2">
      <c r="A20" s="68">
        <f>Input!A20</f>
        <v>10925</v>
      </c>
      <c r="B20" s="68" t="str">
        <f>Input!B20</f>
        <v>SO236_7_7</v>
      </c>
      <c r="C20" s="175">
        <f>Calc!O20</f>
        <v>4.2831359392568382</v>
      </c>
      <c r="D20" s="175">
        <f>Calc!P20</f>
        <v>1.7029996151760786E-4</v>
      </c>
      <c r="E20" s="175">
        <f>Calc!X20</f>
        <v>0.25122212931430821</v>
      </c>
      <c r="F20" s="175">
        <f>Calc!Y20</f>
        <v>5.4797381990894694E-4</v>
      </c>
      <c r="G20" s="175">
        <f>Calc!AN20</f>
        <v>0.20555689855185197</v>
      </c>
      <c r="H20" s="71">
        <f>Calc!AO20</f>
        <v>4.9566768375050737E-4</v>
      </c>
      <c r="I20" s="70">
        <f>Calc!AH20</f>
        <v>10707.385794500162</v>
      </c>
      <c r="J20" s="70">
        <f>Calc!AI20</f>
        <v>34.812602213307997</v>
      </c>
      <c r="K20" s="70">
        <f>Calc!AJ20</f>
        <v>134.35251285967519</v>
      </c>
      <c r="L20" s="70">
        <f>Calc!AK20</f>
        <v>0.4779999348416562</v>
      </c>
      <c r="M20" s="176">
        <f>Calc!AP20</f>
        <v>21.715199999999999</v>
      </c>
      <c r="N20" s="176">
        <f>Calc!AQ20</f>
        <v>5.91E-2</v>
      </c>
      <c r="O20" s="176">
        <f>Calc!AW20</f>
        <v>21.700600000000001</v>
      </c>
      <c r="P20" s="176">
        <f>Calc!AY20</f>
        <v>5.9156133997690041E-2</v>
      </c>
      <c r="Q20" s="177">
        <f>Calc!BC20</f>
        <v>142.83747335803872</v>
      </c>
      <c r="R20" s="176">
        <f>Calc!BD20</f>
        <v>0.50874690650893339</v>
      </c>
      <c r="S20" s="70">
        <f>Input!E20</f>
        <v>0</v>
      </c>
      <c r="T20" s="68"/>
      <c r="U20" s="68">
        <f>Input!K20</f>
        <v>7.1278401773334256E-3</v>
      </c>
      <c r="W20" s="68">
        <f>Calc!AS20</f>
        <v>1.9191645135812318E-5</v>
      </c>
      <c r="X20" s="68">
        <f>Calc!AT20</f>
        <v>4.1868390268028052E-8</v>
      </c>
      <c r="Y20" s="68">
        <f>Calc!AN20</f>
        <v>0.20555689855185197</v>
      </c>
      <c r="Z20" s="68">
        <f>Calc!AO20</f>
        <v>4.9566768375050737E-4</v>
      </c>
      <c r="AA20" s="68">
        <f t="shared" si="0"/>
        <v>1.1343525128596752</v>
      </c>
      <c r="AB20" s="68">
        <f t="shared" si="1"/>
        <v>3.4812602213307994E-2</v>
      </c>
    </row>
    <row r="21" spans="1:28" x14ac:dyDescent="0.2">
      <c r="A21" s="13">
        <f>Input!A21</f>
        <v>10815</v>
      </c>
      <c r="B21" s="13" t="str">
        <f>Input!B21</f>
        <v>Hu1-13</v>
      </c>
      <c r="C21" s="171">
        <f>Calc!O21</f>
        <v>13.702178238950953</v>
      </c>
      <c r="D21" s="171">
        <f>Calc!P21</f>
        <v>1.5497964650941073E-3</v>
      </c>
      <c r="E21" s="171">
        <f>Calc!X21</f>
        <v>0.87478922546792048</v>
      </c>
      <c r="F21" s="171">
        <f>Calc!Y21</f>
        <v>2.5026163648607176E-3</v>
      </c>
      <c r="G21" s="171">
        <f>Calc!AN21</f>
        <v>1.0009417445216846</v>
      </c>
      <c r="H21" s="172">
        <f>Calc!AO21</f>
        <v>2.4171352420251993E-3</v>
      </c>
      <c r="I21" s="15">
        <f>Calc!AH21</f>
        <v>47915.808270503279</v>
      </c>
      <c r="J21" s="15">
        <f>Calc!AI21</f>
        <v>179.30415699817513</v>
      </c>
      <c r="K21" s="15">
        <f>Calc!AJ21</f>
        <v>0.10324381005055727</v>
      </c>
      <c r="L21" s="15">
        <f>Calc!AK21</f>
        <v>1.3651207750964327</v>
      </c>
      <c r="M21" s="173" t="str">
        <f>Calc!AP21</f>
        <v>Out of range</v>
      </c>
      <c r="N21" s="173" t="e">
        <f>Calc!AQ21</f>
        <v>#VALUE!</v>
      </c>
      <c r="O21" s="173" t="str">
        <f>Calc!AW21</f>
        <v>Out of range</v>
      </c>
      <c r="P21" s="173">
        <f>Calc!AX21</f>
        <v>331.78530328020003</v>
      </c>
      <c r="Q21" s="178" t="e">
        <f>Calc!BC21</f>
        <v>#VALUE!</v>
      </c>
      <c r="R21" s="173" t="e">
        <f>Calc!BD21</f>
        <v>#VALUE!</v>
      </c>
      <c r="S21" s="15">
        <f>Input!E21</f>
        <v>0</v>
      </c>
      <c r="T21" s="68"/>
      <c r="U21" s="68">
        <f>Input!K21</f>
        <v>7.1255880207402224E-3</v>
      </c>
      <c r="W21" s="68">
        <f>Calc!AS21</f>
        <v>2.0889593239687852E-5</v>
      </c>
      <c r="X21" s="68">
        <f>Calc!AT21</f>
        <v>5.9808098845805927E-8</v>
      </c>
      <c r="Y21" s="68">
        <f>Calc!AN21</f>
        <v>1.0009417445216846</v>
      </c>
      <c r="Z21" s="68">
        <f>Calc!AO21</f>
        <v>2.4171352420251993E-3</v>
      </c>
      <c r="AA21" s="68">
        <f t="shared" si="0"/>
        <v>1.0001032438100506</v>
      </c>
      <c r="AB21" s="68">
        <f t="shared" si="1"/>
        <v>0.17930415699817512</v>
      </c>
    </row>
    <row r="22" spans="1:28" x14ac:dyDescent="0.2">
      <c r="H22" s="74"/>
    </row>
    <row r="23" spans="1:28" x14ac:dyDescent="0.2">
      <c r="A23" s="13">
        <f>Input!A23</f>
        <v>10815</v>
      </c>
      <c r="B23" s="13" t="str">
        <f>Input!B23</f>
        <v>Hu1-13</v>
      </c>
      <c r="C23" s="171">
        <f>Calc!O23</f>
        <v>13.70183980953089</v>
      </c>
      <c r="D23" s="171">
        <f>Calc!P23</f>
        <v>1.1509642608650236E-3</v>
      </c>
      <c r="E23" s="171">
        <f>Calc!X23</f>
        <v>0.92021136172936513</v>
      </c>
      <c r="F23" s="171">
        <f>Calc!Y23</f>
        <v>3.8820953922032559E-3</v>
      </c>
      <c r="G23" s="171">
        <f>Calc!AN23</f>
        <v>0.9944459782613575</v>
      </c>
      <c r="H23" s="172">
        <f>Calc!AO23</f>
        <v>3.3576407680548761E-3</v>
      </c>
      <c r="I23" s="15">
        <f>Calc!AH23</f>
        <v>45253.931968806653</v>
      </c>
      <c r="J23" s="15">
        <f>Calc!AI23</f>
        <v>244.49859314497832</v>
      </c>
      <c r="K23" s="15">
        <f>Calc!AJ23</f>
        <v>-0.60583894804144833</v>
      </c>
      <c r="L23" s="15">
        <f>Calc!AK23</f>
        <v>1.3070429023914232</v>
      </c>
      <c r="M23" s="173">
        <f>Calc!AP23</f>
        <v>584.49689999999998</v>
      </c>
      <c r="N23" s="173" t="e">
        <f>Calc!AQ23</f>
        <v>#VALUE!</v>
      </c>
      <c r="O23" s="173">
        <f>Calc!AW23</f>
        <v>584.49509999999998</v>
      </c>
      <c r="P23" s="173">
        <f>Calc!AX23</f>
        <v>229.347972943</v>
      </c>
      <c r="Q23" s="178">
        <f>Calc!BC23</f>
        <v>-3.1529519827022963</v>
      </c>
      <c r="R23" s="173">
        <f>Calc!BD23</f>
        <v>6.8477494378251063</v>
      </c>
      <c r="S23" s="15">
        <f>Input!E23</f>
        <v>0</v>
      </c>
      <c r="T23" s="68"/>
      <c r="U23" s="68">
        <f>Input!K23</f>
        <v>7.1522258117899164E-3</v>
      </c>
      <c r="W23" s="68">
        <f>Calc!AS23</f>
        <v>2.1974797216445741E-5</v>
      </c>
      <c r="X23" s="68">
        <f>Calc!AT23</f>
        <v>9.2723445840623517E-8</v>
      </c>
      <c r="Y23" s="68">
        <f>Calc!AN23</f>
        <v>0.9944459782613575</v>
      </c>
      <c r="Z23" s="68">
        <f>Calc!AO23</f>
        <v>3.3576407680548761E-3</v>
      </c>
      <c r="AA23" s="68">
        <f t="shared" ref="AA23:AA33" si="2">1+K23/1000</f>
        <v>0.99939416105195855</v>
      </c>
      <c r="AB23" s="68">
        <f t="shared" ref="AB23:AB33" si="3">J23/1000</f>
        <v>0.24449859314497832</v>
      </c>
    </row>
    <row r="24" spans="1:28" x14ac:dyDescent="0.2">
      <c r="A24" s="68">
        <f>Input!A24</f>
        <v>10926</v>
      </c>
      <c r="B24" s="68" t="str">
        <f>Input!B24</f>
        <v>SO236_17_1</v>
      </c>
      <c r="C24" s="175">
        <f>Calc!O24</f>
        <v>2.8564578305902981</v>
      </c>
      <c r="D24" s="175">
        <f>Calc!P24</f>
        <v>1.0892051194323404E-4</v>
      </c>
      <c r="E24" s="175">
        <f>Calc!X24</f>
        <v>0.13569668456692102</v>
      </c>
      <c r="F24" s="175">
        <f>Calc!Y24</f>
        <v>3.8493658121024942E-4</v>
      </c>
      <c r="G24" s="175">
        <f>Calc!AN24</f>
        <v>0.20034622794197593</v>
      </c>
      <c r="H24" s="71">
        <f>Calc!AO24</f>
        <v>5.1213523066613023E-4</v>
      </c>
      <c r="I24" s="70">
        <f>Calc!AH24</f>
        <v>12796.402528029825</v>
      </c>
      <c r="J24" s="70">
        <f>Calc!AI24</f>
        <v>48.861608245679925</v>
      </c>
      <c r="K24" s="70">
        <f>Calc!AJ24</f>
        <v>134.68123642226271</v>
      </c>
      <c r="L24" s="70">
        <f>Calc!AK24</f>
        <v>0.88241039394846144</v>
      </c>
      <c r="M24" s="176">
        <f>Calc!AP24</f>
        <v>21.103200000000001</v>
      </c>
      <c r="N24" s="176">
        <f>Calc!AQ24</f>
        <v>6.3799999999999996E-2</v>
      </c>
      <c r="O24" s="176">
        <f>Calc!AW24</f>
        <v>21.0913</v>
      </c>
      <c r="P24" s="176">
        <f>Calc!AY24</f>
        <v>6.2453621610467684E-2</v>
      </c>
      <c r="Q24" s="177">
        <f>Calc!BC24</f>
        <v>142.9409615579529</v>
      </c>
      <c r="R24" s="176">
        <f>Calc!BD24</f>
        <v>0.93686561243640787</v>
      </c>
      <c r="S24" s="70">
        <f>Input!E24</f>
        <v>0</v>
      </c>
      <c r="T24" s="68"/>
      <c r="U24" s="68">
        <f>Input!K24</f>
        <v>7.1472394036698767E-3</v>
      </c>
      <c r="W24" s="68">
        <f>Calc!AS24</f>
        <v>1.5543813991590423E-5</v>
      </c>
      <c r="X24" s="68">
        <f>Calc!AT24</f>
        <v>4.4097784462864654E-8</v>
      </c>
      <c r="Y24" s="68">
        <f>Calc!AN24</f>
        <v>0.20034622794197593</v>
      </c>
      <c r="Z24" s="68">
        <f>Calc!AO24</f>
        <v>5.1213523066613023E-4</v>
      </c>
      <c r="AA24" s="68">
        <f t="shared" si="2"/>
        <v>1.1346812364222627</v>
      </c>
      <c r="AB24" s="68">
        <f t="shared" si="3"/>
        <v>4.8861608245679922E-2</v>
      </c>
    </row>
    <row r="25" spans="1:28" x14ac:dyDescent="0.2">
      <c r="A25" s="13">
        <f>Input!A25</f>
        <v>10815</v>
      </c>
      <c r="B25" s="13" t="str">
        <f>Input!B25</f>
        <v>Hu1-13</v>
      </c>
      <c r="C25" s="171">
        <f>Calc!O25</f>
        <v>13.700713880353272</v>
      </c>
      <c r="D25" s="171">
        <f>Calc!P25</f>
        <v>1.4711789700644646E-3</v>
      </c>
      <c r="E25" s="171">
        <f>Calc!X25</f>
        <v>0.90515967516923346</v>
      </c>
      <c r="F25" s="171">
        <f>Calc!Y25</f>
        <v>4.3958393014367683E-3</v>
      </c>
      <c r="G25" s="171">
        <f>Calc!AN25</f>
        <v>0.99116565716029537</v>
      </c>
      <c r="H25" s="172">
        <f>Calc!AO25</f>
        <v>3.8192644889512069E-3</v>
      </c>
      <c r="I25" s="15">
        <f>Calc!AH25</f>
        <v>45850.922079850992</v>
      </c>
      <c r="J25" s="15">
        <f>Calc!AI25</f>
        <v>284.20653103976616</v>
      </c>
      <c r="K25" s="15">
        <f>Calc!AJ25</f>
        <v>-0.93736201473648695</v>
      </c>
      <c r="L25" s="15">
        <f>Calc!AK25</f>
        <v>1.3594536563765391</v>
      </c>
      <c r="M25" s="173">
        <f>Calc!AP25</f>
        <v>533.16189999999995</v>
      </c>
      <c r="N25" s="173" t="e">
        <f>Calc!AQ25</f>
        <v>#VALUE!</v>
      </c>
      <c r="O25" s="173">
        <f>Calc!AW25</f>
        <v>533.16020000000003</v>
      </c>
      <c r="P25" s="173">
        <f>Calc!AX25</f>
        <v>110.36785715809999</v>
      </c>
      <c r="Q25" s="178">
        <f>Calc!BC25</f>
        <v>-4.2203765661880377</v>
      </c>
      <c r="R25" s="173">
        <f>Calc!BD25</f>
        <v>6.164793209829087</v>
      </c>
      <c r="S25" s="15">
        <f>Input!E25</f>
        <v>0</v>
      </c>
      <c r="T25" s="68"/>
      <c r="U25" s="68">
        <f>Input!K25</f>
        <v>7.1489098775691737E-3</v>
      </c>
      <c r="W25" s="68">
        <f>Calc!AS25</f>
        <v>2.1617136846978685E-5</v>
      </c>
      <c r="X25" s="68">
        <f>Calc!AT25</f>
        <v>1.0500764452659304E-7</v>
      </c>
      <c r="Y25" s="68">
        <f>Calc!AN25</f>
        <v>0.99116565716029537</v>
      </c>
      <c r="Z25" s="68">
        <f>Calc!AO25</f>
        <v>3.8192644889512069E-3</v>
      </c>
      <c r="AA25" s="68">
        <f t="shared" si="2"/>
        <v>0.99906263798526351</v>
      </c>
      <c r="AB25" s="68">
        <f t="shared" si="3"/>
        <v>0.28420653103976617</v>
      </c>
    </row>
    <row r="26" spans="1:28" x14ac:dyDescent="0.2">
      <c r="A26" s="68">
        <f>Input!A26</f>
        <v>10927</v>
      </c>
      <c r="B26" s="68" t="str">
        <f>Input!B26</f>
        <v>SO236_17_2</v>
      </c>
      <c r="C26" s="175">
        <f>Calc!O26</f>
        <v>3.3550585145594733</v>
      </c>
      <c r="D26" s="175">
        <f>Calc!P26</f>
        <v>1.3367974975359815E-4</v>
      </c>
      <c r="E26" s="175">
        <f>Calc!X26</f>
        <v>19.32459954822956</v>
      </c>
      <c r="F26" s="175">
        <f>Calc!Y26</f>
        <v>3.7061658421585049E-2</v>
      </c>
      <c r="G26" s="175">
        <f>Calc!AN26</f>
        <v>0.20665467013709907</v>
      </c>
      <c r="H26" s="71">
        <f>Calc!AO26</f>
        <v>5.2873425766413352E-4</v>
      </c>
      <c r="I26" s="70">
        <f>Calc!AH26</f>
        <v>108.9856346752312</v>
      </c>
      <c r="J26" s="70">
        <f>Calc!AI26</f>
        <v>0.34845902355198266</v>
      </c>
      <c r="K26" s="70">
        <f>Calc!AJ26</f>
        <v>135.33179180754763</v>
      </c>
      <c r="L26" s="70">
        <f>Calc!AK26</f>
        <v>0.45670758451248483</v>
      </c>
      <c r="M26" s="176">
        <f>Calc!AP26</f>
        <v>21.8218</v>
      </c>
      <c r="N26" s="176">
        <f>Calc!AQ26</f>
        <v>6.2300000000000001E-2</v>
      </c>
      <c r="O26" s="176">
        <f>Calc!AW26</f>
        <v>20.374600000000001</v>
      </c>
      <c r="P26" s="176">
        <f>Calc!AY26</f>
        <v>0.73226588694754635</v>
      </c>
      <c r="Q26" s="177">
        <f>Calc!BC26</f>
        <v>143.34120311419568</v>
      </c>
      <c r="R26" s="176">
        <f>Calc!BD26</f>
        <v>0.56722532185168406</v>
      </c>
      <c r="S26" s="70">
        <f>Input!E26</f>
        <v>0</v>
      </c>
      <c r="T26" s="68"/>
      <c r="U26" s="68">
        <f>Input!K26</f>
        <v>7.142789303482458E-3</v>
      </c>
      <c r="W26" s="68">
        <f>Calc!AS26</f>
        <v>1.8846320604589551E-3</v>
      </c>
      <c r="X26" s="68">
        <f>Calc!AT26</f>
        <v>3.6152191257857086E-6</v>
      </c>
      <c r="Y26" s="68">
        <f>Calc!AN26</f>
        <v>0.20665467013709907</v>
      </c>
      <c r="Z26" s="68">
        <f>Calc!AO26</f>
        <v>5.2873425766413352E-4</v>
      </c>
      <c r="AA26" s="68">
        <f t="shared" si="2"/>
        <v>1.1353317918075476</v>
      </c>
      <c r="AB26" s="68">
        <f t="shared" si="3"/>
        <v>3.4845902355198265E-4</v>
      </c>
    </row>
    <row r="27" spans="1:28" x14ac:dyDescent="0.2">
      <c r="A27" s="13">
        <f>Input!A27</f>
        <v>10815</v>
      </c>
      <c r="B27" s="13" t="str">
        <f>Input!B27</f>
        <v>Hu1-13</v>
      </c>
      <c r="C27" s="171">
        <f>Calc!O27</f>
        <v>13.700384203656332</v>
      </c>
      <c r="D27" s="171">
        <f>Calc!P27</f>
        <v>1.0876782935001611E-3</v>
      </c>
      <c r="E27" s="171">
        <f>Calc!X27</f>
        <v>0.89184242563721405</v>
      </c>
      <c r="F27" s="171">
        <f>Calc!Y27</f>
        <v>3.8190947132012792E-3</v>
      </c>
      <c r="G27" s="171">
        <f>Calc!AN27</f>
        <v>0.99667058290282695</v>
      </c>
      <c r="H27" s="172">
        <f>Calc!AO27</f>
        <v>2.9541234033057767E-3</v>
      </c>
      <c r="I27" s="15">
        <f>Calc!AH27</f>
        <v>46792.913570223274</v>
      </c>
      <c r="J27" s="15">
        <f>Calc!AI27</f>
        <v>243.66770429463321</v>
      </c>
      <c r="K27" s="15">
        <f>Calc!AJ27</f>
        <v>-0.77248123882045494</v>
      </c>
      <c r="L27" s="15">
        <f>Calc!AK27</f>
        <v>1.2489566944205122</v>
      </c>
      <c r="M27" s="173">
        <f>Calc!AP27</f>
        <v>665.8125</v>
      </c>
      <c r="N27" s="173" t="e">
        <f>Calc!AQ27</f>
        <v>#VALUE!</v>
      </c>
      <c r="O27" s="173">
        <f>Calc!AW27</f>
        <v>665.81079999999997</v>
      </c>
      <c r="P27" s="173">
        <f>Calc!AX27</f>
        <v>312.43777459080002</v>
      </c>
      <c r="Q27" s="178">
        <f>Calc!BC27</f>
        <v>-5.0571873518103256</v>
      </c>
      <c r="R27" s="173">
        <f>Calc!BD27</f>
        <v>8.522077234939621</v>
      </c>
      <c r="S27" s="15">
        <f>Input!E27</f>
        <v>0</v>
      </c>
      <c r="T27" s="68"/>
      <c r="U27" s="68">
        <f>Input!K27</f>
        <v>7.1400045252179396E-3</v>
      </c>
      <c r="W27" s="68">
        <f>Calc!AS27</f>
        <v>2.1299605150833341E-5</v>
      </c>
      <c r="X27" s="68">
        <f>Calc!AT27</f>
        <v>9.1225967079935993E-8</v>
      </c>
      <c r="Y27" s="68">
        <f>Calc!AN27</f>
        <v>0.99667058290282695</v>
      </c>
      <c r="Z27" s="68">
        <f>Calc!AO27</f>
        <v>2.9541234033057767E-3</v>
      </c>
      <c r="AA27" s="68">
        <f t="shared" si="2"/>
        <v>0.99922751876117955</v>
      </c>
      <c r="AB27" s="68">
        <f t="shared" si="3"/>
        <v>0.24366770429463322</v>
      </c>
    </row>
    <row r="28" spans="1:28" x14ac:dyDescent="0.2">
      <c r="A28" s="68">
        <f>Input!A28</f>
        <v>10928</v>
      </c>
      <c r="B28" s="68" t="str">
        <f>Input!B28</f>
        <v>SO236_17_3</v>
      </c>
      <c r="C28" s="175">
        <f>Calc!O28</f>
        <v>3.7831683302731678</v>
      </c>
      <c r="D28" s="175">
        <f>Calc!P28</f>
        <v>1.5546235425188494E-4</v>
      </c>
      <c r="E28" s="175">
        <f>Calc!X28</f>
        <v>2.1313447798500622</v>
      </c>
      <c r="F28" s="175">
        <f>Calc!Y28</f>
        <v>4.4829859338107554E-3</v>
      </c>
      <c r="G28" s="175">
        <f>Calc!AN28</f>
        <v>0.20046893493168416</v>
      </c>
      <c r="H28" s="71">
        <f>Calc!AO28</f>
        <v>5.5353858816027874E-4</v>
      </c>
      <c r="I28" s="70">
        <f>Calc!AH28</f>
        <v>1083.3374893265423</v>
      </c>
      <c r="J28" s="70">
        <f>Calc!AI28</f>
        <v>3.7600964963985337</v>
      </c>
      <c r="K28" s="70">
        <f>Calc!AJ28</f>
        <v>134.45351688400109</v>
      </c>
      <c r="L28" s="70">
        <f>Calc!AK28</f>
        <v>0.57315705036492859</v>
      </c>
      <c r="M28" s="176">
        <f>Calc!AP28</f>
        <v>21.122199999999999</v>
      </c>
      <c r="N28" s="176">
        <f>Calc!AQ28</f>
        <v>6.8599999999999994E-2</v>
      </c>
      <c r="O28" s="176">
        <f>Calc!AW28</f>
        <v>20.981400000000001</v>
      </c>
      <c r="P28" s="176">
        <f>Calc!AY28</f>
        <v>9.6130312810769378E-2</v>
      </c>
      <c r="Q28" s="177">
        <f>Calc!BC28</f>
        <v>142.6550259273022</v>
      </c>
      <c r="R28" s="176">
        <f>Calc!BD28</f>
        <v>0.60934915071198437</v>
      </c>
      <c r="S28" s="70">
        <f>Input!E28</f>
        <v>0</v>
      </c>
      <c r="T28" s="68"/>
      <c r="U28" s="68">
        <f>Input!K28</f>
        <v>7.1430915570957028E-3</v>
      </c>
      <c r="W28" s="68">
        <f>Calc!AS28</f>
        <v>1.8433772142830207E-4</v>
      </c>
      <c r="X28" s="68">
        <f>Calc!AT28</f>
        <v>3.8780262889400529E-7</v>
      </c>
      <c r="Y28" s="68">
        <f>Calc!AN28</f>
        <v>0.20046893493168416</v>
      </c>
      <c r="Z28" s="68">
        <f>Calc!AO28</f>
        <v>5.5353858816027874E-4</v>
      </c>
      <c r="AA28" s="68">
        <f t="shared" si="2"/>
        <v>1.1344535168840011</v>
      </c>
      <c r="AB28" s="68">
        <f t="shared" si="3"/>
        <v>3.7600964963985339E-3</v>
      </c>
    </row>
    <row r="29" spans="1:28" x14ac:dyDescent="0.2">
      <c r="A29" s="13">
        <f>Input!A29</f>
        <v>10815</v>
      </c>
      <c r="B29" s="13" t="str">
        <f>Input!B29</f>
        <v>Hu1-13</v>
      </c>
      <c r="C29" s="171">
        <f>Calc!O29</f>
        <v>13.701943409683194</v>
      </c>
      <c r="D29" s="171">
        <f>Calc!P29</f>
        <v>1.353229056861812E-3</v>
      </c>
      <c r="E29" s="171">
        <f>Calc!X29</f>
        <v>0.89289623879196056</v>
      </c>
      <c r="F29" s="171">
        <f>Calc!Y29</f>
        <v>3.2956125629927564E-3</v>
      </c>
      <c r="G29" s="171">
        <f>Calc!AN29</f>
        <v>0.99565769866724374</v>
      </c>
      <c r="H29" s="172">
        <f>Calc!AO29</f>
        <v>2.7479277694831658E-3</v>
      </c>
      <c r="I29" s="15">
        <f>Calc!AH29</f>
        <v>46695.503366503894</v>
      </c>
      <c r="J29" s="15">
        <f>Calc!AI29</f>
        <v>215.1557553572741</v>
      </c>
      <c r="K29" s="15">
        <f>Calc!AJ29</f>
        <v>0.25412370818855834</v>
      </c>
      <c r="L29" s="15">
        <f>Calc!AK29</f>
        <v>1.5393084103798291</v>
      </c>
      <c r="M29" s="173">
        <f>Calc!AP29</f>
        <v>584.49300000000005</v>
      </c>
      <c r="N29" s="173" t="e">
        <f>Calc!AQ29</f>
        <v>#VALUE!</v>
      </c>
      <c r="O29" s="173">
        <f>Calc!AW29</f>
        <v>584.49130000000002</v>
      </c>
      <c r="P29" s="173">
        <f>Calc!AX29</f>
        <v>201.36958005880001</v>
      </c>
      <c r="Q29" s="178">
        <f>Calc!BC29</f>
        <v>1.3225152655878714</v>
      </c>
      <c r="R29" s="173">
        <f>Calc!BD29</f>
        <v>8.016550053615946</v>
      </c>
      <c r="S29" s="15">
        <f>Input!E29</f>
        <v>0</v>
      </c>
      <c r="T29" s="68"/>
      <c r="U29" s="68">
        <f>Input!K29</f>
        <v>7.1399846919592471E-3</v>
      </c>
      <c r="W29" s="68">
        <f>Calc!AS29</f>
        <v>2.132234641208428E-5</v>
      </c>
      <c r="X29" s="68">
        <f>Calc!AT29</f>
        <v>7.8727338731643074E-8</v>
      </c>
      <c r="Y29" s="68">
        <f>Calc!AN29</f>
        <v>0.99565769866724374</v>
      </c>
      <c r="Z29" s="68">
        <f>Calc!AO29</f>
        <v>2.7479277694831658E-3</v>
      </c>
      <c r="AA29" s="68">
        <f t="shared" si="2"/>
        <v>1.0002541237081886</v>
      </c>
      <c r="AB29" s="68">
        <f t="shared" si="3"/>
        <v>0.2151557553572741</v>
      </c>
    </row>
    <row r="30" spans="1:28" x14ac:dyDescent="0.2">
      <c r="A30" s="68">
        <f>Input!A30</f>
        <v>10917</v>
      </c>
      <c r="B30" s="68" t="str">
        <f>Input!B30</f>
        <v>GeoB20582-1_3_163-166</v>
      </c>
      <c r="C30" s="175">
        <f>Calc!O30</f>
        <v>3.6221993805900121</v>
      </c>
      <c r="D30" s="175">
        <f>Calc!P30</f>
        <v>1.643345832893274E-4</v>
      </c>
      <c r="E30" s="175">
        <f>Calc!X30</f>
        <v>0.18544731426857522</v>
      </c>
      <c r="F30" s="175">
        <f>Calc!Y30</f>
        <v>4.0476520449484051E-4</v>
      </c>
      <c r="G30" s="175">
        <f>Calc!AN30</f>
        <v>6.5777580166013302E-2</v>
      </c>
      <c r="H30" s="71">
        <f>Calc!AO30</f>
        <v>2.5646871416514351E-4</v>
      </c>
      <c r="I30" s="70">
        <f>Calc!AH30</f>
        <v>3914.7838635330691</v>
      </c>
      <c r="J30" s="70">
        <f>Calc!AI30</f>
        <v>17.491813301527092</v>
      </c>
      <c r="K30" s="70">
        <f>Calc!AJ30</f>
        <v>143.75750459063229</v>
      </c>
      <c r="L30" s="70">
        <f>Calc!AK30</f>
        <v>0.56498985605789309</v>
      </c>
      <c r="M30" s="176">
        <f>Calc!AP30</f>
        <v>6.4512</v>
      </c>
      <c r="N30" s="176">
        <f>Calc!AQ30</f>
        <v>2.53E-2</v>
      </c>
      <c r="O30" s="176">
        <f>Calc!AW30</f>
        <v>6.4383999999999997</v>
      </c>
      <c r="P30" s="176">
        <f>Calc!AY30</f>
        <v>2.6894086231263738E-2</v>
      </c>
      <c r="Q30" s="177">
        <f>Calc!BC30</f>
        <v>146.39338780878023</v>
      </c>
      <c r="R30" s="176">
        <f>Calc!BD30</f>
        <v>0.57545656844881465</v>
      </c>
      <c r="S30" s="70">
        <f>Input!E30</f>
        <v>164.5</v>
      </c>
      <c r="T30" s="68"/>
      <c r="U30" s="68">
        <f>Input!K30</f>
        <v>7.1431085512177533E-3</v>
      </c>
      <c r="W30" s="68">
        <f>Calc!AS30</f>
        <v>1.6751911379530406E-5</v>
      </c>
      <c r="X30" s="68">
        <f>Calc!AT30</f>
        <v>3.6571333092886084E-8</v>
      </c>
      <c r="Y30" s="68">
        <f>Calc!AN30</f>
        <v>6.5777580166013302E-2</v>
      </c>
      <c r="Z30" s="68">
        <f>Calc!AO30</f>
        <v>2.5646871416514351E-4</v>
      </c>
      <c r="AA30" s="68">
        <f t="shared" si="2"/>
        <v>1.1437575045906323</v>
      </c>
      <c r="AB30" s="68">
        <f t="shared" si="3"/>
        <v>1.7491813301527093E-2</v>
      </c>
    </row>
    <row r="31" spans="1:28" x14ac:dyDescent="0.2">
      <c r="A31" s="13">
        <f>Input!A31</f>
        <v>10815</v>
      </c>
      <c r="B31" s="13" t="str">
        <f>Input!B31</f>
        <v>Hu1-13</v>
      </c>
      <c r="C31" s="171">
        <f>Calc!O31</f>
        <v>13.699419693658582</v>
      </c>
      <c r="D31" s="171">
        <f>Calc!P31</f>
        <v>9.9799039367776121E-4</v>
      </c>
      <c r="E31" s="171">
        <f>Calc!X31</f>
        <v>0.90265222560497738</v>
      </c>
      <c r="F31" s="171">
        <f>Calc!Y31</f>
        <v>3.4493927116620638E-3</v>
      </c>
      <c r="G31" s="171">
        <f>Calc!AN31</f>
        <v>0.99833819435304361</v>
      </c>
      <c r="H31" s="172">
        <f>Calc!AO31</f>
        <v>2.8109669781135028E-3</v>
      </c>
      <c r="I31" s="15">
        <f>Calc!AH31</f>
        <v>46306.635695254532</v>
      </c>
      <c r="J31" s="15">
        <f>Calc!AI31</f>
        <v>219.77673912119809</v>
      </c>
      <c r="K31" s="15">
        <f>Calc!AJ31</f>
        <v>1.3576652410662859</v>
      </c>
      <c r="L31" s="15">
        <f>Calc!AK31</f>
        <v>1.3575304680934919</v>
      </c>
      <c r="M31" s="173">
        <f>Calc!AP31</f>
        <v>614.08799999999997</v>
      </c>
      <c r="N31" s="173" t="e">
        <f>Calc!AQ31</f>
        <v>#VALUE!</v>
      </c>
      <c r="O31" s="173">
        <f>Calc!AW31</f>
        <v>614.08630000000005</v>
      </c>
      <c r="P31" s="173">
        <f>Calc!AX31</f>
        <v>257.71446804369998</v>
      </c>
      <c r="Q31" s="178">
        <f>Calc!BC31</f>
        <v>7.6810393784523265</v>
      </c>
      <c r="R31" s="173">
        <f>Calc!BD31</f>
        <v>7.9933702345706594</v>
      </c>
      <c r="S31" s="15">
        <f>Input!E31</f>
        <v>0</v>
      </c>
      <c r="T31" s="68"/>
      <c r="U31" s="68">
        <f>Input!K31</f>
        <v>7.1413939448779764E-3</v>
      </c>
      <c r="W31" s="68">
        <f>Calc!AS31</f>
        <v>2.1559290139822285E-5</v>
      </c>
      <c r="X31" s="68">
        <f>Calc!AT31</f>
        <v>8.2401580496829383E-8</v>
      </c>
      <c r="Y31" s="68">
        <f>Calc!AN31</f>
        <v>0.99833819435304361</v>
      </c>
      <c r="Z31" s="68">
        <f>Calc!AO31</f>
        <v>2.8109669781135028E-3</v>
      </c>
      <c r="AA31" s="68">
        <f t="shared" si="2"/>
        <v>1.0013576652410663</v>
      </c>
      <c r="AB31" s="68">
        <f t="shared" si="3"/>
        <v>0.21977673912119808</v>
      </c>
    </row>
    <row r="32" spans="1:28" x14ac:dyDescent="0.2">
      <c r="A32" s="68">
        <f>Input!A32</f>
        <v>10918</v>
      </c>
      <c r="B32" s="68" t="str">
        <f>Input!B32</f>
        <v>GeoB20582-1_3_184-186</v>
      </c>
      <c r="C32" s="175">
        <f>Calc!O32</f>
        <v>3.8043844169528795</v>
      </c>
      <c r="D32" s="175">
        <f>Calc!P32</f>
        <v>1.6784509805748373E-4</v>
      </c>
      <c r="E32" s="175">
        <f>Calc!X32</f>
        <v>0.95307994635579685</v>
      </c>
      <c r="F32" s="175">
        <f>Calc!Y32</f>
        <v>2.041104812653842E-3</v>
      </c>
      <c r="G32" s="175">
        <f>Calc!AN32</f>
        <v>6.7341282309237388E-2</v>
      </c>
      <c r="H32" s="71">
        <f>Calc!AO32</f>
        <v>2.7581476890166894E-4</v>
      </c>
      <c r="I32" s="70">
        <f>Calc!AH32</f>
        <v>820.42090674592089</v>
      </c>
      <c r="J32" s="70">
        <f>Calc!AI32</f>
        <v>3.7917143779980242</v>
      </c>
      <c r="K32" s="70">
        <f>Calc!AJ32</f>
        <v>143.32795805063282</v>
      </c>
      <c r="L32" s="70">
        <f>Calc!AK32</f>
        <v>0.74873874658257533</v>
      </c>
      <c r="M32" s="176">
        <f>Calc!AP32</f>
        <v>6.6116999999999999</v>
      </c>
      <c r="N32" s="176">
        <f>Calc!AQ32</f>
        <v>2.7099999999999999E-2</v>
      </c>
      <c r="O32" s="176">
        <f>Calc!AW32</f>
        <v>6.5492999999999997</v>
      </c>
      <c r="P32" s="176">
        <f>Calc!AY32</f>
        <v>4.2151186201027001E-2</v>
      </c>
      <c r="Q32" s="177">
        <f>Calc!BC32</f>
        <v>146.00165173561115</v>
      </c>
      <c r="R32" s="176">
        <f>Calc!BD32</f>
        <v>0.76290370899462501</v>
      </c>
      <c r="S32" s="70">
        <f>Input!E32</f>
        <v>185</v>
      </c>
      <c r="T32" s="68"/>
      <c r="U32" s="68">
        <f>Input!K32</f>
        <v>7.1431323843443237E-3</v>
      </c>
      <c r="W32" s="68">
        <f>Calc!AS32</f>
        <v>8.197116516946497E-5</v>
      </c>
      <c r="X32" s="68">
        <f>Calc!AT32</f>
        <v>1.7558573155390769E-7</v>
      </c>
      <c r="Y32" s="68">
        <f>Calc!AN32</f>
        <v>6.7341282309237388E-2</v>
      </c>
      <c r="Z32" s="68">
        <f>Calc!AO32</f>
        <v>2.7581476890166894E-4</v>
      </c>
      <c r="AA32" s="68">
        <f t="shared" si="2"/>
        <v>1.1433279580506328</v>
      </c>
      <c r="AB32" s="68">
        <f t="shared" si="3"/>
        <v>3.7917143779980242E-3</v>
      </c>
    </row>
    <row r="33" spans="1:28" x14ac:dyDescent="0.2">
      <c r="A33" s="13">
        <f>Input!A33</f>
        <v>10815</v>
      </c>
      <c r="B33" s="13" t="str">
        <f>Input!B33</f>
        <v>Hu1-13</v>
      </c>
      <c r="C33" s="171">
        <f>Calc!O33</f>
        <v>13.700220823261565</v>
      </c>
      <c r="D33" s="171">
        <f>Calc!P33</f>
        <v>1.3802262160074188E-3</v>
      </c>
      <c r="E33" s="171">
        <f>Calc!X33</f>
        <v>0.89404631683249858</v>
      </c>
      <c r="F33" s="171">
        <f>Calc!Y33</f>
        <v>3.2727161108091927E-3</v>
      </c>
      <c r="G33" s="171">
        <f>Calc!AN33</f>
        <v>0.99897624188028933</v>
      </c>
      <c r="H33" s="172">
        <f>Calc!AO33</f>
        <v>1.7038904108179684E-3</v>
      </c>
      <c r="I33" s="15">
        <f>Calc!AH33</f>
        <v>46784.989666707974</v>
      </c>
      <c r="J33" s="15">
        <f>Calc!AI33</f>
        <v>188.87926392625099</v>
      </c>
      <c r="K33" s="15">
        <f>Calc!AJ33</f>
        <v>0.5122642436650171</v>
      </c>
      <c r="L33" s="15">
        <f>Calc!AK33</f>
        <v>0.95761687003003615</v>
      </c>
      <c r="M33" s="173">
        <f>Calc!AP33</f>
        <v>691.95060000000001</v>
      </c>
      <c r="N33" s="173" t="e">
        <f>Calc!AQ33</f>
        <v>#VALUE!</v>
      </c>
      <c r="O33" s="173">
        <f>Calc!AW33</f>
        <v>691.94889999999998</v>
      </c>
      <c r="P33" s="173">
        <f>Calc!AX33</f>
        <v>314.33299623750003</v>
      </c>
      <c r="Q33" s="178">
        <f>Calc!BC33</f>
        <v>3.6103568813755067</v>
      </c>
      <c r="R33" s="173">
        <f>Calc!BD33</f>
        <v>6.8864399112346932</v>
      </c>
      <c r="S33" s="15">
        <f>Input!E33</f>
        <v>0</v>
      </c>
      <c r="T33" s="68"/>
      <c r="U33" s="68">
        <f>Input!K33</f>
        <v>7.1344270357680921E-3</v>
      </c>
      <c r="W33" s="68">
        <f>Calc!AS33</f>
        <v>2.135249465687404E-5</v>
      </c>
      <c r="X33" s="68">
        <f>Calc!AT33</f>
        <v>7.8191825387329959E-8</v>
      </c>
      <c r="Y33" s="68">
        <f>Calc!AN33</f>
        <v>0.99897624188028933</v>
      </c>
      <c r="Z33" s="68">
        <f>Calc!AO33</f>
        <v>1.7038904108179684E-3</v>
      </c>
      <c r="AA33" s="68">
        <f t="shared" si="2"/>
        <v>1.000512264243665</v>
      </c>
      <c r="AB33" s="68">
        <f t="shared" si="3"/>
        <v>0.18887926392625098</v>
      </c>
    </row>
    <row r="34" spans="1:28" x14ac:dyDescent="0.2">
      <c r="H34" s="74"/>
    </row>
    <row r="35" spans="1:28" x14ac:dyDescent="0.2">
      <c r="A35" s="13">
        <f>Input!A35</f>
        <v>10815</v>
      </c>
      <c r="B35" s="13" t="str">
        <f>Input!B35</f>
        <v>Hu1-13</v>
      </c>
      <c r="C35" s="171">
        <f>Calc!O35</f>
        <v>13.701005572461899</v>
      </c>
      <c r="D35" s="171">
        <f>Calc!P35</f>
        <v>1.2679556474339518E-3</v>
      </c>
      <c r="E35" s="171">
        <f>Calc!X35</f>
        <v>0.923992502149387</v>
      </c>
      <c r="F35" s="171">
        <f>Calc!Y35</f>
        <v>4.4315826103448778E-3</v>
      </c>
      <c r="G35" s="171">
        <f>Calc!AN35</f>
        <v>0.99668782126488986</v>
      </c>
      <c r="H35" s="172">
        <f>Calc!AO35</f>
        <v>4.2913021460228157E-3</v>
      </c>
      <c r="I35" s="15">
        <f>Calc!AH35</f>
        <v>45167.596039208824</v>
      </c>
      <c r="J35" s="15">
        <f>Calc!AI35</f>
        <v>291.08443988416491</v>
      </c>
      <c r="K35" s="15">
        <f>Calc!AJ35</f>
        <v>0.57479931162940368</v>
      </c>
      <c r="L35" s="15">
        <f>Calc!AK35</f>
        <v>1.1940973290673589</v>
      </c>
      <c r="M35" s="173">
        <f>Calc!AP35</f>
        <v>598.76110000000006</v>
      </c>
      <c r="N35" s="173" t="e">
        <f>Calc!AQ35</f>
        <v>#VALUE!</v>
      </c>
      <c r="O35" s="173">
        <f>Calc!AW35</f>
        <v>598.75930000000005</v>
      </c>
      <c r="P35" s="173">
        <f>Calc!AX35</f>
        <v>276.64760331100001</v>
      </c>
      <c r="Q35" s="178">
        <f>Calc!BC35</f>
        <v>3.1142873556937296</v>
      </c>
      <c r="R35" s="173">
        <f>Calc!BD35</f>
        <v>6.5561957434879927</v>
      </c>
      <c r="S35" s="15">
        <f>Input!E35</f>
        <v>0</v>
      </c>
      <c r="T35" s="68"/>
      <c r="U35" s="68">
        <f>Input!K35</f>
        <v>7.1415547944141799E-3</v>
      </c>
      <c r="W35" s="68">
        <f>Calc!AS35</f>
        <v>2.2066434981389997E-5</v>
      </c>
      <c r="X35" s="68">
        <f>Calc!AT35</f>
        <v>1.058530586681609E-7</v>
      </c>
      <c r="Y35" s="68">
        <f>Calc!AN35</f>
        <v>0.99668782126488986</v>
      </c>
      <c r="Z35" s="68">
        <f>Calc!AO35</f>
        <v>4.2913021460228157E-3</v>
      </c>
      <c r="AA35" s="68">
        <f t="shared" ref="AA35:AA43" si="4">1+K35/1000</f>
        <v>1.0005747993116294</v>
      </c>
      <c r="AB35" s="68">
        <f t="shared" ref="AB35:AB43" si="5">J35/1000</f>
        <v>0.29108443988416488</v>
      </c>
    </row>
    <row r="36" spans="1:28" x14ac:dyDescent="0.2">
      <c r="A36" s="68">
        <f>Input!A36</f>
        <v>10913</v>
      </c>
      <c r="B36" s="68" t="str">
        <f>Input!B36</f>
        <v>GeoB20582-1_2_17-21</v>
      </c>
      <c r="C36" s="175">
        <f>Calc!O36</f>
        <v>2.9514683711748964</v>
      </c>
      <c r="D36" s="175">
        <f>Calc!P36</f>
        <v>1.3665109506582457E-4</v>
      </c>
      <c r="E36" s="175">
        <f>Calc!X36</f>
        <v>0.33054518849619285</v>
      </c>
      <c r="F36" s="175">
        <f>Calc!Y36</f>
        <v>6.3420728199211176E-4</v>
      </c>
      <c r="G36" s="175">
        <f>Calc!AN36</f>
        <v>5.3171585152214665E-2</v>
      </c>
      <c r="H36" s="71">
        <f>Calc!AO36</f>
        <v>1.8802633480558608E-4</v>
      </c>
      <c r="I36" s="70">
        <f>Calc!AH36</f>
        <v>1445.5763699607048</v>
      </c>
      <c r="J36" s="70">
        <f>Calc!AI36</f>
        <v>5.8154573999985626</v>
      </c>
      <c r="K36" s="70">
        <f>Calc!AJ36</f>
        <v>144.68643893330201</v>
      </c>
      <c r="L36" s="70">
        <f>Calc!AK36</f>
        <v>0.66381381026504616</v>
      </c>
      <c r="M36" s="176">
        <f>Calc!AP36</f>
        <v>5.1818</v>
      </c>
      <c r="N36" s="176">
        <f>Calc!AQ36</f>
        <v>1.77E-2</v>
      </c>
      <c r="O36" s="176">
        <f>Calc!AW36</f>
        <v>5.1539000000000001</v>
      </c>
      <c r="P36" s="176">
        <f>Calc!AY36</f>
        <v>2.3597143157142984E-2</v>
      </c>
      <c r="Q36" s="177">
        <f>Calc!BC36</f>
        <v>146.80622586143107</v>
      </c>
      <c r="R36" s="176">
        <f>Calc!BD36</f>
        <v>0.67361022720187291</v>
      </c>
      <c r="S36" s="70">
        <f>Input!E36</f>
        <v>19</v>
      </c>
      <c r="T36" s="68"/>
      <c r="U36" s="68">
        <f>Input!K36</f>
        <v>7.1385282790529187E-3</v>
      </c>
      <c r="W36" s="68">
        <f>Calc!AS36</f>
        <v>3.664450647624189E-5</v>
      </c>
      <c r="X36" s="68">
        <f>Calc!AT36</f>
        <v>7.0329198856970547E-8</v>
      </c>
      <c r="Y36" s="68">
        <f>Calc!AN36</f>
        <v>5.3171585152214665E-2</v>
      </c>
      <c r="Z36" s="68">
        <f>Calc!AO36</f>
        <v>1.8802633480558608E-4</v>
      </c>
      <c r="AA36" s="68">
        <f t="shared" si="4"/>
        <v>1.144686438933302</v>
      </c>
      <c r="AB36" s="68">
        <f t="shared" si="5"/>
        <v>5.8154573999985625E-3</v>
      </c>
    </row>
    <row r="37" spans="1:28" x14ac:dyDescent="0.2">
      <c r="A37" s="13">
        <f>Input!A37</f>
        <v>10815</v>
      </c>
      <c r="B37" s="13" t="str">
        <f>Input!B37</f>
        <v>Hu1-13</v>
      </c>
      <c r="C37" s="171">
        <f>Calc!O37</f>
        <v>13.699121719216944</v>
      </c>
      <c r="D37" s="171">
        <f>Calc!P37</f>
        <v>1.0905861148760088E-3</v>
      </c>
      <c r="E37" s="171">
        <f>Calc!X37</f>
        <v>0.90665134518507651</v>
      </c>
      <c r="F37" s="171">
        <f>Calc!Y37</f>
        <v>3.4527118140236564E-3</v>
      </c>
      <c r="G37" s="171">
        <f>Calc!AN37</f>
        <v>0.99582124158447749</v>
      </c>
      <c r="H37" s="172">
        <f>Calc!AO37</f>
        <v>2.6764773628969521E-3</v>
      </c>
      <c r="I37" s="15">
        <f>Calc!AH37</f>
        <v>45985.152315560488</v>
      </c>
      <c r="J37" s="15">
        <f>Calc!AI37</f>
        <v>214.31175585188092</v>
      </c>
      <c r="K37" s="15">
        <f>Calc!AJ37</f>
        <v>-0.4331851659570285</v>
      </c>
      <c r="L37" s="15">
        <f>Calc!AK37</f>
        <v>1.267566250175634</v>
      </c>
      <c r="M37" s="173">
        <f>Calc!AP37</f>
        <v>614.62469999999996</v>
      </c>
      <c r="N37" s="173" t="e">
        <f>Calc!AQ37</f>
        <v>#VALUE!</v>
      </c>
      <c r="O37" s="173">
        <f>Calc!AW37</f>
        <v>614.62289999999996</v>
      </c>
      <c r="P37" s="173">
        <f>Calc!AX37</f>
        <v>245.60493961029999</v>
      </c>
      <c r="Q37" s="178">
        <f>Calc!BC37</f>
        <v>-2.4544745206385072</v>
      </c>
      <c r="R37" s="173">
        <f>Calc!BD37</f>
        <v>7.2142931163983732</v>
      </c>
      <c r="S37" s="15">
        <f>Input!E37</f>
        <v>0</v>
      </c>
      <c r="T37" s="68"/>
      <c r="U37" s="68">
        <f>Input!K37</f>
        <v>7.1342590684235997E-3</v>
      </c>
      <c r="W37" s="68">
        <f>Calc!AS37</f>
        <v>2.1655277658991483E-5</v>
      </c>
      <c r="X37" s="68">
        <f>Calc!AT37</f>
        <v>8.2485697762392784E-8</v>
      </c>
      <c r="Y37" s="68">
        <f>Calc!AN37</f>
        <v>0.99582124158447749</v>
      </c>
      <c r="Z37" s="68">
        <f>Calc!AO37</f>
        <v>2.6764773628969521E-3</v>
      </c>
      <c r="AA37" s="68">
        <f t="shared" si="4"/>
        <v>0.99956681483404297</v>
      </c>
      <c r="AB37" s="68">
        <f t="shared" si="5"/>
        <v>0.21431175585188092</v>
      </c>
    </row>
    <row r="38" spans="1:28" x14ac:dyDescent="0.2">
      <c r="A38" s="68">
        <f>Input!A38</f>
        <v>10914</v>
      </c>
      <c r="B38" s="68" t="str">
        <f>Input!B38</f>
        <v>GeoB20582-1_2_62-63</v>
      </c>
      <c r="C38" s="175">
        <f>Calc!O38</f>
        <v>3.6330279988626386</v>
      </c>
      <c r="D38" s="175">
        <f>Calc!P38</f>
        <v>2.0740715266052469E-4</v>
      </c>
      <c r="E38" s="175">
        <f>Calc!X38</f>
        <v>0.20566864091740897</v>
      </c>
      <c r="F38" s="175">
        <f>Calc!Y38</f>
        <v>6.2923918657789069E-4</v>
      </c>
      <c r="G38" s="175">
        <f>Calc!AN38</f>
        <v>6.0772157991844829E-2</v>
      </c>
      <c r="H38" s="71">
        <f>Calc!AO38</f>
        <v>2.2973031439579787E-4</v>
      </c>
      <c r="I38" s="70">
        <f>Calc!AH38</f>
        <v>3267.3956204229612</v>
      </c>
      <c r="J38" s="70">
        <f>Calc!AI38</f>
        <v>15.888750331976093</v>
      </c>
      <c r="K38" s="70">
        <f>Calc!AJ38</f>
        <v>144.85119438081284</v>
      </c>
      <c r="L38" s="70">
        <f>Calc!AK38</f>
        <v>0.67537395336348971</v>
      </c>
      <c r="M38" s="176">
        <f>Calc!AP38</f>
        <v>5.9413</v>
      </c>
      <c r="N38" s="176">
        <f>Calc!AQ38</f>
        <v>2.2700000000000001E-2</v>
      </c>
      <c r="O38" s="176">
        <f>Calc!AW38</f>
        <v>5.9272</v>
      </c>
      <c r="P38" s="176">
        <f>Calc!AY38</f>
        <v>2.4410301076127842E-2</v>
      </c>
      <c r="Q38" s="177">
        <f>Calc!BC38</f>
        <v>147.29448524777024</v>
      </c>
      <c r="R38" s="176">
        <f>Calc!BD38</f>
        <v>0.68684083879927205</v>
      </c>
      <c r="S38" s="70">
        <f>Input!E38</f>
        <v>62.5</v>
      </c>
      <c r="T38" s="68"/>
      <c r="U38" s="68">
        <f>Input!K38</f>
        <v>7.1379152296661185E-3</v>
      </c>
      <c r="W38" s="68">
        <f>Calc!AS38</f>
        <v>1.8523178168497722E-5</v>
      </c>
      <c r="X38" s="68">
        <f>Calc!AT38</f>
        <v>5.6681166817752934E-8</v>
      </c>
      <c r="Y38" s="68">
        <f>Calc!AN38</f>
        <v>6.0772157991844829E-2</v>
      </c>
      <c r="Z38" s="68">
        <f>Calc!AO38</f>
        <v>2.2973031439579787E-4</v>
      </c>
      <c r="AA38" s="68">
        <f t="shared" si="4"/>
        <v>1.1448511943808128</v>
      </c>
      <c r="AB38" s="68">
        <f t="shared" si="5"/>
        <v>1.5888750331976093E-2</v>
      </c>
    </row>
    <row r="39" spans="1:28" x14ac:dyDescent="0.2">
      <c r="A39" s="13">
        <f>Input!A39</f>
        <v>10815</v>
      </c>
      <c r="B39" s="13" t="str">
        <f>Input!B39</f>
        <v>Hu1-13</v>
      </c>
      <c r="C39" s="171">
        <f>Calc!O39</f>
        <v>13.701356569488018</v>
      </c>
      <c r="D39" s="171">
        <f>Calc!P39</f>
        <v>1.239606789361347E-3</v>
      </c>
      <c r="E39" s="171">
        <f>Calc!X39</f>
        <v>0.90774838004753911</v>
      </c>
      <c r="F39" s="171">
        <f>Calc!Y39</f>
        <v>2.797105370354895E-3</v>
      </c>
      <c r="G39" s="171">
        <f>Calc!AN39</f>
        <v>0.99596424782287063</v>
      </c>
      <c r="H39" s="172">
        <f>Calc!AO39</f>
        <v>2.5088467651444286E-3</v>
      </c>
      <c r="I39" s="15">
        <f>Calc!AH39</f>
        <v>45943.667921758883</v>
      </c>
      <c r="J39" s="15">
        <f>Calc!AI39</f>
        <v>182.80765175949335</v>
      </c>
      <c r="K39" s="15">
        <f>Calc!AJ39</f>
        <v>-0.35889387334220313</v>
      </c>
      <c r="L39" s="15">
        <f>Calc!AK39</f>
        <v>1.2771945161313358</v>
      </c>
      <c r="M39" s="173">
        <f>Calc!AP39</f>
        <v>615.78909999999996</v>
      </c>
      <c r="N39" s="173" t="e">
        <f>Calc!AQ39</f>
        <v>#VALUE!</v>
      </c>
      <c r="O39" s="173">
        <f>Calc!AW39</f>
        <v>615.78729999999996</v>
      </c>
      <c r="P39" s="173">
        <f>Calc!AX39</f>
        <v>224.63962610639999</v>
      </c>
      <c r="Q39" s="178">
        <f>Calc!BC39</f>
        <v>-2.0402251230616493</v>
      </c>
      <c r="R39" s="173">
        <f>Calc!BD39</f>
        <v>7.2812036295482283</v>
      </c>
      <c r="S39" s="15">
        <f>Input!E39</f>
        <v>0</v>
      </c>
      <c r="T39" s="68"/>
      <c r="U39" s="68">
        <f>Input!K39</f>
        <v>7.1304685354482101E-3</v>
      </c>
      <c r="W39" s="68">
        <f>Calc!AS39</f>
        <v>2.1677943727065437E-5</v>
      </c>
      <c r="X39" s="68">
        <f>Calc!AT39</f>
        <v>6.6826474421451121E-8</v>
      </c>
      <c r="Y39" s="68">
        <f>Calc!AN39</f>
        <v>0.99596424782287063</v>
      </c>
      <c r="Z39" s="68">
        <f>Calc!AO39</f>
        <v>2.5088467651444286E-3</v>
      </c>
      <c r="AA39" s="68">
        <f t="shared" si="4"/>
        <v>0.9996411061266578</v>
      </c>
      <c r="AB39" s="68">
        <f t="shared" si="5"/>
        <v>0.18280765175949334</v>
      </c>
    </row>
    <row r="40" spans="1:28" x14ac:dyDescent="0.2">
      <c r="A40" s="68">
        <f>Input!A40</f>
        <v>10915</v>
      </c>
      <c r="B40" s="68" t="str">
        <f>Input!B40</f>
        <v>GeoB20582-1_2_83-86</v>
      </c>
      <c r="C40" s="175">
        <f>Calc!O40</f>
        <v>3.2734272863394054</v>
      </c>
      <c r="D40" s="175">
        <f>Calc!P40</f>
        <v>1.3032214299262264E-4</v>
      </c>
      <c r="E40" s="175">
        <f>Calc!X40</f>
        <v>0.10157726791933541</v>
      </c>
      <c r="F40" s="175">
        <f>Calc!Y40</f>
        <v>3.6832804354381944E-4</v>
      </c>
      <c r="G40" s="175">
        <f>Calc!AN40</f>
        <v>6.4094301163011749E-2</v>
      </c>
      <c r="H40" s="71">
        <f>Calc!AO40</f>
        <v>2.036598324730884E-4</v>
      </c>
      <c r="I40" s="70">
        <f>Calc!AH40</f>
        <v>6293.0482583512121</v>
      </c>
      <c r="J40" s="70">
        <f>Calc!AI40</f>
        <v>30.3397048679048</v>
      </c>
      <c r="K40" s="70">
        <f>Calc!AJ40</f>
        <v>144.56041371457019</v>
      </c>
      <c r="L40" s="70">
        <f>Calc!AK40</f>
        <v>0.64823059521018589</v>
      </c>
      <c r="M40" s="176">
        <f>Calc!AP40</f>
        <v>6.2769000000000004</v>
      </c>
      <c r="N40" s="176">
        <f>Calc!AQ40</f>
        <v>1.8499999999999999E-2</v>
      </c>
      <c r="O40" s="176">
        <f>Calc!AW40</f>
        <v>6.2691999999999997</v>
      </c>
      <c r="P40" s="176">
        <f>Calc!AY40</f>
        <v>2.1215828962480018E-2</v>
      </c>
      <c r="Q40" s="177">
        <f>Calc!BC40</f>
        <v>147.14074338494635</v>
      </c>
      <c r="R40" s="176">
        <f>Calc!BD40</f>
        <v>0.65985999143415475</v>
      </c>
      <c r="S40" s="70">
        <f>Input!E40</f>
        <v>84.5</v>
      </c>
      <c r="T40" s="68"/>
      <c r="U40" s="68">
        <f>Input!K40</f>
        <v>7.1347332906887108E-3</v>
      </c>
      <c r="W40" s="68">
        <f>Calc!AS40</f>
        <v>1.0153365031598631E-5</v>
      </c>
      <c r="X40" s="68">
        <f>Calc!AT40</f>
        <v>3.6819207242711246E-8</v>
      </c>
      <c r="Y40" s="68">
        <f>Calc!AN40</f>
        <v>6.4094301163011749E-2</v>
      </c>
      <c r="Z40" s="68">
        <f>Calc!AO40</f>
        <v>2.036598324730884E-4</v>
      </c>
      <c r="AA40" s="68">
        <f t="shared" si="4"/>
        <v>1.1445604137145702</v>
      </c>
      <c r="AB40" s="68">
        <f t="shared" si="5"/>
        <v>3.0339704867904799E-2</v>
      </c>
    </row>
    <row r="41" spans="1:28" x14ac:dyDescent="0.2">
      <c r="A41" s="13">
        <f>Input!A41</f>
        <v>10815</v>
      </c>
      <c r="B41" s="13" t="str">
        <f>Input!B41</f>
        <v>Hu1-13</v>
      </c>
      <c r="C41" s="171">
        <f>Calc!O41</f>
        <v>13.70117894067667</v>
      </c>
      <c r="D41" s="171">
        <f>Calc!P41</f>
        <v>1.2396758710580622E-3</v>
      </c>
      <c r="E41" s="171">
        <f>Calc!X41</f>
        <v>0.90346338532373882</v>
      </c>
      <c r="F41" s="171">
        <f>Calc!Y41</f>
        <v>2.8342690585403825E-3</v>
      </c>
      <c r="G41" s="171">
        <f>Calc!AN41</f>
        <v>0.99783597993839102</v>
      </c>
      <c r="H41" s="172">
        <f>Calc!AO41</f>
        <v>2.6355055305248192E-3</v>
      </c>
      <c r="I41" s="15">
        <f>Calc!AH41</f>
        <v>46247.7246494547</v>
      </c>
      <c r="J41" s="15">
        <f>Calc!AI41</f>
        <v>189.61204425593328</v>
      </c>
      <c r="K41" s="15">
        <f>Calc!AJ41</f>
        <v>0.41286613523894289</v>
      </c>
      <c r="L41" s="15">
        <f>Calc!AK41</f>
        <v>1.2544549337094719</v>
      </c>
      <c r="M41" s="173">
        <f>Calc!AP41</f>
        <v>642.93719999999996</v>
      </c>
      <c r="N41" s="173" t="e">
        <f>Calc!AQ41</f>
        <v>#VALUE!</v>
      </c>
      <c r="O41" s="173">
        <f>Calc!AW41</f>
        <v>642.93539999999996</v>
      </c>
      <c r="P41" s="173">
        <f>Calc!AX41</f>
        <v>282.52734767520002</v>
      </c>
      <c r="Q41" s="178">
        <f>Calc!BC41</f>
        <v>2.5339273429310154</v>
      </c>
      <c r="R41" s="173">
        <f>Calc!BD41</f>
        <v>7.7508111699887214</v>
      </c>
      <c r="S41" s="15">
        <f>Input!E41</f>
        <v>0</v>
      </c>
      <c r="T41" s="68"/>
      <c r="U41" s="68">
        <f>Input!K41</f>
        <v>7.1256524542655329E-3</v>
      </c>
      <c r="W41" s="68">
        <f>Calc!AS41</f>
        <v>2.1575893462904805E-5</v>
      </c>
      <c r="X41" s="68">
        <f>Calc!AT41</f>
        <v>6.7714217562545761E-8</v>
      </c>
      <c r="Y41" s="68">
        <f>Calc!AN41</f>
        <v>0.99783597993839102</v>
      </c>
      <c r="Z41" s="68">
        <f>Calc!AO41</f>
        <v>2.6355055305248192E-3</v>
      </c>
      <c r="AA41" s="68">
        <f t="shared" si="4"/>
        <v>1.0004128661352389</v>
      </c>
      <c r="AB41" s="68">
        <f t="shared" si="5"/>
        <v>0.18961204425593328</v>
      </c>
    </row>
    <row r="42" spans="1:28" x14ac:dyDescent="0.2">
      <c r="A42" s="68">
        <f>Input!A42</f>
        <v>10916</v>
      </c>
      <c r="B42" s="68" t="str">
        <f>Input!B42</f>
        <v>GeoB20582-1_3_124-125</v>
      </c>
      <c r="C42" s="175">
        <f>Calc!O42</f>
        <v>3.5231993395208079</v>
      </c>
      <c r="D42" s="175">
        <f>Calc!P42</f>
        <v>1.2165441936086783E-4</v>
      </c>
      <c r="E42" s="175">
        <f>Calc!X42</f>
        <v>0.85364705447840628</v>
      </c>
      <c r="F42" s="175">
        <f>Calc!Y42</f>
        <v>1.6837529909736102E-3</v>
      </c>
      <c r="G42" s="175">
        <f>Calc!AN42</f>
        <v>6.4829317452443247E-2</v>
      </c>
      <c r="H42" s="71">
        <f>Calc!AO42</f>
        <v>2.2123007959856891E-4</v>
      </c>
      <c r="I42" s="70">
        <f>Calc!AH42</f>
        <v>816.87406222838865</v>
      </c>
      <c r="J42" s="70">
        <f>Calc!AI42</f>
        <v>3.2196052130907633</v>
      </c>
      <c r="K42" s="70">
        <f>Calc!AJ42</f>
        <v>145.01974626278869</v>
      </c>
      <c r="L42" s="70">
        <f>Calc!AK42</f>
        <v>0.51748358369422609</v>
      </c>
      <c r="M42" s="176">
        <f>Calc!AP42</f>
        <v>6.3483000000000001</v>
      </c>
      <c r="N42" s="176">
        <f>Calc!AQ42</f>
        <v>2.4E-2</v>
      </c>
      <c r="O42" s="176">
        <f>Calc!AW42</f>
        <v>6.2880000000000003</v>
      </c>
      <c r="P42" s="176">
        <f>Calc!AY42</f>
        <v>3.765540917677003E-2</v>
      </c>
      <c r="Q42" s="177">
        <f>Calc!BC42</f>
        <v>147.61610630954425</v>
      </c>
      <c r="R42" s="176">
        <f>Calc!BD42</f>
        <v>0.52698186818378634</v>
      </c>
      <c r="S42" s="70">
        <f>Input!E42</f>
        <v>124.5</v>
      </c>
      <c r="T42" s="68"/>
      <c r="U42" s="68">
        <f>Input!K42</f>
        <v>7.1317945133495533E-3</v>
      </c>
      <c r="W42" s="68">
        <f>Calc!AS42</f>
        <v>7.9278842562608762E-5</v>
      </c>
      <c r="X42" s="68">
        <f>Calc!AT42</f>
        <v>1.563953631994012E-7</v>
      </c>
      <c r="Y42" s="68">
        <f>Calc!AN42</f>
        <v>6.4829317452443247E-2</v>
      </c>
      <c r="Z42" s="68">
        <f>Calc!AO42</f>
        <v>2.2123007959856891E-4</v>
      </c>
      <c r="AA42" s="68">
        <f t="shared" si="4"/>
        <v>1.1450197462627887</v>
      </c>
      <c r="AB42" s="68">
        <f t="shared" si="5"/>
        <v>3.2196052130907633E-3</v>
      </c>
    </row>
    <row r="43" spans="1:28" x14ac:dyDescent="0.2">
      <c r="A43" s="13">
        <f>Input!A43</f>
        <v>10815</v>
      </c>
      <c r="B43" s="13" t="str">
        <f>Input!B43</f>
        <v>Hu1-13</v>
      </c>
      <c r="C43" s="171">
        <f>Calc!O43</f>
        <v>13.700144950652199</v>
      </c>
      <c r="D43" s="171">
        <f>Calc!P43</f>
        <v>1.288291461593526E-3</v>
      </c>
      <c r="E43" s="171">
        <f>Calc!X43</f>
        <v>0.89550613558157555</v>
      </c>
      <c r="F43" s="171">
        <f>Calc!Y43</f>
        <v>2.7387519987047528E-3</v>
      </c>
      <c r="G43" s="171">
        <f>Calc!AN43</f>
        <v>1.0000511710528133</v>
      </c>
      <c r="H43" s="172">
        <f>Calc!AO43</f>
        <v>2.5669052225243197E-3</v>
      </c>
      <c r="I43" s="15">
        <f>Calc!AH43</f>
        <v>46758.723692285399</v>
      </c>
      <c r="J43" s="15">
        <f>Calc!AI43</f>
        <v>186.64205508265613</v>
      </c>
      <c r="K43" s="15">
        <f>Calc!AJ43</f>
        <v>5.7031931106843459E-2</v>
      </c>
      <c r="L43" s="15">
        <f>Calc!AK43</f>
        <v>1.1588482562016964</v>
      </c>
      <c r="M43" s="173" t="str">
        <f>Calc!AP43</f>
        <v>Out of range</v>
      </c>
      <c r="N43" s="173" t="e">
        <f>Calc!AQ43</f>
        <v>#VALUE!</v>
      </c>
      <c r="O43" s="173" t="str">
        <f>Calc!AW43</f>
        <v>Out of range</v>
      </c>
      <c r="P43" s="173">
        <f>Calc!AX43</f>
        <v>351.41048907779998</v>
      </c>
      <c r="Q43" s="178" t="e">
        <f>Calc!BC43</f>
        <v>#VALUE!</v>
      </c>
      <c r="R43" s="173" t="e">
        <f>Calc!BD43</f>
        <v>#VALUE!</v>
      </c>
      <c r="S43" s="15">
        <f>Input!E43</f>
        <v>0</v>
      </c>
      <c r="T43" s="68"/>
      <c r="U43" s="68">
        <f>Input!K43</f>
        <v>7.1198640135254855E-3</v>
      </c>
      <c r="W43" s="68">
        <f>Calc!AS43</f>
        <v>2.138747793104988E-5</v>
      </c>
      <c r="X43" s="68">
        <f>Calc!AT43</f>
        <v>6.5440846336841069E-8</v>
      </c>
      <c r="Y43" s="68">
        <f>Calc!AN43</f>
        <v>1.0000511710528133</v>
      </c>
      <c r="Z43" s="68">
        <f>Calc!AO43</f>
        <v>2.5669052225243197E-3</v>
      </c>
      <c r="AA43" s="68">
        <f t="shared" si="4"/>
        <v>1.0000570319311068</v>
      </c>
      <c r="AB43" s="68">
        <f t="shared" si="5"/>
        <v>0.18664205508265613</v>
      </c>
    </row>
    <row r="44" spans="1:28" x14ac:dyDescent="0.2">
      <c r="H44" s="74"/>
    </row>
    <row r="45" spans="1:28" x14ac:dyDescent="0.2">
      <c r="A45" s="13">
        <f>Input!A45</f>
        <v>10815</v>
      </c>
      <c r="B45" s="13" t="str">
        <f>Input!B45</f>
        <v>Hu1-13</v>
      </c>
      <c r="C45" s="171">
        <f>Calc!O45</f>
        <v>13.700032109856787</v>
      </c>
      <c r="D45" s="171">
        <f>Calc!P45</f>
        <v>1.9604289623395819E-3</v>
      </c>
      <c r="E45" s="171">
        <f>Calc!X45</f>
        <v>0.96730852134492029</v>
      </c>
      <c r="F45" s="171">
        <f>Calc!Y45</f>
        <v>5.7651845563179973E-3</v>
      </c>
      <c r="G45" s="171">
        <f>Calc!AN45</f>
        <v>1.0006806842222686</v>
      </c>
      <c r="H45" s="172">
        <f>Calc!AO45</f>
        <v>4.4539030730577295E-3</v>
      </c>
      <c r="I45" s="15">
        <f>Calc!AH45</f>
        <v>43314.76050901998</v>
      </c>
      <c r="J45" s="15">
        <f>Calc!AI45</f>
        <v>322.13987109599321</v>
      </c>
      <c r="K45" s="15">
        <f>Calc!AJ45</f>
        <v>0.28884946810570078</v>
      </c>
      <c r="L45" s="15">
        <f>Calc!AK45</f>
        <v>2.3760174189235799</v>
      </c>
      <c r="M45" s="173" t="str">
        <f>Calc!AP45</f>
        <v>Out of range</v>
      </c>
      <c r="N45" s="173" t="e">
        <f>Calc!AQ45</f>
        <v>#VALUE!</v>
      </c>
      <c r="O45" s="173" t="str">
        <f>Calc!AW45</f>
        <v>Out of range</v>
      </c>
      <c r="P45" s="173">
        <f>Calc!AX45</f>
        <v>330.63900313400001</v>
      </c>
      <c r="Q45" s="178" t="e">
        <f>Calc!BC45</f>
        <v>#VALUE!</v>
      </c>
      <c r="R45" s="173" t="e">
        <f>Calc!BD45</f>
        <v>#VALUE!</v>
      </c>
      <c r="S45" s="15">
        <f>Input!E45</f>
        <v>0</v>
      </c>
      <c r="T45" s="68"/>
      <c r="U45" s="68">
        <f>Input!K45</f>
        <v>7.1967627141539502E-3</v>
      </c>
      <c r="W45" s="68">
        <f>Calc!AS45</f>
        <v>2.3102533004052607E-5</v>
      </c>
      <c r="X45" s="68">
        <f>Calc!AT45</f>
        <v>1.3773139272356942E-7</v>
      </c>
      <c r="Y45" s="68">
        <f>Calc!AN45</f>
        <v>1.0006806842222686</v>
      </c>
      <c r="Z45" s="68">
        <f>Calc!AO45</f>
        <v>4.4539030730577295E-3</v>
      </c>
      <c r="AA45" s="68">
        <f t="shared" ref="AA45:AA53" si="6">1+K45/1000</f>
        <v>1.0002888494681057</v>
      </c>
      <c r="AB45" s="68">
        <f t="shared" ref="AB45:AB53" si="7">J45/1000</f>
        <v>0.32213987109599324</v>
      </c>
    </row>
    <row r="46" spans="1:28" x14ac:dyDescent="0.2">
      <c r="A46" s="68">
        <f>Input!A46</f>
        <v>10929</v>
      </c>
      <c r="B46" s="68" t="str">
        <f>Input!B46</f>
        <v>CSM_1779</v>
      </c>
      <c r="C46" s="175">
        <f>Calc!O46</f>
        <v>2.5764858698788724</v>
      </c>
      <c r="D46" s="175">
        <f>Calc!P46</f>
        <v>2.956034561138519E-4</v>
      </c>
      <c r="E46" s="175">
        <f>Calc!X46</f>
        <v>2.2835160186741321E-2</v>
      </c>
      <c r="F46" s="175">
        <f>Calc!Y46</f>
        <v>3.0993590292964203E-4</v>
      </c>
      <c r="G46" s="175">
        <f>Calc!AN46</f>
        <v>3.486318685116088E-3</v>
      </c>
      <c r="H46" s="71">
        <f>Calc!AO46</f>
        <v>8.5470621617307873E-5</v>
      </c>
      <c r="I46" s="70">
        <f>Calc!AH46</f>
        <v>1202.9242104126008</v>
      </c>
      <c r="J46" s="70">
        <f>Calc!AI46</f>
        <v>33.708526617367205</v>
      </c>
      <c r="K46" s="70">
        <f>Calc!AJ46</f>
        <v>146.70643828413387</v>
      </c>
      <c r="L46" s="70">
        <f>Calc!AK46</f>
        <v>0.96602926566451919</v>
      </c>
      <c r="M46" s="176">
        <f>Calc!AP46</f>
        <v>0.33200000000000002</v>
      </c>
      <c r="N46" s="176">
        <f>Calc!AQ46</f>
        <v>8.5000000000000006E-3</v>
      </c>
      <c r="O46" s="176">
        <f>Calc!AW46</f>
        <v>0.32979999999999998</v>
      </c>
      <c r="P46" s="176">
        <f>Calc!AY46</f>
        <v>8.2420880833175263E-3</v>
      </c>
      <c r="Q46" s="177">
        <f>Calc!BC46</f>
        <v>146.84304378432313</v>
      </c>
      <c r="R46" s="176">
        <f>Calc!BD46</f>
        <v>0.96693481486858213</v>
      </c>
      <c r="S46" s="70">
        <f>Input!E46</f>
        <v>0</v>
      </c>
      <c r="T46" s="68"/>
      <c r="U46" s="68">
        <f>Input!K46</f>
        <v>7.1986156521683681E-3</v>
      </c>
      <c r="W46" s="68">
        <f>Calc!AS46</f>
        <v>2.8999630759005881E-6</v>
      </c>
      <c r="X46" s="68">
        <f>Calc!AT46</f>
        <v>3.9361877827271638E-8</v>
      </c>
      <c r="Y46" s="68">
        <f>Calc!AN46</f>
        <v>3.486318685116088E-3</v>
      </c>
      <c r="Z46" s="68">
        <f>Calc!AO46</f>
        <v>8.5470621617307873E-5</v>
      </c>
      <c r="AA46" s="68">
        <f t="shared" si="6"/>
        <v>1.1467064382841339</v>
      </c>
      <c r="AB46" s="68">
        <f t="shared" si="7"/>
        <v>3.3708526617367209E-2</v>
      </c>
    </row>
    <row r="47" spans="1:28" x14ac:dyDescent="0.2">
      <c r="A47" s="13">
        <f>Input!A47</f>
        <v>10815</v>
      </c>
      <c r="B47" s="13" t="str">
        <f>Input!B47</f>
        <v>Hu1-13</v>
      </c>
      <c r="C47" s="171">
        <f>Calc!O47</f>
        <v>13.699752908313</v>
      </c>
      <c r="D47" s="171">
        <f>Calc!P47</f>
        <v>1.8173038519825712E-3</v>
      </c>
      <c r="E47" s="171">
        <f>Calc!X47</f>
        <v>0.96449011187312872</v>
      </c>
      <c r="F47" s="171">
        <f>Calc!Y47</f>
        <v>4.9870676926998033E-3</v>
      </c>
      <c r="G47" s="171">
        <f>Calc!AN47</f>
        <v>1.0005338393933505</v>
      </c>
      <c r="H47" s="172">
        <f>Calc!AO47</f>
        <v>2.9911601492320292E-3</v>
      </c>
      <c r="I47" s="15">
        <f>Calc!AH47</f>
        <v>43434.073861042794</v>
      </c>
      <c r="J47" s="15">
        <f>Calc!AI47</f>
        <v>259.3556434277329</v>
      </c>
      <c r="K47" s="15">
        <f>Calc!AJ47</f>
        <v>3.6907438664579573E-2</v>
      </c>
      <c r="L47" s="15">
        <f>Calc!AK47</f>
        <v>1.5847350839424175</v>
      </c>
      <c r="M47" s="173" t="str">
        <f>Calc!AP47</f>
        <v>Out of range</v>
      </c>
      <c r="N47" s="173" t="e">
        <f>Calc!AQ47</f>
        <v>#VALUE!</v>
      </c>
      <c r="O47" s="173" t="str">
        <f>Calc!AW47</f>
        <v>Out of range</v>
      </c>
      <c r="P47" s="173">
        <f>Calc!AX47</f>
        <v>344.33247331780001</v>
      </c>
      <c r="Q47" s="178" t="e">
        <f>Calc!BC47</f>
        <v>#VALUE!</v>
      </c>
      <c r="R47" s="173" t="e">
        <f>Calc!BD47</f>
        <v>#VALUE!</v>
      </c>
      <c r="S47" s="15">
        <f>Input!E47</f>
        <v>0</v>
      </c>
      <c r="T47" s="68"/>
      <c r="U47" s="68">
        <f>Input!K47</f>
        <v>7.1839665870836429E-3</v>
      </c>
      <c r="W47" s="68">
        <f>Calc!AS47</f>
        <v>2.3035689504841879E-5</v>
      </c>
      <c r="X47" s="68">
        <f>Calc!AT47</f>
        <v>1.1914932091153239E-7</v>
      </c>
      <c r="Y47" s="68">
        <f>Calc!AN47</f>
        <v>1.0005338393933505</v>
      </c>
      <c r="Z47" s="68">
        <f>Calc!AO47</f>
        <v>2.9911601492320292E-3</v>
      </c>
      <c r="AA47" s="68">
        <f t="shared" si="6"/>
        <v>1.0000369074386646</v>
      </c>
      <c r="AB47" s="68">
        <f t="shared" si="7"/>
        <v>0.25935564342773287</v>
      </c>
    </row>
    <row r="48" spans="1:28" x14ac:dyDescent="0.2">
      <c r="A48" s="68">
        <f>Input!A48</f>
        <v>10930</v>
      </c>
      <c r="B48" s="68" t="str">
        <f>Input!B48</f>
        <v>CSM_1781</v>
      </c>
      <c r="C48" s="175">
        <f>Calc!O48</f>
        <v>2.5327967269574465</v>
      </c>
      <c r="D48" s="175">
        <f>Calc!P48</f>
        <v>2.9930804214836799E-4</v>
      </c>
      <c r="E48" s="175">
        <f>Calc!X48</f>
        <v>5.5013428300199514E-2</v>
      </c>
      <c r="F48" s="175">
        <f>Calc!Y48</f>
        <v>3.1714191246577032E-4</v>
      </c>
      <c r="G48" s="175">
        <f>Calc!AN48</f>
        <v>3.454968067591423E-3</v>
      </c>
      <c r="H48" s="71">
        <f>Calc!AO48</f>
        <v>7.4566096290104963E-5</v>
      </c>
      <c r="I48" s="70">
        <f>Calc!AH48</f>
        <v>485.65583103137965</v>
      </c>
      <c r="J48" s="70">
        <f>Calc!AI48</f>
        <v>10.848881347599139</v>
      </c>
      <c r="K48" s="70">
        <f>Calc!AJ48</f>
        <v>145.93400296331026</v>
      </c>
      <c r="L48" s="70">
        <f>Calc!AK48</f>
        <v>1.0410591644043607</v>
      </c>
      <c r="M48" s="176">
        <f>Calc!AP48</f>
        <v>0.32919999999999999</v>
      </c>
      <c r="N48" s="176">
        <f>Calc!AQ48</f>
        <v>7.3000000000000001E-3</v>
      </c>
      <c r="O48" s="176">
        <f>Calc!AW48</f>
        <v>0.32379999999999998</v>
      </c>
      <c r="P48" s="176">
        <f>Calc!AY48</f>
        <v>7.6293539359477015E-3</v>
      </c>
      <c r="Q48" s="177">
        <f>Calc!BC48</f>
        <v>146.06741592439275</v>
      </c>
      <c r="R48" s="176">
        <f>Calc!BD48</f>
        <v>1.042015647196388</v>
      </c>
      <c r="S48" s="70">
        <f>Input!E48</f>
        <v>0</v>
      </c>
      <c r="T48" s="68"/>
      <c r="U48" s="68">
        <f>Input!K48</f>
        <v>7.1997368384756179E-3</v>
      </c>
      <c r="W48" s="68">
        <f>Calc!AS48</f>
        <v>7.1069710180299828E-6</v>
      </c>
      <c r="X48" s="68">
        <f>Calc!AT48</f>
        <v>4.0978938411538342E-8</v>
      </c>
      <c r="Y48" s="68">
        <f>Calc!AN48</f>
        <v>3.454968067591423E-3</v>
      </c>
      <c r="Z48" s="68">
        <f>Calc!AO48</f>
        <v>7.4566096290104963E-5</v>
      </c>
      <c r="AA48" s="68">
        <f t="shared" si="6"/>
        <v>1.1459340029633103</v>
      </c>
      <c r="AB48" s="68">
        <f t="shared" si="7"/>
        <v>1.084888134759914E-2</v>
      </c>
    </row>
    <row r="49" spans="1:28" x14ac:dyDescent="0.2">
      <c r="A49" s="13">
        <f>Input!A49</f>
        <v>10815</v>
      </c>
      <c r="B49" s="13" t="str">
        <f>Input!B49</f>
        <v>Hu1-13</v>
      </c>
      <c r="C49" s="171">
        <f>Calc!O49</f>
        <v>13.698925124556183</v>
      </c>
      <c r="D49" s="171">
        <f>Calc!P49</f>
        <v>1.4516987481115213E-3</v>
      </c>
      <c r="E49" s="171">
        <f>Calc!X49</f>
        <v>0.95989985722327131</v>
      </c>
      <c r="F49" s="171">
        <f>Calc!Y49</f>
        <v>5.1873801485708979E-3</v>
      </c>
      <c r="G49" s="171">
        <f>Calc!AN49</f>
        <v>0.99748284171795709</v>
      </c>
      <c r="H49" s="172">
        <f>Calc!AO49</f>
        <v>4.1881807565490748E-3</v>
      </c>
      <c r="I49" s="15">
        <f>Calc!AH49</f>
        <v>43506.067362749694</v>
      </c>
      <c r="J49" s="15">
        <f>Calc!AI49</f>
        <v>297.6985130541359</v>
      </c>
      <c r="K49" s="15">
        <f>Calc!AJ49</f>
        <v>0.55586865695800292</v>
      </c>
      <c r="L49" s="15">
        <f>Calc!AK49</f>
        <v>1.70658465147872</v>
      </c>
      <c r="M49" s="173">
        <f>Calc!AP49</f>
        <v>622.91</v>
      </c>
      <c r="N49" s="173" t="e">
        <f>Calc!AQ49</f>
        <v>#VALUE!</v>
      </c>
      <c r="O49" s="173">
        <f>Calc!AW49</f>
        <v>622.90809999999999</v>
      </c>
      <c r="P49" s="173">
        <f>Calc!AX49</f>
        <v>288.82743876019998</v>
      </c>
      <c r="Q49" s="178">
        <f>Calc!BC49</f>
        <v>3.2241224076445034</v>
      </c>
      <c r="R49" s="173">
        <f>Calc!BD49</f>
        <v>10.002375285025947</v>
      </c>
      <c r="S49" s="15">
        <f>Input!E49</f>
        <v>0</v>
      </c>
      <c r="T49" s="68"/>
      <c r="U49" s="68">
        <f>Input!K49</f>
        <v>7.176829466209911E-3</v>
      </c>
      <c r="W49" s="68">
        <f>Calc!AS49</f>
        <v>2.2927442128957197E-5</v>
      </c>
      <c r="X49" s="68">
        <f>Calc!AT49</f>
        <v>1.2392565961512274E-7</v>
      </c>
      <c r="Y49" s="68">
        <f>Calc!AN49</f>
        <v>0.99748284171795709</v>
      </c>
      <c r="Z49" s="68">
        <f>Calc!AO49</f>
        <v>4.1881807565490748E-3</v>
      </c>
      <c r="AA49" s="68">
        <f t="shared" si="6"/>
        <v>1.000555868656958</v>
      </c>
      <c r="AB49" s="68">
        <f t="shared" si="7"/>
        <v>0.29769851305413592</v>
      </c>
    </row>
    <row r="50" spans="1:28" x14ac:dyDescent="0.2">
      <c r="A50" s="68">
        <f>Input!A50</f>
        <v>10931</v>
      </c>
      <c r="B50" s="68" t="str">
        <f>Input!B50</f>
        <v>CSM_1784</v>
      </c>
      <c r="C50" s="175">
        <f>Calc!O50</f>
        <v>2.7086587530690109</v>
      </c>
      <c r="D50" s="175">
        <f>Calc!P50</f>
        <v>3.7151237803397061E-4</v>
      </c>
      <c r="E50" s="175">
        <f>Calc!X50</f>
        <v>4.1148005872277849E-2</v>
      </c>
      <c r="F50" s="175">
        <f>Calc!Y50</f>
        <v>1.0551369021389746E-3</v>
      </c>
      <c r="G50" s="175">
        <f>Calc!AN50</f>
        <v>4.7342813202689319E-3</v>
      </c>
      <c r="H50" s="71">
        <f>Calc!AO50</f>
        <v>1.7683474547325594E-4</v>
      </c>
      <c r="I50" s="70">
        <f>Calc!AH50</f>
        <v>950.94661952419722</v>
      </c>
      <c r="J50" s="70">
        <f>Calc!AI50</f>
        <v>43.084155928349936</v>
      </c>
      <c r="K50" s="70">
        <f>Calc!AJ50</f>
        <v>147.35071820715518</v>
      </c>
      <c r="L50" s="70">
        <f>Calc!AK50</f>
        <v>1.1276537285420354</v>
      </c>
      <c r="M50" s="176">
        <f>Calc!AP50</f>
        <v>0.45079999999999998</v>
      </c>
      <c r="N50" s="176">
        <f>Calc!AQ50</f>
        <v>1.6899999999999998E-2</v>
      </c>
      <c r="O50" s="176">
        <f>Calc!AW50</f>
        <v>0.4471</v>
      </c>
      <c r="P50" s="176">
        <f>Calc!AY50</f>
        <v>1.7008511939731904E-2</v>
      </c>
      <c r="Q50" s="177">
        <f>Calc!BC50</f>
        <v>147.53675428841248</v>
      </c>
      <c r="R50" s="176">
        <f>Calc!BD50</f>
        <v>1.1290996436616356</v>
      </c>
      <c r="S50" s="70">
        <f>Input!E50</f>
        <v>0</v>
      </c>
      <c r="T50" s="68"/>
      <c r="U50" s="68">
        <f>Input!K50</f>
        <v>7.162721170414609E-3</v>
      </c>
      <c r="W50" s="68">
        <f>Calc!AS50</f>
        <v>4.9706212191802303E-6</v>
      </c>
      <c r="X50" s="68">
        <f>Calc!AT50</f>
        <v>1.2746087661944743E-7</v>
      </c>
      <c r="Y50" s="68">
        <f>Calc!AN50</f>
        <v>4.7342813202689319E-3</v>
      </c>
      <c r="Z50" s="68">
        <f>Calc!AO50</f>
        <v>1.7683474547325594E-4</v>
      </c>
      <c r="AA50" s="68">
        <f t="shared" si="6"/>
        <v>1.1473507182071552</v>
      </c>
      <c r="AB50" s="68">
        <f t="shared" si="7"/>
        <v>4.3084155928349938E-2</v>
      </c>
    </row>
    <row r="51" spans="1:28" x14ac:dyDescent="0.2">
      <c r="A51" s="13">
        <f>Input!A51</f>
        <v>10815</v>
      </c>
      <c r="B51" s="13" t="str">
        <f>Input!B51</f>
        <v>Hu1-13</v>
      </c>
      <c r="C51" s="171">
        <f>Calc!O51</f>
        <v>13.704301222483362</v>
      </c>
      <c r="D51" s="171">
        <f>Calc!P51</f>
        <v>1.6623947743714144E-3</v>
      </c>
      <c r="E51" s="171">
        <f>Calc!X51</f>
        <v>0.95932086688495977</v>
      </c>
      <c r="F51" s="171">
        <f>Calc!Y51</f>
        <v>4.5982921017020013E-3</v>
      </c>
      <c r="G51" s="171">
        <f>Calc!AN51</f>
        <v>0.9993547458912968</v>
      </c>
      <c r="H51" s="172">
        <f>Calc!AO51</f>
        <v>3.0580721248974459E-3</v>
      </c>
      <c r="I51" s="15">
        <f>Calc!AH51</f>
        <v>43631.135252746069</v>
      </c>
      <c r="J51" s="15">
        <f>Calc!AI51</f>
        <v>248.06397254282771</v>
      </c>
      <c r="K51" s="15">
        <f>Calc!AJ51</f>
        <v>-0.49083695633667102</v>
      </c>
      <c r="L51" s="15">
        <f>Calc!AK51</f>
        <v>1.2731968596531447</v>
      </c>
      <c r="M51" s="173" t="str">
        <f>Calc!AP51</f>
        <v>Out of range</v>
      </c>
      <c r="N51" s="173" t="e">
        <f>Calc!AQ51</f>
        <v>#VALUE!</v>
      </c>
      <c r="O51" s="173" t="str">
        <f>Calc!AW51</f>
        <v>Out of range</v>
      </c>
      <c r="P51" s="173">
        <f>Calc!AX51</f>
        <v>332.29453099099999</v>
      </c>
      <c r="Q51" s="178" t="e">
        <f>Calc!BC51</f>
        <v>#VALUE!</v>
      </c>
      <c r="R51" s="173" t="e">
        <f>Calc!BD51</f>
        <v>#VALUE!</v>
      </c>
      <c r="S51" s="15">
        <f>Input!E51</f>
        <v>0</v>
      </c>
      <c r="T51" s="68"/>
      <c r="U51" s="68">
        <f>Input!K51</f>
        <v>7.1660680764826876E-3</v>
      </c>
      <c r="W51" s="68">
        <f>Calc!AS51</f>
        <v>2.2904623959524388E-5</v>
      </c>
      <c r="X51" s="68">
        <f>Calc!AT51</f>
        <v>1.0982339358898026E-7</v>
      </c>
      <c r="Y51" s="68">
        <f>Calc!AN51</f>
        <v>0.9993547458912968</v>
      </c>
      <c r="Z51" s="68">
        <f>Calc!AO51</f>
        <v>3.0580721248974459E-3</v>
      </c>
      <c r="AA51" s="68">
        <f t="shared" si="6"/>
        <v>0.99950916304366333</v>
      </c>
      <c r="AB51" s="68">
        <f t="shared" si="7"/>
        <v>0.24806397254282772</v>
      </c>
    </row>
    <row r="52" spans="1:28" x14ac:dyDescent="0.2">
      <c r="A52" s="68">
        <f>Input!A52</f>
        <v>10932</v>
      </c>
      <c r="B52" s="68" t="str">
        <f>Input!B52</f>
        <v>CSM_1788</v>
      </c>
      <c r="C52" s="175">
        <f>Calc!O52</f>
        <v>2.7311680119456883</v>
      </c>
      <c r="D52" s="175">
        <f>Calc!P52</f>
        <v>2.9407739563951411E-4</v>
      </c>
      <c r="E52" s="175">
        <f>Calc!X52</f>
        <v>2.1529148062399032E-2</v>
      </c>
      <c r="F52" s="175">
        <f>Calc!Y52</f>
        <v>4.6599574614427313E-4</v>
      </c>
      <c r="G52" s="175">
        <f>Calc!AN52</f>
        <v>8.218309560629692E-3</v>
      </c>
      <c r="H52" s="71">
        <f>Calc!AO52</f>
        <v>2.3339173444268969E-4</v>
      </c>
      <c r="I52" s="70">
        <f>Calc!AH52</f>
        <v>3182.0756544434448</v>
      </c>
      <c r="J52" s="70">
        <f>Calc!AI52</f>
        <v>113.62247160558435</v>
      </c>
      <c r="K52" s="70">
        <f>Calc!AJ52</f>
        <v>147.78678426166846</v>
      </c>
      <c r="L52" s="70">
        <f>Calc!AK52</f>
        <v>1.0594870082832366</v>
      </c>
      <c r="M52" s="176">
        <f>Calc!AP52</f>
        <v>0.78349999999999997</v>
      </c>
      <c r="N52" s="176">
        <f>Calc!AQ52</f>
        <v>2.2499999999999999E-2</v>
      </c>
      <c r="O52" s="176">
        <f>Calc!AW52</f>
        <v>0.78149999999999997</v>
      </c>
      <c r="P52" s="176">
        <f>Calc!AY52</f>
        <v>2.239112813148679E-2</v>
      </c>
      <c r="Q52" s="177">
        <f>Calc!BC52</f>
        <v>148.11307881014343</v>
      </c>
      <c r="R52" s="176">
        <f>Calc!BD52</f>
        <v>1.0618674675099733</v>
      </c>
      <c r="S52" s="70">
        <f>Input!E52</f>
        <v>0</v>
      </c>
      <c r="T52" s="68"/>
      <c r="U52" s="68">
        <f>Input!K52</f>
        <v>7.156650258553208E-3</v>
      </c>
      <c r="W52" s="68">
        <f>Calc!AS52</f>
        <v>2.5792568822935377E-6</v>
      </c>
      <c r="X52" s="68">
        <f>Calc!AT52</f>
        <v>5.5828386871649378E-8</v>
      </c>
      <c r="Y52" s="68">
        <f>Calc!AN52</f>
        <v>8.218309560629692E-3</v>
      </c>
      <c r="Z52" s="68">
        <f>Calc!AO52</f>
        <v>2.3339173444268969E-4</v>
      </c>
      <c r="AA52" s="68">
        <f t="shared" si="6"/>
        <v>1.1477867842616685</v>
      </c>
      <c r="AB52" s="68">
        <f t="shared" si="7"/>
        <v>0.11362247160558435</v>
      </c>
    </row>
    <row r="53" spans="1:28" x14ac:dyDescent="0.2">
      <c r="A53" s="13">
        <f>Input!A53</f>
        <v>10815</v>
      </c>
      <c r="B53" s="13" t="str">
        <f>Input!B53</f>
        <v>Hu1-13</v>
      </c>
      <c r="C53" s="171">
        <f>Calc!O53</f>
        <v>13.699951306606421</v>
      </c>
      <c r="D53" s="171">
        <f>Calc!P53</f>
        <v>1.537110550127066E-3</v>
      </c>
      <c r="E53" s="171">
        <f>Calc!X53</f>
        <v>0.95232152905175749</v>
      </c>
      <c r="F53" s="171">
        <f>Calc!Y53</f>
        <v>5.9525466094430979E-3</v>
      </c>
      <c r="G53" s="171">
        <f>Calc!AN53</f>
        <v>0.9979880096116035</v>
      </c>
      <c r="H53" s="172">
        <f>Calc!AO53</f>
        <v>3.6112502400297902E-3</v>
      </c>
      <c r="I53" s="15">
        <f>Calc!AH53</f>
        <v>43877.772671954532</v>
      </c>
      <c r="J53" s="15">
        <f>Calc!AI53</f>
        <v>316.86535022453177</v>
      </c>
      <c r="K53" s="15">
        <f>Calc!AJ53</f>
        <v>-1.0398853364911309</v>
      </c>
      <c r="L53" s="15">
        <f>Calc!AK53</f>
        <v>1.6577745771463064</v>
      </c>
      <c r="M53" s="173">
        <f>Calc!AP53</f>
        <v>825.0104</v>
      </c>
      <c r="N53" s="173" t="e">
        <f>Calc!AQ53</f>
        <v>#VALUE!</v>
      </c>
      <c r="O53" s="173">
        <f>Calc!AW53</f>
        <v>825.00850000000003</v>
      </c>
      <c r="P53" s="173">
        <f>Calc!AX53</f>
        <v>331.2713865577</v>
      </c>
      <c r="Q53" s="178">
        <f>Calc!BC53</f>
        <v>-10.668910391463388</v>
      </c>
      <c r="R53" s="173">
        <f>Calc!BD53</f>
        <v>32.317290001376819</v>
      </c>
      <c r="S53" s="15">
        <f>Input!E53</f>
        <v>0</v>
      </c>
      <c r="T53" s="68"/>
      <c r="U53" s="68">
        <f>Input!K53</f>
        <v>7.1584383766013443E-3</v>
      </c>
      <c r="W53" s="68">
        <f>Calc!AS53</f>
        <v>2.2744728112634805E-5</v>
      </c>
      <c r="X53" s="68">
        <f>Calc!AT53</f>
        <v>1.421902791351892E-7</v>
      </c>
      <c r="Y53" s="68">
        <f>Calc!AN53</f>
        <v>0.9979880096116035</v>
      </c>
      <c r="Z53" s="68">
        <f>Calc!AO53</f>
        <v>3.6112502400297902E-3</v>
      </c>
      <c r="AA53" s="68">
        <f t="shared" si="6"/>
        <v>0.99896011466350887</v>
      </c>
      <c r="AB53" s="68">
        <f t="shared" si="7"/>
        <v>0.31686535022453177</v>
      </c>
    </row>
    <row r="54" spans="1:28" x14ac:dyDescent="0.2">
      <c r="A54" s="68">
        <f>Input!A54</f>
        <v>10933</v>
      </c>
      <c r="B54" s="68" t="str">
        <f>Input!B54</f>
        <v>CSM_1818</v>
      </c>
      <c r="C54" s="175">
        <f>Calc!O54</f>
        <v>2.7791756778260579</v>
      </c>
      <c r="D54" s="175">
        <f>Calc!P54</f>
        <v>2.3809361738789402E-4</v>
      </c>
      <c r="E54" s="175">
        <f>Calc!X54</f>
        <v>2.4663049485901176E-2</v>
      </c>
      <c r="F54" s="175">
        <f>Calc!Y54</f>
        <v>3.777824613378547E-4</v>
      </c>
      <c r="G54" s="175">
        <f>Calc!AN54</f>
        <v>6.3456774200649838E-3</v>
      </c>
      <c r="H54" s="71">
        <f>Calc!AO54</f>
        <v>2.4005652148501318E-4</v>
      </c>
      <c r="I54" s="70">
        <f>Calc!AH54</f>
        <v>2180.7157360785518</v>
      </c>
      <c r="J54" s="70">
        <f>Calc!AI54</f>
        <v>89.002317317325094</v>
      </c>
      <c r="K54" s="70">
        <f>Calc!AJ54</f>
        <v>147.07076165531862</v>
      </c>
      <c r="L54" s="70">
        <f>Calc!AK54</f>
        <v>0.8114234806217413</v>
      </c>
      <c r="M54" s="176">
        <f>Calc!AP54</f>
        <v>0.60489999999999999</v>
      </c>
      <c r="N54" s="176">
        <f>Calc!AQ54</f>
        <v>2.3699999999999999E-2</v>
      </c>
      <c r="O54" s="176">
        <f>Calc!AW54</f>
        <v>0.60260000000000002</v>
      </c>
      <c r="P54" s="176">
        <f>Calc!AY54</f>
        <v>2.3005149815235274E-2</v>
      </c>
      <c r="Q54" s="177">
        <f>Calc!BC54</f>
        <v>147.32107905526127</v>
      </c>
      <c r="R54" s="176">
        <f>Calc!BD54</f>
        <v>0.81286081029845159</v>
      </c>
      <c r="S54" s="70">
        <f>Input!E54</f>
        <v>0</v>
      </c>
      <c r="T54" s="68"/>
      <c r="U54" s="68">
        <f>Input!K54</f>
        <v>7.1396781349709901E-3</v>
      </c>
      <c r="W54" s="68">
        <f>Calc!AS54</f>
        <v>2.9036679083088073E-6</v>
      </c>
      <c r="X54" s="68">
        <f>Calc!AT54</f>
        <v>4.4478358868010993E-8</v>
      </c>
      <c r="Y54" s="68">
        <f>Calc!AN54</f>
        <v>6.3456774200649838E-3</v>
      </c>
      <c r="Z54" s="68">
        <f>Calc!AO54</f>
        <v>2.4005652148501318E-4</v>
      </c>
      <c r="AA54" s="68">
        <f t="shared" ref="AA54:AA55" si="8">1+K54/1000</f>
        <v>1.1470707616553186</v>
      </c>
      <c r="AB54" s="68">
        <f t="shared" ref="AB54:AB55" si="9">J54/1000</f>
        <v>8.9002317317325094E-2</v>
      </c>
    </row>
    <row r="55" spans="1:28" x14ac:dyDescent="0.2">
      <c r="A55" s="13">
        <f>Input!A55</f>
        <v>10815</v>
      </c>
      <c r="B55" s="13" t="str">
        <f>Input!B55</f>
        <v>Hu1-13</v>
      </c>
      <c r="C55" s="171">
        <f>Calc!O55</f>
        <v>13.702547745008772</v>
      </c>
      <c r="D55" s="171">
        <f>Calc!P55</f>
        <v>1.6860236614527587E-3</v>
      </c>
      <c r="E55" s="171">
        <f>Calc!X55</f>
        <v>0.95161499199434807</v>
      </c>
      <c r="F55" s="171">
        <f>Calc!Y55</f>
        <v>6.9705582302425177E-3</v>
      </c>
      <c r="G55" s="171">
        <f>Calc!AN55</f>
        <v>0.99772462462137501</v>
      </c>
      <c r="H55" s="172">
        <f>Calc!AO55</f>
        <v>2.6089317158205722E-3</v>
      </c>
      <c r="I55" s="15">
        <f>Calc!AH55</f>
        <v>43907.081334333117</v>
      </c>
      <c r="J55" s="15">
        <f>Calc!AI55</f>
        <v>341.45416243538858</v>
      </c>
      <c r="K55" s="15">
        <f>Calc!AJ55</f>
        <v>0.42971705148242556</v>
      </c>
      <c r="L55" s="15">
        <f>Calc!AK55</f>
        <v>1.9492210332213411</v>
      </c>
      <c r="M55" s="173">
        <f>Calc!AP55</f>
        <v>637.71069999999997</v>
      </c>
      <c r="N55" s="173" t="e">
        <f>Calc!AQ55</f>
        <v>#VALUE!</v>
      </c>
      <c r="O55" s="173">
        <f>Calc!AW55</f>
        <v>637.70889999999997</v>
      </c>
      <c r="P55" s="173">
        <f>Calc!AX55</f>
        <v>290.32042679400001</v>
      </c>
      <c r="Q55" s="178">
        <f>Calc!BC55</f>
        <v>2.5987341774315054</v>
      </c>
      <c r="R55" s="173">
        <f>Calc!BD55</f>
        <v>11.834214266987704</v>
      </c>
      <c r="S55" s="15">
        <f>Input!E55</f>
        <v>0</v>
      </c>
      <c r="T55" s="68"/>
      <c r="U55" s="68">
        <f>Input!K55</f>
        <v>7.1567329281879959E-3</v>
      </c>
      <c r="W55" s="68">
        <f>Calc!AS55</f>
        <v>2.272354696100478E-5</v>
      </c>
      <c r="X55" s="68">
        <f>Calc!AT55</f>
        <v>1.6647294797156985E-7</v>
      </c>
      <c r="Y55" s="68">
        <f>Calc!AN55</f>
        <v>0.99772462462137501</v>
      </c>
      <c r="Z55" s="68">
        <f>Calc!AO55</f>
        <v>2.6089317158205722E-3</v>
      </c>
      <c r="AA55" s="68">
        <f t="shared" si="8"/>
        <v>1.0004297170514824</v>
      </c>
      <c r="AB55" s="68">
        <f t="shared" si="9"/>
        <v>0.34145416243538856</v>
      </c>
    </row>
    <row r="56" spans="1:28" x14ac:dyDescent="0.2">
      <c r="H56" s="74"/>
    </row>
    <row r="57" spans="1:28" x14ac:dyDescent="0.2">
      <c r="H57" s="74"/>
    </row>
    <row r="58" spans="1:28" x14ac:dyDescent="0.2">
      <c r="H58" s="74"/>
    </row>
    <row r="59" spans="1:28" x14ac:dyDescent="0.2">
      <c r="H59" s="74"/>
    </row>
    <row r="60" spans="1:28" ht="13.5" customHeight="1" x14ac:dyDescent="0.2">
      <c r="H60" s="74"/>
    </row>
    <row r="61" spans="1:28" ht="13.5" customHeight="1" x14ac:dyDescent="0.2"/>
    <row r="62" spans="1:28" ht="13.5" customHeight="1" x14ac:dyDescent="0.2">
      <c r="H62" s="74"/>
    </row>
    <row r="63" spans="1:28" ht="13.5" customHeight="1" x14ac:dyDescent="0.2">
      <c r="H63" s="74"/>
    </row>
    <row r="64" spans="1:28" ht="13.5" customHeight="1" x14ac:dyDescent="0.2">
      <c r="H64" s="74"/>
    </row>
    <row r="65" spans="8:8" ht="13.5" customHeight="1" x14ac:dyDescent="0.2"/>
    <row r="66" spans="8:8" ht="13.5" customHeight="1" x14ac:dyDescent="0.2">
      <c r="H66" s="74"/>
    </row>
    <row r="67" spans="8:8" ht="13.5" customHeight="1" x14ac:dyDescent="0.2">
      <c r="H67" s="74"/>
    </row>
    <row r="68" spans="8:8" ht="13.5" customHeight="1" x14ac:dyDescent="0.2">
      <c r="H68" s="74"/>
    </row>
    <row r="69" spans="8:8" ht="13.5" customHeight="1" x14ac:dyDescent="0.2">
      <c r="H69" s="74"/>
    </row>
    <row r="70" spans="8:8" ht="13.5" customHeight="1" x14ac:dyDescent="0.2">
      <c r="H70" s="74"/>
    </row>
    <row r="71" spans="8:8" ht="13.5" customHeight="1" x14ac:dyDescent="0.2">
      <c r="H71" s="74"/>
    </row>
    <row r="72" spans="8:8" ht="13.5" customHeight="1" x14ac:dyDescent="0.2">
      <c r="H72" s="74"/>
    </row>
    <row r="73" spans="8:8" ht="13.5" customHeight="1" x14ac:dyDescent="0.2">
      <c r="H73" s="74"/>
    </row>
    <row r="74" spans="8:8" ht="13.5" customHeight="1" x14ac:dyDescent="0.2">
      <c r="H74" s="74"/>
    </row>
    <row r="76" spans="8:8" ht="13.5" customHeight="1" x14ac:dyDescent="0.2">
      <c r="H76" s="74"/>
    </row>
    <row r="77" spans="8:8" ht="13.5" customHeight="1" x14ac:dyDescent="0.2"/>
    <row r="78" spans="8:8" ht="13.5" customHeight="1" x14ac:dyDescent="0.2">
      <c r="H78" s="74"/>
    </row>
    <row r="79" spans="8:8" ht="13.5" customHeight="1" x14ac:dyDescent="0.2">
      <c r="H79" s="74"/>
    </row>
    <row r="80" spans="8:8" ht="13.5" customHeight="1" x14ac:dyDescent="0.2">
      <c r="H80" s="74"/>
    </row>
    <row r="81" spans="8:8" ht="13.5" customHeight="1" x14ac:dyDescent="0.2"/>
    <row r="82" spans="8:8" ht="13.5" customHeight="1" x14ac:dyDescent="0.2">
      <c r="H82" s="74"/>
    </row>
    <row r="83" spans="8:8" ht="13.5" customHeight="1" x14ac:dyDescent="0.2">
      <c r="H83" s="74"/>
    </row>
    <row r="84" spans="8:8" ht="13.5" customHeight="1" x14ac:dyDescent="0.2">
      <c r="H84" s="74"/>
    </row>
    <row r="85" spans="8:8" ht="13.5" customHeight="1" x14ac:dyDescent="0.2">
      <c r="H85" s="74"/>
    </row>
    <row r="86" spans="8:8" ht="13.5" customHeight="1" x14ac:dyDescent="0.2">
      <c r="H86" s="74"/>
    </row>
    <row r="87" spans="8:8" ht="13.5" customHeight="1" x14ac:dyDescent="0.2">
      <c r="H87" s="74"/>
    </row>
    <row r="88" spans="8:8" ht="13.5" customHeight="1" x14ac:dyDescent="0.2">
      <c r="H88" s="74"/>
    </row>
    <row r="89" spans="8:8" ht="13.5" customHeight="1" x14ac:dyDescent="0.2">
      <c r="H89" s="74"/>
    </row>
    <row r="90" spans="8:8" ht="13.5" customHeight="1" x14ac:dyDescent="0.2">
      <c r="H90" s="74"/>
    </row>
    <row r="92" spans="8:8" ht="13.5" customHeight="1" x14ac:dyDescent="0.2">
      <c r="H92" s="74"/>
    </row>
    <row r="93" spans="8:8" ht="13.5" customHeight="1" x14ac:dyDescent="0.2"/>
    <row r="94" spans="8:8" ht="13.5" customHeight="1" x14ac:dyDescent="0.2">
      <c r="H94" s="74"/>
    </row>
    <row r="95" spans="8:8" ht="13.5" customHeight="1" x14ac:dyDescent="0.2">
      <c r="H95" s="74"/>
    </row>
    <row r="96" spans="8:8" ht="13.5" customHeight="1" x14ac:dyDescent="0.2">
      <c r="H96" s="74"/>
    </row>
    <row r="97" spans="8:8" ht="13.5" customHeight="1" x14ac:dyDescent="0.2"/>
    <row r="98" spans="8:8" ht="13.5" customHeight="1" x14ac:dyDescent="0.2">
      <c r="H98" s="74"/>
    </row>
    <row r="99" spans="8:8" ht="13.5" customHeight="1" x14ac:dyDescent="0.2">
      <c r="H99" s="74"/>
    </row>
    <row r="100" spans="8:8" ht="13.5" customHeight="1" x14ac:dyDescent="0.2">
      <c r="H100" s="74"/>
    </row>
    <row r="101" spans="8:8" ht="13.5" customHeight="1" x14ac:dyDescent="0.2">
      <c r="H101" s="74"/>
    </row>
    <row r="102" spans="8:8" ht="13.5" customHeight="1" x14ac:dyDescent="0.2">
      <c r="H102" s="74"/>
    </row>
    <row r="103" spans="8:8" ht="13.5" customHeight="1" x14ac:dyDescent="0.2">
      <c r="H103" s="74"/>
    </row>
    <row r="104" spans="8:8" ht="13.5" customHeight="1" x14ac:dyDescent="0.2">
      <c r="H104" s="74"/>
    </row>
    <row r="105" spans="8:8" ht="13.5" customHeight="1" x14ac:dyDescent="0.2">
      <c r="H105" s="74"/>
    </row>
    <row r="106" spans="8:8" ht="13.5" customHeight="1" x14ac:dyDescent="0.2">
      <c r="H106" s="74"/>
    </row>
    <row r="108" spans="8:8" ht="13.5" customHeight="1" x14ac:dyDescent="0.2">
      <c r="H108" s="74"/>
    </row>
    <row r="109" spans="8:8" ht="13.5" customHeight="1" x14ac:dyDescent="0.2"/>
    <row r="110" spans="8:8" ht="13.5" customHeight="1" x14ac:dyDescent="0.2">
      <c r="H110" s="74"/>
    </row>
    <row r="111" spans="8:8" ht="13.5" customHeight="1" x14ac:dyDescent="0.2">
      <c r="H111" s="74"/>
    </row>
    <row r="112" spans="8:8" ht="13.5" customHeight="1" x14ac:dyDescent="0.2">
      <c r="H112" s="74"/>
    </row>
    <row r="113" spans="8:8" ht="13.5" customHeight="1" x14ac:dyDescent="0.2"/>
    <row r="114" spans="8:8" ht="13.5" customHeight="1" x14ac:dyDescent="0.2">
      <c r="H114" s="74"/>
    </row>
    <row r="115" spans="8:8" ht="13.5" customHeight="1" x14ac:dyDescent="0.2">
      <c r="H115" s="74"/>
    </row>
    <row r="116" spans="8:8" ht="13.5" customHeight="1" x14ac:dyDescent="0.2">
      <c r="H116" s="74"/>
    </row>
    <row r="117" spans="8:8" ht="13.5" customHeight="1" x14ac:dyDescent="0.2">
      <c r="H117" s="74"/>
    </row>
    <row r="118" spans="8:8" ht="13.5" customHeight="1" x14ac:dyDescent="0.2">
      <c r="H118" s="74"/>
    </row>
    <row r="119" spans="8:8" ht="13.5" customHeight="1" x14ac:dyDescent="0.2">
      <c r="H119" s="74"/>
    </row>
    <row r="120" spans="8:8" ht="13.5" customHeight="1" x14ac:dyDescent="0.2">
      <c r="H120" s="74"/>
    </row>
    <row r="121" spans="8:8" ht="13.5" customHeight="1" x14ac:dyDescent="0.2"/>
    <row r="122" spans="8:8" ht="13.5" customHeight="1" x14ac:dyDescent="0.2">
      <c r="H122" s="74"/>
    </row>
    <row r="123" spans="8:8" ht="13.5" customHeight="1" x14ac:dyDescent="0.2">
      <c r="H123" s="74"/>
    </row>
    <row r="124" spans="8:8" ht="13.5" customHeight="1" x14ac:dyDescent="0.2">
      <c r="H124" s="74"/>
    </row>
    <row r="125" spans="8:8" ht="13.5" customHeight="1" x14ac:dyDescent="0.2"/>
    <row r="126" spans="8:8" ht="13.5" customHeight="1" x14ac:dyDescent="0.2">
      <c r="H126" s="74"/>
    </row>
    <row r="127" spans="8:8" ht="13.5" customHeight="1" x14ac:dyDescent="0.2">
      <c r="H127" s="74"/>
    </row>
    <row r="128" spans="8:8" ht="13.5" customHeight="1" x14ac:dyDescent="0.2">
      <c r="H128" s="74"/>
    </row>
    <row r="129" spans="8:8" ht="13.5" customHeight="1" x14ac:dyDescent="0.2">
      <c r="H129" s="74"/>
    </row>
    <row r="130" spans="8:8" ht="13.5" customHeight="1" x14ac:dyDescent="0.2">
      <c r="H130" s="74"/>
    </row>
    <row r="131" spans="8:8" ht="13.5" customHeight="1" x14ac:dyDescent="0.2">
      <c r="H131" s="74"/>
    </row>
    <row r="132" spans="8:8" ht="13.5" customHeight="1" x14ac:dyDescent="0.2">
      <c r="H132" s="74"/>
    </row>
    <row r="133" spans="8:8" ht="13.5" customHeight="1" x14ac:dyDescent="0.2"/>
    <row r="134" spans="8:8" ht="13.5" customHeight="1" x14ac:dyDescent="0.2">
      <c r="H134" s="74"/>
    </row>
    <row r="135" spans="8:8" ht="13.5" customHeight="1" x14ac:dyDescent="0.2">
      <c r="H135" s="74"/>
    </row>
    <row r="136" spans="8:8" ht="13.5" customHeight="1" x14ac:dyDescent="0.2">
      <c r="H136" s="74"/>
    </row>
    <row r="137" spans="8:8" ht="13.5" customHeight="1" x14ac:dyDescent="0.2"/>
    <row r="138" spans="8:8" ht="13.5" customHeight="1" x14ac:dyDescent="0.2">
      <c r="H138" s="74"/>
    </row>
    <row r="139" spans="8:8" ht="13.5" customHeight="1" x14ac:dyDescent="0.2">
      <c r="H139" s="74"/>
    </row>
    <row r="140" spans="8:8" ht="13.5" customHeight="1" x14ac:dyDescent="0.2">
      <c r="H140" s="74"/>
    </row>
    <row r="141" spans="8:8" ht="13.5" customHeight="1" x14ac:dyDescent="0.2">
      <c r="H141" s="74"/>
    </row>
    <row r="142" spans="8:8" ht="13.5" customHeight="1" x14ac:dyDescent="0.2">
      <c r="H142" s="74"/>
    </row>
    <row r="143" spans="8:8" ht="13.5" customHeight="1" x14ac:dyDescent="0.2">
      <c r="H143" s="74"/>
    </row>
    <row r="144" spans="8:8" ht="13.5" customHeight="1" x14ac:dyDescent="0.2">
      <c r="H144" s="74"/>
    </row>
    <row r="145" spans="8:8" ht="13.5" customHeight="1" x14ac:dyDescent="0.2"/>
    <row r="146" spans="8:8" ht="13.5" customHeight="1" x14ac:dyDescent="0.2">
      <c r="H146" s="74"/>
    </row>
    <row r="147" spans="8:8" ht="13.5" customHeight="1" x14ac:dyDescent="0.2">
      <c r="H147" s="74"/>
    </row>
    <row r="148" spans="8:8" ht="13.5" customHeight="1" x14ac:dyDescent="0.2">
      <c r="H148" s="74"/>
    </row>
    <row r="149" spans="8:8" ht="13.5" customHeight="1" x14ac:dyDescent="0.2"/>
    <row r="150" spans="8:8" ht="13.5" customHeight="1" x14ac:dyDescent="0.2">
      <c r="H150" s="74"/>
    </row>
    <row r="151" spans="8:8" ht="13.5" customHeight="1" x14ac:dyDescent="0.2">
      <c r="H151" s="74"/>
    </row>
    <row r="152" spans="8:8" ht="13.5" customHeight="1" x14ac:dyDescent="0.2">
      <c r="H152" s="74"/>
    </row>
    <row r="153" spans="8:8" ht="13.5" customHeight="1" x14ac:dyDescent="0.2">
      <c r="H153" s="74"/>
    </row>
    <row r="154" spans="8:8" ht="13.5" customHeight="1" x14ac:dyDescent="0.2">
      <c r="H154" s="74"/>
    </row>
    <row r="155" spans="8:8" ht="13.5" customHeight="1" x14ac:dyDescent="0.2">
      <c r="H155" s="74"/>
    </row>
    <row r="156" spans="8:8" ht="13.5" customHeight="1" x14ac:dyDescent="0.2">
      <c r="H156" s="74"/>
    </row>
    <row r="157" spans="8:8" ht="13.5" customHeight="1" x14ac:dyDescent="0.2"/>
    <row r="158" spans="8:8" ht="13.5" customHeight="1" x14ac:dyDescent="0.2">
      <c r="H158" s="74"/>
    </row>
    <row r="159" spans="8:8" ht="13.5" customHeight="1" x14ac:dyDescent="0.2">
      <c r="H159" s="74"/>
    </row>
    <row r="160" spans="8:8" ht="13.5" customHeight="1" x14ac:dyDescent="0.2">
      <c r="H160" s="74"/>
    </row>
    <row r="161" spans="8:8" ht="13.5" customHeight="1" x14ac:dyDescent="0.2"/>
    <row r="162" spans="8:8" ht="13.5" customHeight="1" x14ac:dyDescent="0.2">
      <c r="H162" s="74"/>
    </row>
    <row r="163" spans="8:8" ht="13.5" customHeight="1" x14ac:dyDescent="0.2">
      <c r="H163" s="74"/>
    </row>
    <row r="164" spans="8:8" ht="13.5" customHeight="1" x14ac:dyDescent="0.2">
      <c r="H164" s="74"/>
    </row>
    <row r="165" spans="8:8" ht="13.5" customHeight="1" x14ac:dyDescent="0.2">
      <c r="H165" s="74"/>
    </row>
    <row r="166" spans="8:8" ht="13.5" customHeight="1" x14ac:dyDescent="0.2">
      <c r="H166" s="74"/>
    </row>
    <row r="167" spans="8:8" ht="13.5" customHeight="1" x14ac:dyDescent="0.2">
      <c r="H167" s="74"/>
    </row>
    <row r="168" spans="8:8" ht="13.5" customHeight="1" x14ac:dyDescent="0.2">
      <c r="H168" s="74"/>
    </row>
    <row r="169" spans="8:8" ht="13.5" customHeight="1" x14ac:dyDescent="0.2"/>
    <row r="170" spans="8:8" ht="13.5" customHeight="1" x14ac:dyDescent="0.2">
      <c r="H170" s="74"/>
    </row>
    <row r="171" spans="8:8" ht="13.5" customHeight="1" x14ac:dyDescent="0.2">
      <c r="H171" s="74"/>
    </row>
    <row r="172" spans="8:8" ht="13.5" customHeight="1" x14ac:dyDescent="0.2">
      <c r="H172" s="74"/>
    </row>
    <row r="173" spans="8:8" ht="13.5" customHeight="1" x14ac:dyDescent="0.2"/>
    <row r="174" spans="8:8" ht="13.5" customHeight="1" x14ac:dyDescent="0.2">
      <c r="H174" s="74"/>
    </row>
    <row r="175" spans="8:8" ht="13.5" customHeight="1" x14ac:dyDescent="0.2">
      <c r="H175" s="74"/>
    </row>
    <row r="176" spans="8:8" ht="13.5" customHeight="1" x14ac:dyDescent="0.2">
      <c r="H176" s="74"/>
    </row>
    <row r="177" spans="8:8" ht="13.5" customHeight="1" x14ac:dyDescent="0.2">
      <c r="H177" s="74"/>
    </row>
    <row r="178" spans="8:8" ht="13.5" customHeight="1" x14ac:dyDescent="0.2">
      <c r="H178" s="74"/>
    </row>
    <row r="179" spans="8:8" ht="13.5" customHeight="1" x14ac:dyDescent="0.2">
      <c r="H179" s="74"/>
    </row>
    <row r="180" spans="8:8" ht="13.5" customHeight="1" x14ac:dyDescent="0.2">
      <c r="H180" s="74"/>
    </row>
    <row r="181" spans="8:8" ht="13.5" customHeight="1" x14ac:dyDescent="0.2"/>
    <row r="182" spans="8:8" ht="13.5" customHeight="1" x14ac:dyDescent="0.2">
      <c r="H182" s="74"/>
    </row>
    <row r="183" spans="8:8" ht="13.5" customHeight="1" x14ac:dyDescent="0.2">
      <c r="H183" s="74"/>
    </row>
    <row r="184" spans="8:8" ht="13.5" customHeight="1" x14ac:dyDescent="0.2">
      <c r="H184" s="74"/>
    </row>
    <row r="185" spans="8:8" ht="13.5" customHeight="1" x14ac:dyDescent="0.2"/>
    <row r="186" spans="8:8" ht="13.5" customHeight="1" x14ac:dyDescent="0.2">
      <c r="H186" s="74"/>
    </row>
    <row r="187" spans="8:8" ht="13.5" customHeight="1" x14ac:dyDescent="0.2">
      <c r="H187" s="74"/>
    </row>
    <row r="188" spans="8:8" ht="13.5" customHeight="1" x14ac:dyDescent="0.2">
      <c r="H188" s="74"/>
    </row>
    <row r="189" spans="8:8" ht="13.5" customHeight="1" x14ac:dyDescent="0.2">
      <c r="H189" s="74"/>
    </row>
    <row r="190" spans="8:8" ht="13.5" customHeight="1" x14ac:dyDescent="0.2">
      <c r="H190" s="74"/>
    </row>
    <row r="191" spans="8:8" ht="13.5" customHeight="1" x14ac:dyDescent="0.2">
      <c r="H191" s="74"/>
    </row>
    <row r="192" spans="8:8" ht="13.5" customHeight="1" x14ac:dyDescent="0.2">
      <c r="H192" s="74"/>
    </row>
    <row r="193" spans="8:8" ht="13.5" customHeight="1" x14ac:dyDescent="0.2"/>
    <row r="194" spans="8:8" ht="13.5" customHeight="1" x14ac:dyDescent="0.2">
      <c r="H194" s="74"/>
    </row>
    <row r="195" spans="8:8" ht="13.5" customHeight="1" x14ac:dyDescent="0.2">
      <c r="H195" s="74"/>
    </row>
    <row r="196" spans="8:8" ht="13.5" customHeight="1" x14ac:dyDescent="0.2">
      <c r="H196" s="74"/>
    </row>
    <row r="197" spans="8:8" ht="13.5" customHeight="1" x14ac:dyDescent="0.2"/>
    <row r="198" spans="8:8" ht="13.5" customHeight="1" x14ac:dyDescent="0.2">
      <c r="H198" s="74"/>
    </row>
    <row r="199" spans="8:8" ht="13.5" customHeight="1" x14ac:dyDescent="0.2">
      <c r="H199" s="74"/>
    </row>
    <row r="200" spans="8:8" ht="13.5" customHeight="1" x14ac:dyDescent="0.2">
      <c r="H200" s="74"/>
    </row>
    <row r="201" spans="8:8" ht="13.5" customHeight="1" x14ac:dyDescent="0.2">
      <c r="H201" s="74"/>
    </row>
    <row r="202" spans="8:8" ht="13.5" customHeight="1" x14ac:dyDescent="0.2">
      <c r="H202" s="74"/>
    </row>
    <row r="203" spans="8:8" ht="13.5" customHeight="1" x14ac:dyDescent="0.2">
      <c r="H203" s="74"/>
    </row>
    <row r="204" spans="8:8" ht="13.5" customHeight="1" x14ac:dyDescent="0.2">
      <c r="H204" s="74"/>
    </row>
    <row r="205" spans="8:8" ht="13.5" customHeight="1" x14ac:dyDescent="0.2"/>
    <row r="206" spans="8:8" ht="13.5" customHeight="1" x14ac:dyDescent="0.2">
      <c r="H206" s="74"/>
    </row>
    <row r="207" spans="8:8" ht="13.5" customHeight="1" x14ac:dyDescent="0.2">
      <c r="H207" s="74"/>
    </row>
    <row r="208" spans="8:8" ht="13.5" customHeight="1" x14ac:dyDescent="0.2">
      <c r="H208" s="74"/>
    </row>
    <row r="209" spans="8:8" ht="13.5" customHeight="1" x14ac:dyDescent="0.2"/>
    <row r="210" spans="8:8" ht="13.5" customHeight="1" x14ac:dyDescent="0.2">
      <c r="H210" s="74"/>
    </row>
    <row r="211" spans="8:8" ht="13.5" customHeight="1" x14ac:dyDescent="0.2">
      <c r="H211" s="74"/>
    </row>
    <row r="212" spans="8:8" ht="13.5" customHeight="1" x14ac:dyDescent="0.2">
      <c r="H212" s="74"/>
    </row>
    <row r="213" spans="8:8" ht="13.5" customHeight="1" x14ac:dyDescent="0.2">
      <c r="H213" s="74"/>
    </row>
    <row r="214" spans="8:8" ht="13.5" customHeight="1" x14ac:dyDescent="0.2">
      <c r="H214" s="74"/>
    </row>
    <row r="215" spans="8:8" ht="13.5" customHeight="1" x14ac:dyDescent="0.2">
      <c r="H215" s="74"/>
    </row>
    <row r="216" spans="8:8" ht="13.5" customHeight="1" x14ac:dyDescent="0.2">
      <c r="H216" s="74"/>
    </row>
    <row r="217" spans="8:8" ht="13.5" customHeight="1" x14ac:dyDescent="0.2"/>
    <row r="218" spans="8:8" ht="13.5" customHeight="1" x14ac:dyDescent="0.2">
      <c r="H218" s="74"/>
    </row>
    <row r="219" spans="8:8" ht="13.5" customHeight="1" x14ac:dyDescent="0.2">
      <c r="H219" s="74"/>
    </row>
    <row r="220" spans="8:8" ht="13.5" customHeight="1" x14ac:dyDescent="0.2">
      <c r="H220" s="74"/>
    </row>
    <row r="221" spans="8:8" ht="13.5" customHeight="1" x14ac:dyDescent="0.2"/>
    <row r="222" spans="8:8" ht="13.5" customHeight="1" x14ac:dyDescent="0.2">
      <c r="H222" s="74"/>
    </row>
    <row r="223" spans="8:8" ht="13.5" customHeight="1" x14ac:dyDescent="0.2">
      <c r="H223" s="74"/>
    </row>
    <row r="224" spans="8:8" ht="13.5" customHeight="1" x14ac:dyDescent="0.2">
      <c r="H224" s="74"/>
    </row>
    <row r="225" spans="8:8" ht="13.5" customHeight="1" x14ac:dyDescent="0.2">
      <c r="H225" s="74"/>
    </row>
    <row r="226" spans="8:8" ht="13.5" customHeight="1" x14ac:dyDescent="0.2">
      <c r="H226" s="74"/>
    </row>
    <row r="227" spans="8:8" ht="13.5" customHeight="1" x14ac:dyDescent="0.2">
      <c r="H227" s="74"/>
    </row>
    <row r="228" spans="8:8" ht="13.5" customHeight="1" x14ac:dyDescent="0.2">
      <c r="H228" s="74"/>
    </row>
    <row r="229" spans="8:8" ht="13.5" customHeight="1" x14ac:dyDescent="0.2"/>
    <row r="230" spans="8:8" ht="13.5" customHeight="1" x14ac:dyDescent="0.2">
      <c r="H230" s="74"/>
    </row>
    <row r="231" spans="8:8" ht="13.5" customHeight="1" x14ac:dyDescent="0.2">
      <c r="H231" s="74"/>
    </row>
    <row r="232" spans="8:8" ht="13.5" customHeight="1" x14ac:dyDescent="0.2">
      <c r="H232" s="74"/>
    </row>
    <row r="233" spans="8:8" ht="13.5" customHeight="1" x14ac:dyDescent="0.2"/>
    <row r="234" spans="8:8" ht="13.5" customHeight="1" x14ac:dyDescent="0.2">
      <c r="H234" s="74"/>
    </row>
    <row r="235" spans="8:8" ht="13.5" customHeight="1" x14ac:dyDescent="0.2">
      <c r="H235" s="74"/>
    </row>
    <row r="236" spans="8:8" ht="13.5" customHeight="1" x14ac:dyDescent="0.2">
      <c r="H236" s="74"/>
    </row>
    <row r="237" spans="8:8" ht="13.5" customHeight="1" x14ac:dyDescent="0.2">
      <c r="H237" s="74"/>
    </row>
    <row r="238" spans="8:8" ht="13.5" customHeight="1" x14ac:dyDescent="0.2">
      <c r="H238" s="74"/>
    </row>
    <row r="239" spans="8:8" ht="13.5" customHeight="1" x14ac:dyDescent="0.2">
      <c r="H239" s="74"/>
    </row>
    <row r="240" spans="8:8" ht="13.5" customHeight="1" x14ac:dyDescent="0.2">
      <c r="H240" s="74"/>
    </row>
    <row r="241" spans="8:8" ht="13.5" customHeight="1" x14ac:dyDescent="0.2"/>
    <row r="242" spans="8:8" ht="13.5" customHeight="1" x14ac:dyDescent="0.2">
      <c r="H242" s="74"/>
    </row>
    <row r="243" spans="8:8" ht="13.5" customHeight="1" x14ac:dyDescent="0.2">
      <c r="H243" s="74"/>
    </row>
    <row r="244" spans="8:8" ht="13.5" customHeight="1" x14ac:dyDescent="0.2">
      <c r="H244" s="74"/>
    </row>
    <row r="245" spans="8:8" ht="13.5" customHeight="1" x14ac:dyDescent="0.2"/>
    <row r="246" spans="8:8" ht="13.5" customHeight="1" x14ac:dyDescent="0.2">
      <c r="H246" s="74"/>
    </row>
    <row r="247" spans="8:8" ht="13.5" customHeight="1" x14ac:dyDescent="0.2">
      <c r="H247" s="74"/>
    </row>
    <row r="248" spans="8:8" ht="13.5" customHeight="1" x14ac:dyDescent="0.2">
      <c r="H248" s="74"/>
    </row>
    <row r="249" spans="8:8" ht="13.5" customHeight="1" x14ac:dyDescent="0.2">
      <c r="H249" s="74"/>
    </row>
    <row r="250" spans="8:8" ht="13.5" customHeight="1" x14ac:dyDescent="0.2">
      <c r="H250" s="74"/>
    </row>
    <row r="251" spans="8:8" ht="13.5" customHeight="1" x14ac:dyDescent="0.2">
      <c r="H251" s="74"/>
    </row>
    <row r="252" spans="8:8" ht="13.5" customHeight="1" x14ac:dyDescent="0.2">
      <c r="H252" s="74"/>
    </row>
    <row r="253" spans="8:8" ht="13.5" customHeight="1" x14ac:dyDescent="0.2"/>
    <row r="254" spans="8:8" ht="13.5" customHeight="1" x14ac:dyDescent="0.2">
      <c r="H254" s="74"/>
    </row>
    <row r="255" spans="8:8" ht="13.5" customHeight="1" x14ac:dyDescent="0.2">
      <c r="H255" s="74"/>
    </row>
    <row r="256" spans="8:8" ht="13.5" customHeight="1" x14ac:dyDescent="0.2">
      <c r="H256" s="74"/>
    </row>
    <row r="257" spans="8:8" ht="13.5" customHeight="1" x14ac:dyDescent="0.2"/>
    <row r="258" spans="8:8" ht="13.5" customHeight="1" x14ac:dyDescent="0.2">
      <c r="H258" s="74"/>
    </row>
    <row r="259" spans="8:8" ht="13.5" customHeight="1" x14ac:dyDescent="0.2">
      <c r="H259" s="74"/>
    </row>
    <row r="260" spans="8:8" ht="13.5" customHeight="1" x14ac:dyDescent="0.2">
      <c r="H260" s="74"/>
    </row>
    <row r="261" spans="8:8" ht="13.5" customHeight="1" x14ac:dyDescent="0.2">
      <c r="H261" s="74"/>
    </row>
    <row r="262" spans="8:8" ht="13.5" customHeight="1" x14ac:dyDescent="0.2">
      <c r="H262" s="74"/>
    </row>
    <row r="263" spans="8:8" ht="13.5" customHeight="1" x14ac:dyDescent="0.2">
      <c r="H263" s="74"/>
    </row>
    <row r="264" spans="8:8" ht="13.5" customHeight="1" x14ac:dyDescent="0.2">
      <c r="H264" s="74"/>
    </row>
    <row r="265" spans="8:8" ht="13.5" customHeight="1" x14ac:dyDescent="0.2"/>
    <row r="266" spans="8:8" ht="13.5" customHeight="1" x14ac:dyDescent="0.2">
      <c r="H266" s="74"/>
    </row>
    <row r="267" spans="8:8" ht="13.5" customHeight="1" x14ac:dyDescent="0.2">
      <c r="H267" s="74"/>
    </row>
    <row r="268" spans="8:8" ht="13.5" customHeight="1" x14ac:dyDescent="0.2">
      <c r="H268" s="74"/>
    </row>
    <row r="269" spans="8:8" ht="13.5" customHeight="1" x14ac:dyDescent="0.2"/>
    <row r="270" spans="8:8" ht="13.5" customHeight="1" x14ac:dyDescent="0.2">
      <c r="H270" s="74"/>
    </row>
    <row r="271" spans="8:8" ht="13.5" customHeight="1" x14ac:dyDescent="0.2">
      <c r="H271" s="74"/>
    </row>
    <row r="272" spans="8:8" ht="13.5" customHeight="1" x14ac:dyDescent="0.2">
      <c r="H272" s="74"/>
    </row>
    <row r="273" spans="8:8" ht="13.5" customHeight="1" x14ac:dyDescent="0.2">
      <c r="H273" s="74"/>
    </row>
    <row r="274" spans="8:8" ht="13.5" customHeight="1" x14ac:dyDescent="0.2">
      <c r="H274" s="74"/>
    </row>
    <row r="275" spans="8:8" ht="13.5" customHeight="1" x14ac:dyDescent="0.2">
      <c r="H275" s="74"/>
    </row>
    <row r="276" spans="8:8" ht="13.5" customHeight="1" x14ac:dyDescent="0.2">
      <c r="H276" s="74"/>
    </row>
    <row r="277" spans="8:8" ht="13.5" customHeight="1" x14ac:dyDescent="0.2"/>
    <row r="278" spans="8:8" ht="13.5" customHeight="1" x14ac:dyDescent="0.2">
      <c r="H278" s="74"/>
    </row>
    <row r="279" spans="8:8" ht="13.5" customHeight="1" x14ac:dyDescent="0.2">
      <c r="H279" s="74"/>
    </row>
    <row r="280" spans="8:8" ht="13.5" customHeight="1" x14ac:dyDescent="0.2">
      <c r="H280" s="74"/>
    </row>
    <row r="281" spans="8:8" ht="13.5" customHeight="1" x14ac:dyDescent="0.2"/>
    <row r="282" spans="8:8" ht="13.5" customHeight="1" x14ac:dyDescent="0.2">
      <c r="H282" s="74"/>
    </row>
    <row r="283" spans="8:8" ht="13.5" customHeight="1" x14ac:dyDescent="0.2">
      <c r="H283" s="74"/>
    </row>
    <row r="284" spans="8:8" ht="13.5" customHeight="1" x14ac:dyDescent="0.2">
      <c r="H284" s="74"/>
    </row>
    <row r="285" spans="8:8" ht="13.5" customHeight="1" x14ac:dyDescent="0.2">
      <c r="H285" s="74"/>
    </row>
    <row r="286" spans="8:8" ht="13.5" customHeight="1" x14ac:dyDescent="0.2">
      <c r="H286" s="74"/>
    </row>
    <row r="287" spans="8:8" ht="13.5" customHeight="1" x14ac:dyDescent="0.2">
      <c r="H287" s="74"/>
    </row>
    <row r="288" spans="8:8" ht="13.5" customHeight="1" x14ac:dyDescent="0.2">
      <c r="H288" s="74"/>
    </row>
    <row r="289" spans="8:8" ht="13.5" customHeight="1" x14ac:dyDescent="0.2"/>
    <row r="290" spans="8:8" ht="13.5" customHeight="1" x14ac:dyDescent="0.2">
      <c r="H290" s="74"/>
    </row>
    <row r="291" spans="8:8" ht="13.5" customHeight="1" x14ac:dyDescent="0.2">
      <c r="H291" s="74"/>
    </row>
    <row r="292" spans="8:8" ht="13.5" customHeight="1" x14ac:dyDescent="0.2">
      <c r="H292" s="74"/>
    </row>
    <row r="293" spans="8:8" ht="13.5" customHeight="1" x14ac:dyDescent="0.2"/>
    <row r="294" spans="8:8" ht="13.5" customHeight="1" x14ac:dyDescent="0.2">
      <c r="H294" s="74"/>
    </row>
    <row r="295" spans="8:8" ht="13.5" customHeight="1" x14ac:dyDescent="0.2">
      <c r="H295" s="74"/>
    </row>
    <row r="296" spans="8:8" ht="13.5" customHeight="1" x14ac:dyDescent="0.2">
      <c r="H296" s="74"/>
    </row>
    <row r="297" spans="8:8" ht="13.5" customHeight="1" x14ac:dyDescent="0.2">
      <c r="H297" s="74"/>
    </row>
    <row r="298" spans="8:8" ht="13.5" customHeight="1" x14ac:dyDescent="0.2">
      <c r="H298" s="74"/>
    </row>
    <row r="299" spans="8:8" ht="13.5" customHeight="1" x14ac:dyDescent="0.2">
      <c r="H299" s="74"/>
    </row>
    <row r="300" spans="8:8" ht="13.5" customHeight="1" x14ac:dyDescent="0.2">
      <c r="H300" s="74"/>
    </row>
    <row r="301" spans="8:8" ht="13.5" customHeight="1" x14ac:dyDescent="0.2"/>
    <row r="302" spans="8:8" ht="13.5" customHeight="1" x14ac:dyDescent="0.2">
      <c r="H302" s="74"/>
    </row>
    <row r="303" spans="8:8" ht="13.5" customHeight="1" x14ac:dyDescent="0.2">
      <c r="H303" s="74"/>
    </row>
    <row r="304" spans="8:8" ht="13.5" customHeight="1" x14ac:dyDescent="0.2">
      <c r="H304" s="74"/>
    </row>
    <row r="305" spans="8:8" ht="13.5" customHeight="1" x14ac:dyDescent="0.2"/>
    <row r="306" spans="8:8" ht="13.5" customHeight="1" x14ac:dyDescent="0.2">
      <c r="H306" s="74"/>
    </row>
    <row r="307" spans="8:8" ht="13.5" customHeight="1" x14ac:dyDescent="0.2">
      <c r="H307" s="74"/>
    </row>
    <row r="308" spans="8:8" ht="13.5" customHeight="1" x14ac:dyDescent="0.2">
      <c r="H308" s="74"/>
    </row>
    <row r="309" spans="8:8" ht="13.5" customHeight="1" x14ac:dyDescent="0.2">
      <c r="H309" s="74"/>
    </row>
    <row r="310" spans="8:8" ht="13.5" customHeight="1" x14ac:dyDescent="0.2">
      <c r="H310" s="74"/>
    </row>
    <row r="311" spans="8:8" ht="13.5" customHeight="1" x14ac:dyDescent="0.2">
      <c r="H311" s="74"/>
    </row>
    <row r="312" spans="8:8" ht="13.5" customHeight="1" x14ac:dyDescent="0.2">
      <c r="H312" s="74"/>
    </row>
    <row r="313" spans="8:8" ht="13.5" customHeight="1" x14ac:dyDescent="0.2"/>
    <row r="314" spans="8:8" ht="13.5" customHeight="1" x14ac:dyDescent="0.2">
      <c r="H314" s="74"/>
    </row>
    <row r="315" spans="8:8" ht="13.5" customHeight="1" x14ac:dyDescent="0.2">
      <c r="H315" s="74"/>
    </row>
    <row r="316" spans="8:8" ht="13.5" customHeight="1" x14ac:dyDescent="0.2">
      <c r="H316" s="74"/>
    </row>
    <row r="317" spans="8:8" ht="13.5" customHeight="1" x14ac:dyDescent="0.2"/>
    <row r="318" spans="8:8" ht="13.5" customHeight="1" x14ac:dyDescent="0.2">
      <c r="H318" s="74"/>
    </row>
    <row r="319" spans="8:8" ht="13.5" customHeight="1" x14ac:dyDescent="0.2">
      <c r="H319" s="74"/>
    </row>
    <row r="320" spans="8:8" ht="13.5" customHeight="1" x14ac:dyDescent="0.2">
      <c r="H320" s="74"/>
    </row>
    <row r="321" spans="8:8" ht="13.5" customHeight="1" x14ac:dyDescent="0.2">
      <c r="H321" s="74"/>
    </row>
    <row r="322" spans="8:8" ht="13.5" customHeight="1" x14ac:dyDescent="0.2">
      <c r="H322" s="74"/>
    </row>
    <row r="323" spans="8:8" ht="13.5" customHeight="1" x14ac:dyDescent="0.2">
      <c r="H323" s="74"/>
    </row>
    <row r="324" spans="8:8" ht="13.5" customHeight="1" x14ac:dyDescent="0.2">
      <c r="H324" s="74"/>
    </row>
    <row r="325" spans="8:8" ht="13.5" customHeight="1" x14ac:dyDescent="0.2"/>
    <row r="326" spans="8:8" ht="13.5" customHeight="1" x14ac:dyDescent="0.2">
      <c r="H326" s="74"/>
    </row>
    <row r="327" spans="8:8" ht="13.5" customHeight="1" x14ac:dyDescent="0.2">
      <c r="H327" s="74"/>
    </row>
    <row r="328" spans="8:8" ht="13.5" customHeight="1" x14ac:dyDescent="0.2">
      <c r="H328" s="74"/>
    </row>
    <row r="329" spans="8:8" ht="13.5" customHeight="1" x14ac:dyDescent="0.2"/>
    <row r="330" spans="8:8" ht="13.5" customHeight="1" x14ac:dyDescent="0.2">
      <c r="H330" s="74"/>
    </row>
    <row r="331" spans="8:8" ht="13.5" customHeight="1" x14ac:dyDescent="0.2">
      <c r="H331" s="74"/>
    </row>
    <row r="332" spans="8:8" ht="13.5" customHeight="1" x14ac:dyDescent="0.2">
      <c r="H332" s="74"/>
    </row>
    <row r="333" spans="8:8" ht="13.5" customHeight="1" x14ac:dyDescent="0.2">
      <c r="H333" s="74"/>
    </row>
    <row r="334" spans="8:8" ht="13.5" customHeight="1" x14ac:dyDescent="0.2">
      <c r="H334" s="74"/>
    </row>
    <row r="335" spans="8:8" ht="13.5" customHeight="1" x14ac:dyDescent="0.2">
      <c r="H335" s="74"/>
    </row>
    <row r="336" spans="8:8" ht="13.5" customHeight="1" x14ac:dyDescent="0.2">
      <c r="H336" s="74"/>
    </row>
    <row r="337" spans="8:8" ht="13.5" customHeight="1" x14ac:dyDescent="0.2"/>
    <row r="338" spans="8:8" ht="13.5" customHeight="1" x14ac:dyDescent="0.2">
      <c r="H338" s="74"/>
    </row>
    <row r="339" spans="8:8" ht="13.5" customHeight="1" x14ac:dyDescent="0.2">
      <c r="H339" s="74"/>
    </row>
    <row r="340" spans="8:8" ht="13.5" customHeight="1" x14ac:dyDescent="0.2">
      <c r="H340" s="74"/>
    </row>
    <row r="341" spans="8:8" ht="13.5" customHeight="1" x14ac:dyDescent="0.2"/>
    <row r="342" spans="8:8" ht="13.5" customHeight="1" x14ac:dyDescent="0.2">
      <c r="H342" s="74"/>
    </row>
    <row r="343" spans="8:8" ht="13.5" customHeight="1" x14ac:dyDescent="0.2">
      <c r="H343" s="74"/>
    </row>
    <row r="344" spans="8:8" ht="13.5" customHeight="1" x14ac:dyDescent="0.2">
      <c r="H344" s="74"/>
    </row>
    <row r="345" spans="8:8" ht="13.5" customHeight="1" x14ac:dyDescent="0.2">
      <c r="H345" s="74"/>
    </row>
    <row r="346" spans="8:8" ht="13.5" customHeight="1" x14ac:dyDescent="0.2">
      <c r="H346" s="74"/>
    </row>
    <row r="347" spans="8:8" ht="13.5" customHeight="1" x14ac:dyDescent="0.2">
      <c r="H347" s="74"/>
    </row>
    <row r="348" spans="8:8" ht="13.5" customHeight="1" x14ac:dyDescent="0.2">
      <c r="H348" s="74"/>
    </row>
    <row r="352" spans="8:8" ht="13.5" customHeight="1" x14ac:dyDescent="0.2">
      <c r="H352" s="74"/>
    </row>
    <row r="353" spans="8:8" ht="13.5" customHeight="1" x14ac:dyDescent="0.2">
      <c r="H353" s="74"/>
    </row>
    <row r="354" spans="8:8" ht="13.5" customHeight="1" x14ac:dyDescent="0.2">
      <c r="H354" s="74"/>
    </row>
    <row r="355" spans="8:8" ht="13.5" customHeight="1" x14ac:dyDescent="0.2">
      <c r="H355" s="74"/>
    </row>
    <row r="356" spans="8:8" ht="13.5" customHeight="1" x14ac:dyDescent="0.2">
      <c r="H356" s="74"/>
    </row>
    <row r="357" spans="8:8" ht="13.5" customHeight="1" x14ac:dyDescent="0.2">
      <c r="H357" s="74"/>
    </row>
    <row r="358" spans="8:8" ht="13.5" customHeight="1" x14ac:dyDescent="0.2">
      <c r="H358" s="74"/>
    </row>
    <row r="360" spans="8:8" ht="13.5" customHeight="1" x14ac:dyDescent="0.2">
      <c r="H360" s="74"/>
    </row>
    <row r="361" spans="8:8" ht="13.5" customHeight="1" x14ac:dyDescent="0.2">
      <c r="H361" s="74"/>
    </row>
    <row r="362" spans="8:8" ht="13.5" customHeight="1" x14ac:dyDescent="0.2">
      <c r="H362" s="74"/>
    </row>
    <row r="363" spans="8:8" ht="13.5" customHeight="1" x14ac:dyDescent="0.2">
      <c r="H363" s="74"/>
    </row>
    <row r="364" spans="8:8" ht="13.5" customHeight="1" x14ac:dyDescent="0.2">
      <c r="H364" s="74"/>
    </row>
    <row r="365" spans="8:8" ht="13.5" customHeight="1" x14ac:dyDescent="0.2">
      <c r="H365" s="74"/>
    </row>
    <row r="366" spans="8:8" ht="13.5" customHeight="1" x14ac:dyDescent="0.2">
      <c r="H366" s="74"/>
    </row>
    <row r="367" spans="8:8" ht="13.5" customHeight="1" x14ac:dyDescent="0.2">
      <c r="H367" s="74"/>
    </row>
    <row r="368" spans="8:8" ht="13.5" customHeight="1" x14ac:dyDescent="0.2">
      <c r="H368" s="74"/>
    </row>
    <row r="369" spans="8:8" ht="13.5" customHeight="1" x14ac:dyDescent="0.2">
      <c r="H369" s="74"/>
    </row>
    <row r="370" spans="8:8" ht="13.5" customHeight="1" x14ac:dyDescent="0.2">
      <c r="H370" s="74"/>
    </row>
    <row r="371" spans="8:8" ht="13.5" customHeight="1" x14ac:dyDescent="0.2">
      <c r="H371" s="74"/>
    </row>
    <row r="372" spans="8:8" ht="13.5" customHeight="1" x14ac:dyDescent="0.2">
      <c r="H372" s="74"/>
    </row>
    <row r="374" spans="8:8" ht="13.5" customHeight="1" x14ac:dyDescent="0.2">
      <c r="H374" s="74"/>
    </row>
    <row r="375" spans="8:8" ht="13.5" customHeight="1" x14ac:dyDescent="0.2">
      <c r="H375" s="74"/>
    </row>
    <row r="376" spans="8:8" ht="13.5" customHeight="1" x14ac:dyDescent="0.2">
      <c r="H376" s="74"/>
    </row>
    <row r="377" spans="8:8" ht="13.5" customHeight="1" x14ac:dyDescent="0.2">
      <c r="H377" s="74"/>
    </row>
    <row r="378" spans="8:8" ht="13.5" customHeight="1" x14ac:dyDescent="0.2">
      <c r="H378" s="74"/>
    </row>
    <row r="379" spans="8:8" ht="13.5" customHeight="1" x14ac:dyDescent="0.2">
      <c r="H379" s="74"/>
    </row>
    <row r="380" spans="8:8" ht="13.5" customHeight="1" x14ac:dyDescent="0.2">
      <c r="H380" s="74"/>
    </row>
    <row r="381" spans="8:8" ht="13.5" customHeight="1" x14ac:dyDescent="0.2">
      <c r="H381" s="74"/>
    </row>
    <row r="382" spans="8:8" ht="13.5" customHeight="1" x14ac:dyDescent="0.2">
      <c r="H382" s="74"/>
    </row>
    <row r="384" spans="8:8" ht="13.5" customHeight="1" x14ac:dyDescent="0.2">
      <c r="H384" s="74"/>
    </row>
    <row r="385" spans="8:8" ht="13.5" customHeight="1" x14ac:dyDescent="0.2">
      <c r="H385" s="74"/>
    </row>
    <row r="386" spans="8:8" ht="13.5" customHeight="1" x14ac:dyDescent="0.2">
      <c r="H386" s="74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2021-01-22T10:31:41Z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