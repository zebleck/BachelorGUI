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A:\Github Repos\BachelorGUI\Excels\"/>
    </mc:Choice>
  </mc:AlternateContent>
  <xr:revisionPtr revIDLastSave="0" documentId="13_ncr:1_{EAA16FEC-4841-46F5-B8CA-1064C6EB29EE}" xr6:coauthVersionLast="46" xr6:coauthVersionMax="46" xr10:uidLastSave="{00000000-0000-0000-0000-000000000000}"/>
  <bookViews>
    <workbookView xWindow="-28920" yWindow="-120" windowWidth="29040" windowHeight="16440" activeTab="3" xr2:uid="{00000000-000D-0000-FFFF-FFFF00000000}"/>
  </bookViews>
  <sheets>
    <sheet name="Input" sheetId="3" r:id="rId1"/>
    <sheet name="Calc" sheetId="2" r:id="rId2"/>
    <sheet name="results" sheetId="6" r:id="rId3"/>
    <sheet name="Constants" sheetId="9" r:id="rId4"/>
  </sheets>
  <functionGroups builtInGroupCount="19"/>
  <definedNames>
    <definedName name="_xlnm._FilterDatabase" localSheetId="1" hidden="1">Calc!$A$5:$H$7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7" i="6" l="1"/>
  <c r="S57" i="6"/>
  <c r="B57" i="6"/>
  <c r="A57" i="6"/>
  <c r="U56" i="6"/>
  <c r="S56" i="6"/>
  <c r="B56" i="6"/>
  <c r="A56" i="6"/>
  <c r="U55" i="6"/>
  <c r="S55" i="6"/>
  <c r="B55" i="6"/>
  <c r="A55" i="6"/>
  <c r="U54" i="6"/>
  <c r="S54" i="6"/>
  <c r="B54" i="6"/>
  <c r="A54" i="6"/>
  <c r="U53" i="6"/>
  <c r="S53" i="6"/>
  <c r="B53" i="6"/>
  <c r="A53" i="6"/>
  <c r="U52" i="6"/>
  <c r="S52" i="6"/>
  <c r="B52" i="6"/>
  <c r="A52" i="6"/>
  <c r="U51" i="6"/>
  <c r="S51" i="6"/>
  <c r="B51" i="6"/>
  <c r="A51" i="6"/>
  <c r="U50" i="6"/>
  <c r="S50" i="6"/>
  <c r="B50" i="6"/>
  <c r="A50" i="6"/>
  <c r="U49" i="6"/>
  <c r="S49" i="6"/>
  <c r="B49" i="6"/>
  <c r="A49" i="6"/>
  <c r="U48" i="6"/>
  <c r="S48" i="6"/>
  <c r="B48" i="6"/>
  <c r="A48" i="6"/>
  <c r="U47" i="6"/>
  <c r="S47" i="6"/>
  <c r="B47" i="6"/>
  <c r="A47" i="6"/>
  <c r="U46" i="6"/>
  <c r="S46" i="6"/>
  <c r="B46" i="6"/>
  <c r="A46" i="6"/>
  <c r="U45" i="6"/>
  <c r="S45" i="6"/>
  <c r="B45" i="6"/>
  <c r="A45" i="6"/>
  <c r="BB57" i="2"/>
  <c r="BA57" i="2"/>
  <c r="AV57" i="2"/>
  <c r="AD57" i="2"/>
  <c r="AF57" i="2" s="1"/>
  <c r="X57" i="2"/>
  <c r="Z57" i="2" s="1"/>
  <c r="S57" i="2"/>
  <c r="U57" i="2" s="1"/>
  <c r="E57" i="2"/>
  <c r="G57" i="2" s="1"/>
  <c r="C57" i="2"/>
  <c r="B57" i="2"/>
  <c r="A57" i="2"/>
  <c r="BB56" i="2"/>
  <c r="BA56" i="2"/>
  <c r="AV56" i="2"/>
  <c r="AD56" i="2"/>
  <c r="AE56" i="2" s="1"/>
  <c r="X56" i="2"/>
  <c r="Y56" i="2" s="1"/>
  <c r="F56" i="6" s="1"/>
  <c r="S56" i="2"/>
  <c r="T56" i="2" s="1"/>
  <c r="E56" i="2"/>
  <c r="F56" i="2" s="1"/>
  <c r="C56" i="2"/>
  <c r="D56" i="2" s="1"/>
  <c r="B56" i="2"/>
  <c r="A56" i="2"/>
  <c r="BB55" i="2"/>
  <c r="BA55" i="2"/>
  <c r="AV55" i="2"/>
  <c r="AD55" i="2"/>
  <c r="X55" i="2"/>
  <c r="E55" i="6" s="1"/>
  <c r="S55" i="2"/>
  <c r="E55" i="2"/>
  <c r="C55" i="2"/>
  <c r="D55" i="2" s="1"/>
  <c r="B55" i="2"/>
  <c r="A55" i="2"/>
  <c r="BB54" i="2"/>
  <c r="BA54" i="2"/>
  <c r="AV54" i="2"/>
  <c r="AD54" i="2"/>
  <c r="AE54" i="2" s="1"/>
  <c r="X54" i="2"/>
  <c r="E54" i="6" s="1"/>
  <c r="S54" i="2"/>
  <c r="T54" i="2" s="1"/>
  <c r="E54" i="2"/>
  <c r="F54" i="2" s="1"/>
  <c r="C54" i="2"/>
  <c r="J54" i="2" s="1"/>
  <c r="L54" i="2" s="1"/>
  <c r="M54" i="2" s="1"/>
  <c r="B54" i="2"/>
  <c r="A54" i="2"/>
  <c r="BB53" i="2"/>
  <c r="BA53" i="2"/>
  <c r="AV53" i="2"/>
  <c r="AD53" i="2"/>
  <c r="AF53" i="2" s="1"/>
  <c r="X53" i="2"/>
  <c r="E53" i="6" s="1"/>
  <c r="S53" i="2"/>
  <c r="T53" i="2" s="1"/>
  <c r="E53" i="2"/>
  <c r="F53" i="2" s="1"/>
  <c r="C53" i="2"/>
  <c r="B53" i="2"/>
  <c r="A53" i="2"/>
  <c r="BB52" i="2"/>
  <c r="BA52" i="2"/>
  <c r="AV52" i="2"/>
  <c r="AD52" i="2"/>
  <c r="AF52" i="2" s="1"/>
  <c r="AG52" i="2" s="1"/>
  <c r="X52" i="2"/>
  <c r="Z52" i="2" s="1"/>
  <c r="AA52" i="2" s="1"/>
  <c r="S52" i="2"/>
  <c r="E52" i="2"/>
  <c r="G52" i="2" s="1"/>
  <c r="O52" i="2" s="1"/>
  <c r="C52" i="6" s="1"/>
  <c r="C52" i="2"/>
  <c r="D52" i="2" s="1"/>
  <c r="B52" i="2"/>
  <c r="A52" i="2"/>
  <c r="BB51" i="2"/>
  <c r="BA51" i="2"/>
  <c r="AV51" i="2"/>
  <c r="AD51" i="2"/>
  <c r="X51" i="2"/>
  <c r="E51" i="6" s="1"/>
  <c r="S51" i="2"/>
  <c r="E51" i="2"/>
  <c r="C51" i="2"/>
  <c r="D51" i="2" s="1"/>
  <c r="B51" i="2"/>
  <c r="A51" i="2"/>
  <c r="BB50" i="2"/>
  <c r="BA50" i="2"/>
  <c r="AV50" i="2"/>
  <c r="AD50" i="2"/>
  <c r="AE50" i="2" s="1"/>
  <c r="X50" i="2"/>
  <c r="E50" i="6" s="1"/>
  <c r="S50" i="2"/>
  <c r="T50" i="2" s="1"/>
  <c r="E50" i="2"/>
  <c r="F50" i="2" s="1"/>
  <c r="C50" i="2"/>
  <c r="J50" i="2" s="1"/>
  <c r="L50" i="2" s="1"/>
  <c r="M50" i="2" s="1"/>
  <c r="B50" i="2"/>
  <c r="A50" i="2"/>
  <c r="BB49" i="2"/>
  <c r="BA49" i="2"/>
  <c r="AV49" i="2"/>
  <c r="AD49" i="2"/>
  <c r="X49" i="2"/>
  <c r="Z49" i="2" s="1"/>
  <c r="S49" i="2"/>
  <c r="T49" i="2" s="1"/>
  <c r="E49" i="2"/>
  <c r="F49" i="2" s="1"/>
  <c r="C49" i="2"/>
  <c r="B49" i="2"/>
  <c r="A49" i="2"/>
  <c r="BB48" i="2"/>
  <c r="BA48" i="2"/>
  <c r="AV48" i="2"/>
  <c r="AD48" i="2"/>
  <c r="AF48" i="2" s="1"/>
  <c r="AG48" i="2" s="1"/>
  <c r="X48" i="2"/>
  <c r="E48" i="6" s="1"/>
  <c r="S48" i="2"/>
  <c r="E48" i="2"/>
  <c r="C48" i="2"/>
  <c r="J48" i="2" s="1"/>
  <c r="B48" i="2"/>
  <c r="A48" i="2"/>
  <c r="BB47" i="2"/>
  <c r="BA47" i="2"/>
  <c r="AV47" i="2"/>
  <c r="AD47" i="2"/>
  <c r="AE47" i="2" s="1"/>
  <c r="X47" i="2"/>
  <c r="Y47" i="2" s="1"/>
  <c r="F47" i="6" s="1"/>
  <c r="S47" i="2"/>
  <c r="T47" i="2" s="1"/>
  <c r="E47" i="2"/>
  <c r="F47" i="2" s="1"/>
  <c r="C47" i="2"/>
  <c r="B47" i="2"/>
  <c r="A47" i="2"/>
  <c r="BB46" i="2"/>
  <c r="BA46" i="2"/>
  <c r="AV46" i="2"/>
  <c r="AD46" i="2"/>
  <c r="X46" i="2"/>
  <c r="E46" i="6" s="1"/>
  <c r="S46" i="2"/>
  <c r="T46" i="2" s="1"/>
  <c r="E46" i="2"/>
  <c r="C46" i="2"/>
  <c r="J46" i="2" s="1"/>
  <c r="B46" i="2"/>
  <c r="A46" i="2"/>
  <c r="BB45" i="2"/>
  <c r="BA45" i="2"/>
  <c r="AV45" i="2"/>
  <c r="AD45" i="2"/>
  <c r="X45" i="2"/>
  <c r="Y45" i="2" s="1"/>
  <c r="F45" i="6" s="1"/>
  <c r="S45" i="2"/>
  <c r="E45" i="2"/>
  <c r="F45" i="2" s="1"/>
  <c r="C45" i="2"/>
  <c r="J45" i="2" s="1"/>
  <c r="B45" i="2"/>
  <c r="A45" i="2"/>
  <c r="U53" i="2" l="1"/>
  <c r="AJ53" i="2" s="1"/>
  <c r="K53" i="6" s="1"/>
  <c r="AA53" i="6" s="1"/>
  <c r="G54" i="2"/>
  <c r="O54" i="2" s="1"/>
  <c r="Q54" i="2" s="1"/>
  <c r="Z54" i="2"/>
  <c r="AA54" i="2" s="1"/>
  <c r="Z50" i="2"/>
  <c r="Y54" i="2"/>
  <c r="F54" i="6" s="1"/>
  <c r="E56" i="6"/>
  <c r="E57" i="6"/>
  <c r="AF50" i="2"/>
  <c r="Z53" i="2"/>
  <c r="AF54" i="2"/>
  <c r="J55" i="2"/>
  <c r="L55" i="2" s="1"/>
  <c r="M55" i="2" s="1"/>
  <c r="D48" i="2"/>
  <c r="J52" i="2"/>
  <c r="L52" i="2" s="1"/>
  <c r="M52" i="2" s="1"/>
  <c r="G45" i="2"/>
  <c r="H45" i="2" s="1"/>
  <c r="G50" i="2"/>
  <c r="O50" i="2" s="1"/>
  <c r="Q50" i="2" s="1"/>
  <c r="J51" i="2"/>
  <c r="K51" i="2" s="1"/>
  <c r="Z45" i="2"/>
  <c r="AA45" i="2" s="1"/>
  <c r="Y50" i="2"/>
  <c r="F50" i="6" s="1"/>
  <c r="U49" i="2"/>
  <c r="AJ49" i="2" s="1"/>
  <c r="K49" i="6" s="1"/>
  <c r="AA49" i="6" s="1"/>
  <c r="G46" i="2"/>
  <c r="O46" i="2" s="1"/>
  <c r="C46" i="6" s="1"/>
  <c r="F46" i="2"/>
  <c r="AE46" i="2"/>
  <c r="AF46" i="2"/>
  <c r="AF49" i="2"/>
  <c r="AH49" i="2" s="1"/>
  <c r="I49" i="6" s="1"/>
  <c r="AE49" i="2"/>
  <c r="AE45" i="2"/>
  <c r="AF45" i="2"/>
  <c r="AG45" i="2" s="1"/>
  <c r="J57" i="2"/>
  <c r="L57" i="2" s="1"/>
  <c r="M57" i="2" s="1"/>
  <c r="D57" i="2"/>
  <c r="E47" i="6"/>
  <c r="T45" i="2"/>
  <c r="U45" i="2"/>
  <c r="AJ45" i="2" s="1"/>
  <c r="K45" i="6" s="1"/>
  <c r="AA45" i="6" s="1"/>
  <c r="D47" i="2"/>
  <c r="J47" i="2"/>
  <c r="K47" i="2" s="1"/>
  <c r="E49" i="6"/>
  <c r="Y46" i="2"/>
  <c r="F46" i="6" s="1"/>
  <c r="G49" i="2"/>
  <c r="Y49" i="2"/>
  <c r="F49" i="6" s="1"/>
  <c r="G53" i="2"/>
  <c r="O53" i="2" s="1"/>
  <c r="C53" i="6" s="1"/>
  <c r="AE53" i="2"/>
  <c r="E52" i="6"/>
  <c r="Z46" i="2"/>
  <c r="AA46" i="2" s="1"/>
  <c r="Y53" i="2"/>
  <c r="F53" i="6" s="1"/>
  <c r="J56" i="2"/>
  <c r="K56" i="2" s="1"/>
  <c r="AE57" i="2"/>
  <c r="E45" i="6"/>
  <c r="AA57" i="2"/>
  <c r="O57" i="2"/>
  <c r="C57" i="6" s="1"/>
  <c r="H57" i="2"/>
  <c r="AH57" i="2"/>
  <c r="I57" i="6" s="1"/>
  <c r="AG57" i="2"/>
  <c r="V57" i="2"/>
  <c r="AJ57" i="2"/>
  <c r="K57" i="6" s="1"/>
  <c r="AA57" i="6" s="1"/>
  <c r="G56" i="2"/>
  <c r="Z56" i="2"/>
  <c r="AF56" i="2"/>
  <c r="F57" i="2"/>
  <c r="T57" i="2"/>
  <c r="Y57" i="2"/>
  <c r="F57" i="6" s="1"/>
  <c r="L45" i="2"/>
  <c r="M45" i="2" s="1"/>
  <c r="K45" i="2"/>
  <c r="L46" i="2"/>
  <c r="M46" i="2" s="1"/>
  <c r="K46" i="2"/>
  <c r="D45" i="2"/>
  <c r="D46" i="2"/>
  <c r="G47" i="2"/>
  <c r="U47" i="2"/>
  <c r="Z47" i="2"/>
  <c r="AF47" i="2"/>
  <c r="K50" i="2"/>
  <c r="AH53" i="2"/>
  <c r="I53" i="6" s="1"/>
  <c r="AG53" i="2"/>
  <c r="G55" i="2"/>
  <c r="F55" i="2"/>
  <c r="Z55" i="2"/>
  <c r="Y55" i="2"/>
  <c r="F55" i="6" s="1"/>
  <c r="L48" i="2"/>
  <c r="M48" i="2" s="1"/>
  <c r="K48" i="2"/>
  <c r="T48" i="2"/>
  <c r="J49" i="2"/>
  <c r="D49" i="2"/>
  <c r="AG49" i="2"/>
  <c r="U51" i="2"/>
  <c r="U52" i="2" s="1"/>
  <c r="T51" i="2"/>
  <c r="AA53" i="2"/>
  <c r="AF55" i="2"/>
  <c r="AE55" i="2"/>
  <c r="AA49" i="2"/>
  <c r="G51" i="2"/>
  <c r="F51" i="2"/>
  <c r="Z51" i="2"/>
  <c r="Y51" i="2"/>
  <c r="F51" i="6" s="1"/>
  <c r="Q52" i="2"/>
  <c r="AL52" i="2" s="1"/>
  <c r="P52" i="2"/>
  <c r="D52" i="6" s="1"/>
  <c r="V53" i="2"/>
  <c r="G48" i="2"/>
  <c r="F48" i="2"/>
  <c r="Z48" i="2"/>
  <c r="AH48" i="2" s="1"/>
  <c r="I48" i="6" s="1"/>
  <c r="Y48" i="2"/>
  <c r="F48" i="6" s="1"/>
  <c r="O49" i="2"/>
  <c r="C49" i="6" s="1"/>
  <c r="H49" i="2"/>
  <c r="L51" i="2"/>
  <c r="M51" i="2" s="1"/>
  <c r="AF51" i="2"/>
  <c r="AE51" i="2"/>
  <c r="H52" i="2"/>
  <c r="AH52" i="2"/>
  <c r="J53" i="2"/>
  <c r="D53" i="2"/>
  <c r="K54" i="2"/>
  <c r="U55" i="2"/>
  <c r="U54" i="2" s="1"/>
  <c r="T55" i="2"/>
  <c r="AE48" i="2"/>
  <c r="D50" i="2"/>
  <c r="AA50" i="2"/>
  <c r="AG50" i="2"/>
  <c r="F52" i="2"/>
  <c r="T52" i="2"/>
  <c r="Y52" i="2"/>
  <c r="F52" i="6" s="1"/>
  <c r="AE52" i="2"/>
  <c r="D54" i="2"/>
  <c r="H54" i="2"/>
  <c r="AH50" i="2"/>
  <c r="U43" i="6"/>
  <c r="S43" i="6"/>
  <c r="B43" i="6"/>
  <c r="A43" i="6"/>
  <c r="U42" i="6"/>
  <c r="S42" i="6"/>
  <c r="B42" i="6"/>
  <c r="A42" i="6"/>
  <c r="U41" i="6"/>
  <c r="S41" i="6"/>
  <c r="B41" i="6"/>
  <c r="A41" i="6"/>
  <c r="U40" i="6"/>
  <c r="S40" i="6"/>
  <c r="B40" i="6"/>
  <c r="A40" i="6"/>
  <c r="U39" i="6"/>
  <c r="S39" i="6"/>
  <c r="B39" i="6"/>
  <c r="A39" i="6"/>
  <c r="U38" i="6"/>
  <c r="S38" i="6"/>
  <c r="B38" i="6"/>
  <c r="A38" i="6"/>
  <c r="U37" i="6"/>
  <c r="S37" i="6"/>
  <c r="B37" i="6"/>
  <c r="A37" i="6"/>
  <c r="U36" i="6"/>
  <c r="S36" i="6"/>
  <c r="B36" i="6"/>
  <c r="A36" i="6"/>
  <c r="U35" i="6"/>
  <c r="S35" i="6"/>
  <c r="B35" i="6"/>
  <c r="A35" i="6"/>
  <c r="U34" i="6"/>
  <c r="S34" i="6"/>
  <c r="B34" i="6"/>
  <c r="A34" i="6"/>
  <c r="U33" i="6"/>
  <c r="S33" i="6"/>
  <c r="B33" i="6"/>
  <c r="A33" i="6"/>
  <c r="BB43" i="2"/>
  <c r="BA43" i="2"/>
  <c r="AV43" i="2"/>
  <c r="AD43" i="2"/>
  <c r="X43" i="2"/>
  <c r="E43" i="6" s="1"/>
  <c r="S43" i="2"/>
  <c r="E43" i="2"/>
  <c r="C43" i="2"/>
  <c r="D43" i="2" s="1"/>
  <c r="B43" i="2"/>
  <c r="A43" i="2"/>
  <c r="BB42" i="2"/>
  <c r="BA42" i="2"/>
  <c r="AV42" i="2"/>
  <c r="AD42" i="2"/>
  <c r="X42" i="2"/>
  <c r="Z42" i="2" s="1"/>
  <c r="S42" i="2"/>
  <c r="T42" i="2" s="1"/>
  <c r="E42" i="2"/>
  <c r="C42" i="2"/>
  <c r="D42" i="2" s="1"/>
  <c r="B42" i="2"/>
  <c r="A42" i="2"/>
  <c r="BB41" i="2"/>
  <c r="BA41" i="2"/>
  <c r="AV41" i="2"/>
  <c r="AD41" i="2"/>
  <c r="AE41" i="2" s="1"/>
  <c r="X41" i="2"/>
  <c r="E41" i="6" s="1"/>
  <c r="S41" i="2"/>
  <c r="G41" i="2"/>
  <c r="E41" i="2"/>
  <c r="F41" i="2" s="1"/>
  <c r="C41" i="2"/>
  <c r="B41" i="2"/>
  <c r="A41" i="2"/>
  <c r="BB40" i="2"/>
  <c r="BA40" i="2"/>
  <c r="AV40" i="2"/>
  <c r="AD40" i="2"/>
  <c r="AF40" i="2" s="1"/>
  <c r="AG40" i="2" s="1"/>
  <c r="X40" i="2"/>
  <c r="S40" i="2"/>
  <c r="T40" i="2" s="1"/>
  <c r="E40" i="2"/>
  <c r="C40" i="2"/>
  <c r="J40" i="2" s="1"/>
  <c r="B40" i="2"/>
  <c r="A40" i="2"/>
  <c r="BB39" i="2"/>
  <c r="BA39" i="2"/>
  <c r="AV39" i="2"/>
  <c r="AD39" i="2"/>
  <c r="X39" i="2"/>
  <c r="E39" i="6" s="1"/>
  <c r="S39" i="2"/>
  <c r="E39" i="2"/>
  <c r="C39" i="2"/>
  <c r="D39" i="2" s="1"/>
  <c r="B39" i="2"/>
  <c r="A39" i="2"/>
  <c r="BB38" i="2"/>
  <c r="BA38" i="2"/>
  <c r="AV38" i="2"/>
  <c r="AD38" i="2"/>
  <c r="AF38" i="2" s="1"/>
  <c r="X38" i="2"/>
  <c r="Z38" i="2" s="1"/>
  <c r="T38" i="2"/>
  <c r="S38" i="2"/>
  <c r="F38" i="2"/>
  <c r="E38" i="2"/>
  <c r="G38" i="2" s="1"/>
  <c r="C38" i="2"/>
  <c r="D38" i="2" s="1"/>
  <c r="B38" i="2"/>
  <c r="A38" i="2"/>
  <c r="BB37" i="2"/>
  <c r="BA37" i="2"/>
  <c r="AV37" i="2"/>
  <c r="AJ37" i="2"/>
  <c r="K37" i="6" s="1"/>
  <c r="AA37" i="6" s="1"/>
  <c r="AD37" i="2"/>
  <c r="AF37" i="2" s="1"/>
  <c r="Z37" i="2"/>
  <c r="X37" i="2"/>
  <c r="E37" i="6" s="1"/>
  <c r="T37" i="2"/>
  <c r="S37" i="2"/>
  <c r="U37" i="2" s="1"/>
  <c r="E37" i="2"/>
  <c r="C37" i="2"/>
  <c r="B37" i="2"/>
  <c r="A37" i="2"/>
  <c r="BB36" i="2"/>
  <c r="BA36" i="2"/>
  <c r="AV36" i="2"/>
  <c r="AD36" i="2"/>
  <c r="AE36" i="2" s="1"/>
  <c r="X36" i="2"/>
  <c r="Z36" i="2" s="1"/>
  <c r="AA36" i="2" s="1"/>
  <c r="S36" i="2"/>
  <c r="E36" i="2"/>
  <c r="G36" i="2" s="1"/>
  <c r="O36" i="2" s="1"/>
  <c r="C36" i="6" s="1"/>
  <c r="C36" i="2"/>
  <c r="J36" i="2" s="1"/>
  <c r="B36" i="2"/>
  <c r="A36" i="2"/>
  <c r="BB35" i="2"/>
  <c r="BA35" i="2"/>
  <c r="AV35" i="2"/>
  <c r="AD35" i="2"/>
  <c r="AF35" i="2" s="1"/>
  <c r="X35" i="2"/>
  <c r="Z35" i="2" s="1"/>
  <c r="S35" i="2"/>
  <c r="U35" i="2" s="1"/>
  <c r="E35" i="2"/>
  <c r="G35" i="2" s="1"/>
  <c r="D35" i="2"/>
  <c r="C35" i="2"/>
  <c r="J35" i="2" s="1"/>
  <c r="B35" i="2"/>
  <c r="A35" i="2"/>
  <c r="BB34" i="2"/>
  <c r="BA34" i="2"/>
  <c r="AV34" i="2"/>
  <c r="AD34" i="2"/>
  <c r="AF34" i="2" s="1"/>
  <c r="X34" i="2"/>
  <c r="Y34" i="2" s="1"/>
  <c r="F34" i="6" s="1"/>
  <c r="S34" i="2"/>
  <c r="T34" i="2" s="1"/>
  <c r="E34" i="2"/>
  <c r="C34" i="2"/>
  <c r="J34" i="2" s="1"/>
  <c r="B34" i="2"/>
  <c r="A34" i="2"/>
  <c r="BB33" i="2"/>
  <c r="BA33" i="2"/>
  <c r="AV33" i="2"/>
  <c r="AD33" i="2"/>
  <c r="AE33" i="2" s="1"/>
  <c r="X33" i="2"/>
  <c r="E33" i="6" s="1"/>
  <c r="S33" i="2"/>
  <c r="T33" i="2" s="1"/>
  <c r="E33" i="2"/>
  <c r="G33" i="2" s="1"/>
  <c r="C33" i="2"/>
  <c r="B33" i="2"/>
  <c r="A33" i="2"/>
  <c r="T35" i="2" l="1"/>
  <c r="Y35" i="2"/>
  <c r="F35" i="6" s="1"/>
  <c r="F33" i="2"/>
  <c r="Z34" i="2"/>
  <c r="F35" i="2"/>
  <c r="AE35" i="2"/>
  <c r="AE34" i="2"/>
  <c r="U33" i="2"/>
  <c r="AJ33" i="2" s="1"/>
  <c r="K33" i="6" s="1"/>
  <c r="AA33" i="6" s="1"/>
  <c r="Y33" i="2"/>
  <c r="F33" i="6" s="1"/>
  <c r="Y38" i="2"/>
  <c r="F38" i="6" s="1"/>
  <c r="P50" i="2"/>
  <c r="AE38" i="2"/>
  <c r="AE37" i="2"/>
  <c r="AH45" i="2"/>
  <c r="R54" i="2"/>
  <c r="AM54" i="2" s="1"/>
  <c r="AS54" i="2"/>
  <c r="W54" i="6" s="1"/>
  <c r="K57" i="2"/>
  <c r="AH54" i="2"/>
  <c r="I54" i="6" s="1"/>
  <c r="K55" i="2"/>
  <c r="C54" i="6"/>
  <c r="V45" i="2"/>
  <c r="L56" i="2"/>
  <c r="M56" i="2" s="1"/>
  <c r="C50" i="6"/>
  <c r="P54" i="2"/>
  <c r="D54" i="6" s="1"/>
  <c r="AG54" i="2"/>
  <c r="AH46" i="2"/>
  <c r="I46" i="6" s="1"/>
  <c r="O45" i="2"/>
  <c r="C45" i="6" s="1"/>
  <c r="H46" i="2"/>
  <c r="P46" i="2"/>
  <c r="D46" i="6" s="1"/>
  <c r="R50" i="2"/>
  <c r="AS50" i="2"/>
  <c r="W50" i="6" s="1"/>
  <c r="K52" i="2"/>
  <c r="H50" i="2"/>
  <c r="AG46" i="2"/>
  <c r="L47" i="2"/>
  <c r="M47" i="2" s="1"/>
  <c r="V49" i="2"/>
  <c r="AL50" i="2"/>
  <c r="Q46" i="2"/>
  <c r="AS46" i="2" s="1"/>
  <c r="W46" i="6" s="1"/>
  <c r="U50" i="2"/>
  <c r="V50" i="2" s="1"/>
  <c r="U48" i="2"/>
  <c r="AJ48" i="2" s="1"/>
  <c r="K48" i="6" s="1"/>
  <c r="AA48" i="6" s="1"/>
  <c r="AF33" i="2"/>
  <c r="AG33" i="2" s="1"/>
  <c r="Z33" i="2"/>
  <c r="AA33" i="2" s="1"/>
  <c r="AE40" i="2"/>
  <c r="Y41" i="2"/>
  <c r="F41" i="6" s="1"/>
  <c r="AF36" i="2"/>
  <c r="AG36" i="2" s="1"/>
  <c r="AF41" i="2"/>
  <c r="AH41" i="2" s="1"/>
  <c r="I41" i="6" s="1"/>
  <c r="J43" i="2"/>
  <c r="L43" i="2" s="1"/>
  <c r="M43" i="2" s="1"/>
  <c r="F40" i="2"/>
  <c r="G40" i="2"/>
  <c r="AF42" i="2"/>
  <c r="AH42" i="2" s="1"/>
  <c r="I42" i="6" s="1"/>
  <c r="AE42" i="2"/>
  <c r="V33" i="2"/>
  <c r="AK33" i="2" s="1"/>
  <c r="L33" i="6" s="1"/>
  <c r="G37" i="2"/>
  <c r="O37" i="2" s="1"/>
  <c r="C37" i="6" s="1"/>
  <c r="F37" i="2"/>
  <c r="G42" i="2"/>
  <c r="F42" i="2"/>
  <c r="J33" i="2"/>
  <c r="L33" i="2" s="1"/>
  <c r="M33" i="2" s="1"/>
  <c r="D33" i="2"/>
  <c r="O33" i="2"/>
  <c r="C33" i="6" s="1"/>
  <c r="H33" i="2"/>
  <c r="F34" i="2"/>
  <c r="G34" i="2"/>
  <c r="O34" i="2" s="1"/>
  <c r="C34" i="6" s="1"/>
  <c r="L35" i="2"/>
  <c r="M35" i="2" s="1"/>
  <c r="K35" i="2"/>
  <c r="Y40" i="2"/>
  <c r="F40" i="6" s="1"/>
  <c r="E40" i="6"/>
  <c r="Z40" i="2"/>
  <c r="AA40" i="2" s="1"/>
  <c r="U41" i="2"/>
  <c r="AJ41" i="2" s="1"/>
  <c r="K41" i="6" s="1"/>
  <c r="AA41" i="6" s="1"/>
  <c r="T41" i="2"/>
  <c r="J38" i="2"/>
  <c r="J39" i="2"/>
  <c r="Z41" i="2"/>
  <c r="AA41" i="2" s="1"/>
  <c r="E34" i="6"/>
  <c r="E42" i="6"/>
  <c r="J42" i="2"/>
  <c r="E35" i="6"/>
  <c r="E36" i="6"/>
  <c r="D36" i="2"/>
  <c r="Y37" i="2"/>
  <c r="F37" i="6" s="1"/>
  <c r="D40" i="2"/>
  <c r="Y42" i="2"/>
  <c r="F42" i="6" s="1"/>
  <c r="E38" i="6"/>
  <c r="AI52" i="2"/>
  <c r="J52" i="6" s="1"/>
  <c r="AB52" i="6" s="1"/>
  <c r="I52" i="6"/>
  <c r="AI46" i="2"/>
  <c r="J46" i="6" s="1"/>
  <c r="AB46" i="6" s="1"/>
  <c r="H53" i="2"/>
  <c r="AL54" i="2"/>
  <c r="U46" i="2"/>
  <c r="V46" i="2" s="1"/>
  <c r="D50" i="6"/>
  <c r="AI45" i="2"/>
  <c r="J45" i="6" s="1"/>
  <c r="AB45" i="6" s="1"/>
  <c r="I45" i="6"/>
  <c r="U56" i="2"/>
  <c r="AJ56" i="2" s="1"/>
  <c r="K56" i="6" s="1"/>
  <c r="AA56" i="6" s="1"/>
  <c r="AI50" i="2"/>
  <c r="J50" i="6" s="1"/>
  <c r="AB50" i="6" s="1"/>
  <c r="I50" i="6"/>
  <c r="O56" i="2"/>
  <c r="C56" i="6" s="1"/>
  <c r="H56" i="2"/>
  <c r="AA56" i="2"/>
  <c r="Q57" i="2"/>
  <c r="P57" i="2"/>
  <c r="D57" i="6" s="1"/>
  <c r="V56" i="2"/>
  <c r="AK57" i="2"/>
  <c r="L57" i="6" s="1"/>
  <c r="AI57" i="2"/>
  <c r="J57" i="6" s="1"/>
  <c r="AB57" i="6" s="1"/>
  <c r="AG56" i="2"/>
  <c r="AH56" i="2"/>
  <c r="I56" i="6" s="1"/>
  <c r="V54" i="2"/>
  <c r="AJ54" i="2"/>
  <c r="K54" i="6" s="1"/>
  <c r="AA54" i="6" s="1"/>
  <c r="AJ52" i="2"/>
  <c r="K52" i="6" s="1"/>
  <c r="AA52" i="6" s="1"/>
  <c r="V52" i="2"/>
  <c r="P49" i="2"/>
  <c r="D49" i="6" s="1"/>
  <c r="Q49" i="2"/>
  <c r="AH47" i="2"/>
  <c r="I47" i="6" s="1"/>
  <c r="AG47" i="2"/>
  <c r="O48" i="2"/>
  <c r="C48" i="6" s="1"/>
  <c r="H48" i="2"/>
  <c r="AG51" i="2"/>
  <c r="AH51" i="2"/>
  <c r="I51" i="6" s="1"/>
  <c r="AS52" i="2"/>
  <c r="W52" i="6" s="1"/>
  <c r="R52" i="2"/>
  <c r="AM52" i="2" s="1"/>
  <c r="AT54" i="2"/>
  <c r="X54" i="6" s="1"/>
  <c r="H55" i="2"/>
  <c r="O55" i="2"/>
  <c r="C55" i="6" s="1"/>
  <c r="AA47" i="2"/>
  <c r="AA48" i="2"/>
  <c r="AG55" i="2"/>
  <c r="AH55" i="2"/>
  <c r="I55" i="6" s="1"/>
  <c r="K49" i="2"/>
  <c r="L49" i="2"/>
  <c r="M49" i="2" s="1"/>
  <c r="V48" i="2"/>
  <c r="V47" i="2"/>
  <c r="AJ47" i="2"/>
  <c r="K47" i="6" s="1"/>
  <c r="AA47" i="6" s="1"/>
  <c r="V55" i="2"/>
  <c r="AJ55" i="2"/>
  <c r="K55" i="6" s="1"/>
  <c r="AA55" i="6" s="1"/>
  <c r="AK49" i="2"/>
  <c r="L49" i="6" s="1"/>
  <c r="O47" i="2"/>
  <c r="C47" i="6" s="1"/>
  <c r="H47" i="2"/>
  <c r="AK53" i="2"/>
  <c r="L53" i="6" s="1"/>
  <c r="H51" i="2"/>
  <c r="O51" i="2"/>
  <c r="C51" i="6" s="1"/>
  <c r="P53" i="2"/>
  <c r="D53" i="6" s="1"/>
  <c r="Q53" i="2"/>
  <c r="AI53" i="2"/>
  <c r="J53" i="6" s="1"/>
  <c r="AB53" i="6" s="1"/>
  <c r="K53" i="2"/>
  <c r="L53" i="2"/>
  <c r="M53" i="2" s="1"/>
  <c r="AA51" i="2"/>
  <c r="V51" i="2"/>
  <c r="AJ51" i="2"/>
  <c r="K51" i="6" s="1"/>
  <c r="AA51" i="6" s="1"/>
  <c r="AI49" i="2"/>
  <c r="J49" i="6" s="1"/>
  <c r="AB49" i="6" s="1"/>
  <c r="AI48" i="2"/>
  <c r="J48" i="6" s="1"/>
  <c r="AB48" i="6" s="1"/>
  <c r="AA55" i="2"/>
  <c r="P45" i="2"/>
  <c r="D45" i="6" s="1"/>
  <c r="Q45" i="2"/>
  <c r="AK45" i="2"/>
  <c r="L45" i="6" s="1"/>
  <c r="K34" i="2"/>
  <c r="L34" i="2"/>
  <c r="M34" i="2" s="1"/>
  <c r="O35" i="2"/>
  <c r="C35" i="6" s="1"/>
  <c r="H35" i="2"/>
  <c r="V35" i="2"/>
  <c r="AJ35" i="2"/>
  <c r="K35" i="6" s="1"/>
  <c r="AA35" i="6" s="1"/>
  <c r="U34" i="2"/>
  <c r="AH35" i="2"/>
  <c r="I35" i="6" s="1"/>
  <c r="AG35" i="2"/>
  <c r="Q33" i="2"/>
  <c r="AL33" i="2" s="1"/>
  <c r="P33" i="2"/>
  <c r="D33" i="6" s="1"/>
  <c r="AA35" i="2"/>
  <c r="U36" i="2"/>
  <c r="AG41" i="2"/>
  <c r="G43" i="2"/>
  <c r="F43" i="2"/>
  <c r="Z43" i="2"/>
  <c r="Y43" i="2"/>
  <c r="F43" i="6" s="1"/>
  <c r="D34" i="2"/>
  <c r="AA34" i="2"/>
  <c r="AG34" i="2"/>
  <c r="H36" i="2"/>
  <c r="J37" i="2"/>
  <c r="D37" i="2"/>
  <c r="V37" i="2"/>
  <c r="U39" i="2"/>
  <c r="U38" i="2" s="1"/>
  <c r="T39" i="2"/>
  <c r="O41" i="2"/>
  <c r="C41" i="6" s="1"/>
  <c r="H41" i="2"/>
  <c r="O42" i="2"/>
  <c r="C42" i="6" s="1"/>
  <c r="H42" i="2"/>
  <c r="AF43" i="2"/>
  <c r="AE43" i="2"/>
  <c r="AH38" i="2"/>
  <c r="I38" i="6" s="1"/>
  <c r="AG38" i="2"/>
  <c r="L40" i="2"/>
  <c r="M40" i="2" s="1"/>
  <c r="K40" i="2"/>
  <c r="AA42" i="2"/>
  <c r="AH34" i="2"/>
  <c r="L36" i="2"/>
  <c r="M36" i="2" s="1"/>
  <c r="K36" i="2"/>
  <c r="AA38" i="2"/>
  <c r="G39" i="2"/>
  <c r="F39" i="2"/>
  <c r="Z39" i="2"/>
  <c r="Y39" i="2"/>
  <c r="F39" i="6" s="1"/>
  <c r="J41" i="2"/>
  <c r="D41" i="2"/>
  <c r="V41" i="2"/>
  <c r="Q36" i="2"/>
  <c r="R36" i="2" s="1"/>
  <c r="P36" i="2"/>
  <c r="D36" i="6" s="1"/>
  <c r="AA37" i="2"/>
  <c r="AH37" i="2"/>
  <c r="I37" i="6" s="1"/>
  <c r="AG37" i="2"/>
  <c r="O38" i="2"/>
  <c r="C38" i="6" s="1"/>
  <c r="H38" i="2"/>
  <c r="L39" i="2"/>
  <c r="M39" i="2" s="1"/>
  <c r="K39" i="2"/>
  <c r="AF39" i="2"/>
  <c r="AE39" i="2"/>
  <c r="U43" i="2"/>
  <c r="T43" i="2"/>
  <c r="AH40" i="2"/>
  <c r="F36" i="2"/>
  <c r="T36" i="2"/>
  <c r="Y36" i="2"/>
  <c r="F36" i="6" s="1"/>
  <c r="K43" i="2" l="1"/>
  <c r="AT50" i="2"/>
  <c r="X50" i="6" s="1"/>
  <c r="Q34" i="2"/>
  <c r="R34" i="2" s="1"/>
  <c r="AJ46" i="2"/>
  <c r="K46" i="6" s="1"/>
  <c r="AA46" i="6" s="1"/>
  <c r="AI54" i="2"/>
  <c r="J54" i="6" s="1"/>
  <c r="AB54" i="6" s="1"/>
  <c r="AM50" i="2"/>
  <c r="R46" i="2"/>
  <c r="AL46" i="2"/>
  <c r="AM46" i="2" s="1"/>
  <c r="AJ50" i="2"/>
  <c r="K50" i="6" s="1"/>
  <c r="AA50" i="6" s="1"/>
  <c r="AG42" i="2"/>
  <c r="H37" i="2"/>
  <c r="K33" i="2"/>
  <c r="AH36" i="2"/>
  <c r="AI36" i="2" s="1"/>
  <c r="J36" i="6" s="1"/>
  <c r="AB36" i="6" s="1"/>
  <c r="AH33" i="2"/>
  <c r="AI33" i="2" s="1"/>
  <c r="J33" i="6" s="1"/>
  <c r="AB33" i="6" s="1"/>
  <c r="AN33" i="2"/>
  <c r="Y33" i="6" s="1"/>
  <c r="AI40" i="2"/>
  <c r="J40" i="6" s="1"/>
  <c r="AB40" i="6" s="1"/>
  <c r="I40" i="6"/>
  <c r="P34" i="2"/>
  <c r="D34" i="6" s="1"/>
  <c r="L38" i="2"/>
  <c r="M38" i="2" s="1"/>
  <c r="K38" i="2"/>
  <c r="AI34" i="2"/>
  <c r="J34" i="6" s="1"/>
  <c r="AB34" i="6" s="1"/>
  <c r="I34" i="6"/>
  <c r="AS36" i="2"/>
  <c r="W36" i="6" s="1"/>
  <c r="H34" i="2"/>
  <c r="AS34" i="2"/>
  <c r="W34" i="6" s="1"/>
  <c r="O40" i="2"/>
  <c r="H40" i="2"/>
  <c r="G33" i="6"/>
  <c r="AL34" i="2"/>
  <c r="AM34" i="2" s="1"/>
  <c r="L42" i="2"/>
  <c r="M42" i="2" s="1"/>
  <c r="K42" i="2"/>
  <c r="R57" i="2"/>
  <c r="AS57" i="2"/>
  <c r="W57" i="6" s="1"/>
  <c r="AL57" i="2"/>
  <c r="AN57" i="2"/>
  <c r="P56" i="2"/>
  <c r="D56" i="6" s="1"/>
  <c r="Q56" i="2"/>
  <c r="AK56" i="2"/>
  <c r="L56" i="6" s="1"/>
  <c r="AI56" i="2"/>
  <c r="J56" i="6" s="1"/>
  <c r="AB56" i="6" s="1"/>
  <c r="R45" i="2"/>
  <c r="AS45" i="2"/>
  <c r="W45" i="6" s="1"/>
  <c r="AL45" i="2"/>
  <c r="AN45" i="2"/>
  <c r="AK51" i="2"/>
  <c r="L51" i="6" s="1"/>
  <c r="AI47" i="2"/>
  <c r="J47" i="6" s="1"/>
  <c r="AB47" i="6" s="1"/>
  <c r="R49" i="2"/>
  <c r="AN49" i="2"/>
  <c r="AL49" i="2"/>
  <c r="AS49" i="2"/>
  <c r="W49" i="6" s="1"/>
  <c r="R53" i="2"/>
  <c r="AN53" i="2"/>
  <c r="AS53" i="2"/>
  <c r="W53" i="6" s="1"/>
  <c r="AL53" i="2"/>
  <c r="AK48" i="2"/>
  <c r="L48" i="6" s="1"/>
  <c r="P47" i="2"/>
  <c r="D47" i="6" s="1"/>
  <c r="Q47" i="2"/>
  <c r="AK55" i="2"/>
  <c r="L55" i="6" s="1"/>
  <c r="AK47" i="2"/>
  <c r="L47" i="6" s="1"/>
  <c r="AI55" i="2"/>
  <c r="J55" i="6" s="1"/>
  <c r="AB55" i="6" s="1"/>
  <c r="Q55" i="2"/>
  <c r="P55" i="2"/>
  <c r="D55" i="6" s="1"/>
  <c r="AT52" i="2"/>
  <c r="X52" i="6" s="1"/>
  <c r="AK52" i="2"/>
  <c r="L52" i="6" s="1"/>
  <c r="AK54" i="2"/>
  <c r="L54" i="6" s="1"/>
  <c r="Q51" i="2"/>
  <c r="P51" i="2"/>
  <c r="D51" i="6" s="1"/>
  <c r="AK50" i="2"/>
  <c r="L50" i="6" s="1"/>
  <c r="AT46" i="2"/>
  <c r="X46" i="6" s="1"/>
  <c r="AI51" i="2"/>
  <c r="J51" i="6" s="1"/>
  <c r="AB51" i="6" s="1"/>
  <c r="AK46" i="2"/>
  <c r="L46" i="6" s="1"/>
  <c r="Q48" i="2"/>
  <c r="P48" i="2"/>
  <c r="D48" i="6" s="1"/>
  <c r="AK37" i="2"/>
  <c r="L37" i="6" s="1"/>
  <c r="Q35" i="2"/>
  <c r="P35" i="2"/>
  <c r="D35" i="6" s="1"/>
  <c r="V43" i="2"/>
  <c r="AJ43" i="2"/>
  <c r="K43" i="6" s="1"/>
  <c r="AA43" i="6" s="1"/>
  <c r="AG39" i="2"/>
  <c r="AH39" i="2"/>
  <c r="AA39" i="2"/>
  <c r="Q42" i="2"/>
  <c r="P42" i="2"/>
  <c r="D42" i="6" s="1"/>
  <c r="H43" i="2"/>
  <c r="O43" i="2"/>
  <c r="C43" i="6" s="1"/>
  <c r="K41" i="2"/>
  <c r="L41" i="2"/>
  <c r="M41" i="2" s="1"/>
  <c r="AI38" i="2"/>
  <c r="J38" i="6" s="1"/>
  <c r="AB38" i="6" s="1"/>
  <c r="P37" i="2"/>
  <c r="D37" i="6" s="1"/>
  <c r="Q37" i="2"/>
  <c r="AK35" i="2"/>
  <c r="L35" i="6" s="1"/>
  <c r="AI35" i="2"/>
  <c r="J35" i="6" s="1"/>
  <c r="AB35" i="6" s="1"/>
  <c r="Q38" i="2"/>
  <c r="P38" i="2"/>
  <c r="D38" i="6" s="1"/>
  <c r="V38" i="2"/>
  <c r="AJ38" i="2"/>
  <c r="K38" i="6" s="1"/>
  <c r="AA38" i="6" s="1"/>
  <c r="U42" i="2"/>
  <c r="AG43" i="2"/>
  <c r="AH43" i="2"/>
  <c r="I43" i="6" s="1"/>
  <c r="P41" i="2"/>
  <c r="D41" i="6" s="1"/>
  <c r="Q41" i="2"/>
  <c r="AL36" i="2"/>
  <c r="AI37" i="2"/>
  <c r="J37" i="6" s="1"/>
  <c r="AB37" i="6" s="1"/>
  <c r="AI42" i="2"/>
  <c r="J42" i="6" s="1"/>
  <c r="AB42" i="6" s="1"/>
  <c r="AK41" i="2"/>
  <c r="L41" i="6" s="1"/>
  <c r="H39" i="2"/>
  <c r="O39" i="2"/>
  <c r="C39" i="6" s="1"/>
  <c r="U40" i="2"/>
  <c r="V39" i="2"/>
  <c r="AJ39" i="2"/>
  <c r="K39" i="6" s="1"/>
  <c r="AA39" i="6" s="1"/>
  <c r="K37" i="2"/>
  <c r="L37" i="2"/>
  <c r="M37" i="2" s="1"/>
  <c r="AA43" i="2"/>
  <c r="AI41" i="2"/>
  <c r="J41" i="6" s="1"/>
  <c r="AB41" i="6" s="1"/>
  <c r="AJ36" i="2"/>
  <c r="K36" i="6" s="1"/>
  <c r="AA36" i="6" s="1"/>
  <c r="V36" i="2"/>
  <c r="R33" i="2"/>
  <c r="AS33" i="2"/>
  <c r="W33" i="6" s="1"/>
  <c r="AJ34" i="2"/>
  <c r="K34" i="6" s="1"/>
  <c r="AA34" i="6" s="1"/>
  <c r="V34" i="2"/>
  <c r="AW33" i="2"/>
  <c r="AQ33" i="2"/>
  <c r="AW45" i="2"/>
  <c r="AW57" i="2"/>
  <c r="AP53" i="2"/>
  <c r="AP57" i="2"/>
  <c r="AW49" i="2"/>
  <c r="AW53" i="2"/>
  <c r="AP49" i="2"/>
  <c r="AP45" i="2"/>
  <c r="AP33" i="2"/>
  <c r="AM45" i="2" l="1"/>
  <c r="AO33" i="2"/>
  <c r="I33" i="6"/>
  <c r="M33" i="6"/>
  <c r="I36" i="6"/>
  <c r="AT36" i="2"/>
  <c r="X36" i="6" s="1"/>
  <c r="N33" i="6"/>
  <c r="O33" i="6"/>
  <c r="C40" i="6"/>
  <c r="P40" i="2"/>
  <c r="D40" i="6" s="1"/>
  <c r="Q40" i="2"/>
  <c r="AT34" i="2"/>
  <c r="X34" i="6" s="1"/>
  <c r="AI39" i="2"/>
  <c r="J39" i="6" s="1"/>
  <c r="AB39" i="6" s="1"/>
  <c r="I39" i="6"/>
  <c r="Z33" i="6"/>
  <c r="H33" i="6"/>
  <c r="M45" i="6"/>
  <c r="M49" i="6"/>
  <c r="O49" i="6"/>
  <c r="O45" i="6"/>
  <c r="M53" i="6"/>
  <c r="O53" i="6"/>
  <c r="M57" i="6"/>
  <c r="O57" i="6"/>
  <c r="Y49" i="6"/>
  <c r="G49" i="6"/>
  <c r="Y45" i="6"/>
  <c r="G45" i="6"/>
  <c r="Y57" i="6"/>
  <c r="G57" i="6"/>
  <c r="Y53" i="6"/>
  <c r="G53" i="6"/>
  <c r="BE57" i="2"/>
  <c r="BC57" i="2"/>
  <c r="Q57" i="6" s="1"/>
  <c r="AO57" i="2"/>
  <c r="AM57" i="2"/>
  <c r="R56" i="2"/>
  <c r="AS56" i="2"/>
  <c r="W56" i="6" s="1"/>
  <c r="AL56" i="2"/>
  <c r="AT57" i="2"/>
  <c r="X57" i="6" s="1"/>
  <c r="BE49" i="2"/>
  <c r="BC49" i="2"/>
  <c r="Q49" i="6" s="1"/>
  <c r="BE45" i="2"/>
  <c r="BC45" i="2"/>
  <c r="Q45" i="6" s="1"/>
  <c r="BE53" i="2"/>
  <c r="BC53" i="2"/>
  <c r="Q53" i="6" s="1"/>
  <c r="AO45" i="2"/>
  <c r="R48" i="2"/>
  <c r="AL48" i="2"/>
  <c r="AS48" i="2"/>
  <c r="W48" i="6" s="1"/>
  <c r="AO49" i="2"/>
  <c r="R51" i="2"/>
  <c r="AS51" i="2"/>
  <c r="W51" i="6" s="1"/>
  <c r="AN51" i="2"/>
  <c r="AN50" i="2" s="1"/>
  <c r="AL51" i="2"/>
  <c r="AM53" i="2"/>
  <c r="AT49" i="2"/>
  <c r="AT45" i="2"/>
  <c r="X45" i="6" s="1"/>
  <c r="AO53" i="2"/>
  <c r="R55" i="2"/>
  <c r="AL55" i="2"/>
  <c r="AS55" i="2"/>
  <c r="W55" i="6" s="1"/>
  <c r="AN55" i="2"/>
  <c r="R47" i="2"/>
  <c r="AN47" i="2"/>
  <c r="AL47" i="2"/>
  <c r="AS47" i="2"/>
  <c r="W47" i="6" s="1"/>
  <c r="AT53" i="2"/>
  <c r="AM49" i="2"/>
  <c r="AR33" i="2"/>
  <c r="BE33" i="2"/>
  <c r="BC33" i="2"/>
  <c r="Q33" i="6" s="1"/>
  <c r="AK38" i="2"/>
  <c r="L38" i="6" s="1"/>
  <c r="AT33" i="2"/>
  <c r="X33" i="6" s="1"/>
  <c r="AK39" i="2"/>
  <c r="L39" i="6" s="1"/>
  <c r="R35" i="2"/>
  <c r="AN35" i="2"/>
  <c r="AL35" i="2"/>
  <c r="AS35" i="2"/>
  <c r="W35" i="6" s="1"/>
  <c r="AK34" i="2"/>
  <c r="L34" i="6" s="1"/>
  <c r="AJ40" i="2"/>
  <c r="K40" i="6" s="1"/>
  <c r="AA40" i="6" s="1"/>
  <c r="V40" i="2"/>
  <c r="AI43" i="2"/>
  <c r="J43" i="6" s="1"/>
  <c r="AB43" i="6" s="1"/>
  <c r="V42" i="2"/>
  <c r="AJ42" i="2"/>
  <c r="K42" i="6" s="1"/>
  <c r="AA42" i="6" s="1"/>
  <c r="Q43" i="2"/>
  <c r="P43" i="2"/>
  <c r="D43" i="6" s="1"/>
  <c r="AK43" i="2"/>
  <c r="L43" i="6" s="1"/>
  <c r="R41" i="2"/>
  <c r="AS41" i="2"/>
  <c r="W41" i="6" s="1"/>
  <c r="AN41" i="2"/>
  <c r="AL41" i="2"/>
  <c r="AM33" i="2"/>
  <c r="R42" i="2"/>
  <c r="AS42" i="2"/>
  <c r="W42" i="6" s="1"/>
  <c r="AL42" i="2"/>
  <c r="AK36" i="2"/>
  <c r="L36" i="6" s="1"/>
  <c r="Q39" i="2"/>
  <c r="P39" i="2"/>
  <c r="D39" i="6" s="1"/>
  <c r="AM36" i="2"/>
  <c r="R38" i="2"/>
  <c r="AL38" i="2"/>
  <c r="AS38" i="2"/>
  <c r="W38" i="6" s="1"/>
  <c r="R37" i="2"/>
  <c r="AS37" i="2"/>
  <c r="W37" i="6" s="1"/>
  <c r="AL37" i="2"/>
  <c r="AN37" i="2"/>
  <c r="AP55" i="2"/>
  <c r="AW37" i="2"/>
  <c r="AW35" i="2"/>
  <c r="AP47" i="2"/>
  <c r="AP35" i="2"/>
  <c r="AP41" i="2"/>
  <c r="AW47" i="2"/>
  <c r="AQ45" i="2"/>
  <c r="AQ49" i="2"/>
  <c r="AW50" i="2"/>
  <c r="AX57" i="2"/>
  <c r="AP50" i="2"/>
  <c r="AW51" i="2"/>
  <c r="AQ57" i="2"/>
  <c r="AP51" i="2"/>
  <c r="AX49" i="2"/>
  <c r="AX45" i="2"/>
  <c r="AX33" i="2"/>
  <c r="AX53" i="2"/>
  <c r="AP37" i="2"/>
  <c r="AQ53" i="2"/>
  <c r="AW41" i="2"/>
  <c r="AW55" i="2"/>
  <c r="AY33" i="2" l="1"/>
  <c r="BF33" i="2" s="1"/>
  <c r="AY57" i="2"/>
  <c r="BD57" i="2" s="1"/>
  <c r="R57" i="6" s="1"/>
  <c r="M35" i="6"/>
  <c r="O37" i="6"/>
  <c r="M41" i="6"/>
  <c r="O41" i="6"/>
  <c r="O35" i="6"/>
  <c r="P33" i="6"/>
  <c r="M37" i="6"/>
  <c r="AM41" i="2"/>
  <c r="Y37" i="6"/>
  <c r="G37" i="6"/>
  <c r="Y41" i="6"/>
  <c r="G41" i="6"/>
  <c r="Y35" i="6"/>
  <c r="G35" i="6"/>
  <c r="AM37" i="2"/>
  <c r="R40" i="2"/>
  <c r="AL40" i="2"/>
  <c r="AS40" i="2"/>
  <c r="M55" i="6"/>
  <c r="O55" i="6"/>
  <c r="O47" i="6"/>
  <c r="N53" i="6"/>
  <c r="O50" i="6"/>
  <c r="M50" i="6"/>
  <c r="M47" i="6"/>
  <c r="P45" i="6"/>
  <c r="M51" i="6"/>
  <c r="N49" i="6"/>
  <c r="P53" i="6"/>
  <c r="P49" i="6"/>
  <c r="O51" i="6"/>
  <c r="N45" i="6"/>
  <c r="N57" i="6"/>
  <c r="P57" i="6"/>
  <c r="Y55" i="6"/>
  <c r="G55" i="6"/>
  <c r="Z53" i="6"/>
  <c r="H53" i="6"/>
  <c r="Y50" i="6"/>
  <c r="G50" i="6"/>
  <c r="Y51" i="6"/>
  <c r="G51" i="6"/>
  <c r="AY45" i="2"/>
  <c r="BF45" i="2" s="1"/>
  <c r="Z45" i="6"/>
  <c r="H45" i="6"/>
  <c r="AY49" i="2"/>
  <c r="BF49" i="2" s="1"/>
  <c r="X49" i="6"/>
  <c r="H49" i="6"/>
  <c r="Z49" i="6"/>
  <c r="Z57" i="6"/>
  <c r="H57" i="6"/>
  <c r="Y47" i="6"/>
  <c r="G47" i="6"/>
  <c r="AY53" i="2"/>
  <c r="BG53" i="2" s="1"/>
  <c r="X53" i="6"/>
  <c r="AR57" i="2"/>
  <c r="AZ57" i="2"/>
  <c r="AM56" i="2"/>
  <c r="AN56" i="2"/>
  <c r="AT56" i="2"/>
  <c r="X56" i="6" s="1"/>
  <c r="BG57" i="2"/>
  <c r="BF57" i="2"/>
  <c r="BE55" i="2"/>
  <c r="BC55" i="2"/>
  <c r="Q55" i="6" s="1"/>
  <c r="BE47" i="2"/>
  <c r="BC47" i="2"/>
  <c r="Q47" i="6" s="1"/>
  <c r="AR53" i="2"/>
  <c r="BE50" i="2"/>
  <c r="BC50" i="2"/>
  <c r="Q50" i="6" s="1"/>
  <c r="AZ45" i="2"/>
  <c r="AR49" i="2"/>
  <c r="AZ53" i="2"/>
  <c r="AZ49" i="2"/>
  <c r="BE51" i="2"/>
  <c r="BC51" i="2"/>
  <c r="Q51" i="6" s="1"/>
  <c r="AR45" i="2"/>
  <c r="AO55" i="2"/>
  <c r="AT55" i="2"/>
  <c r="AT47" i="2"/>
  <c r="AN48" i="2"/>
  <c r="AM48" i="2"/>
  <c r="AM47" i="2"/>
  <c r="AM51" i="2"/>
  <c r="AO50" i="2"/>
  <c r="AO47" i="2"/>
  <c r="AM55" i="2"/>
  <c r="AO51" i="2"/>
  <c r="AN52" i="2"/>
  <c r="AN46" i="2"/>
  <c r="AN54" i="2"/>
  <c r="AT51" i="2"/>
  <c r="X51" i="6" s="1"/>
  <c r="AT48" i="2"/>
  <c r="X48" i="6" s="1"/>
  <c r="AZ33" i="2"/>
  <c r="BE37" i="2"/>
  <c r="BC37" i="2"/>
  <c r="Q37" i="6" s="1"/>
  <c r="BE41" i="2"/>
  <c r="BC41" i="2"/>
  <c r="Q41" i="6" s="1"/>
  <c r="BE35" i="2"/>
  <c r="BC35" i="2"/>
  <c r="Q35" i="6" s="1"/>
  <c r="BG33" i="2"/>
  <c r="AM35" i="2"/>
  <c r="BD33" i="2"/>
  <c r="R33" i="6" s="1"/>
  <c r="AT37" i="2"/>
  <c r="X37" i="6" s="1"/>
  <c r="AT41" i="2"/>
  <c r="X41" i="6" s="1"/>
  <c r="AK42" i="2"/>
  <c r="L42" i="6" s="1"/>
  <c r="AT35" i="2"/>
  <c r="X35" i="6" s="1"/>
  <c r="AO37" i="2"/>
  <c r="AT38" i="2"/>
  <c r="X38" i="6" s="1"/>
  <c r="AN36" i="2"/>
  <c r="AM42" i="2"/>
  <c r="R43" i="2"/>
  <c r="AL43" i="2"/>
  <c r="AS43" i="2"/>
  <c r="W43" i="6" s="1"/>
  <c r="AN43" i="2"/>
  <c r="AN42" i="2" s="1"/>
  <c r="AO35" i="2"/>
  <c r="AN34" i="2"/>
  <c r="R39" i="2"/>
  <c r="AS39" i="2"/>
  <c r="W39" i="6" s="1"/>
  <c r="AL39" i="2"/>
  <c r="AN39" i="2"/>
  <c r="AK40" i="2"/>
  <c r="L40" i="6" s="1"/>
  <c r="AM38" i="2"/>
  <c r="AT42" i="2"/>
  <c r="X42" i="6" s="1"/>
  <c r="AO41" i="2"/>
  <c r="AX55" i="2"/>
  <c r="AP43" i="2"/>
  <c r="AW56" i="2"/>
  <c r="AQ37" i="2"/>
  <c r="AX51" i="2"/>
  <c r="AP42" i="2"/>
  <c r="AQ55" i="2"/>
  <c r="AW43" i="2"/>
  <c r="AX35" i="2"/>
  <c r="AW36" i="2"/>
  <c r="AP54" i="2"/>
  <c r="AQ41" i="2"/>
  <c r="AX47" i="2"/>
  <c r="AQ47" i="2"/>
  <c r="AP36" i="2"/>
  <c r="AP46" i="2"/>
  <c r="AW34" i="2"/>
  <c r="AQ50" i="2"/>
  <c r="AW42" i="2"/>
  <c r="AX41" i="2"/>
  <c r="AP52" i="2"/>
  <c r="AW52" i="2"/>
  <c r="AQ35" i="2"/>
  <c r="AP48" i="2"/>
  <c r="AW39" i="2"/>
  <c r="AX50" i="2"/>
  <c r="AP34" i="2"/>
  <c r="AW48" i="2"/>
  <c r="AQ51" i="2"/>
  <c r="AX37" i="2"/>
  <c r="AW54" i="2"/>
  <c r="AW46" i="2"/>
  <c r="AP39" i="2"/>
  <c r="AP56" i="2"/>
  <c r="BD53" i="2" l="1"/>
  <c r="R53" i="6" s="1"/>
  <c r="BD45" i="2"/>
  <c r="R45" i="6" s="1"/>
  <c r="BG45" i="2"/>
  <c r="AY35" i="2"/>
  <c r="BF35" i="2" s="1"/>
  <c r="AM39" i="2"/>
  <c r="O43" i="6"/>
  <c r="M43" i="6"/>
  <c r="AM43" i="2"/>
  <c r="Y43" i="6"/>
  <c r="G43" i="6"/>
  <c r="O36" i="6"/>
  <c r="M42" i="6"/>
  <c r="M34" i="6"/>
  <c r="O34" i="6"/>
  <c r="M39" i="6"/>
  <c r="P37" i="6"/>
  <c r="O39" i="6"/>
  <c r="N35" i="6"/>
  <c r="P41" i="6"/>
  <c r="O42" i="6"/>
  <c r="M36" i="6"/>
  <c r="N37" i="6"/>
  <c r="N41" i="6"/>
  <c r="P35" i="6"/>
  <c r="H41" i="6"/>
  <c r="Z41" i="6"/>
  <c r="Y34" i="6"/>
  <c r="G34" i="6"/>
  <c r="Z37" i="6"/>
  <c r="H37" i="6"/>
  <c r="Y39" i="6"/>
  <c r="G39" i="6"/>
  <c r="Y36" i="6"/>
  <c r="G36" i="6"/>
  <c r="Z35" i="6"/>
  <c r="H35" i="6"/>
  <c r="AY37" i="2"/>
  <c r="BG37" i="2" s="1"/>
  <c r="W40" i="6"/>
  <c r="AT40" i="2"/>
  <c r="X40" i="6" s="1"/>
  <c r="Y42" i="6"/>
  <c r="G42" i="6"/>
  <c r="AM40" i="2"/>
  <c r="M52" i="6"/>
  <c r="O52" i="6"/>
  <c r="N50" i="6"/>
  <c r="M48" i="6"/>
  <c r="O48" i="6"/>
  <c r="O54" i="6"/>
  <c r="M54" i="6"/>
  <c r="P55" i="6"/>
  <c r="M46" i="6"/>
  <c r="O46" i="6"/>
  <c r="N47" i="6"/>
  <c r="N55" i="6"/>
  <c r="P51" i="6"/>
  <c r="N51" i="6"/>
  <c r="P47" i="6"/>
  <c r="M56" i="6"/>
  <c r="O56" i="6"/>
  <c r="AY47" i="2"/>
  <c r="BD47" i="2" s="1"/>
  <c r="R47" i="6" s="1"/>
  <c r="X47" i="6"/>
  <c r="BF53" i="2"/>
  <c r="Z50" i="6"/>
  <c r="H50" i="6"/>
  <c r="Y48" i="6"/>
  <c r="G48" i="6"/>
  <c r="BG49" i="2"/>
  <c r="Y54" i="6"/>
  <c r="G54" i="6"/>
  <c r="BD49" i="2"/>
  <c r="R49" i="6" s="1"/>
  <c r="Y52" i="6"/>
  <c r="G52" i="6"/>
  <c r="Z51" i="6"/>
  <c r="H51" i="6"/>
  <c r="AY55" i="2"/>
  <c r="BF55" i="2" s="1"/>
  <c r="X55" i="6"/>
  <c r="Y46" i="6"/>
  <c r="G46" i="6"/>
  <c r="Z47" i="6"/>
  <c r="H47" i="6"/>
  <c r="Z55" i="6"/>
  <c r="H55" i="6"/>
  <c r="AY51" i="2"/>
  <c r="BF51" i="2" s="1"/>
  <c r="Y56" i="6"/>
  <c r="G56" i="6"/>
  <c r="BE56" i="2"/>
  <c r="BC56" i="2"/>
  <c r="Q56" i="6" s="1"/>
  <c r="AO56" i="2"/>
  <c r="BE52" i="2"/>
  <c r="BC52" i="2"/>
  <c r="Q52" i="6" s="1"/>
  <c r="AZ50" i="2"/>
  <c r="AR50" i="2"/>
  <c r="BE48" i="2"/>
  <c r="BC48" i="2"/>
  <c r="Q48" i="6" s="1"/>
  <c r="BE54" i="2"/>
  <c r="BC54" i="2"/>
  <c r="Q54" i="6" s="1"/>
  <c r="AZ55" i="2"/>
  <c r="BE46" i="2"/>
  <c r="BC46" i="2"/>
  <c r="Q46" i="6" s="1"/>
  <c r="AR47" i="2"/>
  <c r="AR55" i="2"/>
  <c r="AZ51" i="2"/>
  <c r="AR51" i="2"/>
  <c r="AZ47" i="2"/>
  <c r="AO52" i="2"/>
  <c r="AY52" i="2" s="1"/>
  <c r="P52" i="6" s="1"/>
  <c r="AO48" i="2"/>
  <c r="AO54" i="2"/>
  <c r="AO46" i="2"/>
  <c r="AY50" i="2"/>
  <c r="P50" i="6" s="1"/>
  <c r="BE34" i="2"/>
  <c r="BC34" i="2"/>
  <c r="Q34" i="6" s="1"/>
  <c r="BE36" i="2"/>
  <c r="BC36" i="2"/>
  <c r="Q36" i="6" s="1"/>
  <c r="BE39" i="2"/>
  <c r="BC39" i="2"/>
  <c r="Q39" i="6" s="1"/>
  <c r="AR37" i="2"/>
  <c r="AZ37" i="2"/>
  <c r="AR35" i="2"/>
  <c r="AZ41" i="2"/>
  <c r="AR41" i="2"/>
  <c r="BE43" i="2"/>
  <c r="BC43" i="2"/>
  <c r="Q43" i="6" s="1"/>
  <c r="BE42" i="2"/>
  <c r="BC42" i="2"/>
  <c r="Q42" i="6" s="1"/>
  <c r="AZ35" i="2"/>
  <c r="AO39" i="2"/>
  <c r="AN40" i="2"/>
  <c r="AO34" i="2"/>
  <c r="AO36" i="2"/>
  <c r="AN38" i="2"/>
  <c r="AT39" i="2"/>
  <c r="X39" i="6" s="1"/>
  <c r="AO43" i="2"/>
  <c r="BD35" i="2"/>
  <c r="R35" i="6" s="1"/>
  <c r="AY41" i="2"/>
  <c r="AT43" i="2"/>
  <c r="X43" i="6" s="1"/>
  <c r="AO42" i="2"/>
  <c r="AQ52" i="2"/>
  <c r="AW38" i="2"/>
  <c r="AX52" i="2"/>
  <c r="AQ39" i="2"/>
  <c r="AX48" i="2"/>
  <c r="AQ48" i="2"/>
  <c r="AQ43" i="2"/>
  <c r="AP40" i="2"/>
  <c r="AX43" i="2"/>
  <c r="AQ34" i="2"/>
  <c r="AX34" i="2"/>
  <c r="AQ54" i="2"/>
  <c r="AQ42" i="2"/>
  <c r="AQ46" i="2"/>
  <c r="AX42" i="2"/>
  <c r="AX54" i="2"/>
  <c r="AX46" i="2"/>
  <c r="AQ36" i="2"/>
  <c r="AW40" i="2"/>
  <c r="AX56" i="2"/>
  <c r="AX39" i="2"/>
  <c r="AP38" i="2"/>
  <c r="AQ56" i="2"/>
  <c r="AX36" i="2"/>
  <c r="BG35" i="2" l="1"/>
  <c r="BD55" i="2"/>
  <c r="R55" i="6" s="1"/>
  <c r="BF47" i="2"/>
  <c r="BG55" i="2"/>
  <c r="BG47" i="2"/>
  <c r="BG51" i="2"/>
  <c r="N43" i="6"/>
  <c r="P43" i="6"/>
  <c r="AY43" i="2"/>
  <c r="BD43" i="2" s="1"/>
  <c r="R43" i="6" s="1"/>
  <c r="Z43" i="6"/>
  <c r="H43" i="6"/>
  <c r="N39" i="6"/>
  <c r="O38" i="6"/>
  <c r="M38" i="6"/>
  <c r="P39" i="6"/>
  <c r="N42" i="6"/>
  <c r="O40" i="6"/>
  <c r="N36" i="6"/>
  <c r="M40" i="6"/>
  <c r="N34" i="6"/>
  <c r="Y38" i="6"/>
  <c r="G38" i="6"/>
  <c r="AY34" i="2"/>
  <c r="P34" i="6" s="1"/>
  <c r="Z34" i="6"/>
  <c r="H34" i="6"/>
  <c r="Z36" i="6"/>
  <c r="H36" i="6"/>
  <c r="BD37" i="2"/>
  <c r="R37" i="6" s="1"/>
  <c r="BF37" i="2"/>
  <c r="Y40" i="6"/>
  <c r="G40" i="6"/>
  <c r="AY36" i="2"/>
  <c r="P36" i="6" s="1"/>
  <c r="AY42" i="2"/>
  <c r="P42" i="6" s="1"/>
  <c r="Z42" i="6"/>
  <c r="H42" i="6"/>
  <c r="Z39" i="6"/>
  <c r="H39" i="6"/>
  <c r="N54" i="6"/>
  <c r="N48" i="6"/>
  <c r="N46" i="6"/>
  <c r="N52" i="6"/>
  <c r="N56" i="6"/>
  <c r="Z46" i="6"/>
  <c r="H46" i="6"/>
  <c r="Z54" i="6"/>
  <c r="H54" i="6"/>
  <c r="BD51" i="2"/>
  <c r="R51" i="6" s="1"/>
  <c r="Z56" i="6"/>
  <c r="H56" i="6"/>
  <c r="Z52" i="6"/>
  <c r="H52" i="6"/>
  <c r="Z48" i="6"/>
  <c r="H48" i="6"/>
  <c r="AR56" i="2"/>
  <c r="AZ56" i="2"/>
  <c r="AY56" i="2"/>
  <c r="P56" i="6" s="1"/>
  <c r="AR54" i="2"/>
  <c r="AZ54" i="2"/>
  <c r="AR48" i="2"/>
  <c r="AZ48" i="2"/>
  <c r="AR46" i="2"/>
  <c r="AZ46" i="2"/>
  <c r="AR52" i="2"/>
  <c r="AZ52" i="2"/>
  <c r="BG52" i="2"/>
  <c r="BF52" i="2"/>
  <c r="BD52" i="2"/>
  <c r="R52" i="6" s="1"/>
  <c r="AY54" i="2"/>
  <c r="P54" i="6" s="1"/>
  <c r="BG50" i="2"/>
  <c r="BF50" i="2"/>
  <c r="BD50" i="2"/>
  <c r="R50" i="6" s="1"/>
  <c r="AY46" i="2"/>
  <c r="P46" i="6" s="1"/>
  <c r="AY48" i="2"/>
  <c r="P48" i="6" s="1"/>
  <c r="BE40" i="2"/>
  <c r="BC40" i="2"/>
  <c r="Q40" i="6" s="1"/>
  <c r="AZ39" i="2"/>
  <c r="AZ36" i="2"/>
  <c r="AR36" i="2"/>
  <c r="AR43" i="2"/>
  <c r="AR39" i="2"/>
  <c r="AR42" i="2"/>
  <c r="AZ42" i="2"/>
  <c r="AZ43" i="2"/>
  <c r="BE38" i="2"/>
  <c r="BC38" i="2"/>
  <c r="Q38" i="6" s="1"/>
  <c r="AZ34" i="2"/>
  <c r="AR34" i="2"/>
  <c r="BG41" i="2"/>
  <c r="BF41" i="2"/>
  <c r="BD41" i="2"/>
  <c r="R41" i="6" s="1"/>
  <c r="AO40" i="2"/>
  <c r="AY39" i="2"/>
  <c r="AO38" i="2"/>
  <c r="AQ38" i="2"/>
  <c r="AX40" i="2"/>
  <c r="AQ40" i="2"/>
  <c r="AX38" i="2"/>
  <c r="BD36" i="2" l="1"/>
  <c r="R36" i="6" s="1"/>
  <c r="BF36" i="2"/>
  <c r="BG36" i="2"/>
  <c r="BD42" i="2"/>
  <c r="R42" i="6" s="1"/>
  <c r="BF42" i="2"/>
  <c r="BG43" i="2"/>
  <c r="BF43" i="2"/>
  <c r="N38" i="6"/>
  <c r="N40" i="6"/>
  <c r="Z38" i="6"/>
  <c r="H38" i="6"/>
  <c r="AY40" i="2"/>
  <c r="P40" i="6" s="1"/>
  <c r="Z40" i="6"/>
  <c r="H40" i="6"/>
  <c r="BD34" i="2"/>
  <c r="R34" i="6" s="1"/>
  <c r="BG34" i="2"/>
  <c r="BF34" i="2"/>
  <c r="BG42" i="2"/>
  <c r="BF56" i="2"/>
  <c r="BG56" i="2"/>
  <c r="BD56" i="2"/>
  <c r="R56" i="6" s="1"/>
  <c r="BG46" i="2"/>
  <c r="BF46" i="2"/>
  <c r="BD46" i="2"/>
  <c r="R46" i="6" s="1"/>
  <c r="BG54" i="2"/>
  <c r="BF54" i="2"/>
  <c r="BD54" i="2"/>
  <c r="R54" i="6" s="1"/>
  <c r="BG48" i="2"/>
  <c r="BF48" i="2"/>
  <c r="BD48" i="2"/>
  <c r="R48" i="6" s="1"/>
  <c r="AR38" i="2"/>
  <c r="AZ38" i="2"/>
  <c r="AZ40" i="2"/>
  <c r="AR40" i="2"/>
  <c r="BF39" i="2"/>
  <c r="BG39" i="2"/>
  <c r="BD39" i="2"/>
  <c r="R39" i="6" s="1"/>
  <c r="AY38" i="2"/>
  <c r="P38" i="6" s="1"/>
  <c r="BG40" i="2" l="1"/>
  <c r="BF40" i="2"/>
  <c r="BD40" i="2"/>
  <c r="R40" i="6" s="1"/>
  <c r="BG38" i="2"/>
  <c r="BF38" i="2"/>
  <c r="BD38" i="2"/>
  <c r="R38" i="6" s="1"/>
  <c r="U31" i="6" l="1"/>
  <c r="S31" i="6"/>
  <c r="B31" i="6"/>
  <c r="A31" i="6"/>
  <c r="U30" i="6"/>
  <c r="S30" i="6"/>
  <c r="B30" i="6"/>
  <c r="A30" i="6"/>
  <c r="U29" i="6"/>
  <c r="S29" i="6"/>
  <c r="B29" i="6"/>
  <c r="A29" i="6"/>
  <c r="U28" i="6"/>
  <c r="S28" i="6"/>
  <c r="B28" i="6"/>
  <c r="A28" i="6"/>
  <c r="U27" i="6"/>
  <c r="S27" i="6"/>
  <c r="B27" i="6"/>
  <c r="A27" i="6"/>
  <c r="U26" i="6"/>
  <c r="S26" i="6"/>
  <c r="B26" i="6"/>
  <c r="A26" i="6"/>
  <c r="U25" i="6"/>
  <c r="S25" i="6"/>
  <c r="B25" i="6"/>
  <c r="A25" i="6"/>
  <c r="U24" i="6"/>
  <c r="S24" i="6"/>
  <c r="B24" i="6"/>
  <c r="A24" i="6"/>
  <c r="U23" i="6"/>
  <c r="S23" i="6"/>
  <c r="B23" i="6"/>
  <c r="A23" i="6"/>
  <c r="U22" i="6"/>
  <c r="S22" i="6"/>
  <c r="B22" i="6"/>
  <c r="A22" i="6"/>
  <c r="U21" i="6"/>
  <c r="S21" i="6"/>
  <c r="B21" i="6"/>
  <c r="A21" i="6"/>
  <c r="BB31" i="2"/>
  <c r="BA31" i="2"/>
  <c r="AV31" i="2"/>
  <c r="AD31" i="2"/>
  <c r="AF31" i="2" s="1"/>
  <c r="X31" i="2"/>
  <c r="E31" i="6" s="1"/>
  <c r="S31" i="2"/>
  <c r="T31" i="2" s="1"/>
  <c r="E31" i="2"/>
  <c r="G31" i="2" s="1"/>
  <c r="O31" i="2" s="1"/>
  <c r="C31" i="6" s="1"/>
  <c r="C31" i="2"/>
  <c r="J31" i="2" s="1"/>
  <c r="B31" i="2"/>
  <c r="A31" i="2"/>
  <c r="BB30" i="2"/>
  <c r="BA30" i="2"/>
  <c r="AV30" i="2"/>
  <c r="AD30" i="2"/>
  <c r="AE30" i="2" s="1"/>
  <c r="X30" i="2"/>
  <c r="Y30" i="2" s="1"/>
  <c r="F30" i="6" s="1"/>
  <c r="S30" i="2"/>
  <c r="T30" i="2" s="1"/>
  <c r="E30" i="2"/>
  <c r="F30" i="2" s="1"/>
  <c r="C30" i="2"/>
  <c r="J30" i="2" s="1"/>
  <c r="B30" i="2"/>
  <c r="A30" i="2"/>
  <c r="BB29" i="2"/>
  <c r="BA29" i="2"/>
  <c r="AV29" i="2"/>
  <c r="AD29" i="2"/>
  <c r="X29" i="2"/>
  <c r="E29" i="6" s="1"/>
  <c r="S29" i="2"/>
  <c r="E29" i="2"/>
  <c r="D29" i="2"/>
  <c r="C29" i="2"/>
  <c r="J29" i="2" s="1"/>
  <c r="B29" i="2"/>
  <c r="A29" i="2"/>
  <c r="BB28" i="2"/>
  <c r="BA28" i="2"/>
  <c r="AV28" i="2"/>
  <c r="AD28" i="2"/>
  <c r="AF28" i="2" s="1"/>
  <c r="X28" i="2"/>
  <c r="Z28" i="2" s="1"/>
  <c r="S28" i="2"/>
  <c r="T28" i="2" s="1"/>
  <c r="E28" i="2"/>
  <c r="G28" i="2" s="1"/>
  <c r="C28" i="2"/>
  <c r="D28" i="2" s="1"/>
  <c r="B28" i="2"/>
  <c r="A28" i="2"/>
  <c r="BB27" i="2"/>
  <c r="BA27" i="2"/>
  <c r="AV27" i="2"/>
  <c r="AD27" i="2"/>
  <c r="AE27" i="2" s="1"/>
  <c r="X27" i="2"/>
  <c r="Z27" i="2" s="1"/>
  <c r="S27" i="2"/>
  <c r="U27" i="2" s="1"/>
  <c r="E27" i="2"/>
  <c r="F27" i="2" s="1"/>
  <c r="C27" i="2"/>
  <c r="B27" i="2"/>
  <c r="A27" i="2"/>
  <c r="BB26" i="2"/>
  <c r="BA26" i="2"/>
  <c r="AV26" i="2"/>
  <c r="AD26" i="2"/>
  <c r="AF26" i="2" s="1"/>
  <c r="AG26" i="2" s="1"/>
  <c r="X26" i="2"/>
  <c r="E26" i="6" s="1"/>
  <c r="S26" i="2"/>
  <c r="T26" i="2" s="1"/>
  <c r="E26" i="2"/>
  <c r="G26" i="2" s="1"/>
  <c r="C26" i="2"/>
  <c r="J26" i="2" s="1"/>
  <c r="B26" i="2"/>
  <c r="A26" i="2"/>
  <c r="BB25" i="2"/>
  <c r="BA25" i="2"/>
  <c r="AV25" i="2"/>
  <c r="AD25" i="2"/>
  <c r="X25" i="2"/>
  <c r="E25" i="6" s="1"/>
  <c r="S25" i="2"/>
  <c r="E25" i="2"/>
  <c r="C25" i="2"/>
  <c r="J25" i="2" s="1"/>
  <c r="B25" i="2"/>
  <c r="A25" i="2"/>
  <c r="BB24" i="2"/>
  <c r="BA24" i="2"/>
  <c r="AV24" i="2"/>
  <c r="AD24" i="2"/>
  <c r="AF24" i="2" s="1"/>
  <c r="AG24" i="2" s="1"/>
  <c r="X24" i="2"/>
  <c r="E24" i="6" s="1"/>
  <c r="S24" i="2"/>
  <c r="E24" i="2"/>
  <c r="C24" i="2"/>
  <c r="J24" i="2" s="1"/>
  <c r="L24" i="2" s="1"/>
  <c r="M24" i="2" s="1"/>
  <c r="B24" i="2"/>
  <c r="A24" i="2"/>
  <c r="BB23" i="2"/>
  <c r="BA23" i="2"/>
  <c r="AV23" i="2"/>
  <c r="AD23" i="2"/>
  <c r="AF23" i="2" s="1"/>
  <c r="X23" i="2"/>
  <c r="Y23" i="2" s="1"/>
  <c r="F23" i="6" s="1"/>
  <c r="S23" i="2"/>
  <c r="U23" i="2" s="1"/>
  <c r="V23" i="2" s="1"/>
  <c r="AK23" i="2" s="1"/>
  <c r="L23" i="6" s="1"/>
  <c r="E23" i="2"/>
  <c r="F23" i="2" s="1"/>
  <c r="C23" i="2"/>
  <c r="D23" i="2" s="1"/>
  <c r="B23" i="2"/>
  <c r="A23" i="2"/>
  <c r="BB22" i="2"/>
  <c r="BA22" i="2"/>
  <c r="AV22" i="2"/>
  <c r="AD22" i="2"/>
  <c r="AF22" i="2" s="1"/>
  <c r="AG22" i="2" s="1"/>
  <c r="X22" i="2"/>
  <c r="E22" i="6" s="1"/>
  <c r="S22" i="2"/>
  <c r="T22" i="2" s="1"/>
  <c r="E22" i="2"/>
  <c r="G22" i="2" s="1"/>
  <c r="O22" i="2" s="1"/>
  <c r="C22" i="2"/>
  <c r="J22" i="2" s="1"/>
  <c r="K22" i="2" s="1"/>
  <c r="B22" i="2"/>
  <c r="A22" i="2"/>
  <c r="BB21" i="2"/>
  <c r="BA21" i="2"/>
  <c r="AV21" i="2"/>
  <c r="AD21" i="2"/>
  <c r="X21" i="2"/>
  <c r="E21" i="6" s="1"/>
  <c r="S21" i="2"/>
  <c r="E21" i="2"/>
  <c r="C21" i="2"/>
  <c r="D21" i="2" s="1"/>
  <c r="B21" i="2"/>
  <c r="A21" i="2"/>
  <c r="U19" i="6"/>
  <c r="S19" i="6"/>
  <c r="B19" i="6"/>
  <c r="A19" i="6"/>
  <c r="U18" i="6"/>
  <c r="S18" i="6"/>
  <c r="B18" i="6"/>
  <c r="A18" i="6"/>
  <c r="U17" i="6"/>
  <c r="S17" i="6"/>
  <c r="B17" i="6"/>
  <c r="A17" i="6"/>
  <c r="U16" i="6"/>
  <c r="S16" i="6"/>
  <c r="B16" i="6"/>
  <c r="A16" i="6"/>
  <c r="U15" i="6"/>
  <c r="S15" i="6"/>
  <c r="B15" i="6"/>
  <c r="A15" i="6"/>
  <c r="U14" i="6"/>
  <c r="S14" i="6"/>
  <c r="B14" i="6"/>
  <c r="A14" i="6"/>
  <c r="U13" i="6"/>
  <c r="S13" i="6"/>
  <c r="B13" i="6"/>
  <c r="A13" i="6"/>
  <c r="U12" i="6"/>
  <c r="S12" i="6"/>
  <c r="B12" i="6"/>
  <c r="A12" i="6"/>
  <c r="U11" i="6"/>
  <c r="S11" i="6"/>
  <c r="B11" i="6"/>
  <c r="A11" i="6"/>
  <c r="BB19" i="2"/>
  <c r="BA19" i="2"/>
  <c r="AV19" i="2"/>
  <c r="AD19" i="2"/>
  <c r="AF19" i="2" s="1"/>
  <c r="X19" i="2"/>
  <c r="Z19" i="2" s="1"/>
  <c r="S19" i="2"/>
  <c r="U19" i="2" s="1"/>
  <c r="E19" i="2"/>
  <c r="G19" i="2" s="1"/>
  <c r="C19" i="2"/>
  <c r="D19" i="2" s="1"/>
  <c r="B19" i="2"/>
  <c r="A19" i="2"/>
  <c r="BB18" i="2"/>
  <c r="BA18" i="2"/>
  <c r="AV18" i="2"/>
  <c r="AD18" i="2"/>
  <c r="AE18" i="2" s="1"/>
  <c r="X18" i="2"/>
  <c r="Y18" i="2" s="1"/>
  <c r="F18" i="6" s="1"/>
  <c r="S18" i="2"/>
  <c r="T18" i="2" s="1"/>
  <c r="E18" i="2"/>
  <c r="F18" i="2" s="1"/>
  <c r="C18" i="2"/>
  <c r="D18" i="2" s="1"/>
  <c r="B18" i="2"/>
  <c r="A18" i="2"/>
  <c r="BB17" i="2"/>
  <c r="BA17" i="2"/>
  <c r="AV17" i="2"/>
  <c r="AD17" i="2"/>
  <c r="AF17" i="2" s="1"/>
  <c r="AG17" i="2" s="1"/>
  <c r="X17" i="2"/>
  <c r="E17" i="6" s="1"/>
  <c r="S17" i="2"/>
  <c r="U17" i="2" s="1"/>
  <c r="E17" i="2"/>
  <c r="G17" i="2" s="1"/>
  <c r="C17" i="2"/>
  <c r="J17" i="2" s="1"/>
  <c r="B17" i="2"/>
  <c r="A17" i="2"/>
  <c r="BB16" i="2"/>
  <c r="BA16" i="2"/>
  <c r="AV16" i="2"/>
  <c r="AD16" i="2"/>
  <c r="AE16" i="2" s="1"/>
  <c r="X16" i="2"/>
  <c r="Y16" i="2" s="1"/>
  <c r="F16" i="6" s="1"/>
  <c r="S16" i="2"/>
  <c r="T16" i="2" s="1"/>
  <c r="E16" i="2"/>
  <c r="F16" i="2" s="1"/>
  <c r="C16" i="2"/>
  <c r="D16" i="2" s="1"/>
  <c r="B16" i="2"/>
  <c r="A16" i="2"/>
  <c r="BB15" i="2"/>
  <c r="BA15" i="2"/>
  <c r="AV15" i="2"/>
  <c r="AD15" i="2"/>
  <c r="AF15" i="2" s="1"/>
  <c r="X15" i="2"/>
  <c r="Z15" i="2" s="1"/>
  <c r="S15" i="2"/>
  <c r="U15" i="2" s="1"/>
  <c r="E15" i="2"/>
  <c r="G15" i="2" s="1"/>
  <c r="C15" i="2"/>
  <c r="J15" i="2" s="1"/>
  <c r="L15" i="2" s="1"/>
  <c r="M15" i="2" s="1"/>
  <c r="B15" i="2"/>
  <c r="A15" i="2"/>
  <c r="BB14" i="2"/>
  <c r="BA14" i="2"/>
  <c r="AV14" i="2"/>
  <c r="AD14" i="2"/>
  <c r="AE14" i="2" s="1"/>
  <c r="X14" i="2"/>
  <c r="Z14" i="2" s="1"/>
  <c r="S14" i="2"/>
  <c r="T14" i="2" s="1"/>
  <c r="E14" i="2"/>
  <c r="G14" i="2" s="1"/>
  <c r="C14" i="2"/>
  <c r="D14" i="2" s="1"/>
  <c r="B14" i="2"/>
  <c r="A14" i="2"/>
  <c r="BB13" i="2"/>
  <c r="BA13" i="2"/>
  <c r="AV13" i="2"/>
  <c r="AD13" i="2"/>
  <c r="AE13" i="2" s="1"/>
  <c r="X13" i="2"/>
  <c r="Y13" i="2" s="1"/>
  <c r="F13" i="6" s="1"/>
  <c r="S13" i="2"/>
  <c r="T13" i="2" s="1"/>
  <c r="E13" i="2"/>
  <c r="F13" i="2" s="1"/>
  <c r="C13" i="2"/>
  <c r="J13" i="2" s="1"/>
  <c r="B13" i="2"/>
  <c r="A13" i="2"/>
  <c r="BB12" i="2"/>
  <c r="BA12" i="2"/>
  <c r="AV12" i="2"/>
  <c r="AD12" i="2"/>
  <c r="AF12" i="2" s="1"/>
  <c r="X12" i="2"/>
  <c r="Y12" i="2" s="1"/>
  <c r="F12" i="6" s="1"/>
  <c r="S12" i="2"/>
  <c r="T12" i="2" s="1"/>
  <c r="E12" i="2"/>
  <c r="F12" i="2" s="1"/>
  <c r="C12" i="2"/>
  <c r="J12" i="2" s="1"/>
  <c r="K12" i="2" s="1"/>
  <c r="B12" i="2"/>
  <c r="A12" i="2"/>
  <c r="BB11" i="2"/>
  <c r="BA11" i="2"/>
  <c r="AV11" i="2"/>
  <c r="AD11" i="2"/>
  <c r="AF11" i="2" s="1"/>
  <c r="X11" i="2"/>
  <c r="Y11" i="2" s="1"/>
  <c r="F11" i="6" s="1"/>
  <c r="S11" i="2"/>
  <c r="T11" i="2" s="1"/>
  <c r="E11" i="2"/>
  <c r="F11" i="2" s="1"/>
  <c r="C11" i="2"/>
  <c r="D11" i="2" s="1"/>
  <c r="B11" i="2"/>
  <c r="A11" i="2"/>
  <c r="G27" i="2" l="1"/>
  <c r="D26" i="2"/>
  <c r="F26" i="2"/>
  <c r="D12" i="2"/>
  <c r="D15" i="2"/>
  <c r="Z23" i="2"/>
  <c r="Y22" i="2"/>
  <c r="F22" i="6" s="1"/>
  <c r="D24" i="2"/>
  <c r="U31" i="2"/>
  <c r="J11" i="2"/>
  <c r="L11" i="2" s="1"/>
  <c r="M11" i="2" s="1"/>
  <c r="AE22" i="2"/>
  <c r="O26" i="2"/>
  <c r="C26" i="6" s="1"/>
  <c r="H26" i="2"/>
  <c r="Y26" i="2"/>
  <c r="F26" i="6" s="1"/>
  <c r="AF27" i="2"/>
  <c r="AG27" i="2" s="1"/>
  <c r="AF30" i="2"/>
  <c r="AG30" i="2" s="1"/>
  <c r="F31" i="2"/>
  <c r="E27" i="6"/>
  <c r="D25" i="2"/>
  <c r="AE26" i="2"/>
  <c r="Y27" i="2"/>
  <c r="F27" i="6" s="1"/>
  <c r="AE31" i="2"/>
  <c r="Q22" i="2"/>
  <c r="AL22" i="2" s="1"/>
  <c r="C22" i="6"/>
  <c r="F22" i="2"/>
  <c r="Z22" i="2"/>
  <c r="AA22" i="2" s="1"/>
  <c r="T23" i="2"/>
  <c r="Z26" i="2"/>
  <c r="AA26" i="2" s="1"/>
  <c r="T27" i="2"/>
  <c r="F28" i="2"/>
  <c r="AE28" i="2"/>
  <c r="G30" i="2"/>
  <c r="O30" i="2" s="1"/>
  <c r="C30" i="6" s="1"/>
  <c r="Z30" i="2"/>
  <c r="Y31" i="2"/>
  <c r="F31" i="6" s="1"/>
  <c r="J21" i="2"/>
  <c r="K21" i="2" s="1"/>
  <c r="G23" i="2"/>
  <c r="J28" i="2"/>
  <c r="Z31" i="2"/>
  <c r="E23" i="6"/>
  <c r="E28" i="6"/>
  <c r="L22" i="2"/>
  <c r="M22" i="2" s="1"/>
  <c r="Y28" i="2"/>
  <c r="F28" i="6" s="1"/>
  <c r="E30" i="6"/>
  <c r="F19" i="2"/>
  <c r="AE12" i="2"/>
  <c r="G13" i="2"/>
  <c r="O13" i="2" s="1"/>
  <c r="C13" i="6" s="1"/>
  <c r="Z13" i="2"/>
  <c r="AA13" i="2" s="1"/>
  <c r="U16" i="2"/>
  <c r="V16" i="2" s="1"/>
  <c r="AK16" i="2" s="1"/>
  <c r="L16" i="6" s="1"/>
  <c r="D17" i="2"/>
  <c r="J18" i="2"/>
  <c r="K18" i="2" s="1"/>
  <c r="AE19" i="2"/>
  <c r="U13" i="2"/>
  <c r="AF13" i="2"/>
  <c r="AF16" i="2"/>
  <c r="AG16" i="2" s="1"/>
  <c r="T19" i="2"/>
  <c r="O17" i="2"/>
  <c r="C17" i="6" s="1"/>
  <c r="H17" i="2"/>
  <c r="AJ17" i="2"/>
  <c r="K17" i="6" s="1"/>
  <c r="AA17" i="6" s="1"/>
  <c r="V17" i="2"/>
  <c r="AK17" i="2" s="1"/>
  <c r="L17" i="6" s="1"/>
  <c r="J19" i="2"/>
  <c r="E13" i="6"/>
  <c r="E16" i="6"/>
  <c r="Y19" i="2"/>
  <c r="F19" i="6" s="1"/>
  <c r="E18" i="6"/>
  <c r="F17" i="2"/>
  <c r="T17" i="2"/>
  <c r="Y17" i="2"/>
  <c r="F17" i="6" s="1"/>
  <c r="AE17" i="2"/>
  <c r="G16" i="2"/>
  <c r="H16" i="2" s="1"/>
  <c r="Z16" i="2"/>
  <c r="AA16" i="2" s="1"/>
  <c r="Z17" i="2"/>
  <c r="AA17" i="2" s="1"/>
  <c r="E12" i="6"/>
  <c r="E15" i="6"/>
  <c r="J14" i="2"/>
  <c r="K14" i="2" s="1"/>
  <c r="E11" i="6"/>
  <c r="E14" i="6"/>
  <c r="E19" i="6"/>
  <c r="K30" i="2"/>
  <c r="L30" i="2"/>
  <c r="M30" i="2" s="1"/>
  <c r="Q31" i="2"/>
  <c r="R31" i="2" s="1"/>
  <c r="P31" i="2"/>
  <c r="D31" i="6" s="1"/>
  <c r="L31" i="2"/>
  <c r="M31" i="2" s="1"/>
  <c r="K31" i="2"/>
  <c r="D30" i="2"/>
  <c r="AH30" i="2"/>
  <c r="I30" i="6" s="1"/>
  <c r="D31" i="2"/>
  <c r="H31" i="2"/>
  <c r="V31" i="2"/>
  <c r="AA31" i="2"/>
  <c r="AG31" i="2"/>
  <c r="H30" i="2"/>
  <c r="AA30" i="2"/>
  <c r="AJ31" i="2"/>
  <c r="K31" i="6" s="1"/>
  <c r="AA31" i="6" s="1"/>
  <c r="F21" i="2"/>
  <c r="G21" i="2"/>
  <c r="U21" i="2"/>
  <c r="T21" i="2"/>
  <c r="AA23" i="2"/>
  <c r="Y21" i="2"/>
  <c r="F21" i="6" s="1"/>
  <c r="Z21" i="2"/>
  <c r="AG23" i="2"/>
  <c r="AE21" i="2"/>
  <c r="AF21" i="2"/>
  <c r="AH23" i="2"/>
  <c r="I23" i="6" s="1"/>
  <c r="G24" i="2"/>
  <c r="F24" i="2"/>
  <c r="Z24" i="2"/>
  <c r="Y24" i="2"/>
  <c r="F24" i="6" s="1"/>
  <c r="AL26" i="2"/>
  <c r="J27" i="2"/>
  <c r="D27" i="2"/>
  <c r="V27" i="2"/>
  <c r="D22" i="2"/>
  <c r="H22" i="2"/>
  <c r="P22" i="2"/>
  <c r="AE23" i="2"/>
  <c r="AJ23" i="2"/>
  <c r="K23" i="6" s="1"/>
  <c r="AA23" i="6" s="1"/>
  <c r="AA28" i="2"/>
  <c r="G29" i="2"/>
  <c r="F29" i="2"/>
  <c r="Z29" i="2"/>
  <c r="Y29" i="2"/>
  <c r="F29" i="6" s="1"/>
  <c r="K24" i="2"/>
  <c r="T24" i="2"/>
  <c r="AE24" i="2"/>
  <c r="G25" i="2"/>
  <c r="F25" i="2"/>
  <c r="Z25" i="2"/>
  <c r="Y25" i="2"/>
  <c r="F25" i="6" s="1"/>
  <c r="L26" i="2"/>
  <c r="M26" i="2" s="1"/>
  <c r="K26" i="2"/>
  <c r="Q26" i="2"/>
  <c r="O27" i="2"/>
  <c r="C27" i="6" s="1"/>
  <c r="H27" i="2"/>
  <c r="AA27" i="2"/>
  <c r="AJ27" i="2"/>
  <c r="K27" i="6" s="1"/>
  <c r="AA27" i="6" s="1"/>
  <c r="O28" i="2"/>
  <c r="C28" i="6" s="1"/>
  <c r="H28" i="2"/>
  <c r="L29" i="2"/>
  <c r="M29" i="2" s="1"/>
  <c r="K29" i="2"/>
  <c r="AF29" i="2"/>
  <c r="AE29" i="2"/>
  <c r="AH28" i="2"/>
  <c r="I28" i="6" s="1"/>
  <c r="AG28" i="2"/>
  <c r="J23" i="2"/>
  <c r="L25" i="2"/>
  <c r="M25" i="2" s="1"/>
  <c r="K25" i="2"/>
  <c r="U25" i="2"/>
  <c r="U24" i="2" s="1"/>
  <c r="T25" i="2"/>
  <c r="AF25" i="2"/>
  <c r="AE25" i="2"/>
  <c r="U29" i="2"/>
  <c r="U30" i="2" s="1"/>
  <c r="T29" i="2"/>
  <c r="AH26" i="2"/>
  <c r="L17" i="2"/>
  <c r="M17" i="2" s="1"/>
  <c r="K17" i="2"/>
  <c r="P17" i="2"/>
  <c r="D17" i="6" s="1"/>
  <c r="O19" i="2"/>
  <c r="C19" i="6" s="1"/>
  <c r="H19" i="2"/>
  <c r="V19" i="2"/>
  <c r="AJ19" i="2"/>
  <c r="K19" i="6" s="1"/>
  <c r="AA19" i="6" s="1"/>
  <c r="AH19" i="2"/>
  <c r="I19" i="6" s="1"/>
  <c r="AG19" i="2"/>
  <c r="AA19" i="2"/>
  <c r="J16" i="2"/>
  <c r="AH16" i="2"/>
  <c r="I16" i="6" s="1"/>
  <c r="G18" i="2"/>
  <c r="L18" i="2"/>
  <c r="M18" i="2" s="1"/>
  <c r="U18" i="2"/>
  <c r="Z18" i="2"/>
  <c r="AF18" i="2"/>
  <c r="AJ15" i="2"/>
  <c r="K15" i="6" s="1"/>
  <c r="AA15" i="6" s="1"/>
  <c r="V15" i="2"/>
  <c r="AA14" i="2"/>
  <c r="AA15" i="2"/>
  <c r="O14" i="2"/>
  <c r="C14" i="6" s="1"/>
  <c r="H14" i="2"/>
  <c r="O15" i="2"/>
  <c r="C15" i="6" s="1"/>
  <c r="H15" i="2"/>
  <c r="AH15" i="2"/>
  <c r="I15" i="6" s="1"/>
  <c r="AG15" i="2"/>
  <c r="F14" i="2"/>
  <c r="Y14" i="2"/>
  <c r="F14" i="6" s="1"/>
  <c r="L14" i="2"/>
  <c r="M14" i="2" s="1"/>
  <c r="U14" i="2"/>
  <c r="AF14" i="2"/>
  <c r="F15" i="2"/>
  <c r="K15" i="2"/>
  <c r="T15" i="2"/>
  <c r="Y15" i="2"/>
  <c r="F15" i="6" s="1"/>
  <c r="AE15" i="2"/>
  <c r="K13" i="2"/>
  <c r="L13" i="2"/>
  <c r="M13" i="2" s="1"/>
  <c r="AG11" i="2"/>
  <c r="AG12" i="2"/>
  <c r="G11" i="2"/>
  <c r="U11" i="2"/>
  <c r="U12" i="2" s="1"/>
  <c r="Z11" i="2"/>
  <c r="G12" i="2"/>
  <c r="L12" i="2"/>
  <c r="M12" i="2" s="1"/>
  <c r="Z12" i="2"/>
  <c r="AH12" i="2" s="1"/>
  <c r="I12" i="6" s="1"/>
  <c r="AE11" i="2"/>
  <c r="D13" i="2"/>
  <c r="V13" i="2"/>
  <c r="AJ13" i="2"/>
  <c r="K13" i="6" s="1"/>
  <c r="AA13" i="6" s="1"/>
  <c r="K11" i="2"/>
  <c r="Q13" i="2" l="1"/>
  <c r="R13" i="2" s="1"/>
  <c r="AJ16" i="2"/>
  <c r="K16" i="6" s="1"/>
  <c r="AA16" i="6" s="1"/>
  <c r="P26" i="2"/>
  <c r="D26" i="6" s="1"/>
  <c r="AH27" i="2"/>
  <c r="I27" i="6" s="1"/>
  <c r="AS31" i="2"/>
  <c r="W31" i="6" s="1"/>
  <c r="AH13" i="2"/>
  <c r="P13" i="2"/>
  <c r="D13" i="6" s="1"/>
  <c r="Q30" i="2"/>
  <c r="R30" i="2" s="1"/>
  <c r="P30" i="2"/>
  <c r="D30" i="6" s="1"/>
  <c r="H13" i="2"/>
  <c r="AH17" i="2"/>
  <c r="L21" i="2"/>
  <c r="M21" i="2" s="1"/>
  <c r="AL30" i="2"/>
  <c r="AS30" i="2"/>
  <c r="W30" i="6" s="1"/>
  <c r="V30" i="2"/>
  <c r="AK30" i="2" s="1"/>
  <c r="L30" i="6" s="1"/>
  <c r="AJ30" i="2"/>
  <c r="K30" i="6" s="1"/>
  <c r="AA30" i="6" s="1"/>
  <c r="AI26" i="2"/>
  <c r="J26" i="6" s="1"/>
  <c r="AB26" i="6" s="1"/>
  <c r="I26" i="6"/>
  <c r="D22" i="6"/>
  <c r="AH31" i="2"/>
  <c r="I31" i="6" s="1"/>
  <c r="L28" i="2"/>
  <c r="M28" i="2" s="1"/>
  <c r="K28" i="2"/>
  <c r="AH22" i="2"/>
  <c r="H23" i="2"/>
  <c r="O23" i="2"/>
  <c r="AS22" i="2"/>
  <c r="W22" i="6" s="1"/>
  <c r="R22" i="2"/>
  <c r="AM22" i="2" s="1"/>
  <c r="AG13" i="2"/>
  <c r="AI13" i="2" s="1"/>
  <c r="J13" i="6" s="1"/>
  <c r="AB13" i="6" s="1"/>
  <c r="AI17" i="2"/>
  <c r="J17" i="6" s="1"/>
  <c r="AB17" i="6" s="1"/>
  <c r="I17" i="6"/>
  <c r="I13" i="6"/>
  <c r="Q17" i="2"/>
  <c r="AS17" i="2" s="1"/>
  <c r="W17" i="6" s="1"/>
  <c r="O16" i="2"/>
  <c r="C16" i="6" s="1"/>
  <c r="L19" i="2"/>
  <c r="M19" i="2" s="1"/>
  <c r="K19" i="2"/>
  <c r="AT31" i="2"/>
  <c r="X31" i="6" s="1"/>
  <c r="AK31" i="2"/>
  <c r="L31" i="6" s="1"/>
  <c r="AM30" i="2"/>
  <c r="AL31" i="2"/>
  <c r="AM31" i="2" s="1"/>
  <c r="AN31" i="2"/>
  <c r="AI30" i="2"/>
  <c r="J30" i="6" s="1"/>
  <c r="AB30" i="6" s="1"/>
  <c r="V24" i="2"/>
  <c r="AJ24" i="2"/>
  <c r="K24" i="6" s="1"/>
  <c r="AA24" i="6" s="1"/>
  <c r="P27" i="2"/>
  <c r="D27" i="6" s="1"/>
  <c r="Q27" i="2"/>
  <c r="O25" i="2"/>
  <c r="C25" i="6" s="1"/>
  <c r="H25" i="2"/>
  <c r="AH25" i="2"/>
  <c r="I25" i="6" s="1"/>
  <c r="AG25" i="2"/>
  <c r="H29" i="2"/>
  <c r="O29" i="2"/>
  <c r="C29" i="6" s="1"/>
  <c r="AI27" i="2"/>
  <c r="J27" i="6" s="1"/>
  <c r="AB27" i="6" s="1"/>
  <c r="AA24" i="2"/>
  <c r="AH24" i="2"/>
  <c r="AG21" i="2"/>
  <c r="AH21" i="2"/>
  <c r="I21" i="6" s="1"/>
  <c r="AA21" i="2"/>
  <c r="V29" i="2"/>
  <c r="AJ29" i="2"/>
  <c r="K29" i="6" s="1"/>
  <c r="AA29" i="6" s="1"/>
  <c r="U26" i="2"/>
  <c r="AJ25" i="2"/>
  <c r="K25" i="6" s="1"/>
  <c r="AA25" i="6" s="1"/>
  <c r="V25" i="2"/>
  <c r="AG29" i="2"/>
  <c r="AH29" i="2"/>
  <c r="I29" i="6" s="1"/>
  <c r="Q28" i="2"/>
  <c r="P28" i="2"/>
  <c r="D28" i="6" s="1"/>
  <c r="AA29" i="2"/>
  <c r="AK27" i="2"/>
  <c r="L27" i="6" s="1"/>
  <c r="H24" i="2"/>
  <c r="O24" i="2"/>
  <c r="C24" i="6" s="1"/>
  <c r="H21" i="2"/>
  <c r="O21" i="2"/>
  <c r="C21" i="6" s="1"/>
  <c r="AI28" i="2"/>
  <c r="J28" i="6" s="1"/>
  <c r="AB28" i="6" s="1"/>
  <c r="AI23" i="2"/>
  <c r="J23" i="6" s="1"/>
  <c r="AB23" i="6" s="1"/>
  <c r="L23" i="2"/>
  <c r="M23" i="2" s="1"/>
  <c r="K23" i="2"/>
  <c r="R26" i="2"/>
  <c r="AM26" i="2" s="1"/>
  <c r="AS26" i="2"/>
  <c r="W26" i="6" s="1"/>
  <c r="AA25" i="2"/>
  <c r="U28" i="2"/>
  <c r="K27" i="2"/>
  <c r="L27" i="2"/>
  <c r="M27" i="2" s="1"/>
  <c r="U22" i="2"/>
  <c r="V21" i="2"/>
  <c r="AJ21" i="2"/>
  <c r="K21" i="6" s="1"/>
  <c r="AA21" i="6" s="1"/>
  <c r="AH18" i="2"/>
  <c r="I18" i="6" s="1"/>
  <c r="AG18" i="2"/>
  <c r="H18" i="2"/>
  <c r="O18" i="2"/>
  <c r="C18" i="6" s="1"/>
  <c r="AA18" i="2"/>
  <c r="K16" i="2"/>
  <c r="L16" i="2"/>
  <c r="M16" i="2" s="1"/>
  <c r="Q19" i="2"/>
  <c r="P19" i="2"/>
  <c r="D19" i="6" s="1"/>
  <c r="V18" i="2"/>
  <c r="AJ18" i="2"/>
  <c r="K18" i="6" s="1"/>
  <c r="AA18" i="6" s="1"/>
  <c r="AK19" i="2"/>
  <c r="L19" i="6" s="1"/>
  <c r="P16" i="2"/>
  <c r="D16" i="6" s="1"/>
  <c r="Q16" i="2"/>
  <c r="AI16" i="2"/>
  <c r="J16" i="6" s="1"/>
  <c r="AB16" i="6" s="1"/>
  <c r="AI19" i="2"/>
  <c r="J19" i="6" s="1"/>
  <c r="AB19" i="6" s="1"/>
  <c r="AH14" i="2"/>
  <c r="I14" i="6" s="1"/>
  <c r="AG14" i="2"/>
  <c r="Q15" i="2"/>
  <c r="P15" i="2"/>
  <c r="D15" i="6" s="1"/>
  <c r="Q14" i="2"/>
  <c r="AL14" i="2" s="1"/>
  <c r="P14" i="2"/>
  <c r="D14" i="6" s="1"/>
  <c r="V14" i="2"/>
  <c r="AJ14" i="2"/>
  <c r="K14" i="6" s="1"/>
  <c r="AA14" i="6" s="1"/>
  <c r="AK15" i="2"/>
  <c r="L15" i="6" s="1"/>
  <c r="AI15" i="2"/>
  <c r="J15" i="6" s="1"/>
  <c r="AB15" i="6" s="1"/>
  <c r="V11" i="2"/>
  <c r="AJ11" i="2"/>
  <c r="K11" i="6" s="1"/>
  <c r="AA11" i="6" s="1"/>
  <c r="V12" i="2"/>
  <c r="AJ12" i="2"/>
  <c r="K12" i="6" s="1"/>
  <c r="AA12" i="6" s="1"/>
  <c r="AL13" i="2"/>
  <c r="H12" i="2"/>
  <c r="O12" i="2"/>
  <c r="C12" i="6" s="1"/>
  <c r="AS13" i="2"/>
  <c r="W13" i="6" s="1"/>
  <c r="O11" i="2"/>
  <c r="C11" i="6" s="1"/>
  <c r="H11" i="2"/>
  <c r="AN13" i="2"/>
  <c r="AK13" i="2"/>
  <c r="L13" i="6" s="1"/>
  <c r="AA12" i="2"/>
  <c r="AI12" i="2" s="1"/>
  <c r="J12" i="6" s="1"/>
  <c r="AB12" i="6" s="1"/>
  <c r="AA11" i="2"/>
  <c r="AH11" i="2"/>
  <c r="AW13" i="2"/>
  <c r="AP13" i="2"/>
  <c r="AP31" i="2"/>
  <c r="AW31" i="2"/>
  <c r="AT30" i="2" l="1"/>
  <c r="X30" i="6" s="1"/>
  <c r="AI24" i="2"/>
  <c r="J24" i="6" s="1"/>
  <c r="AB24" i="6" s="1"/>
  <c r="I24" i="6"/>
  <c r="C23" i="6"/>
  <c r="P23" i="2"/>
  <c r="D23" i="6" s="1"/>
  <c r="Q23" i="2"/>
  <c r="AI22" i="2"/>
  <c r="J22" i="6" s="1"/>
  <c r="AB22" i="6" s="1"/>
  <c r="I22" i="6"/>
  <c r="Y31" i="6"/>
  <c r="G31" i="6"/>
  <c r="AI31" i="2"/>
  <c r="J31" i="6" s="1"/>
  <c r="AB31" i="6" s="1"/>
  <c r="AT22" i="2"/>
  <c r="X22" i="6" s="1"/>
  <c r="AL17" i="2"/>
  <c r="AM13" i="2"/>
  <c r="AN17" i="2"/>
  <c r="Y17" i="6" s="1"/>
  <c r="R17" i="2"/>
  <c r="AI11" i="2"/>
  <c r="J11" i="6" s="1"/>
  <c r="AB11" i="6" s="1"/>
  <c r="I11" i="6"/>
  <c r="G13" i="6"/>
  <c r="Y13" i="6"/>
  <c r="O31" i="6"/>
  <c r="O13" i="6"/>
  <c r="M13" i="6"/>
  <c r="M31" i="6"/>
  <c r="BE31" i="2"/>
  <c r="BC31" i="2"/>
  <c r="Q31" i="6" s="1"/>
  <c r="AO31" i="2"/>
  <c r="P21" i="2"/>
  <c r="D21" i="6" s="1"/>
  <c r="Q21" i="2"/>
  <c r="AT26" i="2"/>
  <c r="X26" i="6" s="1"/>
  <c r="AI21" i="2"/>
  <c r="J21" i="6" s="1"/>
  <c r="AB21" i="6" s="1"/>
  <c r="Q29" i="2"/>
  <c r="P29" i="2"/>
  <c r="D29" i="6" s="1"/>
  <c r="AJ22" i="2"/>
  <c r="K22" i="6" s="1"/>
  <c r="AA22" i="6" s="1"/>
  <c r="V22" i="2"/>
  <c r="V28" i="2"/>
  <c r="AJ28" i="2"/>
  <c r="K28" i="6" s="1"/>
  <c r="AA28" i="6" s="1"/>
  <c r="Q24" i="2"/>
  <c r="P24" i="2"/>
  <c r="D24" i="6" s="1"/>
  <c r="R28" i="2"/>
  <c r="AS28" i="2"/>
  <c r="W28" i="6" s="1"/>
  <c r="AL28" i="2"/>
  <c r="AJ26" i="2"/>
  <c r="K26" i="6" s="1"/>
  <c r="AA26" i="6" s="1"/>
  <c r="V26" i="2"/>
  <c r="AI25" i="2"/>
  <c r="J25" i="6" s="1"/>
  <c r="AB25" i="6" s="1"/>
  <c r="Q25" i="2"/>
  <c r="P25" i="2"/>
  <c r="D25" i="6" s="1"/>
  <c r="AK21" i="2"/>
  <c r="L21" i="6" s="1"/>
  <c r="AK29" i="2"/>
  <c r="L29" i="6" s="1"/>
  <c r="AI29" i="2"/>
  <c r="J29" i="6" s="1"/>
  <c r="AB29" i="6" s="1"/>
  <c r="AK25" i="2"/>
  <c r="L25" i="6" s="1"/>
  <c r="R27" i="2"/>
  <c r="AN27" i="2"/>
  <c r="AL27" i="2"/>
  <c r="AS27" i="2"/>
  <c r="W27" i="6" s="1"/>
  <c r="AK24" i="2"/>
  <c r="L24" i="6" s="1"/>
  <c r="R16" i="2"/>
  <c r="AS16" i="2"/>
  <c r="W16" i="6" s="1"/>
  <c r="AL16" i="2"/>
  <c r="P18" i="2"/>
  <c r="D18" i="6" s="1"/>
  <c r="Q18" i="2"/>
  <c r="AK18" i="2"/>
  <c r="L18" i="6" s="1"/>
  <c r="R19" i="2"/>
  <c r="AS19" i="2"/>
  <c r="W19" i="6" s="1"/>
  <c r="AN19" i="2"/>
  <c r="AL19" i="2"/>
  <c r="AM17" i="2"/>
  <c r="AT17" i="2"/>
  <c r="X17" i="6" s="1"/>
  <c r="AI18" i="2"/>
  <c r="J18" i="6" s="1"/>
  <c r="AB18" i="6" s="1"/>
  <c r="R15" i="2"/>
  <c r="AS15" i="2"/>
  <c r="W15" i="6" s="1"/>
  <c r="AN15" i="2"/>
  <c r="AN14" i="2" s="1"/>
  <c r="AL15" i="2"/>
  <c r="R14" i="2"/>
  <c r="AM14" i="2" s="1"/>
  <c r="AS14" i="2"/>
  <c r="W14" i="6" s="1"/>
  <c r="AK14" i="2"/>
  <c r="L14" i="6" s="1"/>
  <c r="AI14" i="2"/>
  <c r="J14" i="6" s="1"/>
  <c r="AB14" i="6" s="1"/>
  <c r="BE13" i="2"/>
  <c r="BC13" i="2"/>
  <c r="Q13" i="6" s="1"/>
  <c r="AO13" i="2"/>
  <c r="Q11" i="2"/>
  <c r="P11" i="2"/>
  <c r="D11" i="6" s="1"/>
  <c r="AT13" i="2"/>
  <c r="X13" i="6" s="1"/>
  <c r="AK11" i="2"/>
  <c r="L11" i="6" s="1"/>
  <c r="P12" i="2"/>
  <c r="D12" i="6" s="1"/>
  <c r="Q12" i="2"/>
  <c r="AK12" i="2"/>
  <c r="L12" i="6" s="1"/>
  <c r="AW14" i="2"/>
  <c r="AQ31" i="2"/>
  <c r="AP15" i="2"/>
  <c r="AX17" i="2"/>
  <c r="AX31" i="2"/>
  <c r="AW15" i="2"/>
  <c r="AW19" i="2"/>
  <c r="AX13" i="2"/>
  <c r="AP27" i="2"/>
  <c r="AW17" i="2"/>
  <c r="AQ13" i="2"/>
  <c r="AW27" i="2"/>
  <c r="AP14" i="2"/>
  <c r="AP17" i="2"/>
  <c r="AP19" i="2"/>
  <c r="AQ17" i="2"/>
  <c r="G17" i="6" l="1"/>
  <c r="AO17" i="2"/>
  <c r="Y27" i="6"/>
  <c r="G27" i="6"/>
  <c r="R23" i="2"/>
  <c r="AS23" i="2"/>
  <c r="AL23" i="2"/>
  <c r="AM23" i="2" s="1"/>
  <c r="AN23" i="2"/>
  <c r="AM27" i="2"/>
  <c r="Z31" i="6"/>
  <c r="H31" i="6"/>
  <c r="BC17" i="2"/>
  <c r="Q17" i="6" s="1"/>
  <c r="O17" i="6"/>
  <c r="BE17" i="2"/>
  <c r="M17" i="6"/>
  <c r="Y14" i="6"/>
  <c r="G14" i="6"/>
  <c r="Z17" i="6"/>
  <c r="H17" i="6"/>
  <c r="H13" i="6"/>
  <c r="Z13" i="6"/>
  <c r="AM15" i="2"/>
  <c r="Y15" i="6"/>
  <c r="G15" i="6"/>
  <c r="Y19" i="6"/>
  <c r="G19" i="6"/>
  <c r="P17" i="6"/>
  <c r="M14" i="6"/>
  <c r="O19" i="6"/>
  <c r="P13" i="6"/>
  <c r="M15" i="6"/>
  <c r="N17" i="6"/>
  <c r="N31" i="6"/>
  <c r="O14" i="6"/>
  <c r="M27" i="6"/>
  <c r="N13" i="6"/>
  <c r="O15" i="6"/>
  <c r="M19" i="6"/>
  <c r="O27" i="6"/>
  <c r="P31" i="6"/>
  <c r="AR31" i="2"/>
  <c r="AZ31" i="2"/>
  <c r="AY31" i="2"/>
  <c r="BE27" i="2"/>
  <c r="BC27" i="2"/>
  <c r="Q27" i="6" s="1"/>
  <c r="AO27" i="2"/>
  <c r="R25" i="2"/>
  <c r="AL25" i="2"/>
  <c r="AS25" i="2"/>
  <c r="W25" i="6" s="1"/>
  <c r="AN25" i="2"/>
  <c r="R21" i="2"/>
  <c r="AN21" i="2"/>
  <c r="AS21" i="2"/>
  <c r="W21" i="6" s="1"/>
  <c r="AL21" i="2"/>
  <c r="AT27" i="2"/>
  <c r="X27" i="6" s="1"/>
  <c r="AK26" i="2"/>
  <c r="L26" i="6" s="1"/>
  <c r="AT28" i="2"/>
  <c r="X28" i="6" s="1"/>
  <c r="AK28" i="2"/>
  <c r="L28" i="6" s="1"/>
  <c r="AM28" i="2"/>
  <c r="R24" i="2"/>
  <c r="AL24" i="2"/>
  <c r="AS24" i="2"/>
  <c r="W24" i="6" s="1"/>
  <c r="AK22" i="2"/>
  <c r="L22" i="6" s="1"/>
  <c r="R29" i="2"/>
  <c r="AN29" i="2"/>
  <c r="AS29" i="2"/>
  <c r="W29" i="6" s="1"/>
  <c r="AL29" i="2"/>
  <c r="AZ17" i="2"/>
  <c r="BE19" i="2"/>
  <c r="BC19" i="2"/>
  <c r="Q19" i="6" s="1"/>
  <c r="AR17" i="2"/>
  <c r="R18" i="2"/>
  <c r="AS18" i="2"/>
  <c r="W18" i="6" s="1"/>
  <c r="AL18" i="2"/>
  <c r="AT19" i="2"/>
  <c r="X19" i="6" s="1"/>
  <c r="AN16" i="2"/>
  <c r="AM16" i="2"/>
  <c r="AY17" i="2"/>
  <c r="AO19" i="2"/>
  <c r="AM19" i="2"/>
  <c r="AT16" i="2"/>
  <c r="X16" i="6" s="1"/>
  <c r="BE14" i="2"/>
  <c r="BC14" i="2"/>
  <c r="Q14" i="6" s="1"/>
  <c r="BE15" i="2"/>
  <c r="BC15" i="2"/>
  <c r="Q15" i="6" s="1"/>
  <c r="AT14" i="2"/>
  <c r="X14" i="6" s="1"/>
  <c r="AO14" i="2"/>
  <c r="AO15" i="2"/>
  <c r="AT15" i="2"/>
  <c r="X15" i="6" s="1"/>
  <c r="AZ13" i="2"/>
  <c r="AR13" i="2"/>
  <c r="R11" i="2"/>
  <c r="AN11" i="2"/>
  <c r="AL11" i="2"/>
  <c r="AS11" i="2"/>
  <c r="W11" i="6" s="1"/>
  <c r="R12" i="2"/>
  <c r="AL12" i="2"/>
  <c r="AS12" i="2"/>
  <c r="W12" i="6" s="1"/>
  <c r="AY13" i="2"/>
  <c r="AW11" i="2"/>
  <c r="AX19" i="2"/>
  <c r="AP16" i="2"/>
  <c r="AX14" i="2"/>
  <c r="AQ15" i="2"/>
  <c r="AP11" i="2"/>
  <c r="AW29" i="2"/>
  <c r="AQ19" i="2"/>
  <c r="AP23" i="2"/>
  <c r="AX27" i="2"/>
  <c r="AP21" i="2"/>
  <c r="AQ14" i="2"/>
  <c r="AQ27" i="2"/>
  <c r="AW23" i="2"/>
  <c r="AP29" i="2"/>
  <c r="AW25" i="2"/>
  <c r="AW16" i="2"/>
  <c r="AX15" i="2"/>
  <c r="AP25" i="2"/>
  <c r="AW21" i="2"/>
  <c r="O23" i="6" l="1"/>
  <c r="BC23" i="2"/>
  <c r="Q23" i="6" s="1"/>
  <c r="BE23" i="2"/>
  <c r="M23" i="6"/>
  <c r="G21" i="6"/>
  <c r="Y21" i="6"/>
  <c r="W23" i="6"/>
  <c r="AT23" i="2"/>
  <c r="AN28" i="2"/>
  <c r="AO28" i="2" s="1"/>
  <c r="G29" i="6"/>
  <c r="Y29" i="6"/>
  <c r="AN30" i="2"/>
  <c r="Y23" i="6"/>
  <c r="G23" i="6"/>
  <c r="AO23" i="2"/>
  <c r="Y25" i="6"/>
  <c r="G25" i="6"/>
  <c r="H27" i="6"/>
  <c r="Z27" i="6"/>
  <c r="Y11" i="6"/>
  <c r="G11" i="6"/>
  <c r="Z15" i="6"/>
  <c r="H15" i="6"/>
  <c r="H19" i="6"/>
  <c r="Z19" i="6"/>
  <c r="H14" i="6"/>
  <c r="Z14" i="6"/>
  <c r="AY15" i="2"/>
  <c r="BG15" i="2" s="1"/>
  <c r="G16" i="6"/>
  <c r="Y16" i="6"/>
  <c r="P27" i="6"/>
  <c r="O25" i="6"/>
  <c r="O11" i="6"/>
  <c r="N14" i="6"/>
  <c r="P19" i="6"/>
  <c r="M25" i="6"/>
  <c r="N27" i="6"/>
  <c r="M11" i="6"/>
  <c r="N19" i="6"/>
  <c r="M16" i="6"/>
  <c r="M29" i="6"/>
  <c r="P15" i="6"/>
  <c r="O29" i="6"/>
  <c r="N15" i="6"/>
  <c r="O16" i="6"/>
  <c r="O21" i="6"/>
  <c r="M21" i="6"/>
  <c r="BG31" i="2"/>
  <c r="BF31" i="2"/>
  <c r="BD31" i="2"/>
  <c r="R31" i="6" s="1"/>
  <c r="AZ27" i="2"/>
  <c r="BE29" i="2"/>
  <c r="BC29" i="2"/>
  <c r="Q29" i="6" s="1"/>
  <c r="BE21" i="2"/>
  <c r="BC21" i="2"/>
  <c r="Q21" i="6" s="1"/>
  <c r="BE25" i="2"/>
  <c r="BC25" i="2"/>
  <c r="Q25" i="6" s="1"/>
  <c r="AR27" i="2"/>
  <c r="AY27" i="2"/>
  <c r="AM21" i="2"/>
  <c r="AO25" i="2"/>
  <c r="AN26" i="2"/>
  <c r="AT29" i="2"/>
  <c r="AT24" i="2"/>
  <c r="X24" i="6" s="1"/>
  <c r="AT21" i="2"/>
  <c r="X21" i="6" s="1"/>
  <c r="AT25" i="2"/>
  <c r="X25" i="6" s="1"/>
  <c r="AM29" i="2"/>
  <c r="AO29" i="2"/>
  <c r="AN24" i="2"/>
  <c r="AM24" i="2"/>
  <c r="AO21" i="2"/>
  <c r="AN22" i="2"/>
  <c r="AM25" i="2"/>
  <c r="BE16" i="2"/>
  <c r="BC16" i="2"/>
  <c r="Q16" i="6" s="1"/>
  <c r="AR19" i="2"/>
  <c r="AZ19" i="2"/>
  <c r="BG17" i="2"/>
  <c r="BF17" i="2"/>
  <c r="BD17" i="2"/>
  <c r="R17" i="6" s="1"/>
  <c r="AM18" i="2"/>
  <c r="AN18" i="2"/>
  <c r="AT18" i="2"/>
  <c r="X18" i="6" s="1"/>
  <c r="AO16" i="2"/>
  <c r="AY19" i="2"/>
  <c r="AZ15" i="2"/>
  <c r="AR15" i="2"/>
  <c r="AZ14" i="2"/>
  <c r="AR14" i="2"/>
  <c r="AY14" i="2"/>
  <c r="P14" i="6" s="1"/>
  <c r="BE11" i="2"/>
  <c r="BC11" i="2"/>
  <c r="Q11" i="6" s="1"/>
  <c r="AO11" i="2"/>
  <c r="BG13" i="2"/>
  <c r="BF13" i="2"/>
  <c r="BD13" i="2"/>
  <c r="R13" i="6" s="1"/>
  <c r="AT11" i="2"/>
  <c r="X11" i="6" s="1"/>
  <c r="AM12" i="2"/>
  <c r="AN12" i="2"/>
  <c r="AT12" i="2"/>
  <c r="X12" i="6" s="1"/>
  <c r="AM11" i="2"/>
  <c r="AQ21" i="2"/>
  <c r="AX16" i="2"/>
  <c r="AW12" i="2"/>
  <c r="AP26" i="2"/>
  <c r="AX25" i="2"/>
  <c r="AQ28" i="2"/>
  <c r="AP30" i="2"/>
  <c r="AW18" i="2"/>
  <c r="AX11" i="2"/>
  <c r="AQ11" i="2"/>
  <c r="AX21" i="2"/>
  <c r="AQ25" i="2"/>
  <c r="AX23" i="2"/>
  <c r="AW30" i="2"/>
  <c r="AX29" i="2"/>
  <c r="AQ23" i="2"/>
  <c r="AW28" i="2"/>
  <c r="AX28" i="2"/>
  <c r="AQ29" i="2"/>
  <c r="AP28" i="2"/>
  <c r="AP12" i="2"/>
  <c r="AW22" i="2"/>
  <c r="AP24" i="2"/>
  <c r="AP22" i="2"/>
  <c r="AW26" i="2"/>
  <c r="AW24" i="2"/>
  <c r="AQ16" i="2"/>
  <c r="AP18" i="2"/>
  <c r="AY23" i="2" l="1"/>
  <c r="BF23" i="2" s="1"/>
  <c r="M28" i="6"/>
  <c r="O28" i="6"/>
  <c r="BC28" i="2"/>
  <c r="Q28" i="6" s="1"/>
  <c r="BE28" i="2"/>
  <c r="M30" i="6"/>
  <c r="O30" i="6"/>
  <c r="BC30" i="2"/>
  <c r="Q30" i="6" s="1"/>
  <c r="BE30" i="2"/>
  <c r="P23" i="6"/>
  <c r="AZ23" i="2"/>
  <c r="AR23" i="2"/>
  <c r="N23" i="6"/>
  <c r="H29" i="6"/>
  <c r="Z29" i="6"/>
  <c r="AY25" i="2"/>
  <c r="BF25" i="2" s="1"/>
  <c r="G28" i="6"/>
  <c r="Y28" i="6"/>
  <c r="Z21" i="6"/>
  <c r="H21" i="6"/>
  <c r="AY29" i="2"/>
  <c r="BD29" i="2" s="1"/>
  <c r="R29" i="6" s="1"/>
  <c r="X29" i="6"/>
  <c r="G26" i="6"/>
  <c r="Y26" i="6"/>
  <c r="Z28" i="6"/>
  <c r="H28" i="6"/>
  <c r="Y30" i="6"/>
  <c r="G30" i="6"/>
  <c r="AO30" i="2"/>
  <c r="X23" i="6"/>
  <c r="Y22" i="6"/>
  <c r="G22" i="6"/>
  <c r="Y24" i="6"/>
  <c r="G24" i="6"/>
  <c r="Z25" i="6"/>
  <c r="H25" i="6"/>
  <c r="Z23" i="6"/>
  <c r="H23" i="6"/>
  <c r="H11" i="6"/>
  <c r="Z11" i="6"/>
  <c r="BF15" i="2"/>
  <c r="BD15" i="2"/>
  <c r="R15" i="6" s="1"/>
  <c r="H16" i="6"/>
  <c r="Z16" i="6"/>
  <c r="Y12" i="6"/>
  <c r="G12" i="6"/>
  <c r="G18" i="6"/>
  <c r="Y18" i="6"/>
  <c r="AY16" i="2"/>
  <c r="BF16" i="2" s="1"/>
  <c r="N25" i="6"/>
  <c r="N21" i="6"/>
  <c r="M22" i="6"/>
  <c r="N28" i="6"/>
  <c r="N11" i="6"/>
  <c r="P21" i="6"/>
  <c r="M26" i="6"/>
  <c r="O22" i="6"/>
  <c r="P11" i="6"/>
  <c r="M18" i="6"/>
  <c r="O26" i="6"/>
  <c r="M12" i="6"/>
  <c r="O18" i="6"/>
  <c r="M24" i="6"/>
  <c r="P29" i="6"/>
  <c r="N29" i="6"/>
  <c r="O12" i="6"/>
  <c r="N16" i="6"/>
  <c r="O24" i="6"/>
  <c r="P25" i="6"/>
  <c r="AR21" i="2"/>
  <c r="BE24" i="2"/>
  <c r="AY24" i="2"/>
  <c r="P24" i="6" s="1"/>
  <c r="BC24" i="2"/>
  <c r="Q24" i="6" s="1"/>
  <c r="AZ21" i="2"/>
  <c r="AR25" i="2"/>
  <c r="AZ29" i="2"/>
  <c r="AZ25" i="2"/>
  <c r="BE26" i="2"/>
  <c r="BC26" i="2"/>
  <c r="Q26" i="6" s="1"/>
  <c r="AR28" i="2"/>
  <c r="AZ28" i="2"/>
  <c r="BE22" i="2"/>
  <c r="BC22" i="2"/>
  <c r="Q22" i="6" s="1"/>
  <c r="AR29" i="2"/>
  <c r="AY21" i="2"/>
  <c r="AO24" i="2"/>
  <c r="BG27" i="2"/>
  <c r="BF27" i="2"/>
  <c r="BD27" i="2"/>
  <c r="R27" i="6" s="1"/>
  <c r="AO26" i="2"/>
  <c r="AY26" i="2" s="1"/>
  <c r="AO22" i="2"/>
  <c r="AY22" i="2" s="1"/>
  <c r="P22" i="6" s="1"/>
  <c r="AY28" i="2"/>
  <c r="P28" i="6" s="1"/>
  <c r="BE18" i="2"/>
  <c r="BC18" i="2"/>
  <c r="Q18" i="6" s="1"/>
  <c r="AR16" i="2"/>
  <c r="AZ16" i="2"/>
  <c r="BG19" i="2"/>
  <c r="BF19" i="2"/>
  <c r="BD19" i="2"/>
  <c r="R19" i="6" s="1"/>
  <c r="AO18" i="2"/>
  <c r="BG14" i="2"/>
  <c r="BF14" i="2"/>
  <c r="BD14" i="2"/>
  <c r="R14" i="6" s="1"/>
  <c r="AZ11" i="2"/>
  <c r="BE12" i="2"/>
  <c r="BC12" i="2"/>
  <c r="Q12" i="6" s="1"/>
  <c r="AR11" i="2"/>
  <c r="AY11" i="2"/>
  <c r="AO12" i="2"/>
  <c r="AQ24" i="2"/>
  <c r="AQ22" i="2"/>
  <c r="AQ30" i="2"/>
  <c r="AX30" i="2"/>
  <c r="AX24" i="2"/>
  <c r="AX12" i="2"/>
  <c r="AQ26" i="2"/>
  <c r="AQ12" i="2"/>
  <c r="AX18" i="2"/>
  <c r="AQ18" i="2"/>
  <c r="AX26" i="2"/>
  <c r="AX22" i="2"/>
  <c r="BD23" i="2" l="1"/>
  <c r="R23" i="6" s="1"/>
  <c r="BG23" i="2"/>
  <c r="P16" i="6"/>
  <c r="BD16" i="2"/>
  <c r="R16" i="6" s="1"/>
  <c r="BG16" i="2"/>
  <c r="BG25" i="2"/>
  <c r="AZ30" i="2"/>
  <c r="AR30" i="2"/>
  <c r="N30" i="6"/>
  <c r="H30" i="6"/>
  <c r="Z30" i="6"/>
  <c r="H22" i="6"/>
  <c r="Z22" i="6"/>
  <c r="BF29" i="2"/>
  <c r="BD25" i="2"/>
  <c r="R25" i="6" s="1"/>
  <c r="BG29" i="2"/>
  <c r="H26" i="6"/>
  <c r="Z26" i="6"/>
  <c r="H24" i="6"/>
  <c r="Z24" i="6"/>
  <c r="AY30" i="2"/>
  <c r="Z18" i="6"/>
  <c r="H18" i="6"/>
  <c r="Z12" i="6"/>
  <c r="H12" i="6"/>
  <c r="N26" i="6"/>
  <c r="N18" i="6"/>
  <c r="N24" i="6"/>
  <c r="N22" i="6"/>
  <c r="N12" i="6"/>
  <c r="BD26" i="2"/>
  <c r="R26" i="6" s="1"/>
  <c r="P26" i="6"/>
  <c r="AZ26" i="2"/>
  <c r="AR26" i="2"/>
  <c r="AR24" i="2"/>
  <c r="AZ24" i="2"/>
  <c r="AZ22" i="2"/>
  <c r="AR22" i="2"/>
  <c r="BG22" i="2"/>
  <c r="BF22" i="2"/>
  <c r="BF24" i="2"/>
  <c r="BG24" i="2"/>
  <c r="BD24" i="2"/>
  <c r="R24" i="6" s="1"/>
  <c r="BD22" i="2"/>
  <c r="R22" i="6" s="1"/>
  <c r="BG26" i="2"/>
  <c r="BF26" i="2"/>
  <c r="BG28" i="2"/>
  <c r="BF28" i="2"/>
  <c r="BD28" i="2"/>
  <c r="R28" i="6" s="1"/>
  <c r="BF21" i="2"/>
  <c r="BG21" i="2"/>
  <c r="BD21" i="2"/>
  <c r="R21" i="6" s="1"/>
  <c r="AR18" i="2"/>
  <c r="AZ18" i="2"/>
  <c r="AY18" i="2"/>
  <c r="P18" i="6" s="1"/>
  <c r="AR12" i="2"/>
  <c r="AZ12" i="2"/>
  <c r="BG11" i="2"/>
  <c r="BF11" i="2"/>
  <c r="BD11" i="2"/>
  <c r="R11" i="6" s="1"/>
  <c r="AY12" i="2"/>
  <c r="P12" i="6" s="1"/>
  <c r="P30" i="6" l="1"/>
  <c r="BD30" i="2"/>
  <c r="R30" i="6" s="1"/>
  <c r="BG30" i="2"/>
  <c r="BF30" i="2"/>
  <c r="BG18" i="2"/>
  <c r="BF18" i="2"/>
  <c r="BD18" i="2"/>
  <c r="R18" i="6" s="1"/>
  <c r="BG12" i="2"/>
  <c r="BF12" i="2"/>
  <c r="BD12" i="2"/>
  <c r="R12" i="6" s="1"/>
  <c r="AV7" i="2" l="1"/>
  <c r="AV8" i="2"/>
  <c r="AV9" i="2"/>
  <c r="S9" i="6" l="1"/>
  <c r="B9" i="6"/>
  <c r="A9" i="6"/>
  <c r="S8" i="6"/>
  <c r="B8" i="6"/>
  <c r="A8" i="6"/>
  <c r="S7" i="6"/>
  <c r="U9" i="6"/>
  <c r="U7" i="6"/>
  <c r="B7" i="6"/>
  <c r="A7" i="6"/>
  <c r="D23" i="9" l="1"/>
  <c r="D24" i="9"/>
  <c r="D25" i="9"/>
  <c r="AD8" i="2"/>
  <c r="AF8" i="2" s="1"/>
  <c r="AD7" i="2" l="1"/>
  <c r="U8" i="6" l="1"/>
  <c r="X8" i="2" l="1"/>
  <c r="E8" i="2"/>
  <c r="F8" i="2" s="1"/>
  <c r="S8" i="2"/>
  <c r="S7" i="2"/>
  <c r="U7" i="2" s="1"/>
  <c r="S9" i="2"/>
  <c r="T9" i="2" s="1"/>
  <c r="AE7" i="2"/>
  <c r="E7" i="2"/>
  <c r="F7" i="2" s="1"/>
  <c r="AD9" i="2"/>
  <c r="AF9" i="2" s="1"/>
  <c r="E9" i="2"/>
  <c r="G9" i="2" s="1"/>
  <c r="O9" i="2" s="1"/>
  <c r="C9" i="6" s="1"/>
  <c r="BB8" i="2"/>
  <c r="BA8" i="2"/>
  <c r="C8" i="2"/>
  <c r="J8" i="2" s="1"/>
  <c r="B8" i="2"/>
  <c r="A8" i="2"/>
  <c r="X7" i="2"/>
  <c r="BB7" i="2"/>
  <c r="BA7" i="2"/>
  <c r="C7" i="2"/>
  <c r="D7" i="2" s="1"/>
  <c r="B7" i="2"/>
  <c r="A7" i="2"/>
  <c r="X9" i="2"/>
  <c r="BB9" i="2"/>
  <c r="BA9" i="2"/>
  <c r="C9" i="2"/>
  <c r="J9" i="2" s="1"/>
  <c r="L9" i="2" s="1"/>
  <c r="M9" i="2" s="1"/>
  <c r="B9" i="2"/>
  <c r="A9" i="2"/>
  <c r="E9" i="6" l="1"/>
  <c r="AE9" i="2"/>
  <c r="F9" i="2"/>
  <c r="Y8" i="2"/>
  <c r="F8" i="6" s="1"/>
  <c r="E8" i="6"/>
  <c r="Z7" i="2"/>
  <c r="E7" i="6"/>
  <c r="Q9" i="2"/>
  <c r="R9" i="2" s="1"/>
  <c r="H9" i="2"/>
  <c r="L8" i="2"/>
  <c r="M8" i="2" s="1"/>
  <c r="P9" i="2"/>
  <c r="D9" i="6" s="1"/>
  <c r="T7" i="2"/>
  <c r="Y7" i="2"/>
  <c r="F7" i="6" s="1"/>
  <c r="Z8" i="2"/>
  <c r="U9" i="2"/>
  <c r="U8" i="2" s="1"/>
  <c r="AG9" i="2"/>
  <c r="J7" i="2"/>
  <c r="K7" i="2" s="1"/>
  <c r="AE8" i="2"/>
  <c r="G7" i="2"/>
  <c r="G8" i="2"/>
  <c r="D9" i="2"/>
  <c r="D8" i="2"/>
  <c r="Z9" i="2"/>
  <c r="K9" i="2"/>
  <c r="Y9" i="2"/>
  <c r="F9" i="6" s="1"/>
  <c r="AG8" i="2"/>
  <c r="V7" i="2"/>
  <c r="AJ7" i="2"/>
  <c r="K7" i="6" s="1"/>
  <c r="AA7" i="6" s="1"/>
  <c r="AF7" i="2"/>
  <c r="K8" i="2"/>
  <c r="T8" i="2"/>
  <c r="AA7" i="2" l="1"/>
  <c r="AS9" i="2"/>
  <c r="AL9" i="2"/>
  <c r="AM9" i="2" s="1"/>
  <c r="AN9" i="2"/>
  <c r="L7" i="2"/>
  <c r="M7" i="2" s="1"/>
  <c r="AA8" i="2"/>
  <c r="AH8" i="2"/>
  <c r="I8" i="6" s="1"/>
  <c r="V9" i="2"/>
  <c r="AJ9" i="2"/>
  <c r="K9" i="6" s="1"/>
  <c r="AA9" i="6" s="1"/>
  <c r="O7" i="2"/>
  <c r="C7" i="6" s="1"/>
  <c r="H7" i="2"/>
  <c r="O8" i="2"/>
  <c r="C8" i="6" s="1"/>
  <c r="H8" i="2"/>
  <c r="AK7" i="2"/>
  <c r="L7" i="6" s="1"/>
  <c r="AH9" i="2"/>
  <c r="I9" i="6" s="1"/>
  <c r="AA9" i="2"/>
  <c r="V8" i="2"/>
  <c r="AJ8" i="2"/>
  <c r="AH7" i="2"/>
  <c r="I7" i="6" s="1"/>
  <c r="AG7" i="2"/>
  <c r="AP9" i="2"/>
  <c r="AT9" i="2" l="1"/>
  <c r="W9" i="6"/>
  <c r="AK9" i="2"/>
  <c r="L9" i="6" s="1"/>
  <c r="G9" i="6"/>
  <c r="AI8" i="2"/>
  <c r="J8" i="6" s="1"/>
  <c r="AB8" i="6" s="1"/>
  <c r="M9" i="6"/>
  <c r="AO9" i="2"/>
  <c r="Y9" i="6"/>
  <c r="K8" i="6"/>
  <c r="AA8" i="6" s="1"/>
  <c r="AI9" i="2"/>
  <c r="J9" i="6" s="1"/>
  <c r="AB9" i="6" s="1"/>
  <c r="P7" i="2"/>
  <c r="D7" i="6" s="1"/>
  <c r="Q7" i="2"/>
  <c r="AS7" i="2" s="1"/>
  <c r="P8" i="2"/>
  <c r="D8" i="6" s="1"/>
  <c r="Q8" i="2"/>
  <c r="AS8" i="2" s="1"/>
  <c r="AT8" i="2" s="1"/>
  <c r="AI7" i="2"/>
  <c r="J7" i="6" s="1"/>
  <c r="AB7" i="6" s="1"/>
  <c r="X9" i="6"/>
  <c r="AK8" i="2"/>
  <c r="L8" i="6" s="1"/>
  <c r="AW9" i="2"/>
  <c r="AQ9" i="2"/>
  <c r="H9" i="6" l="1"/>
  <c r="AT7" i="2"/>
  <c r="Z9" i="6"/>
  <c r="BE9" i="2"/>
  <c r="BC9" i="2"/>
  <c r="Q9" i="6" s="1"/>
  <c r="O9" i="6"/>
  <c r="AX9" i="2"/>
  <c r="N9" i="6" l="1"/>
  <c r="AR9" i="2"/>
  <c r="P9" i="6"/>
  <c r="R8" i="2"/>
  <c r="AL8" i="2"/>
  <c r="R7" i="2"/>
  <c r="AN7" i="2"/>
  <c r="AL7" i="2"/>
  <c r="AZ9" i="2"/>
  <c r="AY9" i="2"/>
  <c r="BD9" i="2" s="1"/>
  <c r="R9" i="6" s="1"/>
  <c r="AW7" i="2"/>
  <c r="AP7" i="2"/>
  <c r="W7" i="6" l="1"/>
  <c r="W8" i="6"/>
  <c r="Y7" i="6"/>
  <c r="G7" i="6"/>
  <c r="M7" i="6"/>
  <c r="O7" i="6"/>
  <c r="BC7" i="2"/>
  <c r="Q7" i="6" s="1"/>
  <c r="AM7" i="2"/>
  <c r="BE7" i="2"/>
  <c r="AM8" i="2"/>
  <c r="AN8" i="2"/>
  <c r="AO7" i="2"/>
  <c r="X7" i="6"/>
  <c r="BG9" i="2"/>
  <c r="BF9" i="2"/>
  <c r="AP8" i="2"/>
  <c r="AQ7" i="2"/>
  <c r="AX7" i="2"/>
  <c r="G8" i="6" l="1"/>
  <c r="H7" i="6"/>
  <c r="Z7" i="6"/>
  <c r="P7" i="6"/>
  <c r="N7" i="6"/>
  <c r="M8" i="6"/>
  <c r="Y8" i="6"/>
  <c r="AY7" i="2"/>
  <c r="BD7" i="2" s="1"/>
  <c r="R7" i="6" s="1"/>
  <c r="X8" i="6"/>
  <c r="AR7" i="2"/>
  <c r="AZ7" i="2"/>
  <c r="AO8" i="2"/>
  <c r="AW8" i="2"/>
  <c r="AX8" i="2"/>
  <c r="O8" i="6" l="1"/>
  <c r="BE8" i="2"/>
  <c r="BC8" i="2"/>
  <c r="Q8" i="6" s="1"/>
  <c r="AQ8" i="2"/>
  <c r="AY8" i="2" l="1"/>
  <c r="P8" i="6" s="1"/>
  <c r="H8" i="6"/>
  <c r="N8" i="6"/>
  <c r="BG7" i="2"/>
  <c r="BF7" i="2"/>
  <c r="Z8" i="6"/>
  <c r="AR8" i="2"/>
  <c r="AZ8" i="2"/>
  <c r="BG8" i="2" l="1"/>
  <c r="BF8" i="2"/>
  <c r="BD8" i="2"/>
  <c r="R8" i="6" s="1"/>
</calcChain>
</file>

<file path=xl/sharedStrings.xml><?xml version="1.0" encoding="utf-8"?>
<sst xmlns="http://schemas.openxmlformats.org/spreadsheetml/2006/main" count="385" uniqueCount="184">
  <si>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</si>
  <si>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</si>
  <si>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</si>
  <si>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</si>
  <si>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</si>
  <si>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</si>
  <si>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</si>
  <si>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</si>
  <si>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</si>
  <si>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</si>
  <si>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</si>
  <si>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</si>
  <si>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</si>
  <si>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</si>
  <si>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</si>
  <si>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</si>
  <si>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</si>
  <si>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</si>
  <si>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</si>
  <si>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</si>
  <si>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</si>
  <si>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</si>
  <si>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</si>
  <si>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</si>
  <si>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</si>
  <si>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</si>
  <si>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</si>
  <si>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</si>
  <si>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</si>
  <si>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</si>
  <si>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</si>
  <si>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</si>
  <si>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</si>
  <si>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</si>
  <si>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</si>
  <si>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</si>
  <si>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</si>
  <si>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</si>
  <si>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</si>
  <si>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</si>
  <si>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</si>
  <si>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</si>
  <si>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</si>
  <si>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</si>
  <si>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</si>
  <si>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</si>
  <si>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</si>
  <si>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</si>
  <si>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</si>
  <si>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</si>
  <si>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</si>
  <si>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</si>
  <si>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</si>
  <si>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</si>
  <si>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</si>
  <si>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</si>
  <si>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t xml:space="preserve">  (ka)</t>
  </si>
  <si>
    <t>(Akt. Ver.)</t>
  </si>
  <si>
    <t>Akt. Ver.</t>
  </si>
  <si>
    <t>Fehler 2σ (ka)</t>
  </si>
  <si>
    <t>Taylor 1. Ord.</t>
  </si>
  <si>
    <t>(Akt. Ver.) initial</t>
  </si>
  <si>
    <t>Ch. Bl. 230</t>
  </si>
  <si>
    <t>Sp. Bl. 230</t>
  </si>
  <si>
    <t>comment</t>
  </si>
  <si>
    <t>Lab.Nr.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</si>
  <si>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</si>
  <si>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</si>
  <si>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</si>
  <si>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</si>
  <si>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</si>
  <si>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</si>
  <si>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</si>
  <si>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</si>
  <si>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</si>
  <si>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</si>
  <si>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>(Akt.Ver.)</t>
  </si>
  <si>
    <t>(abso.)</t>
  </si>
  <si>
    <t xml:space="preserve">     (ka)</t>
  </si>
  <si>
    <t>Hu1-13</t>
  </si>
  <si>
    <t>TRI-13</t>
  </si>
  <si>
    <t>TriSp13</t>
  </si>
  <si>
    <t>235U/238U</t>
  </si>
  <si>
    <t>Isotope masses</t>
  </si>
  <si>
    <t>U233</t>
  </si>
  <si>
    <t>U234</t>
  </si>
  <si>
    <t>U235</t>
  </si>
  <si>
    <t>U236</t>
  </si>
  <si>
    <t>U238</t>
  </si>
  <si>
    <t>Th229</t>
  </si>
  <si>
    <t>Th230</t>
  </si>
  <si>
    <t>Th232</t>
  </si>
  <si>
    <t>Decay constants</t>
  </si>
  <si>
    <t>l230</t>
  </si>
  <si>
    <t>l234</t>
  </si>
  <si>
    <t>l238</t>
  </si>
  <si>
    <t>l232</t>
  </si>
  <si>
    <t>value</t>
  </si>
  <si>
    <t>uncertainty</t>
  </si>
  <si>
    <t>rel. uncertainty</t>
  </si>
  <si>
    <t>Spike concentrations</t>
  </si>
  <si>
    <t>236U [ng/g]</t>
  </si>
  <si>
    <t>233U [ng/g]</t>
  </si>
  <si>
    <t>229Th [pg/g]</t>
  </si>
  <si>
    <t>(230Th232Th)</t>
  </si>
  <si>
    <t>Uran Konzentrationen/Aktivitätsverhältnisse (Blank korr.)</t>
  </si>
  <si>
    <t>Thorium Konzentrationen/Aktivitätsverhältnisse (Blank korr.)</t>
  </si>
  <si>
    <t>Akt. Verhältnisse &amp; Alter (unkorr.)</t>
  </si>
  <si>
    <t>Akt. Verhältnisse &amp; Alter (Korr. Methode 2)</t>
  </si>
  <si>
    <t xml:space="preserve">   Error</t>
  </si>
  <si>
    <t>Cheng et al. 2013</t>
  </si>
  <si>
    <t>since 2021</t>
  </si>
  <si>
    <t>Achtung - Änderung der Spike Konz. Und Halbwertszeiten im Tabellenblatt "Constants"</t>
  </si>
  <si>
    <t>(SD ~ O(1%)</t>
  </si>
  <si>
    <t>2SE from &gt;1800 measurements HU-1 (2017 - 2020)</t>
  </si>
  <si>
    <t>Alter(unkorr.)</t>
  </si>
  <si>
    <t xml:space="preserve">   Alter(korr.)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</si>
  <si>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</si>
  <si>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</si>
  <si>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</si>
  <si>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 (initial)</t>
    </r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</si>
  <si>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</si>
  <si>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r>
      <t xml:space="preserve">   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</si>
  <si>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t xml:space="preserve">  </t>
    </r>
    <r>
      <rPr>
        <b/>
        <vertAlign val="superscript"/>
        <sz val="11"/>
        <color theme="1"/>
        <rFont val="Arial"/>
        <family val="2"/>
      </rPr>
      <t xml:space="preserve"> 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</si>
  <si>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</si>
  <si>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</si>
  <si>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</si>
  <si>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234</t>
    </r>
    <r>
      <rPr>
        <b/>
        <sz val="11"/>
        <color theme="1"/>
        <rFont val="Arial"/>
        <family val="2"/>
      </rPr>
      <t>U/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</si>
  <si>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t>025m10815.exp</t>
  </si>
  <si>
    <t>028m10889.exp</t>
  </si>
  <si>
    <t>M5-14-44B_322</t>
  </si>
  <si>
    <t>Stalagmite</t>
  </si>
  <si>
    <t xml:space="preserve">   (ng/g)</t>
  </si>
  <si>
    <t>007m10815.exp</t>
  </si>
  <si>
    <t>010m10890.exp</t>
  </si>
  <si>
    <t>013m10815.exp</t>
  </si>
  <si>
    <t>016m10891.exp</t>
  </si>
  <si>
    <t>019m10815.exp</t>
  </si>
  <si>
    <t>022m10892.exp</t>
  </si>
  <si>
    <t>028m10893.exp</t>
  </si>
  <si>
    <t>031m10815.exp</t>
  </si>
  <si>
    <t>M5-14-44B_331,25</t>
  </si>
  <si>
    <t>M5-14-44B_346,5</t>
  </si>
  <si>
    <t>M5-14-44B_618,75</t>
  </si>
  <si>
    <t>M5-14-44B_653</t>
  </si>
  <si>
    <t>M5-14-42_58,75</t>
  </si>
  <si>
    <t>M5-14-42_162,75</t>
  </si>
  <si>
    <t>M5-14-42_211,25</t>
  </si>
  <si>
    <t>M5-14-42_224</t>
  </si>
  <si>
    <t>M5-14-42_277,5</t>
  </si>
  <si>
    <t>007j10815.exp</t>
  </si>
  <si>
    <t>010j10894.exp</t>
  </si>
  <si>
    <t>013j10815.exp</t>
  </si>
  <si>
    <t>016j10895.exp</t>
  </si>
  <si>
    <t>019j10815.exp</t>
  </si>
  <si>
    <t>022j10896.exp</t>
  </si>
  <si>
    <t>025j10815.exp</t>
  </si>
  <si>
    <t>028j10897.exp</t>
  </si>
  <si>
    <t>031j10815.exp</t>
  </si>
  <si>
    <t>034j10898.exp</t>
  </si>
  <si>
    <t>037j10815.exp</t>
  </si>
  <si>
    <t>010j10903.exp</t>
  </si>
  <si>
    <t>016j10904.exp</t>
  </si>
  <si>
    <t>022j10905.exp</t>
  </si>
  <si>
    <t>028j10906.exp</t>
  </si>
  <si>
    <t>034j10899.exp</t>
  </si>
  <si>
    <t>RuWa51_3_20</t>
  </si>
  <si>
    <t>M43_401_14_44</t>
  </si>
  <si>
    <t>M43_401_14_119</t>
  </si>
  <si>
    <t>M43_401_14_122.5</t>
  </si>
  <si>
    <t>M43_401_14_337.5</t>
  </si>
  <si>
    <t>M43_401_14_341.5</t>
  </si>
  <si>
    <t>M43_401_14_544.5</t>
  </si>
  <si>
    <t>M43_401_14_5B_Base</t>
  </si>
  <si>
    <t>M43_401_14_15_E</t>
  </si>
  <si>
    <t>M43_401_14_15_F</t>
  </si>
  <si>
    <t>M43_401_14_15_G</t>
  </si>
  <si>
    <t>010j10909.exp</t>
  </si>
  <si>
    <t>016j10910.exp</t>
  </si>
  <si>
    <t>022j10911.exp</t>
  </si>
  <si>
    <t>028j10912.exp</t>
  </si>
  <si>
    <t>034j10907.exp</t>
  </si>
  <si>
    <t>040j10908.exp</t>
  </si>
  <si>
    <t>043j10815.exp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</si>
</sst>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0"/>
    <numFmt numFmtId="171" formatCode="0.000000000"/>
    <numFmt numFmtId="172" formatCode="0.00000000000000"/>
    <numFmt numFmtId="173" formatCode="_-* #,##0.00\ [$€]_-;\-* #,##0.00\ [$€]_-;_-* &quot;-&quot;??\ [$€]_-;_-@_-"/>
    <numFmt numFmtId="174" formatCode="#,##0.0\ _D_M"/>
    <numFmt numFmtId="175" formatCode="0.0000E+00"/>
    <numFmt numFmtId="176" formatCode="0.0%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sz val="11"/>
      <color indexed="11"/>
      <name val="Arial"/>
      <family val="2"/>
    </font>
    <font>
      <b/>
      <sz val="11"/>
      <color rgb="FFFF0000"/>
      <name val="Arial"/>
      <family val="2"/>
    </font>
    <font>
      <b/>
      <vertAlign val="superscript"/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73" fontId="1" fillId="0" borderId="0" applyFont="0" applyFill="0" applyBorder="0" applyAlignment="0" applyProtection="0"/>
  </cellStyleXfs>
  <cellXfs count="196">
    <xf numFmtId="0" fontId="0" fillId="0" borderId="0" xfId="0"/>
    <xf numFmtId="169" fontId="4" fillId="12" borderId="0" xfId="0" applyNumberFormat="1" applyFont="1" applyFill="1" applyAlignment="1">
      <alignment horizontal="center"/>
    </xf>
    <xf numFmtId="0" fontId="3" fillId="0" borderId="0" xfId="0" applyFont="1"/>
    <xf numFmtId="0" fontId="5" fillId="0" borderId="0" xfId="0" applyFont="1" applyFill="1" applyBorder="1" applyAlignment="1">
      <alignment horizontal="left"/>
    </xf>
    <xf numFmtId="11" fontId="0" fillId="0" borderId="0" xfId="0" applyNumberFormat="1"/>
    <xf numFmtId="0" fontId="6" fillId="0" borderId="0" xfId="0" applyFont="1"/>
    <xf numFmtId="0" fontId="7" fillId="0" borderId="0" xfId="0" applyFont="1" applyAlignment="1">
      <alignment horizontal="center"/>
    </xf>
    <xf numFmtId="10" fontId="0" fillId="0" borderId="0" xfId="0" applyNumberFormat="1"/>
    <xf numFmtId="164" fontId="0" fillId="0" borderId="0" xfId="0" applyNumberFormat="1"/>
    <xf numFmtId="0" fontId="4" fillId="0" borderId="0" xfId="0" applyFont="1" applyFill="1" applyAlignment="1">
      <alignment horizontal="center"/>
    </xf>
    <xf numFmtId="0" fontId="5" fillId="0" borderId="0" xfId="0" applyFont="1" applyAlignment="1">
      <alignment horizontal="right"/>
    </xf>
    <xf numFmtId="0" fontId="1" fillId="0" borderId="0" xfId="0" applyFont="1"/>
    <xf numFmtId="169" fontId="0" fillId="12" borderId="0" xfId="0" applyNumberFormat="1" applyFill="1"/>
    <xf numFmtId="10" fontId="0" fillId="12" borderId="0" xfId="0" applyNumberFormat="1" applyFill="1"/>
    <xf numFmtId="168" fontId="0" fillId="0" borderId="0" xfId="0" applyNumberFormat="1"/>
    <xf numFmtId="175" fontId="1" fillId="0" borderId="0" xfId="0" applyNumberFormat="1" applyFont="1"/>
    <xf numFmtId="0" fontId="9" fillId="11" borderId="0" xfId="0" applyFont="1" applyFill="1" applyAlignment="1">
      <alignment horizontal="center"/>
    </xf>
    <xf numFmtId="14" fontId="9" fillId="11" borderId="0" xfId="0" applyNumberFormat="1" applyFont="1" applyFill="1" applyAlignment="1">
      <alignment horizontal="center"/>
    </xf>
    <xf numFmtId="166" fontId="9" fillId="11" borderId="0" xfId="0" applyNumberFormat="1" applyFont="1" applyFill="1" applyAlignment="1">
      <alignment horizontal="center"/>
    </xf>
    <xf numFmtId="0" fontId="9" fillId="11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 applyFill="1" applyBorder="1" applyAlignment="1">
      <alignment horizontal="center"/>
    </xf>
    <xf numFmtId="14" fontId="9" fillId="0" borderId="0" xfId="0" applyNumberFormat="1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0" fontId="10" fillId="0" borderId="1" xfId="0" applyFont="1" applyFill="1" applyBorder="1" applyAlignment="1" applyProtection="1">
      <alignment horizontal="center"/>
    </xf>
    <xf numFmtId="167" fontId="10" fillId="0" borderId="2" xfId="0" applyNumberFormat="1" applyFont="1" applyBorder="1" applyAlignment="1">
      <alignment horizontal="center"/>
    </xf>
    <xf numFmtId="167" fontId="10" fillId="0" borderId="1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10" fillId="0" borderId="3" xfId="0" applyNumberFormat="1" applyFont="1" applyFill="1" applyBorder="1" applyAlignment="1" applyProtection="1">
      <alignment horizontal="center"/>
    </xf>
    <xf numFmtId="167" fontId="10" fillId="0" borderId="4" xfId="0" applyNumberFormat="1" applyFont="1" applyBorder="1" applyAlignment="1">
      <alignment horizontal="center"/>
    </xf>
    <xf numFmtId="167" fontId="10" fillId="0" borderId="3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 vertical="center"/>
    </xf>
    <xf numFmtId="14" fontId="10" fillId="0" borderId="1" xfId="0" applyNumberFormat="1" applyFont="1" applyBorder="1" applyAlignment="1" applyProtection="1">
      <alignment horizontal="center" vertical="center"/>
    </xf>
    <xf numFmtId="166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 applyProtection="1">
      <alignment horizontal="center" vertical="center"/>
    </xf>
    <xf numFmtId="169" fontId="10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 vertical="center"/>
    </xf>
    <xf numFmtId="168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 applyProtection="1">
      <alignment horizontal="center" vertical="center"/>
    </xf>
    <xf numFmtId="2" fontId="10" fillId="0" borderId="1" xfId="0" applyNumberFormat="1" applyFont="1" applyBorder="1" applyAlignment="1" applyProtection="1">
      <alignment horizontal="center" vertical="center"/>
    </xf>
    <xf numFmtId="175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Fill="1" applyBorder="1" applyAlignment="1" applyProtection="1">
      <alignment horizontal="center" vertical="center"/>
    </xf>
    <xf numFmtId="169" fontId="10" fillId="0" borderId="1" xfId="0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14" fontId="10" fillId="0" borderId="5" xfId="0" applyNumberFormat="1" applyFont="1" applyBorder="1" applyAlignment="1">
      <alignment horizontal="center" vertical="center"/>
    </xf>
    <xf numFmtId="166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2" fontId="13" fillId="0" borderId="5" xfId="0" applyNumberFormat="1" applyFont="1" applyFill="1" applyBorder="1" applyAlignment="1">
      <alignment horizontal="center" vertical="top"/>
    </xf>
    <xf numFmtId="169" fontId="10" fillId="0" borderId="5" xfId="0" applyNumberFormat="1" applyFont="1" applyBorder="1" applyAlignment="1">
      <alignment horizontal="center" vertical="center"/>
    </xf>
    <xf numFmtId="168" fontId="10" fillId="0" borderId="5" xfId="0" applyNumberFormat="1" applyFont="1" applyBorder="1" applyAlignment="1" applyProtection="1">
      <alignment horizontal="center" vertical="center"/>
    </xf>
    <xf numFmtId="167" fontId="10" fillId="0" borderId="5" xfId="0" applyNumberFormat="1" applyFont="1" applyBorder="1" applyAlignment="1" applyProtection="1">
      <alignment horizontal="center" vertical="center"/>
    </xf>
    <xf numFmtId="2" fontId="10" fillId="0" borderId="5" xfId="0" applyNumberFormat="1" applyFont="1" applyBorder="1" applyAlignment="1" applyProtection="1">
      <alignment horizontal="center" vertical="center"/>
    </xf>
    <xf numFmtId="175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75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/>
    </xf>
    <xf numFmtId="14" fontId="9" fillId="0" borderId="0" xfId="0" applyNumberFormat="1" applyFont="1" applyFill="1" applyAlignment="1">
      <alignment horizontal="center"/>
    </xf>
    <xf numFmtId="166" fontId="9" fillId="0" borderId="0" xfId="0" applyNumberFormat="1" applyFont="1" applyFill="1" applyAlignment="1">
      <alignment horizontal="center"/>
    </xf>
    <xf numFmtId="164" fontId="9" fillId="0" borderId="0" xfId="0" applyNumberFormat="1" applyFont="1" applyFill="1" applyAlignment="1">
      <alignment horizontal="center"/>
    </xf>
    <xf numFmtId="0" fontId="9" fillId="0" borderId="0" xfId="0" applyFont="1"/>
    <xf numFmtId="1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167" fontId="9" fillId="0" borderId="0" xfId="0" applyNumberFormat="1" applyFont="1" applyAlignment="1">
      <alignment horizontal="center"/>
    </xf>
    <xf numFmtId="175" fontId="9" fillId="0" borderId="0" xfId="0" applyNumberFormat="1" applyFont="1" applyAlignment="1">
      <alignment horizontal="center"/>
    </xf>
    <xf numFmtId="0" fontId="10" fillId="0" borderId="6" xfId="0" applyFont="1" applyBorder="1" applyAlignment="1" applyProtection="1">
      <alignment horizontal="center"/>
    </xf>
    <xf numFmtId="169" fontId="10" fillId="0" borderId="6" xfId="0" applyNumberFormat="1" applyFont="1" applyBorder="1" applyAlignment="1">
      <alignment horizontal="center"/>
    </xf>
    <xf numFmtId="164" fontId="10" fillId="0" borderId="6" xfId="0" applyNumberFormat="1" applyFont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/>
    </xf>
    <xf numFmtId="0" fontId="10" fillId="5" borderId="6" xfId="0" applyFont="1" applyFill="1" applyBorder="1" applyAlignment="1" applyProtection="1">
      <alignment horizontal="center" vertical="center"/>
    </xf>
    <xf numFmtId="0" fontId="10" fillId="8" borderId="6" xfId="0" applyFont="1" applyFill="1" applyBorder="1" applyAlignment="1" applyProtection="1">
      <alignment horizontal="center"/>
    </xf>
    <xf numFmtId="0" fontId="10" fillId="0" borderId="6" xfId="0" applyFont="1" applyBorder="1" applyAlignment="1">
      <alignment horizontal="center"/>
    </xf>
    <xf numFmtId="0" fontId="10" fillId="9" borderId="6" xfId="0" applyFont="1" applyFill="1" applyBorder="1" applyAlignment="1" applyProtection="1">
      <alignment horizontal="center"/>
    </xf>
    <xf numFmtId="0" fontId="10" fillId="2" borderId="6" xfId="0" applyFont="1" applyFill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 vertical="center"/>
    </xf>
    <xf numFmtId="170" fontId="10" fillId="6" borderId="6" xfId="0" applyNumberFormat="1" applyFont="1" applyFill="1" applyBorder="1" applyAlignment="1" applyProtection="1">
      <alignment horizontal="center"/>
    </xf>
    <xf numFmtId="0" fontId="10" fillId="6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vertical="center"/>
    </xf>
    <xf numFmtId="2" fontId="10" fillId="3" borderId="6" xfId="0" applyNumberFormat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166" fontId="10" fillId="8" borderId="6" xfId="0" applyNumberFormat="1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7" xfId="0" applyFont="1" applyBorder="1" applyAlignment="1" applyProtection="1">
      <alignment horizontal="center"/>
    </xf>
    <xf numFmtId="164" fontId="10" fillId="0" borderId="7" xfId="0" applyNumberFormat="1" applyFont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/>
    </xf>
    <xf numFmtId="0" fontId="10" fillId="5" borderId="7" xfId="0" applyFont="1" applyFill="1" applyBorder="1" applyAlignment="1" applyProtection="1">
      <alignment horizontal="center" vertical="center"/>
    </xf>
    <xf numFmtId="0" fontId="10" fillId="8" borderId="7" xfId="0" applyFont="1" applyFill="1" applyBorder="1" applyAlignment="1" applyProtection="1">
      <alignment horizontal="center"/>
    </xf>
    <xf numFmtId="0" fontId="10" fillId="9" borderId="7" xfId="0" applyFont="1" applyFill="1" applyBorder="1" applyAlignment="1" applyProtection="1">
      <alignment horizontal="center"/>
    </xf>
    <xf numFmtId="0" fontId="9" fillId="0" borderId="7" xfId="0" applyFont="1" applyBorder="1" applyAlignment="1">
      <alignment horizontal="center"/>
    </xf>
    <xf numFmtId="166" fontId="10" fillId="2" borderId="7" xfId="0" applyNumberFormat="1" applyFont="1" applyFill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 vertical="center"/>
    </xf>
    <xf numFmtId="170" fontId="10" fillId="6" borderId="7" xfId="0" applyNumberFormat="1" applyFont="1" applyFill="1" applyBorder="1" applyAlignment="1" applyProtection="1">
      <alignment horizontal="center"/>
    </xf>
    <xf numFmtId="0" fontId="10" fillId="6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vertical="center"/>
    </xf>
    <xf numFmtId="2" fontId="10" fillId="3" borderId="7" xfId="0" applyNumberFormat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166" fontId="10" fillId="8" borderId="7" xfId="0" applyNumberFormat="1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10" fillId="12" borderId="0" xfId="0" applyFont="1" applyFill="1" applyAlignment="1">
      <alignment horizontal="center"/>
    </xf>
    <xf numFmtId="0" fontId="10" fillId="12" borderId="0" xfId="0" applyFont="1" applyFill="1" applyBorder="1" applyAlignment="1">
      <alignment horizontal="center"/>
    </xf>
    <xf numFmtId="174" fontId="10" fillId="12" borderId="0" xfId="0" applyNumberFormat="1" applyFont="1" applyFill="1" applyAlignment="1"/>
    <xf numFmtId="169" fontId="10" fillId="12" borderId="0" xfId="0" applyNumberFormat="1" applyFont="1" applyFill="1" applyAlignment="1">
      <alignment horizontal="center"/>
    </xf>
    <xf numFmtId="0" fontId="14" fillId="12" borderId="0" xfId="0" applyFont="1" applyFill="1" applyBorder="1" applyAlignment="1">
      <alignment horizontal="left"/>
    </xf>
    <xf numFmtId="170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>
      <alignment horizontal="center"/>
    </xf>
    <xf numFmtId="170" fontId="10" fillId="12" borderId="0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Border="1" applyAlignment="1">
      <alignment horizontal="center"/>
    </xf>
    <xf numFmtId="174" fontId="10" fillId="0" borderId="0" xfId="0" applyNumberFormat="1" applyFont="1" applyFill="1" applyAlignment="1"/>
    <xf numFmtId="169" fontId="10" fillId="0" borderId="0" xfId="0" applyNumberFormat="1" applyFont="1" applyFill="1" applyAlignment="1">
      <alignment horizontal="center"/>
    </xf>
    <xf numFmtId="170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>
      <alignment horizontal="center"/>
    </xf>
    <xf numFmtId="170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168" fontId="9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69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>
      <alignment horizontal="center"/>
    </xf>
    <xf numFmtId="164" fontId="9" fillId="11" borderId="0" xfId="0" applyNumberFormat="1" applyFont="1" applyFill="1" applyBorder="1" applyAlignment="1">
      <alignment horizontal="center"/>
    </xf>
    <xf numFmtId="170" fontId="9" fillId="11" borderId="0" xfId="0" applyNumberFormat="1" applyFont="1" applyFill="1" applyBorder="1" applyAlignment="1" applyProtection="1">
      <alignment horizontal="center"/>
    </xf>
    <xf numFmtId="0" fontId="9" fillId="11" borderId="0" xfId="0" applyFont="1" applyFill="1" applyBorder="1" applyAlignment="1" applyProtection="1">
      <alignment horizontal="center"/>
    </xf>
    <xf numFmtId="170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 applyProtection="1">
      <alignment horizontal="center"/>
    </xf>
    <xf numFmtId="171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 applyProtection="1">
      <alignment horizontal="center"/>
    </xf>
    <xf numFmtId="168" fontId="9" fillId="11" borderId="0" xfId="0" applyNumberFormat="1" applyFont="1" applyFill="1" applyBorder="1" applyAlignment="1">
      <alignment horizontal="center"/>
    </xf>
    <xf numFmtId="10" fontId="9" fillId="11" borderId="0" xfId="0" applyNumberFormat="1" applyFont="1" applyFill="1" applyBorder="1" applyAlignment="1">
      <alignment horizontal="center"/>
    </xf>
    <xf numFmtId="1" fontId="9" fillId="11" borderId="0" xfId="0" applyNumberFormat="1" applyFont="1" applyFill="1" applyBorder="1" applyAlignment="1">
      <alignment horizontal="center"/>
    </xf>
    <xf numFmtId="2" fontId="9" fillId="11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10" fontId="9" fillId="0" borderId="0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72" fontId="9" fillId="0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10" fillId="0" borderId="1" xfId="0" applyFont="1" applyBorder="1" applyAlignment="1" applyProtection="1">
      <alignment horizontal="center"/>
    </xf>
    <xf numFmtId="167" fontId="8" fillId="0" borderId="6" xfId="0" applyNumberFormat="1" applyFont="1" applyBorder="1" applyAlignment="1">
      <alignment horizontal="center" vertical="center" wrapText="1"/>
    </xf>
    <xf numFmtId="168" fontId="8" fillId="0" borderId="6" xfId="0" applyNumberFormat="1" applyFont="1" applyBorder="1" applyAlignment="1">
      <alignment horizontal="center" vertical="center" wrapText="1"/>
    </xf>
    <xf numFmtId="164" fontId="8" fillId="0" borderId="6" xfId="0" applyNumberFormat="1" applyFont="1" applyBorder="1" applyAlignment="1">
      <alignment horizontal="center" vertical="center" wrapText="1"/>
    </xf>
    <xf numFmtId="166" fontId="8" fillId="0" borderId="6" xfId="0" applyNumberFormat="1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/>
    </xf>
    <xf numFmtId="167" fontId="8" fillId="0" borderId="7" xfId="0" applyNumberFormat="1" applyFont="1" applyBorder="1" applyAlignment="1">
      <alignment horizontal="center" vertical="center"/>
    </xf>
    <xf numFmtId="168" fontId="8" fillId="0" borderId="7" xfId="0" applyNumberFormat="1" applyFont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66" fontId="8" fillId="0" borderId="7" xfId="0" applyNumberFormat="1" applyFont="1" applyBorder="1" applyAlignment="1">
      <alignment horizontal="center" vertical="center"/>
    </xf>
    <xf numFmtId="168" fontId="9" fillId="11" borderId="0" xfId="0" applyNumberFormat="1" applyFont="1" applyFill="1" applyAlignment="1">
      <alignment horizontal="center"/>
    </xf>
    <xf numFmtId="164" fontId="9" fillId="11" borderId="0" xfId="0" applyNumberFormat="1" applyFont="1" applyFill="1" applyAlignment="1">
      <alignment horizontal="center"/>
    </xf>
    <xf numFmtId="167" fontId="9" fillId="11" borderId="0" xfId="0" applyNumberFormat="1" applyFont="1" applyFill="1" applyAlignment="1">
      <alignment horizontal="center"/>
    </xf>
    <xf numFmtId="168" fontId="9" fillId="0" borderId="0" xfId="0" applyNumberFormat="1" applyFont="1" applyFill="1" applyAlignment="1">
      <alignment horizontal="center"/>
    </xf>
    <xf numFmtId="167" fontId="9" fillId="0" borderId="0" xfId="0" applyNumberFormat="1" applyFont="1" applyFill="1" applyAlignment="1">
      <alignment horizontal="center"/>
    </xf>
    <xf numFmtId="2" fontId="9" fillId="0" borderId="0" xfId="0" applyNumberFormat="1" applyFont="1" applyFill="1" applyAlignment="1">
      <alignment horizontal="center"/>
    </xf>
    <xf numFmtId="2" fontId="9" fillId="11" borderId="0" xfId="0" applyNumberFormat="1" applyFont="1" applyFill="1" applyAlignment="1">
      <alignment horizontal="center"/>
    </xf>
    <xf numFmtId="176" fontId="9" fillId="0" borderId="0" xfId="0" applyNumberFormat="1" applyFont="1" applyAlignment="1">
      <alignment horizontal="center"/>
    </xf>
    <xf numFmtId="166" fontId="10" fillId="0" borderId="2" xfId="0" applyNumberFormat="1" applyFont="1" applyBorder="1" applyAlignment="1">
      <alignment horizontal="center"/>
    </xf>
    <xf numFmtId="166" fontId="10" fillId="0" borderId="4" xfId="0" applyNumberFormat="1" applyFont="1" applyBorder="1" applyAlignment="1">
      <alignment horizontal="center"/>
    </xf>
    <xf numFmtId="170" fontId="10" fillId="0" borderId="0" xfId="0" applyNumberFormat="1" applyFont="1" applyFill="1" applyBorder="1" applyAlignment="1" applyProtection="1">
      <alignment horizontal="center"/>
    </xf>
    <xf numFmtId="171" fontId="10" fillId="0" borderId="0" xfId="0" applyNumberFormat="1" applyFont="1" applyFill="1" applyBorder="1" applyAlignment="1">
      <alignment horizontal="center"/>
    </xf>
    <xf numFmtId="170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168" fontId="10" fillId="0" borderId="0" xfId="0" applyNumberFormat="1" applyFont="1" applyFill="1" applyBorder="1" applyAlignment="1">
      <alignment horizontal="center"/>
    </xf>
    <xf numFmtId="1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167" fontId="10" fillId="0" borderId="0" xfId="0" applyNumberFormat="1" applyFont="1" applyFill="1" applyBorder="1" applyAlignment="1">
      <alignment horizontal="center"/>
    </xf>
    <xf numFmtId="172" fontId="10" fillId="0" borderId="0" xfId="0" applyNumberFormat="1" applyFont="1" applyFill="1" applyBorder="1" applyAlignment="1">
      <alignment horizontal="center"/>
    </xf>
    <xf numFmtId="166" fontId="9" fillId="0" borderId="0" xfId="0" applyNumberFormat="1" applyFont="1" applyFill="1" applyBorder="1" applyAlignment="1">
      <alignment horizontal="center"/>
    </xf>
  </cellXfs>
  <cellStyles count="2">
    <cellStyle name="Euro" xfId="1" xr:uid="{00000000-0005-0000-0000-000000000000}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indexed="32"/>
  </sheetPr>
  <dimension ref="A1:AB57"/>
  <sheetViews>
    <sheetView zoomScaleNormal="100" workbookViewId="0">
      <pane ySplit="2" topLeftCell="A21" activePane="bottomLeft" state="frozen"/>
      <selection activeCell="B1" sqref="B1"/>
      <selection pane="bottomLeft" activeCell="H45" sqref="H45:Z57"/>
    </sheetView>
  </sheetViews>
  <sheetFormatPr baseColWidth="10" defaultRowHeight="14.25" x14ac:dyDescent="0.2"/>
  <cols>
    <col min="1" max="1" width="18" style="20" customWidth="1"/>
    <col min="2" max="2" width="19.5703125" style="20" customWidth="1"/>
    <col min="3" max="3" width="16.85546875" style="20" customWidth="1"/>
    <col min="4" max="4" width="13.28515625" style="76" customWidth="1"/>
    <col min="5" max="5" width="13" style="77" bestFit="1" customWidth="1"/>
    <col min="6" max="6" width="11.5703125" style="20" bestFit="1" customWidth="1"/>
    <col min="7" max="7" width="11.5703125" style="78" bestFit="1" customWidth="1"/>
    <col min="8" max="8" width="18.42578125" style="78" bestFit="1" customWidth="1"/>
    <col min="9" max="9" width="11.5703125" style="78" customWidth="1"/>
    <col min="10" max="10" width="11.42578125" style="79"/>
    <col min="11" max="11" width="11.7109375" style="78" bestFit="1" customWidth="1"/>
    <col min="12" max="12" width="10.7109375" style="80" bestFit="1" customWidth="1"/>
    <col min="13" max="14" width="10.7109375" style="80" customWidth="1"/>
    <col min="15" max="15" width="12.7109375" style="78" bestFit="1" customWidth="1"/>
    <col min="16" max="16" width="13.140625" style="79" customWidth="1"/>
    <col min="17" max="17" width="13.140625" style="81" customWidth="1"/>
    <col min="18" max="18" width="13.140625" style="82" customWidth="1"/>
    <col min="19" max="19" width="13.140625" style="83" customWidth="1"/>
    <col min="20" max="20" width="11.42578125" style="20"/>
    <col min="21" max="21" width="15" style="78" customWidth="1"/>
    <col min="22" max="22" width="13.85546875" style="79" customWidth="1"/>
    <col min="23" max="23" width="16.85546875" style="78" customWidth="1"/>
    <col min="24" max="24" width="13.7109375" style="79" customWidth="1"/>
    <col min="25" max="25" width="14.28515625" style="81" customWidth="1"/>
    <col min="26" max="26" width="14" style="79" customWidth="1"/>
    <col min="27" max="27" width="15.28515625" style="20" bestFit="1" customWidth="1"/>
    <col min="28" max="16384" width="11.42578125" style="20"/>
  </cols>
  <sheetData>
    <row r="1" spans="1:28" s="49" customFormat="1" ht="15" x14ac:dyDescent="0.25">
      <c r="A1" s="33" t="s">
        <v>53</v>
      </c>
      <c r="B1" s="33" t="s">
        <v>0</v>
      </c>
      <c r="C1" s="33" t="s">
        <v>54</v>
      </c>
      <c r="D1" s="34" t="s">
        <v>55</v>
      </c>
      <c r="E1" s="35" t="s">
        <v>2</v>
      </c>
      <c r="F1" s="33" t="s">
        <v>3</v>
      </c>
      <c r="G1" s="36" t="s">
        <v>81</v>
      </c>
      <c r="H1" s="36"/>
      <c r="I1" s="37" t="s">
        <v>70</v>
      </c>
      <c r="J1" s="38" t="s">
        <v>71</v>
      </c>
      <c r="K1" s="39" t="s">
        <v>82</v>
      </c>
      <c r="L1" s="40" t="s">
        <v>4</v>
      </c>
      <c r="M1" s="41" t="s">
        <v>41</v>
      </c>
      <c r="N1" s="42" t="s">
        <v>4</v>
      </c>
      <c r="O1" s="36" t="s">
        <v>5</v>
      </c>
      <c r="P1" s="43" t="s">
        <v>6</v>
      </c>
      <c r="Q1" s="39" t="s">
        <v>73</v>
      </c>
      <c r="R1" s="42" t="s">
        <v>4</v>
      </c>
      <c r="S1" s="44" t="s">
        <v>7</v>
      </c>
      <c r="T1" s="42" t="s">
        <v>4</v>
      </c>
      <c r="U1" s="45" t="s">
        <v>8</v>
      </c>
      <c r="V1" s="43" t="s">
        <v>6</v>
      </c>
      <c r="W1" s="36" t="s">
        <v>9</v>
      </c>
      <c r="X1" s="43" t="s">
        <v>6</v>
      </c>
      <c r="Y1" s="46" t="s">
        <v>10</v>
      </c>
      <c r="Z1" s="43" t="s">
        <v>6</v>
      </c>
      <c r="AA1" s="47" t="s">
        <v>11</v>
      </c>
      <c r="AB1" s="48"/>
    </row>
    <row r="2" spans="1:28" s="49" customFormat="1" ht="15.75" thickBot="1" x14ac:dyDescent="0.25">
      <c r="A2" s="50"/>
      <c r="B2" s="50"/>
      <c r="C2" s="50" t="s">
        <v>1</v>
      </c>
      <c r="D2" s="51"/>
      <c r="E2" s="52" t="s">
        <v>12</v>
      </c>
      <c r="F2" s="50" t="s">
        <v>43</v>
      </c>
      <c r="G2" s="53" t="s">
        <v>43</v>
      </c>
      <c r="H2" s="53"/>
      <c r="I2" s="54"/>
      <c r="J2" s="55"/>
      <c r="K2" s="56" t="s">
        <v>14</v>
      </c>
      <c r="L2" s="57" t="s">
        <v>13</v>
      </c>
      <c r="M2" s="53" t="s">
        <v>14</v>
      </c>
      <c r="N2" s="58" t="s">
        <v>13</v>
      </c>
      <c r="O2" s="53" t="s">
        <v>15</v>
      </c>
      <c r="P2" s="59" t="s">
        <v>16</v>
      </c>
      <c r="Q2" s="56" t="s">
        <v>14</v>
      </c>
      <c r="R2" s="58" t="s">
        <v>13</v>
      </c>
      <c r="S2" s="60" t="s">
        <v>14</v>
      </c>
      <c r="T2" s="58" t="s">
        <v>13</v>
      </c>
      <c r="U2" s="61"/>
      <c r="V2" s="59" t="s">
        <v>17</v>
      </c>
      <c r="W2" s="53"/>
      <c r="X2" s="59" t="s">
        <v>17</v>
      </c>
      <c r="Y2" s="56"/>
      <c r="Z2" s="59" t="s">
        <v>17</v>
      </c>
      <c r="AA2" s="50"/>
    </row>
    <row r="3" spans="1:28" ht="15" thickTop="1" x14ac:dyDescent="0.2">
      <c r="A3" s="62"/>
      <c r="B3" s="62"/>
      <c r="C3" s="62"/>
      <c r="D3" s="63"/>
      <c r="E3" s="64"/>
      <c r="F3" s="62"/>
      <c r="G3" s="65"/>
      <c r="H3" s="65"/>
      <c r="I3" s="65"/>
      <c r="J3" s="66"/>
      <c r="K3" s="65"/>
      <c r="L3" s="67"/>
      <c r="M3" s="67"/>
      <c r="N3" s="67"/>
      <c r="O3" s="65"/>
      <c r="P3" s="66"/>
      <c r="Q3" s="68"/>
      <c r="R3" s="69"/>
      <c r="S3" s="70"/>
      <c r="T3" s="62"/>
      <c r="U3" s="65"/>
      <c r="V3" s="66"/>
      <c r="W3" s="65"/>
      <c r="X3" s="66"/>
      <c r="Y3" s="68"/>
      <c r="Z3" s="66"/>
      <c r="AA3" s="62"/>
    </row>
    <row r="7" spans="1:28" x14ac:dyDescent="0.2">
      <c r="A7" s="16">
        <v>10815</v>
      </c>
      <c r="B7" s="16" t="s">
        <v>79</v>
      </c>
      <c r="C7" s="16" t="s">
        <v>72</v>
      </c>
      <c r="D7" s="17">
        <v>44195</v>
      </c>
      <c r="E7" s="18"/>
      <c r="F7" s="19">
        <v>1.10995</v>
      </c>
      <c r="G7" s="19">
        <v>10.349080000000001</v>
      </c>
      <c r="H7" t="s">
        <v>128</v>
      </c>
      <c r="I7">
        <v>9.8356382736360069E-3</v>
      </c>
      <c r="J7">
        <v>0.75439327327370787</v>
      </c>
      <c r="K7">
        <v>7.1278391944295787E-3</v>
      </c>
      <c r="L7">
        <v>6.2079410818670685E-3</v>
      </c>
      <c r="M7">
        <v>2.7323519718371032</v>
      </c>
      <c r="N7">
        <v>8.0412040997953453E-3</v>
      </c>
      <c r="O7">
        <v>2.1028684657038115</v>
      </c>
      <c r="P7">
        <v>0.74641089475734557</v>
      </c>
      <c r="Q7">
        <v>7.5643801683052863E-3</v>
      </c>
      <c r="R7">
        <v>0.13066236149032748</v>
      </c>
      <c r="S7">
        <v>5.4861657286393961E-5</v>
      </c>
      <c r="T7">
        <v>0.13066236149032659</v>
      </c>
      <c r="U7">
        <v>1.3285551486488876</v>
      </c>
      <c r="V7">
        <v>0.23029201549899639</v>
      </c>
      <c r="W7">
        <v>0.1931468554977312</v>
      </c>
      <c r="X7">
        <v>0.49737511192219969</v>
      </c>
      <c r="Y7">
        <v>0.25663933096295927</v>
      </c>
      <c r="Z7">
        <v>0.36558216224111079</v>
      </c>
    </row>
    <row r="8" spans="1:28" x14ac:dyDescent="0.2">
      <c r="A8" s="21">
        <v>10889</v>
      </c>
      <c r="B8" s="21" t="s">
        <v>130</v>
      </c>
      <c r="C8" s="21" t="s">
        <v>131</v>
      </c>
      <c r="D8" s="22"/>
      <c r="E8" s="195">
        <v>322</v>
      </c>
      <c r="F8" s="24">
        <v>0.21459</v>
      </c>
      <c r="G8" s="24">
        <v>0.10362000000000116</v>
      </c>
      <c r="H8" t="s">
        <v>129</v>
      </c>
      <c r="I8">
        <v>9.9834876314203007E-3</v>
      </c>
      <c r="J8">
        <v>0.34037244705671654</v>
      </c>
      <c r="K8">
        <v>7.1340449797128698E-3</v>
      </c>
      <c r="L8">
        <v>8.6389126820198177E-3</v>
      </c>
      <c r="M8">
        <v>0.56704782120086461</v>
      </c>
      <c r="N8">
        <v>1.0841768704557855E-2</v>
      </c>
      <c r="O8">
        <v>0.92227185164142511</v>
      </c>
      <c r="P8">
        <v>0.35506448966330562</v>
      </c>
      <c r="Q8">
        <v>1.6244660236773303E-2</v>
      </c>
      <c r="R8">
        <v>0.14179788525535816</v>
      </c>
      <c r="S8">
        <v>1.1781652466092724E-4</v>
      </c>
      <c r="T8">
        <v>0.141797885255358</v>
      </c>
      <c r="U8">
        <v>0.62458013995244321</v>
      </c>
      <c r="V8">
        <v>0.27804731738995409</v>
      </c>
      <c r="W8">
        <v>1.7947232744949505E-2</v>
      </c>
      <c r="X8">
        <v>0.24789436670836282</v>
      </c>
      <c r="Y8">
        <v>1.1214035123207487E-2</v>
      </c>
      <c r="Z8">
        <v>0.20256253777247549</v>
      </c>
    </row>
    <row r="9" spans="1:28" x14ac:dyDescent="0.2">
      <c r="A9" s="16">
        <v>10815</v>
      </c>
      <c r="B9" s="16" t="s">
        <v>79</v>
      </c>
      <c r="C9" s="16" t="s">
        <v>72</v>
      </c>
      <c r="D9" s="17">
        <v>44195</v>
      </c>
      <c r="E9" s="18"/>
      <c r="F9" s="19">
        <v>1.10995</v>
      </c>
      <c r="G9" s="19">
        <v>10.349080000000001</v>
      </c>
      <c r="H9" t="s">
        <v>128</v>
      </c>
      <c r="I9">
        <v>9.8356382736360069E-3</v>
      </c>
      <c r="J9">
        <v>0.75439327327370787</v>
      </c>
      <c r="K9">
        <v>7.1278391944295787E-3</v>
      </c>
      <c r="L9">
        <v>6.2079410818670685E-3</v>
      </c>
      <c r="M9">
        <v>2.7323519718371032</v>
      </c>
      <c r="N9">
        <v>8.0412040997953453E-3</v>
      </c>
      <c r="O9">
        <v>2.1028684657038115</v>
      </c>
      <c r="P9">
        <v>0.74641089475734557</v>
      </c>
      <c r="Q9">
        <v>7.5643801683052863E-3</v>
      </c>
      <c r="R9">
        <v>0.13066236149032748</v>
      </c>
      <c r="S9">
        <v>5.4861657286393961E-5</v>
      </c>
      <c r="T9">
        <v>0.13066236149032659</v>
      </c>
      <c r="U9">
        <v>1.3285551486488876</v>
      </c>
      <c r="V9">
        <v>0.23029201549899639</v>
      </c>
      <c r="W9">
        <v>0.1931468554977312</v>
      </c>
      <c r="X9">
        <v>0.49737511192219969</v>
      </c>
      <c r="Y9">
        <v>0.25663933096295927</v>
      </c>
      <c r="Z9">
        <v>0.36558216224111079</v>
      </c>
    </row>
    <row r="10" spans="1:28" s="71" customFormat="1" x14ac:dyDescent="0.2">
      <c r="D10" s="72"/>
      <c r="E10" s="73"/>
      <c r="G10" s="74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</row>
    <row r="11" spans="1:28" s="71" customFormat="1" x14ac:dyDescent="0.2">
      <c r="A11" s="16">
        <v>10815</v>
      </c>
      <c r="B11" s="16" t="s">
        <v>79</v>
      </c>
      <c r="C11" s="16" t="s">
        <v>72</v>
      </c>
      <c r="D11" s="17">
        <v>44200</v>
      </c>
      <c r="E11" s="18"/>
      <c r="F11" s="19">
        <v>1.10995</v>
      </c>
      <c r="G11" s="19">
        <v>10.349080000000001</v>
      </c>
      <c r="H11" t="s">
        <v>133</v>
      </c>
      <c r="I11">
        <v>1.0088509799639175E-2</v>
      </c>
      <c r="J11">
        <v>1.5691130915610318</v>
      </c>
      <c r="K11">
        <v>7.1521020256389758E-3</v>
      </c>
      <c r="L11">
        <v>8.7670961841195359E-3</v>
      </c>
      <c r="M11">
        <v>2.731518292888488</v>
      </c>
      <c r="N11">
        <v>1.8530270650817006E-2</v>
      </c>
      <c r="O11">
        <v>2.0601169265556885</v>
      </c>
      <c r="P11">
        <v>1.5816587716466803</v>
      </c>
      <c r="Q11">
        <v>7.5785468601289492E-3</v>
      </c>
      <c r="R11">
        <v>0.25130507142757413</v>
      </c>
      <c r="S11">
        <v>5.4964403073149657E-5</v>
      </c>
      <c r="T11">
        <v>0.25130507142757535</v>
      </c>
      <c r="U11">
        <v>1.3173488483539102</v>
      </c>
      <c r="V11">
        <v>0.39506778090601258</v>
      </c>
      <c r="W11">
        <v>0.19325362000157253</v>
      </c>
      <c r="X11">
        <v>0.88745261428539879</v>
      </c>
      <c r="Y11">
        <v>0.25505068320613455</v>
      </c>
      <c r="Z11">
        <v>0.80936459347503531</v>
      </c>
    </row>
    <row r="12" spans="1:28" s="71" customFormat="1" x14ac:dyDescent="0.2">
      <c r="A12" s="71">
        <v>10890</v>
      </c>
      <c r="B12" s="71" t="s">
        <v>141</v>
      </c>
      <c r="C12" s="71" t="s">
        <v>131</v>
      </c>
      <c r="D12" s="72">
        <v>44200</v>
      </c>
      <c r="E12" s="73">
        <v>331.25</v>
      </c>
      <c r="F12" s="71">
        <v>0.19327</v>
      </c>
      <c r="G12" s="74">
        <v>0.10333999999999932</v>
      </c>
      <c r="H12" t="s">
        <v>134</v>
      </c>
      <c r="I12">
        <v>9.9087692071378776E-3</v>
      </c>
      <c r="J12">
        <v>0.37699111419320658</v>
      </c>
      <c r="K12">
        <v>7.1543551584463509E-3</v>
      </c>
      <c r="L12">
        <v>8.0937891009088755E-3</v>
      </c>
      <c r="M12">
        <v>0.6928006764895519</v>
      </c>
      <c r="N12">
        <v>6.2454089054266382E-3</v>
      </c>
      <c r="O12">
        <v>1.1299253726780181</v>
      </c>
      <c r="P12">
        <v>0.39086865803093079</v>
      </c>
      <c r="Q12">
        <v>1.6143418902726293E-2</v>
      </c>
      <c r="R12">
        <v>0.11833271979323641</v>
      </c>
      <c r="S12">
        <v>1.1708225863408512E-4</v>
      </c>
      <c r="T12">
        <v>0.11833271979323681</v>
      </c>
      <c r="U12">
        <v>0.75580685864610375</v>
      </c>
      <c r="V12">
        <v>0.18786675034374425</v>
      </c>
      <c r="W12">
        <v>4.5394185242316538E-2</v>
      </c>
      <c r="X12">
        <v>0.2080769890651504</v>
      </c>
      <c r="Y12">
        <v>3.435361654747944E-2</v>
      </c>
      <c r="Z12">
        <v>0.14337144279146286</v>
      </c>
    </row>
    <row r="13" spans="1:28" s="71" customFormat="1" x14ac:dyDescent="0.2">
      <c r="A13" s="16">
        <v>10815</v>
      </c>
      <c r="B13" s="16" t="s">
        <v>79</v>
      </c>
      <c r="C13" s="16" t="s">
        <v>72</v>
      </c>
      <c r="D13" s="17">
        <v>44200</v>
      </c>
      <c r="E13" s="18"/>
      <c r="F13" s="19">
        <v>1.10995</v>
      </c>
      <c r="G13" s="19">
        <v>10.349080000000001</v>
      </c>
      <c r="H13" t="s">
        <v>135</v>
      </c>
      <c r="I13">
        <v>9.7846554085535171E-3</v>
      </c>
      <c r="J13">
        <v>1.2356544517941932</v>
      </c>
      <c r="K13">
        <v>7.1473712880570301E-3</v>
      </c>
      <c r="L13">
        <v>6.8738163014536021E-3</v>
      </c>
      <c r="M13">
        <v>2.7320150246880202</v>
      </c>
      <c r="N13">
        <v>1.8899589398423639E-2</v>
      </c>
      <c r="O13">
        <v>2.1226440275725471</v>
      </c>
      <c r="P13">
        <v>1.2778922973954725</v>
      </c>
      <c r="Q13">
        <v>7.570985669427161E-3</v>
      </c>
      <c r="R13">
        <v>0.23311719482691581</v>
      </c>
      <c r="S13">
        <v>5.4909564547886648E-5</v>
      </c>
      <c r="T13">
        <v>0.23311719482691512</v>
      </c>
      <c r="U13">
        <v>1.3203684171653327</v>
      </c>
      <c r="V13">
        <v>0.35768112672870273</v>
      </c>
      <c r="W13">
        <v>0.18857584228301755</v>
      </c>
      <c r="X13">
        <v>1.0065279065434118</v>
      </c>
      <c r="Y13">
        <v>0.24967626334307583</v>
      </c>
      <c r="Z13">
        <v>0.71939321185109029</v>
      </c>
    </row>
    <row r="14" spans="1:28" s="71" customFormat="1" x14ac:dyDescent="0.2">
      <c r="A14" s="71">
        <v>10891</v>
      </c>
      <c r="B14" s="71" t="s">
        <v>142</v>
      </c>
      <c r="C14" s="71" t="s">
        <v>131</v>
      </c>
      <c r="D14" s="72">
        <v>44200</v>
      </c>
      <c r="E14" s="73">
        <v>346.5</v>
      </c>
      <c r="F14" s="71">
        <v>0.20466999999999999</v>
      </c>
      <c r="G14" s="74">
        <v>0.1020500000000002</v>
      </c>
      <c r="H14" t="s">
        <v>136</v>
      </c>
      <c r="I14">
        <v>1.0056471129318057E-2</v>
      </c>
      <c r="J14">
        <v>0.40245542169860199</v>
      </c>
      <c r="K14">
        <v>7.1478863493836106E-3</v>
      </c>
      <c r="L14">
        <v>1.0823788885880498E-2</v>
      </c>
      <c r="M14">
        <v>1.0454594005205213</v>
      </c>
      <c r="N14">
        <v>8.681896192570919E-3</v>
      </c>
      <c r="O14">
        <v>1.6357885275493418</v>
      </c>
      <c r="P14">
        <v>0.41671062747242854</v>
      </c>
      <c r="Q14">
        <v>1.5718570899914262E-2</v>
      </c>
      <c r="R14">
        <v>9.9056340802665968E-2</v>
      </c>
      <c r="S14">
        <v>1.1400099288454729E-4</v>
      </c>
      <c r="T14">
        <v>9.9056340802666745E-2</v>
      </c>
      <c r="U14">
        <v>1.1069539338293313</v>
      </c>
      <c r="V14">
        <v>0.18237533554480709</v>
      </c>
      <c r="W14">
        <v>5.6361927564377294E-2</v>
      </c>
      <c r="X14">
        <v>0.26605783279370127</v>
      </c>
      <c r="Y14">
        <v>6.2452470492813432E-2</v>
      </c>
      <c r="Z14">
        <v>0.26588418982174916</v>
      </c>
    </row>
    <row r="15" spans="1:28" s="71" customFormat="1" x14ac:dyDescent="0.2">
      <c r="A15" s="16">
        <v>10815</v>
      </c>
      <c r="B15" s="16" t="s">
        <v>79</v>
      </c>
      <c r="C15" s="16" t="s">
        <v>72</v>
      </c>
      <c r="D15" s="17">
        <v>44200</v>
      </c>
      <c r="E15" s="18"/>
      <c r="F15" s="19">
        <v>1.10995</v>
      </c>
      <c r="G15" s="19">
        <v>10.349080000000001</v>
      </c>
      <c r="H15" t="s">
        <v>137</v>
      </c>
      <c r="I15">
        <v>9.8954827965409449E-3</v>
      </c>
      <c r="J15">
        <v>1.3975720603956219</v>
      </c>
      <c r="K15">
        <v>7.1331348142090857E-3</v>
      </c>
      <c r="L15">
        <v>1.0233180718623905E-2</v>
      </c>
      <c r="M15">
        <v>2.7321504269533112</v>
      </c>
      <c r="N15">
        <v>1.8179358836608591E-2</v>
      </c>
      <c r="O15">
        <v>2.1012460877423864</v>
      </c>
      <c r="P15">
        <v>1.4712426283611517</v>
      </c>
      <c r="Q15">
        <v>7.5897989370202965E-3</v>
      </c>
      <c r="R15">
        <v>0.19823744171474089</v>
      </c>
      <c r="S15">
        <v>5.5046010233609398E-5</v>
      </c>
      <c r="T15">
        <v>0.19823744171473981</v>
      </c>
      <c r="U15">
        <v>1.3266151031860816</v>
      </c>
      <c r="V15">
        <v>0.31095961418736351</v>
      </c>
      <c r="W15">
        <v>0.19324563003731157</v>
      </c>
      <c r="X15">
        <v>0.91827339928365126</v>
      </c>
      <c r="Y15">
        <v>0.25592894198487376</v>
      </c>
      <c r="Z15">
        <v>0.87917934977149503</v>
      </c>
    </row>
    <row r="16" spans="1:28" s="71" customFormat="1" x14ac:dyDescent="0.2">
      <c r="A16" s="71">
        <v>10892</v>
      </c>
      <c r="B16" s="71" t="s">
        <v>143</v>
      </c>
      <c r="C16" s="71" t="s">
        <v>131</v>
      </c>
      <c r="D16" s="72">
        <v>44200</v>
      </c>
      <c r="E16" s="73">
        <v>618.75</v>
      </c>
      <c r="F16" s="71">
        <v>0.1827</v>
      </c>
      <c r="G16" s="74">
        <v>0.10262999999999955</v>
      </c>
      <c r="H16" t="s">
        <v>138</v>
      </c>
      <c r="I16">
        <v>9.9922502037831616E-3</v>
      </c>
      <c r="J16">
        <v>0.22788557634471074</v>
      </c>
      <c r="K16">
        <v>7.137523244743431E-3</v>
      </c>
      <c r="L16">
        <v>5.5164959698003413E-3</v>
      </c>
      <c r="M16">
        <v>0.94553343810614687</v>
      </c>
      <c r="N16">
        <v>6.5985863535441272E-3</v>
      </c>
      <c r="O16">
        <v>1.424586566060468</v>
      </c>
      <c r="P16">
        <v>0.26458131213052732</v>
      </c>
      <c r="Q16">
        <v>1.5050888507188793E-2</v>
      </c>
      <c r="R16">
        <v>8.2353623982271223E-2</v>
      </c>
      <c r="S16">
        <v>1.0915853893711819E-4</v>
      </c>
      <c r="T16">
        <v>8.2353623982271196E-2</v>
      </c>
      <c r="U16">
        <v>0.96398220440865223</v>
      </c>
      <c r="V16">
        <v>0.22863951925800544</v>
      </c>
      <c r="W16">
        <v>0.12034257137793376</v>
      </c>
      <c r="X16">
        <v>0.24775250826677936</v>
      </c>
      <c r="Y16">
        <v>0.1161590450792134</v>
      </c>
      <c r="Z16">
        <v>0.15922439820028952</v>
      </c>
    </row>
    <row r="17" spans="1:26" s="71" customFormat="1" x14ac:dyDescent="0.2">
      <c r="A17" s="16">
        <v>10815</v>
      </c>
      <c r="B17" s="16" t="s">
        <v>79</v>
      </c>
      <c r="C17" s="16" t="s">
        <v>72</v>
      </c>
      <c r="D17" s="17">
        <v>44200</v>
      </c>
      <c r="E17" s="18"/>
      <c r="F17" s="19">
        <v>1.10995</v>
      </c>
      <c r="G17" s="19">
        <v>10.349080000000001</v>
      </c>
      <c r="H17" t="s">
        <v>128</v>
      </c>
      <c r="I17">
        <v>9.9882682286581165E-3</v>
      </c>
      <c r="J17">
        <v>1.8245242244707354</v>
      </c>
      <c r="K17">
        <v>7.1302621723482963E-3</v>
      </c>
      <c r="L17">
        <v>8.8794606483296075E-3</v>
      </c>
      <c r="M17">
        <v>2.7324770614458891</v>
      </c>
      <c r="N17">
        <v>1.7400116524860662E-2</v>
      </c>
      <c r="O17">
        <v>2.0760227557221653</v>
      </c>
      <c r="P17">
        <v>1.8904219070217203</v>
      </c>
      <c r="Q17">
        <v>7.5736473020188155E-3</v>
      </c>
      <c r="R17">
        <v>0.30506732526676233</v>
      </c>
      <c r="S17">
        <v>5.4928868386643674E-5</v>
      </c>
      <c r="T17">
        <v>0.30506732526676139</v>
      </c>
      <c r="U17">
        <v>1.3250849922502073</v>
      </c>
      <c r="V17">
        <v>0.30976058030010578</v>
      </c>
      <c r="W17">
        <v>0.19643224165587658</v>
      </c>
      <c r="X17">
        <v>0.67001349249817532</v>
      </c>
      <c r="Y17">
        <v>0.25974775284032753</v>
      </c>
      <c r="Z17">
        <v>0.71981291707839912</v>
      </c>
    </row>
    <row r="18" spans="1:26" s="71" customFormat="1" x14ac:dyDescent="0.2">
      <c r="A18" s="71">
        <v>10893</v>
      </c>
      <c r="B18" s="71" t="s">
        <v>144</v>
      </c>
      <c r="C18" s="71" t="s">
        <v>131</v>
      </c>
      <c r="D18" s="72">
        <v>44200</v>
      </c>
      <c r="E18" s="73">
        <v>653</v>
      </c>
      <c r="F18" s="71">
        <v>0.22381000000000001</v>
      </c>
      <c r="G18" s="74">
        <v>0.10609999999999964</v>
      </c>
      <c r="H18" t="s">
        <v>139</v>
      </c>
      <c r="I18">
        <v>1.366159487676012E-2</v>
      </c>
      <c r="J18">
        <v>1.261721334822332</v>
      </c>
      <c r="K18">
        <v>7.1587793870285452E-3</v>
      </c>
      <c r="L18">
        <v>1.7983640117246298E-2</v>
      </c>
      <c r="M18">
        <v>1.1869524799582147</v>
      </c>
      <c r="N18">
        <v>9.4141188234768032E-3</v>
      </c>
      <c r="O18">
        <v>2.6187460828839311</v>
      </c>
      <c r="P18">
        <v>1.1250792080132213</v>
      </c>
      <c r="Q18">
        <v>3.0166445401971206E-2</v>
      </c>
      <c r="R18">
        <v>0.30267429006179492</v>
      </c>
      <c r="S18">
        <v>2.1878609381982436E-4</v>
      </c>
      <c r="T18">
        <v>0.30267429006179547</v>
      </c>
      <c r="U18">
        <v>6.6074412381094962</v>
      </c>
      <c r="V18">
        <v>0.53095986811821194</v>
      </c>
      <c r="W18">
        <v>5.0027105670458073E-2</v>
      </c>
      <c r="X18">
        <v>0.44453670745501017</v>
      </c>
      <c r="Y18">
        <v>0.33021447182179303</v>
      </c>
      <c r="Z18">
        <v>0.22212251366527297</v>
      </c>
    </row>
    <row r="19" spans="1:26" s="71" customFormat="1" x14ac:dyDescent="0.2">
      <c r="A19" s="16">
        <v>10815</v>
      </c>
      <c r="B19" s="16" t="s">
        <v>79</v>
      </c>
      <c r="C19" s="16" t="s">
        <v>72</v>
      </c>
      <c r="D19" s="17">
        <v>44200</v>
      </c>
      <c r="E19" s="18"/>
      <c r="F19" s="19">
        <v>1.10995</v>
      </c>
      <c r="G19" s="19">
        <v>10.349080000000001</v>
      </c>
      <c r="H19" t="s">
        <v>140</v>
      </c>
      <c r="I19">
        <v>9.9706118152747009E-3</v>
      </c>
      <c r="J19">
        <v>1.5532939403468591</v>
      </c>
      <c r="K19">
        <v>7.1236781443474182E-3</v>
      </c>
      <c r="L19">
        <v>9.5085671597289062E-3</v>
      </c>
      <c r="M19">
        <v>2.7317441200579529</v>
      </c>
      <c r="N19">
        <v>2.0171552320133204E-2</v>
      </c>
      <c r="O19">
        <v>2.0794397205165724</v>
      </c>
      <c r="P19">
        <v>1.5150876999473981</v>
      </c>
      <c r="Q19">
        <v>7.5843834337440234E-3</v>
      </c>
      <c r="R19">
        <v>0.32643880577034479</v>
      </c>
      <c r="S19">
        <v>5.5006733587252964E-5</v>
      </c>
      <c r="T19">
        <v>0.32643880577034451</v>
      </c>
      <c r="U19">
        <v>1.3272173130115028</v>
      </c>
      <c r="V19">
        <v>0.40434978836793206</v>
      </c>
      <c r="W19">
        <v>0.19711588489680126</v>
      </c>
      <c r="X19">
        <v>0.91222422123992608</v>
      </c>
      <c r="Y19">
        <v>0.26002480265002059</v>
      </c>
      <c r="Z19">
        <v>0.75801669085666534</v>
      </c>
    </row>
    <row r="20" spans="1:26" s="71" customFormat="1" x14ac:dyDescent="0.2">
      <c r="D20" s="72"/>
      <c r="E20" s="73"/>
      <c r="G20" s="74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</row>
    <row r="21" spans="1:26" s="71" customFormat="1" x14ac:dyDescent="0.2">
      <c r="A21" s="16">
        <v>10815</v>
      </c>
      <c r="B21" s="16" t="s">
        <v>79</v>
      </c>
      <c r="C21" s="16" t="s">
        <v>72</v>
      </c>
      <c r="D21" s="17">
        <v>44201</v>
      </c>
      <c r="E21" s="18"/>
      <c r="F21" s="19">
        <v>1.10995</v>
      </c>
      <c r="G21" s="19">
        <v>10.349080000000001</v>
      </c>
      <c r="H21" t="s">
        <v>150</v>
      </c>
      <c r="I21">
        <v>9.8594020236670576E-3</v>
      </c>
      <c r="J21">
        <v>0.76395811886872966</v>
      </c>
      <c r="K21">
        <v>7.1422341560600996E-3</v>
      </c>
      <c r="L21">
        <v>7.0558447112462732E-3</v>
      </c>
      <c r="M21">
        <v>2.7325043048976134</v>
      </c>
      <c r="N21">
        <v>1.0940949678820458E-2</v>
      </c>
      <c r="O21">
        <v>2.0993143637999063</v>
      </c>
      <c r="P21">
        <v>0.75858929565716648</v>
      </c>
      <c r="Q21">
        <v>7.5722958503308402E-3</v>
      </c>
      <c r="R21">
        <v>0.15837717480792207</v>
      </c>
      <c r="S21">
        <v>5.4919066806382577E-5</v>
      </c>
      <c r="T21">
        <v>0.15837717480792268</v>
      </c>
      <c r="U21">
        <v>1.3189113802451786</v>
      </c>
      <c r="V21">
        <v>0.258701238171407</v>
      </c>
      <c r="W21">
        <v>0.19178994956834999</v>
      </c>
      <c r="X21">
        <v>0.38438625605245152</v>
      </c>
      <c r="Y21">
        <v>0.25289968853051342</v>
      </c>
      <c r="Z21">
        <v>0.32149610804698614</v>
      </c>
    </row>
    <row r="22" spans="1:26" s="71" customFormat="1" x14ac:dyDescent="0.2">
      <c r="A22" s="71">
        <v>10894</v>
      </c>
      <c r="B22" s="71" t="s">
        <v>145</v>
      </c>
      <c r="C22" s="71" t="s">
        <v>131</v>
      </c>
      <c r="D22" s="72">
        <v>44201</v>
      </c>
      <c r="E22" s="73">
        <v>58.75</v>
      </c>
      <c r="F22" s="71">
        <v>0.15754000000000001</v>
      </c>
      <c r="G22" s="74">
        <v>0.10246000000000066</v>
      </c>
      <c r="H22" t="s">
        <v>151</v>
      </c>
      <c r="I22">
        <v>1.0004480673152981E-2</v>
      </c>
      <c r="J22">
        <v>0.28897007086117188</v>
      </c>
      <c r="K22">
        <v>7.1443989744335327E-3</v>
      </c>
      <c r="L22">
        <v>3.5134889559604227E-3</v>
      </c>
      <c r="M22">
        <v>3.8826169707872489</v>
      </c>
      <c r="N22">
        <v>4.8911887785517373E-3</v>
      </c>
      <c r="O22">
        <v>3.4185908119520003</v>
      </c>
      <c r="P22">
        <v>0.28024757343255802</v>
      </c>
      <c r="Q22">
        <v>8.8070679513621766E-3</v>
      </c>
      <c r="R22">
        <v>4.5046030890657528E-2</v>
      </c>
      <c r="S22">
        <v>6.3874413090724447E-5</v>
      </c>
      <c r="T22">
        <v>4.504603089065664E-2</v>
      </c>
      <c r="U22">
        <v>1.9210674678887609</v>
      </c>
      <c r="V22">
        <v>0.20162980400220926</v>
      </c>
      <c r="W22">
        <v>0.1216027017948593</v>
      </c>
      <c r="X22">
        <v>0.19383047873446202</v>
      </c>
      <c r="Y22">
        <v>0.2337360887354232</v>
      </c>
      <c r="Z22">
        <v>0.14360581876019921</v>
      </c>
    </row>
    <row r="23" spans="1:26" s="71" customFormat="1" x14ac:dyDescent="0.2">
      <c r="A23" s="16">
        <v>10815</v>
      </c>
      <c r="B23" s="16" t="s">
        <v>79</v>
      </c>
      <c r="C23" s="16" t="s">
        <v>72</v>
      </c>
      <c r="D23" s="17">
        <v>44201</v>
      </c>
      <c r="E23" s="18"/>
      <c r="F23" s="19">
        <v>1.10995</v>
      </c>
      <c r="G23" s="19">
        <v>10.349080000000001</v>
      </c>
      <c r="H23" t="s">
        <v>152</v>
      </c>
      <c r="I23">
        <v>9.8861700893548704E-3</v>
      </c>
      <c r="J23">
        <v>0.49225496164835891</v>
      </c>
      <c r="K23">
        <v>7.1395446009696051E-3</v>
      </c>
      <c r="L23">
        <v>6.000604733982169E-3</v>
      </c>
      <c r="M23">
        <v>2.7323229913201557</v>
      </c>
      <c r="N23">
        <v>9.7305264078952052E-3</v>
      </c>
      <c r="O23">
        <v>2.0987350025684437</v>
      </c>
      <c r="P23">
        <v>0.52382442685695862</v>
      </c>
      <c r="Q23">
        <v>7.5823869564315199E-3</v>
      </c>
      <c r="R23">
        <v>0.14059856986150349</v>
      </c>
      <c r="S23">
        <v>5.4992253874221407E-5</v>
      </c>
      <c r="T23">
        <v>0.14059856986150446</v>
      </c>
      <c r="U23">
        <v>1.3189566882642019</v>
      </c>
      <c r="V23">
        <v>0.31765957902042125</v>
      </c>
      <c r="W23">
        <v>0.1917818206137262</v>
      </c>
      <c r="X23">
        <v>0.44190208013804899</v>
      </c>
      <c r="Y23">
        <v>0.25280031293683569</v>
      </c>
      <c r="Z23">
        <v>0.34831560677640827</v>
      </c>
    </row>
    <row r="24" spans="1:26" x14ac:dyDescent="0.2">
      <c r="A24" s="20">
        <v>10895</v>
      </c>
      <c r="B24" s="20" t="s">
        <v>146</v>
      </c>
      <c r="C24" s="20" t="s">
        <v>131</v>
      </c>
      <c r="D24" s="72">
        <v>44201</v>
      </c>
      <c r="E24" s="77">
        <v>162.75</v>
      </c>
      <c r="F24" s="20">
        <v>0.19141</v>
      </c>
      <c r="G24" s="78">
        <v>0.10177000000000014</v>
      </c>
      <c r="H24" t="s">
        <v>153</v>
      </c>
      <c r="I24">
        <v>1.0022796837380837E-2</v>
      </c>
      <c r="J24">
        <v>0.27361082211951149</v>
      </c>
      <c r="K24">
        <v>7.1428212293925741E-3</v>
      </c>
      <c r="L24">
        <v>3.9619786586525168E-3</v>
      </c>
      <c r="M24">
        <v>2.3130105872338826</v>
      </c>
      <c r="N24">
        <v>4.2765600470539298E-3</v>
      </c>
      <c r="O24">
        <v>2.0746528389363728</v>
      </c>
      <c r="P24">
        <v>0.26379588329428766</v>
      </c>
      <c r="Q24">
        <v>8.9868271798626762E-3</v>
      </c>
      <c r="R24">
        <v>5.5420519074567638E-2</v>
      </c>
      <c r="S24">
        <v>6.5178140424443387E-5</v>
      </c>
      <c r="T24">
        <v>5.5420519074568235E-2</v>
      </c>
      <c r="U24">
        <v>1.2149507419011136</v>
      </c>
      <c r="V24">
        <v>0.19861145619571802</v>
      </c>
      <c r="W24">
        <v>3.9412635063585544E-3</v>
      </c>
      <c r="X24">
        <v>0.16260391369893026</v>
      </c>
      <c r="Y24">
        <v>4.7920227783346371E-3</v>
      </c>
      <c r="Z24">
        <v>0.10930238412540086</v>
      </c>
    </row>
    <row r="25" spans="1:26" x14ac:dyDescent="0.2">
      <c r="A25" s="16">
        <v>10815</v>
      </c>
      <c r="B25" s="16" t="s">
        <v>79</v>
      </c>
      <c r="C25" s="16" t="s">
        <v>72</v>
      </c>
      <c r="D25" s="17">
        <v>44201</v>
      </c>
      <c r="E25" s="18"/>
      <c r="F25" s="19">
        <v>1.10995</v>
      </c>
      <c r="G25" s="19">
        <v>10.349080000000001</v>
      </c>
      <c r="H25" t="s">
        <v>154</v>
      </c>
      <c r="I25">
        <v>9.7565493713023133E-3</v>
      </c>
      <c r="J25">
        <v>0.73632405595512163</v>
      </c>
      <c r="K25">
        <v>7.1365322746616304E-3</v>
      </c>
      <c r="L25">
        <v>4.8337366130899529E-3</v>
      </c>
      <c r="M25">
        <v>2.7319277749369086</v>
      </c>
      <c r="N25">
        <v>8.6333048643123071E-3</v>
      </c>
      <c r="O25">
        <v>2.1230518705204551</v>
      </c>
      <c r="P25">
        <v>0.72456403779567102</v>
      </c>
      <c r="Q25">
        <v>7.5776042598524997E-3</v>
      </c>
      <c r="R25">
        <v>0.13291677258567527</v>
      </c>
      <c r="S25">
        <v>5.4957566741265994E-5</v>
      </c>
      <c r="T25">
        <v>0.13291677258567547</v>
      </c>
      <c r="U25">
        <v>1.3249840760706382</v>
      </c>
      <c r="V25">
        <v>0.2216668719257073</v>
      </c>
      <c r="W25">
        <v>0.19193777957332048</v>
      </c>
      <c r="X25">
        <v>0.31072742654649388</v>
      </c>
      <c r="Y25">
        <v>0.2536403290847325</v>
      </c>
      <c r="Z25">
        <v>0.28415816221154722</v>
      </c>
    </row>
    <row r="26" spans="1:26" x14ac:dyDescent="0.2">
      <c r="A26" s="20">
        <v>10896</v>
      </c>
      <c r="B26" s="20" t="s">
        <v>147</v>
      </c>
      <c r="C26" s="20" t="s">
        <v>131</v>
      </c>
      <c r="D26" s="72">
        <v>44201</v>
      </c>
      <c r="E26" s="77">
        <v>211.25</v>
      </c>
      <c r="F26" s="20">
        <v>0.18881000000000001</v>
      </c>
      <c r="G26" s="78">
        <v>0.1059999999999981</v>
      </c>
      <c r="H26" t="s">
        <v>155</v>
      </c>
      <c r="I26">
        <v>1.0035005738609321E-2</v>
      </c>
      <c r="J26">
        <v>0.25830683591882553</v>
      </c>
      <c r="K26">
        <v>7.1395446197963413E-3</v>
      </c>
      <c r="L26">
        <v>2.8952656332698187E-3</v>
      </c>
      <c r="M26">
        <v>3.0085213849925703</v>
      </c>
      <c r="N26">
        <v>4.8987378043251059E-3</v>
      </c>
      <c r="O26">
        <v>2.7360748016819167</v>
      </c>
      <c r="P26">
        <v>0.2618223068498261</v>
      </c>
      <c r="Q26">
        <v>9.1232959727786059E-3</v>
      </c>
      <c r="R26">
        <v>4.9737589496319776E-2</v>
      </c>
      <c r="S26">
        <v>6.6167898207719755E-5</v>
      </c>
      <c r="T26">
        <v>4.9737589496320823E-2</v>
      </c>
      <c r="U26">
        <v>1.6476980229457179</v>
      </c>
      <c r="V26">
        <v>0.18713911937143576</v>
      </c>
      <c r="W26">
        <v>6.3316513712285943E-2</v>
      </c>
      <c r="X26">
        <v>0.18311983696401204</v>
      </c>
      <c r="Y26">
        <v>0.10426860954408715</v>
      </c>
      <c r="Z26">
        <v>0.11888126507345</v>
      </c>
    </row>
    <row r="27" spans="1:26" x14ac:dyDescent="0.2">
      <c r="A27" s="16">
        <v>10815</v>
      </c>
      <c r="B27" s="16" t="s">
        <v>79</v>
      </c>
      <c r="C27" s="16" t="s">
        <v>72</v>
      </c>
      <c r="D27" s="17">
        <v>44201</v>
      </c>
      <c r="E27" s="18"/>
      <c r="F27" s="19">
        <v>1.10995</v>
      </c>
      <c r="G27" s="19">
        <v>10.349080000000001</v>
      </c>
      <c r="H27" t="s">
        <v>156</v>
      </c>
      <c r="I27">
        <v>9.753959422466027E-3</v>
      </c>
      <c r="J27">
        <v>0.56347395368879361</v>
      </c>
      <c r="K27">
        <v>7.1357571864571635E-3</v>
      </c>
      <c r="L27">
        <v>8.1250940484786718E-3</v>
      </c>
      <c r="M27">
        <v>2.7321375264986796</v>
      </c>
      <c r="N27">
        <v>8.7577005244114572E-3</v>
      </c>
      <c r="O27">
        <v>2.12215626267268</v>
      </c>
      <c r="P27">
        <v>0.61402578129604257</v>
      </c>
      <c r="Q27">
        <v>7.5723108542074674E-3</v>
      </c>
      <c r="R27">
        <v>0.15034383626538622</v>
      </c>
      <c r="S27">
        <v>5.4919175623961717E-5</v>
      </c>
      <c r="T27">
        <v>0.15034383626538639</v>
      </c>
      <c r="U27">
        <v>1.3206530381192316</v>
      </c>
      <c r="V27">
        <v>0.23784668816866322</v>
      </c>
      <c r="W27">
        <v>0.19212624995556205</v>
      </c>
      <c r="X27">
        <v>0.51828887829846948</v>
      </c>
      <c r="Y27">
        <v>0.25403497234050204</v>
      </c>
      <c r="Z27">
        <v>0.3432070002399587</v>
      </c>
    </row>
    <row r="28" spans="1:26" x14ac:dyDescent="0.2">
      <c r="A28" s="20">
        <v>10897</v>
      </c>
      <c r="B28" s="20" t="s">
        <v>148</v>
      </c>
      <c r="C28" s="20" t="s">
        <v>131</v>
      </c>
      <c r="D28" s="72">
        <v>44201</v>
      </c>
      <c r="E28" s="77">
        <v>224</v>
      </c>
      <c r="F28" s="20">
        <v>0.17977000000000001</v>
      </c>
      <c r="G28" s="78">
        <v>0.10402000000000022</v>
      </c>
      <c r="H28" t="s">
        <v>157</v>
      </c>
      <c r="I28">
        <v>1.0013198053154541E-2</v>
      </c>
      <c r="J28">
        <v>0.27847995111898466</v>
      </c>
      <c r="K28">
        <v>7.1408033665607846E-3</v>
      </c>
      <c r="L28">
        <v>4.5380021418026124E-3</v>
      </c>
      <c r="M28">
        <v>2.606509883702854</v>
      </c>
      <c r="N28">
        <v>4.4873045261507784E-3</v>
      </c>
      <c r="O28">
        <v>2.2570621178145567</v>
      </c>
      <c r="P28">
        <v>0.28809194001892252</v>
      </c>
      <c r="Q28">
        <v>8.672329035139887E-3</v>
      </c>
      <c r="R28">
        <v>6.0498710324696801E-2</v>
      </c>
      <c r="S28">
        <v>6.2897201464595472E-5</v>
      </c>
      <c r="T28">
        <v>6.0498710324696357E-2</v>
      </c>
      <c r="U28">
        <v>1.3267581006005615</v>
      </c>
      <c r="V28">
        <v>0.16558906335546114</v>
      </c>
      <c r="W28">
        <v>7.1253721076510748E-2</v>
      </c>
      <c r="X28">
        <v>0.1571848527484474</v>
      </c>
      <c r="Y28">
        <v>9.4508909006814634E-2</v>
      </c>
      <c r="Z28">
        <v>0.13849047621299462</v>
      </c>
    </row>
    <row r="29" spans="1:26" x14ac:dyDescent="0.2">
      <c r="A29" s="16">
        <v>10815</v>
      </c>
      <c r="B29" s="16" t="s">
        <v>79</v>
      </c>
      <c r="C29" s="16" t="s">
        <v>72</v>
      </c>
      <c r="D29" s="17">
        <v>44201</v>
      </c>
      <c r="E29" s="18"/>
      <c r="F29" s="19">
        <v>1.10995</v>
      </c>
      <c r="G29" s="19">
        <v>10.349080000000001</v>
      </c>
      <c r="H29" t="s">
        <v>158</v>
      </c>
      <c r="I29">
        <v>9.9137909873708834E-3</v>
      </c>
      <c r="J29">
        <v>0.79309725506877515</v>
      </c>
      <c r="K29">
        <v>7.1313618294102758E-3</v>
      </c>
      <c r="L29">
        <v>5.29590682898447E-3</v>
      </c>
      <c r="M29">
        <v>2.732158440230716</v>
      </c>
      <c r="N29">
        <v>8.0614282246770589E-3</v>
      </c>
      <c r="O29">
        <v>2.0869337228332987</v>
      </c>
      <c r="P29">
        <v>0.79229445506139284</v>
      </c>
      <c r="Q29">
        <v>7.5779247335162987E-3</v>
      </c>
      <c r="R29">
        <v>0.12777333373565922</v>
      </c>
      <c r="S29">
        <v>5.4959891018460118E-5</v>
      </c>
      <c r="T29">
        <v>0.12777333373565869</v>
      </c>
      <c r="U29">
        <v>1.3220608546223966</v>
      </c>
      <c r="V29">
        <v>0.2711327797364339</v>
      </c>
      <c r="W29">
        <v>0.19303668749721356</v>
      </c>
      <c r="X29">
        <v>0.31082609339585948</v>
      </c>
      <c r="Y29">
        <v>0.25533198594549633</v>
      </c>
      <c r="Z29">
        <v>0.31512458963778428</v>
      </c>
    </row>
    <row r="30" spans="1:26" x14ac:dyDescent="0.2">
      <c r="A30" s="20">
        <v>10898</v>
      </c>
      <c r="B30" s="20" t="s">
        <v>149</v>
      </c>
      <c r="C30" s="20" t="s">
        <v>131</v>
      </c>
      <c r="D30" s="72">
        <v>44201</v>
      </c>
      <c r="E30" s="77">
        <v>277.5</v>
      </c>
      <c r="F30" s="20">
        <v>0.20651</v>
      </c>
      <c r="G30" s="78">
        <v>0.10224000000000011</v>
      </c>
      <c r="H30" t="s">
        <v>159</v>
      </c>
      <c r="I30">
        <v>9.98355010987006E-3</v>
      </c>
      <c r="J30">
        <v>0.25333381916618025</v>
      </c>
      <c r="K30">
        <v>7.1377850579739943E-3</v>
      </c>
      <c r="L30">
        <v>5.7803924358101584E-3</v>
      </c>
      <c r="M30">
        <v>5.3180729343904929</v>
      </c>
      <c r="N30">
        <v>5.9678174211139556E-3</v>
      </c>
      <c r="O30">
        <v>5.0379674086473889</v>
      </c>
      <c r="P30">
        <v>0.25854315117832782</v>
      </c>
      <c r="Q30">
        <v>9.4547702746746697E-3</v>
      </c>
      <c r="R30">
        <v>3.4020692567978184E-2</v>
      </c>
      <c r="S30">
        <v>6.8571958969507554E-5</v>
      </c>
      <c r="T30">
        <v>3.4020692567978239E-2</v>
      </c>
      <c r="U30">
        <v>3.1381989021490075</v>
      </c>
      <c r="V30">
        <v>0.18865130056012888</v>
      </c>
      <c r="W30">
        <v>4.1151151956821931E-2</v>
      </c>
      <c r="X30">
        <v>0.2067627640375686</v>
      </c>
      <c r="Y30">
        <v>0.1290951021031583</v>
      </c>
      <c r="Z30">
        <v>0.12202886938892543</v>
      </c>
    </row>
    <row r="31" spans="1:26" x14ac:dyDescent="0.2">
      <c r="A31" s="16">
        <v>10815</v>
      </c>
      <c r="B31" s="16" t="s">
        <v>79</v>
      </c>
      <c r="C31" s="16" t="s">
        <v>72</v>
      </c>
      <c r="D31" s="17">
        <v>44201</v>
      </c>
      <c r="E31" s="18"/>
      <c r="F31" s="19">
        <v>1.10995</v>
      </c>
      <c r="G31" s="19">
        <v>10.349080000000001</v>
      </c>
      <c r="H31" t="s">
        <v>160</v>
      </c>
      <c r="I31">
        <v>9.9666232938619252E-3</v>
      </c>
      <c r="J31">
        <v>0.66049877859013795</v>
      </c>
      <c r="K31">
        <v>7.1233602575446293E-3</v>
      </c>
      <c r="L31">
        <v>6.6427470990827377E-3</v>
      </c>
      <c r="M31">
        <v>2.7318999672329238</v>
      </c>
      <c r="N31">
        <v>1.2465894328446636E-2</v>
      </c>
      <c r="O31">
        <v>2.0813538064676367</v>
      </c>
      <c r="P31">
        <v>0.65194955412057509</v>
      </c>
      <c r="Q31">
        <v>7.5917946555112024E-3</v>
      </c>
      <c r="R31">
        <v>0.14375737713362954</v>
      </c>
      <c r="S31">
        <v>5.5060484443187976E-5</v>
      </c>
      <c r="T31">
        <v>0.14375737713362954</v>
      </c>
      <c r="U31">
        <v>1.3219854196107961</v>
      </c>
      <c r="V31">
        <v>0.24643527732386697</v>
      </c>
      <c r="W31">
        <v>0.19640203865414382</v>
      </c>
      <c r="X31">
        <v>0.57347972925756585</v>
      </c>
      <c r="Y31">
        <v>0.25980551750567726</v>
      </c>
      <c r="Z31">
        <v>0.46180643990185577</v>
      </c>
    </row>
    <row r="33" spans="1:26" x14ac:dyDescent="0.2">
      <c r="A33" s="16">
        <v>10815</v>
      </c>
      <c r="B33" s="16" t="s">
        <v>79</v>
      </c>
      <c r="C33" s="16" t="s">
        <v>72</v>
      </c>
      <c r="D33" s="17">
        <v>44204</v>
      </c>
      <c r="E33" s="18"/>
      <c r="F33" s="19">
        <v>1.10995</v>
      </c>
      <c r="G33" s="19">
        <v>10.349080000000001</v>
      </c>
      <c r="H33" t="s">
        <v>150</v>
      </c>
      <c r="I33">
        <v>9.9056008804341983E-3</v>
      </c>
      <c r="J33">
        <v>1.1944939788165116</v>
      </c>
      <c r="K33">
        <v>7.1294664320751691E-3</v>
      </c>
      <c r="L33">
        <v>6.7911850176581717E-3</v>
      </c>
      <c r="M33">
        <v>2.7314993472187838</v>
      </c>
      <c r="N33">
        <v>1.2773116422660005E-2</v>
      </c>
      <c r="O33">
        <v>2.1031024018513023</v>
      </c>
      <c r="P33">
        <v>1.2500043466099189</v>
      </c>
      <c r="Q33">
        <v>7.5909898398069655E-3</v>
      </c>
      <c r="R33">
        <v>0.26437181700974322</v>
      </c>
      <c r="S33">
        <v>5.505464741194919E-5</v>
      </c>
      <c r="T33">
        <v>0.26437181700974344</v>
      </c>
      <c r="U33">
        <v>1.3224964542017568</v>
      </c>
      <c r="V33">
        <v>0.39320119400548353</v>
      </c>
      <c r="W33">
        <v>0.19368952272869672</v>
      </c>
      <c r="X33">
        <v>0.67383016432281773</v>
      </c>
      <c r="Y33">
        <v>0.25600417487088595</v>
      </c>
      <c r="Z33">
        <v>0.60441553903675371</v>
      </c>
    </row>
    <row r="34" spans="1:26" x14ac:dyDescent="0.2">
      <c r="A34" s="20">
        <v>10903</v>
      </c>
      <c r="B34" s="20" t="s">
        <v>167</v>
      </c>
      <c r="C34" s="20" t="s">
        <v>131</v>
      </c>
      <c r="D34" s="76">
        <v>44204</v>
      </c>
      <c r="E34" s="77">
        <v>44</v>
      </c>
      <c r="F34" s="20">
        <v>0.19997999999999999</v>
      </c>
      <c r="G34" s="78">
        <v>0.10280999999999985</v>
      </c>
      <c r="H34" t="s">
        <v>161</v>
      </c>
      <c r="I34">
        <v>9.9771249848784865E-3</v>
      </c>
      <c r="J34">
        <v>0.4377628281175226</v>
      </c>
      <c r="K34">
        <v>7.1365154128865127E-3</v>
      </c>
      <c r="L34">
        <v>6.7611361149005665E-3</v>
      </c>
      <c r="M34">
        <v>1.623172941423183</v>
      </c>
      <c r="N34">
        <v>7.7099547542564323E-3</v>
      </c>
      <c r="O34">
        <v>2.4883386951097366</v>
      </c>
      <c r="P34">
        <v>0.4401984404743382</v>
      </c>
      <c r="Q34">
        <v>1.5287434379034612E-2</v>
      </c>
      <c r="R34">
        <v>5.8978348186754077E-2</v>
      </c>
      <c r="S34">
        <v>1.1087411883460818E-4</v>
      </c>
      <c r="T34">
        <v>5.8978348186753557E-2</v>
      </c>
      <c r="U34">
        <v>1.5432223281952715</v>
      </c>
      <c r="V34">
        <v>0.21543714254718643</v>
      </c>
      <c r="W34">
        <v>1.0894560874117191E-2</v>
      </c>
      <c r="X34">
        <v>0.18626434956469506</v>
      </c>
      <c r="Y34">
        <v>1.6812808317567207E-2</v>
      </c>
      <c r="Z34">
        <v>0.13452507929628721</v>
      </c>
    </row>
    <row r="35" spans="1:26" x14ac:dyDescent="0.2">
      <c r="A35" s="16">
        <v>10815</v>
      </c>
      <c r="B35" s="16" t="s">
        <v>79</v>
      </c>
      <c r="C35" s="16" t="s">
        <v>72</v>
      </c>
      <c r="D35" s="17">
        <v>44204</v>
      </c>
      <c r="E35" s="18"/>
      <c r="F35" s="19">
        <v>1.10995</v>
      </c>
      <c r="G35" s="19">
        <v>10.349080000000001</v>
      </c>
      <c r="H35" t="s">
        <v>152</v>
      </c>
      <c r="I35">
        <v>9.730350083786924E-3</v>
      </c>
      <c r="J35">
        <v>1.3094403719333507</v>
      </c>
      <c r="K35">
        <v>7.1269880330882881E-3</v>
      </c>
      <c r="L35">
        <v>9.9336115824596068E-3</v>
      </c>
      <c r="M35">
        <v>2.7315917722475391</v>
      </c>
      <c r="N35">
        <v>1.2180162148429574E-2</v>
      </c>
      <c r="O35">
        <v>2.1336746937140298</v>
      </c>
      <c r="P35">
        <v>1.2795572632660743</v>
      </c>
      <c r="Q35">
        <v>7.5844035358942734E-3</v>
      </c>
      <c r="R35">
        <v>0.18355702916987149</v>
      </c>
      <c r="S35">
        <v>5.5006879380728841E-5</v>
      </c>
      <c r="T35">
        <v>0.18355702916987299</v>
      </c>
      <c r="U35">
        <v>1.3232785560940246</v>
      </c>
      <c r="V35">
        <v>0.31265658400785135</v>
      </c>
      <c r="W35">
        <v>0.18857832549408304</v>
      </c>
      <c r="X35">
        <v>0.59979039770818943</v>
      </c>
      <c r="Y35">
        <v>0.24967805060694467</v>
      </c>
      <c r="Z35">
        <v>0.63324389222250421</v>
      </c>
    </row>
    <row r="36" spans="1:26" x14ac:dyDescent="0.2">
      <c r="A36" s="20">
        <v>10904</v>
      </c>
      <c r="B36" s="20" t="s">
        <v>168</v>
      </c>
      <c r="C36" s="20" t="s">
        <v>131</v>
      </c>
      <c r="D36" s="76">
        <v>44204</v>
      </c>
      <c r="E36" s="77">
        <v>119</v>
      </c>
      <c r="F36" s="20">
        <v>0.20280000000000001</v>
      </c>
      <c r="G36" s="78">
        <v>0.10429000000000066</v>
      </c>
      <c r="H36" t="s">
        <v>162</v>
      </c>
      <c r="I36">
        <v>9.9642863815557585E-3</v>
      </c>
      <c r="J36">
        <v>0.46756843126158859</v>
      </c>
      <c r="K36">
        <v>7.126285986838711E-3</v>
      </c>
      <c r="L36">
        <v>6.2969865695679649E-3</v>
      </c>
      <c r="M36">
        <v>1.232444690852716</v>
      </c>
      <c r="N36">
        <v>8.7618550273731079E-3</v>
      </c>
      <c r="O36">
        <v>2.1802064018628582</v>
      </c>
      <c r="P36">
        <v>0.48170999114625435</v>
      </c>
      <c r="Q36">
        <v>1.7620022913544781E-2</v>
      </c>
      <c r="R36">
        <v>0.11038523382109076</v>
      </c>
      <c r="S36">
        <v>1.2779152249798581E-4</v>
      </c>
      <c r="T36">
        <v>0.11038523382109154</v>
      </c>
      <c r="U36">
        <v>1.4071730115806185</v>
      </c>
      <c r="V36">
        <v>0.31252789238282391</v>
      </c>
      <c r="W36">
        <v>5.8927771019239947E-2</v>
      </c>
      <c r="X36">
        <v>0.37665870978973542</v>
      </c>
      <c r="Y36">
        <v>8.2773850470852853E-2</v>
      </c>
      <c r="Z36">
        <v>0.28878351869269842</v>
      </c>
    </row>
    <row r="37" spans="1:26" x14ac:dyDescent="0.2">
      <c r="A37" s="16">
        <v>10815</v>
      </c>
      <c r="B37" s="16" t="s">
        <v>79</v>
      </c>
      <c r="C37" s="16" t="s">
        <v>72</v>
      </c>
      <c r="D37" s="17">
        <v>44204</v>
      </c>
      <c r="E37" s="18"/>
      <c r="F37" s="19">
        <v>1.10995</v>
      </c>
      <c r="G37" s="19">
        <v>10.349080000000001</v>
      </c>
      <c r="H37" t="s">
        <v>154</v>
      </c>
      <c r="I37">
        <v>9.8623568343576707E-3</v>
      </c>
      <c r="J37">
        <v>0.99369505257870316</v>
      </c>
      <c r="K37">
        <v>7.1212358233307196E-3</v>
      </c>
      <c r="L37">
        <v>9.2386313810726185E-3</v>
      </c>
      <c r="M37">
        <v>2.7323086588773227</v>
      </c>
      <c r="N37">
        <v>1.592533348048366E-2</v>
      </c>
      <c r="O37">
        <v>2.101187521141064</v>
      </c>
      <c r="P37">
        <v>0.99153188992625252</v>
      </c>
      <c r="Q37">
        <v>7.5690920025887716E-3</v>
      </c>
      <c r="R37">
        <v>0.22395470705138198</v>
      </c>
      <c r="S37">
        <v>5.4895830481275677E-5</v>
      </c>
      <c r="T37">
        <v>0.22395470705138185</v>
      </c>
      <c r="U37">
        <v>1.3199764071169251</v>
      </c>
      <c r="V37">
        <v>0.29861929443374174</v>
      </c>
      <c r="W37">
        <v>0.18979029201053293</v>
      </c>
      <c r="X37">
        <v>0.66682177369844653</v>
      </c>
      <c r="Y37">
        <v>0.25111281095624349</v>
      </c>
      <c r="Z37">
        <v>0.65505187378163865</v>
      </c>
    </row>
    <row r="38" spans="1:26" x14ac:dyDescent="0.2">
      <c r="A38" s="20">
        <v>10905</v>
      </c>
      <c r="B38" s="20" t="s">
        <v>169</v>
      </c>
      <c r="C38" s="20" t="s">
        <v>131</v>
      </c>
      <c r="D38" s="76">
        <v>44204</v>
      </c>
      <c r="E38" s="77">
        <v>122.5</v>
      </c>
      <c r="F38" s="20">
        <v>0.17899999999999999</v>
      </c>
      <c r="G38" s="78">
        <v>0.10221000000000124</v>
      </c>
      <c r="H38" t="s">
        <v>163</v>
      </c>
      <c r="I38">
        <v>9.9230873559814792E-3</v>
      </c>
      <c r="J38">
        <v>0.27447624733715376</v>
      </c>
      <c r="K38">
        <v>7.1256290744916503E-3</v>
      </c>
      <c r="L38">
        <v>8.0003651953118315E-3</v>
      </c>
      <c r="M38">
        <v>1.6452519110912152</v>
      </c>
      <c r="N38">
        <v>5.6516183420393263E-3</v>
      </c>
      <c r="O38">
        <v>2.5450149821163546</v>
      </c>
      <c r="P38">
        <v>0.29124490207837544</v>
      </c>
      <c r="Q38">
        <v>1.5350834086657822E-2</v>
      </c>
      <c r="R38">
        <v>5.8705582259999688E-2</v>
      </c>
      <c r="S38">
        <v>1.1133393351265093E-4</v>
      </c>
      <c r="T38">
        <v>5.8705582259999591E-2</v>
      </c>
      <c r="U38">
        <v>1.6363104673227438</v>
      </c>
      <c r="V38">
        <v>0.17217722298478044</v>
      </c>
      <c r="W38">
        <v>2.4186432913747094E-3</v>
      </c>
      <c r="X38">
        <v>0.16245245852478166</v>
      </c>
      <c r="Y38">
        <v>3.9594750114500931E-3</v>
      </c>
      <c r="Z38">
        <v>9.7919390705396098E-2</v>
      </c>
    </row>
    <row r="39" spans="1:26" x14ac:dyDescent="0.2">
      <c r="A39" s="16">
        <v>10815</v>
      </c>
      <c r="B39" s="16" t="s">
        <v>79</v>
      </c>
      <c r="C39" s="16" t="s">
        <v>72</v>
      </c>
      <c r="D39" s="17">
        <v>44204</v>
      </c>
      <c r="E39" s="18"/>
      <c r="F39" s="19">
        <v>1.10995</v>
      </c>
      <c r="G39" s="19">
        <v>10.349080000000001</v>
      </c>
      <c r="H39" t="s">
        <v>156</v>
      </c>
      <c r="I39">
        <v>9.8172094395572625E-3</v>
      </c>
      <c r="J39">
        <v>1.2402159648657216</v>
      </c>
      <c r="K39">
        <v>7.1119770286346617E-3</v>
      </c>
      <c r="L39">
        <v>7.6372582829256465E-3</v>
      </c>
      <c r="M39">
        <v>2.7323730131842292</v>
      </c>
      <c r="N39">
        <v>1.4425643437286376E-2</v>
      </c>
      <c r="O39">
        <v>2.1224722741997253</v>
      </c>
      <c r="P39">
        <v>1.3405921550872266</v>
      </c>
      <c r="Q39">
        <v>7.5927584564045468E-3</v>
      </c>
      <c r="R39">
        <v>0.2645702560662212</v>
      </c>
      <c r="S39">
        <v>5.5067474535320638E-5</v>
      </c>
      <c r="T39">
        <v>0.26457025606622098</v>
      </c>
      <c r="U39">
        <v>1.322896550837007</v>
      </c>
      <c r="V39">
        <v>0.340968405276732</v>
      </c>
      <c r="W39">
        <v>0.19024291473580304</v>
      </c>
      <c r="X39">
        <v>0.56639231228378273</v>
      </c>
      <c r="Y39">
        <v>0.25160314063550754</v>
      </c>
      <c r="Z39">
        <v>0.53841952531703841</v>
      </c>
    </row>
    <row r="40" spans="1:26" x14ac:dyDescent="0.2">
      <c r="A40" s="20">
        <v>10906</v>
      </c>
      <c r="B40" s="20" t="s">
        <v>170</v>
      </c>
      <c r="C40" s="20" t="s">
        <v>131</v>
      </c>
      <c r="D40" s="76">
        <v>44204</v>
      </c>
      <c r="E40" s="77">
        <v>337.5</v>
      </c>
      <c r="F40" s="20">
        <v>0.24376999999999999</v>
      </c>
      <c r="G40" s="78">
        <v>0.10571999999999981</v>
      </c>
      <c r="H40" t="s">
        <v>164</v>
      </c>
      <c r="I40">
        <v>1.005830143935367E-2</v>
      </c>
      <c r="J40">
        <v>0.42963150245867704</v>
      </c>
      <c r="K40">
        <v>7.1209405489180873E-3</v>
      </c>
      <c r="L40">
        <v>6.0379298811678297E-3</v>
      </c>
      <c r="M40">
        <v>1.8949460829145937</v>
      </c>
      <c r="N40">
        <v>7.0742954745005885E-3</v>
      </c>
      <c r="O40">
        <v>2.1673783380226554</v>
      </c>
      <c r="P40">
        <v>0.44942304563095153</v>
      </c>
      <c r="Q40">
        <v>1.1499814175743233E-2</v>
      </c>
      <c r="R40">
        <v>8.1900866144578921E-2</v>
      </c>
      <c r="S40">
        <v>8.3403907541599164E-5</v>
      </c>
      <c r="T40">
        <v>8.1900866144578532E-2</v>
      </c>
      <c r="U40">
        <v>1.4254279533220209</v>
      </c>
      <c r="V40">
        <v>0.20437393227658671</v>
      </c>
      <c r="W40">
        <v>6.3980612124054939E-2</v>
      </c>
      <c r="X40">
        <v>0.2310815022265538</v>
      </c>
      <c r="Y40">
        <v>9.1250087244073241E-2</v>
      </c>
      <c r="Z40">
        <v>0.15957002065550072</v>
      </c>
    </row>
    <row r="41" spans="1:26" x14ac:dyDescent="0.2">
      <c r="A41" s="16">
        <v>10815</v>
      </c>
      <c r="B41" s="16" t="s">
        <v>79</v>
      </c>
      <c r="C41" s="16" t="s">
        <v>72</v>
      </c>
      <c r="D41" s="17">
        <v>44204</v>
      </c>
      <c r="E41" s="18"/>
      <c r="F41" s="19">
        <v>1.10995</v>
      </c>
      <c r="G41" s="19">
        <v>10.349080000000001</v>
      </c>
      <c r="H41" t="s">
        <v>158</v>
      </c>
      <c r="I41">
        <v>9.7724043324646723E-3</v>
      </c>
      <c r="J41">
        <v>1.2656706293354085</v>
      </c>
      <c r="K41">
        <v>7.1085868835183592E-3</v>
      </c>
      <c r="L41">
        <v>7.7942610228766288E-3</v>
      </c>
      <c r="M41">
        <v>2.7315001443604054</v>
      </c>
      <c r="N41">
        <v>1.4960747974727441E-2</v>
      </c>
      <c r="O41">
        <v>2.1169717081969126</v>
      </c>
      <c r="P41">
        <v>1.2438947548268993</v>
      </c>
      <c r="Q41">
        <v>7.5692548809306011E-3</v>
      </c>
      <c r="R41">
        <v>0.21478269349276877</v>
      </c>
      <c r="S41">
        <v>5.489701177776923E-5</v>
      </c>
      <c r="T41">
        <v>0.21478269349276888</v>
      </c>
      <c r="U41">
        <v>1.3259317106879742</v>
      </c>
      <c r="V41">
        <v>0.34711818612195988</v>
      </c>
      <c r="W41">
        <v>0.19149666708975563</v>
      </c>
      <c r="X41">
        <v>0.40598297749974266</v>
      </c>
      <c r="Y41">
        <v>0.25385332910777969</v>
      </c>
      <c r="Z41">
        <v>0.47636298848470049</v>
      </c>
    </row>
    <row r="42" spans="1:26" x14ac:dyDescent="0.2">
      <c r="A42" s="20">
        <v>10899</v>
      </c>
      <c r="B42" s="20" t="s">
        <v>166</v>
      </c>
      <c r="C42" s="20" t="s">
        <v>131</v>
      </c>
      <c r="D42" s="76">
        <v>44204</v>
      </c>
      <c r="E42" s="77">
        <v>20</v>
      </c>
      <c r="F42" s="20">
        <v>0.10059999999999999</v>
      </c>
      <c r="G42" s="78">
        <v>0.10264000000000095</v>
      </c>
      <c r="H42" t="s">
        <v>165</v>
      </c>
      <c r="I42">
        <v>9.790229239431656E-3</v>
      </c>
      <c r="J42">
        <v>0.66101669072578828</v>
      </c>
      <c r="K42">
        <v>7.1077936730022384E-3</v>
      </c>
      <c r="L42">
        <v>8.3618502721877885E-3</v>
      </c>
      <c r="M42">
        <v>6.7815980342498765</v>
      </c>
      <c r="N42">
        <v>9.0161883216936783E-3</v>
      </c>
      <c r="O42">
        <v>5.0474092907712782</v>
      </c>
      <c r="P42">
        <v>0.66739967821038515</v>
      </c>
      <c r="Q42">
        <v>7.2817324143845865E-3</v>
      </c>
      <c r="R42">
        <v>7.6004299656788912E-2</v>
      </c>
      <c r="S42">
        <v>5.2811717454794969E-5</v>
      </c>
      <c r="T42">
        <v>7.6004299656789481E-2</v>
      </c>
      <c r="U42">
        <v>2.9883573195899711</v>
      </c>
      <c r="V42">
        <v>0.28897243408994444</v>
      </c>
      <c r="W42">
        <v>3.7692275343583465E-2</v>
      </c>
      <c r="X42">
        <v>0.27585083217888318</v>
      </c>
      <c r="Y42">
        <v>0.11261657623095012</v>
      </c>
      <c r="Z42">
        <v>0.15340842580795044</v>
      </c>
    </row>
    <row r="43" spans="1:26" x14ac:dyDescent="0.2">
      <c r="A43" s="16">
        <v>10815</v>
      </c>
      <c r="B43" s="16" t="s">
        <v>79</v>
      </c>
      <c r="C43" s="16" t="s">
        <v>72</v>
      </c>
      <c r="D43" s="17">
        <v>44204</v>
      </c>
      <c r="E43" s="18"/>
      <c r="F43" s="19">
        <v>1.10995</v>
      </c>
      <c r="G43" s="19">
        <v>10.349080000000001</v>
      </c>
      <c r="H43" t="s">
        <v>158</v>
      </c>
      <c r="I43">
        <v>9.7724043324646723E-3</v>
      </c>
      <c r="J43">
        <v>1.2656706293354085</v>
      </c>
      <c r="K43">
        <v>7.1085868835183592E-3</v>
      </c>
      <c r="L43">
        <v>7.7942610228766288E-3</v>
      </c>
      <c r="M43">
        <v>2.7315001443604054</v>
      </c>
      <c r="N43">
        <v>1.4960747974727441E-2</v>
      </c>
      <c r="O43">
        <v>2.1169717081969126</v>
      </c>
      <c r="P43">
        <v>1.2438947548268993</v>
      </c>
      <c r="Q43">
        <v>7.5692548809306011E-3</v>
      </c>
      <c r="R43">
        <v>0.21478269349276877</v>
      </c>
      <c r="S43">
        <v>5.489701177776923E-5</v>
      </c>
      <c r="T43">
        <v>0.21478269349276888</v>
      </c>
      <c r="U43">
        <v>1.3259317106879742</v>
      </c>
      <c r="V43">
        <v>0.34711818612195988</v>
      </c>
      <c r="W43">
        <v>0.19149666708975563</v>
      </c>
      <c r="X43">
        <v>0.40598297749974266</v>
      </c>
      <c r="Y43">
        <v>0.25385332910777969</v>
      </c>
      <c r="Z43">
        <v>0.47636298848470049</v>
      </c>
    </row>
    <row r="45" spans="1:26" x14ac:dyDescent="0.2">
      <c r="A45" s="16">
        <v>10815</v>
      </c>
      <c r="B45" s="16" t="s">
        <v>79</v>
      </c>
      <c r="C45" s="16" t="s">
        <v>72</v>
      </c>
      <c r="D45" s="17">
        <v>44207</v>
      </c>
      <c r="E45" s="18"/>
      <c r="F45" s="19">
        <v>1.10995</v>
      </c>
      <c r="G45" s="19">
        <v>10.349080000000001</v>
      </c>
      <c r="H45" t="s">
        <v>150</v>
      </c>
      <c r="I45">
        <v>9.8942039168223271E-3</v>
      </c>
      <c r="J45">
        <v>1.1574241621799164</v>
      </c>
      <c r="K45">
        <v>7.1392041522908055E-3</v>
      </c>
      <c r="L45">
        <v>6.9600895599029287E-3</v>
      </c>
      <c r="M45">
        <v>2.7319896290707808</v>
      </c>
      <c r="N45">
        <v>1.2333825311798989E-2</v>
      </c>
      <c r="O45">
        <v>2.0969058031035059</v>
      </c>
      <c r="P45">
        <v>1.1317827173967874</v>
      </c>
      <c r="Q45">
        <v>7.5797712479978912E-3</v>
      </c>
      <c r="R45">
        <v>0.16712737534401564</v>
      </c>
      <c r="S45">
        <v>5.4973283106431538E-5</v>
      </c>
      <c r="T45">
        <v>0.16712737534401625</v>
      </c>
      <c r="U45">
        <v>1.3203361128825968</v>
      </c>
      <c r="V45">
        <v>0.23433382692432539</v>
      </c>
      <c r="W45">
        <v>0.19534574383330242</v>
      </c>
      <c r="X45">
        <v>0.54457215482265464</v>
      </c>
      <c r="Y45">
        <v>0.25779705098581263</v>
      </c>
      <c r="Z45">
        <v>0.54501347718625714</v>
      </c>
    </row>
    <row r="46" spans="1:26" x14ac:dyDescent="0.2">
      <c r="A46" s="20">
        <v>10909</v>
      </c>
      <c r="B46" s="20" t="s">
        <v>173</v>
      </c>
      <c r="C46" s="20" t="s">
        <v>131</v>
      </c>
      <c r="D46" s="76">
        <v>44207</v>
      </c>
      <c r="F46" s="20">
        <v>0.1071</v>
      </c>
      <c r="G46" s="78">
        <v>9.8240000000000549E-2</v>
      </c>
      <c r="H46" t="s">
        <v>177</v>
      </c>
      <c r="I46">
        <v>1.0071265366263031E-2</v>
      </c>
      <c r="J46">
        <v>0.5980804694592915</v>
      </c>
      <c r="K46">
        <v>7.1290117788476073E-3</v>
      </c>
      <c r="L46">
        <v>2.100840787862393E-2</v>
      </c>
      <c r="M46">
        <v>0.72103688330087556</v>
      </c>
      <c r="N46">
        <v>1.2157620956812219E-2</v>
      </c>
      <c r="O46">
        <v>1.1801257510234429</v>
      </c>
      <c r="P46">
        <v>0.6397380004169485</v>
      </c>
      <c r="Q46">
        <v>1.6475142745940467E-2</v>
      </c>
      <c r="R46">
        <v>0.18785619153148522</v>
      </c>
      <c r="S46">
        <v>1.1948812922694545E-4</v>
      </c>
      <c r="T46">
        <v>0.18785619153148536</v>
      </c>
      <c r="U46">
        <v>0.43431087109031941</v>
      </c>
      <c r="V46">
        <v>0.34444948769010103</v>
      </c>
      <c r="W46">
        <v>0.12953838429060063</v>
      </c>
      <c r="X46">
        <v>0.7406213649406137</v>
      </c>
      <c r="Y46">
        <v>5.6339841067100577E-2</v>
      </c>
      <c r="Z46">
        <v>0.81747532782603483</v>
      </c>
    </row>
    <row r="47" spans="1:26" x14ac:dyDescent="0.2">
      <c r="A47" s="16">
        <v>10815</v>
      </c>
      <c r="B47" s="16" t="s">
        <v>79</v>
      </c>
      <c r="C47" s="16" t="s">
        <v>72</v>
      </c>
      <c r="D47" s="17">
        <v>44207</v>
      </c>
      <c r="E47" s="18"/>
      <c r="F47" s="19">
        <v>1.10995</v>
      </c>
      <c r="G47" s="19">
        <v>10.349080000000001</v>
      </c>
      <c r="H47" t="s">
        <v>152</v>
      </c>
      <c r="I47">
        <v>9.8209626364194752E-3</v>
      </c>
      <c r="J47">
        <v>0.95318353920694054</v>
      </c>
      <c r="K47">
        <v>7.1168442957553644E-3</v>
      </c>
      <c r="L47">
        <v>6.3154733281143936E-3</v>
      </c>
      <c r="M47">
        <v>2.7326245378589227</v>
      </c>
      <c r="N47">
        <v>1.3976050538767486E-2</v>
      </c>
      <c r="O47">
        <v>2.1076453659297796</v>
      </c>
      <c r="P47">
        <v>1.047557621675447</v>
      </c>
      <c r="Q47">
        <v>7.5695971286335378E-3</v>
      </c>
      <c r="R47">
        <v>0.16309567795012531</v>
      </c>
      <c r="S47">
        <v>5.4899493974032208E-5</v>
      </c>
      <c r="T47">
        <v>0.16309567795012417</v>
      </c>
      <c r="U47">
        <v>1.3282034368486073</v>
      </c>
      <c r="V47">
        <v>0.28809387817651133</v>
      </c>
      <c r="W47">
        <v>0.19638603939192248</v>
      </c>
      <c r="X47">
        <v>0.64254945503149197</v>
      </c>
      <c r="Y47">
        <v>0.26148747757655261</v>
      </c>
      <c r="Z47">
        <v>0.53389382080797987</v>
      </c>
    </row>
    <row r="48" spans="1:26" x14ac:dyDescent="0.2">
      <c r="A48" s="20">
        <v>10910</v>
      </c>
      <c r="B48" s="20" t="s">
        <v>174</v>
      </c>
      <c r="C48" s="20" t="s">
        <v>131</v>
      </c>
      <c r="D48" s="76">
        <v>44207</v>
      </c>
      <c r="F48" s="20">
        <v>7.7299999999999994E-2</v>
      </c>
      <c r="G48" s="78">
        <v>0.10397000000000034</v>
      </c>
      <c r="H48" t="s">
        <v>178</v>
      </c>
      <c r="I48">
        <v>1.0051875970916639E-2</v>
      </c>
      <c r="J48">
        <v>0.31337604376100775</v>
      </c>
      <c r="K48">
        <v>7.1187318329750211E-3</v>
      </c>
      <c r="L48">
        <v>7.7191685115640231E-3</v>
      </c>
      <c r="M48">
        <v>0.72032329374937076</v>
      </c>
      <c r="N48">
        <v>8.3718155119079981E-3</v>
      </c>
      <c r="O48">
        <v>1.4519934666578802</v>
      </c>
      <c r="P48">
        <v>0.37595120582223046</v>
      </c>
      <c r="Q48">
        <v>2.0264210953055136E-2</v>
      </c>
      <c r="R48">
        <v>9.3792562134217078E-2</v>
      </c>
      <c r="S48">
        <v>1.469688423572148E-4</v>
      </c>
      <c r="T48">
        <v>9.3792562134217786E-2</v>
      </c>
      <c r="U48">
        <v>0.88321741523206054</v>
      </c>
      <c r="V48">
        <v>0.21056466466375959</v>
      </c>
      <c r="W48">
        <v>2.6764432640985606E-2</v>
      </c>
      <c r="X48">
        <v>0.20974705201119748</v>
      </c>
      <c r="Y48">
        <v>2.3657681568994133E-2</v>
      </c>
      <c r="Z48">
        <v>0.14752039070626072</v>
      </c>
    </row>
    <row r="49" spans="1:26" x14ac:dyDescent="0.2">
      <c r="A49" s="16">
        <v>10815</v>
      </c>
      <c r="B49" s="16" t="s">
        <v>79</v>
      </c>
      <c r="C49" s="16" t="s">
        <v>72</v>
      </c>
      <c r="D49" s="17">
        <v>44207</v>
      </c>
      <c r="E49" s="18"/>
      <c r="F49" s="19">
        <v>1.10995</v>
      </c>
      <c r="G49" s="19">
        <v>10.349080000000001</v>
      </c>
      <c r="H49" t="s">
        <v>154</v>
      </c>
      <c r="I49">
        <v>9.8497979289852121E-3</v>
      </c>
      <c r="J49">
        <v>1.1267897694763001</v>
      </c>
      <c r="K49">
        <v>7.118700735378008E-3</v>
      </c>
      <c r="L49">
        <v>7.6725068269822812E-3</v>
      </c>
      <c r="M49">
        <v>2.7323087004185846</v>
      </c>
      <c r="N49">
        <v>1.3180984337717055E-2</v>
      </c>
      <c r="O49">
        <v>2.11181250829897</v>
      </c>
      <c r="P49">
        <v>1.0321433428684026</v>
      </c>
      <c r="Q49">
        <v>7.5814519423235398E-3</v>
      </c>
      <c r="R49">
        <v>0.20339319701944489</v>
      </c>
      <c r="S49">
        <v>5.4985472562017515E-5</v>
      </c>
      <c r="T49">
        <v>0.20339319701944444</v>
      </c>
      <c r="U49">
        <v>1.3294214402068714</v>
      </c>
      <c r="V49">
        <v>0.319825459125681</v>
      </c>
      <c r="W49">
        <v>0.19576667095725844</v>
      </c>
      <c r="X49">
        <v>0.51105473044127558</v>
      </c>
      <c r="Y49">
        <v>0.26033641109595373</v>
      </c>
      <c r="Z49">
        <v>0.51925589691591179</v>
      </c>
    </row>
    <row r="50" spans="1:26" x14ac:dyDescent="0.2">
      <c r="A50" s="20">
        <v>10911</v>
      </c>
      <c r="B50" s="20" t="s">
        <v>175</v>
      </c>
      <c r="C50" s="20" t="s">
        <v>131</v>
      </c>
      <c r="D50" s="76">
        <v>44207</v>
      </c>
      <c r="F50" s="20">
        <v>8.5379999999999998E-2</v>
      </c>
      <c r="G50" s="78">
        <v>0.10314999999999941</v>
      </c>
      <c r="H50" t="s">
        <v>179</v>
      </c>
      <c r="I50">
        <v>1.003270115150216E-2</v>
      </c>
      <c r="J50">
        <v>0.2961773121564939</v>
      </c>
      <c r="K50">
        <v>7.1166767567616088E-3</v>
      </c>
      <c r="L50">
        <v>9.5318114742070463E-3</v>
      </c>
      <c r="M50">
        <v>0.48620135046352908</v>
      </c>
      <c r="N50">
        <v>8.6418401976497E-3</v>
      </c>
      <c r="O50">
        <v>0.86943488006914293</v>
      </c>
      <c r="P50">
        <v>0.33390153296486635</v>
      </c>
      <c r="Q50">
        <v>1.793076144732857E-2</v>
      </c>
      <c r="R50">
        <v>0.14863029811815898</v>
      </c>
      <c r="S50">
        <v>1.3004519438739617E-4</v>
      </c>
      <c r="T50">
        <v>0.14863029811815809</v>
      </c>
      <c r="U50">
        <v>0.36412377007172125</v>
      </c>
      <c r="V50">
        <v>0.2828095855625084</v>
      </c>
      <c r="W50">
        <v>4.4148279652214649E-2</v>
      </c>
      <c r="X50">
        <v>0.20697716650129178</v>
      </c>
      <c r="Y50">
        <v>1.6071893922426271E-2</v>
      </c>
      <c r="Z50">
        <v>0.29604085782925244</v>
      </c>
    </row>
    <row r="51" spans="1:26" x14ac:dyDescent="0.2">
      <c r="A51" s="16">
        <v>10815</v>
      </c>
      <c r="B51" s="16" t="s">
        <v>79</v>
      </c>
      <c r="C51" s="16" t="s">
        <v>72</v>
      </c>
      <c r="D51" s="17">
        <v>44207</v>
      </c>
      <c r="E51" s="18"/>
      <c r="F51" s="19">
        <v>1.10995</v>
      </c>
      <c r="G51" s="19">
        <v>10.349080000000001</v>
      </c>
      <c r="H51" t="s">
        <v>156</v>
      </c>
      <c r="I51">
        <v>9.8462046576242943E-3</v>
      </c>
      <c r="J51">
        <v>1.0220777755824237</v>
      </c>
      <c r="K51">
        <v>7.1378169392464523E-3</v>
      </c>
      <c r="L51">
        <v>9.9976670462009025E-3</v>
      </c>
      <c r="M51">
        <v>2.7319416350816663</v>
      </c>
      <c r="N51">
        <v>1.4118462633135384E-2</v>
      </c>
      <c r="O51">
        <v>2.1049155531095369</v>
      </c>
      <c r="P51">
        <v>0.98793636462845813</v>
      </c>
      <c r="Q51">
        <v>7.5734589600227834E-3</v>
      </c>
      <c r="R51">
        <v>0.21550506738927988</v>
      </c>
      <c r="S51">
        <v>5.492750241166501E-5</v>
      </c>
      <c r="T51">
        <v>0.2155050673892783</v>
      </c>
      <c r="U51">
        <v>1.3179089943419364</v>
      </c>
      <c r="V51">
        <v>0.23596545865112931</v>
      </c>
      <c r="W51">
        <v>0.19078486473033243</v>
      </c>
      <c r="X51">
        <v>0.54548439767849954</v>
      </c>
      <c r="Y51">
        <v>0.25195843151986808</v>
      </c>
      <c r="Z51">
        <v>0.3770430352778269</v>
      </c>
    </row>
    <row r="52" spans="1:26" x14ac:dyDescent="0.2">
      <c r="A52" s="20">
        <v>10912</v>
      </c>
      <c r="B52" s="20" t="s">
        <v>176</v>
      </c>
      <c r="C52" s="20" t="s">
        <v>131</v>
      </c>
      <c r="D52" s="76">
        <v>44207</v>
      </c>
      <c r="F52" s="20">
        <v>9.1130000000000003E-2</v>
      </c>
      <c r="G52" s="78">
        <v>9.9479999999999791E-2</v>
      </c>
      <c r="H52" t="s">
        <v>180</v>
      </c>
      <c r="I52">
        <v>1.0005521390507709E-2</v>
      </c>
      <c r="J52">
        <v>0.31880386501463642</v>
      </c>
      <c r="K52">
        <v>7.1443233419530112E-3</v>
      </c>
      <c r="L52">
        <v>4.783108023899499E-3</v>
      </c>
      <c r="M52">
        <v>1.2408081809683831</v>
      </c>
      <c r="N52">
        <v>6.4561710363257195E-3</v>
      </c>
      <c r="O52">
        <v>2.2727046986865691</v>
      </c>
      <c r="P52">
        <v>0.32710733715259926</v>
      </c>
      <c r="Q52">
        <v>1.8324890059231942E-2</v>
      </c>
      <c r="R52">
        <v>5.9958274939778934E-2</v>
      </c>
      <c r="S52">
        <v>1.329036637334509E-4</v>
      </c>
      <c r="T52">
        <v>5.9958274939778199E-2</v>
      </c>
      <c r="U52">
        <v>0.83362533217324009</v>
      </c>
      <c r="V52">
        <v>0.22028048848809187</v>
      </c>
      <c r="W52">
        <v>7.9308429680053819E-2</v>
      </c>
      <c r="X52">
        <v>0.20260223361463423</v>
      </c>
      <c r="Y52">
        <v>6.6099835976386981E-2</v>
      </c>
      <c r="Z52">
        <v>0.17207746845441124</v>
      </c>
    </row>
    <row r="53" spans="1:26" x14ac:dyDescent="0.2">
      <c r="A53" s="16">
        <v>10815</v>
      </c>
      <c r="B53" s="16" t="s">
        <v>79</v>
      </c>
      <c r="C53" s="16" t="s">
        <v>72</v>
      </c>
      <c r="D53" s="17">
        <v>44207</v>
      </c>
      <c r="E53" s="18"/>
      <c r="F53" s="19">
        <v>1.10995</v>
      </c>
      <c r="G53" s="19">
        <v>10.349080000000001</v>
      </c>
      <c r="H53" t="s">
        <v>158</v>
      </c>
      <c r="I53">
        <v>1.0046841722993763E-2</v>
      </c>
      <c r="J53">
        <v>0.9482338934903255</v>
      </c>
      <c r="K53">
        <v>7.1433472923645115E-3</v>
      </c>
      <c r="L53">
        <v>6.8498267400978535E-3</v>
      </c>
      <c r="M53">
        <v>2.7316318251220677</v>
      </c>
      <c r="N53">
        <v>1.0405856561065394E-2</v>
      </c>
      <c r="O53">
        <v>2.0658705400429418</v>
      </c>
      <c r="P53">
        <v>0.93751294934021523</v>
      </c>
      <c r="Q53">
        <v>7.5930180996856451E-3</v>
      </c>
      <c r="R53">
        <v>0.14849370385757005</v>
      </c>
      <c r="S53">
        <v>5.5069357632202001E-5</v>
      </c>
      <c r="T53">
        <v>0.14849370385757021</v>
      </c>
      <c r="U53">
        <v>1.3202982017203977</v>
      </c>
      <c r="V53">
        <v>0.33237839116216966</v>
      </c>
      <c r="W53">
        <v>0.18715740046737728</v>
      </c>
      <c r="X53">
        <v>0.55107882149858478</v>
      </c>
      <c r="Y53">
        <v>0.24744129234151355</v>
      </c>
      <c r="Z53">
        <v>0.51695824273254853</v>
      </c>
    </row>
    <row r="54" spans="1:26" x14ac:dyDescent="0.2">
      <c r="A54" s="20">
        <v>10907</v>
      </c>
      <c r="B54" s="20" t="s">
        <v>171</v>
      </c>
      <c r="C54" s="20" t="s">
        <v>131</v>
      </c>
      <c r="D54" s="76">
        <v>44207</v>
      </c>
      <c r="E54" s="77">
        <v>341.5</v>
      </c>
      <c r="F54" s="20">
        <v>0.18321999999999999</v>
      </c>
      <c r="G54" s="78">
        <v>0.10273999999999894</v>
      </c>
      <c r="H54" t="s">
        <v>181</v>
      </c>
      <c r="I54">
        <v>1.003524990702233E-2</v>
      </c>
      <c r="J54">
        <v>0.30531695899626754</v>
      </c>
      <c r="K54">
        <v>7.1453705918887419E-3</v>
      </c>
      <c r="L54">
        <v>8.6557438458100024E-3</v>
      </c>
      <c r="M54">
        <v>1.5650344633044013</v>
      </c>
      <c r="N54">
        <v>5.7632996353276433E-3</v>
      </c>
      <c r="O54">
        <v>1.789135645707927</v>
      </c>
      <c r="P54">
        <v>0.31311457091422928</v>
      </c>
      <c r="Q54">
        <v>1.147270105032918E-2</v>
      </c>
      <c r="R54">
        <v>7.7558089281477186E-2</v>
      </c>
      <c r="S54">
        <v>8.3207266050646444E-5</v>
      </c>
      <c r="T54">
        <v>7.7558089281476617E-2</v>
      </c>
      <c r="U54">
        <v>1.1727947715642935</v>
      </c>
      <c r="V54">
        <v>0.18282971129831341</v>
      </c>
      <c r="W54">
        <v>6.4972073653869644E-2</v>
      </c>
      <c r="X54">
        <v>0.1962591340149154</v>
      </c>
      <c r="Y54">
        <v>7.6242260295838665E-2</v>
      </c>
      <c r="Z54">
        <v>0.17833250611907656</v>
      </c>
    </row>
    <row r="55" spans="1:26" x14ac:dyDescent="0.2">
      <c r="A55" s="16">
        <v>10815</v>
      </c>
      <c r="B55" s="16" t="s">
        <v>79</v>
      </c>
      <c r="C55" s="16" t="s">
        <v>72</v>
      </c>
      <c r="D55" s="17">
        <v>44207</v>
      </c>
      <c r="E55" s="18"/>
      <c r="F55" s="19">
        <v>1.10995</v>
      </c>
      <c r="G55" s="19">
        <v>10.349080000000001</v>
      </c>
      <c r="H55" t="s">
        <v>160</v>
      </c>
      <c r="I55">
        <v>9.9835458150703688E-3</v>
      </c>
      <c r="J55">
        <v>0.73844681606339857</v>
      </c>
      <c r="K55">
        <v>7.1406841362536052E-3</v>
      </c>
      <c r="L55">
        <v>7.1138650987501899E-3</v>
      </c>
      <c r="M55">
        <v>2.7314952735760283</v>
      </c>
      <c r="N55">
        <v>1.6341497910732378E-2</v>
      </c>
      <c r="O55">
        <v>2.0794013132445568</v>
      </c>
      <c r="P55">
        <v>0.8020246860496022</v>
      </c>
      <c r="Q55">
        <v>7.5803898724265961E-3</v>
      </c>
      <c r="R55">
        <v>0.16646841443678545</v>
      </c>
      <c r="S55">
        <v>5.4977769761073648E-5</v>
      </c>
      <c r="T55">
        <v>0.16646841443678531</v>
      </c>
      <c r="U55">
        <v>1.3169725761559046</v>
      </c>
      <c r="V55">
        <v>0.30420399257916669</v>
      </c>
      <c r="W55">
        <v>0.18806539758523852</v>
      </c>
      <c r="X55">
        <v>0.60187275999661871</v>
      </c>
      <c r="Y55">
        <v>0.24792060052537152</v>
      </c>
      <c r="Z55">
        <v>0.57341477508064942</v>
      </c>
    </row>
    <row r="56" spans="1:26" x14ac:dyDescent="0.2">
      <c r="A56" s="20">
        <v>10908</v>
      </c>
      <c r="B56" s="20" t="s">
        <v>172</v>
      </c>
      <c r="C56" s="20" t="s">
        <v>131</v>
      </c>
      <c r="D56" s="76">
        <v>44207</v>
      </c>
      <c r="E56" s="77">
        <v>544.5</v>
      </c>
      <c r="F56" s="20">
        <v>0.1943</v>
      </c>
      <c r="G56" s="78">
        <v>0.10337999999999958</v>
      </c>
      <c r="H56" t="s">
        <v>182</v>
      </c>
      <c r="I56">
        <v>9.982060504342246E-3</v>
      </c>
      <c r="J56">
        <v>0.32172147135139378</v>
      </c>
      <c r="K56">
        <v>7.1387711008899608E-3</v>
      </c>
      <c r="L56">
        <v>4.8546622905104551E-3</v>
      </c>
      <c r="M56">
        <v>2.4605315563181431</v>
      </c>
      <c r="N56">
        <v>6.3268134882415094E-3</v>
      </c>
      <c r="O56">
        <v>3.2267866542918422</v>
      </c>
      <c r="P56">
        <v>0.30239232419577561</v>
      </c>
      <c r="Q56">
        <v>1.3086230478489403E-2</v>
      </c>
      <c r="R56">
        <v>5.1670866211341995E-2</v>
      </c>
      <c r="S56">
        <v>9.4909599426240085E-5</v>
      </c>
      <c r="T56">
        <v>5.1670866211341038E-2</v>
      </c>
      <c r="U56">
        <v>2.1657012823755677</v>
      </c>
      <c r="V56">
        <v>0.1863882030810444</v>
      </c>
      <c r="W56">
        <v>3.337060275443629E-2</v>
      </c>
      <c r="X56">
        <v>0.18484465243586853</v>
      </c>
      <c r="Y56">
        <v>7.2247734631869093E-2</v>
      </c>
      <c r="Z56">
        <v>9.6033367953149651E-2</v>
      </c>
    </row>
    <row r="57" spans="1:26" x14ac:dyDescent="0.2">
      <c r="A57" s="16">
        <v>10815</v>
      </c>
      <c r="B57" s="16" t="s">
        <v>79</v>
      </c>
      <c r="C57" s="16" t="s">
        <v>72</v>
      </c>
      <c r="D57" s="17">
        <v>44207</v>
      </c>
      <c r="E57" s="18"/>
      <c r="F57" s="19">
        <v>1.10995</v>
      </c>
      <c r="G57" s="19">
        <v>10.349080000000001</v>
      </c>
      <c r="H57" t="s">
        <v>183</v>
      </c>
      <c r="I57">
        <v>9.9783655139698783E-3</v>
      </c>
      <c r="J57">
        <v>0.54180662545578728</v>
      </c>
      <c r="K57">
        <v>7.1335792162675353E-3</v>
      </c>
      <c r="L57">
        <v>4.4697111628453998E-3</v>
      </c>
      <c r="M57">
        <v>2.7323654959515951</v>
      </c>
      <c r="N57">
        <v>7.5838000212099278E-3</v>
      </c>
      <c r="O57">
        <v>2.0771433094205509</v>
      </c>
      <c r="P57">
        <v>0.56595916753975606</v>
      </c>
      <c r="Q57">
        <v>7.5737365147607568E-3</v>
      </c>
      <c r="R57">
        <v>0.10237799206959017</v>
      </c>
      <c r="S57">
        <v>5.4929515413731804E-5</v>
      </c>
      <c r="T57">
        <v>0.10237799206958978</v>
      </c>
      <c r="U57">
        <v>1.3228134116212948</v>
      </c>
      <c r="V57">
        <v>0.22853590288364156</v>
      </c>
      <c r="W57">
        <v>0.19301071497194658</v>
      </c>
      <c r="X57">
        <v>0.31800290580782742</v>
      </c>
      <c r="Y57">
        <v>0.2548409524865119</v>
      </c>
      <c r="Z57">
        <v>0.28101072712864722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tabColor indexed="10"/>
  </sheetPr>
  <dimension ref="A1:DF57"/>
  <sheetViews>
    <sheetView zoomScaleNormal="100" workbookViewId="0">
      <pane xSplit="2" ySplit="3" topLeftCell="C28" activePane="bottomRight" state="frozen"/>
      <selection pane="topRight" activeCell="C1" sqref="C1"/>
      <selection pane="bottomLeft" activeCell="A4" sqref="A4"/>
      <selection pane="bottomRight" activeCell="A56" sqref="A56:XFD57"/>
    </sheetView>
  </sheetViews>
  <sheetFormatPr baseColWidth="10" defaultRowHeight="14.25" x14ac:dyDescent="0.2"/>
  <cols>
    <col min="1" max="1" width="23.7109375" style="20" bestFit="1" customWidth="1"/>
    <col min="2" max="2" width="37.42578125" style="20" bestFit="1" customWidth="1"/>
    <col min="3" max="3" width="13.5703125" style="20" customWidth="1"/>
    <col min="4" max="4" width="12.5703125" style="20" customWidth="1"/>
    <col min="5" max="5" width="12.28515625" style="81" bestFit="1" customWidth="1"/>
    <col min="6" max="6" width="13.5703125" style="20" customWidth="1"/>
    <col min="7" max="7" width="12.28515625" style="78" bestFit="1" customWidth="1"/>
    <col min="8" max="8" width="14.5703125" style="20" customWidth="1"/>
    <col min="9" max="9" width="11.42578125" style="20"/>
    <col min="10" max="10" width="15.28515625" style="20" bestFit="1" customWidth="1"/>
    <col min="11" max="11" width="12.7109375" style="20" customWidth="1"/>
    <col min="12" max="12" width="12.85546875" style="20" customWidth="1"/>
    <col min="13" max="13" width="14.7109375" style="20" customWidth="1"/>
    <col min="14" max="14" width="11.42578125" style="20"/>
    <col min="15" max="15" width="13" style="20" bestFit="1" customWidth="1"/>
    <col min="16" max="16" width="14.7109375" style="20" customWidth="1"/>
    <col min="17" max="17" width="14.140625" style="20" bestFit="1" customWidth="1"/>
    <col min="18" max="18" width="15.28515625" style="20" customWidth="1"/>
    <col min="19" max="19" width="15.28515625" style="20" bestFit="1" customWidth="1"/>
    <col min="20" max="20" width="14.28515625" style="20" customWidth="1"/>
    <col min="21" max="21" width="15.7109375" style="20" bestFit="1" customWidth="1"/>
    <col min="22" max="22" width="14.28515625" style="20" customWidth="1"/>
    <col min="23" max="23" width="11.85546875" style="20" bestFit="1" customWidth="1"/>
    <col min="24" max="24" width="15.28515625" style="20" customWidth="1"/>
    <col min="25" max="25" width="15" style="20" customWidth="1"/>
    <col min="26" max="26" width="13.140625" style="20" customWidth="1"/>
    <col min="27" max="27" width="14" style="20" bestFit="1" customWidth="1"/>
    <col min="28" max="29" width="11.42578125" style="20"/>
    <col min="30" max="30" width="14.140625" style="20" bestFit="1" customWidth="1"/>
    <col min="31" max="31" width="14" style="20" customWidth="1"/>
    <col min="32" max="32" width="13.28515625" style="20" customWidth="1"/>
    <col min="33" max="33" width="12.7109375" style="20" customWidth="1"/>
    <col min="34" max="34" width="15.28515625" style="20" bestFit="1" customWidth="1"/>
    <col min="35" max="35" width="15" style="20" customWidth="1"/>
    <col min="36" max="36" width="19.5703125" style="20" customWidth="1"/>
    <col min="37" max="39" width="12.85546875" style="20" customWidth="1"/>
    <col min="40" max="40" width="17" style="20" bestFit="1" customWidth="1"/>
    <col min="41" max="41" width="16.42578125" style="20" customWidth="1"/>
    <col min="42" max="42" width="15.7109375" style="20" customWidth="1"/>
    <col min="43" max="43" width="14.85546875" style="20" customWidth="1"/>
    <col min="44" max="44" width="12.7109375" style="20" customWidth="1"/>
    <col min="45" max="45" width="16.28515625" style="20" customWidth="1"/>
    <col min="46" max="46" width="16.42578125" style="20" customWidth="1"/>
    <col min="47" max="47" width="18.85546875" style="20" customWidth="1"/>
    <col min="48" max="48" width="13.85546875" style="20" customWidth="1"/>
    <col min="49" max="49" width="14.7109375" style="20" customWidth="1"/>
    <col min="50" max="52" width="17" style="20" customWidth="1"/>
    <col min="53" max="53" width="32.42578125" style="20" bestFit="1" customWidth="1"/>
    <col min="54" max="54" width="11.42578125" style="20"/>
    <col min="55" max="55" width="16.42578125" style="20" customWidth="1"/>
    <col min="56" max="56" width="17" style="20" customWidth="1"/>
    <col min="57" max="58" width="17.140625" style="20" customWidth="1"/>
    <col min="59" max="59" width="11.5703125" style="77" customWidth="1"/>
    <col min="60" max="60" width="12.140625" style="20" bestFit="1" customWidth="1"/>
    <col min="61" max="65" width="11.42578125" style="71"/>
    <col min="66" max="66" width="28" style="71" bestFit="1" customWidth="1"/>
    <col min="67" max="67" width="27" style="71" bestFit="1" customWidth="1"/>
    <col min="68" max="68" width="11.42578125" style="71"/>
    <col min="69" max="69" width="14.5703125" style="71" customWidth="1"/>
    <col min="70" max="16384" width="11.42578125" style="71"/>
  </cols>
  <sheetData>
    <row r="1" spans="1:110" ht="24.75" customHeight="1" x14ac:dyDescent="0.2">
      <c r="C1" s="159" t="s">
        <v>105</v>
      </c>
      <c r="W1" s="159" t="s">
        <v>106</v>
      </c>
      <c r="AJ1" s="159" t="s">
        <v>107</v>
      </c>
      <c r="AW1" s="159" t="s">
        <v>108</v>
      </c>
    </row>
    <row r="2" spans="1:110" s="21" customFormat="1" ht="18" x14ac:dyDescent="0.3">
      <c r="A2" s="84" t="s">
        <v>53</v>
      </c>
      <c r="B2" s="84" t="s">
        <v>0</v>
      </c>
      <c r="C2" s="84" t="s">
        <v>5</v>
      </c>
      <c r="D2" s="84" t="s">
        <v>49</v>
      </c>
      <c r="E2" s="85" t="s">
        <v>41</v>
      </c>
      <c r="F2" s="84" t="s">
        <v>49</v>
      </c>
      <c r="G2" s="86" t="s">
        <v>42</v>
      </c>
      <c r="H2" s="84" t="s">
        <v>49</v>
      </c>
      <c r="I2" s="84" t="s">
        <v>18</v>
      </c>
      <c r="J2" s="84" t="s">
        <v>19</v>
      </c>
      <c r="K2" s="84" t="s">
        <v>49</v>
      </c>
      <c r="L2" s="84" t="s">
        <v>20</v>
      </c>
      <c r="M2" s="84" t="s">
        <v>50</v>
      </c>
      <c r="N2" s="84" t="s">
        <v>21</v>
      </c>
      <c r="O2" s="84" t="s">
        <v>22</v>
      </c>
      <c r="P2" s="84" t="s">
        <v>50</v>
      </c>
      <c r="Q2" s="87" t="s">
        <v>22</v>
      </c>
      <c r="R2" s="84" t="s">
        <v>50</v>
      </c>
      <c r="S2" s="88" t="s">
        <v>7</v>
      </c>
      <c r="T2" s="88" t="s">
        <v>50</v>
      </c>
      <c r="U2" s="88" t="s">
        <v>74</v>
      </c>
      <c r="V2" s="88" t="s">
        <v>50</v>
      </c>
      <c r="W2" s="84" t="s">
        <v>23</v>
      </c>
      <c r="X2" s="89" t="s">
        <v>24</v>
      </c>
      <c r="Y2" s="84" t="s">
        <v>50</v>
      </c>
      <c r="Z2" s="90" t="s">
        <v>25</v>
      </c>
      <c r="AA2" s="84" t="s">
        <v>50</v>
      </c>
      <c r="AB2" s="84" t="s">
        <v>62</v>
      </c>
      <c r="AC2" s="84" t="s">
        <v>63</v>
      </c>
      <c r="AD2" s="91" t="s">
        <v>26</v>
      </c>
      <c r="AE2" s="84" t="s">
        <v>50</v>
      </c>
      <c r="AF2" s="84" t="s">
        <v>27</v>
      </c>
      <c r="AG2" s="84" t="s">
        <v>50</v>
      </c>
      <c r="AH2" s="90" t="s">
        <v>11</v>
      </c>
      <c r="AI2" s="84" t="s">
        <v>50</v>
      </c>
      <c r="AJ2" s="92" t="s">
        <v>119</v>
      </c>
      <c r="AK2" s="92" t="s">
        <v>49</v>
      </c>
      <c r="AL2" s="87" t="s">
        <v>28</v>
      </c>
      <c r="AM2" s="93" t="s">
        <v>50</v>
      </c>
      <c r="AN2" s="87" t="s">
        <v>75</v>
      </c>
      <c r="AO2" s="93" t="s">
        <v>50</v>
      </c>
      <c r="AP2" s="90" t="s">
        <v>47</v>
      </c>
      <c r="AQ2" s="84" t="s">
        <v>50</v>
      </c>
      <c r="AR2" s="84" t="s">
        <v>6</v>
      </c>
      <c r="AS2" s="94" t="s">
        <v>44</v>
      </c>
      <c r="AT2" s="95" t="s">
        <v>50</v>
      </c>
      <c r="AU2" s="96" t="s">
        <v>104</v>
      </c>
      <c r="AV2" s="97" t="s">
        <v>50</v>
      </c>
      <c r="AW2" s="98" t="s">
        <v>45</v>
      </c>
      <c r="AX2" s="99" t="s">
        <v>49</v>
      </c>
      <c r="AY2" s="99" t="s">
        <v>59</v>
      </c>
      <c r="AZ2" s="99" t="s">
        <v>49</v>
      </c>
      <c r="BA2" s="90" t="s">
        <v>46</v>
      </c>
      <c r="BB2" s="90" t="s">
        <v>2</v>
      </c>
      <c r="BC2" s="92" t="s">
        <v>120</v>
      </c>
      <c r="BD2" s="92" t="s">
        <v>49</v>
      </c>
      <c r="BE2" s="99" t="s">
        <v>45</v>
      </c>
      <c r="BF2" s="99" t="s">
        <v>51</v>
      </c>
      <c r="BG2" s="100" t="s">
        <v>121</v>
      </c>
      <c r="BH2" s="101" t="s">
        <v>64</v>
      </c>
    </row>
    <row r="3" spans="1:110" s="21" customFormat="1" ht="18.75" thickBot="1" x14ac:dyDescent="0.35">
      <c r="A3" s="102"/>
      <c r="B3" s="102"/>
      <c r="C3" s="102" t="s">
        <v>15</v>
      </c>
      <c r="D3" s="103" t="s">
        <v>29</v>
      </c>
      <c r="E3" s="102" t="s">
        <v>15</v>
      </c>
      <c r="F3" s="103" t="s">
        <v>29</v>
      </c>
      <c r="G3" s="104"/>
      <c r="H3" s="103" t="s">
        <v>29</v>
      </c>
      <c r="I3" s="103" t="s">
        <v>30</v>
      </c>
      <c r="J3" s="103" t="s">
        <v>31</v>
      </c>
      <c r="K3" s="103" t="s">
        <v>29</v>
      </c>
      <c r="L3" s="103" t="s">
        <v>32</v>
      </c>
      <c r="M3" s="103" t="s">
        <v>33</v>
      </c>
      <c r="N3" s="103" t="s">
        <v>34</v>
      </c>
      <c r="O3" s="103" t="s">
        <v>35</v>
      </c>
      <c r="P3" s="103" t="s">
        <v>33</v>
      </c>
      <c r="Q3" s="105" t="s">
        <v>32</v>
      </c>
      <c r="R3" s="103" t="s">
        <v>33</v>
      </c>
      <c r="S3" s="106" t="s">
        <v>58</v>
      </c>
      <c r="T3" s="106" t="s">
        <v>33</v>
      </c>
      <c r="U3" s="106" t="s">
        <v>58</v>
      </c>
      <c r="V3" s="106" t="s">
        <v>33</v>
      </c>
      <c r="W3" s="103" t="s">
        <v>34</v>
      </c>
      <c r="X3" s="107" t="s">
        <v>36</v>
      </c>
      <c r="Y3" s="103" t="s">
        <v>37</v>
      </c>
      <c r="Z3" s="103" t="s">
        <v>32</v>
      </c>
      <c r="AA3" s="103" t="s">
        <v>37</v>
      </c>
      <c r="AB3" s="103" t="s">
        <v>30</v>
      </c>
      <c r="AC3" s="103" t="s">
        <v>38</v>
      </c>
      <c r="AD3" s="108" t="s">
        <v>31</v>
      </c>
      <c r="AE3" s="103" t="s">
        <v>37</v>
      </c>
      <c r="AF3" s="103" t="s">
        <v>32</v>
      </c>
      <c r="AG3" s="103" t="s">
        <v>37</v>
      </c>
      <c r="AH3" s="109"/>
      <c r="AI3" s="103" t="s">
        <v>37</v>
      </c>
      <c r="AJ3" s="110" t="s">
        <v>117</v>
      </c>
      <c r="AK3" s="110" t="s">
        <v>118</v>
      </c>
      <c r="AL3" s="105" t="s">
        <v>57</v>
      </c>
      <c r="AM3" s="111" t="s">
        <v>37</v>
      </c>
      <c r="AN3" s="105" t="s">
        <v>57</v>
      </c>
      <c r="AO3" s="111" t="s">
        <v>37</v>
      </c>
      <c r="AP3" s="102" t="s">
        <v>39</v>
      </c>
      <c r="AQ3" s="103" t="s">
        <v>56</v>
      </c>
      <c r="AR3" s="103" t="s">
        <v>40</v>
      </c>
      <c r="AS3" s="112" t="s">
        <v>57</v>
      </c>
      <c r="AT3" s="113" t="s">
        <v>37</v>
      </c>
      <c r="AU3" s="114" t="s">
        <v>61</v>
      </c>
      <c r="AV3" s="115" t="s">
        <v>37</v>
      </c>
      <c r="AW3" s="116" t="s">
        <v>39</v>
      </c>
      <c r="AX3" s="117" t="s">
        <v>39</v>
      </c>
      <c r="AY3" s="117" t="s">
        <v>60</v>
      </c>
      <c r="AZ3" s="117" t="s">
        <v>13</v>
      </c>
      <c r="BA3" s="109"/>
      <c r="BB3" s="102" t="s">
        <v>12</v>
      </c>
      <c r="BC3" s="110" t="s">
        <v>117</v>
      </c>
      <c r="BD3" s="110" t="s">
        <v>118</v>
      </c>
      <c r="BE3" s="117" t="s">
        <v>48</v>
      </c>
      <c r="BF3" s="117" t="s">
        <v>52</v>
      </c>
      <c r="BG3" s="118" t="s">
        <v>13</v>
      </c>
      <c r="BH3" s="119"/>
    </row>
    <row r="4" spans="1:110" ht="15" thickTop="1" x14ac:dyDescent="0.2">
      <c r="A4" s="49"/>
      <c r="B4" s="49"/>
      <c r="C4" s="49"/>
      <c r="D4" s="49"/>
      <c r="E4" s="160"/>
      <c r="F4" s="49"/>
      <c r="G4" s="161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162"/>
      <c r="BH4" s="49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</row>
    <row r="5" spans="1:110" s="129" customFormat="1" ht="15" x14ac:dyDescent="0.25">
      <c r="A5" s="120" t="s">
        <v>80</v>
      </c>
      <c r="B5" s="121" t="s">
        <v>111</v>
      </c>
      <c r="C5" s="120" t="s">
        <v>66</v>
      </c>
      <c r="D5" s="120">
        <v>3.8677800000000002</v>
      </c>
      <c r="E5" s="122" t="s">
        <v>67</v>
      </c>
      <c r="F5" s="120" t="s">
        <v>68</v>
      </c>
      <c r="G5" s="120">
        <v>3.8556E-2</v>
      </c>
      <c r="H5" s="122" t="s">
        <v>67</v>
      </c>
      <c r="I5" s="120"/>
      <c r="J5" s="120"/>
      <c r="K5" s="120" t="s">
        <v>69</v>
      </c>
      <c r="L5" s="123">
        <v>1.8037000000000001E-2</v>
      </c>
      <c r="M5" s="122" t="s">
        <v>67</v>
      </c>
      <c r="N5" s="124" t="s">
        <v>112</v>
      </c>
      <c r="O5" s="125"/>
      <c r="P5" s="121"/>
      <c r="Q5" s="126"/>
      <c r="R5" s="127"/>
      <c r="S5" s="128"/>
      <c r="T5" s="125"/>
      <c r="U5" s="185"/>
      <c r="V5" s="185"/>
      <c r="W5" s="188"/>
      <c r="X5" s="185"/>
      <c r="Y5" s="185"/>
      <c r="Z5" s="185"/>
      <c r="AA5" s="185"/>
      <c r="AB5" s="189"/>
      <c r="AC5" s="189"/>
      <c r="AD5" s="185"/>
      <c r="AE5" s="185"/>
      <c r="AF5" s="185"/>
      <c r="AG5" s="185"/>
      <c r="AH5" s="130"/>
      <c r="AI5" s="188"/>
      <c r="AJ5" s="187"/>
      <c r="AK5" s="188"/>
      <c r="AL5" s="188"/>
      <c r="AM5" s="188"/>
      <c r="AN5" s="130"/>
      <c r="AO5" s="185"/>
      <c r="AP5" s="130"/>
      <c r="AQ5" s="130"/>
      <c r="AR5" s="130"/>
      <c r="AS5" s="186"/>
      <c r="AT5" s="186"/>
      <c r="AU5" s="130"/>
      <c r="AV5" s="130"/>
      <c r="AW5" s="130"/>
      <c r="AX5" s="190"/>
      <c r="AY5" s="190"/>
      <c r="AZ5" s="190"/>
      <c r="BA5" s="130"/>
      <c r="BB5" s="191"/>
      <c r="BC5" s="130"/>
      <c r="BD5" s="187"/>
      <c r="BE5" s="130"/>
      <c r="BF5" s="192"/>
      <c r="BG5" s="193"/>
      <c r="BH5" s="130"/>
      <c r="BI5" s="130"/>
      <c r="BJ5" s="130"/>
      <c r="BK5" s="130"/>
      <c r="BL5" s="130"/>
      <c r="BM5" s="130"/>
      <c r="BN5" s="194"/>
      <c r="BO5" s="130"/>
      <c r="BP5" s="130"/>
      <c r="BQ5" s="130"/>
      <c r="BR5" s="130"/>
      <c r="BS5" s="130"/>
      <c r="BT5" s="130"/>
      <c r="BU5" s="130"/>
      <c r="BV5" s="130"/>
      <c r="BW5" s="130"/>
      <c r="BX5" s="130"/>
      <c r="BY5" s="130"/>
      <c r="BZ5" s="130"/>
      <c r="CA5" s="130"/>
      <c r="CB5" s="130"/>
      <c r="CC5" s="130"/>
      <c r="CD5" s="130"/>
      <c r="CE5" s="130"/>
      <c r="CF5" s="130"/>
      <c r="CG5" s="130"/>
      <c r="CH5" s="130"/>
      <c r="CI5" s="130"/>
      <c r="CJ5" s="130"/>
      <c r="CK5" s="130"/>
      <c r="CL5" s="130"/>
      <c r="CM5" s="130"/>
      <c r="CN5" s="130"/>
      <c r="CO5" s="130"/>
      <c r="CP5" s="130"/>
      <c r="CQ5" s="130"/>
      <c r="CR5" s="130"/>
      <c r="CS5" s="130"/>
      <c r="CT5" s="130"/>
      <c r="CU5" s="130"/>
      <c r="CV5" s="130"/>
      <c r="CW5" s="130"/>
      <c r="CX5" s="130"/>
      <c r="CY5" s="130"/>
      <c r="CZ5" s="130"/>
      <c r="DA5" s="130"/>
      <c r="DB5" s="130"/>
      <c r="DC5" s="130"/>
      <c r="DD5" s="130"/>
      <c r="DE5" s="130"/>
      <c r="DF5" s="130"/>
    </row>
    <row r="6" spans="1:110" ht="15" x14ac:dyDescent="0.25">
      <c r="A6" s="129"/>
      <c r="B6" s="130"/>
      <c r="C6" s="129"/>
      <c r="D6" s="129"/>
      <c r="E6" s="131"/>
      <c r="F6" s="129"/>
      <c r="G6" s="129"/>
      <c r="H6" s="131"/>
      <c r="I6" s="129"/>
      <c r="J6" s="129"/>
      <c r="K6" s="129"/>
      <c r="L6" s="132"/>
      <c r="M6" s="131"/>
      <c r="N6" s="21"/>
      <c r="O6" s="133"/>
      <c r="P6" s="21"/>
      <c r="Q6" s="134"/>
      <c r="R6" s="135"/>
      <c r="S6" s="136"/>
      <c r="T6" s="133"/>
      <c r="U6" s="133"/>
      <c r="V6" s="133"/>
      <c r="W6" s="137"/>
      <c r="X6" s="133"/>
      <c r="Y6" s="133"/>
      <c r="Z6" s="133"/>
      <c r="AA6" s="133"/>
      <c r="AB6" s="138"/>
      <c r="AC6" s="138"/>
      <c r="AD6" s="133"/>
      <c r="AE6" s="133"/>
      <c r="AF6" s="133"/>
      <c r="AG6" s="133"/>
      <c r="AH6" s="21"/>
      <c r="AI6" s="137"/>
      <c r="AJ6" s="136"/>
      <c r="AK6" s="137"/>
      <c r="AL6" s="137"/>
      <c r="AM6" s="137"/>
      <c r="AN6" s="21"/>
      <c r="AO6" s="133"/>
      <c r="AP6" s="21"/>
      <c r="AQ6" s="21"/>
      <c r="AR6" s="21"/>
      <c r="AS6" s="135"/>
      <c r="AT6" s="135"/>
      <c r="AU6" s="21"/>
      <c r="AV6" s="21"/>
      <c r="AW6" s="21"/>
      <c r="AX6" s="139"/>
      <c r="AY6" s="139"/>
      <c r="AZ6" s="139"/>
      <c r="BA6" s="21"/>
      <c r="BB6" s="140"/>
      <c r="BC6" s="21"/>
      <c r="BD6" s="136"/>
      <c r="BE6" s="21"/>
      <c r="BF6" s="141"/>
      <c r="BG6" s="23"/>
      <c r="BH6" s="21"/>
      <c r="BI6" s="21"/>
      <c r="BJ6" s="21"/>
      <c r="BK6" s="21"/>
      <c r="BL6" s="21"/>
      <c r="BM6" s="21"/>
      <c r="BN6" s="163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</row>
    <row r="7" spans="1:110" ht="15" customHeight="1" x14ac:dyDescent="0.2">
      <c r="A7" s="142">
        <f>Input!A7</f>
        <v>10815</v>
      </c>
      <c r="B7" s="142" t="str">
        <f>Input!B7</f>
        <v>Hu1-13</v>
      </c>
      <c r="C7" s="142">
        <f>Input!O7</f>
        <v>2.1028684657038115</v>
      </c>
      <c r="D7" s="142">
        <f>C7*Input!P7/100</f>
        <v>1.5696039330429883E-2</v>
      </c>
      <c r="E7" s="143">
        <f>Input!M7</f>
        <v>2.7323519718371032</v>
      </c>
      <c r="F7" s="144">
        <f>E7*Input!N7/100</f>
        <v>2.1971399878020409E-4</v>
      </c>
      <c r="G7" s="145">
        <f>E7*137.88</f>
        <v>376.73668987689979</v>
      </c>
      <c r="H7" s="144">
        <f>G7*Input!L7/100</f>
        <v>2.3387591741334198E-2</v>
      </c>
      <c r="I7" s="142">
        <v>0</v>
      </c>
      <c r="J7" s="146">
        <f>(((C7*Constants!$B$24*0.000000001*Input!G7*(Constants!$B$4/Constants!$B$3))-(I7*0.000000000000001))/Input!F7)*1000000000000</f>
        <v>759.21446345664083</v>
      </c>
      <c r="K7" s="142">
        <f>J7*Input!P7/100</f>
        <v>5.6668594698138932</v>
      </c>
      <c r="L7" s="147">
        <f>(J7/Constants!$B$4)*602200000000*Constants!$B$17/(365.2425*24*60)</f>
        <v>10.481798635104211</v>
      </c>
      <c r="M7" s="148">
        <f>L7*Input!P7/100</f>
        <v>7.8237286978944567E-2</v>
      </c>
      <c r="N7" s="142">
        <v>0</v>
      </c>
      <c r="O7" s="146">
        <f>(((G7*Constants!$B$23*0.000000001*Input!G7*(Constants!$B$7/Constants!$B$6))-(N7*0.000000001))/Input!F7)*1000000</f>
        <v>13.701615715514246</v>
      </c>
      <c r="P7" s="142">
        <f>O7*Input!N7/100</f>
        <v>1.1017748846541349E-3</v>
      </c>
      <c r="Q7" s="149">
        <f>(O7/Constants!$B$7)*602200000000000000*Constants!$B$18/(365.2425*24*60)</f>
        <v>10.223059909875488</v>
      </c>
      <c r="R7" s="150">
        <f>Q7*Input!N7/100</f>
        <v>8.2205711259744217E-4</v>
      </c>
      <c r="S7" s="148">
        <f>Input!S7*Constants!$B$17/Constants!$B$18</f>
        <v>0.99805246453918406</v>
      </c>
      <c r="T7" s="142">
        <f>S7*Input!T7/100</f>
        <v>1.3040789190793022E-3</v>
      </c>
      <c r="U7" s="148">
        <f>S7</f>
        <v>0.99805246453918406</v>
      </c>
      <c r="V7" s="142">
        <f>U7*Input!T7/100</f>
        <v>1.3040789190793022E-3</v>
      </c>
      <c r="W7" s="151">
        <v>0</v>
      </c>
      <c r="X7" s="146">
        <f>(((Constants!$B$25*0.000000001*Input!G7/Input!W7*(Constants!$B$11/Constants!$B$9))-(W7*0.000000001))/Input!F7)*1000000000</f>
        <v>0.88214198912813813</v>
      </c>
      <c r="Y7" s="146">
        <f>X7*Input!X7/100</f>
        <v>4.3875547057387956E-3</v>
      </c>
      <c r="Z7" s="146">
        <f>(X7/Constants!$B$11)*6.022E+23*0.000000001*Constants!$B$19/(365.2425*24*60)</f>
        <v>2.1535937807704611E-4</v>
      </c>
      <c r="AA7" s="146">
        <f>Z7*Input!X7/100</f>
        <v>1.0711439477456612E-6</v>
      </c>
      <c r="AB7" s="147">
        <v>0</v>
      </c>
      <c r="AC7" s="147">
        <v>0.9</v>
      </c>
      <c r="AD7" s="146">
        <f>(((Input!G7*Constants!$B$25*0.000000001*Input!U7*(Constants!$B$10/Constants!$B$9))-((AB7*0.000000000000001)+(Input!G7*AC7*0.000000000000001)))/Input!F7)*1000000000000</f>
        <v>224.39886813349929</v>
      </c>
      <c r="AE7" s="146">
        <f>AD7*Input!V7/100</f>
        <v>0.51677267618157063</v>
      </c>
      <c r="AF7" s="146">
        <f>(AD7/Constants!$B$10)*602200000000*Constants!$B$16/(365.2425*24*60)</f>
        <v>10.242836338603322</v>
      </c>
      <c r="AG7" s="146">
        <f>AF7*Input!V7/100</f>
        <v>2.3588434248433196E-2</v>
      </c>
      <c r="AH7" s="142">
        <f>AF7/Z7</f>
        <v>47561.598803182307</v>
      </c>
      <c r="AI7" s="151">
        <f>AH7*SQRT((AG7/AF7)^2+(AA7/Z7)^2)</f>
        <v>260.68633978571825</v>
      </c>
      <c r="AJ7" s="148">
        <f t="shared" ref="AJ7:AJ9" si="0">(U7-1)*1000</f>
        <v>-1.9475354608159412</v>
      </c>
      <c r="AK7" s="151">
        <f>V7*1000</f>
        <v>1.3040789190793023</v>
      </c>
      <c r="AL7" s="151">
        <f>AF7/Q7</f>
        <v>1.0019344921092295</v>
      </c>
      <c r="AM7" s="151">
        <f>AL7*SQRT((R7/Q7)^2+(AG7/AF7)^2)</f>
        <v>2.3087813138830569E-3</v>
      </c>
      <c r="AN7" s="142">
        <f>AF7/Q7</f>
        <v>1.0019344921092295</v>
      </c>
      <c r="AO7" s="146">
        <f>AN7*SQRT((R7/Q7)^2+(AG7/AF7)^2)</f>
        <v>2.3087813138830569E-3</v>
      </c>
      <c r="AP7" s="142" t="str">
        <f t="shared" ref="AP7:AP9" si="1">ThU_Alter_Kombi(AN7,U7)</f>
        <v>Out of range</v>
      </c>
      <c r="AQ7" s="142" t="e">
        <f t="shared" ref="AQ7:AQ9" si="2">Montealter(AN7,AO7,U7,V7)</f>
        <v>#VALUE!</v>
      </c>
      <c r="AR7" s="142" t="e">
        <f>(AQ7/AP7)*100</f>
        <v>#VALUE!</v>
      </c>
      <c r="AS7" s="150">
        <f>Z7/Q7</f>
        <v>2.1066038933119103E-5</v>
      </c>
      <c r="AT7" s="150">
        <f>AS7*SQRT((Y7/X7)^2+(P7/O7)^2)</f>
        <v>1.0479092721745041E-7</v>
      </c>
      <c r="AU7" s="142">
        <v>0.75</v>
      </c>
      <c r="AV7" s="142">
        <f>AU7/2</f>
        <v>0.375</v>
      </c>
      <c r="AW7" s="142" t="str">
        <f>marincorr_age(AN7,U7,AS7,AU7)</f>
        <v>Out of range</v>
      </c>
      <c r="AX7" s="152">
        <f>marincorr_age_error(AN7, AO7, U7, V7, AS7, AT7, AU7, AV7)</f>
        <v>140.475258913</v>
      </c>
      <c r="AY7" s="152" t="e">
        <f>SQRT(((AU7*EXP(-0.0000091577*AW7*1000))/(0.0000091577*(EXP(-0.0000091577*AW7*1000)+(AJ7/1000)*EXP(-(0.0000091577-0.0000028263)*AW7*1000)-AS7*AU7*EXP(-0.0000091577*AW7*1000))))^2*AT7^2+((AS7*EXP(-0.0000091577*AW7*1000))/(0.0000091577*(EXP(-0.0000091577*AW7*1000)+(AJ7/1000)*EXP(-(0.0000091577-0.0000028263)*AW7*1000)-AS7*AU7*EXP(-0.0000091577*AW7*1000))))^2*AV7^2+((0.0000091577/(0.0000091577-0.0000028263))*(EXP(-(0.0000091577-0.0000028263)*AW7*1000)-1)/(0.0000091577*(EXP(-0.0000091577*AW7*1000)+(AJ7/1000)*EXP(-(0.0000091577-0.0000028263)*AW7*1000)-AS7*AU7*EXP(-0.0000091577*AW7*1000))))^2*T7^2+(1/(0.0000091577*(EXP(-0.0000091577*AW7*1000)+(AJ7/1000)*EXP(-(0.0000091577-0.0000028263)*AW7*1000)-AS7*AU7*EXP(-0.0000091577*AW7*1000))))^2*AO7^2)/1000</f>
        <v>#VALUE!</v>
      </c>
      <c r="AZ7" s="153" t="e">
        <f>AX7/AW7</f>
        <v>#VALUE!</v>
      </c>
      <c r="BA7" s="142" t="str">
        <f>Input!B7</f>
        <v>Hu1-13</v>
      </c>
      <c r="BB7" s="154">
        <f>Input!E7</f>
        <v>0</v>
      </c>
      <c r="BC7" s="142" t="e">
        <f>((U7-1)*EXP(Constants!$B$17*AW7*1000))*1000</f>
        <v>#VALUE!</v>
      </c>
      <c r="BD7" s="148" t="e">
        <f>SQRT((EXP(Constants!$B$17*AW7*1000)*V7)^2+((U7-1)*Constants!$B$17*EXP(Constants!$B$17*AW7*1000)*AY7*1000)^2)*1000</f>
        <v>#VALUE!</v>
      </c>
      <c r="BE7" s="142" t="e">
        <f t="shared" ref="BE7:BE9" si="3">AW7*1000-58</f>
        <v>#VALUE!</v>
      </c>
      <c r="BF7" s="155" t="e">
        <f t="shared" ref="BF7:BF9" si="4">AY7/2*1000</f>
        <v>#VALUE!</v>
      </c>
      <c r="BG7" s="164" t="e">
        <f t="shared" ref="BG7:BG9" si="5">AY7/AW7*100</f>
        <v>#VALUE!</v>
      </c>
      <c r="BH7" s="142"/>
      <c r="BI7" s="21"/>
      <c r="BJ7" s="21"/>
      <c r="BK7" s="21"/>
      <c r="BL7" s="21"/>
      <c r="BM7" s="21"/>
      <c r="BN7" s="163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</row>
    <row r="8" spans="1:110" ht="15" customHeight="1" x14ac:dyDescent="0.2">
      <c r="A8" s="21">
        <f>Input!A8</f>
        <v>10889</v>
      </c>
      <c r="B8" s="21" t="str">
        <f>Input!B8</f>
        <v>M5-14-44B_322</v>
      </c>
      <c r="C8" s="21">
        <f>Input!O8</f>
        <v>0.92227185164142511</v>
      </c>
      <c r="D8" s="21">
        <f>C8*Input!P8/100</f>
        <v>3.2746598433389452E-3</v>
      </c>
      <c r="E8" s="156">
        <f>Input!M8</f>
        <v>0.56704782120086461</v>
      </c>
      <c r="F8" s="157">
        <f>E8*Input!N8/100</f>
        <v>6.1478013218832519E-5</v>
      </c>
      <c r="G8" s="24">
        <f>E8*137.88</f>
        <v>78.184553587175216</v>
      </c>
      <c r="H8" s="157">
        <f>G8*Input!L8/100</f>
        <v>6.7542953152230599E-3</v>
      </c>
      <c r="I8" s="21">
        <v>0.3</v>
      </c>
      <c r="J8" s="133">
        <f>(((C8*Constants!$B$24*0.000000001*Input!G8*(Constants!$B$4/Constants!$B$3))-(I8*0.000000000000001))/Input!F8)*1000000000000</f>
        <v>17.242962672262365</v>
      </c>
      <c r="K8" s="21">
        <f>J8*Input!P8/100</f>
        <v>6.1223637415102644E-2</v>
      </c>
      <c r="L8" s="138">
        <f>(J8/Constants!$B$4)*602200000000*Constants!$B$17/(365.2425*24*60)</f>
        <v>0.23805824480791718</v>
      </c>
      <c r="M8" s="136">
        <f>L8*Input!P8/100</f>
        <v>8.4526029202865388E-4</v>
      </c>
      <c r="N8" s="21">
        <v>5.0000000000000001E-3</v>
      </c>
      <c r="O8" s="133">
        <f>(((G8*Constants!$B$23*0.000000001*Input!G8*(Constants!$B$7/Constants!$B$6))-(N8*0.000000001))/Input!F8)*1000000</f>
        <v>0.14723866964016499</v>
      </c>
      <c r="P8" s="21">
        <f>O8*Input!N8/100</f>
        <v>1.5963276006054735E-5</v>
      </c>
      <c r="Q8" s="134">
        <f>(O8/Constants!$B$7)*602200000000000000*Constants!$B$18/(365.2425*24*60)</f>
        <v>0.10985782786751278</v>
      </c>
      <c r="R8" s="135">
        <f>Q8*Input!N8/100</f>
        <v>1.1910531601247037E-5</v>
      </c>
      <c r="S8" s="136">
        <f>Input!S8*Constants!$B$17/Constants!$B$18</f>
        <v>2.1433379634785905</v>
      </c>
      <c r="T8" s="21">
        <f>S8*Input!T8/100</f>
        <v>3.0392079060878987E-3</v>
      </c>
      <c r="U8" s="21">
        <f>S8*1/((U7+U9)/2)</f>
        <v>2.1475203354847703</v>
      </c>
      <c r="V8" s="21">
        <f>U8*Input!T8/100</f>
        <v>3.0451384211461737E-3</v>
      </c>
      <c r="W8" s="137">
        <v>3.0000000000000001E-3</v>
      </c>
      <c r="X8" s="133">
        <f>IF((((Constants!$B$25*0.000000001*Input!G8/Input!W8*(Constants!$B$11/Constants!$B$9))-(W8*0.000000001))/Input!F8)*1000000000&lt;0, "n.d.", (((Constants!$B$25*0.000000001*Input!G8/Input!W8*(Constants!$B$11/Constants!$B$9))-(W8*0.000000001))/Input!F8)*1000000000)</f>
        <v>0.47767933616132302</v>
      </c>
      <c r="Y8" s="133">
        <f>X8*Input!X8/100</f>
        <v>1.1841401652738232E-3</v>
      </c>
      <c r="Z8" s="133">
        <f>(X8/Constants!$B$11)*6.022E+23*0.000000001*Constants!$B$19/(365.2425*24*60)</f>
        <v>1.1661696872363218E-4</v>
      </c>
      <c r="AA8" s="133">
        <f>Z8*Input!X8/100</f>
        <v>2.8908689609193751E-7</v>
      </c>
      <c r="AB8" s="138">
        <v>0.05</v>
      </c>
      <c r="AC8" s="138">
        <v>0.9</v>
      </c>
      <c r="AD8" s="133">
        <f>(((Input!G8*Constants!$B$25*0.000000001*Input!U8*(Constants!$B$10/Constants!$B$9))-((AB8*0.000000000000001)+(Input!G8*AC8*0.000000000000001)))/Input!F8)*1000000000000</f>
        <v>5.4629622201066006</v>
      </c>
      <c r="AE8" s="133">
        <f>AD8*Input!V8/100</f>
        <v>1.5189619903033082E-2</v>
      </c>
      <c r="AF8" s="133">
        <f>(AD8/Constants!$B$10)*602200000000*Constants!$B$16/(365.2425*24*60)</f>
        <v>0.24936056233240669</v>
      </c>
      <c r="AG8" s="133">
        <f>AF8*Input!V8/100</f>
        <v>6.9334035419376121E-4</v>
      </c>
      <c r="AH8" s="21">
        <f>AF8/Z8</f>
        <v>2138.2871211766828</v>
      </c>
      <c r="AI8" s="137">
        <f>AH8*SQRT((AG8/AF8)^2+(AA8/Z8)^2)</f>
        <v>7.9652824866914926</v>
      </c>
      <c r="AJ8" s="136">
        <f t="shared" si="0"/>
        <v>1147.5203354847704</v>
      </c>
      <c r="AK8" s="137">
        <f>V8*1000</f>
        <v>3.0451384211461736</v>
      </c>
      <c r="AL8" s="137">
        <f>AF8/Q8</f>
        <v>2.2698479222903676</v>
      </c>
      <c r="AM8" s="137">
        <f>AL8*SQRT((R8/Q8)^2+(AG8/AF8)^2)</f>
        <v>6.3160473028550691E-3</v>
      </c>
      <c r="AN8" s="21">
        <f>AL8*1/((AN7+AN9)/2)</f>
        <v>2.265465397355451</v>
      </c>
      <c r="AO8" s="133">
        <f>AN8*SQRT((R8/Q8)^2+(AG8/AF8)^2)</f>
        <v>6.3038525498396577E-3</v>
      </c>
      <c r="AP8" s="21">
        <f>ThU_Alter_Kombi(AN8,U8)</f>
        <v>266.48340000000002</v>
      </c>
      <c r="AQ8" s="21">
        <f t="shared" si="2"/>
        <v>2.4817999999999998</v>
      </c>
      <c r="AR8" s="158">
        <f>(AQ8/AP8)</f>
        <v>9.3131504626554583E-3</v>
      </c>
      <c r="AS8" s="135">
        <f>Z8/Q8</f>
        <v>1.0615262561378042E-3</v>
      </c>
      <c r="AT8" s="135">
        <f>AS8*SQRT((Y8/X8)^2+(P8/O8)^2)</f>
        <v>2.633979304644775E-6</v>
      </c>
      <c r="AU8" s="21">
        <v>0.75</v>
      </c>
      <c r="AV8" s="21">
        <f>AU8/2</f>
        <v>0.375</v>
      </c>
      <c r="AW8" s="21">
        <f>marincorr_age(AN8,U8,AS8,AU8)</f>
        <v>266.4581</v>
      </c>
      <c r="AX8" s="139">
        <f>marincorr_age_error(AN8, AO8, U8, V8, AS8, AT8, AU8, AV8)</f>
        <v>2.6863353668999999</v>
      </c>
      <c r="AY8" s="139">
        <f>SQRT(((AU8*EXP(-0.0000091577*AW8*1000))/(0.0000091577*(EXP(-0.0000091577*AW8*1000)+(AJ8/1000)*EXP(-(0.0000091577-0.0000028263)*AW8*1000)-AS8*AU8*EXP(-0.0000091577*AW8*1000))))^2*AT8^2+((AS8*EXP(-0.0000091577*AW8*1000))/(0.0000091577*(EXP(-0.0000091577*AW8*1000)+(AJ8/1000)*EXP(-(0.0000091577-0.0000028263)*AW8*1000)-AS8*AU8*EXP(-0.0000091577*AW8*1000))))^2*AV8^2+((0.0000091577/(0.0000091577-0.0000028263))*(EXP(-(0.0000091577-0.0000028263)*AW8*1000)-1)/(0.0000091577*(EXP(-0.0000091577*AW8*1000)+(AJ8/1000)*EXP(-(0.0000091577-0.0000028263)*AW8*1000)-AS8*AU8*EXP(-0.0000091577*AW8*1000))))^2*T8^2+(1/(0.0000091577*(EXP(-0.0000091577*AW8*1000)+(AJ8/1000)*EXP(-(0.0000091577-0.0000028263)*AW8*1000)-AS8*AU8*EXP(-0.0000091577*AW8*1000))))^2*AO8^2)/1000</f>
        <v>2.6441138994938691</v>
      </c>
      <c r="AZ8" s="158">
        <f>AX8/AW8</f>
        <v>1.0081642730695745E-2</v>
      </c>
      <c r="BA8" s="21" t="str">
        <f>Input!B8</f>
        <v>M5-14-44B_322</v>
      </c>
      <c r="BB8" s="140">
        <f>Input!E8</f>
        <v>322</v>
      </c>
      <c r="BC8" s="21">
        <f>((U8-1)*EXP(Constants!$B$17*AW8*1000))*1000</f>
        <v>2434.0684827011642</v>
      </c>
      <c r="BD8" s="136">
        <f>SQRT((EXP(Constants!$B$17*AW8*1000)*V8)^2+((U8-1)*Constants!$B$17*EXP(Constants!$B$17*AW8*1000)*AY8*1000)^2)*1000</f>
        <v>19.277012925942511</v>
      </c>
      <c r="BE8" s="21">
        <f t="shared" si="3"/>
        <v>266400.09999999998</v>
      </c>
      <c r="BF8" s="141">
        <f t="shared" si="4"/>
        <v>1322.0569497469346</v>
      </c>
      <c r="BG8" s="23">
        <f t="shared" si="5"/>
        <v>0.9923188296748604</v>
      </c>
      <c r="BH8" s="21"/>
      <c r="BI8" s="21"/>
      <c r="BJ8" s="21"/>
      <c r="BK8" s="21"/>
      <c r="BL8" s="21"/>
      <c r="BM8" s="21"/>
      <c r="BN8" s="163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</row>
    <row r="9" spans="1:110" ht="15" customHeight="1" x14ac:dyDescent="0.2">
      <c r="A9" s="142">
        <f>Input!A9</f>
        <v>10815</v>
      </c>
      <c r="B9" s="142" t="str">
        <f>Input!B9</f>
        <v>Hu1-13</v>
      </c>
      <c r="C9" s="142">
        <f>Input!O9</f>
        <v>2.1028684657038115</v>
      </c>
      <c r="D9" s="142">
        <f>C9*Input!P9/100</f>
        <v>1.5696039330429883E-2</v>
      </c>
      <c r="E9" s="143">
        <f>Input!M9</f>
        <v>2.7323519718371032</v>
      </c>
      <c r="F9" s="144">
        <f>E9*Input!N9/100</f>
        <v>2.1971399878020409E-4</v>
      </c>
      <c r="G9" s="145">
        <f t="shared" ref="G9" si="6">E9*137.88</f>
        <v>376.73668987689979</v>
      </c>
      <c r="H9" s="144">
        <f>G9*Input!L9/100</f>
        <v>2.3387591741334198E-2</v>
      </c>
      <c r="I9" s="142">
        <v>0</v>
      </c>
      <c r="J9" s="146">
        <f>(((C9*Constants!$B$24*0.000000001*Input!G9*(Constants!$B$4/Constants!$B$3))-(I9*0.000000000000001))/Input!F9)*1000000000000</f>
        <v>759.21446345664083</v>
      </c>
      <c r="K9" s="142">
        <f>J9*Input!P9/100</f>
        <v>5.6668594698138932</v>
      </c>
      <c r="L9" s="147">
        <f>(J9/Constants!$B$4)*602200000000*Constants!$B$17/(365.2425*24*60)</f>
        <v>10.481798635104211</v>
      </c>
      <c r="M9" s="148">
        <f>L9*Input!P9/100</f>
        <v>7.8237286978944567E-2</v>
      </c>
      <c r="N9" s="142">
        <v>0</v>
      </c>
      <c r="O9" s="146">
        <f>(((G9*Constants!$B$23*0.000000001*Input!G9*(Constants!$B$7/Constants!$B$6))-(N9*0.000000001))/Input!F9)*1000000</f>
        <v>13.701615715514246</v>
      </c>
      <c r="P9" s="142">
        <f>O9*Input!N9/100</f>
        <v>1.1017748846541349E-3</v>
      </c>
      <c r="Q9" s="149">
        <f>(O9/Constants!$B$7)*602200000000000000*Constants!$B$18/(365.2425*24*60)</f>
        <v>10.223059909875488</v>
      </c>
      <c r="R9" s="150">
        <f>Q9*Input!N9/100</f>
        <v>8.2205711259744217E-4</v>
      </c>
      <c r="S9" s="148">
        <f>Input!S9*Constants!$B$17/Constants!$B$18</f>
        <v>0.99805246453918406</v>
      </c>
      <c r="T9" s="142">
        <f>S9*Input!T9/100</f>
        <v>1.3040789190793022E-3</v>
      </c>
      <c r="U9" s="148">
        <f>S9</f>
        <v>0.99805246453918406</v>
      </c>
      <c r="V9" s="142">
        <f>U9*Input!T9/100</f>
        <v>1.3040789190793022E-3</v>
      </c>
      <c r="W9" s="151">
        <v>0</v>
      </c>
      <c r="X9" s="146">
        <f>(((Constants!$B$25*0.000000001*Input!G9/Input!W9*(Constants!$B$11/Constants!$B$9))-(W9*0.000000001))/Input!F9)*1000000000</f>
        <v>0.88214198912813813</v>
      </c>
      <c r="Y9" s="146">
        <f>X9*Input!X9/100</f>
        <v>4.3875547057387956E-3</v>
      </c>
      <c r="Z9" s="146">
        <f>(X9/Constants!$B$11)*6.022E+23*0.000000001*Constants!$B$19/(365.2425*24*60)</f>
        <v>2.1535937807704611E-4</v>
      </c>
      <c r="AA9" s="146">
        <f>Z9*Input!X9/100</f>
        <v>1.0711439477456612E-6</v>
      </c>
      <c r="AB9" s="147">
        <v>0</v>
      </c>
      <c r="AC9" s="147">
        <v>0.9</v>
      </c>
      <c r="AD9" s="146">
        <f>(((Input!G9*Constants!$B$25*0.000000001*Input!U9*(Constants!$B$10/Constants!$B$9))-((AB9*0.000000000000001)+(Input!G9*AC9*0.000000000000001)))/Input!F9)*1000000000000</f>
        <v>224.39886813349929</v>
      </c>
      <c r="AE9" s="146">
        <f>AD9*Input!V9/100</f>
        <v>0.51677267618157063</v>
      </c>
      <c r="AF9" s="146">
        <f>(AD9/Constants!$B$10)*602200000000*Constants!$B$16/(365.2425*24*60)</f>
        <v>10.242836338603322</v>
      </c>
      <c r="AG9" s="146">
        <f>AF9*Input!V9/100</f>
        <v>2.3588434248433196E-2</v>
      </c>
      <c r="AH9" s="142">
        <f t="shared" ref="AH9" si="7">AF9/Z9</f>
        <v>47561.598803182307</v>
      </c>
      <c r="AI9" s="151">
        <f t="shared" ref="AI9" si="8">AH9*SQRT((AG9/AF9)^2+(AA9/Z9)^2)</f>
        <v>260.68633978571825</v>
      </c>
      <c r="AJ9" s="148">
        <f t="shared" si="0"/>
        <v>-1.9475354608159412</v>
      </c>
      <c r="AK9" s="151">
        <f t="shared" ref="AK9" si="9">V9*1000</f>
        <v>1.3040789190793023</v>
      </c>
      <c r="AL9" s="151">
        <f t="shared" ref="AL9" si="10">AF9/Q9</f>
        <v>1.0019344921092295</v>
      </c>
      <c r="AM9" s="151">
        <f t="shared" ref="AM9" si="11">AL9*SQRT((R9/Q9)^2+(AG9/AF9)^2)</f>
        <v>2.3087813138830569E-3</v>
      </c>
      <c r="AN9" s="142">
        <f>AF9/Q9</f>
        <v>1.0019344921092295</v>
      </c>
      <c r="AO9" s="146">
        <f t="shared" ref="AO9" si="12">AN9*SQRT((R9/Q9)^2+(AG9/AF9)^2)</f>
        <v>2.3087813138830569E-3</v>
      </c>
      <c r="AP9" s="142" t="str">
        <f t="shared" si="1"/>
        <v>Out of range</v>
      </c>
      <c r="AQ9" s="142" t="e">
        <f t="shared" si="2"/>
        <v>#VALUE!</v>
      </c>
      <c r="AR9" s="142" t="e">
        <f>(AQ9/AP9)*100</f>
        <v>#VALUE!</v>
      </c>
      <c r="AS9" s="150">
        <f>Z9/Q9</f>
        <v>2.1066038933119103E-5</v>
      </c>
      <c r="AT9" s="150">
        <f>AS9*SQRT((Y9/X9)^2+(P9/O9)^2)</f>
        <v>1.0479092721745041E-7</v>
      </c>
      <c r="AU9" s="142">
        <v>0.75</v>
      </c>
      <c r="AV9" s="142">
        <f t="shared" ref="AV9" si="13">AU9/2</f>
        <v>0.375</v>
      </c>
      <c r="AW9" s="142" t="str">
        <f>marincorr_age(AN9,U9,AS9,AU9)</f>
        <v>Out of range</v>
      </c>
      <c r="AX9" s="152">
        <f>marincorr_age_error(AN9, AO9, U9, V9, AS9, AT9, AU9, AV9)</f>
        <v>93.010192614299996</v>
      </c>
      <c r="AY9" s="152" t="e">
        <f>SQRT(((AU9*EXP(-0.0000091577*AW9*1000))/(0.0000091577*(EXP(-0.0000091577*AW9*1000)+(AJ9/1000)*EXP(-(0.0000091577-0.0000028263)*AW9*1000)-AS9*AU9*EXP(-0.0000091577*AW9*1000))))^2*AT9^2+((AS9*EXP(-0.0000091577*AW9*1000))/(0.0000091577*(EXP(-0.0000091577*AW9*1000)+(AJ9/1000)*EXP(-(0.0000091577-0.0000028263)*AW9*1000)-AS9*AU9*EXP(-0.0000091577*AW9*1000))))^2*AV9^2+((0.0000091577/(0.0000091577-0.0000028263))*(EXP(-(0.0000091577-0.0000028263)*AW9*1000)-1)/(0.0000091577*(EXP(-0.0000091577*AW9*1000)+(AJ9/1000)*EXP(-(0.0000091577-0.0000028263)*AW9*1000)-AS9*AU9*EXP(-0.0000091577*AW9*1000))))^2*T9^2+(1/(0.0000091577*(EXP(-0.0000091577*AW9*1000)+(AJ9/1000)*EXP(-(0.0000091577-0.0000028263)*AW9*1000)-AS9*AU9*EXP(-0.0000091577*AW9*1000))))^2*AO9^2)/1000</f>
        <v>#VALUE!</v>
      </c>
      <c r="AZ9" s="153" t="e">
        <f>AX9/AW9</f>
        <v>#VALUE!</v>
      </c>
      <c r="BA9" s="142" t="str">
        <f>Input!B9</f>
        <v>Hu1-13</v>
      </c>
      <c r="BB9" s="154">
        <f>Input!E9</f>
        <v>0</v>
      </c>
      <c r="BC9" s="142" t="e">
        <f>((U9-1)*EXP(Constants!$B$17*AW9*1000))*1000</f>
        <v>#VALUE!</v>
      </c>
      <c r="BD9" s="148" t="e">
        <f>SQRT((EXP(Constants!$B$17*AW9*1000)*V9)^2+((U9-1)*Constants!$B$17*EXP(Constants!$B$17*AW9*1000)*AY9*1000)^2)*1000</f>
        <v>#VALUE!</v>
      </c>
      <c r="BE9" s="142" t="e">
        <f t="shared" si="3"/>
        <v>#VALUE!</v>
      </c>
      <c r="BF9" s="155" t="e">
        <f t="shared" si="4"/>
        <v>#VALUE!</v>
      </c>
      <c r="BG9" s="164" t="e">
        <f t="shared" si="5"/>
        <v>#VALUE!</v>
      </c>
      <c r="BH9" s="142"/>
      <c r="BI9" s="21"/>
      <c r="BJ9" s="21"/>
      <c r="BK9" s="21"/>
      <c r="BL9" s="21"/>
      <c r="BM9" s="21"/>
      <c r="BN9" s="163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</row>
    <row r="10" spans="1:110" ht="15" customHeight="1" x14ac:dyDescent="0.2">
      <c r="A10" s="21"/>
      <c r="B10" s="21"/>
      <c r="C10" s="21"/>
      <c r="D10" s="21"/>
      <c r="E10" s="156"/>
      <c r="F10" s="157"/>
      <c r="G10" s="24"/>
      <c r="H10" s="157"/>
      <c r="I10" s="21"/>
      <c r="J10" s="133"/>
      <c r="K10" s="21"/>
      <c r="L10" s="138"/>
      <c r="M10" s="136"/>
      <c r="N10" s="21"/>
      <c r="O10" s="133"/>
      <c r="P10" s="21"/>
      <c r="Q10" s="134"/>
      <c r="R10" s="135"/>
      <c r="S10" s="136"/>
      <c r="T10" s="21"/>
      <c r="U10" s="21"/>
      <c r="V10" s="21"/>
      <c r="W10" s="137"/>
      <c r="X10" s="133"/>
      <c r="Y10" s="133"/>
      <c r="Z10" s="133"/>
      <c r="AA10" s="133"/>
      <c r="AB10" s="138"/>
      <c r="AC10" s="138"/>
      <c r="AD10" s="133"/>
      <c r="AE10" s="133"/>
      <c r="AF10" s="133"/>
      <c r="AG10" s="133"/>
      <c r="AH10" s="21"/>
      <c r="AI10" s="137"/>
      <c r="AJ10" s="136"/>
      <c r="AK10" s="137"/>
      <c r="AL10" s="137"/>
      <c r="AM10" s="137"/>
      <c r="AN10" s="21"/>
      <c r="AO10" s="133"/>
      <c r="AP10" s="21"/>
      <c r="AQ10" s="21"/>
      <c r="AR10" s="158"/>
      <c r="AS10" s="135"/>
      <c r="AT10" s="135"/>
      <c r="AU10" s="21"/>
      <c r="AV10" s="21"/>
      <c r="AW10" s="21"/>
      <c r="AX10" s="139"/>
      <c r="AY10" s="139"/>
      <c r="AZ10" s="158"/>
      <c r="BA10" s="21"/>
      <c r="BB10" s="140"/>
      <c r="BC10" s="21"/>
      <c r="BD10" s="136"/>
      <c r="BE10" s="21"/>
      <c r="BF10" s="141"/>
      <c r="BG10" s="23"/>
      <c r="BH10" s="21"/>
      <c r="BI10" s="21"/>
      <c r="BJ10" s="21"/>
      <c r="BK10" s="21"/>
      <c r="BL10" s="21"/>
      <c r="BM10" s="21"/>
      <c r="BN10" s="163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</row>
    <row r="11" spans="1:110" ht="15" customHeight="1" x14ac:dyDescent="0.2">
      <c r="A11" s="142">
        <f>Input!A11</f>
        <v>10815</v>
      </c>
      <c r="B11" s="142" t="str">
        <f>Input!B11</f>
        <v>Hu1-13</v>
      </c>
      <c r="C11" s="142">
        <f>Input!O11</f>
        <v>2.0601169265556885</v>
      </c>
      <c r="D11" s="142">
        <f>C11*Input!P11/100</f>
        <v>3.2584020075046044E-2</v>
      </c>
      <c r="E11" s="143">
        <f>Input!M11</f>
        <v>2.731518292888488</v>
      </c>
      <c r="F11" s="144">
        <f>E11*Input!N11/100</f>
        <v>5.0615773254881319E-4</v>
      </c>
      <c r="G11" s="145">
        <f>E11*137.88</f>
        <v>376.62174222346471</v>
      </c>
      <c r="H11" s="144">
        <f>G11*Input!L11/100</f>
        <v>3.3018790391037889E-2</v>
      </c>
      <c r="I11" s="142">
        <v>0</v>
      </c>
      <c r="J11" s="146">
        <f>(((C11*Constants!$B$24*0.000000001*Input!G11*(Constants!$B$4/Constants!$B$3))-(I11*0.000000000000001))/Input!F11)*1000000000000</f>
        <v>743.77955281641493</v>
      </c>
      <c r="K11" s="142">
        <f>J11*Input!P11/100</f>
        <v>11.76405453883528</v>
      </c>
      <c r="L11" s="147">
        <f>(J11/Constants!$B$4)*602200000000*Constants!$B$17/(365.2425*24*60)</f>
        <v>10.268702556105557</v>
      </c>
      <c r="M11" s="148">
        <f>L11*Input!P11/100</f>
        <v>0.16241583471295043</v>
      </c>
      <c r="N11" s="142">
        <v>0</v>
      </c>
      <c r="O11" s="146">
        <f>(((G11*Constants!$B$23*0.000000001*Input!G11*(Constants!$B$7/Constants!$B$6))-(N11*0.000000001))/Input!F11)*1000000</f>
        <v>13.697435160189828</v>
      </c>
      <c r="P11" s="142">
        <f>O11*Input!N11/100</f>
        <v>2.5381718074033448E-3</v>
      </c>
      <c r="Q11" s="149">
        <f>(O11/Constants!$B$7)*602200000000000000*Constants!$B$18/(365.2425*24*60)</f>
        <v>10.219940710766021</v>
      </c>
      <c r="R11" s="150">
        <f>Q11*Input!N11/100</f>
        <v>1.8937826740579749E-3</v>
      </c>
      <c r="S11" s="148">
        <f>Input!S11*Constants!$B$17/Constants!$B$18</f>
        <v>0.99992163311273308</v>
      </c>
      <c r="T11" s="142">
        <f>S11*Input!T11/100</f>
        <v>2.5128537743137318E-3</v>
      </c>
      <c r="U11" s="148">
        <f>S11</f>
        <v>0.99992163311273308</v>
      </c>
      <c r="V11" s="142">
        <f>U11*Input!T11/100</f>
        <v>2.5128537743137318E-3</v>
      </c>
      <c r="W11" s="151">
        <v>0</v>
      </c>
      <c r="X11" s="146">
        <f>(((Constants!$B$25*0.000000001*Input!G11/Input!W11*(Constants!$B$11/Constants!$B$9))-(W11*0.000000001))/Input!F11)*1000000000</f>
        <v>0.8816546427499119</v>
      </c>
      <c r="Y11" s="146">
        <f>X11*Input!X11/100</f>
        <v>7.8242671760526857E-3</v>
      </c>
      <c r="Z11" s="146">
        <f>(X11/Constants!$B$11)*6.022E+23*0.000000001*Constants!$B$19/(365.2425*24*60)</f>
        <v>2.1524040107083126E-4</v>
      </c>
      <c r="AA11" s="146">
        <f>Z11*Input!X11/100</f>
        <v>1.9101565663014698E-6</v>
      </c>
      <c r="AB11" s="147">
        <v>0</v>
      </c>
      <c r="AC11" s="147">
        <v>0.9</v>
      </c>
      <c r="AD11" s="146">
        <f>(((Input!G11*Constants!$B$25*0.000000001*Input!U11*(Constants!$B$10/Constants!$B$9))-((AB11*0.000000000000001)+(Input!G11*AC11*0.000000000000001)))/Input!F11)*1000000000000</f>
        <v>222.50600343559663</v>
      </c>
      <c r="AE11" s="146">
        <f>AD11*Input!V11/100</f>
        <v>0.87904953015566778</v>
      </c>
      <c r="AF11" s="146">
        <f>(AD11/Constants!$B$10)*602200000000*Constants!$B$16/(365.2425*24*60)</f>
        <v>10.156435264154933</v>
      </c>
      <c r="AG11" s="146">
        <f>AF11*Input!V11/100</f>
        <v>4.0124803417252608E-2</v>
      </c>
      <c r="AH11" s="142">
        <f>AF11/Z11</f>
        <v>47186.472491345412</v>
      </c>
      <c r="AI11" s="151">
        <f>AH11*SQRT((AG11/AF11)^2+(AA11/Z11)^2)</f>
        <v>458.37734413031984</v>
      </c>
      <c r="AJ11" s="148">
        <f t="shared" ref="AJ11:AJ13" si="14">(U11-1)*1000</f>
        <v>-7.836688726692298E-2</v>
      </c>
      <c r="AK11" s="151">
        <f>V11*1000</f>
        <v>2.512853774313732</v>
      </c>
      <c r="AL11" s="151">
        <f>AF11/Q11</f>
        <v>0.99378612377426123</v>
      </c>
      <c r="AM11" s="151">
        <f>AL11*SQRT((R11/Q11)^2+(AG11/AF11)^2)</f>
        <v>3.9304451314565768E-3</v>
      </c>
      <c r="AN11" s="142">
        <f>AF11/Q11</f>
        <v>0.99378612377426123</v>
      </c>
      <c r="AO11" s="146">
        <f>AN11*SQRT((R11/Q11)^2+(AG11/AF11)^2)</f>
        <v>3.9304451314565768E-3</v>
      </c>
      <c r="AP11" s="142">
        <f t="shared" ref="AP11" si="15">ThU_Alter_Kombi(AN11,U11)</f>
        <v>556.00139999999999</v>
      </c>
      <c r="AQ11" s="142" t="e">
        <f t="shared" ref="AQ11:AQ13" si="16">Montealter(AN11,AO11,U11,V11)</f>
        <v>#VALUE!</v>
      </c>
      <c r="AR11" s="142" t="e">
        <f>(AQ11/AP11)*100</f>
        <v>#VALUE!</v>
      </c>
      <c r="AS11" s="150">
        <f t="shared" ref="AS11:AS19" si="17">Z11/Q11</f>
        <v>2.1060826785823712E-5</v>
      </c>
      <c r="AT11" s="150">
        <f t="shared" ref="AT11:AT19" si="18">AS11*SQRT((Y11/X11)^2+(P11/O11)^2)</f>
        <v>1.8694559747120107E-7</v>
      </c>
      <c r="AU11" s="142">
        <v>0.75</v>
      </c>
      <c r="AV11" s="142">
        <f>AU11/2</f>
        <v>0.375</v>
      </c>
      <c r="AW11" s="142">
        <f t="shared" ref="AW11:AW19" si="19">marincorr_age(AN11,U11,AS11,AU11)</f>
        <v>555.99969999999996</v>
      </c>
      <c r="AX11" s="152">
        <f t="shared" ref="AX11:AX19" si="20">marincorr_age_error(AN11, AO11, U11, V11, AS11, AT11, AU11, AV11)</f>
        <v>214.57445050289999</v>
      </c>
      <c r="AY11" s="152">
        <f t="shared" ref="AY11:AY19" si="21">SQRT(((AU11*EXP(-0.0000091577*AW11*1000))/(0.0000091577*(EXP(-0.0000091577*AW11*1000)+(AJ11/1000)*EXP(-(0.0000091577-0.0000028263)*AW11*1000)-AS11*AU11*EXP(-0.0000091577*AW11*1000))))^2*AT11^2+((AS11*EXP(-0.0000091577*AW11*1000))/(0.0000091577*(EXP(-0.0000091577*AW11*1000)+(AJ11/1000)*EXP(-(0.0000091577-0.0000028263)*AW11*1000)-AS11*AU11*EXP(-0.0000091577*AW11*1000))))^2*AV11^2+((0.0000091577/(0.0000091577-0.0000028263))*(EXP(-(0.0000091577-0.0000028263)*AW11*1000)-1)/(0.0000091577*(EXP(-0.0000091577*AW11*1000)+(AJ11/1000)*EXP(-(0.0000091577-0.0000028263)*AW11*1000)-AS11*AU11*EXP(-0.0000091577*AW11*1000))))^2*T11^2+(1/(0.0000091577*(EXP(-0.0000091577*AW11*1000)+(AJ11/1000)*EXP(-(0.0000091577-0.0000028263)*AW11*1000)-AS11*AU11*EXP(-0.0000091577*AW11*1000))))^2*AO11^2)/1000</f>
        <v>93.838944800820542</v>
      </c>
      <c r="AZ11" s="153">
        <f t="shared" ref="AZ11:AZ19" si="22">AX11/AW11</f>
        <v>0.38592547892184115</v>
      </c>
      <c r="BA11" s="142" t="str">
        <f>Input!B11</f>
        <v>Hu1-13</v>
      </c>
      <c r="BB11" s="154">
        <f>Input!E11</f>
        <v>0</v>
      </c>
      <c r="BC11" s="142">
        <f>((U11-1)*EXP(Constants!$B$17*AW11*1000))*1000</f>
        <v>-0.37632984088213051</v>
      </c>
      <c r="BD11" s="148">
        <f>SQRT((EXP(Constants!$B$17*AW11*1000)*V11)^2+((U11-1)*Constants!$B$17*EXP(Constants!$B$17*AW11*1000)*AY11*1000)^2)*1000</f>
        <v>12.067521677811115</v>
      </c>
      <c r="BE11" s="142">
        <f t="shared" ref="BE11:BE13" si="23">AW11*1000-58</f>
        <v>555941.69999999995</v>
      </c>
      <c r="BF11" s="155">
        <f t="shared" ref="BF11:BF13" si="24">AY11/2*1000</f>
        <v>46919.472400410268</v>
      </c>
      <c r="BG11" s="164">
        <f t="shared" ref="BG11:BG13" si="25">AY11/AW11*100</f>
        <v>16.877517164275545</v>
      </c>
      <c r="BH11" s="142"/>
      <c r="BI11" s="21"/>
      <c r="BJ11" s="21"/>
      <c r="BK11" s="21"/>
      <c r="BL11" s="21"/>
      <c r="BM11" s="21"/>
      <c r="BN11" s="163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</row>
    <row r="12" spans="1:110" ht="15" customHeight="1" x14ac:dyDescent="0.2">
      <c r="A12" s="21">
        <f>Input!A12</f>
        <v>10890</v>
      </c>
      <c r="B12" s="21" t="str">
        <f>Input!B12</f>
        <v>M5-14-44B_331,25</v>
      </c>
      <c r="C12" s="21">
        <f>Input!O12</f>
        <v>1.1299253726780181</v>
      </c>
      <c r="D12" s="21">
        <f>C12*Input!P12/100</f>
        <v>4.4165241409375626E-3</v>
      </c>
      <c r="E12" s="156">
        <f>Input!M12</f>
        <v>0.6928006764895519</v>
      </c>
      <c r="F12" s="157">
        <f>E12*Input!N12/100</f>
        <v>4.3268235146334465E-5</v>
      </c>
      <c r="G12" s="24">
        <f>E12*137.88</f>
        <v>95.523357274379407</v>
      </c>
      <c r="H12" s="157">
        <f>G12*Input!L12/100</f>
        <v>7.7314590798959661E-3</v>
      </c>
      <c r="I12" s="21">
        <v>0.3</v>
      </c>
      <c r="J12" s="133">
        <f>(((C12*Constants!$B$24*0.000000001*Input!G12*(Constants!$B$4/Constants!$B$3))-(I12*0.000000000000001))/Input!F12)*1000000000000</f>
        <v>23.392626708451555</v>
      </c>
      <c r="K12" s="21">
        <f>J12*Input!P12/100</f>
        <v>9.1434446093509689E-2</v>
      </c>
      <c r="L12" s="138">
        <f>(J12/Constants!$B$4)*602200000000*Constants!$B$17/(365.2425*24*60)</f>
        <v>0.32296118489074743</v>
      </c>
      <c r="M12" s="136">
        <f>L12*Input!P12/100</f>
        <v>1.2623540493432578E-3</v>
      </c>
      <c r="N12" s="21">
        <v>5.0000000000000001E-3</v>
      </c>
      <c r="O12" s="133">
        <f>(((G12*Constants!$B$23*0.000000001*Input!G12*(Constants!$B$7/Constants!$B$6))-(N12*0.000000001))/Input!F12)*1000000</f>
        <v>0.19920155594283653</v>
      </c>
      <c r="P12" s="21">
        <f>O12*Input!N12/100</f>
        <v>1.244095171460234E-5</v>
      </c>
      <c r="Q12" s="134">
        <f>(O12/Constants!$B$7)*602200000000000000*Constants!$B$18/(365.2425*24*60)</f>
        <v>0.14862841600776863</v>
      </c>
      <c r="R12" s="135">
        <f>Q12*Input!N12/100</f>
        <v>9.2824523293437334E-6</v>
      </c>
      <c r="S12" s="136">
        <f>Input!S12*Constants!$B$17/Constants!$B$18</f>
        <v>2.1299800728503224</v>
      </c>
      <c r="T12" s="21">
        <f>S12*Input!T12/100</f>
        <v>2.5204633512577535E-3</v>
      </c>
      <c r="U12" s="21">
        <f>S12*1/((U11+U13)/2)</f>
        <v>2.1312101705093744</v>
      </c>
      <c r="V12" s="21">
        <f>U12*Input!T12/100</f>
        <v>2.5219189592738229E-3</v>
      </c>
      <c r="W12" s="137">
        <v>3.0000000000000001E-3</v>
      </c>
      <c r="X12" s="133">
        <f>IF((((Constants!$B$25*0.000000001*Input!G12/Input!W12*(Constants!$B$11/Constants!$B$9))-(W12*0.000000001))/Input!F12)*1000000000&lt;0, "n.d.", (((Constants!$B$25*0.000000001*Input!G12/Input!W12*(Constants!$B$11/Constants!$B$9))-(W12*0.000000001))/Input!F12)*1000000000)</f>
        <v>0.1997219407846873</v>
      </c>
      <c r="Y12" s="133">
        <f>X12*Input!X12/100</f>
        <v>4.1557540088725997E-4</v>
      </c>
      <c r="Z12" s="133">
        <f>(X12/Constants!$B$11)*6.022E+23*0.000000001*Constants!$B$19/(365.2425*24*60)</f>
        <v>4.8758582502394704E-5</v>
      </c>
      <c r="AA12" s="133">
        <f>Z12*Input!X12/100</f>
        <v>1.0145539038183017E-7</v>
      </c>
      <c r="AB12" s="138">
        <v>0.05</v>
      </c>
      <c r="AC12" s="138">
        <v>0.9</v>
      </c>
      <c r="AD12" s="133">
        <f>(((Input!G12*Constants!$B$25*0.000000001*Input!U12*(Constants!$B$10/Constants!$B$9))-((AB12*0.000000000000001)+(Input!G12*AC12*0.000000000000001)))/Input!F12)*1000000000000</f>
        <v>7.3203177126616792</v>
      </c>
      <c r="AE12" s="133">
        <f>AD12*Input!V12/100</f>
        <v>1.3752443001615006E-2</v>
      </c>
      <c r="AF12" s="133">
        <f>(AD12/Constants!$B$10)*602200000000*Constants!$B$16/(365.2425*24*60)</f>
        <v>0.33414079536606689</v>
      </c>
      <c r="AG12" s="133">
        <f>AF12*Input!V12/100</f>
        <v>6.2773945382697024E-4</v>
      </c>
      <c r="AH12" s="21">
        <f>AF12/Z12</f>
        <v>6852.9636879754671</v>
      </c>
      <c r="AI12" s="137">
        <f>AH12*SQRT((AG12/AF12)^2+(AA12/Z12)^2)</f>
        <v>19.211529181693528</v>
      </c>
      <c r="AJ12" s="136">
        <f t="shared" si="14"/>
        <v>1131.2101705093744</v>
      </c>
      <c r="AK12" s="137">
        <f>V12*1000</f>
        <v>2.5219189592738229</v>
      </c>
      <c r="AL12" s="137">
        <f>AF12/Q12</f>
        <v>2.2481622582091014</v>
      </c>
      <c r="AM12" s="137">
        <f>AL12*SQRT((R12/Q12)^2+(AG12/AF12)^2)</f>
        <v>4.2258825639607204E-3</v>
      </c>
      <c r="AN12" s="21">
        <f>AL12*1/((AN11+AN13)/2)</f>
        <v>2.259835275897089</v>
      </c>
      <c r="AO12" s="133">
        <f>AN12*SQRT((R12/Q12)^2+(AG12/AF12)^2)</f>
        <v>4.2478243974455364E-3</v>
      </c>
      <c r="AP12" s="21">
        <f>ThU_Alter_Kombi(AN12,U12)</f>
        <v>271.59640000000002</v>
      </c>
      <c r="AQ12" s="21">
        <f t="shared" si="16"/>
        <v>1.9802999999999999</v>
      </c>
      <c r="AR12" s="158">
        <f>(AQ12/AP12)</f>
        <v>7.2913337584739699E-3</v>
      </c>
      <c r="AS12" s="135">
        <f t="shared" si="17"/>
        <v>3.2805693427995729E-4</v>
      </c>
      <c r="AT12" s="135">
        <f t="shared" si="18"/>
        <v>6.8291840208792742E-7</v>
      </c>
      <c r="AU12" s="21">
        <v>0.75</v>
      </c>
      <c r="AV12" s="21">
        <f>AU12/2</f>
        <v>0.375</v>
      </c>
      <c r="AW12" s="21">
        <f t="shared" si="19"/>
        <v>271.58859999999999</v>
      </c>
      <c r="AX12" s="139">
        <f t="shared" si="20"/>
        <v>1.9710371023</v>
      </c>
      <c r="AY12" s="139">
        <f t="shared" si="21"/>
        <v>1.9854122546557533</v>
      </c>
      <c r="AZ12" s="158">
        <f t="shared" si="22"/>
        <v>7.2574368080987198E-3</v>
      </c>
      <c r="BA12" s="21" t="str">
        <f>Input!B12</f>
        <v>M5-14-44B_331,25</v>
      </c>
      <c r="BB12" s="140">
        <f>Input!E12</f>
        <v>331.25</v>
      </c>
      <c r="BC12" s="21">
        <f>((U12-1)*EXP(Constants!$B$17*AW12*1000))*1000</f>
        <v>2434.4657587500997</v>
      </c>
      <c r="BD12" s="136">
        <f>SQRT((EXP(Constants!$B$17*AW12*1000)*V12)^2+((U12-1)*Constants!$B$17*EXP(Constants!$B$17*AW12*1000)*AY12*1000)^2)*1000</f>
        <v>14.680312430646714</v>
      </c>
      <c r="BE12" s="21">
        <f t="shared" si="23"/>
        <v>271530.59999999998</v>
      </c>
      <c r="BF12" s="141">
        <f t="shared" si="24"/>
        <v>992.70612732787663</v>
      </c>
      <c r="BG12" s="23">
        <f t="shared" si="25"/>
        <v>0.73103666893814889</v>
      </c>
      <c r="BH12" s="21"/>
      <c r="BI12" s="21"/>
      <c r="BJ12" s="21"/>
      <c r="BK12" s="21"/>
      <c r="BL12" s="21"/>
      <c r="BM12" s="21"/>
      <c r="BN12" s="163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</row>
    <row r="13" spans="1:110" ht="15" customHeight="1" x14ac:dyDescent="0.2">
      <c r="A13" s="142">
        <f>Input!A13</f>
        <v>10815</v>
      </c>
      <c r="B13" s="142" t="str">
        <f>Input!B13</f>
        <v>Hu1-13</v>
      </c>
      <c r="C13" s="142">
        <f>Input!O13</f>
        <v>2.1226440275725471</v>
      </c>
      <c r="D13" s="142">
        <f>C13*Input!P13/100</f>
        <v>2.7125104529474607E-2</v>
      </c>
      <c r="E13" s="143">
        <f>Input!M13</f>
        <v>2.7320150246880202</v>
      </c>
      <c r="F13" s="144">
        <f>E13*Input!N13/100</f>
        <v>5.1633962196927805E-4</v>
      </c>
      <c r="G13" s="145">
        <f t="shared" ref="G13" si="26">E13*137.88</f>
        <v>376.69023160398422</v>
      </c>
      <c r="H13" s="144">
        <f>G13*Input!L13/100</f>
        <v>2.5892994545977994E-2</v>
      </c>
      <c r="I13" s="142">
        <v>0</v>
      </c>
      <c r="J13" s="146">
        <f>(((C13*Constants!$B$24*0.000000001*Input!G13*(Constants!$B$4/Constants!$B$3))-(I13*0.000000000000001))/Input!F13)*1000000000000</f>
        <v>766.35418371903063</v>
      </c>
      <c r="K13" s="142">
        <f>J13*Input!P13/100</f>
        <v>9.7931810845134404</v>
      </c>
      <c r="L13" s="147">
        <f>(J13/Constants!$B$4)*602200000000*Constants!$B$17/(365.2425*24*60)</f>
        <v>10.58037040066386</v>
      </c>
      <c r="M13" s="148">
        <f>L13*Input!P13/100</f>
        <v>0.13520573838599395</v>
      </c>
      <c r="N13" s="142">
        <v>0</v>
      </c>
      <c r="O13" s="146">
        <f>(((G13*Constants!$B$23*0.000000001*Input!G13*(Constants!$B$7/Constants!$B$6))-(N13*0.000000001))/Input!F13)*1000000</f>
        <v>13.699926064839383</v>
      </c>
      <c r="P13" s="142">
        <f>O13*Input!N13/100</f>
        <v>2.5892297741422609E-3</v>
      </c>
      <c r="Q13" s="149">
        <f>(O13/Constants!$B$7)*602200000000000000*Constants!$B$18/(365.2425*24*60)</f>
        <v>10.221799226432417</v>
      </c>
      <c r="R13" s="150">
        <f>Q13*Input!N13/100</f>
        <v>1.9318780829269706E-3</v>
      </c>
      <c r="S13" s="148">
        <f>Input!S13*Constants!$B$17/Constants!$B$18</f>
        <v>0.99892400146984028</v>
      </c>
      <c r="T13" s="142">
        <f>S13*Input!T13/100</f>
        <v>2.328663610679264E-3</v>
      </c>
      <c r="U13" s="148">
        <f>S13</f>
        <v>0.99892400146984028</v>
      </c>
      <c r="V13" s="142">
        <f>U13*Input!T13/100</f>
        <v>2.328663610679264E-3</v>
      </c>
      <c r="W13" s="151">
        <v>0</v>
      </c>
      <c r="X13" s="146">
        <f>(((Constants!$B$25*0.000000001*Input!G13/Input!W13*(Constants!$B$11/Constants!$B$9))-(W13*0.000000001))/Input!F13)*1000000000</f>
        <v>0.90352480593405116</v>
      </c>
      <c r="Y13" s="146">
        <f>X13*Input!X13/100</f>
        <v>9.0942293142684295E-3</v>
      </c>
      <c r="Z13" s="146">
        <f>(X13/Constants!$B$11)*6.022E+23*0.000000001*Constants!$B$19/(365.2425*24*60)</f>
        <v>2.2057961493869715E-4</v>
      </c>
      <c r="AA13" s="146">
        <f>Z13*Input!X13/100</f>
        <v>2.2201953805039873E-6</v>
      </c>
      <c r="AB13" s="147">
        <v>0</v>
      </c>
      <c r="AC13" s="147">
        <v>0.9</v>
      </c>
      <c r="AD13" s="146">
        <f>(((Input!G13*Constants!$B$25*0.000000001*Input!U13*(Constants!$B$10/Constants!$B$9))-((AB13*0.000000000000001)+(Input!G13*AC13*0.000000000000001)))/Input!F13)*1000000000000</f>
        <v>223.0160410979455</v>
      </c>
      <c r="AE13" s="146">
        <f>AD13*Input!V13/100</f>
        <v>0.79768628858487811</v>
      </c>
      <c r="AF13" s="146">
        <f>(AD13/Constants!$B$10)*602200000000*Constants!$B$16/(365.2425*24*60)</f>
        <v>10.179716274194856</v>
      </c>
      <c r="AG13" s="146">
        <f>AF13*Input!V13/100</f>
        <v>3.6410923867325279E-2</v>
      </c>
      <c r="AH13" s="142">
        <f t="shared" ref="AH13" si="27">AF13/Z13</f>
        <v>46149.85059713688</v>
      </c>
      <c r="AI13" s="151">
        <f t="shared" ref="AI13" si="28">AH13*SQRT((AG13/AF13)^2+(AA13/Z13)^2)</f>
        <v>492.96902639198288</v>
      </c>
      <c r="AJ13" s="148">
        <f t="shared" si="14"/>
        <v>-1.0759985301597164</v>
      </c>
      <c r="AK13" s="151">
        <f t="shared" ref="AK13" si="29">V13*1000</f>
        <v>2.3286636106792642</v>
      </c>
      <c r="AL13" s="151">
        <f t="shared" ref="AL13" si="30">AF13/Q13</f>
        <v>0.99588301909425703</v>
      </c>
      <c r="AM13" s="151">
        <f t="shared" ref="AM13" si="31">AL13*SQRT((R13/Q13)^2+(AG13/AF13)^2)</f>
        <v>3.5670547778450992E-3</v>
      </c>
      <c r="AN13" s="142">
        <f>AF13/Q13</f>
        <v>0.99588301909425703</v>
      </c>
      <c r="AO13" s="146">
        <f t="shared" ref="AO13" si="32">AN13*SQRT((R13/Q13)^2+(AG13/AF13)^2)</f>
        <v>3.5670547778450992E-3</v>
      </c>
      <c r="AP13" s="142">
        <f t="shared" ref="AP13" si="33">ThU_Alter_Kombi(AN13,U13)</f>
        <v>649.57640000000004</v>
      </c>
      <c r="AQ13" s="142" t="e">
        <f t="shared" si="16"/>
        <v>#VALUE!</v>
      </c>
      <c r="AR13" s="142" t="e">
        <f>(AQ13/AP13)*100</f>
        <v>#VALUE!</v>
      </c>
      <c r="AS13" s="150">
        <f t="shared" si="17"/>
        <v>2.1579333545145674E-5</v>
      </c>
      <c r="AT13" s="150">
        <f t="shared" si="18"/>
        <v>2.1724030094312853E-7</v>
      </c>
      <c r="AU13" s="142">
        <v>0.75</v>
      </c>
      <c r="AV13" s="142">
        <f t="shared" ref="AV13" si="34">AU13/2</f>
        <v>0.375</v>
      </c>
      <c r="AW13" s="142">
        <f t="shared" si="19"/>
        <v>649.57460000000003</v>
      </c>
      <c r="AX13" s="152">
        <f t="shared" si="20"/>
        <v>301.1754978459</v>
      </c>
      <c r="AY13" s="152">
        <f t="shared" si="21"/>
        <v>205.10913795175426</v>
      </c>
      <c r="AZ13" s="153">
        <f t="shared" si="22"/>
        <v>0.46365036109155128</v>
      </c>
      <c r="BA13" s="142" t="str">
        <f>Input!B13</f>
        <v>Hu1-13</v>
      </c>
      <c r="BB13" s="154">
        <f>Input!E13</f>
        <v>0</v>
      </c>
      <c r="BC13" s="142">
        <f>((U13-1)*EXP(Constants!$B$17*AW13*1000))*1000</f>
        <v>-6.7287378916189526</v>
      </c>
      <c r="BD13" s="148">
        <f>SQRT((EXP(Constants!$B$17*AW13*1000)*V13)^2+((U13-1)*Constants!$B$17*EXP(Constants!$B$17*AW13*1000)*AY13*1000)^2)*1000</f>
        <v>15.074109384230388</v>
      </c>
      <c r="BE13" s="142">
        <f t="shared" si="23"/>
        <v>649516.6</v>
      </c>
      <c r="BF13" s="155">
        <f t="shared" si="24"/>
        <v>102554.56897587713</v>
      </c>
      <c r="BG13" s="164">
        <f t="shared" si="25"/>
        <v>31.575917215937054</v>
      </c>
      <c r="BH13" s="142"/>
      <c r="BI13" s="21"/>
      <c r="BJ13" s="21"/>
      <c r="BK13" s="21"/>
      <c r="BL13" s="21"/>
      <c r="BM13" s="21"/>
      <c r="BN13" s="163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</row>
    <row r="14" spans="1:110" ht="15" customHeight="1" x14ac:dyDescent="0.2">
      <c r="A14" s="21">
        <f>Input!A14</f>
        <v>10891</v>
      </c>
      <c r="B14" s="21" t="str">
        <f>Input!B14</f>
        <v>M5-14-44B_346,5</v>
      </c>
      <c r="C14" s="21">
        <f>Input!O14</f>
        <v>1.6357885275493418</v>
      </c>
      <c r="D14" s="21">
        <f>C14*Input!P14/100</f>
        <v>6.8165046372728622E-3</v>
      </c>
      <c r="E14" s="156">
        <f>Input!M14</f>
        <v>1.0454594005205213</v>
      </c>
      <c r="F14" s="157">
        <f>E14*Input!N14/100</f>
        <v>9.0765699888665892E-5</v>
      </c>
      <c r="G14" s="24">
        <f>E14*137.88</f>
        <v>144.14794214376948</v>
      </c>
      <c r="H14" s="157">
        <f>G14*Input!L14/100</f>
        <v>1.5602268940982773E-2</v>
      </c>
      <c r="I14" s="21">
        <v>0.3</v>
      </c>
      <c r="J14" s="133">
        <f>(((C14*Constants!$B$24*0.000000001*Input!G14*(Constants!$B$4/Constants!$B$3))-(I14*0.000000000000001))/Input!F14)*1000000000000</f>
        <v>31.580562170996757</v>
      </c>
      <c r="K14" s="21">
        <f>J14*Input!P14/100</f>
        <v>0.13159955878208099</v>
      </c>
      <c r="L14" s="138">
        <f>(J14/Constants!$B$4)*602200000000*Constants!$B$17/(365.2425*24*60)</f>
        <v>0.43600472513743449</v>
      </c>
      <c r="M14" s="136">
        <f>L14*Input!P14/100</f>
        <v>1.8168780259296407E-3</v>
      </c>
      <c r="N14" s="21">
        <v>5.0000000000000001E-3</v>
      </c>
      <c r="O14" s="133">
        <f>(((G14*Constants!$B$23*0.000000001*Input!G14*(Constants!$B$7/Constants!$B$6))-(N14*0.000000001))/Input!F14)*1000000</f>
        <v>0.28032701801732546</v>
      </c>
      <c r="P14" s="21">
        <f>O14*Input!N14/100</f>
        <v>2.4337700703993774E-5</v>
      </c>
      <c r="Q14" s="134">
        <f>(O14/Constants!$B$7)*602200000000000000*Constants!$B$18/(365.2425*24*60)</f>
        <v>0.20915780730172848</v>
      </c>
      <c r="R14" s="135">
        <f>Q14*Input!N14/100</f>
        <v>1.8158863708593586E-5</v>
      </c>
      <c r="S14" s="136">
        <f>Input!S14*Constants!$B$17/Constants!$B$18</f>
        <v>2.0739251698937342</v>
      </c>
      <c r="T14" s="21">
        <f>S14*Input!T14/100</f>
        <v>2.0543543842822228E-3</v>
      </c>
      <c r="U14" s="21">
        <f>S14*1/((U13+U15)/2)</f>
        <v>2.0735827739719483</v>
      </c>
      <c r="V14" s="21">
        <f>U14*Input!T14/100</f>
        <v>2.0540152194110438E-3</v>
      </c>
      <c r="W14" s="137">
        <v>3.0000000000000001E-3</v>
      </c>
      <c r="X14" s="133">
        <f>IF((((Constants!$B$25*0.000000001*Input!G14/Input!W14*(Constants!$B$11/Constants!$B$9))-(W14*0.000000001))/Input!F14)*1000000000&lt;0, "n.d.", (((Constants!$B$25*0.000000001*Input!G14/Input!W14*(Constants!$B$11/Constants!$B$9))-(W14*0.000000001))/Input!F14)*1000000000)</f>
        <v>0.14700159405958285</v>
      </c>
      <c r="Y14" s="133">
        <f>X14*Input!X14/100</f>
        <v>3.9110925532712045E-4</v>
      </c>
      <c r="Z14" s="133">
        <f>(X14/Constants!$B$11)*6.022E+23*0.000000001*Constants!$B$19/(365.2425*24*60)</f>
        <v>3.5887841484901308E-5</v>
      </c>
      <c r="AA14" s="133">
        <f>Z14*Input!X14/100</f>
        <v>9.5482413291167281E-8</v>
      </c>
      <c r="AB14" s="138">
        <v>0.05</v>
      </c>
      <c r="AC14" s="138">
        <v>0.9</v>
      </c>
      <c r="AD14" s="133">
        <f>(((Input!G14*Constants!$B$25*0.000000001*Input!U14*(Constants!$B$10/Constants!$B$9))-((AB14*0.000000000000001)+(Input!G14*AC14*0.000000000000001)))/Input!F14)*1000000000000</f>
        <v>9.998094823177194</v>
      </c>
      <c r="AE14" s="133">
        <f>AD14*Input!V14/100</f>
        <v>1.8234058981857395E-2</v>
      </c>
      <c r="AF14" s="133">
        <f>(AD14/Constants!$B$10)*602200000000*Constants!$B$16/(365.2425*24*60)</f>
        <v>0.45636972157415734</v>
      </c>
      <c r="AG14" s="133">
        <f>AF14*Input!V14/100</f>
        <v>8.3230581104577132E-4</v>
      </c>
      <c r="AH14" s="21">
        <f>AF14/Z14</f>
        <v>12716.555320446359</v>
      </c>
      <c r="AI14" s="137">
        <f>AH14*SQRT((AG14/AF14)^2+(AA14/Z14)^2)</f>
        <v>41.019029367826541</v>
      </c>
      <c r="AJ14" s="136">
        <f t="shared" ref="AJ14:AJ17" si="35">(U14-1)*1000</f>
        <v>1073.5827739719484</v>
      </c>
      <c r="AK14" s="137">
        <f>V14*1000</f>
        <v>2.0540152194110437</v>
      </c>
      <c r="AL14" s="137">
        <f>AF14/Q14</f>
        <v>2.1819396916692857</v>
      </c>
      <c r="AM14" s="137">
        <f>AL14*SQRT((R14/Q14)^2+(AG14/AF14)^2)</f>
        <v>3.9838262365818385E-3</v>
      </c>
      <c r="AN14" s="21">
        <f>AL14*1/((AN13+AN15)/2)</f>
        <v>2.1858434254260621</v>
      </c>
      <c r="AO14" s="133">
        <f>AN14*SQRT((R14/Q14)^2+(AG14/AF14)^2)</f>
        <v>3.9909537465768457E-3</v>
      </c>
      <c r="AP14" s="21">
        <f>ThU_Alter_Kombi(AN14,U14)</f>
        <v>269.39120000000003</v>
      </c>
      <c r="AQ14" s="21">
        <f t="shared" ref="AQ14:AQ17" si="36">Montealter(AN14,AO14,U14,V14)</f>
        <v>1.8279000000000001</v>
      </c>
      <c r="AR14" s="158">
        <f>(AQ14/AP14)</f>
        <v>6.7852995940476148E-3</v>
      </c>
      <c r="AS14" s="135">
        <f t="shared" si="17"/>
        <v>1.7158260524853346E-4</v>
      </c>
      <c r="AT14" s="135">
        <f t="shared" si="18"/>
        <v>4.5675194673641555E-7</v>
      </c>
      <c r="AU14" s="21">
        <v>0.75</v>
      </c>
      <c r="AV14" s="21">
        <f>AU14/2</f>
        <v>0.375</v>
      </c>
      <c r="AW14" s="21">
        <f t="shared" si="19"/>
        <v>269.38690000000003</v>
      </c>
      <c r="AX14" s="139">
        <f t="shared" si="20"/>
        <v>1.7647114955000001</v>
      </c>
      <c r="AY14" s="139">
        <f t="shared" si="21"/>
        <v>1.8234749979550686</v>
      </c>
      <c r="AZ14" s="158">
        <f t="shared" si="22"/>
        <v>6.5508437696859051E-3</v>
      </c>
      <c r="BA14" s="21" t="str">
        <f>Input!B14</f>
        <v>M5-14-44B_346,5</v>
      </c>
      <c r="BB14" s="140">
        <f>Input!E14</f>
        <v>346.5</v>
      </c>
      <c r="BC14" s="21">
        <f>((U14-1)*EXP(Constants!$B$17*AW14*1000))*1000</f>
        <v>2296.1353728332565</v>
      </c>
      <c r="BD14" s="136">
        <f>SQRT((EXP(Constants!$B$17*AW14*1000)*V14)^2+((U14-1)*Constants!$B$17*EXP(Constants!$B$17*AW14*1000)*AY14*1000)^2)*1000</f>
        <v>12.606039685411647</v>
      </c>
      <c r="BE14" s="21">
        <f t="shared" ref="BE14:BE17" si="37">AW14*1000-58</f>
        <v>269328.90000000002</v>
      </c>
      <c r="BF14" s="141">
        <f t="shared" ref="BF14:BF17" si="38">AY14/2*1000</f>
        <v>911.7374989775343</v>
      </c>
      <c r="BG14" s="23">
        <f t="shared" ref="BG14:BG17" si="39">AY14/AW14*100</f>
        <v>0.67689817060705937</v>
      </c>
      <c r="BH14" s="21"/>
      <c r="BI14" s="21"/>
      <c r="BJ14" s="21"/>
      <c r="BK14" s="21"/>
      <c r="BL14" s="21"/>
      <c r="BM14" s="21"/>
      <c r="BN14" s="163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</row>
    <row r="15" spans="1:110" ht="15" customHeight="1" x14ac:dyDescent="0.2">
      <c r="A15" s="142">
        <f>Input!A15</f>
        <v>10815</v>
      </c>
      <c r="B15" s="142" t="str">
        <f>Input!B15</f>
        <v>Hu1-13</v>
      </c>
      <c r="C15" s="142">
        <f>Input!O15</f>
        <v>2.1012460877423864</v>
      </c>
      <c r="D15" s="142">
        <f>C15*Input!P15/100</f>
        <v>3.0914428169636955E-2</v>
      </c>
      <c r="E15" s="143">
        <f>Input!M15</f>
        <v>2.7321504269533112</v>
      </c>
      <c r="F15" s="144">
        <f>E15*Input!N15/100</f>
        <v>4.9668743007177615E-4</v>
      </c>
      <c r="G15" s="145">
        <f t="shared" ref="G15" si="40">E15*137.88</f>
        <v>376.70890086832253</v>
      </c>
      <c r="H15" s="144">
        <f>G15*Input!L15/100</f>
        <v>3.8549302608997221E-2</v>
      </c>
      <c r="I15" s="142">
        <v>0</v>
      </c>
      <c r="J15" s="146">
        <f>(((C15*Constants!$B$24*0.000000001*Input!G15*(Constants!$B$4/Constants!$B$3))-(I15*0.000000000000001))/Input!F15)*1000000000000</f>
        <v>758.6287241041349</v>
      </c>
      <c r="K15" s="142">
        <f>J15*Input!P15/100</f>
        <v>11.161269180012344</v>
      </c>
      <c r="L15" s="147">
        <f>(J15/Constants!$B$4)*602200000000*Constants!$B$17/(365.2425*24*60)</f>
        <v>10.473711852987771</v>
      </c>
      <c r="M15" s="148">
        <f>L15*Input!P15/100</f>
        <v>0.15409371355287077</v>
      </c>
      <c r="N15" s="142">
        <v>0</v>
      </c>
      <c r="O15" s="146">
        <f>(((G15*Constants!$B$23*0.000000001*Input!G15*(Constants!$B$7/Constants!$B$6))-(N15*0.000000001))/Input!F15)*1000000</f>
        <v>13.700605051231014</v>
      </c>
      <c r="P15" s="142">
        <f>O15*Input!N15/100</f>
        <v>2.4906821550498082E-3</v>
      </c>
      <c r="Q15" s="149">
        <f>(O15/Constants!$B$7)*602200000000000000*Constants!$B$18/(365.2425*24*60)</f>
        <v>10.222305832273928</v>
      </c>
      <c r="R15" s="150">
        <f>Q15*Input!N15/100</f>
        <v>1.8583496586246459E-3</v>
      </c>
      <c r="S15" s="148">
        <f>Input!S15*Constants!$B$17/Constants!$B$18</f>
        <v>1.0014062442537293</v>
      </c>
      <c r="T15" s="142">
        <f>S15*Input!T15/100</f>
        <v>1.9851621197802516E-3</v>
      </c>
      <c r="U15" s="148">
        <f>S15</f>
        <v>1.0014062442537293</v>
      </c>
      <c r="V15" s="142">
        <f>U15*Input!T15/100</f>
        <v>1.9851621197802516E-3</v>
      </c>
      <c r="W15" s="151">
        <v>0</v>
      </c>
      <c r="X15" s="146">
        <f>(((Constants!$B$25*0.000000001*Input!G15/Input!W15*(Constants!$B$11/Constants!$B$9))-(W15*0.000000001))/Input!F15)*1000000000</f>
        <v>0.88169109578165561</v>
      </c>
      <c r="Y15" s="146">
        <f>X15*Input!X15/100</f>
        <v>8.0963347964154823E-3</v>
      </c>
      <c r="Z15" s="146">
        <f>(X15/Constants!$B$11)*6.022E+23*0.000000001*Constants!$B$19/(365.2425*24*60)</f>
        <v>2.1524930043436013E-4</v>
      </c>
      <c r="AA15" s="146">
        <f>Z15*Input!X15/100</f>
        <v>1.9765770680328777E-6</v>
      </c>
      <c r="AB15" s="147">
        <v>0</v>
      </c>
      <c r="AC15" s="147">
        <v>0.9</v>
      </c>
      <c r="AD15" s="146">
        <f>(((Input!G15*Constants!$B$25*0.000000001*Input!U15*(Constants!$B$10/Constants!$B$9))-((AB15*0.000000000000001)+(Input!G15*AC15*0.000000000000001)))/Input!F15)*1000000000000</f>
        <v>224.07117358023822</v>
      </c>
      <c r="AE15" s="146">
        <f>AD15*Input!V15/100</f>
        <v>0.69677085687020635</v>
      </c>
      <c r="AF15" s="146">
        <f>(AD15/Constants!$B$10)*602200000000*Constants!$B$16/(365.2425*24*60)</f>
        <v>10.227878501667586</v>
      </c>
      <c r="AG15" s="146">
        <f>AF15*Input!V15/100</f>
        <v>3.1804571528337822E-2</v>
      </c>
      <c r="AH15" s="142">
        <f t="shared" ref="AH15" si="41">AF15/Z15</f>
        <v>47516.430859604858</v>
      </c>
      <c r="AI15" s="151">
        <f t="shared" ref="AI15" si="42">AH15*SQRT((AG15/AF15)^2+(AA15/Z15)^2)</f>
        <v>460.66975524404796</v>
      </c>
      <c r="AJ15" s="148">
        <f t="shared" si="35"/>
        <v>1.4062442537292608</v>
      </c>
      <c r="AK15" s="151">
        <f t="shared" ref="AK15" si="43">V15*1000</f>
        <v>1.9851621197802516</v>
      </c>
      <c r="AL15" s="151">
        <f t="shared" ref="AL15" si="44">AF15/Q15</f>
        <v>1.0005451479817855</v>
      </c>
      <c r="AM15" s="151">
        <f t="shared" ref="AM15" si="45">AL15*SQRT((R15/Q15)^2+(AG15/AF15)^2)</f>
        <v>3.1166037129952175E-3</v>
      </c>
      <c r="AN15" s="142">
        <f>AF15/Q15</f>
        <v>1.0005451479817855</v>
      </c>
      <c r="AO15" s="146">
        <f t="shared" ref="AO15" si="46">AN15*SQRT((R15/Q15)^2+(AG15/AF15)^2)</f>
        <v>3.1166037129952175E-3</v>
      </c>
      <c r="AP15" s="142">
        <f t="shared" ref="AP15" si="47">ThU_Alter_Kombi(AN15,U15)</f>
        <v>711.69470000000001</v>
      </c>
      <c r="AQ15" s="142" t="e">
        <f t="shared" si="36"/>
        <v>#VALUE!</v>
      </c>
      <c r="AR15" s="142" t="e">
        <f>(AQ15/AP15)*100</f>
        <v>#VALUE!</v>
      </c>
      <c r="AS15" s="150">
        <f t="shared" si="17"/>
        <v>2.1056824552712333E-5</v>
      </c>
      <c r="AT15" s="150">
        <f t="shared" si="18"/>
        <v>1.9339710693073919E-7</v>
      </c>
      <c r="AU15" s="142">
        <v>0.75</v>
      </c>
      <c r="AV15" s="142">
        <f t="shared" ref="AV15" si="48">AU15/2</f>
        <v>0.375</v>
      </c>
      <c r="AW15" s="142">
        <f t="shared" si="19"/>
        <v>711.69299999999998</v>
      </c>
      <c r="AX15" s="152">
        <f t="shared" si="20"/>
        <v>324.44074982469999</v>
      </c>
      <c r="AY15" s="152">
        <f t="shared" si="21"/>
        <v>308.3942926382104</v>
      </c>
      <c r="AZ15" s="153">
        <f t="shared" si="22"/>
        <v>0.45587177311663879</v>
      </c>
      <c r="BA15" s="142" t="str">
        <f>Input!B15</f>
        <v>Hu1-13</v>
      </c>
      <c r="BB15" s="154">
        <f>Input!E15</f>
        <v>0</v>
      </c>
      <c r="BC15" s="142">
        <f>((U15-1)*EXP(Constants!$B$17*AW15*1000))*1000</f>
        <v>10.478890954128245</v>
      </c>
      <c r="BD15" s="148">
        <f>SQRT((EXP(Constants!$B$17*AW15*1000)*V15)^2+((U15-1)*Constants!$B$17*EXP(Constants!$B$17*AW15*1000)*AY15*1000)^2)*1000</f>
        <v>17.378113480538413</v>
      </c>
      <c r="BE15" s="142">
        <f t="shared" si="37"/>
        <v>711635</v>
      </c>
      <c r="BF15" s="155">
        <f t="shared" si="38"/>
        <v>154197.1463191052</v>
      </c>
      <c r="BG15" s="164">
        <f t="shared" si="39"/>
        <v>43.332489238788412</v>
      </c>
      <c r="BH15" s="142"/>
      <c r="BI15" s="21"/>
      <c r="BJ15" s="21"/>
      <c r="BK15" s="21"/>
      <c r="BL15" s="21"/>
      <c r="BM15" s="21"/>
      <c r="BN15" s="163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</row>
    <row r="16" spans="1:110" ht="15" customHeight="1" x14ac:dyDescent="0.2">
      <c r="A16" s="21">
        <f>Input!A16</f>
        <v>10892</v>
      </c>
      <c r="B16" s="21" t="str">
        <f>Input!B16</f>
        <v>M5-14-44B_618,75</v>
      </c>
      <c r="C16" s="21">
        <f>Input!O16</f>
        <v>1.424586566060468</v>
      </c>
      <c r="D16" s="21">
        <f>C16*Input!P16/100</f>
        <v>3.7691898289180076E-3</v>
      </c>
      <c r="E16" s="156">
        <f>Input!M16</f>
        <v>0.94553343810614687</v>
      </c>
      <c r="F16" s="157">
        <f>E16*Input!N16/100</f>
        <v>6.2391840415068815E-5</v>
      </c>
      <c r="G16" s="24">
        <f>E16*137.88</f>
        <v>130.37015044607551</v>
      </c>
      <c r="H16" s="157">
        <f>G16*Input!L16/100</f>
        <v>7.1918640951803966E-3</v>
      </c>
      <c r="I16" s="21">
        <v>0.3</v>
      </c>
      <c r="J16" s="133">
        <f>(((C16*Constants!$B$24*0.000000001*Input!G16*(Constants!$B$4/Constants!$B$3))-(I16*0.000000000000001))/Input!F16)*1000000000000</f>
        <v>30.985295891205077</v>
      </c>
      <c r="K16" s="21">
        <f>J16*Input!P16/100</f>
        <v>8.1981302436476777E-2</v>
      </c>
      <c r="L16" s="138">
        <f>(J16/Constants!$B$4)*602200000000*Constants!$B$17/(365.2425*24*60)</f>
        <v>0.42778641321192623</v>
      </c>
      <c r="M16" s="136">
        <f>L16*Input!P16/100</f>
        <v>1.131842905192234E-3</v>
      </c>
      <c r="N16" s="21">
        <v>5.0000000000000001E-3</v>
      </c>
      <c r="O16" s="133">
        <f>(((G16*Constants!$B$23*0.000000001*Input!G16*(Constants!$B$7/Constants!$B$6))-(N16*0.000000001))/Input!F16)*1000000</f>
        <v>0.28563266761377026</v>
      </c>
      <c r="P16" s="21">
        <f>O16*Input!N16/100</f>
        <v>1.8847718226426298E-5</v>
      </c>
      <c r="Q16" s="134">
        <f>(O16/Constants!$B$7)*602200000000000000*Constants!$B$18/(365.2425*24*60)</f>
        <v>0.21311646260278516</v>
      </c>
      <c r="R16" s="135">
        <f>Q16*Input!N16/100</f>
        <v>1.4062673818463356E-5</v>
      </c>
      <c r="S16" s="136">
        <f>Input!S16*Constants!$B$17/Constants!$B$18</f>
        <v>1.9858304360540449</v>
      </c>
      <c r="T16" s="21">
        <f>S16*Input!T16/100</f>
        <v>1.6354033302334444E-3</v>
      </c>
      <c r="U16" s="21">
        <f>S16*1/((U15+U17)/2)</f>
        <v>1.9851540698498291</v>
      </c>
      <c r="V16" s="21">
        <f>U16*Input!T16/100</f>
        <v>1.6348463181528816E-3</v>
      </c>
      <c r="W16" s="137">
        <v>3.0000000000000001E-3</v>
      </c>
      <c r="X16" s="133">
        <f>IF((((Constants!$B$25*0.000000001*Input!G16/Input!W16*(Constants!$B$11/Constants!$B$9))-(W16*0.000000001))/Input!F16)*1000000000&lt;0, "n.d.", (((Constants!$B$25*0.000000001*Input!G16/Input!W16*(Constants!$B$11/Constants!$B$9))-(W16*0.000000001))/Input!F16)*1000000000)</f>
        <v>6.8878710038697374E-2</v>
      </c>
      <c r="Y16" s="133">
        <f>X16*Input!X16/100</f>
        <v>1.7064873178267468E-4</v>
      </c>
      <c r="Z16" s="133">
        <f>(X16/Constants!$B$11)*6.022E+23*0.000000001*Constants!$B$19/(365.2425*24*60)</f>
        <v>1.6815519881718669E-5</v>
      </c>
      <c r="AA16" s="133">
        <f>Z16*Input!X16/100</f>
        <v>4.1660872285056971E-8</v>
      </c>
      <c r="AB16" s="138">
        <v>0.05</v>
      </c>
      <c r="AC16" s="138">
        <v>0.9</v>
      </c>
      <c r="AD16" s="133">
        <f>(((Input!G16*Constants!$B$25*0.000000001*Input!U16*(Constants!$B$10/Constants!$B$9))-((AB16*0.000000000000001)+(Input!G16*AC16*0.000000000000001)))/Input!F16)*1000000000000</f>
        <v>9.809102802219952</v>
      </c>
      <c r="AE16" s="133">
        <f>AD16*Input!V16/100</f>
        <v>2.2427485490519237E-2</v>
      </c>
      <c r="AF16" s="133">
        <f>(AD16/Constants!$B$10)*602200000000*Constants!$B$16/(365.2425*24*60)</f>
        <v>0.44774305444313028</v>
      </c>
      <c r="AG16" s="133">
        <f>AF16*Input!V16/100</f>
        <v>1.0237175671898827E-3</v>
      </c>
      <c r="AH16" s="21">
        <f>AF16/Z16</f>
        <v>26626.774407962443</v>
      </c>
      <c r="AI16" s="137">
        <f>AH16*SQRT((AG16/AF16)^2+(AA16/Z16)^2)</f>
        <v>89.767120290386174</v>
      </c>
      <c r="AJ16" s="136">
        <f t="shared" si="35"/>
        <v>985.15406984982917</v>
      </c>
      <c r="AK16" s="137">
        <f>V16*1000</f>
        <v>1.6348463181528816</v>
      </c>
      <c r="AL16" s="137">
        <f>AF16/Q16</f>
        <v>2.1009313357347312</v>
      </c>
      <c r="AM16" s="137">
        <f>AL16*SQRT((R16/Q16)^2+(AG16/AF16)^2)</f>
        <v>4.8055593611081686E-3</v>
      </c>
      <c r="AN16" s="21">
        <f>AL16*1/((AN15+AN17)/2)</f>
        <v>2.1011238363820293</v>
      </c>
      <c r="AO16" s="133">
        <f>AN16*SQRT((R16/Q16)^2+(AG16/AF16)^2)</f>
        <v>4.8059996769204512E-3</v>
      </c>
      <c r="AP16" s="21">
        <f>ThU_Alter_Kombi(AN16,U16)</f>
        <v>277.91840000000002</v>
      </c>
      <c r="AQ16" s="21">
        <f t="shared" si="36"/>
        <v>2.3071000000000002</v>
      </c>
      <c r="AR16" s="158">
        <f>(AQ16/AP16)</f>
        <v>8.3013575207686856E-3</v>
      </c>
      <c r="AS16" s="135">
        <f t="shared" si="17"/>
        <v>7.8902960739640727E-5</v>
      </c>
      <c r="AT16" s="135">
        <f t="shared" si="18"/>
        <v>1.9555338616515173E-7</v>
      </c>
      <c r="AU16" s="21">
        <v>0.75</v>
      </c>
      <c r="AV16" s="21">
        <f>AU16/2</f>
        <v>0.375</v>
      </c>
      <c r="AW16" s="21">
        <f t="shared" si="19"/>
        <v>277.91640000000001</v>
      </c>
      <c r="AX16" s="139">
        <f t="shared" si="20"/>
        <v>2.2368563986000001</v>
      </c>
      <c r="AY16" s="139">
        <f t="shared" si="21"/>
        <v>2.2848854631475679</v>
      </c>
      <c r="AZ16" s="158">
        <f t="shared" si="22"/>
        <v>8.0486664284655385E-3</v>
      </c>
      <c r="BA16" s="21" t="str">
        <f>Input!B16</f>
        <v>M5-14-44B_618,75</v>
      </c>
      <c r="BB16" s="140">
        <f>Input!E16</f>
        <v>618.75</v>
      </c>
      <c r="BC16" s="21">
        <f>((U16-1)*EXP(Constants!$B$17*AW16*1000))*1000</f>
        <v>2158.3402463046323</v>
      </c>
      <c r="BD16" s="136">
        <f>SQRT((EXP(Constants!$B$17*AW16*1000)*V16)^2+((U16-1)*Constants!$B$17*EXP(Constants!$B$17*AW16*1000)*AY16*1000)^2)*1000</f>
        <v>14.370667803324659</v>
      </c>
      <c r="BE16" s="21">
        <f t="shared" si="37"/>
        <v>277858.40000000002</v>
      </c>
      <c r="BF16" s="141">
        <f t="shared" si="38"/>
        <v>1142.4427315737839</v>
      </c>
      <c r="BG16" s="23">
        <f t="shared" si="39"/>
        <v>0.8221484817547895</v>
      </c>
      <c r="BH16" s="21"/>
      <c r="BI16" s="21"/>
      <c r="BJ16" s="21"/>
      <c r="BK16" s="21"/>
      <c r="BL16" s="21"/>
      <c r="BM16" s="21"/>
      <c r="BN16" s="163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</row>
    <row r="17" spans="1:110" ht="15" customHeight="1" x14ac:dyDescent="0.2">
      <c r="A17" s="142">
        <f>Input!A17</f>
        <v>10815</v>
      </c>
      <c r="B17" s="142" t="str">
        <f>Input!B17</f>
        <v>Hu1-13</v>
      </c>
      <c r="C17" s="142">
        <f>Input!O17</f>
        <v>2.0760227557221653</v>
      </c>
      <c r="D17" s="142">
        <f>C17*Input!P17/100</f>
        <v>3.9245588968927832E-2</v>
      </c>
      <c r="E17" s="143">
        <f>Input!M17</f>
        <v>2.7324770614458891</v>
      </c>
      <c r="F17" s="144">
        <f>E17*Input!N17/100</f>
        <v>4.754541927066732E-4</v>
      </c>
      <c r="G17" s="145">
        <f t="shared" ref="G17" si="49">E17*137.88</f>
        <v>376.75393723215916</v>
      </c>
      <c r="H17" s="144">
        <f>G17*Input!L17/100</f>
        <v>3.3453717597562001E-2</v>
      </c>
      <c r="I17" s="142">
        <v>0</v>
      </c>
      <c r="J17" s="146">
        <f>(((C17*Constants!$B$24*0.000000001*Input!G17*(Constants!$B$4/Constants!$B$3))-(I17*0.000000000000001))/Input!F17)*1000000000000</f>
        <v>749.52215429311639</v>
      </c>
      <c r="K17" s="142">
        <f>J17*Input!P17/100</f>
        <v>14.169131002738212</v>
      </c>
      <c r="L17" s="147">
        <f>(J17/Constants!$B$4)*602200000000*Constants!$B$17/(365.2425*24*60)</f>
        <v>10.347985545587061</v>
      </c>
      <c r="M17" s="148">
        <f>L17*Input!P17/100</f>
        <v>0.19562058568921889</v>
      </c>
      <c r="N17" s="142">
        <v>0</v>
      </c>
      <c r="O17" s="146">
        <f>(((G17*Constants!$B$23*0.000000001*Input!G17*(Constants!$B$7/Constants!$B$6))-(N17*0.000000001))/Input!F17)*1000000</f>
        <v>13.702242988196259</v>
      </c>
      <c r="P17" s="142">
        <f>O17*Input!N17/100</f>
        <v>2.3842062464656988E-3</v>
      </c>
      <c r="Q17" s="149">
        <f>(O17/Constants!$B$7)*602200000000000000*Constants!$B$18/(365.2425*24*60)</f>
        <v>10.223527931044757</v>
      </c>
      <c r="R17" s="150">
        <f>Q17*Input!N17/100</f>
        <v>1.7789057729534642E-3</v>
      </c>
      <c r="S17" s="148">
        <f>Input!S17*Constants!$B$17/Constants!$B$18</f>
        <v>0.9992751801399623</v>
      </c>
      <c r="T17" s="142">
        <f>S17*Input!T17/100</f>
        <v>3.0484620641075947E-3</v>
      </c>
      <c r="U17" s="148">
        <f>S17</f>
        <v>0.9992751801399623</v>
      </c>
      <c r="V17" s="142">
        <f>U17*Input!T17/100</f>
        <v>3.0484620641075947E-3</v>
      </c>
      <c r="W17" s="151">
        <v>0</v>
      </c>
      <c r="X17" s="146">
        <f>(((Constants!$B$25*0.000000001*Input!G17/Input!W17*(Constants!$B$11/Constants!$B$9))-(W17*0.000000001))/Input!F17)*1000000000</f>
        <v>0.867387908758391</v>
      </c>
      <c r="Y17" s="146">
        <f>X17*Input!X17/100</f>
        <v>5.8116160209789828E-3</v>
      </c>
      <c r="Z17" s="146">
        <f>(X17/Constants!$B$11)*6.022E+23*0.000000001*Constants!$B$19/(365.2425*24*60)</f>
        <v>2.1175743007809878E-4</v>
      </c>
      <c r="AA17" s="146">
        <f>Z17*Input!X17/100</f>
        <v>1.4188033528906513E-6</v>
      </c>
      <c r="AB17" s="147">
        <v>0</v>
      </c>
      <c r="AC17" s="147">
        <v>0.9</v>
      </c>
      <c r="AD17" s="146">
        <f>(((Input!G17*Constants!$B$25*0.000000001*Input!U17*(Constants!$B$10/Constants!$B$9))-((AB17*0.000000000000001)+(Input!G17*AC17*0.000000000000001)))/Input!F17)*1000000000000</f>
        <v>223.81272137940891</v>
      </c>
      <c r="AE17" s="146">
        <f>AD17*Input!V17/100</f>
        <v>0.69328358453031602</v>
      </c>
      <c r="AF17" s="146">
        <f>(AD17/Constants!$B$10)*602200000000*Constants!$B$16/(365.2425*24*60)</f>
        <v>10.216081278194642</v>
      </c>
      <c r="AG17" s="146">
        <f>AF17*Input!V17/100</f>
        <v>3.1645392651266181E-2</v>
      </c>
      <c r="AH17" s="142">
        <f t="shared" ref="AH17" si="50">AF17/Z17</f>
        <v>48244.263610617221</v>
      </c>
      <c r="AI17" s="151">
        <f t="shared" ref="AI17" si="51">AH17*SQRT((AG17/AF17)^2+(AA17/Z17)^2)</f>
        <v>356.11642878789593</v>
      </c>
      <c r="AJ17" s="148">
        <f t="shared" si="35"/>
        <v>-0.72481986003769538</v>
      </c>
      <c r="AK17" s="151">
        <f t="shared" ref="AK17" si="52">V17*1000</f>
        <v>3.0484620641075946</v>
      </c>
      <c r="AL17" s="151">
        <f t="shared" ref="AL17" si="53">AF17/Q17</f>
        <v>0.99927161612895854</v>
      </c>
      <c r="AM17" s="151">
        <f t="shared" ref="AM17" si="54">AL17*SQRT((R17/Q17)^2+(AG17/AF17)^2)</f>
        <v>3.1002292165663967E-3</v>
      </c>
      <c r="AN17" s="142">
        <f>AF17/Q17</f>
        <v>0.99927161612895854</v>
      </c>
      <c r="AO17" s="146">
        <f t="shared" ref="AO17" si="55">AN17*SQRT((R17/Q17)^2+(AG17/AF17)^2)</f>
        <v>3.1002292165663967E-3</v>
      </c>
      <c r="AP17" s="142" t="str">
        <f t="shared" ref="AP17" si="56">ThU_Alter_Kombi(AN17,U17)</f>
        <v>Out of range</v>
      </c>
      <c r="AQ17" s="142" t="e">
        <f t="shared" si="36"/>
        <v>#VALUE!</v>
      </c>
      <c r="AR17" s="142" t="e">
        <f>(AQ17/AP17)*100</f>
        <v>#VALUE!</v>
      </c>
      <c r="AS17" s="150">
        <f t="shared" si="17"/>
        <v>2.0712755078907383E-5</v>
      </c>
      <c r="AT17" s="150">
        <f t="shared" si="18"/>
        <v>1.3882504395395148E-7</v>
      </c>
      <c r="AU17" s="142">
        <v>0.75</v>
      </c>
      <c r="AV17" s="142">
        <f t="shared" ref="AV17" si="57">AU17/2</f>
        <v>0.375</v>
      </c>
      <c r="AW17" s="142" t="str">
        <f t="shared" si="19"/>
        <v>Out of range</v>
      </c>
      <c r="AX17" s="152">
        <f t="shared" si="20"/>
        <v>322.09734613640001</v>
      </c>
      <c r="AY17" s="152" t="e">
        <f t="shared" si="21"/>
        <v>#VALUE!</v>
      </c>
      <c r="AZ17" s="153" t="e">
        <f t="shared" si="22"/>
        <v>#VALUE!</v>
      </c>
      <c r="BA17" s="142" t="str">
        <f>Input!B17</f>
        <v>Hu1-13</v>
      </c>
      <c r="BB17" s="154">
        <f>Input!E17</f>
        <v>0</v>
      </c>
      <c r="BC17" s="142" t="e">
        <f>((U17-1)*EXP(Constants!$B$17*AW17*1000))*1000</f>
        <v>#VALUE!</v>
      </c>
      <c r="BD17" s="148" t="e">
        <f>SQRT((EXP(Constants!$B$17*AW17*1000)*V17)^2+((U17-1)*Constants!$B$17*EXP(Constants!$B$17*AW17*1000)*AY17*1000)^2)*1000</f>
        <v>#VALUE!</v>
      </c>
      <c r="BE17" s="142" t="e">
        <f t="shared" si="37"/>
        <v>#VALUE!</v>
      </c>
      <c r="BF17" s="155" t="e">
        <f t="shared" si="38"/>
        <v>#VALUE!</v>
      </c>
      <c r="BG17" s="164" t="e">
        <f t="shared" si="39"/>
        <v>#VALUE!</v>
      </c>
      <c r="BH17" s="142"/>
      <c r="BI17" s="21"/>
      <c r="BJ17" s="21"/>
      <c r="BK17" s="21"/>
      <c r="BL17" s="21"/>
      <c r="BM17" s="21"/>
      <c r="BN17" s="163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</row>
    <row r="18" spans="1:110" ht="15" customHeight="1" x14ac:dyDescent="0.2">
      <c r="A18" s="21">
        <f>Input!A18</f>
        <v>10893</v>
      </c>
      <c r="B18" s="21" t="str">
        <f>Input!B18</f>
        <v>M5-14-44B_653</v>
      </c>
      <c r="C18" s="21">
        <f>Input!O18</f>
        <v>2.6187460828839311</v>
      </c>
      <c r="D18" s="21">
        <f>C18*Input!P18/100</f>
        <v>2.9462967689187786E-2</v>
      </c>
      <c r="E18" s="156">
        <f>Input!M18</f>
        <v>1.1869524799582147</v>
      </c>
      <c r="F18" s="157">
        <f>E18*Input!N18/100</f>
        <v>1.1174111684147103E-4</v>
      </c>
      <c r="G18" s="24">
        <f>E18*137.88</f>
        <v>163.65700793663865</v>
      </c>
      <c r="H18" s="157">
        <f>G18*Input!L18/100</f>
        <v>2.943148733397831E-2</v>
      </c>
      <c r="I18" s="21">
        <v>0.3</v>
      </c>
      <c r="J18" s="133">
        <f>(((C18*Constants!$B$24*0.000000001*Input!G18*(Constants!$B$4/Constants!$B$3))-(I18*0.000000000000001))/Input!F18)*1000000000000</f>
        <v>48.069678030910261</v>
      </c>
      <c r="K18" s="21">
        <f>J18*Input!P18/100</f>
        <v>0.5408219528846705</v>
      </c>
      <c r="L18" s="138">
        <f>(J18/Constants!$B$4)*602200000000*Constants!$B$17/(365.2425*24*60)</f>
        <v>0.66365527769357302</v>
      </c>
      <c r="M18" s="136">
        <f>L18*Input!P18/100</f>
        <v>7.4666475422127954E-3</v>
      </c>
      <c r="N18" s="21">
        <v>5.0000000000000001E-3</v>
      </c>
      <c r="O18" s="133">
        <f>(((G18*Constants!$B$23*0.000000001*Input!G18*(Constants!$B$7/Constants!$B$6))-(N18*0.000000001))/Input!F18)*1000000</f>
        <v>0.30260352212767305</v>
      </c>
      <c r="P18" s="21">
        <f>O18*Input!N18/100</f>
        <v>2.8487455137125064E-5</v>
      </c>
      <c r="Q18" s="134">
        <f>(O18/Constants!$B$7)*602200000000000000*Constants!$B$18/(365.2425*24*60)</f>
        <v>0.22577876944452233</v>
      </c>
      <c r="R18" s="135">
        <f>Q18*Input!N18/100</f>
        <v>2.1255081633691068E-5</v>
      </c>
      <c r="S18" s="136">
        <f>Input!S18*Constants!$B$17/Constants!$B$18</f>
        <v>3.9801932888004736</v>
      </c>
      <c r="T18" s="21">
        <f>S18*Input!T18/100</f>
        <v>1.2047021779964062E-2</v>
      </c>
      <c r="U18" s="21">
        <f>S18*1/((U17+U19)/2)</f>
        <v>3.9802591679403991</v>
      </c>
      <c r="V18" s="21">
        <f>U18*Input!T18/100</f>
        <v>1.204722117918313E-2</v>
      </c>
      <c r="W18" s="137">
        <v>3.0000000000000001E-3</v>
      </c>
      <c r="X18" s="133">
        <f>IF((((Constants!$B$25*0.000000001*Input!G18/Input!W18*(Constants!$B$11/Constants!$B$9))-(W18*0.000000001))/Input!F18)*1000000000&lt;0, "n.d.", (((Constants!$B$25*0.000000001*Input!G18/Input!W18*(Constants!$B$11/Constants!$B$9))-(W18*0.000000001))/Input!F18)*1000000000)</f>
        <v>0.15976005951610533</v>
      </c>
      <c r="Y18" s="133">
        <f>X18*Input!X18/100</f>
        <v>7.1019210840105929E-4</v>
      </c>
      <c r="Z18" s="133">
        <f>(X18/Constants!$B$11)*6.022E+23*0.000000001*Constants!$B$19/(365.2425*24*60)</f>
        <v>3.9002595367833237E-5</v>
      </c>
      <c r="AA18" s="133">
        <f>Z18*Input!X18/100</f>
        <v>1.7338085327016617E-7</v>
      </c>
      <c r="AB18" s="138">
        <v>0.05</v>
      </c>
      <c r="AC18" s="138">
        <v>0.9</v>
      </c>
      <c r="AD18" s="133">
        <f>(((Input!G18*Constants!$B$25*0.000000001*Input!U18*(Constants!$B$10/Constants!$B$9))-((AB18*0.000000000000001)+(Input!G18*AC18*0.000000000000001)))/Input!F18)*1000000000000</f>
        <v>56.744427401761634</v>
      </c>
      <c r="AE18" s="133">
        <f>AD18*Input!V18/100</f>
        <v>0.3012901368968281</v>
      </c>
      <c r="AF18" s="133">
        <f>(AD18/Constants!$B$10)*602200000000*Constants!$B$16/(365.2425*24*60)</f>
        <v>2.5901373203817615</v>
      </c>
      <c r="AG18" s="133">
        <f>AF18*Input!V18/100</f>
        <v>1.375258970037959E-2</v>
      </c>
      <c r="AH18" s="21">
        <f>AF18/Z18</f>
        <v>66409.358042822336</v>
      </c>
      <c r="AI18" s="137">
        <f>AH18*SQRT((AG18/AF18)^2+(AA18/Z18)^2)</f>
        <v>459.87282463067731</v>
      </c>
      <c r="AJ18" s="136">
        <f t="shared" ref="AJ18:AJ19" si="58">(U18-1)*1000</f>
        <v>2980.259167940399</v>
      </c>
      <c r="AK18" s="137">
        <f>V18*1000</f>
        <v>12.047221179183131</v>
      </c>
      <c r="AL18" s="137">
        <f>AF18/Q18</f>
        <v>11.472014515599538</v>
      </c>
      <c r="AM18" s="137">
        <f>AL18*SQRT((R18/Q18)^2+(AG18/AF18)^2)</f>
        <v>6.0921366697134896E-2</v>
      </c>
      <c r="AN18" s="21">
        <f>AL18*1/((AN17+AN19)/2)</f>
        <v>11.469606717024851</v>
      </c>
      <c r="AO18" s="133">
        <f>AN18*SQRT((R18/Q18)^2+(AG18/AF18)^2)</f>
        <v>6.0908580243657015E-2</v>
      </c>
      <c r="AP18" s="21" t="str">
        <f>ThU_Alter_Kombi(AN18,U18)</f>
        <v>Out of range</v>
      </c>
      <c r="AQ18" s="21" t="e">
        <f t="shared" ref="AQ18:AQ19" si="59">Montealter(AN18,AO18,U18,V18)</f>
        <v>#VALUE!</v>
      </c>
      <c r="AR18" s="158" t="e">
        <f>(AQ18/AP18)</f>
        <v>#VALUE!</v>
      </c>
      <c r="AS18" s="135">
        <f t="shared" si="17"/>
        <v>1.7274695696052519E-4</v>
      </c>
      <c r="AT18" s="135">
        <f t="shared" si="18"/>
        <v>7.6809581499612532E-7</v>
      </c>
      <c r="AU18" s="21">
        <v>0.75</v>
      </c>
      <c r="AV18" s="21">
        <f>AU18/2</f>
        <v>0.375</v>
      </c>
      <c r="AW18" s="21" t="str">
        <f t="shared" si="19"/>
        <v>Out of range</v>
      </c>
      <c r="AX18" s="139">
        <f t="shared" si="20"/>
        <v>0</v>
      </c>
      <c r="AY18" s="139" t="e">
        <f t="shared" si="21"/>
        <v>#VALUE!</v>
      </c>
      <c r="AZ18" s="158" t="e">
        <f t="shared" si="22"/>
        <v>#VALUE!</v>
      </c>
      <c r="BA18" s="21" t="str">
        <f>Input!B18</f>
        <v>M5-14-44B_653</v>
      </c>
      <c r="BB18" s="140">
        <f>Input!E18</f>
        <v>653</v>
      </c>
      <c r="BC18" s="21" t="e">
        <f>((U18-1)*EXP(Constants!$B$17*AW18*1000))*1000</f>
        <v>#VALUE!</v>
      </c>
      <c r="BD18" s="136" t="e">
        <f>SQRT((EXP(Constants!$B$17*AW18*1000)*V18)^2+((U18-1)*Constants!$B$17*EXP(Constants!$B$17*AW18*1000)*AY18*1000)^2)*1000</f>
        <v>#VALUE!</v>
      </c>
      <c r="BE18" s="21" t="e">
        <f t="shared" ref="BE18:BE19" si="60">AW18*1000-58</f>
        <v>#VALUE!</v>
      </c>
      <c r="BF18" s="141" t="e">
        <f t="shared" ref="BF18:BF19" si="61">AY18/2*1000</f>
        <v>#VALUE!</v>
      </c>
      <c r="BG18" s="23" t="e">
        <f t="shared" ref="BG18:BG19" si="62">AY18/AW18*100</f>
        <v>#VALUE!</v>
      </c>
      <c r="BH18" s="21"/>
      <c r="BI18" s="21"/>
      <c r="BJ18" s="21"/>
      <c r="BK18" s="21"/>
      <c r="BL18" s="21"/>
      <c r="BM18" s="21"/>
      <c r="BN18" s="163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</row>
    <row r="19" spans="1:110" ht="15" customHeight="1" x14ac:dyDescent="0.2">
      <c r="A19" s="142">
        <f>Input!A19</f>
        <v>10815</v>
      </c>
      <c r="B19" s="142" t="str">
        <f>Input!B19</f>
        <v>Hu1-13</v>
      </c>
      <c r="C19" s="142">
        <f>Input!O19</f>
        <v>2.0794397205165724</v>
      </c>
      <c r="D19" s="142">
        <f>C19*Input!P19/100</f>
        <v>3.1505335433367143E-2</v>
      </c>
      <c r="E19" s="143">
        <f>Input!M19</f>
        <v>2.7317441200579529</v>
      </c>
      <c r="F19" s="144">
        <f>E19*Input!N19/100</f>
        <v>5.5103519442965235E-4</v>
      </c>
      <c r="G19" s="145">
        <f t="shared" ref="G19" si="63">E19*137.88</f>
        <v>376.65287927359054</v>
      </c>
      <c r="H19" s="144">
        <f>G19*Input!L19/100</f>
        <v>3.5814291984781997E-2</v>
      </c>
      <c r="I19" s="142">
        <v>0</v>
      </c>
      <c r="J19" s="146">
        <f>(((C19*Constants!$B$24*0.000000001*Input!G19*(Constants!$B$4/Constants!$B$3))-(I19*0.000000000000001))/Input!F19)*1000000000000</f>
        <v>750.75580686594503</v>
      </c>
      <c r="K19" s="142">
        <f>J19*Input!P19/100</f>
        <v>11.374608886466776</v>
      </c>
      <c r="L19" s="147">
        <f>(J19/Constants!$B$4)*602200000000*Constants!$B$17/(365.2425*24*60)</f>
        <v>10.365017489097717</v>
      </c>
      <c r="M19" s="148">
        <f>L19*Input!P19/100</f>
        <v>0.15703910507471616</v>
      </c>
      <c r="N19" s="142">
        <v>0</v>
      </c>
      <c r="O19" s="146">
        <f>(((G19*Constants!$B$23*0.000000001*Input!G19*(Constants!$B$7/Constants!$B$6))-(N19*0.000000001))/Input!F19)*1000000</f>
        <v>13.698567590098577</v>
      </c>
      <c r="P19" s="142">
        <f>O19*Input!N19/100</f>
        <v>2.7632137285455442E-3</v>
      </c>
      <c r="Q19" s="149">
        <f>(O19/Constants!$B$7)*602200000000000000*Constants!$B$18/(365.2425*24*60)</f>
        <v>10.220785640228447</v>
      </c>
      <c r="R19" s="150">
        <f>Q19*Input!N19/100</f>
        <v>2.0616911229473429E-3</v>
      </c>
      <c r="S19" s="148">
        <f>Input!S19*Constants!$B$17/Constants!$B$18</f>
        <v>1.000691716920181</v>
      </c>
      <c r="T19" s="142">
        <f>S19*Input!T19/100</f>
        <v>3.2666460901569954E-3</v>
      </c>
      <c r="U19" s="148">
        <f>S19</f>
        <v>1.000691716920181</v>
      </c>
      <c r="V19" s="142">
        <f>U19*Input!T19/100</f>
        <v>3.2666460901569954E-3</v>
      </c>
      <c r="W19" s="151">
        <v>0</v>
      </c>
      <c r="X19" s="146">
        <f>(((Constants!$B$25*0.000000001*Input!G19/Input!W19*(Constants!$B$11/Constants!$B$9))-(W19*0.000000001))/Input!F19)*1000000000</f>
        <v>0.8643796079236159</v>
      </c>
      <c r="Y19" s="146">
        <f>X19*Input!X19/100</f>
        <v>7.8850801469379315E-3</v>
      </c>
      <c r="Z19" s="146">
        <f>(X19/Constants!$B$11)*6.022E+23*0.000000001*Constants!$B$19/(365.2425*24*60)</f>
        <v>2.1102300658978247E-4</v>
      </c>
      <c r="AA19" s="146">
        <f>Z19*Input!X19/100</f>
        <v>1.9250029785007208E-6</v>
      </c>
      <c r="AB19" s="147">
        <v>0</v>
      </c>
      <c r="AC19" s="147">
        <v>0.9</v>
      </c>
      <c r="AD19" s="146">
        <f>(((Input!G19*Constants!$B$25*0.000000001*Input!U19*(Constants!$B$10/Constants!$B$9))-((AB19*0.000000000000001)+(Input!G19*AC19*0.000000000000001)))/Input!F19)*1000000000000</f>
        <v>224.17289329943773</v>
      </c>
      <c r="AE19" s="146">
        <f>AD19*Input!V19/100</f>
        <v>0.90644261963454664</v>
      </c>
      <c r="AF19" s="146">
        <f>(AD19/Constants!$B$10)*602200000000*Constants!$B$16/(365.2425*24*60)</f>
        <v>10.232521566246456</v>
      </c>
      <c r="AG19" s="146">
        <f>AF19*Input!V19/100</f>
        <v>4.1375179297820558E-2</v>
      </c>
      <c r="AH19" s="142">
        <f t="shared" ref="AH19" si="64">AF19/Z19</f>
        <v>48490.075710739613</v>
      </c>
      <c r="AI19" s="151">
        <f t="shared" ref="AI19" si="65">AH19*SQRT((AG19/AF19)^2+(AA19/Z19)^2)</f>
        <v>483.8453813049457</v>
      </c>
      <c r="AJ19" s="148">
        <f t="shared" si="58"/>
        <v>0.69171692018099584</v>
      </c>
      <c r="AK19" s="151">
        <f t="shared" ref="AK19" si="66">V19*1000</f>
        <v>3.2666460901569954</v>
      </c>
      <c r="AL19" s="151">
        <f t="shared" ref="AL19" si="67">AF19/Q19</f>
        <v>1.0011482410874382</v>
      </c>
      <c r="AM19" s="151">
        <f t="shared" ref="AM19" si="68">AL19*SQRT((R19/Q19)^2+(AG19/AF19)^2)</f>
        <v>4.0531748712097516E-3</v>
      </c>
      <c r="AN19" s="142">
        <f>AF19/Q19</f>
        <v>1.0011482410874382</v>
      </c>
      <c r="AO19" s="146">
        <f t="shared" ref="AO19" si="69">AN19*SQRT((R19/Q19)^2+(AG19/AF19)^2)</f>
        <v>4.0531748712097516E-3</v>
      </c>
      <c r="AP19" s="142" t="str">
        <f t="shared" ref="AP19" si="70">ThU_Alter_Kombi(AN19,U19)</f>
        <v>Out of range</v>
      </c>
      <c r="AQ19" s="142" t="e">
        <f t="shared" si="59"/>
        <v>#VALUE!</v>
      </c>
      <c r="AR19" s="142" t="e">
        <f>(AQ19/AP19)*100</f>
        <v>#VALUE!</v>
      </c>
      <c r="AS19" s="150">
        <f t="shared" si="17"/>
        <v>2.0646456546276402E-5</v>
      </c>
      <c r="AT19" s="150">
        <f t="shared" si="18"/>
        <v>1.8838801788602133E-7</v>
      </c>
      <c r="AU19" s="142">
        <v>0.75</v>
      </c>
      <c r="AV19" s="142">
        <f t="shared" ref="AV19" si="71">AU19/2</f>
        <v>0.375</v>
      </c>
      <c r="AW19" s="142" t="str">
        <f t="shared" si="19"/>
        <v>Out of range</v>
      </c>
      <c r="AX19" s="152">
        <f t="shared" si="20"/>
        <v>327.52268226699999</v>
      </c>
      <c r="AY19" s="152" t="e">
        <f t="shared" si="21"/>
        <v>#VALUE!</v>
      </c>
      <c r="AZ19" s="153" t="e">
        <f t="shared" si="22"/>
        <v>#VALUE!</v>
      </c>
      <c r="BA19" s="142" t="str">
        <f>Input!B19</f>
        <v>Hu1-13</v>
      </c>
      <c r="BB19" s="154">
        <f>Input!E19</f>
        <v>0</v>
      </c>
      <c r="BC19" s="142" t="e">
        <f>((U19-1)*EXP(Constants!$B$17*AW19*1000))*1000</f>
        <v>#VALUE!</v>
      </c>
      <c r="BD19" s="148" t="e">
        <f>SQRT((EXP(Constants!$B$17*AW19*1000)*V19)^2+((U19-1)*Constants!$B$17*EXP(Constants!$B$17*AW19*1000)*AY19*1000)^2)*1000</f>
        <v>#VALUE!</v>
      </c>
      <c r="BE19" s="142" t="e">
        <f t="shared" si="60"/>
        <v>#VALUE!</v>
      </c>
      <c r="BF19" s="155" t="e">
        <f t="shared" si="61"/>
        <v>#VALUE!</v>
      </c>
      <c r="BG19" s="164" t="e">
        <f t="shared" si="62"/>
        <v>#VALUE!</v>
      </c>
      <c r="BH19" s="142"/>
      <c r="BI19" s="21"/>
      <c r="BJ19" s="21"/>
      <c r="BK19" s="21"/>
      <c r="BL19" s="21"/>
      <c r="BM19" s="21"/>
      <c r="BN19" s="163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</row>
    <row r="20" spans="1:110" ht="15" customHeight="1" x14ac:dyDescent="0.2">
      <c r="A20" s="21"/>
      <c r="B20" s="21"/>
      <c r="C20" s="21"/>
      <c r="D20" s="21"/>
      <c r="E20" s="156"/>
      <c r="F20" s="157"/>
      <c r="G20" s="24"/>
      <c r="H20" s="157"/>
      <c r="I20" s="21"/>
      <c r="J20" s="133"/>
      <c r="K20" s="21"/>
      <c r="L20" s="138"/>
      <c r="M20" s="136"/>
      <c r="N20" s="21"/>
      <c r="O20" s="133"/>
      <c r="P20" s="21"/>
      <c r="Q20" s="134"/>
      <c r="R20" s="135"/>
      <c r="S20" s="136"/>
      <c r="T20" s="21"/>
      <c r="U20" s="21"/>
      <c r="V20" s="21"/>
      <c r="W20" s="137"/>
      <c r="X20" s="133"/>
      <c r="Y20" s="133"/>
      <c r="Z20" s="133"/>
      <c r="AA20" s="133"/>
      <c r="AB20" s="138"/>
      <c r="AC20" s="138"/>
      <c r="AD20" s="133"/>
      <c r="AE20" s="133"/>
      <c r="AF20" s="133"/>
      <c r="AG20" s="133"/>
      <c r="AH20" s="21"/>
      <c r="AI20" s="137"/>
      <c r="AJ20" s="136"/>
      <c r="AK20" s="137"/>
      <c r="AL20" s="137"/>
      <c r="AM20" s="137"/>
      <c r="AN20" s="21"/>
      <c r="AO20" s="133"/>
      <c r="AP20" s="21"/>
      <c r="AQ20" s="21"/>
      <c r="AR20" s="158"/>
      <c r="AS20" s="135"/>
      <c r="AT20" s="135"/>
      <c r="AU20" s="21"/>
      <c r="AV20" s="21"/>
      <c r="AW20" s="21"/>
      <c r="AX20" s="139"/>
      <c r="AY20" s="139"/>
      <c r="AZ20" s="158"/>
      <c r="BA20" s="21"/>
      <c r="BB20" s="140"/>
      <c r="BC20" s="21"/>
      <c r="BD20" s="136"/>
      <c r="BE20" s="21"/>
      <c r="BF20" s="141"/>
      <c r="BG20" s="23"/>
      <c r="BH20" s="21"/>
      <c r="BI20" s="21"/>
      <c r="BJ20" s="21"/>
      <c r="BK20" s="21"/>
      <c r="BL20" s="21"/>
      <c r="BM20" s="21"/>
      <c r="BN20" s="163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</row>
    <row r="21" spans="1:110" ht="15" customHeight="1" x14ac:dyDescent="0.2">
      <c r="A21" s="142">
        <f>Input!A21</f>
        <v>10815</v>
      </c>
      <c r="B21" s="142" t="str">
        <f>Input!B21</f>
        <v>Hu1-13</v>
      </c>
      <c r="C21" s="142">
        <f>Input!O21</f>
        <v>2.0993143637999063</v>
      </c>
      <c r="D21" s="142">
        <f>C21*Input!P21/100</f>
        <v>1.5925174045979436E-2</v>
      </c>
      <c r="E21" s="143">
        <f>Input!M21</f>
        <v>2.7325043048976134</v>
      </c>
      <c r="F21" s="144">
        <f>E21*Input!N21/100</f>
        <v>2.9896192097045066E-4</v>
      </c>
      <c r="G21" s="145">
        <f>E21*137.88</f>
        <v>376.75769355928293</v>
      </c>
      <c r="H21" s="144">
        <f>G21*Input!L21/100</f>
        <v>2.6583437795216106E-2</v>
      </c>
      <c r="I21" s="142">
        <v>0</v>
      </c>
      <c r="J21" s="146">
        <f>(((C21*Constants!$B$24*0.000000001*Input!G21*(Constants!$B$4/Constants!$B$3))-(I21*0.000000000000001))/Input!F21)*1000000000000</f>
        <v>757.93129923878746</v>
      </c>
      <c r="K21" s="142">
        <f>J21*Input!P21/100</f>
        <v>5.7495857044607286</v>
      </c>
      <c r="L21" s="147">
        <f>(J21/Constants!$B$4)*602200000000*Constants!$B$17/(365.2425*24*60)</f>
        <v>10.464083128360471</v>
      </c>
      <c r="M21" s="148">
        <f>L21*Input!P21/100</f>
        <v>7.9379414500410098E-2</v>
      </c>
      <c r="N21" s="142">
        <v>0</v>
      </c>
      <c r="O21" s="146">
        <f>(((G21*Constants!$B$23*0.000000001*Input!G21*(Constants!$B$7/Constants!$B$6))-(N21*0.000000001))/Input!F21)*1000000</f>
        <v>13.702379602845522</v>
      </c>
      <c r="P21" s="142">
        <f>O21*Input!N21/100</f>
        <v>1.4991704571482873E-3</v>
      </c>
      <c r="Q21" s="149">
        <f>(O21/Constants!$B$7)*602200000000000000*Constants!$B$18/(365.2425*24*60)</f>
        <v>10.223629862070483</v>
      </c>
      <c r="R21" s="150">
        <f>Q21*Input!N21/100</f>
        <v>1.118562198557993E-3</v>
      </c>
      <c r="S21" s="148">
        <f>Input!S21*Constants!$B$17/Constants!$B$18</f>
        <v>0.9990968681490412</v>
      </c>
      <c r="T21" s="142">
        <f>S21*Input!T21/100</f>
        <v>1.5823413933688879E-3</v>
      </c>
      <c r="U21" s="148">
        <f>S21</f>
        <v>0.9990968681490412</v>
      </c>
      <c r="V21" s="142">
        <f>U21*Input!T21/100</f>
        <v>1.5823413933688879E-3</v>
      </c>
      <c r="W21" s="151">
        <v>0</v>
      </c>
      <c r="X21" s="146">
        <f>(((Constants!$B$25*0.000000001*Input!G21/Input!W21*(Constants!$B$11/Constants!$B$9))-(W21*0.000000001))/Input!F21)*1000000000</f>
        <v>0.88838310707148227</v>
      </c>
      <c r="Y21" s="146">
        <f>X21*Input!X21/100</f>
        <v>3.4148225646745121E-3</v>
      </c>
      <c r="Z21" s="146">
        <f>(X21/Constants!$B$11)*6.022E+23*0.000000001*Constants!$B$19/(365.2425*24*60)</f>
        <v>2.168830367344381E-4</v>
      </c>
      <c r="AA21" s="146">
        <f>Z21*Input!X21/100</f>
        <v>8.3366858491636982E-7</v>
      </c>
      <c r="AB21" s="147">
        <v>0</v>
      </c>
      <c r="AC21" s="147">
        <v>0.9</v>
      </c>
      <c r="AD21" s="146">
        <f>(((Input!G21*Constants!$B$25*0.000000001*Input!U21*(Constants!$B$10/Constants!$B$9))-((AB21*0.000000000000001)+(Input!G21*AC21*0.000000000000001)))/Input!F21)*1000000000000</f>
        <v>222.76993188463655</v>
      </c>
      <c r="AE21" s="146">
        <f>AD21*Input!V21/100</f>
        <v>0.57630857205915476</v>
      </c>
      <c r="AF21" s="146">
        <f>(AD21/Constants!$B$10)*602200000000*Constants!$B$16/(365.2425*24*60)</f>
        <v>10.168482454638125</v>
      </c>
      <c r="AG21" s="146">
        <f>AF21*Input!V21/100</f>
        <v>2.6305990013391109E-2</v>
      </c>
      <c r="AH21" s="142">
        <f>AF21/Z21</f>
        <v>46884.637027140569</v>
      </c>
      <c r="AI21" s="151">
        <f>AH21*SQRT((AG21/AF21)^2+(AA21/Z21)^2)</f>
        <v>217.23283291777119</v>
      </c>
      <c r="AJ21" s="148">
        <f t="shared" ref="AJ21:AJ29" si="72">(U21-1)*1000</f>
        <v>-0.90313185095880488</v>
      </c>
      <c r="AK21" s="151">
        <f>V21*1000</f>
        <v>1.5823413933688879</v>
      </c>
      <c r="AL21" s="151">
        <f>AF21/Q21</f>
        <v>0.99460588771538438</v>
      </c>
      <c r="AM21" s="151">
        <f>AL21*SQRT((R21/Q21)^2+(AG21/AF21)^2)</f>
        <v>2.5753578029186963E-3</v>
      </c>
      <c r="AN21" s="142">
        <f>AF21/Q21</f>
        <v>0.99460588771538438</v>
      </c>
      <c r="AO21" s="146">
        <f>AN21*SQRT((R21/Q21)^2+(AG21/AF21)^2)</f>
        <v>2.5753578029186963E-3</v>
      </c>
      <c r="AP21" s="142">
        <f t="shared" ref="AP21" si="73">ThU_Alter_Kombi(AN21,U21)</f>
        <v>598.90250000000003</v>
      </c>
      <c r="AQ21" s="142" t="e">
        <f t="shared" ref="AQ21:AQ29" si="74">Montealter(AN21,AO21,U21,V21)</f>
        <v>#VALUE!</v>
      </c>
      <c r="AR21" s="142" t="e">
        <f>(AQ21/AP21)*100</f>
        <v>#VALUE!</v>
      </c>
      <c r="AS21" s="150">
        <f t="shared" ref="AS21:AS31" si="75">Z21/Q21</f>
        <v>2.1213897574585615E-5</v>
      </c>
      <c r="AT21" s="150">
        <f t="shared" ref="AT21:AT31" si="76">AS21*SQRT((Y21/X21)^2+(P21/O21)^2)</f>
        <v>8.1576331794233067E-8</v>
      </c>
      <c r="AU21" s="142">
        <v>0.75</v>
      </c>
      <c r="AV21" s="142">
        <f>AU21/2</f>
        <v>0.375</v>
      </c>
      <c r="AW21" s="142">
        <f t="shared" ref="AW21:AW31" si="77">marincorr_age(AN21,U21,AS21,AU21)</f>
        <v>598.90070000000003</v>
      </c>
      <c r="AX21" s="152">
        <f t="shared" ref="AX21:AX31" si="78">marincorr_age_error(AN21, AO21, U21, V21, AS21, AT21, AU21, AV21)</f>
        <v>224.20933979579999</v>
      </c>
      <c r="AY21" s="152">
        <f t="shared" ref="AY21:AY31" si="79">SQRT(((AU21*EXP(-0.0000091577*AW21*1000))/(0.0000091577*(EXP(-0.0000091577*AW21*1000)+(AJ21/1000)*EXP(-(0.0000091577-0.0000028263)*AW21*1000)-AS21*AU21*EXP(-0.0000091577*AW21*1000))))^2*AT21^2+((AS21*EXP(-0.0000091577*AW21*1000))/(0.0000091577*(EXP(-0.0000091577*AW21*1000)+(AJ21/1000)*EXP(-(0.0000091577-0.0000028263)*AW21*1000)-AS21*AU21*EXP(-0.0000091577*AW21*1000))))^2*AV21^2+((0.0000091577/(0.0000091577-0.0000028263))*(EXP(-(0.0000091577-0.0000028263)*AW21*1000)-1)/(0.0000091577*(EXP(-0.0000091577*AW21*1000)+(AJ21/1000)*EXP(-(0.0000091577-0.0000028263)*AW21*1000)-AS21*AU21*EXP(-0.0000091577*AW21*1000))))^2*T21^2+(1/(0.0000091577*(EXP(-0.0000091577*AW21*1000)+(AJ21/1000)*EXP(-(0.0000091577-0.0000028263)*AW21*1000)-AS21*AU21*EXP(-0.0000091577*AW21*1000))))^2*AO21^2)/1000</f>
        <v>90.196143300697017</v>
      </c>
      <c r="AZ21" s="153">
        <f t="shared" ref="AZ21:AZ31" si="80">AX21/AW21</f>
        <v>0.37436813781616884</v>
      </c>
      <c r="BA21" s="142" t="str">
        <f>Input!B21</f>
        <v>Hu1-13</v>
      </c>
      <c r="BB21" s="154">
        <f>Input!E21</f>
        <v>0</v>
      </c>
      <c r="BC21" s="142">
        <f>((U21-1)*EXP(Constants!$B$17*AW21*1000))*1000</f>
        <v>-4.895160125833188</v>
      </c>
      <c r="BD21" s="148">
        <f>SQRT((EXP(Constants!$B$17*AW21*1000)*V21)^2+((U21-1)*Constants!$B$17*EXP(Constants!$B$17*AW21*1000)*AY21*1000)^2)*1000</f>
        <v>8.6666526864514815</v>
      </c>
      <c r="BE21" s="142">
        <f t="shared" ref="BE21:BE29" si="81">AW21*1000-58</f>
        <v>598842.70000000007</v>
      </c>
      <c r="BF21" s="155">
        <f t="shared" ref="BF21:BF29" si="82">AY21/2*1000</f>
        <v>45098.071650348509</v>
      </c>
      <c r="BG21" s="164">
        <f t="shared" ref="BG21:BG29" si="83">AY21/AW21*100</f>
        <v>15.060283499534567</v>
      </c>
      <c r="BH21" s="142"/>
      <c r="BI21" s="21"/>
      <c r="BJ21" s="21"/>
      <c r="BK21" s="21"/>
      <c r="BL21" s="21"/>
      <c r="BM21" s="21"/>
      <c r="BN21" s="163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</row>
    <row r="22" spans="1:110" ht="15" customHeight="1" x14ac:dyDescent="0.2">
      <c r="A22" s="21">
        <f>Input!A22</f>
        <v>10894</v>
      </c>
      <c r="B22" s="21" t="str">
        <f>Input!B22</f>
        <v>M5-14-42_58,75</v>
      </c>
      <c r="C22" s="21">
        <f>Input!O22</f>
        <v>3.4185908119520003</v>
      </c>
      <c r="D22" s="21">
        <f>C22*Input!P22/100</f>
        <v>9.580517796083864E-3</v>
      </c>
      <c r="E22" s="156">
        <f>Input!M22</f>
        <v>3.8826169707872489</v>
      </c>
      <c r="F22" s="157">
        <f>E22*Input!N22/100</f>
        <v>1.8990612558929129E-4</v>
      </c>
      <c r="G22" s="24">
        <f>E22*137.88</f>
        <v>535.33522793214581</v>
      </c>
      <c r="H22" s="157">
        <f>G22*Input!L22/100</f>
        <v>1.8808944110761498E-2</v>
      </c>
      <c r="I22" s="21">
        <v>0.3</v>
      </c>
      <c r="J22" s="133">
        <f>(((C22*Constants!$B$24*0.000000001*Input!G22*(Constants!$B$4/Constants!$B$3))-(I22*0.000000000000001))/Input!F22)*1000000000000</f>
        <v>86.090466511677562</v>
      </c>
      <c r="K22" s="21">
        <f>J22*Input!P22/100</f>
        <v>0.24126644335574535</v>
      </c>
      <c r="L22" s="138">
        <f>(J22/Constants!$B$4)*602200000000*Constants!$B$17/(365.2425*24*60)</f>
        <v>1.1885744777162324</v>
      </c>
      <c r="M22" s="136">
        <f>L22*Input!P22/100</f>
        <v>3.3309511322384411E-3</v>
      </c>
      <c r="N22" s="21">
        <v>5.0000000000000001E-3</v>
      </c>
      <c r="O22" s="133">
        <f>(((G22*Constants!$B$23*0.000000001*Input!G22*(Constants!$B$7/Constants!$B$6))-(N22*0.000000001))/Input!F22)*1000000</f>
        <v>1.3580467507983045</v>
      </c>
      <c r="P22" s="21">
        <f>O22*Input!N22/100</f>
        <v>6.6424630282533142E-5</v>
      </c>
      <c r="Q22" s="134">
        <f>(O22/Constants!$B$7)*602200000000000000*Constants!$B$18/(365.2425*24*60)</f>
        <v>1.0132668717385458</v>
      </c>
      <c r="R22" s="135">
        <f>Q22*Input!N22/100</f>
        <v>4.956079552725798E-5</v>
      </c>
      <c r="S22" s="136">
        <f>Input!S22*Constants!$B$17/Constants!$B$18</f>
        <v>1.1620140287304421</v>
      </c>
      <c r="T22" s="21">
        <f>S22*Input!T22/100</f>
        <v>5.2344119833567864E-4</v>
      </c>
      <c r="U22" s="21">
        <f>S22*1/((U21+U23)/2)</f>
        <v>1.1622899751398645</v>
      </c>
      <c r="V22" s="21">
        <f>U22*Input!T22/100</f>
        <v>5.2356550124050877E-4</v>
      </c>
      <c r="W22" s="137">
        <v>3.0000000000000001E-3</v>
      </c>
      <c r="X22" s="133">
        <f>IF((((Constants!$B$25*0.000000001*Input!G22/Input!W22*(Constants!$B$11/Constants!$B$9))-(W22*0.000000001))/Input!F22)*1000000000&lt;0, "n.d.", (((Constants!$B$25*0.000000001*Input!G22/Input!W22*(Constants!$B$11/Constants!$B$9))-(W22*0.000000001))/Input!F22)*1000000000)</f>
        <v>7.869176192328399E-2</v>
      </c>
      <c r="Y22" s="133">
        <f>X22*Input!X22/100</f>
        <v>1.5252861886048445E-4</v>
      </c>
      <c r="Z22" s="133">
        <f>(X22/Constants!$B$11)*6.022E+23*0.000000001*Constants!$B$19/(365.2425*24*60)</f>
        <v>1.9211203090258667E-5</v>
      </c>
      <c r="AA22" s="133">
        <f>Z22*Input!X22/100</f>
        <v>3.7237166920498138E-8</v>
      </c>
      <c r="AB22" s="138">
        <v>0.05</v>
      </c>
      <c r="AC22" s="138">
        <v>0.9</v>
      </c>
      <c r="AD22" s="133">
        <f>(((Input!G22*Constants!$B$25*0.000000001*Input!U22*(Constants!$B$10/Constants!$B$9))-((AB22*0.000000000000001)+(Input!G22*AC22*0.000000000000001)))/Input!F22)*1000000000000</f>
        <v>22.63329550597215</v>
      </c>
      <c r="AE22" s="133">
        <f>AD22*Input!V22/100</f>
        <v>4.5635469367932481E-2</v>
      </c>
      <c r="AF22" s="133">
        <f>(AD22/Constants!$B$10)*602200000000*Constants!$B$16/(365.2425*24*60)</f>
        <v>1.0331119029218949</v>
      </c>
      <c r="AG22" s="133">
        <f>AF22*Input!V22/100</f>
        <v>2.0830615049849109E-3</v>
      </c>
      <c r="AH22" s="21">
        <f>AF22/Z22</f>
        <v>53776.533310698796</v>
      </c>
      <c r="AI22" s="137">
        <f>AH22*SQRT((AG22/AF22)^2+(AA22/Z22)^2)</f>
        <v>150.40598654461607</v>
      </c>
      <c r="AJ22" s="136">
        <f t="shared" si="72"/>
        <v>162.28997513986454</v>
      </c>
      <c r="AK22" s="137">
        <f>V22*1000</f>
        <v>0.52356550124050871</v>
      </c>
      <c r="AL22" s="137">
        <f>AF22/Q22</f>
        <v>1.0195851968882583</v>
      </c>
      <c r="AM22" s="137">
        <f>AL22*SQRT((R22/Q22)^2+(AG22/AF22)^2)</f>
        <v>2.0563924229636877E-3</v>
      </c>
      <c r="AN22" s="21">
        <f>AL22*1/((AN21+AN23)/2)</f>
        <v>1.0250631615420898</v>
      </c>
      <c r="AO22" s="133">
        <f>AN22*SQRT((R22/Q22)^2+(AG22/AF22)^2)</f>
        <v>2.0674408817308232E-3</v>
      </c>
      <c r="AP22" s="21">
        <f>ThU_Alter_Kombi(AN22,U22)</f>
        <v>208.9606</v>
      </c>
      <c r="AQ22" s="21">
        <f t="shared" si="74"/>
        <v>1.1843999999999999</v>
      </c>
      <c r="AR22" s="158">
        <f>(AQ22/AP22)</f>
        <v>5.6680541690634495E-3</v>
      </c>
      <c r="AS22" s="135">
        <f t="shared" si="75"/>
        <v>1.8959667611846833E-5</v>
      </c>
      <c r="AT22" s="135">
        <f t="shared" si="76"/>
        <v>3.6761313219540542E-8</v>
      </c>
      <c r="AU22" s="21">
        <v>0.75</v>
      </c>
      <c r="AV22" s="21">
        <f>AU22/2</f>
        <v>0.375</v>
      </c>
      <c r="AW22" s="21">
        <f t="shared" si="77"/>
        <v>208.95939999999999</v>
      </c>
      <c r="AX22" s="139">
        <f t="shared" si="78"/>
        <v>1.2463646567</v>
      </c>
      <c r="AY22" s="139">
        <f t="shared" si="79"/>
        <v>1.2253732159707511</v>
      </c>
      <c r="AZ22" s="158">
        <f t="shared" si="80"/>
        <v>5.9646259354688043E-3</v>
      </c>
      <c r="BA22" s="21" t="str">
        <f>Input!B22</f>
        <v>M5-14-42_58,75</v>
      </c>
      <c r="BB22" s="140">
        <f>Input!E22</f>
        <v>58.75</v>
      </c>
      <c r="BC22" s="21">
        <f>((U22-1)*EXP(Constants!$B$17*AW22*1000))*1000</f>
        <v>292.6802363370121</v>
      </c>
      <c r="BD22" s="136">
        <f>SQRT((EXP(Constants!$B$17*AW22*1000)*V22)^2+((U22-1)*Constants!$B$17*EXP(Constants!$B$17*AW22*1000)*AY22*1000)^2)*1000</f>
        <v>1.3841667470833374</v>
      </c>
      <c r="BE22" s="21">
        <f t="shared" si="81"/>
        <v>208901.4</v>
      </c>
      <c r="BF22" s="141">
        <f t="shared" si="82"/>
        <v>612.68660798537553</v>
      </c>
      <c r="BG22" s="23">
        <f t="shared" si="83"/>
        <v>0.58641689053986146</v>
      </c>
      <c r="BH22" s="21"/>
      <c r="BI22" s="21"/>
      <c r="BJ22" s="21"/>
      <c r="BK22" s="21"/>
      <c r="BL22" s="21"/>
      <c r="BM22" s="21"/>
      <c r="BN22" s="163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</row>
    <row r="23" spans="1:110" ht="15" customHeight="1" x14ac:dyDescent="0.2">
      <c r="A23" s="142">
        <f>Input!A23</f>
        <v>10815</v>
      </c>
      <c r="B23" s="142" t="str">
        <f>Input!B23</f>
        <v>Hu1-13</v>
      </c>
      <c r="C23" s="142">
        <f>Input!O23</f>
        <v>2.0987350025684437</v>
      </c>
      <c r="D23" s="142">
        <f>C23*Input!P23/100</f>
        <v>1.0993686598450524E-2</v>
      </c>
      <c r="E23" s="143">
        <f>Input!M23</f>
        <v>2.7323229913201557</v>
      </c>
      <c r="F23" s="144">
        <f>E23*Input!N23/100</f>
        <v>2.6586941021939996E-4</v>
      </c>
      <c r="G23" s="145">
        <f t="shared" ref="G23" si="84">E23*137.88</f>
        <v>376.73269404322303</v>
      </c>
      <c r="H23" s="144">
        <f>G23*Input!L23/100</f>
        <v>2.2606239873216204E-2</v>
      </c>
      <c r="I23" s="142">
        <v>0</v>
      </c>
      <c r="J23" s="146">
        <f>(((C23*Constants!$B$24*0.000000001*Input!G23*(Constants!$B$4/Constants!$B$3))-(I23*0.000000000000001))/Input!F23)*1000000000000</f>
        <v>757.72212808345068</v>
      </c>
      <c r="K23" s="142">
        <f>J23*Input!P23/100</f>
        <v>3.9691335946014856</v>
      </c>
      <c r="L23" s="147">
        <f>(J23/Constants!$B$4)*602200000000*Constants!$B$17/(365.2425*24*60)</f>
        <v>10.461195288315208</v>
      </c>
      <c r="M23" s="148">
        <f>L23*Input!P23/100</f>
        <v>5.4798296261404297E-2</v>
      </c>
      <c r="N23" s="142">
        <v>0</v>
      </c>
      <c r="O23" s="146">
        <f>(((G23*Constants!$B$23*0.000000001*Input!G23*(Constants!$B$7/Constants!$B$6))-(N23*0.000000001))/Input!F23)*1000000</f>
        <v>13.701470390200907</v>
      </c>
      <c r="P23" s="142">
        <f>O23*Input!N23/100</f>
        <v>1.3332251945884417E-3</v>
      </c>
      <c r="Q23" s="149">
        <f>(O23/Constants!$B$7)*602200000000000000*Constants!$B$18/(365.2425*24*60)</f>
        <v>10.222951479642477</v>
      </c>
      <c r="R23" s="150">
        <f>Q23*Input!N23/100</f>
        <v>9.9474699339292491E-4</v>
      </c>
      <c r="S23" s="148">
        <f>Input!S23*Constants!$B$17/Constants!$B$18</f>
        <v>1.0004282995538132</v>
      </c>
      <c r="T23" s="142">
        <f>S23*Input!T23/100</f>
        <v>1.4065878816624292E-3</v>
      </c>
      <c r="U23" s="148">
        <f>S23</f>
        <v>1.0004282995538132</v>
      </c>
      <c r="V23" s="142">
        <f>U23*Input!T23/100</f>
        <v>1.4065878816624292E-3</v>
      </c>
      <c r="W23" s="151">
        <v>0</v>
      </c>
      <c r="X23" s="146">
        <f>(((Constants!$B$25*0.000000001*Input!G23/Input!W23*(Constants!$B$11/Constants!$B$9))-(W23*0.000000001))/Input!F23)*1000000000</f>
        <v>0.88842076249650015</v>
      </c>
      <c r="Y23" s="146">
        <f>X23*Input!X23/100</f>
        <v>3.9259498298503497E-3</v>
      </c>
      <c r="Z23" s="146">
        <f>(X23/Constants!$B$11)*6.022E+23*0.000000001*Constants!$B$19/(365.2425*24*60)</f>
        <v>2.1689222964103706E-4</v>
      </c>
      <c r="AA23" s="146">
        <f>Z23*Input!X23/100</f>
        <v>9.5845127444153697E-7</v>
      </c>
      <c r="AB23" s="147">
        <v>0</v>
      </c>
      <c r="AC23" s="147">
        <v>0.9</v>
      </c>
      <c r="AD23" s="146">
        <f>(((Input!G23*Constants!$B$25*0.000000001*Input!U23*(Constants!$B$10/Constants!$B$9))-((AB23*0.000000000000001)+(Input!G23*AC23*0.000000000000001)))/Input!F23)*1000000000000</f>
        <v>222.77758489655696</v>
      </c>
      <c r="AE23" s="146">
        <f>AD23*Input!V23/100</f>
        <v>0.70767433833426441</v>
      </c>
      <c r="AF23" s="146">
        <f>(AD23/Constants!$B$10)*602200000000*Constants!$B$16/(365.2425*24*60)</f>
        <v>10.168831781482998</v>
      </c>
      <c r="AG23" s="146">
        <f>AF23*Input!V23/100</f>
        <v>3.2302268228353692E-2</v>
      </c>
      <c r="AH23" s="142">
        <f t="shared" ref="AH23" si="85">AF23/Z23</f>
        <v>46884.260438065074</v>
      </c>
      <c r="AI23" s="151">
        <f t="shared" ref="AI23" si="86">AH23*SQRT((AG23/AF23)^2+(AA23/Z23)^2)</f>
        <v>255.15767804710896</v>
      </c>
      <c r="AJ23" s="148">
        <f t="shared" si="72"/>
        <v>0.42829955381318285</v>
      </c>
      <c r="AK23" s="151">
        <f t="shared" ref="AK23" si="87">V23*1000</f>
        <v>1.4065878816624291</v>
      </c>
      <c r="AL23" s="151">
        <f t="shared" ref="AL23" si="88">AF23/Q23</f>
        <v>0.99470605937363099</v>
      </c>
      <c r="AM23" s="151">
        <f t="shared" ref="AM23" si="89">AL23*SQRT((R23/Q23)^2+(AG23/AF23)^2)</f>
        <v>3.1612611675082532E-3</v>
      </c>
      <c r="AN23" s="142">
        <f>AF23/Q23</f>
        <v>0.99470605937363099</v>
      </c>
      <c r="AO23" s="146">
        <f t="shared" ref="AO23" si="90">AN23*SQRT((R23/Q23)^2+(AG23/AF23)^2)</f>
        <v>3.1612611675082532E-3</v>
      </c>
      <c r="AP23" s="142">
        <f t="shared" ref="AP23" si="91">ThU_Alter_Kombi(AN23,U23)</f>
        <v>559.80089999999996</v>
      </c>
      <c r="AQ23" s="142" t="e">
        <f t="shared" si="74"/>
        <v>#VALUE!</v>
      </c>
      <c r="AR23" s="142" t="e">
        <f>(AQ23/AP23)*100</f>
        <v>#VALUE!</v>
      </c>
      <c r="AS23" s="150">
        <f t="shared" si="75"/>
        <v>2.1216204544543366E-5</v>
      </c>
      <c r="AT23" s="150">
        <f t="shared" si="76"/>
        <v>9.3777575663271956E-8</v>
      </c>
      <c r="AU23" s="142">
        <v>0.75</v>
      </c>
      <c r="AV23" s="142">
        <f t="shared" ref="AV23" si="92">AU23/2</f>
        <v>0.375</v>
      </c>
      <c r="AW23" s="142">
        <f t="shared" si="77"/>
        <v>559.79920000000004</v>
      </c>
      <c r="AX23" s="152">
        <f t="shared" si="78"/>
        <v>167.46303767750001</v>
      </c>
      <c r="AY23" s="152">
        <f t="shared" si="79"/>
        <v>68.418856479414671</v>
      </c>
      <c r="AZ23" s="153">
        <f t="shared" si="80"/>
        <v>0.2991484047806785</v>
      </c>
      <c r="BA23" s="142" t="str">
        <f>Input!B23</f>
        <v>Hu1-13</v>
      </c>
      <c r="BB23" s="154">
        <f>Input!E23</f>
        <v>0</v>
      </c>
      <c r="BC23" s="142">
        <f>((U23-1)*EXP(Constants!$B$17*AW23*1000))*1000</f>
        <v>2.0789324031466179</v>
      </c>
      <c r="BD23" s="148">
        <f>SQRT((EXP(Constants!$B$17*AW23*1000)*V23)^2+((U23-1)*Constants!$B$17*EXP(Constants!$B$17*AW23*1000)*AY23*1000)^2)*1000</f>
        <v>6.8392567658553816</v>
      </c>
      <c r="BE23" s="142">
        <f t="shared" si="81"/>
        <v>559741.20000000007</v>
      </c>
      <c r="BF23" s="155">
        <f t="shared" si="82"/>
        <v>34209.428239707333</v>
      </c>
      <c r="BG23" s="164">
        <f t="shared" si="83"/>
        <v>12.222035415451588</v>
      </c>
      <c r="BH23" s="142"/>
      <c r="BI23" s="21"/>
      <c r="BJ23" s="21"/>
      <c r="BK23" s="21"/>
      <c r="BL23" s="21"/>
      <c r="BM23" s="21"/>
      <c r="BN23" s="163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</row>
    <row r="24" spans="1:110" ht="15" customHeight="1" x14ac:dyDescent="0.2">
      <c r="A24" s="21">
        <f>Input!A24</f>
        <v>10895</v>
      </c>
      <c r="B24" s="21" t="str">
        <f>Input!B24</f>
        <v>M5-14-42_162,75</v>
      </c>
      <c r="C24" s="21">
        <f>Input!O24</f>
        <v>2.0746528389363728</v>
      </c>
      <c r="D24" s="21">
        <f>C24*Input!P24/100</f>
        <v>5.4728487817622198E-3</v>
      </c>
      <c r="E24" s="156">
        <f>Input!M24</f>
        <v>2.3130105872338826</v>
      </c>
      <c r="F24" s="157">
        <f>E24*Input!N24/100</f>
        <v>9.89172866577717E-5</v>
      </c>
      <c r="G24" s="24">
        <f>E24*137.88</f>
        <v>318.91789976780774</v>
      </c>
      <c r="H24" s="157">
        <f>G24*Input!L24/100</f>
        <v>1.2635459127423367E-2</v>
      </c>
      <c r="I24" s="21">
        <v>0.3</v>
      </c>
      <c r="J24" s="133">
        <f>(((C24*Constants!$B$24*0.000000001*Input!G24*(Constants!$B$4/Constants!$B$3))-(I24*0.000000000000001))/Input!F24)*1000000000000</f>
        <v>42.710896307303805</v>
      </c>
      <c r="K24" s="21">
        <f>J24*Input!P24/100</f>
        <v>0.11266958617675936</v>
      </c>
      <c r="L24" s="138">
        <f>(J24/Constants!$B$4)*602200000000*Constants!$B$17/(365.2425*24*60)</f>
        <v>0.58967134606431559</v>
      </c>
      <c r="M24" s="136">
        <f>L24*Input!P24/100</f>
        <v>1.5555287358836769E-3</v>
      </c>
      <c r="N24" s="21">
        <v>5.0000000000000001E-3</v>
      </c>
      <c r="O24" s="133">
        <f>(((G24*Constants!$B$23*0.000000001*Input!G24*(Constants!$B$7/Constants!$B$6))-(N24*0.000000001))/Input!F24)*1000000</f>
        <v>0.66138209082670796</v>
      </c>
      <c r="P24" s="21">
        <f>O24*Input!N24/100</f>
        <v>2.8284402254664923E-5</v>
      </c>
      <c r="Q24" s="134">
        <f>(O24/Constants!$B$7)*602200000000000000*Constants!$B$18/(365.2425*24*60)</f>
        <v>0.49347090724375797</v>
      </c>
      <c r="R24" s="135">
        <f>Q24*Input!N24/100</f>
        <v>2.1103579663021109E-5</v>
      </c>
      <c r="S24" s="136">
        <f>Input!S24*Constants!$B$17/Constants!$B$18</f>
        <v>1.1857316548989827</v>
      </c>
      <c r="T24" s="21">
        <f>S24*Input!T24/100</f>
        <v>6.5713863797648429E-4</v>
      </c>
      <c r="U24" s="21">
        <f>S24*1/((U23+U25)/2)</f>
        <v>1.1855979402164203</v>
      </c>
      <c r="V24" s="21">
        <f>U24*Input!T24/100</f>
        <v>6.5706453260532926E-4</v>
      </c>
      <c r="W24" s="137">
        <v>3.0000000000000001E-3</v>
      </c>
      <c r="X24" s="133">
        <f>IF((((Constants!$B$25*0.000000001*Input!G24/Input!W24*(Constants!$B$11/Constants!$B$9))-(W24*0.000000001))/Input!F24)*1000000000&lt;0, "n.d.", (((Constants!$B$25*0.000000001*Input!G24/Input!W24*(Constants!$B$11/Constants!$B$9))-(W24*0.000000001))/Input!F24)*1000000000)</f>
        <v>2.4495003191414604</v>
      </c>
      <c r="Y24" s="133">
        <f>X24*Input!X24/100</f>
        <v>3.9829833849918013E-3</v>
      </c>
      <c r="Z24" s="133">
        <f>(X24/Constants!$B$11)*6.022E+23*0.000000001*Constants!$B$19/(365.2425*24*60)</f>
        <v>5.9800221713876957E-4</v>
      </c>
      <c r="AA24" s="133">
        <f>Z24*Input!X24/100</f>
        <v>9.7237500907401446E-7</v>
      </c>
      <c r="AB24" s="138">
        <v>0.05</v>
      </c>
      <c r="AC24" s="138">
        <v>0.9</v>
      </c>
      <c r="AD24" s="133">
        <f>(((Input!G24*Constants!$B$25*0.000000001*Input!U24*(Constants!$B$10/Constants!$B$9))-((AB24*0.000000000000001)+(Input!G24*AC24*0.000000000000001)))/Input!F24)*1000000000000</f>
        <v>11.70160287379885</v>
      </c>
      <c r="AE24" s="133">
        <f>AD24*Input!V24/100</f>
        <v>2.3240723865891884E-2</v>
      </c>
      <c r="AF24" s="133">
        <f>(AD24/Constants!$B$10)*602200000000*Constants!$B$16/(365.2425*24*60)</f>
        <v>0.53412748527923182</v>
      </c>
      <c r="AG24" s="133">
        <f>AF24*Input!V24/100</f>
        <v>1.0608383764546517E-3</v>
      </c>
      <c r="AH24" s="21">
        <f>AF24/Z24</f>
        <v>893.18646314531088</v>
      </c>
      <c r="AI24" s="137">
        <f>AH24*SQRT((AG24/AF24)^2+(AA24/Z24)^2)</f>
        <v>2.2926644344687137</v>
      </c>
      <c r="AJ24" s="136">
        <f t="shared" si="72"/>
        <v>185.59794021642028</v>
      </c>
      <c r="AK24" s="137">
        <f>V24*1000</f>
        <v>0.65706453260532927</v>
      </c>
      <c r="AL24" s="137">
        <f>AF24/Q24</f>
        <v>1.0823890070086561</v>
      </c>
      <c r="AM24" s="137">
        <f>AL24*SQRT((R24/Q24)^2+(AG24/AF24)^2)</f>
        <v>2.1502468650947495E-3</v>
      </c>
      <c r="AN24" s="21">
        <f>AL24*1/((AN23+AN25)/2)</f>
        <v>1.0855901572845537</v>
      </c>
      <c r="AO24" s="133">
        <f>AN24*SQRT((R24/Q24)^2+(AG24/AF24)^2)</f>
        <v>2.1566061899778327E-3</v>
      </c>
      <c r="AP24" s="21">
        <f>ThU_Alter_Kombi(AN24,U24)</f>
        <v>230.7157</v>
      </c>
      <c r="AQ24" s="21">
        <f t="shared" si="74"/>
        <v>1.585</v>
      </c>
      <c r="AR24" s="158">
        <f>(AQ24/AP24)</f>
        <v>6.8699269273829215E-3</v>
      </c>
      <c r="AS24" s="135">
        <f t="shared" si="75"/>
        <v>1.2118287184929761E-3</v>
      </c>
      <c r="AT24" s="135">
        <f t="shared" si="76"/>
        <v>1.9711623113392223E-6</v>
      </c>
      <c r="AU24" s="21">
        <v>0.75</v>
      </c>
      <c r="AV24" s="21">
        <f>AU24/2</f>
        <v>0.375</v>
      </c>
      <c r="AW24" s="21">
        <f t="shared" si="77"/>
        <v>230.64259999999999</v>
      </c>
      <c r="AX24" s="139">
        <f t="shared" si="78"/>
        <v>1.5000385087999999</v>
      </c>
      <c r="AY24" s="139">
        <f t="shared" si="79"/>
        <v>1.5167876743423498</v>
      </c>
      <c r="AZ24" s="158">
        <f t="shared" si="80"/>
        <v>6.5037356880298779E-3</v>
      </c>
      <c r="BA24" s="21" t="str">
        <f>Input!B24</f>
        <v>M5-14-42_162,75</v>
      </c>
      <c r="BB24" s="140">
        <f>Input!E24</f>
        <v>162.75</v>
      </c>
      <c r="BC24" s="21">
        <f>((U24-1)*EXP(Constants!$B$17*AW24*1000))*1000</f>
        <v>355.83600979362302</v>
      </c>
      <c r="BD24" s="136">
        <f>SQRT((EXP(Constants!$B$17*AW24*1000)*V24)^2+((U24-1)*Constants!$B$17*EXP(Constants!$B$17*AW24*1000)*AY24*1000)^2)*1000</f>
        <v>1.9765981570396451</v>
      </c>
      <c r="BE24" s="21">
        <f t="shared" si="81"/>
        <v>230584.59999999998</v>
      </c>
      <c r="BF24" s="141">
        <f t="shared" si="82"/>
        <v>758.39383717117494</v>
      </c>
      <c r="BG24" s="23">
        <f t="shared" si="83"/>
        <v>0.65763552541566472</v>
      </c>
      <c r="BH24" s="21"/>
      <c r="BI24" s="21"/>
      <c r="BJ24" s="21"/>
      <c r="BK24" s="21"/>
      <c r="BL24" s="21"/>
      <c r="BM24" s="21"/>
      <c r="BN24" s="163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</row>
    <row r="25" spans="1:110" ht="15" customHeight="1" x14ac:dyDescent="0.2">
      <c r="A25" s="142">
        <f>Input!A25</f>
        <v>10815</v>
      </c>
      <c r="B25" s="142" t="str">
        <f>Input!B25</f>
        <v>Hu1-13</v>
      </c>
      <c r="C25" s="142">
        <f>Input!O25</f>
        <v>2.1230518705204551</v>
      </c>
      <c r="D25" s="142">
        <f>C25*Input!P25/100</f>
        <v>1.5382870357539531E-2</v>
      </c>
      <c r="E25" s="143">
        <f>Input!M25</f>
        <v>2.7319277749369086</v>
      </c>
      <c r="F25" s="144">
        <f>E25*Input!N25/100</f>
        <v>2.3585565348312711E-4</v>
      </c>
      <c r="G25" s="145">
        <f t="shared" ref="G25" si="93">E25*137.88</f>
        <v>376.67820160830092</v>
      </c>
      <c r="H25" s="144">
        <f>G25*Input!L25/100</f>
        <v>1.8207632144669229E-2</v>
      </c>
      <c r="I25" s="142">
        <v>0</v>
      </c>
      <c r="J25" s="146">
        <f>(((C25*Constants!$B$24*0.000000001*Input!G25*(Constants!$B$4/Constants!$B$3))-(I25*0.000000000000001))/Input!F25)*1000000000000</f>
        <v>766.50143033474649</v>
      </c>
      <c r="K25" s="142">
        <f>J25*Input!P25/100</f>
        <v>5.5537937133950122</v>
      </c>
      <c r="L25" s="147">
        <f>(J25/Constants!$B$4)*602200000000*Constants!$B$17/(365.2425*24*60)</f>
        <v>10.58240330368392</v>
      </c>
      <c r="M25" s="148">
        <f>L25*Input!P25/100</f>
        <v>7.6676288672994697E-2</v>
      </c>
      <c r="N25" s="142">
        <v>0</v>
      </c>
      <c r="O25" s="146">
        <f>(((G25*Constants!$B$23*0.000000001*Input!G25*(Constants!$B$7/Constants!$B$6))-(N25*0.000000001))/Input!F25)*1000000</f>
        <v>13.699488543402419</v>
      </c>
      <c r="P25" s="142">
        <f>O25*Input!N25/100</f>
        <v>1.1827186108034683E-3</v>
      </c>
      <c r="Q25" s="149">
        <f>(O25/Constants!$B$7)*602200000000000000*Constants!$B$18/(365.2425*24*60)</f>
        <v>10.221472782606023</v>
      </c>
      <c r="R25" s="150">
        <f>Q25*Input!N25/100</f>
        <v>8.8245090694508436E-4</v>
      </c>
      <c r="S25" s="148">
        <f>Input!S25*Constants!$B$17/Constants!$B$18</f>
        <v>0.99979726541729008</v>
      </c>
      <c r="T25" s="142">
        <f>S25*Input!T25/100</f>
        <v>1.3288982575925016E-3</v>
      </c>
      <c r="U25" s="148">
        <f>S25</f>
        <v>0.99979726541729008</v>
      </c>
      <c r="V25" s="142">
        <f>U25*Input!T25/100</f>
        <v>1.3288982575925016E-3</v>
      </c>
      <c r="W25" s="151">
        <v>0</v>
      </c>
      <c r="X25" s="146">
        <f>(((Constants!$B$25*0.000000001*Input!G25/Input!W25*(Constants!$B$11/Constants!$B$9))-(W25*0.000000001))/Input!F25)*1000000000</f>
        <v>0.88769887659103175</v>
      </c>
      <c r="Y25" s="146">
        <f>X25*Input!X25/100</f>
        <v>2.7583238747134497E-3</v>
      </c>
      <c r="Z25" s="146">
        <f>(X25/Constants!$B$11)*6.022E+23*0.000000001*Constants!$B$19/(365.2425*24*60)</f>
        <v>2.1671599395385716E-4</v>
      </c>
      <c r="AA25" s="146">
        <f>Z25*Input!X25/100</f>
        <v>6.7339603092747565E-7</v>
      </c>
      <c r="AB25" s="147">
        <v>0</v>
      </c>
      <c r="AC25" s="147">
        <v>0.9</v>
      </c>
      <c r="AD25" s="146">
        <f>(((Input!G25*Constants!$B$25*0.000000001*Input!U25*(Constants!$B$10/Constants!$B$9))-((AB25*0.000000000000001)+(Input!G25*AC25*0.000000000000001)))/Input!F25)*1000000000000</f>
        <v>223.79567555083699</v>
      </c>
      <c r="AE25" s="146">
        <f>AD25*Input!V25/100</f>
        <v>0.49608087349854529</v>
      </c>
      <c r="AF25" s="146">
        <f>(AD25/Constants!$B$10)*602200000000*Constants!$B$16/(365.2425*24*60)</f>
        <v>10.215303209954948</v>
      </c>
      <c r="AG25" s="146">
        <f>AF25*Input!V25/100</f>
        <v>2.2643943083233503E-2</v>
      </c>
      <c r="AH25" s="142">
        <f t="shared" ref="AH25" si="94">AF25/Z25</f>
        <v>47136.82190032534</v>
      </c>
      <c r="AI25" s="151">
        <f t="shared" ref="AI25" si="95">AH25*SQRT((AG25/AF25)^2+(AA25/Z25)^2)</f>
        <v>179.91683166304173</v>
      </c>
      <c r="AJ25" s="148">
        <f t="shared" si="72"/>
        <v>-0.20273458270991807</v>
      </c>
      <c r="AK25" s="151">
        <f t="shared" ref="AK25" si="96">V25*1000</f>
        <v>1.3288982575925017</v>
      </c>
      <c r="AL25" s="151">
        <f t="shared" ref="AL25" si="97">AF25/Q25</f>
        <v>0.99939641059734818</v>
      </c>
      <c r="AM25" s="151">
        <f t="shared" ref="AM25" si="98">AL25*SQRT((R25/Q25)^2+(AG25/AF25)^2)</f>
        <v>2.2170103254857427E-3</v>
      </c>
      <c r="AN25" s="142">
        <f>AF25/Q25</f>
        <v>0.99939641059734818</v>
      </c>
      <c r="AO25" s="146">
        <f t="shared" ref="AO25" si="99">AN25*SQRT((R25/Q25)^2+(AG25/AF25)^2)</f>
        <v>2.2170103254857427E-3</v>
      </c>
      <c r="AP25" s="142">
        <f t="shared" ref="AP25" si="100">ThU_Alter_Kombi(AN25,U25)</f>
        <v>880.3098</v>
      </c>
      <c r="AQ25" s="142" t="e">
        <f t="shared" si="74"/>
        <v>#VALUE!</v>
      </c>
      <c r="AR25" s="142" t="e">
        <f>(AQ25/AP25)*100</f>
        <v>#VALUE!</v>
      </c>
      <c r="AS25" s="150">
        <f t="shared" si="75"/>
        <v>2.1202032090976636E-5</v>
      </c>
      <c r="AT25" s="150">
        <f t="shared" si="76"/>
        <v>6.5905952363322943E-8</v>
      </c>
      <c r="AU25" s="142">
        <v>0.75</v>
      </c>
      <c r="AV25" s="142">
        <f t="shared" ref="AV25" si="101">AU25/2</f>
        <v>0.375</v>
      </c>
      <c r="AW25" s="142">
        <f t="shared" si="77"/>
        <v>880.30809999999997</v>
      </c>
      <c r="AX25" s="152">
        <f t="shared" si="78"/>
        <v>353.71932234169998</v>
      </c>
      <c r="AY25" s="152">
        <f t="shared" si="79"/>
        <v>1016.6563239120222</v>
      </c>
      <c r="AZ25" s="153">
        <f t="shared" si="80"/>
        <v>0.40181309514441593</v>
      </c>
      <c r="BA25" s="142" t="str">
        <f>Input!B25</f>
        <v>Hu1-13</v>
      </c>
      <c r="BB25" s="154">
        <f>Input!E25</f>
        <v>0</v>
      </c>
      <c r="BC25" s="142">
        <f>((U25-1)*EXP(Constants!$B$17*AW25*1000))*1000</f>
        <v>-2.4312964823833179</v>
      </c>
      <c r="BD25" s="148">
        <f>SQRT((EXP(Constants!$B$17*AW25*1000)*V25)^2+((U25-1)*Constants!$B$17*EXP(Constants!$B$17*AW25*1000)*AY25*1000)^2)*1000</f>
        <v>17.396570798584758</v>
      </c>
      <c r="BE25" s="142">
        <f t="shared" si="81"/>
        <v>880250.1</v>
      </c>
      <c r="BF25" s="155">
        <f t="shared" si="82"/>
        <v>508328.16195601114</v>
      </c>
      <c r="BG25" s="164">
        <f t="shared" si="83"/>
        <v>115.4886935508173</v>
      </c>
      <c r="BH25" s="142"/>
      <c r="BI25" s="21"/>
      <c r="BJ25" s="21"/>
      <c r="BK25" s="21"/>
      <c r="BL25" s="21"/>
      <c r="BM25" s="21"/>
      <c r="BN25" s="163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</row>
    <row r="26" spans="1:110" ht="15" customHeight="1" x14ac:dyDescent="0.2">
      <c r="A26" s="21">
        <f>Input!A26</f>
        <v>10896</v>
      </c>
      <c r="B26" s="21" t="str">
        <f>Input!B26</f>
        <v>M5-14-42_211,25</v>
      </c>
      <c r="C26" s="21">
        <f>Input!O26</f>
        <v>2.7360748016819167</v>
      </c>
      <c r="D26" s="21">
        <f>C26*Input!P26/100</f>
        <v>7.1636541629003991E-3</v>
      </c>
      <c r="E26" s="156">
        <f>Input!M26</f>
        <v>3.0085213849925703</v>
      </c>
      <c r="F26" s="157">
        <f>E26*Input!N26/100</f>
        <v>1.473795744378363E-4</v>
      </c>
      <c r="G26" s="24">
        <f>E26*137.88</f>
        <v>414.81492856277555</v>
      </c>
      <c r="H26" s="157">
        <f>G26*Input!L26/100</f>
        <v>1.2009994068350788E-2</v>
      </c>
      <c r="I26" s="21">
        <v>0.3</v>
      </c>
      <c r="J26" s="133">
        <f>(((C26*Constants!$B$24*0.000000001*Input!G26*(Constants!$B$4/Constants!$B$3))-(I26*0.000000000000001))/Input!F26)*1000000000000</f>
        <v>59.477303890040446</v>
      </c>
      <c r="K26" s="21">
        <f>J26*Input!P26/100</f>
        <v>0.15572484909698525</v>
      </c>
      <c r="L26" s="138">
        <f>(J26/Constants!$B$4)*602200000000*Constants!$B$17/(365.2425*24*60)</f>
        <v>0.82115021873514227</v>
      </c>
      <c r="M26" s="136">
        <f>L26*Input!P26/100</f>
        <v>2.1499544453947427E-3</v>
      </c>
      <c r="N26" s="21">
        <v>5.0000000000000001E-3</v>
      </c>
      <c r="O26" s="133">
        <f>(((G26*Constants!$B$23*0.000000001*Input!G26*(Constants!$B$7/Constants!$B$6))-(N26*0.000000001))/Input!F26)*1000000</f>
        <v>0.90836026086704302</v>
      </c>
      <c r="P26" s="21">
        <f>O26*Input!N26/100</f>
        <v>4.4498187498559986E-5</v>
      </c>
      <c r="Q26" s="134">
        <f>(O26/Constants!$B$7)*602200000000000000*Constants!$B$18/(365.2425*24*60)</f>
        <v>0.67774644679891172</v>
      </c>
      <c r="R26" s="135">
        <f>Q26*Input!N26/100</f>
        <v>3.320102140680843E-5</v>
      </c>
      <c r="S26" s="136">
        <f>Input!S26*Constants!$B$17/Constants!$B$18</f>
        <v>1.2037374943824504</v>
      </c>
      <c r="T26" s="21">
        <f>S26*Input!T26/100</f>
        <v>5.9871001356924113E-4</v>
      </c>
      <c r="U26" s="21">
        <f>S26*1/((U25+U27)/2)</f>
        <v>1.2044022562623711</v>
      </c>
      <c r="V26" s="21">
        <f>U26*Input!T26/100</f>
        <v>5.990406501042041E-4</v>
      </c>
      <c r="W26" s="137">
        <v>3.0000000000000001E-3</v>
      </c>
      <c r="X26" s="133">
        <f>IF((((Constants!$B$25*0.000000001*Input!G26/Input!W26*(Constants!$B$11/Constants!$B$9))-(W26*0.000000001))/Input!F26)*1000000000&lt;0, "n.d.", (((Constants!$B$25*0.000000001*Input!G26/Input!W26*(Constants!$B$11/Constants!$B$9))-(W26*0.000000001))/Input!F26)*1000000000)</f>
        <v>0.1461396138736317</v>
      </c>
      <c r="Y26" s="133">
        <f>X26*Input!X26/100</f>
        <v>2.6761062266523106E-4</v>
      </c>
      <c r="Z26" s="133">
        <f>(X26/Constants!$B$11)*6.022E+23*0.000000001*Constants!$B$19/(365.2425*24*60)</f>
        <v>3.5677404254785277E-5</v>
      </c>
      <c r="AA26" s="133">
        <f>Z26*Input!X26/100</f>
        <v>6.5332404504354296E-8</v>
      </c>
      <c r="AB26" s="138">
        <v>0.05</v>
      </c>
      <c r="AC26" s="138">
        <v>0.9</v>
      </c>
      <c r="AD26" s="133">
        <f>(((Input!G26*Constants!$B$25*0.000000001*Input!U26*(Constants!$B$10/Constants!$B$9))-((AB26*0.000000000000001)+(Input!G26*AC26*0.000000000000001)))/Input!F26)*1000000000000</f>
        <v>16.757048346967792</v>
      </c>
      <c r="AE26" s="133">
        <f>AD26*Input!V26/100</f>
        <v>3.135899270916126E-2</v>
      </c>
      <c r="AF26" s="133">
        <f>(AD26/Constants!$B$10)*602200000000*Constants!$B$16/(365.2425*24*60)</f>
        <v>0.76488667328724047</v>
      </c>
      <c r="AG26" s="133">
        <f>AF26*Input!V26/100</f>
        <v>1.4314021845792126E-3</v>
      </c>
      <c r="AH26" s="21">
        <f>AF26/Z26</f>
        <v>21438.966462495631</v>
      </c>
      <c r="AI26" s="137">
        <f>AH26*SQRT((AG26/AF26)^2+(AA26/Z26)^2)</f>
        <v>56.133226568761032</v>
      </c>
      <c r="AJ26" s="136">
        <f t="shared" si="72"/>
        <v>204.40225626237108</v>
      </c>
      <c r="AK26" s="137">
        <f>V26*1000</f>
        <v>0.59904065010420404</v>
      </c>
      <c r="AL26" s="137">
        <f>AF26/Q26</f>
        <v>1.1285734907204661</v>
      </c>
      <c r="AM26" s="137">
        <f>AL26*SQRT((R26/Q26)^2+(AG26/AF26)^2)</f>
        <v>2.1127259765733831E-3</v>
      </c>
      <c r="AN26" s="21">
        <f>AL26*1/((AN25+AN27)/2)</f>
        <v>1.1311471617523201</v>
      </c>
      <c r="AO26" s="133">
        <f>AN26*SQRT((R26/Q26)^2+(AG26/AF26)^2)</f>
        <v>2.1175439717583322E-3</v>
      </c>
      <c r="AP26" s="21">
        <f>ThU_Alter_Kombi(AN26,U26)</f>
        <v>247.9331</v>
      </c>
      <c r="AQ26" s="21">
        <f t="shared" si="74"/>
        <v>1.6355999999999999</v>
      </c>
      <c r="AR26" s="158">
        <f>(AQ26/AP26)</f>
        <v>6.5969408683229465E-3</v>
      </c>
      <c r="AS26" s="135">
        <f t="shared" si="75"/>
        <v>5.2641226557947282E-5</v>
      </c>
      <c r="AT26" s="135">
        <f t="shared" si="76"/>
        <v>9.6431014923628068E-8</v>
      </c>
      <c r="AU26" s="21">
        <v>0.75</v>
      </c>
      <c r="AV26" s="21">
        <f>AU26/2</f>
        <v>0.375</v>
      </c>
      <c r="AW26" s="21">
        <f t="shared" si="77"/>
        <v>247.93</v>
      </c>
      <c r="AX26" s="139">
        <f t="shared" si="78"/>
        <v>1.663732698</v>
      </c>
      <c r="AY26" s="139">
        <f t="shared" si="79"/>
        <v>1.6670907037644718</v>
      </c>
      <c r="AZ26" s="158">
        <f t="shared" si="80"/>
        <v>6.7104936796676482E-3</v>
      </c>
      <c r="BA26" s="21" t="str">
        <f>Input!B26</f>
        <v>M5-14-42_211,25</v>
      </c>
      <c r="BB26" s="140">
        <f>Input!E26</f>
        <v>211.25</v>
      </c>
      <c r="BC26" s="21">
        <f>((U26-1)*EXP(Constants!$B$17*AW26*1000))*1000</f>
        <v>411.48115884099093</v>
      </c>
      <c r="BD26" s="136">
        <f>SQRT((EXP(Constants!$B$17*AW26*1000)*V26)^2+((U26-1)*Constants!$B$17*EXP(Constants!$B$17*AW26*1000)*AY26*1000)^2)*1000</f>
        <v>2.2807534658186195</v>
      </c>
      <c r="BE26" s="21">
        <f t="shared" si="81"/>
        <v>247872</v>
      </c>
      <c r="BF26" s="141">
        <f t="shared" si="82"/>
        <v>833.54535188223588</v>
      </c>
      <c r="BG26" s="23">
        <f t="shared" si="83"/>
        <v>0.67240378484429952</v>
      </c>
      <c r="BH26" s="21"/>
      <c r="BI26" s="21"/>
      <c r="BJ26" s="21"/>
      <c r="BK26" s="21"/>
      <c r="BL26" s="21"/>
      <c r="BM26" s="21"/>
      <c r="BN26" s="163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</row>
    <row r="27" spans="1:110" ht="15" customHeight="1" x14ac:dyDescent="0.2">
      <c r="A27" s="142">
        <f>Input!A27</f>
        <v>10815</v>
      </c>
      <c r="B27" s="142" t="str">
        <f>Input!B27</f>
        <v>Hu1-13</v>
      </c>
      <c r="C27" s="142">
        <f>Input!O27</f>
        <v>2.12215626267268</v>
      </c>
      <c r="D27" s="142">
        <f>C27*Input!P27/100</f>
        <v>1.3030586572198822E-2</v>
      </c>
      <c r="E27" s="143">
        <f>Input!M27</f>
        <v>2.7321375264986796</v>
      </c>
      <c r="F27" s="144">
        <f>E27*Input!N27/100</f>
        <v>2.3927242248581709E-4</v>
      </c>
      <c r="G27" s="145">
        <f t="shared" ref="G27" si="102">E27*137.88</f>
        <v>376.70712215363795</v>
      </c>
      <c r="H27" s="144">
        <f>G27*Input!L27/100</f>
        <v>3.0607807962300518E-2</v>
      </c>
      <c r="I27" s="142">
        <v>0</v>
      </c>
      <c r="J27" s="146">
        <f>(((C27*Constants!$B$24*0.000000001*Input!G27*(Constants!$B$4/Constants!$B$3))-(I27*0.000000000000001))/Input!F27)*1000000000000</f>
        <v>766.1780822781725</v>
      </c>
      <c r="K27" s="142">
        <f>J27*Input!P27/100</f>
        <v>4.7045309558275843</v>
      </c>
      <c r="L27" s="147">
        <f>(J27/Constants!$B$4)*602200000000*Constants!$B$17/(365.2425*24*60)</f>
        <v>10.57793912474477</v>
      </c>
      <c r="M27" s="148">
        <f>L27*Input!P27/100</f>
        <v>6.4951273355733849E-2</v>
      </c>
      <c r="N27" s="142">
        <v>0</v>
      </c>
      <c r="O27" s="146">
        <f>(((G27*Constants!$B$23*0.000000001*Input!G27*(Constants!$B$7/Constants!$B$6))-(N27*0.000000001))/Input!F27)*1000000</f>
        <v>13.700540360783469</v>
      </c>
      <c r="P27" s="142">
        <f>O27*Input!N27/100</f>
        <v>1.1998522950235372E-3</v>
      </c>
      <c r="Q27" s="149">
        <f>(O27/Constants!$B$7)*602200000000000000*Constants!$B$18/(365.2425*24*60)</f>
        <v>10.222257565388141</v>
      </c>
      <c r="R27" s="150">
        <f>Q27*Input!N27/100</f>
        <v>8.9523470441068708E-4</v>
      </c>
      <c r="S27" s="148">
        <f>Input!S27*Constants!$B$17/Constants!$B$18</f>
        <v>0.99909884777667957</v>
      </c>
      <c r="T27" s="142">
        <f>S27*Input!T27/100</f>
        <v>1.5020835358307331E-3</v>
      </c>
      <c r="U27" s="148">
        <f>S27</f>
        <v>0.99909884777667957</v>
      </c>
      <c r="V27" s="142">
        <f>U27*Input!T27/100</f>
        <v>1.5020835358307331E-3</v>
      </c>
      <c r="W27" s="151">
        <v>0</v>
      </c>
      <c r="X27" s="146">
        <f>(((Constants!$B$25*0.000000001*Input!G27/Input!W27*(Constants!$B$11/Constants!$B$9))-(W27*0.000000001))/Input!F27)*1000000000</f>
        <v>0.88682806926186553</v>
      </c>
      <c r="Y27" s="146">
        <f>X27*Input!X27/100</f>
        <v>4.596331252613297E-3</v>
      </c>
      <c r="Z27" s="146">
        <f>(X27/Constants!$B$11)*6.022E+23*0.000000001*Constants!$B$19/(365.2425*24*60)</f>
        <v>2.1650340173271201E-4</v>
      </c>
      <c r="AA27" s="146">
        <f>Z27*Input!X27/100</f>
        <v>1.1221130523185023E-6</v>
      </c>
      <c r="AB27" s="147">
        <v>0</v>
      </c>
      <c r="AC27" s="147">
        <v>0.9</v>
      </c>
      <c r="AD27" s="146">
        <f>(((Input!G27*Constants!$B$25*0.000000001*Input!U27*(Constants!$B$10/Constants!$B$9))-((AB27*0.000000000000001)+(Input!G27*AC27*0.000000000000001)))/Input!F27)*1000000000000</f>
        <v>223.06411663953708</v>
      </c>
      <c r="AE27" s="146">
        <f>AD27*Input!V27/100</f>
        <v>0.53055061391982294</v>
      </c>
      <c r="AF27" s="146">
        <f>(AD27/Constants!$B$10)*602200000000*Constants!$B$16/(365.2425*24*60)</f>
        <v>10.181910714427589</v>
      </c>
      <c r="AG27" s="146">
        <f>AF27*Input!V27/100</f>
        <v>2.4217337426556299E-2</v>
      </c>
      <c r="AH27" s="142">
        <f t="shared" ref="AH27" si="103">AF27/Z27</f>
        <v>47028.871754162283</v>
      </c>
      <c r="AI27" s="151">
        <f t="shared" ref="AI27" si="104">AH27*SQRT((AG27/AF27)^2+(AA27/Z27)^2)</f>
        <v>268.18599497809271</v>
      </c>
      <c r="AJ27" s="148">
        <f t="shared" si="72"/>
        <v>-0.90115222332043388</v>
      </c>
      <c r="AK27" s="151">
        <f t="shared" ref="AK27" si="105">V27*1000</f>
        <v>1.502083535830733</v>
      </c>
      <c r="AL27" s="151">
        <f t="shared" ref="AL27" si="106">AF27/Q27</f>
        <v>0.99605303909606402</v>
      </c>
      <c r="AM27" s="151">
        <f t="shared" ref="AM27" si="107">AL27*SQRT((R27/Q27)^2+(AG27/AF27)^2)</f>
        <v>2.3706845849536147E-3</v>
      </c>
      <c r="AN27" s="142">
        <f>AF27/Q27</f>
        <v>0.99605303909606402</v>
      </c>
      <c r="AO27" s="146">
        <f t="shared" ref="AO27" si="108">AN27*SQRT((R27/Q27)^2+(AG27/AF27)^2)</f>
        <v>2.3706845849536147E-3</v>
      </c>
      <c r="AP27" s="142">
        <f t="shared" ref="AP27" si="109">ThU_Alter_Kombi(AN27,U27)</f>
        <v>646.30160000000001</v>
      </c>
      <c r="AQ27" s="142" t="e">
        <f t="shared" si="74"/>
        <v>#VALUE!</v>
      </c>
      <c r="AR27" s="142" t="e">
        <f>(AQ27/AP27)*100</f>
        <v>#VALUE!</v>
      </c>
      <c r="AS27" s="150">
        <f t="shared" si="75"/>
        <v>2.1179607376141411E-5</v>
      </c>
      <c r="AT27" s="150">
        <f t="shared" si="76"/>
        <v>1.0978721936096009E-7</v>
      </c>
      <c r="AU27" s="142">
        <v>0.75</v>
      </c>
      <c r="AV27" s="142">
        <f t="shared" ref="AV27" si="110">AU27/2</f>
        <v>0.375</v>
      </c>
      <c r="AW27" s="142">
        <f t="shared" si="77"/>
        <v>646.2998</v>
      </c>
      <c r="AX27" s="152">
        <f t="shared" si="78"/>
        <v>279.6426474754</v>
      </c>
      <c r="AY27" s="152">
        <f t="shared" si="79"/>
        <v>130.32902622517827</v>
      </c>
      <c r="AZ27" s="153">
        <f t="shared" si="80"/>
        <v>0.43268255301239456</v>
      </c>
      <c r="BA27" s="142" t="str">
        <f>Input!B27</f>
        <v>Hu1-13</v>
      </c>
      <c r="BB27" s="154">
        <f>Input!E27</f>
        <v>0</v>
      </c>
      <c r="BC27" s="142">
        <f>((U27-1)*EXP(Constants!$B$17*AW27*1000))*1000</f>
        <v>-5.5834994826408622</v>
      </c>
      <c r="BD27" s="148">
        <f>SQRT((EXP(Constants!$B$17*AW27*1000)*V27)^2+((U27-1)*Constants!$B$17*EXP(Constants!$B$17*AW27*1000)*AY27*1000)^2)*1000</f>
        <v>9.5307171303459892</v>
      </c>
      <c r="BE27" s="142">
        <f t="shared" si="81"/>
        <v>646241.80000000005</v>
      </c>
      <c r="BF27" s="155">
        <f t="shared" si="82"/>
        <v>65164.513112589135</v>
      </c>
      <c r="BG27" s="164">
        <f t="shared" si="83"/>
        <v>20.165413361597555</v>
      </c>
      <c r="BH27" s="142"/>
      <c r="BI27" s="21"/>
      <c r="BJ27" s="21"/>
      <c r="BK27" s="21"/>
      <c r="BL27" s="21"/>
      <c r="BM27" s="21"/>
      <c r="BN27" s="163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</row>
    <row r="28" spans="1:110" ht="15" customHeight="1" x14ac:dyDescent="0.2">
      <c r="A28" s="21">
        <f>Input!A28</f>
        <v>10897</v>
      </c>
      <c r="B28" s="21" t="str">
        <f>Input!B28</f>
        <v>M5-14-42_224</v>
      </c>
      <c r="C28" s="21">
        <f>Input!O28</f>
        <v>2.2570621178145567</v>
      </c>
      <c r="D28" s="21">
        <f>C28*Input!P28/100</f>
        <v>6.5024140426441345E-3</v>
      </c>
      <c r="E28" s="156">
        <f>Input!M28</f>
        <v>2.606509883702854</v>
      </c>
      <c r="F28" s="157">
        <f>E28*Input!N28/100</f>
        <v>1.1696203598596556E-4</v>
      </c>
      <c r="G28" s="24">
        <f>E28*137.88</f>
        <v>359.3855827649495</v>
      </c>
      <c r="H28" s="157">
        <f>G28*Input!L28/100</f>
        <v>1.6308925443203209E-2</v>
      </c>
      <c r="I28" s="21">
        <v>0.3</v>
      </c>
      <c r="J28" s="133">
        <f>(((C28*Constants!$B$24*0.000000001*Input!G28*(Constants!$B$4/Constants!$B$3))-(I28*0.000000000000001))/Input!F28)*1000000000000</f>
        <v>50.56882318029708</v>
      </c>
      <c r="K28" s="21">
        <f>J28*Input!P28/100</f>
        <v>0.14568470374485645</v>
      </c>
      <c r="L28" s="138">
        <f>(J28/Constants!$B$4)*602200000000*Constants!$B$17/(365.2425*24*60)</f>
        <v>0.69815875131880401</v>
      </c>
      <c r="M28" s="136">
        <f>L28*Input!P28/100</f>
        <v>2.0113390910862271E-3</v>
      </c>
      <c r="N28" s="21">
        <v>5.0000000000000001E-3</v>
      </c>
      <c r="O28" s="133">
        <f>(((G28*Constants!$B$23*0.000000001*Input!G28*(Constants!$B$7/Constants!$B$6))-(N28*0.000000001))/Input!F28)*1000000</f>
        <v>0.81111218676392838</v>
      </c>
      <c r="P28" s="21">
        <f>O28*Input!N28/100</f>
        <v>3.6397073868818313E-5</v>
      </c>
      <c r="Q28" s="134">
        <f>(O28/Constants!$B$7)*602200000000000000*Constants!$B$18/(365.2425*24*60)</f>
        <v>0.60518763998969316</v>
      </c>
      <c r="R28" s="135">
        <f>Q28*Input!N28/100</f>
        <v>2.7156612360962579E-5</v>
      </c>
      <c r="S28" s="136">
        <f>Input!S28*Constants!$B$17/Constants!$B$18</f>
        <v>1.1442364310406208</v>
      </c>
      <c r="T28" s="21">
        <f>S28*Input!T28/100</f>
        <v>6.9224828384490918E-4</v>
      </c>
      <c r="U28" s="21">
        <f>S28*1/((U27+U29)/2)</f>
        <v>1.144844116109597</v>
      </c>
      <c r="V28" s="21">
        <f>U28*Input!T28/100</f>
        <v>6.9261592547447553E-4</v>
      </c>
      <c r="W28" s="137">
        <v>3.0000000000000001E-3</v>
      </c>
      <c r="X28" s="133">
        <f>IF((((Constants!$B$25*0.000000001*Input!G28/Input!W28*(Constants!$B$11/Constants!$B$9))-(W28*0.000000001))/Input!F28)*1000000000&lt;0, "n.d.", (((Constants!$B$25*0.000000001*Input!G28/Input!W28*(Constants!$B$11/Constants!$B$9))-(W28*0.000000001))/Input!F28)*1000000000)</f>
        <v>0.13170722216548905</v>
      </c>
      <c r="Y28" s="133">
        <f>X28*Input!X28/100</f>
        <v>2.0702380321989446E-4</v>
      </c>
      <c r="Z28" s="133">
        <f>(X28/Constants!$B$11)*6.022E+23*0.000000001*Constants!$B$19/(365.2425*24*60)</f>
        <v>3.2153990857921763E-5</v>
      </c>
      <c r="AA28" s="133">
        <f>Z28*Input!X28/100</f>
        <v>5.0541203182773568E-8</v>
      </c>
      <c r="AB28" s="138">
        <v>0.05</v>
      </c>
      <c r="AC28" s="138">
        <v>0.9</v>
      </c>
      <c r="AD28" s="133">
        <f>(((Input!G28*Constants!$B$25*0.000000001*Input!U28*(Constants!$B$10/Constants!$B$9))-((AB28*0.000000000000001)+(Input!G28*AC28*0.000000000000001)))/Input!F28)*1000000000000</f>
        <v>13.906742646405629</v>
      </c>
      <c r="AE28" s="133">
        <f>AD28*Input!V28/100</f>
        <v>2.302804489143755E-2</v>
      </c>
      <c r="AF28" s="133">
        <f>(AD28/Constants!$B$10)*602200000000*Constants!$B$16/(365.2425*24*60)</f>
        <v>0.6347825642572541</v>
      </c>
      <c r="AG28" s="133">
        <f>AF28*Input!V28/100</f>
        <v>1.0511305024973653E-3</v>
      </c>
      <c r="AH28" s="21">
        <f>AF28/Z28</f>
        <v>19741.952626103426</v>
      </c>
      <c r="AI28" s="137">
        <f>AH28*SQRT((AG28/AF28)^2+(AA28/Z28)^2)</f>
        <v>45.073439918505066</v>
      </c>
      <c r="AJ28" s="136">
        <f t="shared" si="72"/>
        <v>144.84411610959702</v>
      </c>
      <c r="AK28" s="137">
        <f>V28*1000</f>
        <v>0.69261592547447548</v>
      </c>
      <c r="AL28" s="137">
        <f>AF28/Q28</f>
        <v>1.0489020632808446</v>
      </c>
      <c r="AM28" s="137">
        <f>AL28*SQRT((R28/Q28)^2+(AG28/AF28)^2)</f>
        <v>1.7375047261263591E-3</v>
      </c>
      <c r="AN28" s="21">
        <f>AL28*1/((AN27+AN29)/2)</f>
        <v>1.0525014718169405</v>
      </c>
      <c r="AO28" s="133">
        <f>AN28*SQRT((R28/Q28)^2+(AG28/AF28)^2)</f>
        <v>1.7434671410759156E-3</v>
      </c>
      <c r="AP28" s="21">
        <f>ThU_Alter_Kombi(AN28,U28)</f>
        <v>239.6686</v>
      </c>
      <c r="AQ28" s="21">
        <f t="shared" si="74"/>
        <v>1.4178999999999999</v>
      </c>
      <c r="AR28" s="158">
        <f>(AQ28/AP28)</f>
        <v>5.9160857951354494E-3</v>
      </c>
      <c r="AS28" s="135">
        <f t="shared" si="75"/>
        <v>5.3130613934001315E-5</v>
      </c>
      <c r="AT28" s="135">
        <f t="shared" si="76"/>
        <v>8.3547301386533804E-8</v>
      </c>
      <c r="AU28" s="21">
        <v>0.75</v>
      </c>
      <c r="AV28" s="21">
        <f>AU28/2</f>
        <v>0.375</v>
      </c>
      <c r="AW28" s="21">
        <f t="shared" si="77"/>
        <v>239.6652</v>
      </c>
      <c r="AX28" s="139">
        <f t="shared" si="78"/>
        <v>1.3889194093999999</v>
      </c>
      <c r="AY28" s="139">
        <f t="shared" si="79"/>
        <v>1.4576231874488117</v>
      </c>
      <c r="AZ28" s="158">
        <f t="shared" si="80"/>
        <v>5.7952485775990834E-3</v>
      </c>
      <c r="BA28" s="21" t="str">
        <f>Input!B28</f>
        <v>M5-14-42_224</v>
      </c>
      <c r="BB28" s="140">
        <f>Input!E28</f>
        <v>224</v>
      </c>
      <c r="BC28" s="21">
        <f>((U28-1)*EXP(Constants!$B$17*AW28*1000))*1000</f>
        <v>284.86280463714633</v>
      </c>
      <c r="BD28" s="136">
        <f>SQRT((EXP(Constants!$B$17*AW28*1000)*V28)^2+((U28-1)*Constants!$B$17*EXP(Constants!$B$17*AW28*1000)*AY28*1000)^2)*1000</f>
        <v>1.796816395819776</v>
      </c>
      <c r="BE28" s="21">
        <f t="shared" si="81"/>
        <v>239607.2</v>
      </c>
      <c r="BF28" s="141">
        <f t="shared" si="82"/>
        <v>728.81159372440584</v>
      </c>
      <c r="BG28" s="23">
        <f t="shared" si="83"/>
        <v>0.60819142180375441</v>
      </c>
      <c r="BH28" s="21"/>
      <c r="BI28" s="21"/>
      <c r="BJ28" s="21"/>
      <c r="BK28" s="21"/>
      <c r="BL28" s="21"/>
      <c r="BM28" s="21"/>
      <c r="BN28" s="163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</row>
    <row r="29" spans="1:110" ht="15" customHeight="1" x14ac:dyDescent="0.2">
      <c r="A29" s="142">
        <f>Input!A29</f>
        <v>10815</v>
      </c>
      <c r="B29" s="142" t="str">
        <f>Input!B29</f>
        <v>Hu1-13</v>
      </c>
      <c r="C29" s="142">
        <f>Input!O29</f>
        <v>2.0869337228332987</v>
      </c>
      <c r="D29" s="142">
        <f>C29*Input!P29/100</f>
        <v>1.6534660166814524E-2</v>
      </c>
      <c r="E29" s="143">
        <f>Input!M29</f>
        <v>2.732158440230716</v>
      </c>
      <c r="F29" s="144">
        <f>E29*Input!N29/100</f>
        <v>2.2025099164365541E-4</v>
      </c>
      <c r="G29" s="145">
        <f t="shared" ref="G29" si="111">E29*137.88</f>
        <v>376.71000573901108</v>
      </c>
      <c r="H29" s="144">
        <f>G29*Input!L29/100</f>
        <v>1.9950210919400076E-2</v>
      </c>
      <c r="I29" s="142">
        <v>0</v>
      </c>
      <c r="J29" s="146">
        <f>(((C29*Constants!$B$24*0.000000001*Input!G29*(Constants!$B$4/Constants!$B$3))-(I29*0.000000000000001))/Input!F29)*1000000000000</f>
        <v>753.46142304728414</v>
      </c>
      <c r="K29" s="142">
        <f>J29*Input!P29/100</f>
        <v>5.9696330758302949</v>
      </c>
      <c r="L29" s="147">
        <f>(J29/Constants!$B$4)*602200000000*Constants!$B$17/(365.2425*24*60)</f>
        <v>10.402371524566901</v>
      </c>
      <c r="M29" s="148">
        <f>L29*Input!P29/100</f>
        <v>8.2417412784028823E-2</v>
      </c>
      <c r="N29" s="142">
        <v>0</v>
      </c>
      <c r="O29" s="146">
        <f>(((G29*Constants!$B$23*0.000000001*Input!G29*(Constants!$B$7/Constants!$B$6))-(N29*0.000000001))/Input!F29)*1000000</f>
        <v>13.700645234504893</v>
      </c>
      <c r="P29" s="142">
        <f>O29*Input!N29/100</f>
        <v>1.1044676818972499E-3</v>
      </c>
      <c r="Q29" s="149">
        <f>(O29/Constants!$B$7)*602200000000000000*Constants!$B$18/(365.2425*24*60)</f>
        <v>10.222335813848714</v>
      </c>
      <c r="R29" s="150">
        <f>Q29*Input!N29/100</f>
        <v>8.2406626451887147E-4</v>
      </c>
      <c r="S29" s="148">
        <f>Input!S29*Constants!$B$17/Constants!$B$18</f>
        <v>0.99983954905757011</v>
      </c>
      <c r="T29" s="142">
        <f>S29*Input!T29/100</f>
        <v>1.2775283238384339E-3</v>
      </c>
      <c r="U29" s="148">
        <f>S29</f>
        <v>0.99983954905757011</v>
      </c>
      <c r="V29" s="142">
        <f>U29*Input!T29/100</f>
        <v>1.2775283238384339E-3</v>
      </c>
      <c r="W29" s="151">
        <v>0</v>
      </c>
      <c r="X29" s="146">
        <f>(((Constants!$B$25*0.000000001*Input!G29/Input!W29*(Constants!$B$11/Constants!$B$9))-(W29*0.000000001))/Input!F29)*1000000000</f>
        <v>0.88264543653171157</v>
      </c>
      <c r="Y29" s="146">
        <f>X29*Input!X29/100</f>
        <v>2.7434923289083495E-3</v>
      </c>
      <c r="Z29" s="146">
        <f>(X29/Constants!$B$11)*6.022E+23*0.000000001*Constants!$B$19/(365.2425*24*60)</f>
        <v>2.15482285864074E-4</v>
      </c>
      <c r="AA29" s="146">
        <f>Z29*Input!X29/100</f>
        <v>6.6977517111139951E-7</v>
      </c>
      <c r="AB29" s="147">
        <v>0</v>
      </c>
      <c r="AC29" s="147">
        <v>0.9</v>
      </c>
      <c r="AD29" s="146">
        <f>(((Input!G29*Constants!$B$25*0.000000001*Input!U29*(Constants!$B$10/Constants!$B$9))-((AB29*0.000000000000001)+(Input!G29*AC29*0.000000000000001)))/Input!F29)*1000000000000</f>
        <v>223.30191199481231</v>
      </c>
      <c r="AE29" s="146">
        <f>AD29*Input!V29/100</f>
        <v>0.60544468119613992</v>
      </c>
      <c r="AF29" s="146">
        <f>(AD29/Constants!$B$10)*602200000000*Constants!$B$16/(365.2425*24*60)</f>
        <v>10.192765042376854</v>
      </c>
      <c r="AG29" s="146">
        <f>AF29*Input!V29/100</f>
        <v>2.7635927191399866E-2</v>
      </c>
      <c r="AH29" s="142">
        <f t="shared" ref="AH29" si="112">AF29/Z29</f>
        <v>47302.101894382351</v>
      </c>
      <c r="AI29" s="151">
        <f t="shared" ref="AI29" si="113">AH29*SQRT((AG29/AF29)^2+(AA29/Z29)^2)</f>
        <v>195.10373632192639</v>
      </c>
      <c r="AJ29" s="148">
        <f t="shared" si="72"/>
        <v>-0.16045094242989055</v>
      </c>
      <c r="AK29" s="151">
        <f t="shared" ref="AK29" si="114">V29*1000</f>
        <v>1.2775283238384338</v>
      </c>
      <c r="AL29" s="151">
        <f t="shared" ref="AL29" si="115">AF29/Q29</f>
        <v>0.99710723928362843</v>
      </c>
      <c r="AM29" s="151">
        <f t="shared" ref="AM29" si="116">AL29*SQRT((R29/Q29)^2+(AG29/AF29)^2)</f>
        <v>2.7046792721203837E-3</v>
      </c>
      <c r="AN29" s="142">
        <f>AF29/Q29</f>
        <v>0.99710723928362843</v>
      </c>
      <c r="AO29" s="146">
        <f t="shared" ref="AO29" si="117">AN29*SQRT((R29/Q29)^2+(AG29/AF29)^2)</f>
        <v>2.7046792721203837E-3</v>
      </c>
      <c r="AP29" s="142">
        <f t="shared" ref="AP29" si="118">ThU_Alter_Kombi(AN29,U29)</f>
        <v>646.38080000000002</v>
      </c>
      <c r="AQ29" s="142" t="e">
        <f t="shared" si="74"/>
        <v>#VALUE!</v>
      </c>
      <c r="AR29" s="142" t="e">
        <f>(AQ29/AP29)*100</f>
        <v>#VALUE!</v>
      </c>
      <c r="AS29" s="150">
        <f t="shared" si="75"/>
        <v>2.1079554593789542E-5</v>
      </c>
      <c r="AT29" s="150">
        <f t="shared" si="76"/>
        <v>6.5542788607725088E-8</v>
      </c>
      <c r="AU29" s="142">
        <v>0.75</v>
      </c>
      <c r="AV29" s="142">
        <f t="shared" ref="AV29" si="119">AU29/2</f>
        <v>0.375</v>
      </c>
      <c r="AW29" s="142">
        <f t="shared" si="77"/>
        <v>646.37900000000002</v>
      </c>
      <c r="AX29" s="152">
        <f t="shared" si="78"/>
        <v>286.32990082129999</v>
      </c>
      <c r="AY29" s="152">
        <f t="shared" si="79"/>
        <v>132.55180164283198</v>
      </c>
      <c r="AZ29" s="153">
        <f t="shared" si="80"/>
        <v>0.44297525263243387</v>
      </c>
      <c r="BA29" s="142" t="str">
        <f>Input!B29</f>
        <v>Hu1-13</v>
      </c>
      <c r="BB29" s="154">
        <f>Input!E29</f>
        <v>0</v>
      </c>
      <c r="BC29" s="142">
        <f>((U29-1)*EXP(Constants!$B$17*AW29*1000))*1000</f>
        <v>-0.99436919570458004</v>
      </c>
      <c r="BD29" s="148">
        <f>SQRT((EXP(Constants!$B$17*AW29*1000)*V29)^2+((U29-1)*Constants!$B$17*EXP(Constants!$B$17*AW29*1000)*AY29*1000)^2)*1000</f>
        <v>7.9260113977751656</v>
      </c>
      <c r="BE29" s="142">
        <f t="shared" si="81"/>
        <v>646321</v>
      </c>
      <c r="BF29" s="155">
        <f t="shared" si="82"/>
        <v>66275.900821415984</v>
      </c>
      <c r="BG29" s="164">
        <f t="shared" si="83"/>
        <v>20.506823650340124</v>
      </c>
      <c r="BH29" s="142"/>
      <c r="BI29" s="21"/>
      <c r="BJ29" s="21"/>
      <c r="BK29" s="21"/>
      <c r="BL29" s="21"/>
      <c r="BM29" s="21"/>
      <c r="BN29" s="163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</row>
    <row r="30" spans="1:110" ht="15" customHeight="1" x14ac:dyDescent="0.2">
      <c r="A30" s="21">
        <f>Input!A30</f>
        <v>10898</v>
      </c>
      <c r="B30" s="21" t="str">
        <f>Input!B30</f>
        <v>M5-14-42_277,5</v>
      </c>
      <c r="C30" s="21">
        <f>Input!O30</f>
        <v>5.0379674086473889</v>
      </c>
      <c r="D30" s="21">
        <f>C30*Input!P30/100</f>
        <v>1.3025319693654103E-2</v>
      </c>
      <c r="E30" s="156">
        <f>Input!M30</f>
        <v>5.3180729343904929</v>
      </c>
      <c r="F30" s="157">
        <f>E30*Input!N30/100</f>
        <v>3.1737288304610202E-4</v>
      </c>
      <c r="G30" s="24">
        <f>E30*137.88</f>
        <v>733.25589619376115</v>
      </c>
      <c r="H30" s="157">
        <f>G30*Input!L30/100</f>
        <v>4.2385068358716159E-2</v>
      </c>
      <c r="I30" s="21">
        <v>0.3</v>
      </c>
      <c r="J30" s="133">
        <f>(((C30*Constants!$B$24*0.000000001*Input!G30*(Constants!$B$4/Constants!$B$3))-(I30*0.000000000000001))/Input!F30)*1000000000000</f>
        <v>96.578979317869525</v>
      </c>
      <c r="K30" s="21">
        <f>J30*Input!P30/100</f>
        <v>0.24969833650428538</v>
      </c>
      <c r="L30" s="138">
        <f>(J30/Constants!$B$4)*602200000000*Constants!$B$17/(365.2425*24*60)</f>
        <v>1.3333800425571274</v>
      </c>
      <c r="M30" s="136">
        <f>L30*Input!P30/100</f>
        <v>3.4473627792101259E-3</v>
      </c>
      <c r="N30" s="21">
        <v>5.0000000000000001E-3</v>
      </c>
      <c r="O30" s="133">
        <f>(((G30*Constants!$B$23*0.000000001*Input!G30*(Constants!$B$7/Constants!$B$6))-(N30*0.000000001))/Input!F30)*1000000</f>
        <v>1.4160005720041671</v>
      </c>
      <c r="P30" s="21">
        <f>O30*Input!N30/100</f>
        <v>8.450432881913795E-5</v>
      </c>
      <c r="Q30" s="134">
        <f>(O30/Constants!$B$7)*602200000000000000*Constants!$B$18/(365.2425*24*60)</f>
        <v>1.0565074207726937</v>
      </c>
      <c r="R30" s="135">
        <f>Q30*Input!N30/100</f>
        <v>6.3050433912234541E-5</v>
      </c>
      <c r="S30" s="136">
        <f>Input!S30*Constants!$B$17/Constants!$B$18</f>
        <v>1.2474725706977501</v>
      </c>
      <c r="T30" s="21">
        <f>S30*Input!T30/100</f>
        <v>4.2439880814693651E-4</v>
      </c>
      <c r="U30" s="21">
        <f>S30*1/((U29+U31)/2)</f>
        <v>1.2465319934017312</v>
      </c>
      <c r="V30" s="21">
        <f>U30*Input!T30/100</f>
        <v>4.2407881723669378E-4</v>
      </c>
      <c r="W30" s="137">
        <v>3.0000000000000001E-3</v>
      </c>
      <c r="X30" s="133">
        <f>IF((((Constants!$B$25*0.000000001*Input!G30/Input!W30*(Constants!$B$11/Constants!$B$9))-(W30*0.000000001))/Input!F30)*1000000000&lt;0, "n.d.", (((Constants!$B$25*0.000000001*Input!G30/Input!W30*(Constants!$B$11/Constants!$B$9))-(W30*0.000000001))/Input!F30)*1000000000)</f>
        <v>0.20532240040591856</v>
      </c>
      <c r="Y30" s="133">
        <f>X30*Input!X30/100</f>
        <v>4.2453027026756121E-4</v>
      </c>
      <c r="Z30" s="133">
        <f>(X30/Constants!$B$11)*6.022E+23*0.000000001*Constants!$B$19/(365.2425*24*60)</f>
        <v>5.012583575168853E-5</v>
      </c>
      <c r="AA30" s="133">
        <f>Z30*Input!X30/100</f>
        <v>1.0364156349712295E-7</v>
      </c>
      <c r="AB30" s="138">
        <v>0.05</v>
      </c>
      <c r="AC30" s="138">
        <v>0.9</v>
      </c>
      <c r="AD30" s="133">
        <f>(((Input!G30*Constants!$B$25*0.000000001*Input!U30*(Constants!$B$10/Constants!$B$9))-((AB30*0.000000000000001)+(Input!G30*AC30*0.000000000000001)))/Input!F30)*1000000000000</f>
        <v>28.145475878074659</v>
      </c>
      <c r="AE30" s="133">
        <f>AD30*Input!V30/100</f>
        <v>5.3096806292825198E-2</v>
      </c>
      <c r="AF30" s="133">
        <f>(AD30/Constants!$B$10)*602200000000*Constants!$B$16/(365.2425*24*60)</f>
        <v>1.2847190607027361</v>
      </c>
      <c r="AG30" s="133">
        <f>AF30*Input!V30/100</f>
        <v>2.4236392165595832E-3</v>
      </c>
      <c r="AH30" s="21">
        <f>AF30/Z30</f>
        <v>25629.878114490275</v>
      </c>
      <c r="AI30" s="137">
        <f>AH30*SQRT((AG30/AF30)^2+(AA30/Z30)^2)</f>
        <v>71.736263296406761</v>
      </c>
      <c r="AJ30" s="136">
        <f t="shared" ref="AJ30:AJ31" si="120">(U30-1)*1000</f>
        <v>246.53199340173114</v>
      </c>
      <c r="AK30" s="137">
        <f>V30*1000</f>
        <v>0.42407881723669377</v>
      </c>
      <c r="AL30" s="137">
        <f>AF30/Q30</f>
        <v>1.2160057141511946</v>
      </c>
      <c r="AM30" s="137">
        <f>AL30*SQRT((R30/Q30)^2+(AG30/AF30)^2)</f>
        <v>2.29515813576473E-3</v>
      </c>
      <c r="AN30" s="21">
        <f>AL30*1/((AN29+AN31)/2)</f>
        <v>1.2195106385404715</v>
      </c>
      <c r="AO30" s="133">
        <f>AN30*SQRT((R30/Q30)^2+(AG30/AF30)^2)</f>
        <v>2.301773528795925E-3</v>
      </c>
      <c r="AP30" s="21">
        <f>ThU_Alter_Kombi(AN30,U30)</f>
        <v>280.27609999999999</v>
      </c>
      <c r="AQ30" s="21">
        <f t="shared" ref="AQ30:AQ31" si="121">Montealter(AN30,AO30,U30,V30)</f>
        <v>2.2355999999999998</v>
      </c>
      <c r="AR30" s="158">
        <f>(AQ30/AP30)</f>
        <v>7.9764203940328841E-3</v>
      </c>
      <c r="AS30" s="135">
        <f t="shared" si="75"/>
        <v>4.7444849668001567E-5</v>
      </c>
      <c r="AT30" s="135">
        <f t="shared" si="76"/>
        <v>9.8139135889638469E-8</v>
      </c>
      <c r="AU30" s="21">
        <v>0.75</v>
      </c>
      <c r="AV30" s="21">
        <f>AU30/2</f>
        <v>0.375</v>
      </c>
      <c r="AW30" s="21">
        <f t="shared" si="77"/>
        <v>280.27359999999999</v>
      </c>
      <c r="AX30" s="139">
        <f t="shared" si="78"/>
        <v>2.1840421606999998</v>
      </c>
      <c r="AY30" s="139">
        <f t="shared" si="79"/>
        <v>2.1707971894274993</v>
      </c>
      <c r="AZ30" s="158">
        <f t="shared" si="80"/>
        <v>7.7925361528877494E-3</v>
      </c>
      <c r="BA30" s="21" t="str">
        <f>Input!B30</f>
        <v>M5-14-42_277,5</v>
      </c>
      <c r="BB30" s="140">
        <f>Input!E30</f>
        <v>277.5</v>
      </c>
      <c r="BC30" s="21">
        <f>((U30-1)*EXP(Constants!$B$17*AW30*1000))*1000</f>
        <v>543.72341614151333</v>
      </c>
      <c r="BD30" s="136">
        <f>SQRT((EXP(Constants!$B$17*AW30*1000)*V30)^2+((U30-1)*Constants!$B$17*EXP(Constants!$B$17*AW30*1000)*AY30*1000)^2)*1000</f>
        <v>3.4597371880958483</v>
      </c>
      <c r="BE30" s="21">
        <f t="shared" ref="BE30:BE31" si="122">AW30*1000-58</f>
        <v>280215.59999999998</v>
      </c>
      <c r="BF30" s="141">
        <f t="shared" ref="BF30:BF31" si="123">AY30/2*1000</f>
        <v>1085.3985947137496</v>
      </c>
      <c r="BG30" s="23">
        <f t="shared" ref="BG30:BG31" si="124">AY30/AW30*100</f>
        <v>0.77452788611824275</v>
      </c>
      <c r="BH30" s="21"/>
      <c r="BI30" s="21"/>
      <c r="BJ30" s="21"/>
      <c r="BK30" s="21"/>
      <c r="BL30" s="21"/>
      <c r="BM30" s="21"/>
      <c r="BN30" s="163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</row>
    <row r="31" spans="1:110" ht="15" customHeight="1" x14ac:dyDescent="0.2">
      <c r="A31" s="142">
        <f>Input!A31</f>
        <v>10815</v>
      </c>
      <c r="B31" s="142" t="str">
        <f>Input!B31</f>
        <v>Hu1-13</v>
      </c>
      <c r="C31" s="142">
        <f>Input!O31</f>
        <v>2.0813538064676367</v>
      </c>
      <c r="D31" s="142">
        <f>C31*Input!P31/100</f>
        <v>1.3569376860937375E-2</v>
      </c>
      <c r="E31" s="143">
        <f>Input!M31</f>
        <v>2.7318999672329238</v>
      </c>
      <c r="F31" s="144">
        <f>E31*Input!N31/100</f>
        <v>3.4055576307412454E-4</v>
      </c>
      <c r="G31" s="145">
        <f t="shared" ref="G31" si="125">E31*137.88</f>
        <v>376.67436748207552</v>
      </c>
      <c r="H31" s="144">
        <f>G31*Input!L31/100</f>
        <v>2.5021525618903823E-2</v>
      </c>
      <c r="I31" s="142">
        <v>0</v>
      </c>
      <c r="J31" s="146">
        <f>(((C31*Constants!$B$24*0.000000001*Input!G31*(Constants!$B$4/Constants!$B$3))-(I31*0.000000000000001))/Input!F31)*1000000000000</f>
        <v>751.44686375421361</v>
      </c>
      <c r="K31" s="142">
        <f>J31*Input!P31/100</f>
        <v>4.8990544776986411</v>
      </c>
      <c r="L31" s="147">
        <f>(J31/Constants!$B$4)*602200000000*Constants!$B$17/(365.2425*24*60)</f>
        <v>10.374558296730983</v>
      </c>
      <c r="M31" s="148">
        <f>L31*Input!P31/100</f>
        <v>6.7636886557516776E-2</v>
      </c>
      <c r="N31" s="142">
        <v>0</v>
      </c>
      <c r="O31" s="146">
        <f>(((G31*Constants!$B$23*0.000000001*Input!G31*(Constants!$B$7/Constants!$B$6))-(N31*0.000000001))/Input!F31)*1000000</f>
        <v>13.699349099261308</v>
      </c>
      <c r="P31" s="142">
        <f>O31*Input!N31/100</f>
        <v>1.7077463823989209E-3</v>
      </c>
      <c r="Q31" s="149">
        <f>(O31/Constants!$B$7)*602200000000000000*Constants!$B$18/(365.2425*24*60)</f>
        <v>10.221368740437695</v>
      </c>
      <c r="R31" s="150">
        <f>Q31*Input!N31/100</f>
        <v>1.2741850261038402E-3</v>
      </c>
      <c r="S31" s="148">
        <f>Input!S31*Constants!$B$17/Constants!$B$18</f>
        <v>1.0016695615003581</v>
      </c>
      <c r="T31" s="142">
        <f>S31*Input!T31/100</f>
        <v>1.4399738891588431E-3</v>
      </c>
      <c r="U31" s="148">
        <f>S31</f>
        <v>1.0016695615003581</v>
      </c>
      <c r="V31" s="142">
        <f>U31*Input!T31/100</f>
        <v>1.4399738891588431E-3</v>
      </c>
      <c r="W31" s="151">
        <v>0</v>
      </c>
      <c r="X31" s="146">
        <f>(((Constants!$B$25*0.000000001*Input!G31/Input!W31*(Constants!$B$11/Constants!$B$9))-(W31*0.000000001))/Input!F31)*1000000000</f>
        <v>0.86752129697926028</v>
      </c>
      <c r="Y31" s="146">
        <f>X31*Input!X31/100</f>
        <v>4.9750587851683861E-3</v>
      </c>
      <c r="Z31" s="146">
        <f>(X31/Constants!$B$11)*6.022E+23*0.000000001*Constants!$B$19/(365.2425*24*60)</f>
        <v>2.1178999445508486E-4</v>
      </c>
      <c r="AA31" s="146">
        <f>Z31*Input!X31/100</f>
        <v>1.2145726867956346E-6</v>
      </c>
      <c r="AB31" s="147">
        <v>0</v>
      </c>
      <c r="AC31" s="147">
        <v>0.9</v>
      </c>
      <c r="AD31" s="146">
        <f>(((Input!G31*Constants!$B$25*0.000000001*Input!U31*(Constants!$B$10/Constants!$B$9))-((AB31*0.000000000000001)+(Input!G31*AC31*0.000000000000001)))/Input!F31)*1000000000000</f>
        <v>223.28917020968379</v>
      </c>
      <c r="AE31" s="146">
        <f>AD31*Input!V31/100</f>
        <v>0.55026328584039563</v>
      </c>
      <c r="AF31" s="146">
        <f>(AD31/Constants!$B$10)*602200000000*Constants!$B$16/(365.2425*24*60)</f>
        <v>10.192183435077231</v>
      </c>
      <c r="AG31" s="146">
        <f>AF31*Input!V31/100</f>
        <v>2.5117135513589805E-2</v>
      </c>
      <c r="AH31" s="142">
        <f t="shared" ref="AH31" si="126">AF31/Z31</f>
        <v>48124.00822475458</v>
      </c>
      <c r="AI31" s="151">
        <f t="shared" ref="AI31" si="127">AH31*SQRT((AG31/AF31)^2+(AA31/Z31)^2)</f>
        <v>300.38377808753415</v>
      </c>
      <c r="AJ31" s="148">
        <f t="shared" si="120"/>
        <v>1.6695615003581299</v>
      </c>
      <c r="AK31" s="151">
        <f t="shared" ref="AK31" si="128">V31*1000</f>
        <v>1.4399738891588432</v>
      </c>
      <c r="AL31" s="151">
        <f t="shared" ref="AL31" si="129">AF31/Q31</f>
        <v>0.997144677381122</v>
      </c>
      <c r="AM31" s="151">
        <f t="shared" ref="AM31" si="130">AL31*SQRT((R31/Q31)^2+(AG31/AF31)^2)</f>
        <v>2.4604581674559879E-3</v>
      </c>
      <c r="AN31" s="142">
        <f>AF31/Q31</f>
        <v>0.997144677381122</v>
      </c>
      <c r="AO31" s="146">
        <f t="shared" ref="AO31" si="131">AN31*SQRT((R31/Q31)^2+(AG31/AF31)^2)</f>
        <v>2.4604581674559879E-3</v>
      </c>
      <c r="AP31" s="142">
        <f t="shared" ref="AP31" si="132">ThU_Alter_Kombi(AN31,U31)</f>
        <v>573.40269999999998</v>
      </c>
      <c r="AQ31" s="142" t="e">
        <f t="shared" si="121"/>
        <v>#VALUE!</v>
      </c>
      <c r="AR31" s="142" t="e">
        <f>(AQ31/AP31)*100</f>
        <v>#VALUE!</v>
      </c>
      <c r="AS31" s="150">
        <f t="shared" si="75"/>
        <v>2.0720316410971756E-5</v>
      </c>
      <c r="AT31" s="150">
        <f t="shared" si="76"/>
        <v>1.188548845514145E-7</v>
      </c>
      <c r="AU31" s="142">
        <v>0.75</v>
      </c>
      <c r="AV31" s="142">
        <f t="shared" ref="AV31" si="133">AU31/2</f>
        <v>0.375</v>
      </c>
      <c r="AW31" s="142">
        <f t="shared" si="77"/>
        <v>573.40099999999995</v>
      </c>
      <c r="AX31" s="152">
        <f t="shared" si="78"/>
        <v>162.22076914479999</v>
      </c>
      <c r="AY31" s="152">
        <f t="shared" si="79"/>
        <v>65.85912080831551</v>
      </c>
      <c r="AZ31" s="153">
        <f t="shared" si="80"/>
        <v>0.28290981205962318</v>
      </c>
      <c r="BA31" s="142" t="str">
        <f>Input!B31</f>
        <v>Hu1-13</v>
      </c>
      <c r="BB31" s="154">
        <f>Input!E31</f>
        <v>0</v>
      </c>
      <c r="BC31" s="142">
        <f>((U31-1)*EXP(Constants!$B$17*AW31*1000))*1000</f>
        <v>8.4210375352276081</v>
      </c>
      <c r="BD31" s="148">
        <f>SQRT((EXP(Constants!$B$17*AW31*1000)*V31)^2+((U31-1)*Constants!$B$17*EXP(Constants!$B$17*AW31*1000)*AY31*1000)^2)*1000</f>
        <v>7.4297508296318222</v>
      </c>
      <c r="BE31" s="142">
        <f t="shared" si="122"/>
        <v>573343</v>
      </c>
      <c r="BF31" s="155">
        <f t="shared" si="123"/>
        <v>32929.560404157754</v>
      </c>
      <c r="BG31" s="164">
        <f t="shared" si="124"/>
        <v>11.48570037518517</v>
      </c>
      <c r="BH31" s="142"/>
      <c r="BI31" s="21"/>
      <c r="BJ31" s="21"/>
      <c r="BK31" s="21"/>
      <c r="BL31" s="21"/>
      <c r="BM31" s="21"/>
      <c r="BN31" s="163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</row>
    <row r="33" spans="1:110" ht="15" customHeight="1" x14ac:dyDescent="0.2">
      <c r="A33" s="142">
        <f>Input!A33</f>
        <v>10815</v>
      </c>
      <c r="B33" s="142" t="str">
        <f>Input!B33</f>
        <v>Hu1-13</v>
      </c>
      <c r="C33" s="142">
        <f>Input!O33</f>
        <v>2.1031024018513023</v>
      </c>
      <c r="D33" s="142">
        <f>C33*Input!P33/100</f>
        <v>2.628887143679888E-2</v>
      </c>
      <c r="E33" s="143">
        <f>Input!M33</f>
        <v>2.7314993472187838</v>
      </c>
      <c r="F33" s="144">
        <f>E33*Input!N33/100</f>
        <v>3.4889759170445331E-4</v>
      </c>
      <c r="G33" s="145">
        <f>E33*137.88</f>
        <v>376.61912999452591</v>
      </c>
      <c r="H33" s="144">
        <f>G33*Input!L33/100</f>
        <v>2.5576901929822794E-2</v>
      </c>
      <c r="I33" s="142">
        <v>0</v>
      </c>
      <c r="J33" s="146">
        <f>(((C33*Constants!$B$24*0.000000001*Input!G33*(Constants!$B$4/Constants!$B$3))-(I33*0.000000000000001))/Input!F33)*1000000000000</f>
        <v>759.29892318847726</v>
      </c>
      <c r="K33" s="142">
        <f>J33*Input!P33/100</f>
        <v>9.4912695436182748</v>
      </c>
      <c r="L33" s="147">
        <f>(J33/Constants!$B$4)*602200000000*Constants!$B$17/(365.2425*24*60)</f>
        <v>10.482964695479106</v>
      </c>
      <c r="M33" s="148">
        <f>L33*Input!P33/100</f>
        <v>0.13103751434707209</v>
      </c>
      <c r="N33" s="142">
        <v>0</v>
      </c>
      <c r="O33" s="146">
        <f>(((G33*Constants!$B$23*0.000000001*Input!G33*(Constants!$B$7/Constants!$B$6))-(N33*0.000000001))/Input!F33)*1000000</f>
        <v>13.697340155487494</v>
      </c>
      <c r="P33" s="142">
        <f>O33*Input!N33/100</f>
        <v>1.7495772048681764E-3</v>
      </c>
      <c r="Q33" s="149">
        <f>(O33/Constants!$B$7)*602200000000000000*Constants!$B$18/(365.2425*24*60)</f>
        <v>10.219869825785459</v>
      </c>
      <c r="R33" s="150">
        <f>Q33*Input!N33/100</f>
        <v>1.305395871091877E-3</v>
      </c>
      <c r="S33" s="148">
        <f>Input!S33*Constants!$B$17/Constants!$B$18</f>
        <v>1.0015633732497362</v>
      </c>
      <c r="T33" s="142">
        <f>S33*Input!T33/100</f>
        <v>2.6478512883644062E-3</v>
      </c>
      <c r="U33" s="148">
        <f>S33</f>
        <v>1.0015633732497362</v>
      </c>
      <c r="V33" s="142">
        <f>U33*Input!T33/100</f>
        <v>2.6478512883644062E-3</v>
      </c>
      <c r="W33" s="151">
        <v>0</v>
      </c>
      <c r="X33" s="146">
        <f>(((Constants!$B$25*0.000000001*Input!G33/Input!W33*(Constants!$B$11/Constants!$B$9))-(W33*0.000000001))/Input!F33)*1000000000</f>
        <v>0.87967045869213656</v>
      </c>
      <c r="Y33" s="146">
        <f>X33*Input!X33/100</f>
        <v>5.9274848973045078E-3</v>
      </c>
      <c r="Z33" s="146">
        <f>(X33/Constants!$B$11)*6.022E+23*0.000000001*Constants!$B$19/(365.2425*24*60)</f>
        <v>2.1475599759617604E-4</v>
      </c>
      <c r="AA33" s="146">
        <f>Z33*Input!X33/100</f>
        <v>1.4470906914954195E-6</v>
      </c>
      <c r="AB33" s="147">
        <v>0</v>
      </c>
      <c r="AC33" s="147">
        <v>0.9</v>
      </c>
      <c r="AD33" s="146">
        <f>(((Input!G33*Constants!$B$25*0.000000001*Input!U33*(Constants!$B$10/Constants!$B$9))-((AB33*0.000000000000001)+(Input!G33*AC33*0.000000000000001)))/Input!F33)*1000000000000</f>
        <v>223.3754894507513</v>
      </c>
      <c r="AE33" s="146">
        <f>AD33*Input!V33/100</f>
        <v>0.87831509163594701</v>
      </c>
      <c r="AF33" s="146">
        <f>(AD33/Constants!$B$10)*602200000000*Constants!$B$16/(365.2425*24*60)</f>
        <v>10.196123534537094</v>
      </c>
      <c r="AG33" s="146">
        <f>AF33*Input!V33/100</f>
        <v>4.0091279480073967E-2</v>
      </c>
      <c r="AH33" s="142">
        <f>AF33/Z33</f>
        <v>47477.712607168869</v>
      </c>
      <c r="AI33" s="151">
        <f>AH33*SQRT((AG33/AF33)^2+(AA33/Z33)^2)</f>
        <v>370.4035356729043</v>
      </c>
      <c r="AJ33" s="148">
        <f t="shared" ref="AJ33:AJ43" si="134">(U33-1)*1000</f>
        <v>1.5633732497362107</v>
      </c>
      <c r="AK33" s="151">
        <f>V33*1000</f>
        <v>2.6478512883644063</v>
      </c>
      <c r="AL33" s="151">
        <f>AF33/Q33</f>
        <v>0.9976764585407486</v>
      </c>
      <c r="AM33" s="151">
        <f>AL33*SQRT((R33/Q33)^2+(AG33/AF33)^2)</f>
        <v>3.9249450504157896E-3</v>
      </c>
      <c r="AN33" s="142">
        <f>AF33/Q33</f>
        <v>0.9976764585407486</v>
      </c>
      <c r="AO33" s="146">
        <f>AN33*SQRT((R33/Q33)^2+(AG33/AF33)^2)</f>
        <v>3.9249450504157896E-3</v>
      </c>
      <c r="AP33" s="142">
        <f t="shared" ref="AP33" si="135">ThU_Alter_Kombi(AN33,U33)</f>
        <v>588.56569999999999</v>
      </c>
      <c r="AQ33" s="142" t="e">
        <f t="shared" ref="AQ33:AQ43" si="136">Montealter(AN33,AO33,U33,V33)</f>
        <v>#VALUE!</v>
      </c>
      <c r="AR33" s="142" t="e">
        <f>(AQ33/AP33)*100</f>
        <v>#VALUE!</v>
      </c>
      <c r="AS33" s="150">
        <f t="shared" ref="AS33:AS43" si="137">Z33/Q33</f>
        <v>2.1013574659662629E-5</v>
      </c>
      <c r="AT33" s="150">
        <f t="shared" ref="AT33:AT43" si="138">AS33*SQRT((Y33/X33)^2+(P33/O33)^2)</f>
        <v>1.4162124214755835E-7</v>
      </c>
      <c r="AU33" s="142">
        <v>0.75</v>
      </c>
      <c r="AV33" s="142">
        <f>AU33/2</f>
        <v>0.375</v>
      </c>
      <c r="AW33" s="142">
        <f t="shared" ref="AW33:AW43" si="139">marincorr_age(AN33,U33,AS33,AU33)</f>
        <v>588.56399999999996</v>
      </c>
      <c r="AX33" s="152">
        <f t="shared" ref="AX33:AX43" si="140">marincorr_age_error(AN33, AO33, U33, V33, AS33, AT33, AU33, AV33)</f>
        <v>254.86317091980001</v>
      </c>
      <c r="AY33" s="152">
        <f t="shared" ref="AY33:AY43" si="141">SQRT(((AU33*EXP(-0.0000091577*AW33*1000))/(0.0000091577*(EXP(-0.0000091577*AW33*1000)+(AJ33/1000)*EXP(-(0.0000091577-0.0000028263)*AW33*1000)-AS33*AU33*EXP(-0.0000091577*AW33*1000))))^2*AT33^2+((AS33*EXP(-0.0000091577*AW33*1000))/(0.0000091577*(EXP(-0.0000091577*AW33*1000)+(AJ33/1000)*EXP(-(0.0000091577-0.0000028263)*AW33*1000)-AS33*AU33*EXP(-0.0000091577*AW33*1000))))^2*AV33^2+((0.0000091577/(0.0000091577-0.0000028263))*(EXP(-(0.0000091577-0.0000028263)*AW33*1000)-1)/(0.0000091577*(EXP(-0.0000091577*AW33*1000)+(AJ33/1000)*EXP(-(0.0000091577-0.0000028263)*AW33*1000)-AS33*AU33*EXP(-0.0000091577*AW33*1000))))^2*T33^2+(1/(0.0000091577*(EXP(-0.0000091577*AW33*1000)+(AJ33/1000)*EXP(-(0.0000091577-0.0000028263)*AW33*1000)-AS33*AU33*EXP(-0.0000091577*AW33*1000))))^2*AO33^2)/1000</f>
        <v>128.6593380864345</v>
      </c>
      <c r="AZ33" s="153">
        <f t="shared" ref="AZ33:AZ43" si="142">AX33/AW33</f>
        <v>0.43302541596122091</v>
      </c>
      <c r="BA33" s="142" t="str">
        <f>Input!B33</f>
        <v>Hu1-13</v>
      </c>
      <c r="BB33" s="154">
        <f>Input!E33</f>
        <v>0</v>
      </c>
      <c r="BC33" s="142">
        <f>((U33-1)*EXP(Constants!$B$17*AW33*1000))*1000</f>
        <v>8.2301870987942216</v>
      </c>
      <c r="BD33" s="148">
        <f>SQRT((EXP(Constants!$B$17*AW33*1000)*V33)^2+((U33-1)*Constants!$B$17*EXP(Constants!$B$17*AW33*1000)*AY33*1000)^2)*1000</f>
        <v>14.255996253073798</v>
      </c>
      <c r="BE33" s="142">
        <f t="shared" ref="BE33:BE43" si="143">AW33*1000-58</f>
        <v>588506</v>
      </c>
      <c r="BF33" s="155">
        <f t="shared" ref="BF33:BF43" si="144">AY33/2*1000</f>
        <v>64329.669043217255</v>
      </c>
      <c r="BG33" s="164">
        <f t="shared" ref="BG33:BG43" si="145">AY33/AW33*100</f>
        <v>21.859872178120732</v>
      </c>
      <c r="BH33" s="142"/>
      <c r="BI33" s="21"/>
      <c r="BJ33" s="21"/>
      <c r="BK33" s="21"/>
      <c r="BL33" s="21"/>
      <c r="BM33" s="21"/>
      <c r="BN33" s="163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</row>
    <row r="34" spans="1:110" ht="15" customHeight="1" x14ac:dyDescent="0.2">
      <c r="A34" s="21">
        <f>Input!A34</f>
        <v>10903</v>
      </c>
      <c r="B34" s="21" t="str">
        <f>Input!B34</f>
        <v>M43_401_14_44</v>
      </c>
      <c r="C34" s="21">
        <f>Input!O34</f>
        <v>2.4883386951097366</v>
      </c>
      <c r="D34" s="21">
        <f>C34*Input!P34/100</f>
        <v>1.0953628129592559E-2</v>
      </c>
      <c r="E34" s="156">
        <f>Input!M34</f>
        <v>1.623172941423183</v>
      </c>
      <c r="F34" s="157">
        <f>E34*Input!N34/100</f>
        <v>1.2514589936706068E-4</v>
      </c>
      <c r="G34" s="24">
        <f>E34*137.88</f>
        <v>223.80308516342848</v>
      </c>
      <c r="H34" s="157">
        <f>G34*Input!L34/100</f>
        <v>1.5131631217246234E-2</v>
      </c>
      <c r="I34" s="21">
        <v>0.3</v>
      </c>
      <c r="J34" s="133">
        <f>(((C34*Constants!$B$24*0.000000001*Input!G34*(Constants!$B$4/Constants!$B$3))-(I34*0.000000000000001))/Input!F34)*1000000000000</f>
        <v>49.53351774979884</v>
      </c>
      <c r="K34" s="21">
        <f>J34*Input!P34/100</f>
        <v>0.218045772646694</v>
      </c>
      <c r="L34" s="138">
        <f>(J34/Constants!$B$4)*602200000000*Constants!$B$17/(365.2425*24*60)</f>
        <v>0.68386521033579251</v>
      </c>
      <c r="M34" s="136">
        <f>L34*Input!P34/100</f>
        <v>3.0103639908447112E-3</v>
      </c>
      <c r="N34" s="21">
        <v>5.0000000000000001E-3</v>
      </c>
      <c r="O34" s="133">
        <f>(((G34*Constants!$B$23*0.000000001*Input!G34*(Constants!$B$7/Constants!$B$6))-(N34*0.000000001))/Input!F34)*1000000</f>
        <v>0.44877246831528456</v>
      </c>
      <c r="P34" s="21">
        <f>O34*Input!N34/100</f>
        <v>3.4600154256668224E-5</v>
      </c>
      <c r="Q34" s="134">
        <f>(O34/Constants!$B$7)*602200000000000000*Constants!$B$18/(365.2425*24*60)</f>
        <v>0.33483845443826654</v>
      </c>
      <c r="R34" s="135">
        <f>Q34*Input!N34/100</f>
        <v>2.5815893337041889E-5</v>
      </c>
      <c r="S34" s="136">
        <f>Input!S34*Constants!$B$17/Constants!$B$18</f>
        <v>2.0170405530919862</v>
      </c>
      <c r="T34" s="21">
        <f>S34*Input!T34/100</f>
        <v>1.1896172004706115E-3</v>
      </c>
      <c r="U34" s="21">
        <f>S34*1/((U33+U35)/2)</f>
        <v>2.0147661415502767</v>
      </c>
      <c r="V34" s="21">
        <f>U34*Input!T34/100</f>
        <v>1.1882757901123422E-3</v>
      </c>
      <c r="W34" s="137">
        <v>3.0000000000000001E-3</v>
      </c>
      <c r="X34" s="133">
        <f>IF((((Constants!$B$25*0.000000001*Input!G34/Input!W34*(Constants!$B$11/Constants!$B$9))-(W34*0.000000001))/Input!F34)*1000000000&lt;0, "n.d.", (((Constants!$B$25*0.000000001*Input!G34/Input!W34*(Constants!$B$11/Constants!$B$9))-(W34*0.000000001))/Input!F34)*1000000000)</f>
        <v>0.84731535147371984</v>
      </c>
      <c r="Y34" s="133">
        <f>X34*Input!X34/100</f>
        <v>1.5782464281843343E-3</v>
      </c>
      <c r="Z34" s="133">
        <f>(X34/Constants!$B$11)*6.022E+23*0.000000001*Constants!$B$19/(365.2425*24*60)</f>
        <v>2.0685706992461025E-4</v>
      </c>
      <c r="AA34" s="133">
        <f>Z34*Input!X34/100</f>
        <v>3.8530097582366175E-7</v>
      </c>
      <c r="AB34" s="138">
        <v>0.05</v>
      </c>
      <c r="AC34" s="138">
        <v>0.9</v>
      </c>
      <c r="AD34" s="133">
        <f>(((Input!G34*Constants!$B$25*0.000000001*Input!U34*(Constants!$B$10/Constants!$B$9))-((AB34*0.000000000000001)+(Input!G34*AC34*0.000000000000001)))/Input!F34)*1000000000000</f>
        <v>14.371918438687718</v>
      </c>
      <c r="AE34" s="133">
        <f>AD34*Input!V34/100</f>
        <v>3.0962450413521032E-2</v>
      </c>
      <c r="AF34" s="133">
        <f>(AD34/Constants!$B$10)*602200000000*Constants!$B$16/(365.2425*24*60)</f>
        <v>0.65601582424941662</v>
      </c>
      <c r="AG34" s="133">
        <f>AF34*Input!V34/100</f>
        <v>1.4133017464203158E-3</v>
      </c>
      <c r="AH34" s="21">
        <f>AF34/Z34</f>
        <v>3171.3483348115865</v>
      </c>
      <c r="AI34" s="137">
        <f>AH34*SQRT((AG34/AF34)^2+(AA34/Z34)^2)</f>
        <v>9.0318068742443014</v>
      </c>
      <c r="AJ34" s="136">
        <f t="shared" si="134"/>
        <v>1014.7661415502766</v>
      </c>
      <c r="AK34" s="137">
        <f>V34*1000</f>
        <v>1.1882757901123422</v>
      </c>
      <c r="AL34" s="137">
        <f>AF34/Q34</f>
        <v>1.9592009685684559</v>
      </c>
      <c r="AM34" s="137">
        <f>AL34*SQRT((R34/Q34)^2+(AG34/AF34)^2)</f>
        <v>4.2235486315761678E-3</v>
      </c>
      <c r="AN34" s="21">
        <f>AL34*1/((AN33+AN35)/2)</f>
        <v>1.9632165600073976</v>
      </c>
      <c r="AO34" s="133">
        <f>AN34*SQRT((R34/Q34)^2+(AG34/AF34)^2)</f>
        <v>4.232205245164565E-3</v>
      </c>
      <c r="AP34" s="21">
        <f>ThU_Alter_Kombi(AN34,U34)</f>
        <v>218.03559999999999</v>
      </c>
      <c r="AQ34" s="21">
        <f t="shared" si="136"/>
        <v>1.2941</v>
      </c>
      <c r="AR34" s="158">
        <f>(AQ34/AP34)</f>
        <v>5.9352692863000357E-3</v>
      </c>
      <c r="AS34" s="135">
        <f t="shared" si="137"/>
        <v>6.1778170094482993E-4</v>
      </c>
      <c r="AT34" s="135">
        <f t="shared" si="138"/>
        <v>1.1516924227523871E-6</v>
      </c>
      <c r="AU34" s="21">
        <v>0.75</v>
      </c>
      <c r="AV34" s="21">
        <f>AU34/2</f>
        <v>0.375</v>
      </c>
      <c r="AW34" s="21">
        <f t="shared" si="139"/>
        <v>218.018</v>
      </c>
      <c r="AX34" s="139">
        <f t="shared" si="140"/>
        <v>1.2307000946</v>
      </c>
      <c r="AY34" s="139">
        <f t="shared" si="141"/>
        <v>1.2356928103149962</v>
      </c>
      <c r="AZ34" s="158">
        <f t="shared" si="142"/>
        <v>5.6449471814253869E-3</v>
      </c>
      <c r="BA34" s="21" t="str">
        <f>Input!B34</f>
        <v>M43_401_14_44</v>
      </c>
      <c r="BB34" s="140">
        <f>Input!E34</f>
        <v>44</v>
      </c>
      <c r="BC34" s="21">
        <f>((U34-1)*EXP(Constants!$B$17*AW34*1000))*1000</f>
        <v>1877.4567353084487</v>
      </c>
      <c r="BD34" s="136">
        <f>SQRT((EXP(Constants!$B$17*AW34*1000)*V34)^2+((U34-1)*Constants!$B$17*EXP(Constants!$B$17*AW34*1000)*AY34*1000)^2)*1000</f>
        <v>6.9063271678151548</v>
      </c>
      <c r="BE34" s="21">
        <f t="shared" si="143"/>
        <v>217960</v>
      </c>
      <c r="BF34" s="141">
        <f t="shared" si="144"/>
        <v>617.84640515749811</v>
      </c>
      <c r="BG34" s="23">
        <f t="shared" si="145"/>
        <v>0.56678476562256153</v>
      </c>
      <c r="BH34" s="21"/>
      <c r="BI34" s="21"/>
      <c r="BJ34" s="21"/>
      <c r="BK34" s="21"/>
      <c r="BL34" s="21"/>
      <c r="BM34" s="21"/>
      <c r="BN34" s="163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</row>
    <row r="35" spans="1:110" ht="15" customHeight="1" x14ac:dyDescent="0.2">
      <c r="A35" s="142">
        <f>Input!A35</f>
        <v>10815</v>
      </c>
      <c r="B35" s="142" t="str">
        <f>Input!B35</f>
        <v>Hu1-13</v>
      </c>
      <c r="C35" s="142">
        <f>Input!O35</f>
        <v>2.1336746937140298</v>
      </c>
      <c r="D35" s="142">
        <f>C35*Input!P35/100</f>
        <v>2.7301589517888032E-2</v>
      </c>
      <c r="E35" s="143">
        <f>Input!M35</f>
        <v>2.7315917722475391</v>
      </c>
      <c r="F35" s="144">
        <f>E35*Input!N35/100</f>
        <v>3.327123070929113E-4</v>
      </c>
      <c r="G35" s="145">
        <f t="shared" ref="G35" si="146">E35*137.88</f>
        <v>376.63187355749068</v>
      </c>
      <c r="H35" s="144">
        <f>G35*Input!L35/100</f>
        <v>3.7413147414941512E-2</v>
      </c>
      <c r="I35" s="142">
        <v>0</v>
      </c>
      <c r="J35" s="146">
        <f>(((C35*Constants!$B$24*0.000000001*Input!G35*(Constants!$B$4/Constants!$B$3))-(I35*0.000000000000001))/Input!F35)*1000000000000</f>
        <v>770.33666831697826</v>
      </c>
      <c r="K35" s="142">
        <f>J35*Input!P35/100</f>
        <v>9.8568987910517833</v>
      </c>
      <c r="L35" s="147">
        <f>(J35/Constants!$B$4)*602200000000*Constants!$B$17/(365.2425*24*60)</f>
        <v>10.635353022350275</v>
      </c>
      <c r="M35" s="148">
        <f>L35*Input!P35/100</f>
        <v>0.13608543207147089</v>
      </c>
      <c r="N35" s="142">
        <v>0</v>
      </c>
      <c r="O35" s="146">
        <f>(((G35*Constants!$B$23*0.000000001*Input!G35*(Constants!$B$7/Constants!$B$6))-(N35*0.000000001))/Input!F35)*1000000</f>
        <v>13.697803628802628</v>
      </c>
      <c r="P35" s="142">
        <f>O35*Input!N35/100</f>
        <v>1.6684146927616302E-3</v>
      </c>
      <c r="Q35" s="149">
        <f>(O35/Constants!$B$7)*602200000000000000*Constants!$B$18/(365.2425*24*60)</f>
        <v>10.220215632846877</v>
      </c>
      <c r="R35" s="150">
        <f>Q35*Input!N35/100</f>
        <v>1.2448388359998972E-3</v>
      </c>
      <c r="S35" s="148">
        <f>Input!S35*Constants!$B$17/Constants!$B$18</f>
        <v>1.0006943692195303</v>
      </c>
      <c r="T35" s="142">
        <f>S35*Input!T35/100</f>
        <v>1.8368448552095696E-3</v>
      </c>
      <c r="U35" s="148">
        <f>S35</f>
        <v>1.0006943692195303</v>
      </c>
      <c r="V35" s="142">
        <f>U35*Input!T35/100</f>
        <v>1.8368448552095696E-3</v>
      </c>
      <c r="W35" s="151">
        <v>0</v>
      </c>
      <c r="X35" s="146">
        <f>(((Constants!$B$25*0.000000001*Input!G35/Input!W35*(Constants!$B$11/Constants!$B$9))-(W35*0.000000001))/Input!F35)*1000000000</f>
        <v>0.90351290826346686</v>
      </c>
      <c r="Y35" s="146">
        <f>X35*Input!X35/100</f>
        <v>5.4191836658182765E-3</v>
      </c>
      <c r="Z35" s="146">
        <f>(X35/Constants!$B$11)*6.022E+23*0.000000001*Constants!$B$19/(365.2425*24*60)</f>
        <v>2.2057671033267091E-4</v>
      </c>
      <c r="AA35" s="146">
        <f>Z35*Input!X35/100</f>
        <v>1.3229979281559678E-6</v>
      </c>
      <c r="AB35" s="147">
        <v>0</v>
      </c>
      <c r="AC35" s="147">
        <v>0.9</v>
      </c>
      <c r="AD35" s="146">
        <f>(((Input!G35*Constants!$B$25*0.000000001*Input!U35*(Constants!$B$10/Constants!$B$9))-((AB35*0.000000000000001)+(Input!G35*AC35*0.000000000000001)))/Input!F35)*1000000000000</f>
        <v>223.50759487565233</v>
      </c>
      <c r="AE35" s="146">
        <f>AD35*Input!V35/100</f>
        <v>0.69881121113632205</v>
      </c>
      <c r="AF35" s="146">
        <f>(AD35/Constants!$B$10)*602200000000*Constants!$B$16/(365.2425*24*60)</f>
        <v>10.202153574964473</v>
      </c>
      <c r="AG35" s="146">
        <f>AF35*Input!V35/100</f>
        <v>3.1897704862718805E-2</v>
      </c>
      <c r="AH35" s="142">
        <f t="shared" ref="AH35" si="147">AF35/Z35</f>
        <v>46252.179387287622</v>
      </c>
      <c r="AI35" s="151">
        <f t="shared" ref="AI35" si="148">AH35*SQRT((AG35/AF35)^2+(AA35/Z35)^2)</f>
        <v>312.84485241449477</v>
      </c>
      <c r="AJ35" s="148">
        <f t="shared" si="134"/>
        <v>0.69436921953025532</v>
      </c>
      <c r="AK35" s="151">
        <f t="shared" ref="AK35" si="149">V35*1000</f>
        <v>1.8368448552095695</v>
      </c>
      <c r="AL35" s="151">
        <f t="shared" ref="AL35" si="150">AF35/Q35</f>
        <v>0.99823271264215274</v>
      </c>
      <c r="AM35" s="151">
        <f t="shared" ref="AM35" si="151">AL35*SQRT((R35/Q35)^2+(AG35/AF35)^2)</f>
        <v>3.1234077218035318E-3</v>
      </c>
      <c r="AN35" s="142">
        <f>AF35/Q35</f>
        <v>0.99823271264215274</v>
      </c>
      <c r="AO35" s="146">
        <f t="shared" ref="AO35" si="152">AN35*SQRT((R35/Q35)^2+(AG35/AF35)^2)</f>
        <v>3.1234077218035318E-3</v>
      </c>
      <c r="AP35" s="142">
        <f t="shared" ref="AP35" si="153">ThU_Alter_Kombi(AN35,U35)</f>
        <v>642.81309999999996</v>
      </c>
      <c r="AQ35" s="142" t="e">
        <f t="shared" si="136"/>
        <v>#VALUE!</v>
      </c>
      <c r="AR35" s="142" t="e">
        <f>(AQ35/AP35)*100</f>
        <v>#VALUE!</v>
      </c>
      <c r="AS35" s="150">
        <f t="shared" si="137"/>
        <v>2.1582392999982967E-5</v>
      </c>
      <c r="AT35" s="150">
        <f t="shared" si="138"/>
        <v>1.2947580975807851E-7</v>
      </c>
      <c r="AU35" s="142">
        <v>0.75</v>
      </c>
      <c r="AV35" s="142">
        <f t="shared" ref="AV35" si="154">AU35/2</f>
        <v>0.375</v>
      </c>
      <c r="AW35" s="142">
        <f t="shared" si="139"/>
        <v>642.81129999999996</v>
      </c>
      <c r="AX35" s="152">
        <f t="shared" si="140"/>
        <v>294.80431387879997</v>
      </c>
      <c r="AY35" s="152">
        <f t="shared" si="141"/>
        <v>159.45884207732169</v>
      </c>
      <c r="AZ35" s="153">
        <f t="shared" si="142"/>
        <v>0.45861719275750129</v>
      </c>
      <c r="BA35" s="142" t="str">
        <f>Input!B35</f>
        <v>Hu1-13</v>
      </c>
      <c r="BB35" s="154">
        <f>Input!E35</f>
        <v>0</v>
      </c>
      <c r="BC35" s="142">
        <f>((U35-1)*EXP(Constants!$B$17*AW35*1000))*1000</f>
        <v>4.2601339947198795</v>
      </c>
      <c r="BD35" s="148">
        <f>SQRT((EXP(Constants!$B$17*AW35*1000)*V35)^2+((U35-1)*Constants!$B$17*EXP(Constants!$B$17*AW35*1000)*AY35*1000)^2)*1000</f>
        <v>11.431410957092959</v>
      </c>
      <c r="BE35" s="142">
        <f t="shared" si="143"/>
        <v>642753.29999999993</v>
      </c>
      <c r="BF35" s="155">
        <f t="shared" si="144"/>
        <v>79729.421038660847</v>
      </c>
      <c r="BG35" s="164">
        <f t="shared" si="145"/>
        <v>24.80647774507413</v>
      </c>
      <c r="BH35" s="142"/>
      <c r="BI35" s="21"/>
      <c r="BJ35" s="21"/>
      <c r="BK35" s="21"/>
      <c r="BL35" s="21"/>
      <c r="BM35" s="21"/>
      <c r="BN35" s="163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</row>
    <row r="36" spans="1:110" ht="15" customHeight="1" x14ac:dyDescent="0.2">
      <c r="A36" s="21">
        <f>Input!A36</f>
        <v>10904</v>
      </c>
      <c r="B36" s="21" t="str">
        <f>Input!B36</f>
        <v>M43_401_14_119</v>
      </c>
      <c r="C36" s="21">
        <f>Input!O36</f>
        <v>2.1802064018628582</v>
      </c>
      <c r="D36" s="21">
        <f>C36*Input!P36/100</f>
        <v>1.0502272065383645E-2</v>
      </c>
      <c r="E36" s="156">
        <f>Input!M36</f>
        <v>1.232444690852716</v>
      </c>
      <c r="F36" s="157">
        <f>E36*Input!N36/100</f>
        <v>1.0798501710507165E-4</v>
      </c>
      <c r="G36" s="24">
        <f>E36*137.88</f>
        <v>169.92947397477249</v>
      </c>
      <c r="H36" s="157">
        <f>G36*Input!L36/100</f>
        <v>1.0700436153928914E-2</v>
      </c>
      <c r="I36" s="21">
        <v>0.3</v>
      </c>
      <c r="J36" s="133">
        <f>(((C36*Constants!$B$24*0.000000001*Input!G36*(Constants!$B$4/Constants!$B$3))-(I36*0.000000000000001))/Input!F36)*1000000000000</f>
        <v>43.412176978614617</v>
      </c>
      <c r="K36" s="21">
        <f>J36*Input!P36/100</f>
        <v>0.20912079388008073</v>
      </c>
      <c r="L36" s="138">
        <f>(J36/Constants!$B$4)*602200000000*Constants!$B$17/(365.2425*24*60)</f>
        <v>0.59935330437409751</v>
      </c>
      <c r="M36" s="136">
        <f>L36*Input!P36/100</f>
        <v>2.8871447494352481E-3</v>
      </c>
      <c r="N36" s="21">
        <v>5.0000000000000001E-3</v>
      </c>
      <c r="O36" s="133">
        <f>(((G36*Constants!$B$23*0.000000001*Input!G36*(Constants!$B$7/Constants!$B$6))-(N36*0.000000001))/Input!F36)*1000000</f>
        <v>0.34083764230772823</v>
      </c>
      <c r="P36" s="21">
        <f>O36*Input!N36/100</f>
        <v>2.9863700097719657E-5</v>
      </c>
      <c r="Q36" s="134">
        <f>(O36/Constants!$B$7)*602200000000000000*Constants!$B$18/(365.2425*24*60)</f>
        <v>0.25430604019256298</v>
      </c>
      <c r="R36" s="135">
        <f>Q36*Input!N36/100</f>
        <v>2.2281926567525555E-5</v>
      </c>
      <c r="S36" s="136">
        <f>Input!S36*Constants!$B$17/Constants!$B$18</f>
        <v>2.3248047960075153</v>
      </c>
      <c r="T36" s="21">
        <f>S36*Input!T36/100</f>
        <v>2.5662412099568461E-3</v>
      </c>
      <c r="U36" s="21">
        <f>S36*1/((U35+U37)/2)</f>
        <v>2.3255390637490696</v>
      </c>
      <c r="V36" s="21">
        <f>U36*Input!T36/100</f>
        <v>2.5670517331202337E-3</v>
      </c>
      <c r="W36" s="137">
        <v>3.0000000000000001E-3</v>
      </c>
      <c r="X36" s="133">
        <f>IF((((Constants!$B$25*0.000000001*Input!G36/Input!W36*(Constants!$B$11/Constants!$B$9))-(W36*0.000000001))/Input!F36)*1000000000&lt;0, "n.d.", (((Constants!$B$25*0.000000001*Input!G36/Input!W36*(Constants!$B$11/Constants!$B$9))-(W36*0.000000001))/Input!F36)*1000000000)</f>
        <v>0.14467839189837425</v>
      </c>
      <c r="Y36" s="133">
        <f>X36*Input!X36/100</f>
        <v>5.4494376426895356E-4</v>
      </c>
      <c r="Z36" s="133">
        <f>(X36/Constants!$B$11)*6.022E+23*0.000000001*Constants!$B$19/(365.2425*24*60)</f>
        <v>3.5320672731173103E-5</v>
      </c>
      <c r="AA36" s="133">
        <f>Z36*Input!X36/100</f>
        <v>1.3303839019829151E-7</v>
      </c>
      <c r="AB36" s="138">
        <v>0.05</v>
      </c>
      <c r="AC36" s="138">
        <v>0.9</v>
      </c>
      <c r="AD36" s="133">
        <f>(((Input!G36*Constants!$B$25*0.000000001*Input!U36*(Constants!$B$10/Constants!$B$9))-((AB36*0.000000000000001)+(Input!G36*AC36*0.000000000000001)))/Input!F36)*1000000000000</f>
        <v>13.108641903090156</v>
      </c>
      <c r="AE36" s="133">
        <f>AD36*Input!V36/100</f>
        <v>4.0968162259739357E-2</v>
      </c>
      <c r="AF36" s="133">
        <f>(AD36/Constants!$B$10)*602200000000*Constants!$B$16/(365.2425*24*60)</f>
        <v>0.59835272232670256</v>
      </c>
      <c r="AG36" s="133">
        <f>AF36*Input!V36/100</f>
        <v>1.8700191521028942E-3</v>
      </c>
      <c r="AH36" s="21">
        <f>AF36/Z36</f>
        <v>16940.58114013814</v>
      </c>
      <c r="AI36" s="137">
        <f>AH36*SQRT((AG36/AF36)^2+(AA36/Z36)^2)</f>
        <v>82.912933926669055</v>
      </c>
      <c r="AJ36" s="136">
        <f t="shared" si="134"/>
        <v>1325.5390637490696</v>
      </c>
      <c r="AK36" s="137">
        <f>V36*1000</f>
        <v>2.5670517331202336</v>
      </c>
      <c r="AL36" s="137">
        <f>AF36/Q36</f>
        <v>2.35288442961726</v>
      </c>
      <c r="AM36" s="137">
        <f>AL36*SQRT((R36/Q36)^2+(AG36/AF36)^2)</f>
        <v>7.3563093914313735E-3</v>
      </c>
      <c r="AN36" s="21">
        <f>AL36*1/((AN35+AN37)/2)</f>
        <v>2.3603039799600589</v>
      </c>
      <c r="AO36" s="133">
        <f>AN36*SQRT((R36/Q36)^2+(AG36/AF36)^2)</f>
        <v>7.3795066667330794E-3</v>
      </c>
      <c r="AP36" s="21">
        <f>ThU_Alter_Kombi(AN36,U36)</f>
        <v>232.94720000000001</v>
      </c>
      <c r="AQ36" s="21">
        <f t="shared" si="136"/>
        <v>2.0741999999999998</v>
      </c>
      <c r="AR36" s="158">
        <f>(AQ36/AP36)</f>
        <v>8.9041636903126539E-3</v>
      </c>
      <c r="AS36" s="135">
        <f t="shared" si="137"/>
        <v>1.3889042000114489E-4</v>
      </c>
      <c r="AT36" s="135">
        <f t="shared" si="138"/>
        <v>5.2328438720687058E-7</v>
      </c>
      <c r="AU36" s="21">
        <v>0.75</v>
      </c>
      <c r="AV36" s="21">
        <f>AU36/2</f>
        <v>0.375</v>
      </c>
      <c r="AW36" s="21">
        <f t="shared" si="139"/>
        <v>232.94399999999999</v>
      </c>
      <c r="AX36" s="139">
        <f t="shared" si="140"/>
        <v>2.0769693072000002</v>
      </c>
      <c r="AY36" s="139">
        <f t="shared" si="141"/>
        <v>2.049435955285916</v>
      </c>
      <c r="AZ36" s="158">
        <f t="shared" si="142"/>
        <v>8.9161743045538845E-3</v>
      </c>
      <c r="BA36" s="21" t="str">
        <f>Input!B36</f>
        <v>M43_401_14_119</v>
      </c>
      <c r="BB36" s="140">
        <f>Input!E36</f>
        <v>119</v>
      </c>
      <c r="BC36" s="21">
        <f>((U36-1)*EXP(Constants!$B$17*AW36*1000))*1000</f>
        <v>2557.9372242520003</v>
      </c>
      <c r="BD36" s="136">
        <f>SQRT((EXP(Constants!$B$17*AW36*1000)*V36)^2+((U36-1)*Constants!$B$17*EXP(Constants!$B$17*AW36*1000)*AY36*1000)^2)*1000</f>
        <v>15.601497896735792</v>
      </c>
      <c r="BE36" s="21">
        <f t="shared" si="143"/>
        <v>232886</v>
      </c>
      <c r="BF36" s="141">
        <f t="shared" si="144"/>
        <v>1024.717977642958</v>
      </c>
      <c r="BG36" s="23">
        <f t="shared" si="145"/>
        <v>0.87979770042839311</v>
      </c>
      <c r="BH36" s="21"/>
      <c r="BI36" s="21"/>
      <c r="BJ36" s="21"/>
      <c r="BK36" s="21"/>
      <c r="BL36" s="21"/>
      <c r="BM36" s="21"/>
      <c r="BN36" s="163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</row>
    <row r="37" spans="1:110" ht="15" customHeight="1" x14ac:dyDescent="0.2">
      <c r="A37" s="142">
        <f>Input!A37</f>
        <v>10815</v>
      </c>
      <c r="B37" s="142" t="str">
        <f>Input!B37</f>
        <v>Hu1-13</v>
      </c>
      <c r="C37" s="142">
        <f>Input!O37</f>
        <v>2.101187521141064</v>
      </c>
      <c r="D37" s="142">
        <f>C37*Input!P37/100</f>
        <v>2.0833944339264568E-2</v>
      </c>
      <c r="E37" s="143">
        <f>Input!M37</f>
        <v>2.7323086588773227</v>
      </c>
      <c r="F37" s="144">
        <f>E37*Input!N37/100</f>
        <v>4.351292656423443E-4</v>
      </c>
      <c r="G37" s="145">
        <f t="shared" ref="G37" si="155">E37*137.88</f>
        <v>376.73071788600521</v>
      </c>
      <c r="H37" s="144">
        <f>G37*Input!L37/100</f>
        <v>3.4804762324756634E-2</v>
      </c>
      <c r="I37" s="142">
        <v>0</v>
      </c>
      <c r="J37" s="146">
        <f>(((C37*Constants!$B$24*0.000000001*Input!G37*(Constants!$B$4/Constants!$B$3))-(I37*0.000000000000001))/Input!F37)*1000000000000</f>
        <v>758.60757936230959</v>
      </c>
      <c r="K37" s="142">
        <f>J37*Input!P37/100</f>
        <v>7.5218360687749044</v>
      </c>
      <c r="L37" s="147">
        <f>(J37/Constants!$B$4)*602200000000*Constants!$B$17/(365.2425*24*60)</f>
        <v>10.473419926349552</v>
      </c>
      <c r="M37" s="148">
        <f>L37*Input!P37/100</f>
        <v>0.10384729853564643</v>
      </c>
      <c r="N37" s="142">
        <v>0</v>
      </c>
      <c r="O37" s="146">
        <f>(((G37*Constants!$B$23*0.000000001*Input!G37*(Constants!$B$7/Constants!$B$6))-(N37*0.000000001))/Input!F37)*1000000</f>
        <v>13.701398518924444</v>
      </c>
      <c r="P37" s="142">
        <f>O37*Input!N37/100</f>
        <v>2.1819934056287668E-3</v>
      </c>
      <c r="Q37" s="149">
        <f>(O37/Constants!$B$7)*602200000000000000*Constants!$B$18/(365.2425*24*60)</f>
        <v>10.222897854991169</v>
      </c>
      <c r="R37" s="150">
        <f>Q37*Input!N37/100</f>
        <v>1.6280305747765544E-3</v>
      </c>
      <c r="S37" s="148">
        <f>Input!S37*Constants!$B$17/Constants!$B$18</f>
        <v>0.99867414902813101</v>
      </c>
      <c r="T37" s="142">
        <f>S37*Input!T37/100</f>
        <v>2.2365777648538313E-3</v>
      </c>
      <c r="U37" s="148">
        <f>S37</f>
        <v>0.99867414902813101</v>
      </c>
      <c r="V37" s="142">
        <f>U37*Input!T37/100</f>
        <v>2.2365777648538313E-3</v>
      </c>
      <c r="W37" s="151">
        <v>0</v>
      </c>
      <c r="X37" s="146">
        <f>(((Constants!$B$25*0.000000001*Input!G37/Input!W37*(Constants!$B$11/Constants!$B$9))-(W37*0.000000001))/Input!F37)*1000000000</f>
        <v>0.89774323806381928</v>
      </c>
      <c r="Y37" s="146">
        <f>X37*Input!X37/100</f>
        <v>5.9863473833150268E-3</v>
      </c>
      <c r="Z37" s="146">
        <f>(X37/Constants!$B$11)*6.022E+23*0.000000001*Constants!$B$19/(365.2425*24*60)</f>
        <v>2.1916814731082242E-4</v>
      </c>
      <c r="AA37" s="146">
        <f>Z37*Input!X37/100</f>
        <v>1.46146092728005E-6</v>
      </c>
      <c r="AB37" s="147">
        <v>0</v>
      </c>
      <c r="AC37" s="147">
        <v>0.9</v>
      </c>
      <c r="AD37" s="146">
        <f>(((Input!G37*Constants!$B$25*0.000000001*Input!U37*(Constants!$B$10/Constants!$B$9))-((AB37*0.000000000000001)+(Input!G37*AC37*0.000000000000001)))/Input!F37)*1000000000000</f>
        <v>222.94982638280112</v>
      </c>
      <c r="AE37" s="146">
        <f>AD37*Input!V37/100</f>
        <v>0.66577119848557287</v>
      </c>
      <c r="AF37" s="146">
        <f>(AD37/Constants!$B$10)*602200000000*Constants!$B$16/(365.2425*24*60)</f>
        <v>10.17669385925991</v>
      </c>
      <c r="AG37" s="146">
        <f>AF37*Input!V37/100</f>
        <v>3.0389571399203869E-2</v>
      </c>
      <c r="AH37" s="142">
        <f t="shared" ref="AH37" si="156">AF37/Z37</f>
        <v>46433.270455251914</v>
      </c>
      <c r="AI37" s="151">
        <f t="shared" ref="AI37" si="157">AH37*SQRT((AG37/AF37)^2+(AA37/Z37)^2)</f>
        <v>339.25685418495806</v>
      </c>
      <c r="AJ37" s="148">
        <f t="shared" si="134"/>
        <v>-1.3258509718689915</v>
      </c>
      <c r="AK37" s="151">
        <f t="shared" ref="AK37" si="158">V37*1000</f>
        <v>2.2365777648538314</v>
      </c>
      <c r="AL37" s="151">
        <f t="shared" ref="AL37" si="159">AF37/Q37</f>
        <v>0.99548034262039498</v>
      </c>
      <c r="AM37" s="151">
        <f t="shared" ref="AM37" si="160">AL37*SQRT((R37/Q37)^2+(AG37/AF37)^2)</f>
        <v>2.976920662544482E-3</v>
      </c>
      <c r="AN37" s="142">
        <f>AF37/Q37</f>
        <v>0.99548034262039498</v>
      </c>
      <c r="AO37" s="146">
        <f t="shared" ref="AO37" si="161">AN37*SQRT((R37/Q37)^2+(AG37/AF37)^2)</f>
        <v>2.976920662544482E-3</v>
      </c>
      <c r="AP37" s="142">
        <f t="shared" ref="AP37" si="162">ThU_Alter_Kombi(AN37,U37)</f>
        <v>647.57259999999997</v>
      </c>
      <c r="AQ37" s="142" t="e">
        <f t="shared" si="136"/>
        <v>#VALUE!</v>
      </c>
      <c r="AR37" s="142" t="e">
        <f>(AQ37/AP37)*100</f>
        <v>#VALUE!</v>
      </c>
      <c r="AS37" s="150">
        <f t="shared" si="137"/>
        <v>2.143894524034758E-5</v>
      </c>
      <c r="AT37" s="150">
        <f t="shared" si="138"/>
        <v>1.430003191026535E-7</v>
      </c>
      <c r="AU37" s="142">
        <v>0.75</v>
      </c>
      <c r="AV37" s="142">
        <f t="shared" ref="AV37" si="163">AU37/2</f>
        <v>0.375</v>
      </c>
      <c r="AW37" s="142">
        <f t="shared" si="139"/>
        <v>647.57090000000005</v>
      </c>
      <c r="AX37" s="152">
        <f t="shared" si="140"/>
        <v>295.55714471239997</v>
      </c>
      <c r="AY37" s="152">
        <f t="shared" si="141"/>
        <v>180.50488470793297</v>
      </c>
      <c r="AZ37" s="153">
        <f t="shared" si="142"/>
        <v>0.4564089348554729</v>
      </c>
      <c r="BA37" s="142" t="str">
        <f>Input!B37</f>
        <v>Hu1-13</v>
      </c>
      <c r="BB37" s="154">
        <f>Input!E37</f>
        <v>0</v>
      </c>
      <c r="BC37" s="142">
        <f>((U37-1)*EXP(Constants!$B$17*AW37*1000))*1000</f>
        <v>-8.2444350245565197</v>
      </c>
      <c r="BD37" s="148">
        <f>SQRT((EXP(Constants!$B$17*AW37*1000)*V37)^2+((U37-1)*Constants!$B$17*EXP(Constants!$B$17*AW37*1000)*AY37*1000)^2)*1000</f>
        <v>14.527796130259416</v>
      </c>
      <c r="BE37" s="142">
        <f t="shared" si="143"/>
        <v>647512.9</v>
      </c>
      <c r="BF37" s="155">
        <f t="shared" si="144"/>
        <v>90252.442353966486</v>
      </c>
      <c r="BG37" s="164">
        <f t="shared" si="145"/>
        <v>27.874150105869944</v>
      </c>
      <c r="BH37" s="142"/>
      <c r="BI37" s="21"/>
      <c r="BJ37" s="21"/>
      <c r="BK37" s="21"/>
      <c r="BL37" s="21"/>
      <c r="BM37" s="21"/>
      <c r="BN37" s="163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</row>
    <row r="38" spans="1:110" ht="15" customHeight="1" x14ac:dyDescent="0.2">
      <c r="A38" s="21">
        <f>Input!A38</f>
        <v>10905</v>
      </c>
      <c r="B38" s="21" t="str">
        <f>Input!B38</f>
        <v>M43_401_14_122.5</v>
      </c>
      <c r="C38" s="21">
        <f>Input!O38</f>
        <v>2.5450149821163546</v>
      </c>
      <c r="D38" s="21">
        <f>C38*Input!P38/100</f>
        <v>7.4122263925447606E-3</v>
      </c>
      <c r="E38" s="156">
        <f>Input!M38</f>
        <v>1.6452519110912152</v>
      </c>
      <c r="F38" s="157">
        <f>E38*Input!N38/100</f>
        <v>9.2983358779983669E-5</v>
      </c>
      <c r="G38" s="24">
        <f>E38*137.88</f>
        <v>226.84733350125674</v>
      </c>
      <c r="H38" s="157">
        <f>G38*Input!L38/100</f>
        <v>1.81486151159275E-2</v>
      </c>
      <c r="I38" s="21">
        <v>0.3</v>
      </c>
      <c r="J38" s="133">
        <f>(((C38*Constants!$B$24*0.000000001*Input!G38*(Constants!$B$4/Constants!$B$3))-(I38*0.000000000000001))/Input!F38)*1000000000000</f>
        <v>56.269337432277787</v>
      </c>
      <c r="K38" s="21">
        <f>J38*Input!P38/100</f>
        <v>0.16388157670478812</v>
      </c>
      <c r="L38" s="138">
        <f>(J38/Constants!$B$4)*602200000000*Constants!$B$17/(365.2425*24*60)</f>
        <v>0.77686067993296537</v>
      </c>
      <c r="M38" s="136">
        <f>L38*Input!P38/100</f>
        <v>2.2625671265561666E-3</v>
      </c>
      <c r="N38" s="21">
        <v>5.0000000000000001E-3</v>
      </c>
      <c r="O38" s="133">
        <f>(((G38*Constants!$B$23*0.000000001*Input!G38*(Constants!$B$7/Constants!$B$6))-(N38*0.000000001))/Input!F38)*1000000</f>
        <v>0.50522584854907671</v>
      </c>
      <c r="P38" s="21">
        <f>O38*Input!N38/100</f>
        <v>2.8553436725323446E-5</v>
      </c>
      <c r="Q38" s="134">
        <f>(O38/Constants!$B$7)*602200000000000000*Constants!$B$18/(365.2425*24*60)</f>
        <v>0.37695949331629919</v>
      </c>
      <c r="R38" s="135">
        <f>Q38*Input!N38/100</f>
        <v>2.1304311866322475E-5</v>
      </c>
      <c r="S38" s="136">
        <f>Input!S38*Constants!$B$17/Constants!$B$18</f>
        <v>2.0254055787829923</v>
      </c>
      <c r="T38" s="21">
        <f>S38*Input!T38/100</f>
        <v>1.1890261381510704E-3</v>
      </c>
      <c r="U38" s="21">
        <f>S38*1/((U37+U39)/2)</f>
        <v>2.0249288341387657</v>
      </c>
      <c r="V38" s="21">
        <f>U38*Input!T38/100</f>
        <v>1.1887462624317838E-3</v>
      </c>
      <c r="W38" s="137">
        <v>3.0000000000000001E-3</v>
      </c>
      <c r="X38" s="133">
        <f>IF((((Constants!$B$25*0.000000001*Input!G38/Input!W38*(Constants!$B$11/Constants!$B$9))-(W38*0.000000001))/Input!F38)*1000000000&lt;0, "n.d.", (((Constants!$B$25*0.000000001*Input!G38/Input!W38*(Constants!$B$11/Constants!$B$9))-(W38*0.000000001))/Input!F38)*1000000000)</f>
        <v>4.2974011719415746</v>
      </c>
      <c r="Y38" s="133">
        <f>X38*Input!X38/100</f>
        <v>6.9812338564918678E-3</v>
      </c>
      <c r="Z38" s="133">
        <f>(X38/Constants!$B$11)*6.022E+23*0.000000001*Constants!$B$19/(365.2425*24*60)</f>
        <v>1.0491345555964377E-3</v>
      </c>
      <c r="AA38" s="133">
        <f>Z38*Input!X38/100</f>
        <v>1.7043448787994552E-6</v>
      </c>
      <c r="AB38" s="138">
        <v>0.05</v>
      </c>
      <c r="AC38" s="138">
        <v>0.9</v>
      </c>
      <c r="AD38" s="133">
        <f>(((Input!G38*Constants!$B$25*0.000000001*Input!U38*(Constants!$B$10/Constants!$B$9))-((AB38*0.000000000000001)+(Input!G38*AC38*0.000000000000001)))/Input!F38)*1000000000000</f>
        <v>16.925624423624416</v>
      </c>
      <c r="AE38" s="133">
        <f>AD38*Input!V38/100</f>
        <v>2.9142070105430271E-2</v>
      </c>
      <c r="AF38" s="133">
        <f>(AD38/Constants!$B$10)*602200000000*Constants!$B$16/(365.2425*24*60)</f>
        <v>0.77258144099333415</v>
      </c>
      <c r="AG38" s="133">
        <f>AF38*Input!V38/100</f>
        <v>1.3302092703981227E-3</v>
      </c>
      <c r="AH38" s="21">
        <f>AF38/Z38</f>
        <v>736.3988125947468</v>
      </c>
      <c r="AI38" s="137">
        <f>AH38*SQRT((AG38/AF38)^2+(AA38/Z38)^2)</f>
        <v>1.7431945431671014</v>
      </c>
      <c r="AJ38" s="136">
        <f t="shared" si="134"/>
        <v>1024.9288341387658</v>
      </c>
      <c r="AK38" s="137">
        <f>V38*1000</f>
        <v>1.1887462624317839</v>
      </c>
      <c r="AL38" s="137">
        <f>AF38/Q38</f>
        <v>2.0495078508211928</v>
      </c>
      <c r="AM38" s="137">
        <f>AL38*SQRT((R38/Q38)^2+(AG38/AF38)^2)</f>
        <v>3.530686223119832E-3</v>
      </c>
      <c r="AN38" s="21">
        <f>AL38*1/((AN37+AN39)/2)</f>
        <v>2.0565623314891432</v>
      </c>
      <c r="AO38" s="133">
        <f>AN38*SQRT((R38/Q38)^2+(AG38/AF38)^2)</f>
        <v>3.5428389736914478E-3</v>
      </c>
      <c r="AP38" s="21">
        <f>ThU_Alter_Kombi(AN38,U38)</f>
        <v>243.0915</v>
      </c>
      <c r="AQ38" s="21">
        <f t="shared" si="136"/>
        <v>1.2294</v>
      </c>
      <c r="AR38" s="158">
        <f>(AQ38/AP38)</f>
        <v>5.0573549465941841E-3</v>
      </c>
      <c r="AS38" s="135">
        <f t="shared" si="137"/>
        <v>2.7831493149746197E-3</v>
      </c>
      <c r="AT38" s="135">
        <f t="shared" si="138"/>
        <v>4.5240297208521596E-6</v>
      </c>
      <c r="AU38" s="21">
        <v>0.75</v>
      </c>
      <c r="AV38" s="21">
        <f>AU38/2</f>
        <v>0.375</v>
      </c>
      <c r="AW38" s="21">
        <f t="shared" si="139"/>
        <v>243.0164</v>
      </c>
      <c r="AX38" s="139">
        <f t="shared" si="140"/>
        <v>1.2288199957999999</v>
      </c>
      <c r="AY38" s="139">
        <f t="shared" si="141"/>
        <v>1.2635456485398573</v>
      </c>
      <c r="AZ38" s="158">
        <f t="shared" si="142"/>
        <v>5.0565311468690997E-3</v>
      </c>
      <c r="BA38" s="21" t="str">
        <f>Input!B38</f>
        <v>M43_401_14_122.5</v>
      </c>
      <c r="BB38" s="140">
        <f>Input!E38</f>
        <v>122.5</v>
      </c>
      <c r="BC38" s="21">
        <f>((U38-1)*EXP(Constants!$B$17*AW38*1000))*1000</f>
        <v>2034.8661481276906</v>
      </c>
      <c r="BD38" s="136">
        <f>SQRT((EXP(Constants!$B$17*AW38*1000)*V38)^2+((U38-1)*Constants!$B$17*EXP(Constants!$B$17*AW38*1000)*AY38*1000)^2)*1000</f>
        <v>7.6301114748532486</v>
      </c>
      <c r="BE38" s="21">
        <f t="shared" si="143"/>
        <v>242958.4</v>
      </c>
      <c r="BF38" s="141">
        <f t="shared" si="144"/>
        <v>631.77282426992861</v>
      </c>
      <c r="BG38" s="23">
        <f t="shared" si="145"/>
        <v>0.51994254237156723</v>
      </c>
      <c r="BH38" s="21"/>
      <c r="BI38" s="21"/>
      <c r="BJ38" s="21"/>
      <c r="BK38" s="21"/>
      <c r="BL38" s="21"/>
      <c r="BM38" s="21"/>
      <c r="BN38" s="163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</row>
    <row r="39" spans="1:110" ht="15" customHeight="1" x14ac:dyDescent="0.2">
      <c r="A39" s="142">
        <f>Input!A39</f>
        <v>10815</v>
      </c>
      <c r="B39" s="142" t="str">
        <f>Input!B39</f>
        <v>Hu1-13</v>
      </c>
      <c r="C39" s="142">
        <f>Input!O39</f>
        <v>2.1224722741997253</v>
      </c>
      <c r="D39" s="142">
        <f>C39*Input!P39/100</f>
        <v>2.8453696801822966E-2</v>
      </c>
      <c r="E39" s="143">
        <f>Input!M39</f>
        <v>2.7323730131842292</v>
      </c>
      <c r="F39" s="144">
        <f>E39*Input!N39/100</f>
        <v>3.9416238825859475E-4</v>
      </c>
      <c r="G39" s="145">
        <f t="shared" ref="G39" si="164">E39*137.88</f>
        <v>376.73959105784149</v>
      </c>
      <c r="H39" s="144">
        <f>G39*Input!L39/100</f>
        <v>2.8772575623125206E-2</v>
      </c>
      <c r="I39" s="142">
        <v>0</v>
      </c>
      <c r="J39" s="146">
        <f>(((C39*Constants!$B$24*0.000000001*Input!G39*(Constants!$B$4/Constants!$B$3))-(I39*0.000000000000001))/Input!F39)*1000000000000</f>
        <v>766.29217430335848</v>
      </c>
      <c r="K39" s="142">
        <f>J39*Input!P39/100</f>
        <v>10.272852773758162</v>
      </c>
      <c r="L39" s="147">
        <f>(J39/Constants!$B$4)*602200000000*Constants!$B$17/(365.2425*24*60)</f>
        <v>10.579514291830533</v>
      </c>
      <c r="M39" s="148">
        <f>L39*Input!P39/100</f>
        <v>0.14182813864261207</v>
      </c>
      <c r="N39" s="142">
        <v>0</v>
      </c>
      <c r="O39" s="146">
        <f>(((G39*Constants!$B$23*0.000000001*Input!G39*(Constants!$B$7/Constants!$B$6))-(N39*0.000000001))/Input!F39)*1000000</f>
        <v>13.701721229172595</v>
      </c>
      <c r="P39" s="142">
        <f>O39*Input!N39/100</f>
        <v>1.9765614492914104E-3</v>
      </c>
      <c r="Q39" s="149">
        <f>(O39/Constants!$B$7)*602200000000000000*Constants!$B$18/(365.2425*24*60)</f>
        <v>10.223138635806285</v>
      </c>
      <c r="R39" s="150">
        <f>Q39*Input!N39/100</f>
        <v>1.4747535277008772E-3</v>
      </c>
      <c r="S39" s="148">
        <f>Input!S39*Constants!$B$17/Constants!$B$18</f>
        <v>1.0017967264280223</v>
      </c>
      <c r="T39" s="142">
        <f>S39*Input!T39/100</f>
        <v>2.6504561643736378E-3</v>
      </c>
      <c r="U39" s="148">
        <f>S39</f>
        <v>1.0017967264280223</v>
      </c>
      <c r="V39" s="142">
        <f>U39*Input!T39/100</f>
        <v>2.6504561643736378E-3</v>
      </c>
      <c r="W39" s="151">
        <v>0</v>
      </c>
      <c r="X39" s="146">
        <f>(((Constants!$B$25*0.000000001*Input!G39/Input!W39*(Constants!$B$11/Constants!$B$9))-(W39*0.000000001))/Input!F39)*1000000000</f>
        <v>0.89560734253483443</v>
      </c>
      <c r="Y39" s="146">
        <f>X39*Input!X39/100</f>
        <v>5.072651136366387E-3</v>
      </c>
      <c r="Z39" s="146">
        <f>(X39/Constants!$B$11)*6.022E+23*0.000000001*Constants!$B$19/(365.2425*24*60)</f>
        <v>2.1864670616140571E-4</v>
      </c>
      <c r="AA39" s="146">
        <f>Z39*Input!X39/100</f>
        <v>1.238398134759914E-6</v>
      </c>
      <c r="AB39" s="147">
        <v>0</v>
      </c>
      <c r="AC39" s="147">
        <v>0.9</v>
      </c>
      <c r="AD39" s="146">
        <f>(((Input!G39*Constants!$B$25*0.000000001*Input!U39*(Constants!$B$10/Constants!$B$9))-((AB39*0.000000000000001)+(Input!G39*AC39*0.000000000000001)))/Input!F39)*1000000000000</f>
        <v>223.44307007742376</v>
      </c>
      <c r="AE39" s="146">
        <f>AD39*Input!V39/100</f>
        <v>0.76187027274436248</v>
      </c>
      <c r="AF39" s="146">
        <f>(AD39/Constants!$B$10)*602200000000*Constants!$B$16/(365.2425*24*60)</f>
        <v>10.199208297416801</v>
      </c>
      <c r="AG39" s="146">
        <f>AF39*Input!V39/100</f>
        <v>3.4776077882554192E-2</v>
      </c>
      <c r="AH39" s="142">
        <f t="shared" ref="AH39" si="165">AF39/Z39</f>
        <v>46646.978939109707</v>
      </c>
      <c r="AI39" s="151">
        <f t="shared" ref="AI39" si="166">AH39*SQRT((AG39/AF39)^2+(AA39/Z39)^2)</f>
        <v>308.38546911566289</v>
      </c>
      <c r="AJ39" s="148">
        <f t="shared" si="134"/>
        <v>1.7967264280223105</v>
      </c>
      <c r="AK39" s="151">
        <f t="shared" ref="AK39" si="167">V39*1000</f>
        <v>2.650456164373638</v>
      </c>
      <c r="AL39" s="151">
        <f t="shared" ref="AL39" si="168">AF39/Q39</f>
        <v>0.99765919848668905</v>
      </c>
      <c r="AM39" s="151">
        <f t="shared" ref="AM39" si="169">AL39*SQRT((R39/Q39)^2+(AG39/AF39)^2)</f>
        <v>3.4047457453609494E-3</v>
      </c>
      <c r="AN39" s="142">
        <f>AF39/Q39</f>
        <v>0.99765919848668905</v>
      </c>
      <c r="AO39" s="146">
        <f t="shared" ref="AO39" si="170">AN39*SQRT((R39/Q39)^2+(AG39/AF39)^2)</f>
        <v>3.4047457453609494E-3</v>
      </c>
      <c r="AP39" s="142">
        <f t="shared" ref="AP39" si="171">ThU_Alter_Kombi(AN39,U39)</f>
        <v>580.60400000000004</v>
      </c>
      <c r="AQ39" s="142" t="e">
        <f t="shared" si="136"/>
        <v>#VALUE!</v>
      </c>
      <c r="AR39" s="142" t="e">
        <f>(AQ39/AP39)*100</f>
        <v>#VALUE!</v>
      </c>
      <c r="AS39" s="150">
        <f t="shared" si="137"/>
        <v>2.138743432428874E-5</v>
      </c>
      <c r="AT39" s="150">
        <f t="shared" si="138"/>
        <v>1.2117606741082528E-7</v>
      </c>
      <c r="AU39" s="142">
        <v>0.75</v>
      </c>
      <c r="AV39" s="142">
        <f t="shared" ref="AV39" si="172">AU39/2</f>
        <v>0.375</v>
      </c>
      <c r="AW39" s="142">
        <f t="shared" si="139"/>
        <v>580.60230000000001</v>
      </c>
      <c r="AX39" s="152">
        <f t="shared" si="140"/>
        <v>252.90648428150001</v>
      </c>
      <c r="AY39" s="152">
        <f t="shared" si="141"/>
        <v>111.44922071712797</v>
      </c>
      <c r="AZ39" s="153">
        <f t="shared" si="142"/>
        <v>0.435593321420704</v>
      </c>
      <c r="BA39" s="142" t="str">
        <f>Input!B39</f>
        <v>Hu1-13</v>
      </c>
      <c r="BB39" s="154">
        <f>Input!E39</f>
        <v>0</v>
      </c>
      <c r="BC39" s="142">
        <f>((U39-1)*EXP(Constants!$B$17*AW39*1000))*1000</f>
        <v>9.2484954550591301</v>
      </c>
      <c r="BD39" s="148">
        <f>SQRT((EXP(Constants!$B$17*AW39*1000)*V39)^2+((U39-1)*Constants!$B$17*EXP(Constants!$B$17*AW39*1000)*AY39*1000)^2)*1000</f>
        <v>13.949640921174407</v>
      </c>
      <c r="BE39" s="142">
        <f t="shared" si="143"/>
        <v>580544.30000000005</v>
      </c>
      <c r="BF39" s="155">
        <f t="shared" si="144"/>
        <v>55724.610358563987</v>
      </c>
      <c r="BG39" s="164">
        <f t="shared" si="145"/>
        <v>19.195449400928652</v>
      </c>
      <c r="BH39" s="142"/>
      <c r="BI39" s="21"/>
      <c r="BJ39" s="21"/>
      <c r="BK39" s="21"/>
      <c r="BL39" s="21"/>
      <c r="BM39" s="21"/>
      <c r="BN39" s="163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</row>
    <row r="40" spans="1:110" ht="15" customHeight="1" x14ac:dyDescent="0.2">
      <c r="A40" s="21">
        <f>Input!A40</f>
        <v>10906</v>
      </c>
      <c r="B40" s="21" t="str">
        <f>Input!B40</f>
        <v>M43_401_14_337.5</v>
      </c>
      <c r="C40" s="21">
        <f>Input!O40</f>
        <v>2.1673783380226554</v>
      </c>
      <c r="D40" s="21">
        <f>C40*Input!P40/100</f>
        <v>9.7406977370869171E-3</v>
      </c>
      <c r="E40" s="156">
        <f>Input!M40</f>
        <v>1.8949460829145937</v>
      </c>
      <c r="F40" s="157">
        <f>E40*Input!N40/100</f>
        <v>1.3405408498785325E-4</v>
      </c>
      <c r="G40" s="24">
        <f>E40*137.88</f>
        <v>261.27516591226419</v>
      </c>
      <c r="H40" s="157">
        <f>G40*Input!L40/100</f>
        <v>1.5775611314687424E-2</v>
      </c>
      <c r="I40" s="21">
        <v>0.3</v>
      </c>
      <c r="J40" s="133">
        <f>(((C40*Constants!$B$24*0.000000001*Input!G40*(Constants!$B$4/Constants!$B$3))-(I40*0.000000000000001))/Input!F40)*1000000000000</f>
        <v>36.395775445360307</v>
      </c>
      <c r="K40" s="21">
        <f>J40*Input!P40/100</f>
        <v>0.16357100248754031</v>
      </c>
      <c r="L40" s="138">
        <f>(J40/Constants!$B$4)*602200000000*Constants!$B$17/(365.2425*24*60)</f>
        <v>0.50248409079277812</v>
      </c>
      <c r="M40" s="136">
        <f>L40*Input!P40/100</f>
        <v>2.2582793046518994E-3</v>
      </c>
      <c r="N40" s="21">
        <v>5.0000000000000001E-3</v>
      </c>
      <c r="O40" s="133">
        <f>(((G40*Constants!$B$23*0.000000001*Input!G40*(Constants!$B$7/Constants!$B$6))-(N40*0.000000001))/Input!F40)*1000000</f>
        <v>0.44196757798953168</v>
      </c>
      <c r="P40" s="21">
        <f>O40*Input!N40/100</f>
        <v>3.1266092368473298E-5</v>
      </c>
      <c r="Q40" s="134">
        <f>(O40/Constants!$B$7)*602200000000000000*Constants!$B$18/(365.2425*24*60)</f>
        <v>0.32976118450713471</v>
      </c>
      <c r="R40" s="135">
        <f>Q40*Input!N40/100</f>
        <v>2.3328280552247765E-5</v>
      </c>
      <c r="S40" s="136">
        <f>Input!S40*Constants!$B$17/Constants!$B$18</f>
        <v>1.517297865056215</v>
      </c>
      <c r="T40" s="21">
        <f>S40*Input!T40/100</f>
        <v>1.2426800934742385E-3</v>
      </c>
      <c r="U40" s="21">
        <f>S40*1/((U39+U41)/2)</f>
        <v>1.5169244242024162</v>
      </c>
      <c r="V40" s="21">
        <f>U40*Input!T40/100</f>
        <v>1.2423742421804396E-3</v>
      </c>
      <c r="W40" s="137">
        <v>3.0000000000000001E-3</v>
      </c>
      <c r="X40" s="133">
        <f>IF((((Constants!$B$25*0.000000001*Input!G40/Input!W40*(Constants!$B$11/Constants!$B$9))-(W40*0.000000001))/Input!F40)*1000000000&lt;0, "n.d.", (((Constants!$B$25*0.000000001*Input!G40/Input!W40*(Constants!$B$11/Constants!$B$9))-(W40*0.000000001))/Input!F40)*1000000000)</f>
        <v>0.11156051571183712</v>
      </c>
      <c r="Y40" s="133">
        <f>X40*Input!X40/100</f>
        <v>2.5779571559860376E-4</v>
      </c>
      <c r="Z40" s="133">
        <f>(X40/Constants!$B$11)*6.022E+23*0.000000001*Constants!$B$19/(365.2425*24*60)</f>
        <v>2.7235528495136474E-5</v>
      </c>
      <c r="AA40" s="133">
        <f>Z40*Input!X40/100</f>
        <v>6.2936268385902488E-8</v>
      </c>
      <c r="AB40" s="138">
        <v>0.05</v>
      </c>
      <c r="AC40" s="138">
        <v>0.9</v>
      </c>
      <c r="AD40" s="133">
        <f>(((Input!G40*Constants!$B$25*0.000000001*Input!U40*(Constants!$B$10/Constants!$B$9))-((AB40*0.000000000000001)+(Input!G40*AC40*0.000000000000001)))/Input!F40)*1000000000000</f>
        <v>11.19845384229291</v>
      </c>
      <c r="AE40" s="133">
        <f>AD40*Input!V40/100</f>
        <v>2.2886720471672534E-2</v>
      </c>
      <c r="AF40" s="133">
        <f>(AD40/Constants!$B$10)*602200000000*Constants!$B$16/(365.2425*24*60)</f>
        <v>0.51116091139893893</v>
      </c>
      <c r="AG40" s="133">
        <f>AF40*Input!V40/100</f>
        <v>1.0446796548868509E-3</v>
      </c>
      <c r="AH40" s="21">
        <f>AF40/Z40</f>
        <v>18768.165688072415</v>
      </c>
      <c r="AI40" s="137">
        <f>AH40*SQRT((AG40/AF40)^2+(AA40/Z40)^2)</f>
        <v>57.898305147853705</v>
      </c>
      <c r="AJ40" s="136">
        <f t="shared" si="134"/>
        <v>516.92442420241628</v>
      </c>
      <c r="AK40" s="137">
        <f>V40*1000</f>
        <v>1.2423742421804396</v>
      </c>
      <c r="AL40" s="137">
        <f>AF40/Q40</f>
        <v>1.5500942361149224</v>
      </c>
      <c r="AM40" s="137">
        <f>AL40*SQRT((R40/Q40)^2+(AG40/AF40)^2)</f>
        <v>3.1698858572631744E-3</v>
      </c>
      <c r="AN40" s="21">
        <f>AL40*1/((AN39+AN41)/2)</f>
        <v>1.5517025903207682</v>
      </c>
      <c r="AO40" s="133">
        <f>AN40*SQRT((R40/Q40)^2+(AG40/AF40)^2)</f>
        <v>3.1731748826216316E-3</v>
      </c>
      <c r="AP40" s="21">
        <f>ThU_Alter_Kombi(AN40,U40)</f>
        <v>285.37970000000001</v>
      </c>
      <c r="AQ40" s="21">
        <f t="shared" si="136"/>
        <v>2.3445999999999998</v>
      </c>
      <c r="AR40" s="158">
        <f>(AQ40/AP40)</f>
        <v>8.2157210201005883E-3</v>
      </c>
      <c r="AS40" s="135">
        <f t="shared" si="137"/>
        <v>8.2591674747417725E-5</v>
      </c>
      <c r="AT40" s="135">
        <f t="shared" si="138"/>
        <v>1.9094349677001919E-7</v>
      </c>
      <c r="AU40" s="21">
        <v>0.75</v>
      </c>
      <c r="AV40" s="21">
        <f>AU40/2</f>
        <v>0.375</v>
      </c>
      <c r="AW40" s="21">
        <f t="shared" si="139"/>
        <v>285.37650000000002</v>
      </c>
      <c r="AX40" s="139">
        <f t="shared" si="140"/>
        <v>2.4639786415999998</v>
      </c>
      <c r="AY40" s="139">
        <f t="shared" si="141"/>
        <v>2.4241872711802017</v>
      </c>
      <c r="AZ40" s="158">
        <f t="shared" si="142"/>
        <v>8.6341329492792846E-3</v>
      </c>
      <c r="BA40" s="21" t="str">
        <f>Input!B40</f>
        <v>M43_401_14_337.5</v>
      </c>
      <c r="BB40" s="140">
        <f>Input!E40</f>
        <v>337.5</v>
      </c>
      <c r="BC40" s="21">
        <f>((U40-1)*EXP(Constants!$B$17*AW40*1000))*1000</f>
        <v>1156.6073354836112</v>
      </c>
      <c r="BD40" s="136">
        <f>SQRT((EXP(Constants!$B$17*AW40*1000)*V40)^2+((U40-1)*Constants!$B$17*EXP(Constants!$B$17*AW40*1000)*AY40*1000)^2)*1000</f>
        <v>8.3866679821635746</v>
      </c>
      <c r="BE40" s="21">
        <f t="shared" si="143"/>
        <v>285318.5</v>
      </c>
      <c r="BF40" s="141">
        <f t="shared" si="144"/>
        <v>1212.0936355901008</v>
      </c>
      <c r="BG40" s="23">
        <f t="shared" si="145"/>
        <v>0.84946983062032144</v>
      </c>
      <c r="BH40" s="21"/>
      <c r="BI40" s="21"/>
      <c r="BJ40" s="21"/>
      <c r="BK40" s="21"/>
      <c r="BL40" s="21"/>
      <c r="BM40" s="21"/>
      <c r="BN40" s="163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</row>
    <row r="41" spans="1:110" ht="15" customHeight="1" x14ac:dyDescent="0.2">
      <c r="A41" s="142">
        <f>Input!A41</f>
        <v>10815</v>
      </c>
      <c r="B41" s="142" t="str">
        <f>Input!B41</f>
        <v>Hu1-13</v>
      </c>
      <c r="C41" s="142">
        <f>Input!O41</f>
        <v>2.1169717081969126</v>
      </c>
      <c r="D41" s="142">
        <f>C41*Input!P41/100</f>
        <v>2.6332900039430805E-2</v>
      </c>
      <c r="E41" s="143">
        <f>Input!M41</f>
        <v>2.7315001443604054</v>
      </c>
      <c r="F41" s="144">
        <f>E41*Input!N41/100</f>
        <v>4.0865285252707646E-4</v>
      </c>
      <c r="G41" s="145">
        <f t="shared" ref="G41" si="173">E41*137.88</f>
        <v>376.61923990441267</v>
      </c>
      <c r="H41" s="144">
        <f>G41*Input!L41/100</f>
        <v>2.9354686620523859E-2</v>
      </c>
      <c r="I41" s="142">
        <v>0</v>
      </c>
      <c r="J41" s="146">
        <f>(((C41*Constants!$B$24*0.000000001*Input!G41*(Constants!$B$4/Constants!$B$3))-(I41*0.000000000000001))/Input!F41)*1000000000000</f>
        <v>764.30626347030238</v>
      </c>
      <c r="K41" s="142">
        <f>J41*Input!P41/100</f>
        <v>9.5071655221205518</v>
      </c>
      <c r="L41" s="147">
        <f>(J41/Constants!$B$4)*602200000000*Constants!$B$17/(365.2425*24*60)</f>
        <v>10.552096587793926</v>
      </c>
      <c r="M41" s="148">
        <f>L41*Input!P41/100</f>
        <v>0.13125697597983688</v>
      </c>
      <c r="N41" s="142">
        <v>0</v>
      </c>
      <c r="O41" s="146">
        <f>(((G41*Constants!$B$23*0.000000001*Input!G41*(Constants!$B$7/Constants!$B$6))-(N41*0.000000001))/Input!F41)*1000000</f>
        <v>13.697344152823225</v>
      </c>
      <c r="P41" s="142">
        <f>O41*Input!N41/100</f>
        <v>2.0492251379349482E-3</v>
      </c>
      <c r="Q41" s="149">
        <f>(O41/Constants!$B$7)*602200000000000000*Constants!$B$18/(365.2425*24*60)</f>
        <v>10.219872808280629</v>
      </c>
      <c r="R41" s="150">
        <f>Q41*Input!N41/100</f>
        <v>1.5289694141845647E-3</v>
      </c>
      <c r="S41" s="148">
        <f>Input!S41*Constants!$B$17/Constants!$B$18</f>
        <v>0.99869563937193517</v>
      </c>
      <c r="T41" s="142">
        <f>S41*Input!T41/100</f>
        <v>2.1450253940378718E-3</v>
      </c>
      <c r="U41" s="148">
        <f>S41</f>
        <v>0.99869563937193517</v>
      </c>
      <c r="V41" s="142">
        <f>U41*Input!T41/100</f>
        <v>2.1450253940378718E-3</v>
      </c>
      <c r="W41" s="151">
        <v>0</v>
      </c>
      <c r="X41" s="146">
        <f>(((Constants!$B$25*0.000000001*Input!G41/Input!W41*(Constants!$B$11/Constants!$B$9))-(W41*0.000000001))/Input!F41)*1000000000</f>
        <v>0.88974369054033797</v>
      </c>
      <c r="Y41" s="146">
        <f>X41*Input!X41/100</f>
        <v>3.6122079269717607E-3</v>
      </c>
      <c r="Z41" s="146">
        <f>(X41/Constants!$B$11)*6.022E+23*0.000000001*Constants!$B$19/(365.2425*24*60)</f>
        <v>2.1721519914512242E-4</v>
      </c>
      <c r="AA41" s="146">
        <f>Z41*Input!X41/100</f>
        <v>8.8185673307136363E-7</v>
      </c>
      <c r="AB41" s="147">
        <v>0</v>
      </c>
      <c r="AC41" s="147">
        <v>0.9</v>
      </c>
      <c r="AD41" s="146">
        <f>(((Input!G41*Constants!$B$25*0.000000001*Input!U41*(Constants!$B$10/Constants!$B$9))-((AB41*0.000000000000001)+(Input!G41*AC41*0.000000000000001)))/Input!F41)*1000000000000</f>
        <v>223.9557412341089</v>
      </c>
      <c r="AE41" s="146">
        <f>AD41*Input!V41/100</f>
        <v>0.77739110668782896</v>
      </c>
      <c r="AF41" s="146">
        <f>(AD41/Constants!$B$10)*602200000000*Constants!$B$16/(365.2425*24*60)</f>
        <v>10.2226095150661</v>
      </c>
      <c r="AG41" s="146">
        <f>AF41*Input!V41/100</f>
        <v>3.5484536723028329E-2</v>
      </c>
      <c r="AH41" s="142">
        <f t="shared" ref="AH41" si="174">AF41/Z41</f>
        <v>47062.12804305803</v>
      </c>
      <c r="AI41" s="151">
        <f t="shared" ref="AI41" si="175">AH41*SQRT((AG41/AF41)^2+(AA41/Z41)^2)</f>
        <v>251.38103122357501</v>
      </c>
      <c r="AJ41" s="148">
        <f t="shared" si="134"/>
        <v>-1.3043606280648268</v>
      </c>
      <c r="AK41" s="151">
        <f t="shared" ref="AK41" si="176">V41*1000</f>
        <v>2.1450253940378716</v>
      </c>
      <c r="AL41" s="151">
        <f t="shared" ref="AL41" si="177">AF41/Q41</f>
        <v>1.0002677828615689</v>
      </c>
      <c r="AM41" s="151">
        <f t="shared" ref="AM41" si="178">AL41*SQRT((R41/Q41)^2+(AG41/AF41)^2)</f>
        <v>3.4753347826297159E-3</v>
      </c>
      <c r="AN41" s="142">
        <f>AF41/Q41</f>
        <v>1.0002677828615689</v>
      </c>
      <c r="AO41" s="146">
        <f t="shared" ref="AO41" si="179">AN41*SQRT((R41/Q41)^2+(AG41/AF41)^2)</f>
        <v>3.4753347826297159E-3</v>
      </c>
      <c r="AP41" s="142" t="str">
        <f t="shared" ref="AP41" si="180">ThU_Alter_Kombi(AN41,U41)</f>
        <v>Out of range</v>
      </c>
      <c r="AQ41" s="142" t="e">
        <f t="shared" si="136"/>
        <v>#VALUE!</v>
      </c>
      <c r="AR41" s="142" t="e">
        <f>(AQ41/AP41)*100</f>
        <v>#VALUE!</v>
      </c>
      <c r="AS41" s="150">
        <f t="shared" si="137"/>
        <v>2.1254197896584807E-5</v>
      </c>
      <c r="AT41" s="150">
        <f t="shared" si="138"/>
        <v>8.6346994240361259E-8</v>
      </c>
      <c r="AU41" s="142">
        <v>0.75</v>
      </c>
      <c r="AV41" s="142">
        <f t="shared" ref="AV41" si="181">AU41/2</f>
        <v>0.375</v>
      </c>
      <c r="AW41" s="142" t="str">
        <f t="shared" si="139"/>
        <v>Out of range</v>
      </c>
      <c r="AX41" s="152">
        <f t="shared" si="140"/>
        <v>311.83956448859999</v>
      </c>
      <c r="AY41" s="152" t="e">
        <f t="shared" si="141"/>
        <v>#VALUE!</v>
      </c>
      <c r="AZ41" s="153" t="e">
        <f t="shared" si="142"/>
        <v>#VALUE!</v>
      </c>
      <c r="BA41" s="142" t="str">
        <f>Input!B41</f>
        <v>Hu1-13</v>
      </c>
      <c r="BB41" s="154">
        <f>Input!E41</f>
        <v>0</v>
      </c>
      <c r="BC41" s="142" t="e">
        <f>((U41-1)*EXP(Constants!$B$17*AW41*1000))*1000</f>
        <v>#VALUE!</v>
      </c>
      <c r="BD41" s="148" t="e">
        <f>SQRT((EXP(Constants!$B$17*AW41*1000)*V41)^2+((U41-1)*Constants!$B$17*EXP(Constants!$B$17*AW41*1000)*AY41*1000)^2)*1000</f>
        <v>#VALUE!</v>
      </c>
      <c r="BE41" s="142" t="e">
        <f t="shared" si="143"/>
        <v>#VALUE!</v>
      </c>
      <c r="BF41" s="155" t="e">
        <f t="shared" si="144"/>
        <v>#VALUE!</v>
      </c>
      <c r="BG41" s="164" t="e">
        <f t="shared" si="145"/>
        <v>#VALUE!</v>
      </c>
      <c r="BH41" s="142"/>
      <c r="BI41" s="21"/>
      <c r="BJ41" s="21"/>
      <c r="BK41" s="21"/>
      <c r="BL41" s="21"/>
      <c r="BM41" s="21"/>
      <c r="BN41" s="163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</row>
    <row r="42" spans="1:110" ht="15" customHeight="1" x14ac:dyDescent="0.2">
      <c r="A42" s="21">
        <f>Input!A42</f>
        <v>10899</v>
      </c>
      <c r="B42" s="21" t="str">
        <f>Input!B42</f>
        <v>RuWa51_3_20</v>
      </c>
      <c r="C42" s="21">
        <f>Input!O42</f>
        <v>5.0474092907712782</v>
      </c>
      <c r="D42" s="21">
        <f>C42*Input!P42/100</f>
        <v>3.3686393364568593E-2</v>
      </c>
      <c r="E42" s="156">
        <f>Input!M42</f>
        <v>6.7815980342498765</v>
      </c>
      <c r="F42" s="157">
        <f>E42*Input!N42/100</f>
        <v>6.1144164998824541E-4</v>
      </c>
      <c r="G42" s="24">
        <f>E42*137.88</f>
        <v>935.04673696237296</v>
      </c>
      <c r="H42" s="157">
        <f>G42*Input!L42/100</f>
        <v>7.8187208119771215E-2</v>
      </c>
      <c r="I42" s="21">
        <v>0.3</v>
      </c>
      <c r="J42" s="133">
        <f>(((C42*Constants!$B$24*0.000000001*Input!G42*(Constants!$B$4/Constants!$B$3))-(I42*0.000000000000001))/Input!F42)*1000000000000</f>
        <v>199.40439517614095</v>
      </c>
      <c r="K42" s="21">
        <f>J42*Input!P42/100</f>
        <v>1.3308242917429294</v>
      </c>
      <c r="L42" s="138">
        <f>(J42/Constants!$B$4)*602200000000*Constants!$B$17/(365.2425*24*60)</f>
        <v>2.7529990770656894</v>
      </c>
      <c r="M42" s="136">
        <f>L42*Input!P42/100</f>
        <v>1.8373506981471284E-2</v>
      </c>
      <c r="N42" s="21">
        <v>5.0000000000000001E-3</v>
      </c>
      <c r="O42" s="133">
        <f>(((G42*Constants!$B$23*0.000000001*Input!G42*(Constants!$B$7/Constants!$B$6))-(N42*0.000000001))/Input!F42)*1000000</f>
        <v>3.7211889075301046</v>
      </c>
      <c r="P42" s="21">
        <f>O42*Input!N42/100</f>
        <v>3.355093997088898E-4</v>
      </c>
      <c r="Q42" s="134">
        <f>(O42/Constants!$B$7)*602200000000000000*Constants!$B$18/(365.2425*24*60)</f>
        <v>2.776456290083348</v>
      </c>
      <c r="R42" s="135">
        <f>Q42*Input!N42/100</f>
        <v>2.5033052778342438E-4</v>
      </c>
      <c r="S42" s="136">
        <f>Input!S42*Constants!$B$17/Constants!$B$18</f>
        <v>0.96075961553894396</v>
      </c>
      <c r="T42" s="21">
        <f>S42*Input!T42/100</f>
        <v>7.3021861717563756E-4</v>
      </c>
      <c r="U42" s="21">
        <f>S42*1/((U41+U43)/2)</f>
        <v>0.96201442928413239</v>
      </c>
      <c r="V42" s="21">
        <f>U42*Input!T42/100</f>
        <v>7.3117232957466518E-4</v>
      </c>
      <c r="W42" s="137">
        <v>3.0000000000000001E-3</v>
      </c>
      <c r="X42" s="133">
        <f>IF((((Constants!$B$25*0.000000001*Input!G42/Input!W42*(Constants!$B$11/Constants!$B$9))-(W42*0.000000001))/Input!F42)*1000000000&lt;0, "n.d.", (((Constants!$B$25*0.000000001*Input!G42/Input!W42*(Constants!$B$11/Constants!$B$9))-(W42*0.000000001))/Input!F42)*1000000000)</f>
        <v>0.46482448706909596</v>
      </c>
      <c r="Y42" s="133">
        <f>X42*Input!X42/100</f>
        <v>1.2822222157513263E-3</v>
      </c>
      <c r="Z42" s="133">
        <f>(X42/Constants!$B$11)*6.022E+23*0.000000001*Constants!$B$19/(365.2425*24*60)</f>
        <v>1.1347868447926416E-4</v>
      </c>
      <c r="AA42" s="133">
        <f>Z42*Input!X42/100</f>
        <v>3.1303189548169936E-7</v>
      </c>
      <c r="AB42" s="138">
        <v>0.05</v>
      </c>
      <c r="AC42" s="138">
        <v>0.9</v>
      </c>
      <c r="AD42" s="133">
        <f>(((Input!G42*Constants!$B$25*0.000000001*Input!U42*(Constants!$B$10/Constants!$B$9))-((AB42*0.000000000000001)+(Input!G42*AC42*0.000000000000001)))/Input!F42)*1000000000000</f>
        <v>55.233052650835937</v>
      </c>
      <c r="AE42" s="133">
        <f>AD42*Input!V42/100</f>
        <v>0.1596082966673012</v>
      </c>
      <c r="AF42" s="133">
        <f>(AD42/Constants!$B$10)*602200000000*Constants!$B$16/(365.2425*24*60)</f>
        <v>2.5211496095755761</v>
      </c>
      <c r="AG42" s="133">
        <f>AF42*Input!V42/100</f>
        <v>7.2854273938396732E-3</v>
      </c>
      <c r="AH42" s="21">
        <f>AF42/Z42</f>
        <v>22216.944275876434</v>
      </c>
      <c r="AI42" s="137">
        <f>AH42*SQRT((AG42/AF42)^2+(AA42/Z42)^2)</f>
        <v>88.756275091222605</v>
      </c>
      <c r="AJ42" s="136">
        <f t="shared" si="134"/>
        <v>-37.98557071586761</v>
      </c>
      <c r="AK42" s="137">
        <f>V42*1000</f>
        <v>0.73117232957466516</v>
      </c>
      <c r="AL42" s="137">
        <f>AF42/Q42</f>
        <v>0.90804584915683739</v>
      </c>
      <c r="AM42" s="137">
        <f>AL42*SQRT((R42/Q42)^2+(AG42/AF42)^2)</f>
        <v>2.6252791069862938E-3</v>
      </c>
      <c r="AN42" s="21">
        <f>AL42*1/((AN41+AN43)/2)</f>
        <v>0.90780275513732656</v>
      </c>
      <c r="AO42" s="133">
        <f>AN42*SQRT((R42/Q42)^2+(AG42/AF42)^2)</f>
        <v>2.6245762904368347E-3</v>
      </c>
      <c r="AP42" s="21">
        <f>ThU_Alter_Kombi(AN42,U42)</f>
        <v>341.60759999999999</v>
      </c>
      <c r="AQ42" s="21">
        <f t="shared" si="136"/>
        <v>7.6073000000000004</v>
      </c>
      <c r="AR42" s="158">
        <f>(AQ42/AP42)</f>
        <v>2.2269118134374061E-2</v>
      </c>
      <c r="AS42" s="135">
        <f t="shared" si="137"/>
        <v>4.087177056760277E-5</v>
      </c>
      <c r="AT42" s="135">
        <f t="shared" si="138"/>
        <v>1.1280532653845282E-7</v>
      </c>
      <c r="AU42" s="21">
        <v>0.75</v>
      </c>
      <c r="AV42" s="21">
        <f>AU42/2</f>
        <v>0.375</v>
      </c>
      <c r="AW42" s="21">
        <f t="shared" si="139"/>
        <v>341.60379999999998</v>
      </c>
      <c r="AX42" s="139">
        <f t="shared" si="140"/>
        <v>7.9536548603000004</v>
      </c>
      <c r="AY42" s="139">
        <f t="shared" si="141"/>
        <v>7.7172302651671734</v>
      </c>
      <c r="AZ42" s="158">
        <f t="shared" si="142"/>
        <v>2.328327395743256E-2</v>
      </c>
      <c r="BA42" s="21" t="str">
        <f>Input!B42</f>
        <v>RuWa51_3_20</v>
      </c>
      <c r="BB42" s="140">
        <f>Input!E42</f>
        <v>20</v>
      </c>
      <c r="BC42" s="21">
        <f>((U42-1)*EXP(Constants!$B$17*AW42*1000))*1000</f>
        <v>-99.607034483383359</v>
      </c>
      <c r="BD42" s="136">
        <f>SQRT((EXP(Constants!$B$17*AW42*1000)*V42)^2+((U42-1)*Constants!$B$17*EXP(Constants!$B$17*AW42*1000)*AY42*1000)^2)*1000</f>
        <v>2.8951473113726967</v>
      </c>
      <c r="BE42" s="21">
        <f t="shared" si="143"/>
        <v>341545.8</v>
      </c>
      <c r="BF42" s="141">
        <f t="shared" si="144"/>
        <v>3858.6151325835867</v>
      </c>
      <c r="BG42" s="23">
        <f t="shared" si="145"/>
        <v>2.2591172185927597</v>
      </c>
      <c r="BH42" s="21"/>
      <c r="BI42" s="21"/>
      <c r="BJ42" s="21"/>
      <c r="BK42" s="21"/>
      <c r="BL42" s="21"/>
      <c r="BM42" s="21"/>
      <c r="BN42" s="163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</row>
    <row r="43" spans="1:110" ht="15" customHeight="1" x14ac:dyDescent="0.2">
      <c r="A43" s="142">
        <f>Input!A43</f>
        <v>10815</v>
      </c>
      <c r="B43" s="142" t="str">
        <f>Input!B43</f>
        <v>Hu1-13</v>
      </c>
      <c r="C43" s="142">
        <f>Input!O43</f>
        <v>2.1169717081969126</v>
      </c>
      <c r="D43" s="142">
        <f>C43*Input!P43/100</f>
        <v>2.6332900039430805E-2</v>
      </c>
      <c r="E43" s="143">
        <f>Input!M43</f>
        <v>2.7315001443604054</v>
      </c>
      <c r="F43" s="144">
        <f>E43*Input!N43/100</f>
        <v>4.0865285252707646E-4</v>
      </c>
      <c r="G43" s="145">
        <f t="shared" ref="G43" si="182">E43*137.88</f>
        <v>376.61923990441267</v>
      </c>
      <c r="H43" s="144">
        <f>G43*Input!L43/100</f>
        <v>2.9354686620523859E-2</v>
      </c>
      <c r="I43" s="142">
        <v>0</v>
      </c>
      <c r="J43" s="146">
        <f>(((C43*Constants!$B$24*0.000000001*Input!G43*(Constants!$B$4/Constants!$B$3))-(I43*0.000000000000001))/Input!F43)*1000000000000</f>
        <v>764.30626347030238</v>
      </c>
      <c r="K43" s="142">
        <f>J43*Input!P43/100</f>
        <v>9.5071655221205518</v>
      </c>
      <c r="L43" s="147">
        <f>(J43/Constants!$B$4)*602200000000*Constants!$B$17/(365.2425*24*60)</f>
        <v>10.552096587793926</v>
      </c>
      <c r="M43" s="148">
        <f>L43*Input!P43/100</f>
        <v>0.13125697597983688</v>
      </c>
      <c r="N43" s="142">
        <v>0</v>
      </c>
      <c r="O43" s="146">
        <f>(((G43*Constants!$B$23*0.000000001*Input!G43*(Constants!$B$7/Constants!$B$6))-(N43*0.000000001))/Input!F43)*1000000</f>
        <v>13.697344152823225</v>
      </c>
      <c r="P43" s="142">
        <f>O43*Input!N43/100</f>
        <v>2.0492251379349482E-3</v>
      </c>
      <c r="Q43" s="149">
        <f>(O43/Constants!$B$7)*602200000000000000*Constants!$B$18/(365.2425*24*60)</f>
        <v>10.219872808280629</v>
      </c>
      <c r="R43" s="150">
        <f>Q43*Input!N43/100</f>
        <v>1.5289694141845647E-3</v>
      </c>
      <c r="S43" s="148">
        <f>Input!S43*Constants!$B$17/Constants!$B$18</f>
        <v>0.99869563937193517</v>
      </c>
      <c r="T43" s="142">
        <f>S43*Input!T43/100</f>
        <v>2.1450253940378718E-3</v>
      </c>
      <c r="U43" s="148">
        <f>S43</f>
        <v>0.99869563937193517</v>
      </c>
      <c r="V43" s="142">
        <f>U43*Input!T43/100</f>
        <v>2.1450253940378718E-3</v>
      </c>
      <c r="W43" s="151">
        <v>0</v>
      </c>
      <c r="X43" s="146">
        <f>(((Constants!$B$25*0.000000001*Input!G43/Input!W43*(Constants!$B$11/Constants!$B$9))-(W43*0.000000001))/Input!F43)*1000000000</f>
        <v>0.88974369054033797</v>
      </c>
      <c r="Y43" s="146">
        <f>X43*Input!X43/100</f>
        <v>3.6122079269717607E-3</v>
      </c>
      <c r="Z43" s="146">
        <f>(X43/Constants!$B$11)*6.022E+23*0.000000001*Constants!$B$19/(365.2425*24*60)</f>
        <v>2.1721519914512242E-4</v>
      </c>
      <c r="AA43" s="146">
        <f>Z43*Input!X43/100</f>
        <v>8.8185673307136363E-7</v>
      </c>
      <c r="AB43" s="147">
        <v>0</v>
      </c>
      <c r="AC43" s="147">
        <v>0.9</v>
      </c>
      <c r="AD43" s="146">
        <f>(((Input!G43*Constants!$B$25*0.000000001*Input!U43*(Constants!$B$10/Constants!$B$9))-((AB43*0.000000000000001)+(Input!G43*AC43*0.000000000000001)))/Input!F43)*1000000000000</f>
        <v>223.9557412341089</v>
      </c>
      <c r="AE43" s="146">
        <f>AD43*Input!V43/100</f>
        <v>0.77739110668782896</v>
      </c>
      <c r="AF43" s="146">
        <f>(AD43/Constants!$B$10)*602200000000*Constants!$B$16/(365.2425*24*60)</f>
        <v>10.2226095150661</v>
      </c>
      <c r="AG43" s="146">
        <f>AF43*Input!V43/100</f>
        <v>3.5484536723028329E-2</v>
      </c>
      <c r="AH43" s="142">
        <f t="shared" ref="AH43" si="183">AF43/Z43</f>
        <v>47062.12804305803</v>
      </c>
      <c r="AI43" s="151">
        <f t="shared" ref="AI43" si="184">AH43*SQRT((AG43/AF43)^2+(AA43/Z43)^2)</f>
        <v>251.38103122357501</v>
      </c>
      <c r="AJ43" s="148">
        <f t="shared" si="134"/>
        <v>-1.3043606280648268</v>
      </c>
      <c r="AK43" s="151">
        <f t="shared" ref="AK43" si="185">V43*1000</f>
        <v>2.1450253940378716</v>
      </c>
      <c r="AL43" s="151">
        <f t="shared" ref="AL43" si="186">AF43/Q43</f>
        <v>1.0002677828615689</v>
      </c>
      <c r="AM43" s="151">
        <f t="shared" ref="AM43" si="187">AL43*SQRT((R43/Q43)^2+(AG43/AF43)^2)</f>
        <v>3.4753347826297159E-3</v>
      </c>
      <c r="AN43" s="142">
        <f>AF43/Q43</f>
        <v>1.0002677828615689</v>
      </c>
      <c r="AO43" s="146">
        <f t="shared" ref="AO43" si="188">AN43*SQRT((R43/Q43)^2+(AG43/AF43)^2)</f>
        <v>3.4753347826297159E-3</v>
      </c>
      <c r="AP43" s="142" t="str">
        <f t="shared" ref="AP43" si="189">ThU_Alter_Kombi(AN43,U43)</f>
        <v>Out of range</v>
      </c>
      <c r="AQ43" s="142" t="e">
        <f t="shared" si="136"/>
        <v>#VALUE!</v>
      </c>
      <c r="AR43" s="142" t="e">
        <f>(AQ43/AP43)*100</f>
        <v>#VALUE!</v>
      </c>
      <c r="AS43" s="150">
        <f t="shared" si="137"/>
        <v>2.1254197896584807E-5</v>
      </c>
      <c r="AT43" s="150">
        <f t="shared" si="138"/>
        <v>8.6346994240361259E-8</v>
      </c>
      <c r="AU43" s="142">
        <v>0.75</v>
      </c>
      <c r="AV43" s="142">
        <f t="shared" ref="AV43" si="190">AU43/2</f>
        <v>0.375</v>
      </c>
      <c r="AW43" s="142" t="str">
        <f t="shared" si="139"/>
        <v>Out of range</v>
      </c>
      <c r="AX43" s="152">
        <f t="shared" si="140"/>
        <v>312.32706897420002</v>
      </c>
      <c r="AY43" s="152" t="e">
        <f t="shared" si="141"/>
        <v>#VALUE!</v>
      </c>
      <c r="AZ43" s="153" t="e">
        <f t="shared" si="142"/>
        <v>#VALUE!</v>
      </c>
      <c r="BA43" s="142" t="str">
        <f>Input!B43</f>
        <v>Hu1-13</v>
      </c>
      <c r="BB43" s="154">
        <f>Input!E43</f>
        <v>0</v>
      </c>
      <c r="BC43" s="142" t="e">
        <f>((U43-1)*EXP(Constants!$B$17*AW43*1000))*1000</f>
        <v>#VALUE!</v>
      </c>
      <c r="BD43" s="148" t="e">
        <f>SQRT((EXP(Constants!$B$17*AW43*1000)*V43)^2+((U43-1)*Constants!$B$17*EXP(Constants!$B$17*AW43*1000)*AY43*1000)^2)*1000</f>
        <v>#VALUE!</v>
      </c>
      <c r="BE43" s="142" t="e">
        <f t="shared" si="143"/>
        <v>#VALUE!</v>
      </c>
      <c r="BF43" s="155" t="e">
        <f t="shared" si="144"/>
        <v>#VALUE!</v>
      </c>
      <c r="BG43" s="164" t="e">
        <f t="shared" si="145"/>
        <v>#VALUE!</v>
      </c>
      <c r="BH43" s="142"/>
      <c r="BI43" s="21"/>
      <c r="BJ43" s="21"/>
      <c r="BK43" s="21"/>
      <c r="BL43" s="21"/>
      <c r="BM43" s="21"/>
      <c r="BN43" s="163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</row>
    <row r="45" spans="1:110" ht="15" customHeight="1" x14ac:dyDescent="0.2">
      <c r="A45" s="142">
        <f>Input!A45</f>
        <v>10815</v>
      </c>
      <c r="B45" s="142" t="str">
        <f>Input!B45</f>
        <v>Hu1-13</v>
      </c>
      <c r="C45" s="142">
        <f>Input!O45</f>
        <v>2.0969058031035059</v>
      </c>
      <c r="D45" s="142">
        <f>C45*Input!P45/100</f>
        <v>2.3732417479615787E-2</v>
      </c>
      <c r="E45" s="143">
        <f>Input!M45</f>
        <v>2.7319896290707808</v>
      </c>
      <c r="F45" s="144">
        <f>E45*Input!N45/100</f>
        <v>3.3695882838605528E-4</v>
      </c>
      <c r="G45" s="145">
        <f>E45*137.88</f>
        <v>376.68673005627926</v>
      </c>
      <c r="H45" s="144">
        <f>G45*Input!L45/100</f>
        <v>2.6217733772186821E-2</v>
      </c>
      <c r="I45" s="142">
        <v>0</v>
      </c>
      <c r="J45" s="146">
        <f>(((C45*Constants!$B$24*0.000000001*Input!G45*(Constants!$B$4/Constants!$B$3))-(I45*0.000000000000001))/Input!F45)*1000000000000</f>
        <v>757.06171840354102</v>
      </c>
      <c r="K45" s="142">
        <f>J45*Input!P45/100</f>
        <v>8.5682936889184109</v>
      </c>
      <c r="L45" s="147">
        <f>(J45/Constants!$B$4)*602200000000*Constants!$B$17/(365.2425*24*60)</f>
        <v>10.452077599421388</v>
      </c>
      <c r="M45" s="148">
        <f>L45*Input!P45/100</f>
        <v>0.11829480787915228</v>
      </c>
      <c r="N45" s="142">
        <v>0</v>
      </c>
      <c r="O45" s="146">
        <f>(((G45*Constants!$B$23*0.000000001*Input!G45*(Constants!$B$7/Constants!$B$6))-(N45*0.000000001))/Input!F45)*1000000</f>
        <v>13.699798716316256</v>
      </c>
      <c r="P45" s="142">
        <f>O45*Input!N45/100</f>
        <v>1.6897092417385274E-3</v>
      </c>
      <c r="Q45" s="149">
        <f>(O45/Constants!$B$7)*602200000000000000*Constants!$B$18/(365.2425*24*60)</f>
        <v>10.22170420905575</v>
      </c>
      <c r="R45" s="150">
        <f>Q45*Input!N45/100</f>
        <v>1.2607271410337406E-3</v>
      </c>
      <c r="S45" s="148">
        <f>Input!S45*Constants!$B$17/Constants!$B$18</f>
        <v>1.0000831801665506</v>
      </c>
      <c r="T45" s="142">
        <f>S45*Input!T45/100</f>
        <v>1.6714127702693255E-3</v>
      </c>
      <c r="U45" s="148">
        <f>S45</f>
        <v>1.0000831801665506</v>
      </c>
      <c r="V45" s="142">
        <f>U45*Input!T45/100</f>
        <v>1.6714127702693255E-3</v>
      </c>
      <c r="W45" s="151">
        <v>0</v>
      </c>
      <c r="X45" s="146">
        <f>(((Constants!$B$25*0.000000001*Input!G45/Input!W45*(Constants!$B$11/Constants!$B$9))-(W45*0.000000001))/Input!F45)*1000000000</f>
        <v>0.87221225279425252</v>
      </c>
      <c r="Y45" s="146">
        <f>X45*Input!X45/100</f>
        <v>4.749825059668881E-3</v>
      </c>
      <c r="Z45" s="146">
        <f>(X45/Constants!$B$11)*6.022E+23*0.000000001*Constants!$B$19/(365.2425*24*60)</f>
        <v>2.1293520842217211E-4</v>
      </c>
      <c r="AA45" s="146">
        <f>Z45*Input!X45/100</f>
        <v>1.1595858528807334E-6</v>
      </c>
      <c r="AB45" s="147">
        <v>0</v>
      </c>
      <c r="AC45" s="147">
        <v>0.9</v>
      </c>
      <c r="AD45" s="146">
        <f>(((Input!G45*Constants!$B$25*0.000000001*Input!U45*(Constants!$B$10/Constants!$B$9))-((AB45*0.000000000000001)+(Input!G45*AC45*0.000000000000001)))/Input!F45)*1000000000000</f>
        <v>223.0105845570022</v>
      </c>
      <c r="AE45" s="146">
        <f>AD45*Input!V45/100</f>
        <v>0.52258923723873185</v>
      </c>
      <c r="AF45" s="146">
        <f>(AD45/Constants!$B$10)*602200000000*Constants!$B$16/(365.2425*24*60)</f>
        <v>10.179467206735996</v>
      </c>
      <c r="AG45" s="146">
        <f>AF45*Input!V45/100</f>
        <v>2.3853935066051189E-2</v>
      </c>
      <c r="AH45" s="142">
        <f>AF45/Z45</f>
        <v>47805.467598171279</v>
      </c>
      <c r="AI45" s="151">
        <f>AH45*SQRT((AG45/AF45)^2+(AA45/Z45)^2)</f>
        <v>283.41473552017681</v>
      </c>
      <c r="AJ45" s="148">
        <f t="shared" ref="AJ45:AJ55" si="191">(U45-1)*1000</f>
        <v>8.3180166550622658E-2</v>
      </c>
      <c r="AK45" s="151">
        <f>V45*1000</f>
        <v>1.6714127702693256</v>
      </c>
      <c r="AL45" s="151">
        <f>AF45/Q45</f>
        <v>0.9958679099437906</v>
      </c>
      <c r="AM45" s="151">
        <f>AL45*SQRT((R45/Q45)^2+(AG45/AF45)^2)</f>
        <v>2.3368856027956141E-3</v>
      </c>
      <c r="AN45" s="142">
        <f>AF45/Q45</f>
        <v>0.9958679099437906</v>
      </c>
      <c r="AO45" s="146">
        <f>AN45*SQRT((R45/Q45)^2+(AG45/AF45)^2)</f>
        <v>2.3368856027956141E-3</v>
      </c>
      <c r="AP45" s="142">
        <f t="shared" ref="AP45" si="192">ThU_Alter_Kombi(AN45,U45)</f>
        <v>595.49019999999996</v>
      </c>
      <c r="AQ45" s="142" t="e">
        <f t="shared" ref="AQ45:AQ55" si="193">Montealter(AN45,AO45,U45,V45)</f>
        <v>#VALUE!</v>
      </c>
      <c r="AR45" s="142" t="e">
        <f>(AQ45/AP45)*100</f>
        <v>#VALUE!</v>
      </c>
      <c r="AS45" s="150">
        <f t="shared" ref="AS45:AS55" si="194">Z45/Q45</f>
        <v>2.0831673864474154E-5</v>
      </c>
      <c r="AT45" s="150">
        <f t="shared" ref="AT45:AT55" si="195">AS45*SQRT((Y45/X45)^2+(P45/O45)^2)</f>
        <v>1.1347258758867203E-7</v>
      </c>
      <c r="AU45" s="142">
        <v>0.75</v>
      </c>
      <c r="AV45" s="142">
        <f>AU45/2</f>
        <v>0.375</v>
      </c>
      <c r="AW45" s="142">
        <f t="shared" ref="AW45:AW55" si="196">marincorr_age(AN45,U45,AS45,AU45)</f>
        <v>595.48850000000004</v>
      </c>
      <c r="AX45" s="152">
        <f t="shared" ref="AX45:AX55" si="197">marincorr_age_error(AN45, AO45, U45, V45, AS45, AT45, AU45, AV45)</f>
        <v>216.5001721349</v>
      </c>
      <c r="AY45" s="152">
        <f t="shared" ref="AY45:AY55" si="198">SQRT(((AU45*EXP(-0.0000091577*AW45*1000))/(0.0000091577*(EXP(-0.0000091577*AW45*1000)+(AJ45/1000)*EXP(-(0.0000091577-0.0000028263)*AW45*1000)-AS45*AU45*EXP(-0.0000091577*AW45*1000))))^2*AT45^2+((AS45*EXP(-0.0000091577*AW45*1000))/(0.0000091577*(EXP(-0.0000091577*AW45*1000)+(AJ45/1000)*EXP(-(0.0000091577-0.0000028263)*AW45*1000)-AS45*AU45*EXP(-0.0000091577*AW45*1000))))^2*AV45^2+((0.0000091577/(0.0000091577-0.0000028263))*(EXP(-(0.0000091577-0.0000028263)*AW45*1000)-1)/(0.0000091577*(EXP(-0.0000091577*AW45*1000)+(AJ45/1000)*EXP(-(0.0000091577-0.0000028263)*AW45*1000)-AS45*AU45*EXP(-0.0000091577*AW45*1000))))^2*T45^2+(1/(0.0000091577*(EXP(-0.0000091577*AW45*1000)+(AJ45/1000)*EXP(-(0.0000091577-0.0000028263)*AW45*1000)-AS45*AU45*EXP(-0.0000091577*AW45*1000))))^2*AO45^2)/1000</f>
        <v>84.690468701103939</v>
      </c>
      <c r="AZ45" s="153">
        <f t="shared" ref="AZ45:AZ55" si="199">AX45/AW45</f>
        <v>0.36356734367649413</v>
      </c>
      <c r="BA45" s="142" t="str">
        <f>Input!B45</f>
        <v>Hu1-13</v>
      </c>
      <c r="BB45" s="154">
        <f>Input!E45</f>
        <v>0</v>
      </c>
      <c r="BC45" s="142">
        <f>((U45-1)*EXP(Constants!$B$17*AW45*1000))*1000</f>
        <v>0.44653295854132335</v>
      </c>
      <c r="BD45" s="148">
        <f>SQRT((EXP(Constants!$B$17*AW45*1000)*V45)^2+((U45-1)*Constants!$B$17*EXP(Constants!$B$17*AW45*1000)*AY45*1000)^2)*1000</f>
        <v>8.9732169565867359</v>
      </c>
      <c r="BE45" s="142">
        <f t="shared" ref="BE45:BE55" si="200">AW45*1000-58</f>
        <v>595430.5</v>
      </c>
      <c r="BF45" s="155">
        <f t="shared" ref="BF45:BF55" si="201">AY45/2*1000</f>
        <v>42345.234350551968</v>
      </c>
      <c r="BG45" s="164">
        <f t="shared" ref="BG45:BG55" si="202">AY45/AW45*100</f>
        <v>14.222015824168549</v>
      </c>
      <c r="BH45" s="142"/>
      <c r="BI45" s="21"/>
      <c r="BJ45" s="21"/>
      <c r="BK45" s="21"/>
      <c r="BL45" s="21"/>
      <c r="BM45" s="21"/>
      <c r="BN45" s="163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</row>
    <row r="46" spans="1:110" ht="15" customHeight="1" x14ac:dyDescent="0.2">
      <c r="A46" s="21">
        <f>Input!A46</f>
        <v>10909</v>
      </c>
      <c r="B46" s="21" t="str">
        <f>Input!B46</f>
        <v>M43_401_14_5B_Base</v>
      </c>
      <c r="C46" s="21">
        <f>Input!O46</f>
        <v>1.1801257510234429</v>
      </c>
      <c r="D46" s="21">
        <f>C46*Input!P46/100</f>
        <v>7.5497128820028693E-3</v>
      </c>
      <c r="E46" s="156">
        <f>Input!M46</f>
        <v>0.72103688330087556</v>
      </c>
      <c r="F46" s="157">
        <f>E46*Input!N46/100</f>
        <v>8.7660931230532909E-5</v>
      </c>
      <c r="G46" s="24">
        <f>E46*137.88</f>
        <v>99.416565469524713</v>
      </c>
      <c r="H46" s="157">
        <f>G46*Input!L46/100</f>
        <v>2.088583757275695E-2</v>
      </c>
      <c r="I46" s="21">
        <v>0.3</v>
      </c>
      <c r="J46" s="133">
        <f>(((C46*Constants!$B$24*0.000000001*Input!G46*(Constants!$B$4/Constants!$B$3))-(I46*0.000000000000001))/Input!F46)*1000000000000</f>
        <v>41.913331522271093</v>
      </c>
      <c r="K46" s="21">
        <f>J46*Input!P46/100</f>
        <v>0.26813550898870364</v>
      </c>
      <c r="L46" s="138">
        <f>(J46/Constants!$B$4)*602200000000*Constants!$B$17/(365.2425*24*60)</f>
        <v>0.57866007865892255</v>
      </c>
      <c r="M46" s="136">
        <f>L46*Input!P46/100</f>
        <v>3.7019084164237326E-3</v>
      </c>
      <c r="N46" s="21">
        <v>5.0000000000000001E-3</v>
      </c>
      <c r="O46" s="133">
        <f>(((G46*Constants!$B$23*0.000000001*Input!G46*(Constants!$B$7/Constants!$B$6))-(N46*0.000000001))/Input!F46)*1000000</f>
        <v>0.35566093988063374</v>
      </c>
      <c r="P46" s="21">
        <f>O46*Input!N46/100</f>
        <v>4.3239908962123238E-5</v>
      </c>
      <c r="Q46" s="134">
        <f>(O46/Constants!$B$7)*602200000000000000*Constants!$B$18/(365.2425*24*60)</f>
        <v>0.26536601022063333</v>
      </c>
      <c r="R46" s="135">
        <f>Q46*Input!N46/100</f>
        <v>3.2262193670840172E-5</v>
      </c>
      <c r="S46" s="136">
        <f>Input!S46*Constants!$B$17/Constants!$B$18</f>
        <v>2.1737480739158332</v>
      </c>
      <c r="T46" s="21">
        <f>S46*Input!T46/100</f>
        <v>4.0835203451473016E-3</v>
      </c>
      <c r="U46" s="21">
        <f>S46*1/((U45+U47)/2)</f>
        <v>2.1750270158264957</v>
      </c>
      <c r="V46" s="21">
        <f>U46*Input!T46/100</f>
        <v>4.0859229167125718E-3</v>
      </c>
      <c r="W46" s="137">
        <v>3.0000000000000001E-3</v>
      </c>
      <c r="X46" s="133">
        <f>IF((((Constants!$B$25*0.000000001*Input!G46/Input!W46*(Constants!$B$11/Constants!$B$9))-(W46*0.000000001))/Input!F46)*1000000000&lt;0, "n.d.", (((Constants!$B$25*0.000000001*Input!G46/Input!W46*(Constants!$B$11/Constants!$B$9))-(W46*0.000000001))/Input!F46)*1000000000)</f>
        <v>0.10138698957176444</v>
      </c>
      <c r="Y46" s="133">
        <f>X46*Input!X46/100</f>
        <v>7.5089370603859953E-4</v>
      </c>
      <c r="Z46" s="133">
        <f>(X46/Constants!$B$11)*6.022E+23*0.000000001*Constants!$B$19/(365.2425*24*60)</f>
        <v>2.4751841867157164E-5</v>
      </c>
      <c r="AA46" s="133">
        <f>Z46*Input!X46/100</f>
        <v>1.8331742908448166E-7</v>
      </c>
      <c r="AB46" s="138">
        <v>0.05</v>
      </c>
      <c r="AC46" s="138">
        <v>0.9</v>
      </c>
      <c r="AD46" s="133">
        <f>(((Input!G46*Constants!$B$25*0.000000001*Input!U46*(Constants!$B$10/Constants!$B$9))-((AB46*0.000000000000001)+(Input!G46*AC46*0.000000000000001)))/Input!F46)*1000000000000</f>
        <v>7.2157385902525943</v>
      </c>
      <c r="AE46" s="133">
        <f>AD46*Input!V46/100</f>
        <v>2.4854574607181979E-2</v>
      </c>
      <c r="AF46" s="133">
        <f>(AD46/Constants!$B$10)*602200000000*Constants!$B$16/(365.2425*24*60)</f>
        <v>0.32936721141628622</v>
      </c>
      <c r="AG46" s="133">
        <f>AF46*Input!V46/100</f>
        <v>1.1345036723425699E-3</v>
      </c>
      <c r="AH46" s="21">
        <f>AF46/Z46</f>
        <v>13306.775842541176</v>
      </c>
      <c r="AI46" s="137">
        <f>AH46*SQRT((AG46/AF46)^2+(AA46/Z46)^2)</f>
        <v>108.69000702828359</v>
      </c>
      <c r="AJ46" s="136">
        <f t="shared" si="191"/>
        <v>1175.0270158264957</v>
      </c>
      <c r="AK46" s="137">
        <f>V46*1000</f>
        <v>4.0859229167125717</v>
      </c>
      <c r="AL46" s="137">
        <f>AF46/Q46</f>
        <v>1.2411808548594463</v>
      </c>
      <c r="AM46" s="137">
        <f>AL46*SQRT((R46/Q46)^2+(AG46/AF46)^2)</f>
        <v>4.2779033010879571E-3</v>
      </c>
      <c r="AN46" s="21">
        <f>AL46*1/((AN45+AN47)/2)</f>
        <v>1.242773322339761</v>
      </c>
      <c r="AO46" s="133">
        <f>AN46*SQRT((R46/Q46)^2+(AG46/AF46)^2)</f>
        <v>4.2833919628444137E-3</v>
      </c>
      <c r="AP46" s="21">
        <f>ThU_Alter_Kombi(AN46,U46)</f>
        <v>84.387799999999999</v>
      </c>
      <c r="AQ46" s="21">
        <f t="shared" si="193"/>
        <v>0.47910000000000003</v>
      </c>
      <c r="AR46" s="158">
        <f>(AQ46/AP46)</f>
        <v>5.6773609455395219E-3</v>
      </c>
      <c r="AS46" s="135">
        <f t="shared" si="194"/>
        <v>9.3274349064440223E-5</v>
      </c>
      <c r="AT46" s="135">
        <f t="shared" si="195"/>
        <v>6.9090282594302529E-7</v>
      </c>
      <c r="AU46" s="21">
        <v>0.75</v>
      </c>
      <c r="AV46" s="21">
        <f>AU46/2</f>
        <v>0.375</v>
      </c>
      <c r="AW46" s="21">
        <f t="shared" si="196"/>
        <v>84.384699999999995</v>
      </c>
      <c r="AX46" s="139">
        <f t="shared" si="197"/>
        <v>0.48338740619999998</v>
      </c>
      <c r="AY46" s="139">
        <f t="shared" si="198"/>
        <v>0.46815767862602042</v>
      </c>
      <c r="AZ46" s="158">
        <f t="shared" si="199"/>
        <v>5.7283773740974368E-3</v>
      </c>
      <c r="BA46" s="21" t="str">
        <f>Input!B46</f>
        <v>M43_401_14_5B_Base</v>
      </c>
      <c r="BB46" s="140">
        <f>Input!E46</f>
        <v>0</v>
      </c>
      <c r="BC46" s="21">
        <f>((U46-1)*EXP(Constants!$B$17*AW46*1000))*1000</f>
        <v>1490.9743404447327</v>
      </c>
      <c r="BD46" s="136">
        <f>SQRT((EXP(Constants!$B$17*AW46*1000)*V46)^2+((U46-1)*Constants!$B$17*EXP(Constants!$B$17*AW46*1000)*AY46*1000)^2)*1000</f>
        <v>5.5461663651731445</v>
      </c>
      <c r="BE46" s="21">
        <f t="shared" si="200"/>
        <v>84326.7</v>
      </c>
      <c r="BF46" s="141">
        <f t="shared" si="201"/>
        <v>234.07883931301021</v>
      </c>
      <c r="BG46" s="23">
        <f t="shared" si="202"/>
        <v>0.55478976476306774</v>
      </c>
      <c r="BH46" s="21"/>
      <c r="BI46" s="21"/>
      <c r="BJ46" s="21"/>
      <c r="BK46" s="21"/>
      <c r="BL46" s="21"/>
      <c r="BM46" s="21"/>
      <c r="BN46" s="163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</row>
    <row r="47" spans="1:110" ht="15" customHeight="1" x14ac:dyDescent="0.2">
      <c r="A47" s="142">
        <f>Input!A47</f>
        <v>10815</v>
      </c>
      <c r="B47" s="142" t="str">
        <f>Input!B47</f>
        <v>Hu1-13</v>
      </c>
      <c r="C47" s="142">
        <f>Input!O47</f>
        <v>2.1076453659297796</v>
      </c>
      <c r="D47" s="142">
        <f>C47*Input!P47/100</f>
        <v>2.2078799668686769E-2</v>
      </c>
      <c r="E47" s="143">
        <f>Input!M47</f>
        <v>2.7326245378589227</v>
      </c>
      <c r="F47" s="144">
        <f>E47*Input!N47/100</f>
        <v>3.819129864459245E-4</v>
      </c>
      <c r="G47" s="145">
        <f t="shared" ref="G47" si="203">E47*137.88</f>
        <v>376.77427127998823</v>
      </c>
      <c r="H47" s="144">
        <f>G47*Input!L47/100</f>
        <v>2.3795078609885025E-2</v>
      </c>
      <c r="I47" s="142">
        <v>0</v>
      </c>
      <c r="J47" s="146">
        <f>(((C47*Constants!$B$24*0.000000001*Input!G47*(Constants!$B$4/Constants!$B$3))-(I47*0.000000000000001))/Input!F47)*1000000000000</f>
        <v>760.9391037758968</v>
      </c>
      <c r="K47" s="142">
        <f>J47*Input!P47/100</f>
        <v>7.9712755779132456</v>
      </c>
      <c r="L47" s="147">
        <f>(J47/Constants!$B$4)*602200000000*Constants!$B$17/(365.2425*24*60)</f>
        <v>10.50560920960528</v>
      </c>
      <c r="M47" s="148">
        <f>L47*Input!P47/100</f>
        <v>0.11005230997865781</v>
      </c>
      <c r="N47" s="142">
        <v>0</v>
      </c>
      <c r="O47" s="146">
        <f>(((G47*Constants!$B$23*0.000000001*Input!G47*(Constants!$B$7/Constants!$B$6))-(N47*0.000000001))/Input!F47)*1000000</f>
        <v>13.702982521447948</v>
      </c>
      <c r="P47" s="142">
        <f>O47*Input!N47/100</f>
        <v>1.9151357625160404E-3</v>
      </c>
      <c r="Q47" s="149">
        <f>(O47/Constants!$B$7)*602200000000000000*Constants!$B$18/(365.2425*24*60)</f>
        <v>10.224079712155419</v>
      </c>
      <c r="R47" s="150">
        <f>Q47*Input!N47/100</f>
        <v>1.4289225476947145E-3</v>
      </c>
      <c r="S47" s="148">
        <f>Input!S47*Constants!$B$17/Constants!$B$18</f>
        <v>0.99874079590238418</v>
      </c>
      <c r="T47" s="142">
        <f>S47*Input!T47/100</f>
        <v>1.6289030720414593E-3</v>
      </c>
      <c r="U47" s="148">
        <f>S47</f>
        <v>0.99874079590238418</v>
      </c>
      <c r="V47" s="142">
        <f>U47*Input!T47/100</f>
        <v>1.6289030720414593E-3</v>
      </c>
      <c r="W47" s="151">
        <v>0</v>
      </c>
      <c r="X47" s="146">
        <f>(((Constants!$B$25*0.000000001*Input!G47/Input!W47*(Constants!$B$11/Constants!$B$9))-(W47*0.000000001))/Input!F47)*1000000000</f>
        <v>0.86759197257695531</v>
      </c>
      <c r="Y47" s="146">
        <f>X47*Input!X47/100</f>
        <v>5.5747074916901972E-3</v>
      </c>
      <c r="Z47" s="146">
        <f>(X47/Constants!$B$11)*6.022E+23*0.000000001*Constants!$B$19/(365.2425*24*60)</f>
        <v>2.1180724865333463E-4</v>
      </c>
      <c r="AA47" s="146">
        <f>Z47*Input!X47/100</f>
        <v>1.3609663219391987E-6</v>
      </c>
      <c r="AB47" s="147">
        <v>0</v>
      </c>
      <c r="AC47" s="147">
        <v>0.9</v>
      </c>
      <c r="AD47" s="146">
        <f>(((Input!G47*Constants!$B$25*0.000000001*Input!U47*(Constants!$B$10/Constants!$B$9))-((AB47*0.000000000000001)+(Input!G47*AC47*0.000000000000001)))/Input!F47)*1000000000000</f>
        <v>224.33946022606662</v>
      </c>
      <c r="AE47" s="146">
        <f>AD47*Input!V47/100</f>
        <v>0.64630825124552738</v>
      </c>
      <c r="AF47" s="146">
        <f>(AD47/Constants!$B$10)*602200000000*Constants!$B$16/(365.2425*24*60)</f>
        <v>10.240124624956488</v>
      </c>
      <c r="AG47" s="146">
        <f>AF47*Input!V47/100</f>
        <v>2.9501172162145081E-2</v>
      </c>
      <c r="AH47" s="142">
        <f t="shared" ref="AH47" si="204">AF47/Z47</f>
        <v>48346.431437370309</v>
      </c>
      <c r="AI47" s="151">
        <f t="shared" ref="AI47" si="205">AH47*SQRT((AG47/AF47)^2+(AA47/Z47)^2)</f>
        <v>340.44535590248933</v>
      </c>
      <c r="AJ47" s="148">
        <f t="shared" si="191"/>
        <v>-1.2592040976158181</v>
      </c>
      <c r="AK47" s="151">
        <f t="shared" ref="AK47" si="206">V47*1000</f>
        <v>1.6289030720414592</v>
      </c>
      <c r="AL47" s="151">
        <f t="shared" ref="AL47" si="207">AF47/Q47</f>
        <v>1.0015693258711582</v>
      </c>
      <c r="AM47" s="151">
        <f t="shared" ref="AM47" si="208">AL47*SQRT((R47/Q47)^2+(AG47/AF47)^2)</f>
        <v>2.8888532788691325E-3</v>
      </c>
      <c r="AN47" s="142">
        <f>AF47/Q47</f>
        <v>1.0015693258711582</v>
      </c>
      <c r="AO47" s="146">
        <f t="shared" ref="AO47" si="209">AN47*SQRT((R47/Q47)^2+(AG47/AF47)^2)</f>
        <v>2.8888532788691325E-3</v>
      </c>
      <c r="AP47" s="142" t="str">
        <f t="shared" ref="AP47" si="210">ThU_Alter_Kombi(AN47,U47)</f>
        <v>Out of range</v>
      </c>
      <c r="AQ47" s="142" t="e">
        <f t="shared" si="193"/>
        <v>#VALUE!</v>
      </c>
      <c r="AR47" s="142" t="e">
        <f>(AQ47/AP47)*100</f>
        <v>#VALUE!</v>
      </c>
      <c r="AS47" s="150">
        <f t="shared" si="194"/>
        <v>2.0716509907636652E-5</v>
      </c>
      <c r="AT47" s="150">
        <f t="shared" si="195"/>
        <v>1.33145306071314E-7</v>
      </c>
      <c r="AU47" s="142">
        <v>0.75</v>
      </c>
      <c r="AV47" s="142">
        <f t="shared" ref="AV47" si="211">AU47/2</f>
        <v>0.375</v>
      </c>
      <c r="AW47" s="142" t="str">
        <f t="shared" si="196"/>
        <v>Out of range</v>
      </c>
      <c r="AX47" s="152">
        <f t="shared" si="197"/>
        <v>253.9894801202</v>
      </c>
      <c r="AY47" s="152" t="e">
        <f t="shared" si="198"/>
        <v>#VALUE!</v>
      </c>
      <c r="AZ47" s="153" t="e">
        <f t="shared" si="199"/>
        <v>#VALUE!</v>
      </c>
      <c r="BA47" s="142" t="str">
        <f>Input!B47</f>
        <v>Hu1-13</v>
      </c>
      <c r="BB47" s="154">
        <f>Input!E47</f>
        <v>0</v>
      </c>
      <c r="BC47" s="142" t="e">
        <f>((U47-1)*EXP(Constants!$B$17*AW47*1000))*1000</f>
        <v>#VALUE!</v>
      </c>
      <c r="BD47" s="148" t="e">
        <f>SQRT((EXP(Constants!$B$17*AW47*1000)*V47)^2+((U47-1)*Constants!$B$17*EXP(Constants!$B$17*AW47*1000)*AY47*1000)^2)*1000</f>
        <v>#VALUE!</v>
      </c>
      <c r="BE47" s="142" t="e">
        <f t="shared" si="200"/>
        <v>#VALUE!</v>
      </c>
      <c r="BF47" s="155" t="e">
        <f t="shared" si="201"/>
        <v>#VALUE!</v>
      </c>
      <c r="BG47" s="164" t="e">
        <f t="shared" si="202"/>
        <v>#VALUE!</v>
      </c>
      <c r="BH47" s="142"/>
      <c r="BI47" s="21"/>
      <c r="BJ47" s="21"/>
      <c r="BK47" s="21"/>
      <c r="BL47" s="21"/>
      <c r="BM47" s="21"/>
      <c r="BN47" s="163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</row>
    <row r="48" spans="1:110" ht="15" customHeight="1" x14ac:dyDescent="0.2">
      <c r="A48" s="21">
        <f>Input!A48</f>
        <v>10910</v>
      </c>
      <c r="B48" s="21" t="str">
        <f>Input!B48</f>
        <v>M43_401_14_15_E</v>
      </c>
      <c r="C48" s="21">
        <f>Input!O48</f>
        <v>1.4519934666578802</v>
      </c>
      <c r="D48" s="21">
        <f>C48*Input!P48/100</f>
        <v>5.4587869463603063E-3</v>
      </c>
      <c r="E48" s="156">
        <f>Input!M48</f>
        <v>0.72032329374937076</v>
      </c>
      <c r="F48" s="157">
        <f>E48*Input!N48/100</f>
        <v>6.0304137241996438E-5</v>
      </c>
      <c r="G48" s="24">
        <f>E48*137.88</f>
        <v>99.318175742163234</v>
      </c>
      <c r="H48" s="157">
        <f>G48*Input!L48/100</f>
        <v>7.6665373481488823E-3</v>
      </c>
      <c r="I48" s="21">
        <v>0.3</v>
      </c>
      <c r="J48" s="133">
        <f>(((C48*Constants!$B$24*0.000000001*Input!G48*(Constants!$B$4/Constants!$B$3))-(I48*0.000000000000001))/Input!F48)*1000000000000</f>
        <v>75.617960421576427</v>
      </c>
      <c r="K48" s="21">
        <f>J48*Input!P48/100</f>
        <v>0.28428663402309357</v>
      </c>
      <c r="L48" s="138">
        <f>(J48/Constants!$B$4)*602200000000*Constants!$B$17/(365.2425*24*60)</f>
        <v>1.0439899033634659</v>
      </c>
      <c r="M48" s="136">
        <f>L48*Input!P48/100</f>
        <v>3.9248926303572882E-3</v>
      </c>
      <c r="N48" s="21">
        <v>5.0000000000000001E-3</v>
      </c>
      <c r="O48" s="133">
        <f>(((G48*Constants!$B$23*0.000000001*Input!G48*(Constants!$B$7/Constants!$B$6))-(N48*0.000000001))/Input!F48)*1000000</f>
        <v>0.52100141845247394</v>
      </c>
      <c r="P48" s="21">
        <f>O48*Input!N48/100</f>
        <v>4.3617277567264914E-5</v>
      </c>
      <c r="Q48" s="134">
        <f>(O48/Constants!$B$7)*602200000000000000*Constants!$B$18/(365.2425*24*60)</f>
        <v>0.38872997349786254</v>
      </c>
      <c r="R48" s="135">
        <f>Q48*Input!N48/100</f>
        <v>3.2543756220729906E-5</v>
      </c>
      <c r="S48" s="136">
        <f>Input!S48*Constants!$B$17/Constants!$B$18</f>
        <v>2.6736818131352238</v>
      </c>
      <c r="T48" s="21">
        <f>S48*Input!T48/100</f>
        <v>2.5077146758561352E-3</v>
      </c>
      <c r="U48" s="21">
        <f>S48*1/((U47+U49)/2)</f>
        <v>2.6749581310378621</v>
      </c>
      <c r="V48" s="21">
        <f>U48*Input!T48/100</f>
        <v>2.508911767117998E-3</v>
      </c>
      <c r="W48" s="137">
        <v>3.0000000000000001E-3</v>
      </c>
      <c r="X48" s="133">
        <f>IF((((Constants!$B$25*0.000000001*Input!G48/Input!W48*(Constants!$B$11/Constants!$B$9))-(W48*0.000000001))/Input!F48)*1000000000&lt;0, "n.d.", (((Constants!$B$25*0.000000001*Input!G48/Input!W48*(Constants!$B$11/Constants!$B$9))-(W48*0.000000001))/Input!F48)*1000000000)</f>
        <v>0.87951920498387981</v>
      </c>
      <c r="Y48" s="133">
        <f>X48*Input!X48/100</f>
        <v>1.8447656043260089E-3</v>
      </c>
      <c r="Z48" s="133">
        <f>(X48/Constants!$B$11)*6.022E+23*0.000000001*Constants!$B$19/(365.2425*24*60)</f>
        <v>2.1471907167615019E-4</v>
      </c>
      <c r="AA48" s="133">
        <f>Z48*Input!X48/100</f>
        <v>4.5036692294653516E-7</v>
      </c>
      <c r="AB48" s="138">
        <v>0.05</v>
      </c>
      <c r="AC48" s="138">
        <v>0.9</v>
      </c>
      <c r="AD48" s="133">
        <f>(((Input!G48*Constants!$B$25*0.000000001*Input!U48*(Constants!$B$10/Constants!$B$9))-((AB48*0.000000000000001)+(Input!G48*AC48*0.000000000000001)))/Input!F48)*1000000000000</f>
        <v>21.518781577201409</v>
      </c>
      <c r="AE48" s="133">
        <f>AD48*Input!V48/100</f>
        <v>4.5310950267761024E-2</v>
      </c>
      <c r="AF48" s="133">
        <f>(AD48/Constants!$B$10)*602200000000*Constants!$B$16/(365.2425*24*60)</f>
        <v>0.98223916963029434</v>
      </c>
      <c r="AG48" s="133">
        <f>AF48*Input!V48/100</f>
        <v>2.068248613728126E-3</v>
      </c>
      <c r="AH48" s="21">
        <f>AF48/Z48</f>
        <v>4574.5315586672968</v>
      </c>
      <c r="AI48" s="137">
        <f>AH48*SQRT((AG48/AF48)^2+(AA48/Z48)^2)</f>
        <v>13.595774367982571</v>
      </c>
      <c r="AJ48" s="136">
        <f t="shared" si="191"/>
        <v>1674.9581310378621</v>
      </c>
      <c r="AK48" s="137">
        <f>V48*1000</f>
        <v>2.5089117671179979</v>
      </c>
      <c r="AL48" s="137">
        <f>AF48/Q48</f>
        <v>2.5267904113282773</v>
      </c>
      <c r="AM48" s="137">
        <f>AL48*SQRT((R48/Q48)^2+(AG48/AF48)^2)</f>
        <v>5.3247313575174532E-3</v>
      </c>
      <c r="AN48" s="21">
        <f>AL48*1/((AN47+AN49)/2)</f>
        <v>2.5215291938483708</v>
      </c>
      <c r="AO48" s="133">
        <f>AN48*SQRT((R48/Q48)^2+(AG48/AF48)^2)</f>
        <v>5.3136443399443376E-3</v>
      </c>
      <c r="AP48" s="21">
        <f>ThU_Alter_Kombi(AN48,U48)</f>
        <v>190.21700000000001</v>
      </c>
      <c r="AQ48" s="21">
        <f t="shared" si="193"/>
        <v>0.93059999999999998</v>
      </c>
      <c r="AR48" s="158">
        <f>(AQ48/AP48)</f>
        <v>4.8923072070319682E-3</v>
      </c>
      <c r="AS48" s="135">
        <f t="shared" si="194"/>
        <v>5.5236047208829608E-4</v>
      </c>
      <c r="AT48" s="135">
        <f t="shared" si="195"/>
        <v>1.1594822998565794E-6</v>
      </c>
      <c r="AU48" s="21">
        <v>0.75</v>
      </c>
      <c r="AV48" s="21">
        <f>AU48/2</f>
        <v>0.375</v>
      </c>
      <c r="AW48" s="21">
        <f t="shared" si="196"/>
        <v>190.20529999999999</v>
      </c>
      <c r="AX48" s="139">
        <f t="shared" si="197"/>
        <v>0.99129533110000001</v>
      </c>
      <c r="AY48" s="139">
        <f t="shared" si="198"/>
        <v>0.94927741848144076</v>
      </c>
      <c r="AZ48" s="158">
        <f t="shared" si="199"/>
        <v>5.2117124554363105E-3</v>
      </c>
      <c r="BA48" s="21" t="str">
        <f>Input!B48</f>
        <v>M43_401_14_15_E</v>
      </c>
      <c r="BB48" s="140">
        <f>Input!E48</f>
        <v>0</v>
      </c>
      <c r="BC48" s="21">
        <f>((U48-1)*EXP(Constants!$B$17*AW48*1000))*1000</f>
        <v>2864.9730328004516</v>
      </c>
      <c r="BD48" s="136">
        <f>SQRT((EXP(Constants!$B$17*AW48*1000)*V48)^2+((U48-1)*Constants!$B$17*EXP(Constants!$B$17*AW48*1000)*AY48*1000)^2)*1000</f>
        <v>8.7933162669209644</v>
      </c>
      <c r="BE48" s="21">
        <f t="shared" si="200"/>
        <v>190147.3</v>
      </c>
      <c r="BF48" s="141">
        <f t="shared" si="201"/>
        <v>474.6387092407204</v>
      </c>
      <c r="BG48" s="23">
        <f t="shared" si="202"/>
        <v>0.49908042440533512</v>
      </c>
      <c r="BH48" s="21"/>
      <c r="BI48" s="21"/>
      <c r="BJ48" s="21"/>
      <c r="BK48" s="21"/>
      <c r="BL48" s="21"/>
      <c r="BM48" s="21"/>
      <c r="BN48" s="163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</row>
    <row r="49" spans="1:110" ht="15" customHeight="1" x14ac:dyDescent="0.2">
      <c r="A49" s="142">
        <f>Input!A49</f>
        <v>10815</v>
      </c>
      <c r="B49" s="142" t="str">
        <f>Input!B49</f>
        <v>Hu1-13</v>
      </c>
      <c r="C49" s="142">
        <f>Input!O49</f>
        <v>2.11181250829897</v>
      </c>
      <c r="D49" s="142">
        <f>C49*Input!P49/100</f>
        <v>2.1796932218270049E-2</v>
      </c>
      <c r="E49" s="143">
        <f>Input!M49</f>
        <v>2.7323087004185846</v>
      </c>
      <c r="F49" s="144">
        <f>E49*Input!N49/100</f>
        <v>3.6014518186025404E-4</v>
      </c>
      <c r="G49" s="145">
        <f t="shared" ref="G49" si="212">E49*137.88</f>
        <v>376.73072361371442</v>
      </c>
      <c r="H49" s="144">
        <f>G49*Input!L49/100</f>
        <v>2.8904690488601989E-2</v>
      </c>
      <c r="I49" s="142">
        <v>0</v>
      </c>
      <c r="J49" s="146">
        <f>(((C49*Constants!$B$24*0.000000001*Input!G49*(Constants!$B$4/Constants!$B$3))-(I49*0.000000000000001))/Input!F49)*1000000000000</f>
        <v>762.443598616906</v>
      </c>
      <c r="K49" s="142">
        <f>J49*Input!P49/100</f>
        <v>7.8695108462506793</v>
      </c>
      <c r="L49" s="147">
        <f>(J49/Constants!$B$4)*602200000000*Constants!$B$17/(365.2425*24*60)</f>
        <v>10.526380431348359</v>
      </c>
      <c r="M49" s="148">
        <f>L49*Input!P49/100</f>
        <v>0.10864733486716434</v>
      </c>
      <c r="N49" s="142">
        <v>0</v>
      </c>
      <c r="O49" s="146">
        <f>(((G49*Constants!$B$23*0.000000001*Input!G49*(Constants!$B$7/Constants!$B$6))-(N49*0.000000001))/Input!F49)*1000000</f>
        <v>13.701398727236699</v>
      </c>
      <c r="P49" s="142">
        <f>O49*Input!N49/100</f>
        <v>1.8059792202852331E-3</v>
      </c>
      <c r="Q49" s="149">
        <f>(O49/Constants!$B$7)*602200000000000000*Constants!$B$18/(365.2425*24*60)</f>
        <v>10.222898010417266</v>
      </c>
      <c r="R49" s="150">
        <f>Q49*Input!N49/100</f>
        <v>1.3474785856138882E-3</v>
      </c>
      <c r="S49" s="148">
        <f>Input!S49*Constants!$B$17/Constants!$B$18</f>
        <v>1.0003049327856059</v>
      </c>
      <c r="T49" s="142">
        <f>S49*Input!T49/100</f>
        <v>2.0345521827358488E-3</v>
      </c>
      <c r="U49" s="148">
        <f>S49</f>
        <v>1.0003049327856059</v>
      </c>
      <c r="V49" s="142">
        <f>U49*Input!T49/100</f>
        <v>2.0345521827358488E-3</v>
      </c>
      <c r="W49" s="151">
        <v>0</v>
      </c>
      <c r="X49" s="146">
        <f>(((Constants!$B$25*0.000000001*Input!G49/Input!W49*(Constants!$B$11/Constants!$B$9))-(W49*0.000000001))/Input!F49)*1000000000</f>
        <v>0.87033686821907108</v>
      </c>
      <c r="Y49" s="146">
        <f>X49*Input!X49/100</f>
        <v>4.4478977358080136E-3</v>
      </c>
      <c r="Z49" s="146">
        <f>(X49/Constants!$B$11)*6.022E+23*0.000000001*Constants!$B$19/(365.2425*24*60)</f>
        <v>2.1247736641856723E-4</v>
      </c>
      <c r="AA49" s="146">
        <f>Z49*Input!X49/100</f>
        <v>1.0858756321991302E-6</v>
      </c>
      <c r="AB49" s="147">
        <v>0</v>
      </c>
      <c r="AC49" s="147">
        <v>0.9</v>
      </c>
      <c r="AD49" s="146">
        <f>(((Input!G49*Constants!$B$25*0.000000001*Input!U49*(Constants!$B$10/Constants!$B$9))-((AB49*0.000000000000001)+(Input!G49*AC49*0.000000000000001)))/Input!F49)*1000000000000</f>
        <v>224.54519409880771</v>
      </c>
      <c r="AE49" s="146">
        <f>AD49*Input!V49/100</f>
        <v>0.71815269797116332</v>
      </c>
      <c r="AF49" s="146">
        <f>(AD49/Constants!$B$10)*602200000000*Constants!$B$16/(365.2425*24*60)</f>
        <v>10.249515485103519</v>
      </c>
      <c r="AG49" s="146">
        <f>AF49*Input!V49/100</f>
        <v>3.2780559958390104E-2</v>
      </c>
      <c r="AH49" s="142">
        <f t="shared" ref="AH49" si="213">AF49/Z49</f>
        <v>48238.151939969968</v>
      </c>
      <c r="AI49" s="151">
        <f t="shared" ref="AI49" si="214">AH49*SQRT((AG49/AF49)^2+(AA49/Z49)^2)</f>
        <v>290.81855744217222</v>
      </c>
      <c r="AJ49" s="148">
        <f t="shared" si="191"/>
        <v>0.30493278560594916</v>
      </c>
      <c r="AK49" s="151">
        <f t="shared" ref="AK49" si="215">V49*1000</f>
        <v>2.0345521827358488</v>
      </c>
      <c r="AL49" s="151">
        <f t="shared" ref="AL49" si="216">AF49/Q49</f>
        <v>1.0026037112626116</v>
      </c>
      <c r="AM49" s="151">
        <f t="shared" ref="AM49" si="217">AL49*SQRT((R49/Q49)^2+(AG49/AF49)^2)</f>
        <v>3.2093039826172568E-3</v>
      </c>
      <c r="AN49" s="142">
        <f>AF49/Q49</f>
        <v>1.0026037112626116</v>
      </c>
      <c r="AO49" s="146">
        <f t="shared" ref="AO49" si="218">AN49*SQRT((R49/Q49)^2+(AG49/AF49)^2)</f>
        <v>3.2093039826172568E-3</v>
      </c>
      <c r="AP49" s="142" t="str">
        <f t="shared" ref="AP49" si="219">ThU_Alter_Kombi(AN49,U49)</f>
        <v>Out of range</v>
      </c>
      <c r="AQ49" s="142" t="e">
        <f t="shared" si="193"/>
        <v>#VALUE!</v>
      </c>
      <c r="AR49" s="142" t="e">
        <f>(AQ49/AP49)*100</f>
        <v>#VALUE!</v>
      </c>
      <c r="AS49" s="150">
        <f t="shared" si="194"/>
        <v>2.0784455269146776E-5</v>
      </c>
      <c r="AT49" s="150">
        <f t="shared" si="195"/>
        <v>1.0625526543003991E-7</v>
      </c>
      <c r="AU49" s="142">
        <v>0.75</v>
      </c>
      <c r="AV49" s="142">
        <f t="shared" ref="AV49" si="220">AU49/2</f>
        <v>0.375</v>
      </c>
      <c r="AW49" s="142" t="str">
        <f t="shared" si="196"/>
        <v>Out of range</v>
      </c>
      <c r="AX49" s="152">
        <f t="shared" si="197"/>
        <v>305.89849532739998</v>
      </c>
      <c r="AY49" s="152" t="e">
        <f t="shared" si="198"/>
        <v>#VALUE!</v>
      </c>
      <c r="AZ49" s="153" t="e">
        <f t="shared" si="199"/>
        <v>#VALUE!</v>
      </c>
      <c r="BA49" s="142" t="str">
        <f>Input!B49</f>
        <v>Hu1-13</v>
      </c>
      <c r="BB49" s="154">
        <f>Input!E49</f>
        <v>0</v>
      </c>
      <c r="BC49" s="142" t="e">
        <f>((U49-1)*EXP(Constants!$B$17*AW49*1000))*1000</f>
        <v>#VALUE!</v>
      </c>
      <c r="BD49" s="148" t="e">
        <f>SQRT((EXP(Constants!$B$17*AW49*1000)*V49)^2+((U49-1)*Constants!$B$17*EXP(Constants!$B$17*AW49*1000)*AY49*1000)^2)*1000</f>
        <v>#VALUE!</v>
      </c>
      <c r="BE49" s="142" t="e">
        <f t="shared" si="200"/>
        <v>#VALUE!</v>
      </c>
      <c r="BF49" s="155" t="e">
        <f t="shared" si="201"/>
        <v>#VALUE!</v>
      </c>
      <c r="BG49" s="164" t="e">
        <f t="shared" si="202"/>
        <v>#VALUE!</v>
      </c>
      <c r="BH49" s="142"/>
      <c r="BI49" s="21"/>
      <c r="BJ49" s="21"/>
      <c r="BK49" s="21"/>
      <c r="BL49" s="21"/>
      <c r="BM49" s="21"/>
      <c r="BN49" s="163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</row>
    <row r="50" spans="1:110" ht="15" customHeight="1" x14ac:dyDescent="0.2">
      <c r="A50" s="21">
        <f>Input!A50</f>
        <v>10911</v>
      </c>
      <c r="B50" s="21" t="str">
        <f>Input!B50</f>
        <v>M43_401_14_15_F</v>
      </c>
      <c r="C50" s="21">
        <f>Input!O50</f>
        <v>0.86943488006914293</v>
      </c>
      <c r="D50" s="21">
        <f>C50*Input!P50/100</f>
        <v>2.9030563926821158E-3</v>
      </c>
      <c r="E50" s="156">
        <f>Input!M50</f>
        <v>0.48620135046352908</v>
      </c>
      <c r="F50" s="157">
        <f>E50*Input!N50/100</f>
        <v>4.2016743745872952E-5</v>
      </c>
      <c r="G50" s="24">
        <f>E50*137.88</f>
        <v>67.037442201911389</v>
      </c>
      <c r="H50" s="157">
        <f>G50*Input!L50/100</f>
        <v>6.3898826078167071E-3</v>
      </c>
      <c r="I50" s="21">
        <v>0.3</v>
      </c>
      <c r="J50" s="133">
        <f>(((C50*Constants!$B$24*0.000000001*Input!G50*(Constants!$B$4/Constants!$B$3))-(I50*0.000000000000001))/Input!F50)*1000000000000</f>
        <v>40.669296219923211</v>
      </c>
      <c r="K50" s="21">
        <f>J50*Input!P50/100</f>
        <v>0.13579540352434605</v>
      </c>
      <c r="L50" s="138">
        <f>(J50/Constants!$B$4)*602200000000*Constants!$B$17/(365.2425*24*60)</f>
        <v>0.56148479003915275</v>
      </c>
      <c r="M50" s="136">
        <f>L50*Input!P50/100</f>
        <v>1.8748063213052924E-3</v>
      </c>
      <c r="N50" s="21">
        <v>5.0000000000000001E-3</v>
      </c>
      <c r="O50" s="133">
        <f>(((G50*Constants!$B$23*0.000000001*Input!G50*(Constants!$B$7/Constants!$B$6))-(N50*0.000000001))/Input!F50)*1000000</f>
        <v>0.31585338808863772</v>
      </c>
      <c r="P50" s="21">
        <f>O50*Input!N50/100</f>
        <v>2.7295545057482407E-5</v>
      </c>
      <c r="Q50" s="134">
        <f>(O50/Constants!$B$7)*602200000000000000*Constants!$B$18/(365.2425*24*60)</f>
        <v>0.23566476948489626</v>
      </c>
      <c r="R50" s="135">
        <f>Q50*Input!N50/100</f>
        <v>2.036577278104427E-5</v>
      </c>
      <c r="S50" s="136">
        <f>Input!S50*Constants!$B$17/Constants!$B$18</f>
        <v>2.3658039727503319</v>
      </c>
      <c r="T50" s="21">
        <f>S50*Input!T50/100</f>
        <v>3.5163014975900459E-3</v>
      </c>
      <c r="U50" s="21">
        <f>S50*1/((U49+U51)/2)</f>
        <v>2.3663301701829851</v>
      </c>
      <c r="V50" s="21">
        <f>U50*Input!T50/100</f>
        <v>3.5170835864028883E-3</v>
      </c>
      <c r="W50" s="137">
        <v>3.0000000000000001E-3</v>
      </c>
      <c r="X50" s="133">
        <f>IF((((Constants!$B$25*0.000000001*Input!G50/Input!W50*(Constants!$B$11/Constants!$B$9))-(W50*0.000000001))/Input!F50)*1000000000&lt;0, "n.d.", (((Constants!$B$25*0.000000001*Input!G50/Input!W50*(Constants!$B$11/Constants!$B$9))-(W50*0.000000001))/Input!F50)*1000000000)</f>
        <v>0.46492870947415876</v>
      </c>
      <c r="Y50" s="133">
        <f>X50*Input!X50/100</f>
        <v>9.6229626912063676E-4</v>
      </c>
      <c r="Z50" s="133">
        <f>(X50/Constants!$B$11)*6.022E+23*0.000000001*Constants!$B$19/(365.2425*24*60)</f>
        <v>1.1350412853771807E-4</v>
      </c>
      <c r="AA50" s="133">
        <f>Z50*Input!X50/100</f>
        <v>2.3492762910935296E-7</v>
      </c>
      <c r="AB50" s="138">
        <v>0.05</v>
      </c>
      <c r="AC50" s="138">
        <v>0.9</v>
      </c>
      <c r="AD50" s="133">
        <f>(((Input!G50*Constants!$B$25*0.000000001*Input!U50*(Constants!$B$10/Constants!$B$9))-((AB50*0.000000000000001)+(Input!G50*AC50*0.000000000000001)))/Input!F50)*1000000000000</f>
        <v>7.9676440158735007</v>
      </c>
      <c r="AE50" s="133">
        <f>AD50*Input!V50/100</f>
        <v>2.253326102038785E-2</v>
      </c>
      <c r="AF50" s="133">
        <f>(AD50/Constants!$B$10)*602200000000*Constants!$B$16/(365.2425*24*60)</f>
        <v>0.36368843719074484</v>
      </c>
      <c r="AG50" s="133">
        <f>AF50*Input!V50/100</f>
        <v>1.0285457619579092E-3</v>
      </c>
      <c r="AH50" s="21">
        <f>AF50/Z50</f>
        <v>3204.1868597747889</v>
      </c>
      <c r="AI50" s="137">
        <f>AH50*SQRT((AG50/AF50)^2+(AA50/Z50)^2)</f>
        <v>11.229329156455419</v>
      </c>
      <c r="AJ50" s="136">
        <f t="shared" si="191"/>
        <v>1366.3301701829851</v>
      </c>
      <c r="AK50" s="137">
        <f>V50*1000</f>
        <v>3.5170835864028884</v>
      </c>
      <c r="AL50" s="137">
        <f>AF50/Q50</f>
        <v>1.5432448302971888</v>
      </c>
      <c r="AM50" s="137">
        <f>AL50*SQRT((R50/Q50)^2+(AG50/AF50)^2)</f>
        <v>4.3664814532444994E-3</v>
      </c>
      <c r="AN50" s="21">
        <f>AL50*1/((AN49+AN51)/2)</f>
        <v>1.5458276354003495</v>
      </c>
      <c r="AO50" s="133">
        <f>AN50*SQRT((R50/Q50)^2+(AG50/AF50)^2)</f>
        <v>4.3737892830579481E-3</v>
      </c>
      <c r="AP50" s="21">
        <f>ThU_Alter_Kombi(AN50,U50)</f>
        <v>101.7499</v>
      </c>
      <c r="AQ50" s="21">
        <f t="shared" si="193"/>
        <v>0.49390000000000001</v>
      </c>
      <c r="AR50" s="158">
        <f>(AQ50/AP50)</f>
        <v>4.8540588246278379E-3</v>
      </c>
      <c r="AS50" s="135">
        <f t="shared" si="194"/>
        <v>4.8163384279207054E-4</v>
      </c>
      <c r="AT50" s="135">
        <f t="shared" si="195"/>
        <v>9.9774061682276836E-7</v>
      </c>
      <c r="AU50" s="21">
        <v>0.75</v>
      </c>
      <c r="AV50" s="21">
        <f>AU50/2</f>
        <v>0.375</v>
      </c>
      <c r="AW50" s="21">
        <f t="shared" si="196"/>
        <v>101.7359</v>
      </c>
      <c r="AX50" s="139">
        <f t="shared" si="197"/>
        <v>0.4905266164</v>
      </c>
      <c r="AY50" s="139">
        <f t="shared" si="198"/>
        <v>0.49102221925297046</v>
      </c>
      <c r="AZ50" s="158">
        <f t="shared" si="199"/>
        <v>4.821568555446013E-3</v>
      </c>
      <c r="BA50" s="21" t="str">
        <f>Input!B50</f>
        <v>M43_401_14_15_F</v>
      </c>
      <c r="BB50" s="140">
        <f>Input!E50</f>
        <v>0</v>
      </c>
      <c r="BC50" s="21">
        <f>((U50-1)*EXP(Constants!$B$17*AW50*1000))*1000</f>
        <v>1820.7222294493083</v>
      </c>
      <c r="BD50" s="136">
        <f>SQRT((EXP(Constants!$B$17*AW50*1000)*V50)^2+((U50-1)*Constants!$B$17*EXP(Constants!$B$17*AW50*1000)*AY50*1000)^2)*1000</f>
        <v>5.3226747359936883</v>
      </c>
      <c r="BE50" s="21">
        <f t="shared" si="200"/>
        <v>101677.9</v>
      </c>
      <c r="BF50" s="141">
        <f t="shared" si="201"/>
        <v>245.51110962648522</v>
      </c>
      <c r="BG50" s="23">
        <f t="shared" si="202"/>
        <v>0.48264400202187274</v>
      </c>
      <c r="BH50" s="21"/>
      <c r="BI50" s="21"/>
      <c r="BJ50" s="21"/>
      <c r="BK50" s="21"/>
      <c r="BL50" s="21"/>
      <c r="BM50" s="21"/>
      <c r="BN50" s="163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</row>
    <row r="51" spans="1:110" ht="15" customHeight="1" x14ac:dyDescent="0.2">
      <c r="A51" s="142">
        <f>Input!A51</f>
        <v>10815</v>
      </c>
      <c r="B51" s="142" t="str">
        <f>Input!B51</f>
        <v>Hu1-13</v>
      </c>
      <c r="C51" s="142">
        <f>Input!O51</f>
        <v>2.1049155531095369</v>
      </c>
      <c r="D51" s="142">
        <f>C51*Input!P51/100</f>
        <v>2.0795226193889359E-2</v>
      </c>
      <c r="E51" s="143">
        <f>Input!M51</f>
        <v>2.7319416350816663</v>
      </c>
      <c r="F51" s="144">
        <f>E51*Input!N51/100</f>
        <v>3.8570815890807291E-4</v>
      </c>
      <c r="G51" s="145">
        <f t="shared" ref="G51" si="221">E51*137.88</f>
        <v>376.68011264506015</v>
      </c>
      <c r="H51" s="144">
        <f>G51*Input!L51/100</f>
        <v>3.7659223491507618E-2</v>
      </c>
      <c r="I51" s="142">
        <v>0</v>
      </c>
      <c r="J51" s="146">
        <f>(((C51*Constants!$B$24*0.000000001*Input!G51*(Constants!$B$4/Constants!$B$3))-(I51*0.000000000000001))/Input!F51)*1000000000000</f>
        <v>759.95353886327439</v>
      </c>
      <c r="K51" s="142">
        <f>J51*Input!P51/100</f>
        <v>7.5078573647111497</v>
      </c>
      <c r="L51" s="147">
        <f>(J51/Constants!$B$4)*602200000000*Constants!$B$17/(365.2425*24*60)</f>
        <v>10.492002391699179</v>
      </c>
      <c r="M51" s="148">
        <f>L51*Input!P51/100</f>
        <v>0.10365430700528375</v>
      </c>
      <c r="N51" s="142">
        <v>0</v>
      </c>
      <c r="O51" s="146">
        <f>(((G51*Constants!$B$23*0.000000001*Input!G51*(Constants!$B$7/Constants!$B$6))-(N51*0.000000001))/Input!F51)*1000000</f>
        <v>13.699558046299261</v>
      </c>
      <c r="P51" s="142">
        <f>O51*Input!N51/100</f>
        <v>1.9341669836714531E-3</v>
      </c>
      <c r="Q51" s="149">
        <f>(O51/Constants!$B$7)*602200000000000000*Constants!$B$18/(365.2425*24*60)</f>
        <v>10.221524640160132</v>
      </c>
      <c r="R51" s="150">
        <f>Q51*Input!N51/100</f>
        <v>1.4431221368577344E-3</v>
      </c>
      <c r="S51" s="148">
        <f>Input!S51*Constants!$B$17/Constants!$B$18</f>
        <v>0.99925033009420372</v>
      </c>
      <c r="T51" s="142">
        <f>S51*Input!T51/100</f>
        <v>2.1534350972570995E-3</v>
      </c>
      <c r="U51" s="148">
        <f>S51</f>
        <v>0.99925033009420372</v>
      </c>
      <c r="V51" s="142">
        <f>U51*Input!T51/100</f>
        <v>2.1534350972570995E-3</v>
      </c>
      <c r="W51" s="151">
        <v>0</v>
      </c>
      <c r="X51" s="146">
        <f>(((Constants!$B$25*0.000000001*Input!G51/Input!W51*(Constants!$B$11/Constants!$B$9))-(W51*0.000000001))/Input!F51)*1000000000</f>
        <v>0.89306324976797224</v>
      </c>
      <c r="Y51" s="146">
        <f>X51*Input!X51/100</f>
        <v>4.871520688884857E-3</v>
      </c>
      <c r="Z51" s="146">
        <f>(X51/Constants!$B$11)*6.022E+23*0.000000001*Constants!$B$19/(365.2425*24*60)</f>
        <v>2.1802561086972452E-4</v>
      </c>
      <c r="AA51" s="146">
        <f>Z51*Input!X51/100</f>
        <v>1.189295690237586E-6</v>
      </c>
      <c r="AB51" s="147">
        <v>0</v>
      </c>
      <c r="AC51" s="147">
        <v>0.9</v>
      </c>
      <c r="AD51" s="146">
        <f>(((Input!G51*Constants!$B$25*0.000000001*Input!U51*(Constants!$B$10/Constants!$B$9))-((AB51*0.000000000000001)+(Input!G51*AC51*0.000000000000001)))/Input!F51)*1000000000000</f>
        <v>222.60061812005958</v>
      </c>
      <c r="AE51" s="146">
        <f>AD51*Input!V51/100</f>
        <v>0.52526056950724742</v>
      </c>
      <c r="AF51" s="146">
        <f>(AD51/Constants!$B$10)*602200000000*Constants!$B$16/(365.2425*24*60)</f>
        <v>10.160754014673788</v>
      </c>
      <c r="AG51" s="146">
        <f>AF51*Input!V51/100</f>
        <v>2.397586981313804E-2</v>
      </c>
      <c r="AH51" s="142">
        <f t="shared" ref="AH51" si="222">AF51/Z51</f>
        <v>46603.488343142773</v>
      </c>
      <c r="AI51" s="151">
        <f t="shared" ref="AI51" si="223">AH51*SQRT((AG51/AF51)^2+(AA51/Z51)^2)</f>
        <v>276.98038512537107</v>
      </c>
      <c r="AJ51" s="148">
        <f t="shared" si="191"/>
        <v>-0.74966990579627968</v>
      </c>
      <c r="AK51" s="151">
        <f t="shared" ref="AK51" si="224">V51*1000</f>
        <v>2.1534350972570997</v>
      </c>
      <c r="AL51" s="151">
        <f t="shared" ref="AL51" si="225">AF51/Q51</f>
        <v>0.99405464178527958</v>
      </c>
      <c r="AM51" s="151">
        <f t="shared" ref="AM51" si="226">AL51*SQRT((R51/Q51)^2+(AG51/AF51)^2)</f>
        <v>2.349820464445799E-3</v>
      </c>
      <c r="AN51" s="142">
        <f>AF51/Q51</f>
        <v>0.99405464178527958</v>
      </c>
      <c r="AO51" s="146">
        <f t="shared" ref="AO51" si="227">AN51*SQRT((R51/Q51)^2+(AG51/AF51)^2)</f>
        <v>2.349820464445799E-3</v>
      </c>
      <c r="AP51" s="142">
        <f t="shared" ref="AP51" si="228">ThU_Alter_Kombi(AN51,U51)</f>
        <v>580.18870000000004</v>
      </c>
      <c r="AQ51" s="142" t="e">
        <f t="shared" si="193"/>
        <v>#VALUE!</v>
      </c>
      <c r="AR51" s="142" t="e">
        <f>(AQ51/AP51)*100</f>
        <v>#VALUE!</v>
      </c>
      <c r="AS51" s="150">
        <f t="shared" si="194"/>
        <v>2.1330047966925304E-5</v>
      </c>
      <c r="AT51" s="150">
        <f t="shared" si="195"/>
        <v>1.1639104929823291E-7</v>
      </c>
      <c r="AU51" s="142">
        <v>0.75</v>
      </c>
      <c r="AV51" s="142">
        <f t="shared" ref="AV51" si="229">AU51/2</f>
        <v>0.375</v>
      </c>
      <c r="AW51" s="142">
        <f t="shared" si="196"/>
        <v>580.18690000000004</v>
      </c>
      <c r="AX51" s="152">
        <f t="shared" si="197"/>
        <v>216.0393312953</v>
      </c>
      <c r="AY51" s="152">
        <f t="shared" si="198"/>
        <v>85.425204304189862</v>
      </c>
      <c r="AZ51" s="153">
        <f t="shared" si="199"/>
        <v>0.37236161536101553</v>
      </c>
      <c r="BA51" s="142" t="str">
        <f>Input!B51</f>
        <v>Hu1-13</v>
      </c>
      <c r="BB51" s="154">
        <f>Input!E51</f>
        <v>0</v>
      </c>
      <c r="BC51" s="142">
        <f>((U51-1)*EXP(Constants!$B$17*AW51*1000))*1000</f>
        <v>-3.8543406241772784</v>
      </c>
      <c r="BD51" s="148">
        <f>SQRT((EXP(Constants!$B$17*AW51*1000)*V51)^2+((U51-1)*Constants!$B$17*EXP(Constants!$B$17*AW51*1000)*AY51*1000)^2)*1000</f>
        <v>11.110558533534483</v>
      </c>
      <c r="BE51" s="142">
        <f t="shared" si="200"/>
        <v>580128.9</v>
      </c>
      <c r="BF51" s="155">
        <f t="shared" si="201"/>
        <v>42712.602152094929</v>
      </c>
      <c r="BG51" s="164">
        <f t="shared" si="202"/>
        <v>14.723738902789748</v>
      </c>
      <c r="BH51" s="142"/>
      <c r="BI51" s="21"/>
      <c r="BJ51" s="21"/>
      <c r="BK51" s="21"/>
      <c r="BL51" s="21"/>
      <c r="BM51" s="21"/>
      <c r="BN51" s="163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</row>
    <row r="52" spans="1:110" ht="15" customHeight="1" x14ac:dyDescent="0.2">
      <c r="A52" s="21">
        <f>Input!A52</f>
        <v>10912</v>
      </c>
      <c r="B52" s="21" t="str">
        <f>Input!B52</f>
        <v>M43_401_14_15_G</v>
      </c>
      <c r="C52" s="21">
        <f>Input!O52</f>
        <v>2.2727046986865691</v>
      </c>
      <c r="D52" s="21">
        <f>C52*Input!P52/100</f>
        <v>7.4341838212156411E-3</v>
      </c>
      <c r="E52" s="156">
        <f>Input!M52</f>
        <v>1.2408081809683831</v>
      </c>
      <c r="F52" s="157">
        <f>E52*Input!N52/100</f>
        <v>8.010869839604076E-5</v>
      </c>
      <c r="G52" s="24">
        <f>E52*137.88</f>
        <v>171.08263199192066</v>
      </c>
      <c r="H52" s="157">
        <f>G52*Input!L52/100</f>
        <v>8.1830670983040095E-3</v>
      </c>
      <c r="I52" s="21">
        <v>0.3</v>
      </c>
      <c r="J52" s="133">
        <f>(((C52*Constants!$B$24*0.000000001*Input!G52*(Constants!$B$4/Constants!$B$3))-(I52*0.000000000000001))/Input!F52)*1000000000000</f>
        <v>96.063093831155882</v>
      </c>
      <c r="K52" s="21">
        <f>J52*Input!P52/100</f>
        <v>0.31422942821749689</v>
      </c>
      <c r="L52" s="138">
        <f>(J52/Constants!$B$4)*602200000000*Constants!$B$17/(365.2425*24*60)</f>
        <v>1.3262576706177343</v>
      </c>
      <c r="M52" s="136">
        <f>L52*Input!P52/100</f>
        <v>4.3382861501397611E-3</v>
      </c>
      <c r="N52" s="21">
        <v>5.0000000000000001E-3</v>
      </c>
      <c r="O52" s="133">
        <f>(((G52*Constants!$B$23*0.000000001*Input!G52*(Constants!$B$7/Constants!$B$6))-(N52*0.000000001))/Input!F52)*1000000</f>
        <v>0.72842216933266368</v>
      </c>
      <c r="P52" s="21">
        <f>O52*Input!N52/100</f>
        <v>4.7028181118630921E-5</v>
      </c>
      <c r="Q52" s="134">
        <f>(O52/Constants!$B$7)*602200000000000000*Constants!$B$18/(365.2425*24*60)</f>
        <v>0.54349090146627288</v>
      </c>
      <c r="R52" s="135">
        <f>Q52*Input!N52/100</f>
        <v>3.5088702165531062E-5</v>
      </c>
      <c r="S52" s="136">
        <f>Input!S52*Constants!$B$17/Constants!$B$18</f>
        <v>2.4178057261925701</v>
      </c>
      <c r="T52" s="21">
        <f>S52*Input!T52/100</f>
        <v>1.4496746048202418E-3</v>
      </c>
      <c r="U52" s="21">
        <f>S52*1/((U51+U53)/2)</f>
        <v>2.4164992288043239</v>
      </c>
      <c r="V52" s="21">
        <f>U52*Input!T52/100</f>
        <v>1.4488912515241165E-3</v>
      </c>
      <c r="W52" s="137">
        <v>3.0000000000000001E-3</v>
      </c>
      <c r="X52" s="133">
        <f>IF((((Constants!$B$25*0.000000001*Input!G52/Input!W52*(Constants!$B$11/Constants!$B$9))-(W52*0.000000001))/Input!F52)*1000000000&lt;0, "n.d.", (((Constants!$B$25*0.000000001*Input!G52/Input!W52*(Constants!$B$11/Constants!$B$9))-(W52*0.000000001))/Input!F52)*1000000000)</f>
        <v>0.2186059835641018</v>
      </c>
      <c r="Y52" s="133">
        <f>X52*Input!X52/100</f>
        <v>4.4290060551611043E-4</v>
      </c>
      <c r="Z52" s="133">
        <f>(X52/Constants!$B$11)*6.022E+23*0.000000001*Constants!$B$19/(365.2425*24*60)</f>
        <v>5.3368787841984638E-5</v>
      </c>
      <c r="AA52" s="133">
        <f>Z52*Input!X52/100</f>
        <v>1.0812635622091623E-7</v>
      </c>
      <c r="AB52" s="138">
        <v>0.05</v>
      </c>
      <c r="AC52" s="138">
        <v>0.9</v>
      </c>
      <c r="AD52" s="133">
        <f>(((Input!G52*Constants!$B$25*0.000000001*Input!U52*(Constants!$B$10/Constants!$B$9))-((AB52*0.000000000000001)+(Input!G52*AC52*0.000000000000001)))/Input!F52)*1000000000000</f>
        <v>16.484051359127815</v>
      </c>
      <c r="AE52" s="133">
        <f>AD52*Input!V52/100</f>
        <v>3.6311148856514694E-2</v>
      </c>
      <c r="AF52" s="133">
        <f>(AD52/Constants!$B$10)*602200000000*Constants!$B$16/(365.2425*24*60)</f>
        <v>0.75242554328852296</v>
      </c>
      <c r="AG52" s="133">
        <f>AF52*Input!V52/100</f>
        <v>1.6574466622651376E-3</v>
      </c>
      <c r="AH52" s="21">
        <f>AF52/Z52</f>
        <v>14098.606577243601</v>
      </c>
      <c r="AI52" s="137">
        <f>AH52*SQRT((AG52/AF52)^2+(AA52/Z52)^2)</f>
        <v>42.194931655459271</v>
      </c>
      <c r="AJ52" s="136">
        <f t="shared" si="191"/>
        <v>1416.4992288043238</v>
      </c>
      <c r="AK52" s="137">
        <f>V52*1000</f>
        <v>1.4488912515241166</v>
      </c>
      <c r="AL52" s="137">
        <f>AF52/Q52</f>
        <v>1.3844307995930927</v>
      </c>
      <c r="AM52" s="137">
        <f>AL52*SQRT((R52/Q52)^2+(AG52/AF52)^2)</f>
        <v>3.0509404780015769E-3</v>
      </c>
      <c r="AN52" s="21">
        <f>AL52*1/((AN51+AN53)/2)</f>
        <v>1.3913706807329496</v>
      </c>
      <c r="AO52" s="133">
        <f>AN52*SQRT((R52/Q52)^2+(AG52/AF52)^2)</f>
        <v>3.0662342465946567E-3</v>
      </c>
      <c r="AP52" s="21">
        <f>ThU_Alter_Kombi(AN52,U52)</f>
        <v>84.719800000000006</v>
      </c>
      <c r="AQ52" s="21">
        <f t="shared" si="193"/>
        <v>0.28179999999999999</v>
      </c>
      <c r="AR52" s="158">
        <f>(AQ52/AP52)</f>
        <v>3.3262590327172627E-3</v>
      </c>
      <c r="AS52" s="135">
        <f t="shared" si="194"/>
        <v>9.8196285711503331E-5</v>
      </c>
      <c r="AT52" s="135">
        <f t="shared" si="195"/>
        <v>1.9904885406423043E-7</v>
      </c>
      <c r="AU52" s="21">
        <v>0.75</v>
      </c>
      <c r="AV52" s="21">
        <f>AU52/2</f>
        <v>0.375</v>
      </c>
      <c r="AW52" s="21">
        <f t="shared" si="196"/>
        <v>84.716999999999999</v>
      </c>
      <c r="AX52" s="139">
        <f t="shared" si="197"/>
        <v>0.2696336265</v>
      </c>
      <c r="AY52" s="139">
        <f t="shared" si="198"/>
        <v>0.27007583469279783</v>
      </c>
      <c r="AZ52" s="158">
        <f t="shared" si="199"/>
        <v>3.182757020432735E-3</v>
      </c>
      <c r="BA52" s="21" t="str">
        <f>Input!B52</f>
        <v>M43_401_14_15_G</v>
      </c>
      <c r="BB52" s="140">
        <f>Input!E52</f>
        <v>0</v>
      </c>
      <c r="BC52" s="21">
        <f>((U52-1)*EXP(Constants!$B$17*AW52*1000))*1000</f>
        <v>1799.0611632661592</v>
      </c>
      <c r="BD52" s="136">
        <f>SQRT((EXP(Constants!$B$17*AW52*1000)*V52)^2+((U52-1)*Constants!$B$17*EXP(Constants!$B$17*AW52*1000)*AY52*1000)^2)*1000</f>
        <v>2.2948868758459993</v>
      </c>
      <c r="BE52" s="21">
        <f t="shared" si="200"/>
        <v>84659</v>
      </c>
      <c r="BF52" s="141">
        <f t="shared" si="201"/>
        <v>135.03791734639893</v>
      </c>
      <c r="BG52" s="23">
        <f t="shared" si="202"/>
        <v>0.31879768487174692</v>
      </c>
      <c r="BH52" s="21"/>
      <c r="BI52" s="21"/>
      <c r="BJ52" s="21"/>
      <c r="BK52" s="21"/>
      <c r="BL52" s="21"/>
      <c r="BM52" s="21"/>
      <c r="BN52" s="163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</row>
    <row r="53" spans="1:110" ht="15" customHeight="1" x14ac:dyDescent="0.2">
      <c r="A53" s="142">
        <f>Input!A53</f>
        <v>10815</v>
      </c>
      <c r="B53" s="142" t="str">
        <f>Input!B53</f>
        <v>Hu1-13</v>
      </c>
      <c r="C53" s="142">
        <f>Input!O53</f>
        <v>2.0658705400429418</v>
      </c>
      <c r="D53" s="142">
        <f>C53*Input!P53/100</f>
        <v>1.9367803829507216E-2</v>
      </c>
      <c r="E53" s="143">
        <f>Input!M53</f>
        <v>2.7316318251220677</v>
      </c>
      <c r="F53" s="144">
        <f>E53*Input!N53/100</f>
        <v>2.8424968949861503E-4</v>
      </c>
      <c r="G53" s="145">
        <f t="shared" ref="G53" si="230">E53*137.88</f>
        <v>376.63739604783069</v>
      </c>
      <c r="H53" s="144">
        <f>G53*Input!L53/100</f>
        <v>2.5799009067692565E-2</v>
      </c>
      <c r="I53" s="142">
        <v>0</v>
      </c>
      <c r="J53" s="146">
        <f>(((C53*Constants!$B$24*0.000000001*Input!G53*(Constants!$B$4/Constants!$B$3))-(I53*0.000000000000001))/Input!F53)*1000000000000</f>
        <v>745.85682329143708</v>
      </c>
      <c r="K53" s="142">
        <f>J53*Input!P53/100</f>
        <v>6.9925043018947894</v>
      </c>
      <c r="L53" s="147">
        <f>(J53/Constants!$B$4)*602200000000*Constants!$B$17/(365.2425*24*60)</f>
        <v>10.297381581437474</v>
      </c>
      <c r="M53" s="148">
        <f>L53*Input!P53/100</f>
        <v>9.6539285768950572E-2</v>
      </c>
      <c r="N53" s="142">
        <v>0</v>
      </c>
      <c r="O53" s="146">
        <f>(((G53*Constants!$B$23*0.000000001*Input!G53*(Constants!$B$7/Constants!$B$6))-(N53*0.000000001))/Input!F53)*1000000</f>
        <v>13.698004477412452</v>
      </c>
      <c r="P53" s="142">
        <f>O53*Input!N53/100</f>
        <v>1.4253946976478548E-3</v>
      </c>
      <c r="Q53" s="149">
        <f>(O53/Constants!$B$7)*602200000000000000*Constants!$B$18/(365.2425*24*60)</f>
        <v>10.220365490163976</v>
      </c>
      <c r="R53" s="150">
        <f>Q53*Input!N53/100</f>
        <v>1.0635165729230914E-3</v>
      </c>
      <c r="S53" s="148">
        <f>Input!S53*Constants!$B$17/Constants!$B$18</f>
        <v>1.0018309840421078</v>
      </c>
      <c r="T53" s="142">
        <f>S53*Input!T53/100</f>
        <v>1.4876559345968689E-3</v>
      </c>
      <c r="U53" s="148">
        <f>S53</f>
        <v>1.0018309840421078</v>
      </c>
      <c r="V53" s="142">
        <f>U53*Input!T53/100</f>
        <v>1.4876559345968689E-3</v>
      </c>
      <c r="W53" s="151">
        <v>0</v>
      </c>
      <c r="X53" s="146">
        <f>(((Constants!$B$25*0.000000001*Input!G53/Input!W53*(Constants!$B$11/Constants!$B$9))-(W53*0.000000001))/Input!F53)*1000000000</f>
        <v>0.91037250398395264</v>
      </c>
      <c r="Y53" s="146">
        <f>X53*Input!X53/100</f>
        <v>5.0168700662019229E-3</v>
      </c>
      <c r="Z53" s="146">
        <f>(X53/Constants!$B$11)*6.022E+23*0.000000001*Constants!$B$19/(365.2425*24*60)</f>
        <v>2.2225135941006472E-4</v>
      </c>
      <c r="AA53" s="146">
        <f>Z53*Input!X53/100</f>
        <v>1.2247801722015686E-6</v>
      </c>
      <c r="AB53" s="147">
        <v>0</v>
      </c>
      <c r="AC53" s="147">
        <v>0.9</v>
      </c>
      <c r="AD53" s="146">
        <f>(((Input!G53*Constants!$B$25*0.000000001*Input!U53*(Constants!$B$10/Constants!$B$9))-((AB53*0.000000000000001)+(Input!G53*AC53*0.000000000000001)))/Input!F53)*1000000000000</f>
        <v>223.00418095378851</v>
      </c>
      <c r="AE53" s="146">
        <f>AD53*Input!V53/100</f>
        <v>0.74121770887857574</v>
      </c>
      <c r="AF53" s="146">
        <f>(AD53/Constants!$B$10)*602200000000*Constants!$B$16/(365.2425*24*60)</f>
        <v>10.179174909986724</v>
      </c>
      <c r="AG53" s="146">
        <f>AF53*Input!V53/100</f>
        <v>3.3833377799397109E-2</v>
      </c>
      <c r="AH53" s="142">
        <f t="shared" ref="AH53" si="231">AF53/Z53</f>
        <v>45800.281883566095</v>
      </c>
      <c r="AI53" s="151">
        <f t="shared" ref="AI53" si="232">AH53*SQRT((AG53/AF53)^2+(AA53/Z53)^2)</f>
        <v>294.75008392258383</v>
      </c>
      <c r="AJ53" s="148">
        <f t="shared" si="191"/>
        <v>1.8309840421077972</v>
      </c>
      <c r="AK53" s="151">
        <f t="shared" ref="AK53" si="233">V53*1000</f>
        <v>1.487655934596869</v>
      </c>
      <c r="AL53" s="151">
        <f t="shared" ref="AL53" si="234">AF53/Q53</f>
        <v>0.9959697546807994</v>
      </c>
      <c r="AM53" s="151">
        <f t="shared" ref="AM53" si="235">AL53*SQRT((R53/Q53)^2+(AG53/AF53)^2)</f>
        <v>3.3120101791527718E-3</v>
      </c>
      <c r="AN53" s="142">
        <f>AF53/Q53</f>
        <v>0.9959697546807994</v>
      </c>
      <c r="AO53" s="146">
        <f t="shared" ref="AO53" si="236">AN53*SQRT((R53/Q53)^2+(AG53/AF53)^2)</f>
        <v>3.3120101791527718E-3</v>
      </c>
      <c r="AP53" s="142">
        <f t="shared" ref="AP53" si="237">ThU_Alter_Kombi(AN53,U53)</f>
        <v>547.59320000000002</v>
      </c>
      <c r="AQ53" s="142" t="e">
        <f t="shared" si="193"/>
        <v>#VALUE!</v>
      </c>
      <c r="AR53" s="142" t="e">
        <f>(AQ53/AP53)*100</f>
        <v>#VALUE!</v>
      </c>
      <c r="AS53" s="150">
        <f t="shared" si="194"/>
        <v>2.1745930673805961E-5</v>
      </c>
      <c r="AT53" s="150">
        <f t="shared" si="195"/>
        <v>1.1985858094025938E-7</v>
      </c>
      <c r="AU53" s="142">
        <v>0.75</v>
      </c>
      <c r="AV53" s="142">
        <f t="shared" ref="AV53" si="238">AU53/2</f>
        <v>0.375</v>
      </c>
      <c r="AW53" s="142">
        <f t="shared" si="196"/>
        <v>547.59140000000002</v>
      </c>
      <c r="AX53" s="152">
        <f t="shared" si="197"/>
        <v>153.12016435819999</v>
      </c>
      <c r="AY53" s="152">
        <f t="shared" si="198"/>
        <v>63.812051709911557</v>
      </c>
      <c r="AZ53" s="153">
        <f t="shared" si="199"/>
        <v>0.27962485232273548</v>
      </c>
      <c r="BA53" s="142" t="str">
        <f>Input!B53</f>
        <v>Hu1-13</v>
      </c>
      <c r="BB53" s="154">
        <f>Input!E53</f>
        <v>0</v>
      </c>
      <c r="BC53" s="142">
        <f>((U53-1)*EXP(Constants!$B$17*AW53*1000))*1000</f>
        <v>8.5864839784599027</v>
      </c>
      <c r="BD53" s="148">
        <f>SQRT((EXP(Constants!$B$17*AW53*1000)*V53)^2+((U53-1)*Constants!$B$17*EXP(Constants!$B$17*AW53*1000)*AY53*1000)^2)*1000</f>
        <v>7.1457350469861316</v>
      </c>
      <c r="BE53" s="142">
        <f t="shared" si="200"/>
        <v>547533.4</v>
      </c>
      <c r="BF53" s="155">
        <f t="shared" si="201"/>
        <v>31906.02585495578</v>
      </c>
      <c r="BG53" s="164">
        <f t="shared" si="202"/>
        <v>11.653223865442655</v>
      </c>
      <c r="BH53" s="142"/>
      <c r="BI53" s="21"/>
      <c r="BJ53" s="21"/>
      <c r="BK53" s="21"/>
      <c r="BL53" s="21"/>
      <c r="BM53" s="21"/>
      <c r="BN53" s="163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</row>
    <row r="54" spans="1:110" ht="15" customHeight="1" x14ac:dyDescent="0.2">
      <c r="A54" s="21">
        <f>Input!A54</f>
        <v>10907</v>
      </c>
      <c r="B54" s="21" t="str">
        <f>Input!B54</f>
        <v>M43_401_14_341.5</v>
      </c>
      <c r="C54" s="21">
        <f>Input!O54</f>
        <v>1.789135645707927</v>
      </c>
      <c r="D54" s="21">
        <f>C54*Input!P54/100</f>
        <v>5.6020444001319012E-3</v>
      </c>
      <c r="E54" s="156">
        <f>Input!M54</f>
        <v>1.5650344633044013</v>
      </c>
      <c r="F54" s="157">
        <f>E54*Input!N54/100</f>
        <v>9.01976255163745E-5</v>
      </c>
      <c r="G54" s="24">
        <f>E54*137.88</f>
        <v>215.78695180041086</v>
      </c>
      <c r="H54" s="157">
        <f>G54*Input!L54/100</f>
        <v>1.8677965800525057E-2</v>
      </c>
      <c r="I54" s="21">
        <v>0.3</v>
      </c>
      <c r="J54" s="133">
        <f>(((C54*Constants!$B$24*0.000000001*Input!G54*(Constants!$B$4/Constants!$B$3))-(I54*0.000000000000001))/Input!F54)*1000000000000</f>
        <v>38.845944172823387</v>
      </c>
      <c r="K54" s="21">
        <f>J54*Input!P54/100</f>
        <v>0.121632311414317</v>
      </c>
      <c r="L54" s="138">
        <f>(J54/Constants!$B$4)*602200000000*Constants!$B$17/(365.2425*24*60)</f>
        <v>0.5363113905341037</v>
      </c>
      <c r="M54" s="136">
        <f>L54*Input!P54/100</f>
        <v>1.6792691092349953E-3</v>
      </c>
      <c r="N54" s="21">
        <v>5.0000000000000001E-3</v>
      </c>
      <c r="O54" s="133">
        <f>(((G54*Constants!$B$23*0.000000001*Input!G54*(Constants!$B$7/Constants!$B$6))-(N54*0.000000001))/Input!F54)*1000000</f>
        <v>0.47195684398890109</v>
      </c>
      <c r="P54" s="21">
        <f>O54*Input!N54/100</f>
        <v>2.7200287068516192E-5</v>
      </c>
      <c r="Q54" s="134">
        <f>(O54/Constants!$B$7)*602200000000000000*Constants!$B$18/(365.2425*24*60)</f>
        <v>0.35213679840043671</v>
      </c>
      <c r="R54" s="135">
        <f>Q54*Input!N54/100</f>
        <v>2.0294698818066811E-5</v>
      </c>
      <c r="S54" s="136">
        <f>Input!S54*Constants!$B$17/Constants!$B$18</f>
        <v>1.5137205300943579</v>
      </c>
      <c r="T54" s="21">
        <f>S54*Input!T54/100</f>
        <v>1.1740127202026231E-3</v>
      </c>
      <c r="U54" s="21">
        <f>S54*1/((U53+U55)/2)</f>
        <v>1.5122115046817799</v>
      </c>
      <c r="V54" s="21">
        <f>U54*Input!T54/100</f>
        <v>1.1728423489258558E-3</v>
      </c>
      <c r="W54" s="137">
        <v>3.0000000000000001E-3</v>
      </c>
      <c r="X54" s="133">
        <f>IF((((Constants!$B$25*0.000000001*Input!G54/Input!W54*(Constants!$B$11/Constants!$B$9))-(W54*0.000000001))/Input!F54)*1000000000&lt;0, "n.d.", (((Constants!$B$25*0.000000001*Input!G54/Input!W54*(Constants!$B$11/Constants!$B$9))-(W54*0.000000001))/Input!F54)*1000000000)</f>
        <v>0.14133933963541526</v>
      </c>
      <c r="Y54" s="133">
        <f>X54*Input!X54/100</f>
        <v>2.7739136399086608E-4</v>
      </c>
      <c r="Z54" s="133">
        <f>(X54/Constants!$B$11)*6.022E+23*0.000000001*Constants!$B$19/(365.2425*24*60)</f>
        <v>3.450550212646318E-5</v>
      </c>
      <c r="AA54" s="133">
        <f>Z54*Input!X54/100</f>
        <v>6.7720199660894857E-8</v>
      </c>
      <c r="AB54" s="138">
        <v>0.05</v>
      </c>
      <c r="AC54" s="138">
        <v>0.9</v>
      </c>
      <c r="AD54" s="133">
        <f>(((Input!G54*Constants!$B$25*0.000000001*Input!U54*(Constants!$B$10/Constants!$B$9))-((AB54*0.000000000000001)+(Input!G54*AC54*0.000000000000001)))/Input!F54)*1000000000000</f>
        <v>11.912950711542729</v>
      </c>
      <c r="AE54" s="133">
        <f>AD54*Input!V54/100</f>
        <v>2.1780413393023945E-2</v>
      </c>
      <c r="AF54" s="133">
        <f>(AD54/Constants!$B$10)*602200000000*Constants!$B$16/(365.2425*24*60)</f>
        <v>0.54377459861155197</v>
      </c>
      <c r="AG54" s="133">
        <f>AF54*Input!V54/100</f>
        <v>9.9418152875506297E-4</v>
      </c>
      <c r="AH54" s="21">
        <f>AF54/Z54</f>
        <v>15759.069281722375</v>
      </c>
      <c r="AI54" s="137">
        <f>AH54*SQRT((AG54/AF54)^2+(AA54/Z54)^2)</f>
        <v>42.269675566416304</v>
      </c>
      <c r="AJ54" s="136">
        <f t="shared" si="191"/>
        <v>512.21150468177984</v>
      </c>
      <c r="AK54" s="137">
        <f>V54*1000</f>
        <v>1.1728423489258557</v>
      </c>
      <c r="AL54" s="137">
        <f>AF54/Q54</f>
        <v>1.5442140698774456</v>
      </c>
      <c r="AM54" s="137">
        <f>AL54*SQRT((R54/Q54)^2+(AG54/AF54)^2)</f>
        <v>2.8246845044196359E-3</v>
      </c>
      <c r="AN54" s="21">
        <f>AL54*1/((AN53+AN55)/2)</f>
        <v>1.5523792846442539</v>
      </c>
      <c r="AO54" s="133">
        <f>AN54*SQRT((R54/Q54)^2+(AG54/AF54)^2)</f>
        <v>2.8396203582477858E-3</v>
      </c>
      <c r="AP54" s="21">
        <f>ThU_Alter_Kombi(AN54,U54)</f>
        <v>289.89109999999999</v>
      </c>
      <c r="AQ54" s="21">
        <f t="shared" si="193"/>
        <v>2.2282000000000002</v>
      </c>
      <c r="AR54" s="158">
        <f>(AQ54/AP54)</f>
        <v>7.6863346270375334E-3</v>
      </c>
      <c r="AS54" s="135">
        <f t="shared" si="194"/>
        <v>9.7988913067883411E-5</v>
      </c>
      <c r="AT54" s="135">
        <f t="shared" si="195"/>
        <v>1.923950943816237E-7</v>
      </c>
      <c r="AU54" s="21">
        <v>0.75</v>
      </c>
      <c r="AV54" s="21">
        <f>AU54/2</f>
        <v>0.375</v>
      </c>
      <c r="AW54" s="21">
        <f t="shared" si="196"/>
        <v>289.88740000000001</v>
      </c>
      <c r="AX54" s="139">
        <f t="shared" si="197"/>
        <v>2.2607391628000002</v>
      </c>
      <c r="AY54" s="139">
        <f t="shared" si="198"/>
        <v>2.282578827131037</v>
      </c>
      <c r="AZ54" s="158">
        <f t="shared" si="199"/>
        <v>7.7986803248433706E-3</v>
      </c>
      <c r="BA54" s="21" t="str">
        <f>Input!B54</f>
        <v>M43_401_14_341.5</v>
      </c>
      <c r="BB54" s="140">
        <f>Input!E54</f>
        <v>341.5</v>
      </c>
      <c r="BC54" s="21">
        <f>((U54-1)*EXP(Constants!$B$17*AW54*1000))*1000</f>
        <v>1160.744943743149</v>
      </c>
      <c r="BD54" s="136">
        <f>SQRT((EXP(Constants!$B$17*AW54*1000)*V54)^2+((U54-1)*Constants!$B$17*EXP(Constants!$B$17*AW54*1000)*AY54*1000)^2)*1000</f>
        <v>7.9353613081064083</v>
      </c>
      <c r="BE54" s="21">
        <f t="shared" si="200"/>
        <v>289829.40000000002</v>
      </c>
      <c r="BF54" s="141">
        <f t="shared" si="201"/>
        <v>1141.2894135655185</v>
      </c>
      <c r="BG54" s="23">
        <f t="shared" si="202"/>
        <v>0.78740187642892967</v>
      </c>
      <c r="BH54" s="21"/>
      <c r="BI54" s="21"/>
      <c r="BJ54" s="21"/>
      <c r="BK54" s="21"/>
      <c r="BL54" s="21"/>
      <c r="BM54" s="21"/>
      <c r="BN54" s="163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</row>
    <row r="55" spans="1:110" ht="15" customHeight="1" x14ac:dyDescent="0.2">
      <c r="A55" s="142">
        <f>Input!A55</f>
        <v>10815</v>
      </c>
      <c r="B55" s="142" t="str">
        <f>Input!B55</f>
        <v>Hu1-13</v>
      </c>
      <c r="C55" s="142">
        <f>Input!O55</f>
        <v>2.0794013132445568</v>
      </c>
      <c r="D55" s="142">
        <f>C55*Input!P55/100</f>
        <v>1.6677311854260961E-2</v>
      </c>
      <c r="E55" s="143">
        <f>Input!M55</f>
        <v>2.7314952735760283</v>
      </c>
      <c r="F55" s="144">
        <f>E55*Input!N55/100</f>
        <v>4.4636724306318029E-4</v>
      </c>
      <c r="G55" s="145">
        <f t="shared" ref="G55" si="239">E55*137.88</f>
        <v>376.61856832066275</v>
      </c>
      <c r="H55" s="144">
        <f>G55*Input!L55/100</f>
        <v>2.6792136887176268E-2</v>
      </c>
      <c r="I55" s="142">
        <v>0</v>
      </c>
      <c r="J55" s="146">
        <f>(((C55*Constants!$B$24*0.000000001*Input!G55*(Constants!$B$4/Constants!$B$3))-(I55*0.000000000000001))/Input!F55)*1000000000000</f>
        <v>750.74194039883514</v>
      </c>
      <c r="K55" s="142">
        <f>J55*Input!P55/100</f>
        <v>6.0211356905264495</v>
      </c>
      <c r="L55" s="147">
        <f>(J55/Constants!$B$4)*602200000000*Constants!$B$17/(365.2425*24*60)</f>
        <v>10.364826047123122</v>
      </c>
      <c r="M55" s="148">
        <f>L55*Input!P55/100</f>
        <v>8.3128463564026603E-2</v>
      </c>
      <c r="N55" s="142">
        <v>0</v>
      </c>
      <c r="O55" s="146">
        <f>(((G55*Constants!$B$23*0.000000001*Input!G55*(Constants!$B$7/Constants!$B$6))-(N55*0.000000001))/Input!F55)*1000000</f>
        <v>13.697319727852921</v>
      </c>
      <c r="P55" s="142">
        <f>O55*Input!N55/100</f>
        <v>2.2383472171534193E-3</v>
      </c>
      <c r="Q55" s="149">
        <f>(O55/Constants!$B$7)*602200000000000000*Constants!$B$18/(365.2425*24*60)</f>
        <v>10.219854584303258</v>
      </c>
      <c r="R55" s="150">
        <f>Q55*Input!N55/100</f>
        <v>1.6700773233738041E-3</v>
      </c>
      <c r="S55" s="148">
        <f>Input!S55*Constants!$B$17/Constants!$B$18</f>
        <v>1.0001648021397935</v>
      </c>
      <c r="T55" s="142">
        <f>S55*Input!T55/100</f>
        <v>1.6649584878769253E-3</v>
      </c>
      <c r="U55" s="148">
        <f>S55</f>
        <v>1.0001648021397935</v>
      </c>
      <c r="V55" s="142">
        <f>U55*Input!T55/100</f>
        <v>1.6649584878769253E-3</v>
      </c>
      <c r="W55" s="151">
        <v>0</v>
      </c>
      <c r="X55" s="146">
        <f>(((Constants!$B$25*0.000000001*Input!G55/Input!W55*(Constants!$B$11/Constants!$B$9))-(W55*0.000000001))/Input!F55)*1000000000</f>
        <v>0.90597714141108543</v>
      </c>
      <c r="Y55" s="146">
        <f>X55*Input!X55/100</f>
        <v>5.4528296259493689E-3</v>
      </c>
      <c r="Z55" s="146">
        <f>(X55/Constants!$B$11)*6.022E+23*0.000000001*Constants!$B$19/(365.2425*24*60)</f>
        <v>2.2117830930953457E-4</v>
      </c>
      <c r="AA55" s="146">
        <f>Z55*Input!X55/100</f>
        <v>1.3312119947551542E-6</v>
      </c>
      <c r="AB55" s="147">
        <v>0</v>
      </c>
      <c r="AC55" s="147">
        <v>0.9</v>
      </c>
      <c r="AD55" s="146">
        <f>(((Input!G55*Constants!$B$25*0.000000001*Input!U55*(Constants!$B$10/Constants!$B$9))-((AB55*0.000000000000001)+(Input!G55*AC55*0.000000000000001)))/Input!F55)*1000000000000</f>
        <v>222.44244701272208</v>
      </c>
      <c r="AE55" s="146">
        <f>AD55*Input!V55/100</f>
        <v>0.67667880500349797</v>
      </c>
      <c r="AF55" s="146">
        <f>(AD55/Constants!$B$10)*602200000000*Constants!$B$16/(365.2425*24*60)</f>
        <v>10.153534188747621</v>
      </c>
      <c r="AG55" s="146">
        <f>AF55*Input!V55/100</f>
        <v>3.0887456390060963E-2</v>
      </c>
      <c r="AH55" s="142">
        <f t="shared" ref="AH55" si="240">AF55/Z55</f>
        <v>45906.554853613401</v>
      </c>
      <c r="AI55" s="151">
        <f t="shared" ref="AI55" si="241">AH55*SQRT((AG55/AF55)^2+(AA55/Z55)^2)</f>
        <v>309.58547686019779</v>
      </c>
      <c r="AJ55" s="148">
        <f t="shared" si="191"/>
        <v>0.16480213979352953</v>
      </c>
      <c r="AK55" s="151">
        <f t="shared" ref="AK55" si="242">V55*1000</f>
        <v>1.6649584878769252</v>
      </c>
      <c r="AL55" s="151">
        <f t="shared" ref="AL55" si="243">AF55/Q55</f>
        <v>0.99351063217107816</v>
      </c>
      <c r="AM55" s="151">
        <f t="shared" ref="AM55" si="244">AL55*SQRT((R55/Q55)^2+(AG55/AF55)^2)</f>
        <v>3.0266566198230058E-3</v>
      </c>
      <c r="AN55" s="142">
        <f>AF55/Q55</f>
        <v>0.99351063217107816</v>
      </c>
      <c r="AO55" s="146">
        <f t="shared" ref="AO55" si="245">AN55*SQRT((R55/Q55)^2+(AG55/AF55)^2)</f>
        <v>3.0266566198230058E-3</v>
      </c>
      <c r="AP55" s="142">
        <f t="shared" ref="AP55" si="246">ThU_Alter_Kombi(AN55,U55)</f>
        <v>545.51869999999997</v>
      </c>
      <c r="AQ55" s="142" t="e">
        <f t="shared" si="193"/>
        <v>#VALUE!</v>
      </c>
      <c r="AR55" s="142" t="e">
        <f>(AQ55/AP55)*100</f>
        <v>#VALUE!</v>
      </c>
      <c r="AS55" s="150">
        <f t="shared" si="194"/>
        <v>2.1642021174082436E-5</v>
      </c>
      <c r="AT55" s="150">
        <f t="shared" si="195"/>
        <v>1.3030543298962134E-7</v>
      </c>
      <c r="AU55" s="142">
        <v>0.75</v>
      </c>
      <c r="AV55" s="142">
        <f t="shared" ref="AV55" si="247">AU55/2</f>
        <v>0.375</v>
      </c>
      <c r="AW55" s="142">
        <f t="shared" si="196"/>
        <v>545.51689999999996</v>
      </c>
      <c r="AX55" s="152">
        <f t="shared" si="197"/>
        <v>121.623816851</v>
      </c>
      <c r="AY55" s="152">
        <f t="shared" si="198"/>
        <v>61.609063432539685</v>
      </c>
      <c r="AZ55" s="153">
        <f t="shared" si="199"/>
        <v>0.22295151048665954</v>
      </c>
      <c r="BA55" s="142" t="str">
        <f>Input!B55</f>
        <v>Hu1-13</v>
      </c>
      <c r="BB55" s="154">
        <f>Input!E55</f>
        <v>0</v>
      </c>
      <c r="BC55" s="142">
        <f>((U55-1)*EXP(Constants!$B$17*AW55*1000))*1000</f>
        <v>0.76833591311400729</v>
      </c>
      <c r="BD55" s="148">
        <f>SQRT((EXP(Constants!$B$17*AW55*1000)*V55)^2+((U55-1)*Constants!$B$17*EXP(Constants!$B$17*AW55*1000)*AY55*1000)^2)*1000</f>
        <v>7.7634721539102811</v>
      </c>
      <c r="BE55" s="142">
        <f t="shared" si="200"/>
        <v>545458.89999999991</v>
      </c>
      <c r="BF55" s="155">
        <f t="shared" si="201"/>
        <v>30804.531716269841</v>
      </c>
      <c r="BG55" s="164">
        <f t="shared" si="202"/>
        <v>11.293703904047646</v>
      </c>
      <c r="BH55" s="142"/>
      <c r="BI55" s="21"/>
      <c r="BJ55" s="21"/>
      <c r="BK55" s="21"/>
      <c r="BL55" s="21"/>
      <c r="BM55" s="21"/>
      <c r="BN55" s="163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</row>
    <row r="56" spans="1:110" ht="15" customHeight="1" x14ac:dyDescent="0.2">
      <c r="A56" s="21">
        <f>Input!A56</f>
        <v>10908</v>
      </c>
      <c r="B56" s="21" t="str">
        <f>Input!B56</f>
        <v>M43_401_14_544.5</v>
      </c>
      <c r="C56" s="21">
        <f>Input!O56</f>
        <v>3.2267866542918422</v>
      </c>
      <c r="D56" s="21">
        <f>C56*Input!P56/100</f>
        <v>9.7575551607522078E-3</v>
      </c>
      <c r="E56" s="156">
        <f>Input!M56</f>
        <v>2.4605315563181431</v>
      </c>
      <c r="F56" s="157">
        <f>E56*Input!N56/100</f>
        <v>1.5567324238757502E-4</v>
      </c>
      <c r="G56" s="24">
        <f>E56*137.88</f>
        <v>339.25809098514554</v>
      </c>
      <c r="H56" s="157">
        <f>G56*Input!L56/100</f>
        <v>1.646983461056151E-2</v>
      </c>
      <c r="I56" s="21">
        <v>0.3</v>
      </c>
      <c r="J56" s="133">
        <f>(((C56*Constants!$B$24*0.000000001*Input!G56*(Constants!$B$4/Constants!$B$3))-(I56*0.000000000000001))/Input!F56)*1000000000000</f>
        <v>66.477997465079696</v>
      </c>
      <c r="K56" s="21">
        <f>J56*Input!P56/100</f>
        <v>0.20102436161346329</v>
      </c>
      <c r="L56" s="138">
        <f>(J56/Constants!$B$4)*602200000000*Constants!$B$17/(365.2425*24*60)</f>
        <v>0.91780256651252368</v>
      </c>
      <c r="M56" s="136">
        <f>L56*Input!P56/100</f>
        <v>2.7753645124056997E-3</v>
      </c>
      <c r="N56" s="21">
        <v>5.0000000000000001E-3</v>
      </c>
      <c r="O56" s="133">
        <f>(((G56*Constants!$B$23*0.000000001*Input!G56*(Constants!$B$7/Constants!$B$6))-(N56*0.000000001))/Input!F56)*1000000</f>
        <v>0.70406637686401408</v>
      </c>
      <c r="P56" s="21">
        <f>O56*Input!N56/100</f>
        <v>4.4544966497605742E-5</v>
      </c>
      <c r="Q56" s="134">
        <f>(O56/Constants!$B$7)*602200000000000000*Constants!$B$18/(365.2425*24*60)</f>
        <v>0.52531853911651227</v>
      </c>
      <c r="R56" s="135">
        <f>Q56*Input!N56/100</f>
        <v>3.3235924189056748E-5</v>
      </c>
      <c r="S56" s="136">
        <f>Input!S56*Constants!$B$17/Constants!$B$18</f>
        <v>1.7266113402534415</v>
      </c>
      <c r="T56" s="21">
        <f>S56*Input!T56/100</f>
        <v>8.9215503561219825E-4</v>
      </c>
      <c r="U56" s="21">
        <f>S56*1/((U55+U57)/2)</f>
        <v>1.7270847746860125</v>
      </c>
      <c r="V56" s="21">
        <f>U56*Input!T56/100</f>
        <v>8.9239966328445036E-4</v>
      </c>
      <c r="W56" s="137">
        <v>3.0000000000000001E-3</v>
      </c>
      <c r="X56" s="133">
        <f>IF((((Constants!$B$25*0.000000001*Input!G56/Input!W56*(Constants!$B$11/Constants!$B$9))-(W56*0.000000001))/Input!F56)*1000000000&lt;0, "n.d.", (((Constants!$B$25*0.000000001*Input!G56/Input!W56*(Constants!$B$11/Constants!$B$9))-(W56*0.000000001))/Input!F56)*1000000000)</f>
        <v>0.27591831898859598</v>
      </c>
      <c r="Y56" s="133">
        <f>X56*Input!X56/100</f>
        <v>5.1002025774136127E-4</v>
      </c>
      <c r="Z56" s="133">
        <f>(X56/Constants!$B$11)*6.022E+23*0.000000001*Constants!$B$19/(365.2425*24*60)</f>
        <v>6.7360581754165422E-5</v>
      </c>
      <c r="AA56" s="133">
        <f>Z56*Input!X56/100</f>
        <v>1.2451243322226614E-7</v>
      </c>
      <c r="AB56" s="138">
        <v>0.05</v>
      </c>
      <c r="AC56" s="138">
        <v>0.9</v>
      </c>
      <c r="AD56" s="133">
        <f>(((Input!G56*Constants!$B$25*0.000000001*Input!U56*(Constants!$B$10/Constants!$B$9))-((AB56*0.000000000000001)+(Input!G56*AC56*0.000000000000001)))/Input!F56)*1000000000000</f>
        <v>20.874013084964631</v>
      </c>
      <c r="AE56" s="133">
        <f>AD56*Input!V56/100</f>
        <v>3.890669789996766E-2</v>
      </c>
      <c r="AF56" s="133">
        <f>(AD56/Constants!$B$10)*602200000000*Constants!$B$16/(365.2425*24*60)</f>
        <v>0.95280828079737778</v>
      </c>
      <c r="AG56" s="133">
        <f>AF56*Input!V56/100</f>
        <v>1.7759222333856243E-3</v>
      </c>
      <c r="AH56" s="21">
        <f>AF56/Z56</f>
        <v>14144.89388281535</v>
      </c>
      <c r="AI56" s="137">
        <f>AH56*SQRT((AG56/AF56)^2+(AA56/Z56)^2)</f>
        <v>37.130846974789605</v>
      </c>
      <c r="AJ56" s="136">
        <f t="shared" ref="AJ56:AJ57" si="248">(U56-1)*1000</f>
        <v>727.08477468601257</v>
      </c>
      <c r="AK56" s="137">
        <f>V56*1000</f>
        <v>0.89239966328445031</v>
      </c>
      <c r="AL56" s="137">
        <f>AF56/Q56</f>
        <v>1.8137724253932166</v>
      </c>
      <c r="AM56" s="137">
        <f>AL56*SQRT((R56/Q56)^2+(AG56/AF56)^2)</f>
        <v>3.3826048919423876E-3</v>
      </c>
      <c r="AN56" s="21">
        <f>AL56*1/((AN55+AN57)/2)</f>
        <v>1.821870756013491</v>
      </c>
      <c r="AO56" s="133">
        <f>AN56*SQRT((R56/Q56)^2+(AG56/AF56)^2)</f>
        <v>3.3977079183139395E-3</v>
      </c>
      <c r="AP56" s="21">
        <f>ThU_Alter_Kombi(AN56,U56)</f>
        <v>294.90910000000002</v>
      </c>
      <c r="AQ56" s="21">
        <f t="shared" ref="AQ56:AQ57" si="249">Montealter(AN56,AO56,U56,V56)</f>
        <v>2.0960000000000001</v>
      </c>
      <c r="AR56" s="158">
        <f>(AQ56/AP56)</f>
        <v>7.107274750084009E-3</v>
      </c>
      <c r="AS56" s="135">
        <f t="shared" ref="AS56:AS57" si="250">Z56/Q56</f>
        <v>1.2822806875891597E-4</v>
      </c>
      <c r="AT56" s="135">
        <f t="shared" ref="AT56:AT57" si="251">AS56*SQRT((Y56/X56)^2+(P56/O56)^2)</f>
        <v>2.3716152791721394E-7</v>
      </c>
      <c r="AU56" s="21">
        <v>0.75</v>
      </c>
      <c r="AV56" s="21">
        <f>AU56/2</f>
        <v>0.375</v>
      </c>
      <c r="AW56" s="21">
        <f t="shared" ref="AW56:AW57" si="252">marincorr_age(AN56,U56,AS56,AU56)</f>
        <v>294.90519999999998</v>
      </c>
      <c r="AX56" s="139">
        <f t="shared" ref="AX56:AX57" si="253">marincorr_age_error(AN56, AO56, U56, V56, AS56, AT56, AU56, AV56)</f>
        <v>2.1442815324</v>
      </c>
      <c r="AY56" s="139">
        <f t="shared" ref="AY56:AY57" si="254">SQRT(((AU56*EXP(-0.0000091577*AW56*1000))/(0.0000091577*(EXP(-0.0000091577*AW56*1000)+(AJ56/1000)*EXP(-(0.0000091577-0.0000028263)*AW56*1000)-AS56*AU56*EXP(-0.0000091577*AW56*1000))))^2*AT56^2+((AS56*EXP(-0.0000091577*AW56*1000))/(0.0000091577*(EXP(-0.0000091577*AW56*1000)+(AJ56/1000)*EXP(-(0.0000091577-0.0000028263)*AW56*1000)-AS56*AU56*EXP(-0.0000091577*AW56*1000))))^2*AV56^2+((0.0000091577/(0.0000091577-0.0000028263))*(EXP(-(0.0000091577-0.0000028263)*AW56*1000)-1)/(0.0000091577*(EXP(-0.0000091577*AW56*1000)+(AJ56/1000)*EXP(-(0.0000091577-0.0000028263)*AW56*1000)-AS56*AU56*EXP(-0.0000091577*AW56*1000))))^2*T56^2+(1/(0.0000091577*(EXP(-0.0000091577*AW56*1000)+(AJ56/1000)*EXP(-(0.0000091577-0.0000028263)*AW56*1000)-AS56*AU56*EXP(-0.0000091577*AW56*1000))))^2*AO56^2)/1000</f>
        <v>2.1704944893627363</v>
      </c>
      <c r="AZ56" s="158">
        <f t="shared" ref="AZ56:AZ57" si="255">AX56/AW56</f>
        <v>7.2710875644105295E-3</v>
      </c>
      <c r="BA56" s="21" t="str">
        <f>Input!B56</f>
        <v>M43_401_14_544.5</v>
      </c>
      <c r="BB56" s="140">
        <f>Input!E56</f>
        <v>544.5</v>
      </c>
      <c r="BC56" s="21">
        <f>((U56-1)*EXP(Constants!$B$17*AW56*1000))*1000</f>
        <v>1671.1766670798665</v>
      </c>
      <c r="BD56" s="136">
        <f>SQRT((EXP(Constants!$B$17*AW56*1000)*V56)^2+((U56-1)*Constants!$B$17*EXP(Constants!$B$17*AW56*1000)*AY56*1000)^2)*1000</f>
        <v>10.439880730177835</v>
      </c>
      <c r="BE56" s="21">
        <f t="shared" ref="BE56:BE57" si="256">AW56*1000-58</f>
        <v>294847.19999999995</v>
      </c>
      <c r="BF56" s="141">
        <f t="shared" ref="BF56:BF57" si="257">AY56/2*1000</f>
        <v>1085.2472446813681</v>
      </c>
      <c r="BG56" s="23">
        <f t="shared" ref="BG56:BG57" si="258">AY56/AW56*100</f>
        <v>0.73599736096980872</v>
      </c>
      <c r="BH56" s="21"/>
      <c r="BI56" s="21"/>
      <c r="BJ56" s="21"/>
      <c r="BK56" s="21"/>
      <c r="BL56" s="21"/>
      <c r="BM56" s="21"/>
      <c r="BN56" s="163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</row>
    <row r="57" spans="1:110" ht="15" customHeight="1" x14ac:dyDescent="0.2">
      <c r="A57" s="142">
        <f>Input!A57</f>
        <v>10815</v>
      </c>
      <c r="B57" s="142" t="str">
        <f>Input!B57</f>
        <v>Hu1-13</v>
      </c>
      <c r="C57" s="142">
        <f>Input!O57</f>
        <v>2.0771433094205509</v>
      </c>
      <c r="D57" s="142">
        <f>C57*Input!P57/100</f>
        <v>1.1755782982604291E-2</v>
      </c>
      <c r="E57" s="143">
        <f>Input!M57</f>
        <v>2.7323654959515951</v>
      </c>
      <c r="F57" s="144">
        <f>E57*Input!N57/100</f>
        <v>2.0721713506150982E-4</v>
      </c>
      <c r="G57" s="145">
        <f t="shared" ref="G57" si="259">E57*137.88</f>
        <v>376.73855458180589</v>
      </c>
      <c r="H57" s="144">
        <f>G57*Input!L57/100</f>
        <v>1.6839125228885386E-2</v>
      </c>
      <c r="I57" s="142">
        <v>0</v>
      </c>
      <c r="J57" s="146">
        <f>(((C57*Constants!$B$24*0.000000001*Input!G57*(Constants!$B$4/Constants!$B$3))-(I57*0.000000000000001))/Input!F57)*1000000000000</f>
        <v>749.92671624683305</v>
      </c>
      <c r="K57" s="142">
        <f>J57*Input!P57/100</f>
        <v>4.2442790004288051</v>
      </c>
      <c r="L57" s="147">
        <f>(J57/Constants!$B$4)*602200000000*Constants!$B$17/(365.2425*24*60)</f>
        <v>10.35357097254926</v>
      </c>
      <c r="M57" s="148">
        <f>L57*Input!P57/100</f>
        <v>5.8596984086877614E-2</v>
      </c>
      <c r="N57" s="142">
        <v>0</v>
      </c>
      <c r="O57" s="146">
        <f>(((G57*Constants!$B$23*0.000000001*Input!G57*(Constants!$B$7/Constants!$B$6))-(N57*0.000000001))/Input!F57)*1000000</f>
        <v>13.701683533358199</v>
      </c>
      <c r="P57" s="142">
        <f>O57*Input!N57/100</f>
        <v>1.0391082787089363E-3</v>
      </c>
      <c r="Q57" s="149">
        <f>(O57/Constants!$B$7)*602200000000000000*Constants!$B$18/(365.2425*24*60)</f>
        <v>10.223110510176657</v>
      </c>
      <c r="R57" s="150">
        <f>Q57*Input!N57/100</f>
        <v>7.7530025703909165E-4</v>
      </c>
      <c r="S57" s="148">
        <f>Input!S57*Constants!$B$17/Constants!$B$18</f>
        <v>0.9992869509651956</v>
      </c>
      <c r="T57" s="142">
        <f>S57*Input!T57/100</f>
        <v>1.0230499154115936E-3</v>
      </c>
      <c r="U57" s="148">
        <f>S57</f>
        <v>0.9992869509651956</v>
      </c>
      <c r="V57" s="142">
        <f>U57*Input!T57/100</f>
        <v>1.0230499154115936E-3</v>
      </c>
      <c r="W57" s="151">
        <v>0</v>
      </c>
      <c r="X57" s="146">
        <f>(((Constants!$B$25*0.000000001*Input!G57/Input!W57*(Constants!$B$11/Constants!$B$9))-(W57*0.000000001))/Input!F57)*1000000000</f>
        <v>0.88276420989051418</v>
      </c>
      <c r="Y57" s="146">
        <f>X57*Input!X57/100</f>
        <v>2.8072158388833439E-3</v>
      </c>
      <c r="Z57" s="146">
        <f>(X57/Constants!$B$11)*6.022E+23*0.000000001*Constants!$B$19/(365.2425*24*60)</f>
        <v>2.1551128228074966E-4</v>
      </c>
      <c r="AA57" s="146">
        <f>Z57*Input!X57/100</f>
        <v>6.8533213999649343E-7</v>
      </c>
      <c r="AB57" s="147">
        <v>0</v>
      </c>
      <c r="AC57" s="147">
        <v>0.9</v>
      </c>
      <c r="AD57" s="146">
        <f>(((Input!G57*Constants!$B$25*0.000000001*Input!U57*(Constants!$B$10/Constants!$B$9))-((AB57*0.000000000000001)+(Input!G57*AC57*0.000000000000001)))/Input!F57)*1000000000000</f>
        <v>223.42902696932472</v>
      </c>
      <c r="AE57" s="146">
        <f>AD57*Input!V57/100</f>
        <v>0.5106155440884812</v>
      </c>
      <c r="AF57" s="146">
        <f>(AD57/Constants!$B$10)*602200000000*Constants!$B$16/(365.2425*24*60)</f>
        <v>10.198567290360304</v>
      </c>
      <c r="AG57" s="146">
        <f>AF57*Input!V57/100</f>
        <v>2.3307387838220658E-2</v>
      </c>
      <c r="AH57" s="142">
        <f t="shared" ref="AH57" si="260">AF57/Z57</f>
        <v>47322.660709124655</v>
      </c>
      <c r="AI57" s="151">
        <f t="shared" ref="AI57" si="261">AH57*SQRT((AG57/AF57)^2+(AA57/Z57)^2)</f>
        <v>185.31792419097778</v>
      </c>
      <c r="AJ57" s="148">
        <f t="shared" si="248"/>
        <v>-0.71304903480440274</v>
      </c>
      <c r="AK57" s="151">
        <f t="shared" ref="AK57" si="262">V57*1000</f>
        <v>1.0230499154115935</v>
      </c>
      <c r="AL57" s="151">
        <f t="shared" ref="AL57" si="263">AF57/Q57</f>
        <v>0.99759924146453061</v>
      </c>
      <c r="AM57" s="151">
        <f t="shared" ref="AM57" si="264">AL57*SQRT((R57/Q57)^2+(AG57/AF57)^2)</f>
        <v>2.2811273821614162E-3</v>
      </c>
      <c r="AN57" s="142">
        <f>AF57/Q57</f>
        <v>0.99759924146453061</v>
      </c>
      <c r="AO57" s="146">
        <f t="shared" ref="AO57" si="265">AN57*SQRT((R57/Q57)^2+(AG57/AF57)^2)</f>
        <v>2.2811273821614162E-3</v>
      </c>
      <c r="AP57" s="142">
        <f t="shared" ref="AP57" si="266">ThU_Alter_Kombi(AN57,U57)</f>
        <v>718.01589999999999</v>
      </c>
      <c r="AQ57" s="142" t="e">
        <f t="shared" si="249"/>
        <v>#VALUE!</v>
      </c>
      <c r="AR57" s="142" t="e">
        <f>(AQ57/AP57)*100</f>
        <v>#VALUE!</v>
      </c>
      <c r="AS57" s="150">
        <f t="shared" si="250"/>
        <v>2.1080793567302011E-5</v>
      </c>
      <c r="AT57" s="150">
        <f t="shared" si="251"/>
        <v>6.7056596768959042E-8</v>
      </c>
      <c r="AU57" s="142">
        <v>0.75</v>
      </c>
      <c r="AV57" s="142">
        <f t="shared" ref="AV57" si="267">AU57/2</f>
        <v>0.375</v>
      </c>
      <c r="AW57" s="142">
        <f t="shared" si="252"/>
        <v>718.01409999999998</v>
      </c>
      <c r="AX57" s="152">
        <f t="shared" si="253"/>
        <v>325.03279493069999</v>
      </c>
      <c r="AY57" s="152">
        <f t="shared" si="254"/>
        <v>213.44107574222247</v>
      </c>
      <c r="AZ57" s="153">
        <f t="shared" si="255"/>
        <v>0.45268302520897569</v>
      </c>
      <c r="BA57" s="142" t="str">
        <f>Input!B57</f>
        <v>Hu1-13</v>
      </c>
      <c r="BB57" s="154">
        <f>Input!E57</f>
        <v>0</v>
      </c>
      <c r="BC57" s="142">
        <f>((U57-1)*EXP(Constants!$B$17*AW57*1000))*1000</f>
        <v>-5.4090516547948564</v>
      </c>
      <c r="BD57" s="148">
        <f>SQRT((EXP(Constants!$B$17*AW57*1000)*V57)^2+((U57-1)*Constants!$B$17*EXP(Constants!$B$17*AW57*1000)*AY57*1000)^2)*1000</f>
        <v>8.4168330366804653</v>
      </c>
      <c r="BE57" s="142">
        <f t="shared" si="256"/>
        <v>717956.1</v>
      </c>
      <c r="BF57" s="155">
        <f t="shared" si="257"/>
        <v>106720.53787111123</v>
      </c>
      <c r="BG57" s="164">
        <f t="shared" si="258"/>
        <v>29.72658555621992</v>
      </c>
      <c r="BH57" s="142"/>
      <c r="BI57" s="21"/>
      <c r="BJ57" s="21"/>
      <c r="BK57" s="21"/>
      <c r="BL57" s="21"/>
      <c r="BM57" s="21"/>
      <c r="BN57" s="163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AB386"/>
  <sheetViews>
    <sheetView zoomScale="87" zoomScaleNormal="87" workbookViewId="0">
      <pane ySplit="3" topLeftCell="A28" activePane="bottomLeft" state="frozenSplit"/>
      <selection pane="bottomLeft" activeCell="E62" sqref="E62"/>
    </sheetView>
  </sheetViews>
  <sheetFormatPr baseColWidth="10" defaultRowHeight="14.25" x14ac:dyDescent="0.2"/>
  <cols>
    <col min="1" max="1" width="23.85546875" style="20" bestFit="1" customWidth="1"/>
    <col min="2" max="2" width="42.28515625" style="20" bestFit="1" customWidth="1"/>
    <col min="3" max="3" width="12.140625" style="80" bestFit="1" customWidth="1"/>
    <col min="4" max="6" width="11.5703125" style="80" bestFit="1" customWidth="1"/>
    <col min="7" max="7" width="12.85546875" style="80" bestFit="1" customWidth="1"/>
    <col min="8" max="8" width="11.5703125" style="80" bestFit="1" customWidth="1"/>
    <col min="9" max="9" width="14" style="79" bestFit="1" customWidth="1"/>
    <col min="10" max="10" width="11.5703125" style="79" bestFit="1" customWidth="1"/>
    <col min="11" max="12" width="11.5703125" style="77" bestFit="1" customWidth="1"/>
    <col min="13" max="13" width="14.28515625" style="77" bestFit="1" customWidth="1"/>
    <col min="14" max="14" width="11.5703125" style="77" bestFit="1" customWidth="1"/>
    <col min="15" max="15" width="14.5703125" style="82" bestFit="1" customWidth="1"/>
    <col min="16" max="16" width="11.5703125" style="82" bestFit="1" customWidth="1"/>
    <col min="17" max="17" width="14.5703125" style="182" bestFit="1" customWidth="1"/>
    <col min="18" max="18" width="13.7109375" style="82" bestFit="1" customWidth="1"/>
    <col min="19" max="19" width="11.5703125" style="77" bestFit="1" customWidth="1"/>
    <col min="20" max="20" width="11.42578125" style="20"/>
    <col min="21" max="21" width="11.5703125" style="71" bestFit="1" customWidth="1"/>
    <col min="22" max="22" width="11.42578125" style="71"/>
    <col min="23" max="23" width="11.5703125" style="71" bestFit="1" customWidth="1"/>
    <col min="24" max="24" width="14.28515625" style="71" bestFit="1" customWidth="1"/>
    <col min="25" max="28" width="11.5703125" style="71" bestFit="1" customWidth="1"/>
    <col min="29" max="16384" width="11.42578125" style="71"/>
  </cols>
  <sheetData>
    <row r="1" spans="1:28" ht="17.25" x14ac:dyDescent="0.25">
      <c r="A1" s="165" t="s">
        <v>65</v>
      </c>
      <c r="B1" s="165" t="s">
        <v>0</v>
      </c>
      <c r="C1" s="166" t="s">
        <v>122</v>
      </c>
      <c r="D1" s="166" t="s">
        <v>109</v>
      </c>
      <c r="E1" s="167" t="s">
        <v>123</v>
      </c>
      <c r="F1" s="166" t="s">
        <v>109</v>
      </c>
      <c r="G1" s="168" t="s">
        <v>124</v>
      </c>
      <c r="H1" s="166" t="s">
        <v>109</v>
      </c>
      <c r="I1" s="169" t="s">
        <v>125</v>
      </c>
      <c r="J1" s="166" t="s">
        <v>109</v>
      </c>
      <c r="K1" s="25" t="s">
        <v>119</v>
      </c>
      <c r="L1" s="25" t="s">
        <v>49</v>
      </c>
      <c r="M1" s="26" t="s">
        <v>115</v>
      </c>
      <c r="N1" s="27" t="s">
        <v>4</v>
      </c>
      <c r="O1" s="26" t="s">
        <v>116</v>
      </c>
      <c r="P1" s="27" t="s">
        <v>4</v>
      </c>
      <c r="Q1" s="25" t="s">
        <v>120</v>
      </c>
      <c r="R1" s="25" t="s">
        <v>49</v>
      </c>
      <c r="S1" s="183" t="s">
        <v>2</v>
      </c>
      <c r="T1" s="28"/>
      <c r="U1" s="39" t="s">
        <v>82</v>
      </c>
      <c r="W1" s="168" t="s">
        <v>126</v>
      </c>
      <c r="X1" s="166" t="s">
        <v>109</v>
      </c>
      <c r="Y1" s="168" t="s">
        <v>124</v>
      </c>
      <c r="Z1" s="166" t="s">
        <v>109</v>
      </c>
      <c r="AA1" s="168" t="s">
        <v>127</v>
      </c>
      <c r="AB1" s="166" t="s">
        <v>109</v>
      </c>
    </row>
    <row r="2" spans="1:28" ht="18.75" thickBot="1" x14ac:dyDescent="0.35">
      <c r="A2" s="170"/>
      <c r="B2" s="170"/>
      <c r="C2" s="171" t="s">
        <v>132</v>
      </c>
      <c r="D2" s="171" t="s">
        <v>33</v>
      </c>
      <c r="E2" s="172" t="s">
        <v>36</v>
      </c>
      <c r="F2" s="172" t="s">
        <v>37</v>
      </c>
      <c r="G2" s="173" t="s">
        <v>76</v>
      </c>
      <c r="H2" s="173" t="s">
        <v>77</v>
      </c>
      <c r="I2" s="174" t="s">
        <v>76</v>
      </c>
      <c r="J2" s="174" t="s">
        <v>37</v>
      </c>
      <c r="K2" s="29" t="s">
        <v>117</v>
      </c>
      <c r="L2" s="29" t="s">
        <v>118</v>
      </c>
      <c r="M2" s="30" t="s">
        <v>39</v>
      </c>
      <c r="N2" s="31" t="s">
        <v>39</v>
      </c>
      <c r="O2" s="30" t="s">
        <v>78</v>
      </c>
      <c r="P2" s="31" t="s">
        <v>39</v>
      </c>
      <c r="Q2" s="29" t="s">
        <v>117</v>
      </c>
      <c r="R2" s="29" t="s">
        <v>118</v>
      </c>
      <c r="S2" s="184" t="s">
        <v>12</v>
      </c>
      <c r="T2" s="32"/>
      <c r="U2" s="56" t="s">
        <v>14</v>
      </c>
      <c r="W2" s="173" t="s">
        <v>76</v>
      </c>
      <c r="X2" s="173" t="s">
        <v>77</v>
      </c>
      <c r="Y2" s="173" t="s">
        <v>76</v>
      </c>
      <c r="Z2" s="173" t="s">
        <v>77</v>
      </c>
      <c r="AA2" s="173" t="s">
        <v>76</v>
      </c>
      <c r="AB2" s="173" t="s">
        <v>77</v>
      </c>
    </row>
    <row r="7" spans="1:28" x14ac:dyDescent="0.2">
      <c r="A7" s="16">
        <f>Input!A7</f>
        <v>10815</v>
      </c>
      <c r="B7" s="16" t="str">
        <f>Input!B7</f>
        <v>Hu1-13</v>
      </c>
      <c r="C7" s="175">
        <f>Calc!O7*1000</f>
        <v>13701.615715514246</v>
      </c>
      <c r="D7" s="175">
        <f>Calc!P7*1000</f>
        <v>1.1017748846541349</v>
      </c>
      <c r="E7" s="175">
        <f>Calc!X7</f>
        <v>0.88214198912813813</v>
      </c>
      <c r="F7" s="175">
        <f>Calc!Y7</f>
        <v>4.3875547057387956E-3</v>
      </c>
      <c r="G7" s="175">
        <f>Calc!AN7</f>
        <v>1.0019344921092295</v>
      </c>
      <c r="H7" s="176">
        <f>Calc!AO7</f>
        <v>2.3087813138830569E-3</v>
      </c>
      <c r="I7" s="18">
        <f>Calc!AH7</f>
        <v>47561.598803182307</v>
      </c>
      <c r="J7" s="18">
        <f>Calc!AI7</f>
        <v>260.68633978571825</v>
      </c>
      <c r="K7" s="18">
        <f>Calc!AJ7</f>
        <v>-1.9475354608159412</v>
      </c>
      <c r="L7" s="18">
        <f>Calc!AK7</f>
        <v>1.3040789190793023</v>
      </c>
      <c r="M7" s="177" t="str">
        <f>Calc!AP7</f>
        <v>Out of range</v>
      </c>
      <c r="N7" s="177" t="e">
        <f>Calc!AQ7</f>
        <v>#VALUE!</v>
      </c>
      <c r="O7" s="177" t="str">
        <f>Calc!AW7</f>
        <v>Out of range</v>
      </c>
      <c r="P7" s="177">
        <f>Calc!AX7</f>
        <v>140.475258913</v>
      </c>
      <c r="Q7" s="181" t="e">
        <f>Calc!BC7</f>
        <v>#VALUE!</v>
      </c>
      <c r="R7" s="177" t="e">
        <f>Calc!BD7</f>
        <v>#VALUE!</v>
      </c>
      <c r="S7" s="18">
        <f>Input!E7</f>
        <v>0</v>
      </c>
      <c r="T7" s="71"/>
      <c r="U7" s="71">
        <f>Input!K7</f>
        <v>7.1278391944295787E-3</v>
      </c>
      <c r="W7" s="71">
        <f>Calc!AS7</f>
        <v>2.1066038933119103E-5</v>
      </c>
      <c r="X7" s="71">
        <f>Calc!AT7</f>
        <v>1.0479092721745041E-7</v>
      </c>
      <c r="Y7" s="71">
        <f>Calc!AN7</f>
        <v>1.0019344921092295</v>
      </c>
      <c r="Z7" s="71">
        <f>Calc!AO7</f>
        <v>2.3087813138830569E-3</v>
      </c>
      <c r="AA7" s="71">
        <f>1+K7/1000</f>
        <v>0.99805246453918406</v>
      </c>
      <c r="AB7" s="71">
        <f>J7/1000</f>
        <v>0.26068633978571826</v>
      </c>
    </row>
    <row r="8" spans="1:28" x14ac:dyDescent="0.2">
      <c r="A8" s="71">
        <f>Input!A8</f>
        <v>10889</v>
      </c>
      <c r="B8" s="71" t="str">
        <f>Input!B8</f>
        <v>M5-14-44B_322</v>
      </c>
      <c r="C8" s="178">
        <f>Calc!O8*1000</f>
        <v>147.238669640165</v>
      </c>
      <c r="D8" s="178">
        <f>Calc!P8*1000</f>
        <v>1.5963276006054735E-2</v>
      </c>
      <c r="E8" s="178">
        <f>Calc!X8</f>
        <v>0.47767933616132302</v>
      </c>
      <c r="F8" s="178">
        <f>Calc!Y8</f>
        <v>1.1841401652738232E-3</v>
      </c>
      <c r="G8" s="178">
        <f>Calc!AN8</f>
        <v>2.265465397355451</v>
      </c>
      <c r="H8" s="74">
        <f>Calc!AO8</f>
        <v>6.3038525498396577E-3</v>
      </c>
      <c r="I8" s="73">
        <f>Calc!AH8</f>
        <v>2138.2871211766828</v>
      </c>
      <c r="J8" s="73">
        <f>Calc!AI8</f>
        <v>7.9652824866914926</v>
      </c>
      <c r="K8" s="73">
        <f>Calc!AJ8</f>
        <v>1147.5203354847704</v>
      </c>
      <c r="L8" s="73">
        <f>Calc!AK8</f>
        <v>3.0451384211461736</v>
      </c>
      <c r="M8" s="179">
        <f>Calc!AP8</f>
        <v>266.48340000000002</v>
      </c>
      <c r="N8" s="179">
        <f>Calc!AQ8</f>
        <v>2.4817999999999998</v>
      </c>
      <c r="O8" s="179">
        <f>Calc!AW8</f>
        <v>266.4581</v>
      </c>
      <c r="P8" s="179">
        <f>Calc!AY8</f>
        <v>2.6441138994938691</v>
      </c>
      <c r="Q8" s="180">
        <f>Calc!BC8</f>
        <v>2434.0684827011642</v>
      </c>
      <c r="R8" s="179">
        <f>Calc!BD8</f>
        <v>19.277012925942511</v>
      </c>
      <c r="S8" s="73">
        <f>Input!E8</f>
        <v>322</v>
      </c>
      <c r="T8" s="71"/>
      <c r="U8" s="71">
        <f>Input!K8</f>
        <v>7.1340449797128698E-3</v>
      </c>
      <c r="W8" s="71">
        <f>Calc!AS8</f>
        <v>1.0615262561378042E-3</v>
      </c>
      <c r="X8" s="71">
        <f>Calc!AT8</f>
        <v>2.633979304644775E-6</v>
      </c>
      <c r="Y8" s="71">
        <f>Calc!AN8</f>
        <v>2.265465397355451</v>
      </c>
      <c r="Z8" s="71">
        <f>Calc!AO8</f>
        <v>6.3038525498396577E-3</v>
      </c>
      <c r="AA8" s="71">
        <f>1+K8/1000</f>
        <v>2.1475203354847703</v>
      </c>
      <c r="AB8" s="71">
        <f>J8/1000</f>
        <v>7.9652824866914933E-3</v>
      </c>
    </row>
    <row r="9" spans="1:28" x14ac:dyDescent="0.2">
      <c r="A9" s="16">
        <f>Input!A9</f>
        <v>10815</v>
      </c>
      <c r="B9" s="16" t="str">
        <f>Input!B9</f>
        <v>Hu1-13</v>
      </c>
      <c r="C9" s="175">
        <f>Calc!O9*1000</f>
        <v>13701.615715514246</v>
      </c>
      <c r="D9" s="175">
        <f>Calc!P9*1000</f>
        <v>1.1017748846541349</v>
      </c>
      <c r="E9" s="175">
        <f>Calc!X9</f>
        <v>0.88214198912813813</v>
      </c>
      <c r="F9" s="175">
        <f>Calc!Y9</f>
        <v>4.3875547057387956E-3</v>
      </c>
      <c r="G9" s="175">
        <f>Calc!AN9</f>
        <v>1.0019344921092295</v>
      </c>
      <c r="H9" s="176">
        <f>Calc!AO9</f>
        <v>2.3087813138830569E-3</v>
      </c>
      <c r="I9" s="18">
        <f>Calc!AH9</f>
        <v>47561.598803182307</v>
      </c>
      <c r="J9" s="18">
        <f>Calc!AI9</f>
        <v>260.68633978571825</v>
      </c>
      <c r="K9" s="18">
        <f>Calc!AJ9</f>
        <v>-1.9475354608159412</v>
      </c>
      <c r="L9" s="18">
        <f>Calc!AK9</f>
        <v>1.3040789190793023</v>
      </c>
      <c r="M9" s="177" t="str">
        <f>Calc!AP9</f>
        <v>Out of range</v>
      </c>
      <c r="N9" s="177" t="e">
        <f>Calc!AQ9</f>
        <v>#VALUE!</v>
      </c>
      <c r="O9" s="177" t="str">
        <f>Calc!AW9</f>
        <v>Out of range</v>
      </c>
      <c r="P9" s="177">
        <f>Calc!AX9</f>
        <v>93.010192614299996</v>
      </c>
      <c r="Q9" s="181" t="e">
        <f>Calc!BC9</f>
        <v>#VALUE!</v>
      </c>
      <c r="R9" s="177" t="e">
        <f>Calc!BD9</f>
        <v>#VALUE!</v>
      </c>
      <c r="S9" s="18">
        <f>Input!E9</f>
        <v>0</v>
      </c>
      <c r="T9" s="71"/>
      <c r="U9" s="71">
        <f>Input!K9</f>
        <v>7.1278391944295787E-3</v>
      </c>
      <c r="W9" s="71">
        <f>Calc!AS9</f>
        <v>2.1066038933119103E-5</v>
      </c>
      <c r="X9" s="71">
        <f>Calc!AT9</f>
        <v>1.0479092721745041E-7</v>
      </c>
      <c r="Y9" s="71">
        <f>Calc!AN9</f>
        <v>1.0019344921092295</v>
      </c>
      <c r="Z9" s="71">
        <f>Calc!AO9</f>
        <v>2.3087813138830569E-3</v>
      </c>
      <c r="AA9" s="71">
        <f>1+K9/1000</f>
        <v>0.99805246453918406</v>
      </c>
      <c r="AB9" s="71">
        <f>J9/1000</f>
        <v>0.26068633978571826</v>
      </c>
    </row>
    <row r="10" spans="1:28" x14ac:dyDescent="0.2">
      <c r="H10" s="78"/>
    </row>
    <row r="11" spans="1:28" x14ac:dyDescent="0.2">
      <c r="A11" s="16">
        <f>Input!A11</f>
        <v>10815</v>
      </c>
      <c r="B11" s="16" t="str">
        <f>Input!B11</f>
        <v>Hu1-13</v>
      </c>
      <c r="C11" s="175">
        <f>Calc!O11*1000</f>
        <v>13697.435160189829</v>
      </c>
      <c r="D11" s="175">
        <f>Calc!P11*1000</f>
        <v>2.5381718074033448</v>
      </c>
      <c r="E11" s="175">
        <f>Calc!X11</f>
        <v>0.8816546427499119</v>
      </c>
      <c r="F11" s="175">
        <f>Calc!Y11</f>
        <v>7.8242671760526857E-3</v>
      </c>
      <c r="G11" s="175">
        <f>Calc!AN11</f>
        <v>0.99378612377426123</v>
      </c>
      <c r="H11" s="176">
        <f>Calc!AO11</f>
        <v>3.9304451314565768E-3</v>
      </c>
      <c r="I11" s="18">
        <f>Calc!AH11</f>
        <v>47186.472491345412</v>
      </c>
      <c r="J11" s="18">
        <f>Calc!AI11</f>
        <v>458.37734413031984</v>
      </c>
      <c r="K11" s="18">
        <f>Calc!AJ11</f>
        <v>-7.836688726692298E-2</v>
      </c>
      <c r="L11" s="18">
        <f>Calc!AK11</f>
        <v>2.512853774313732</v>
      </c>
      <c r="M11" s="177">
        <f>Calc!AP11</f>
        <v>556.00139999999999</v>
      </c>
      <c r="N11" s="177" t="e">
        <f>Calc!AQ11</f>
        <v>#VALUE!</v>
      </c>
      <c r="O11" s="177">
        <f>Calc!AW11</f>
        <v>555.99969999999996</v>
      </c>
      <c r="P11" s="177">
        <f>Calc!AX11</f>
        <v>214.57445050289999</v>
      </c>
      <c r="Q11" s="181">
        <f>Calc!BC11</f>
        <v>-0.37632984088213051</v>
      </c>
      <c r="R11" s="177">
        <f>Calc!BD11</f>
        <v>12.067521677811115</v>
      </c>
      <c r="S11" s="18">
        <f>Input!E11</f>
        <v>0</v>
      </c>
      <c r="T11" s="71"/>
      <c r="U11" s="71">
        <f>Input!K11</f>
        <v>7.1521020256389758E-3</v>
      </c>
      <c r="W11" s="71">
        <f>Calc!AS11</f>
        <v>2.1060826785823712E-5</v>
      </c>
      <c r="X11" s="71">
        <f>Calc!AT11</f>
        <v>1.8694559747120107E-7</v>
      </c>
      <c r="Y11" s="71">
        <f>Calc!AN11</f>
        <v>0.99378612377426123</v>
      </c>
      <c r="Z11" s="71">
        <f>Calc!AO11</f>
        <v>3.9304451314565768E-3</v>
      </c>
      <c r="AA11" s="71">
        <f t="shared" ref="AA11:AA19" si="0">1+K11/1000</f>
        <v>0.99992163311273308</v>
      </c>
      <c r="AB11" s="71">
        <f t="shared" ref="AB11:AB19" si="1">J11/1000</f>
        <v>0.45837734413031983</v>
      </c>
    </row>
    <row r="12" spans="1:28" x14ac:dyDescent="0.2">
      <c r="A12" s="71">
        <f>Input!A12</f>
        <v>10890</v>
      </c>
      <c r="B12" s="71" t="str">
        <f>Input!B12</f>
        <v>M5-14-44B_331,25</v>
      </c>
      <c r="C12" s="178">
        <f>Calc!O12*1000</f>
        <v>199.20155594283653</v>
      </c>
      <c r="D12" s="178">
        <f>Calc!P12*1000</f>
        <v>1.244095171460234E-2</v>
      </c>
      <c r="E12" s="178">
        <f>Calc!X12</f>
        <v>0.1997219407846873</v>
      </c>
      <c r="F12" s="178">
        <f>Calc!Y12</f>
        <v>4.1557540088725997E-4</v>
      </c>
      <c r="G12" s="178">
        <f>Calc!AN12</f>
        <v>2.259835275897089</v>
      </c>
      <c r="H12" s="74">
        <f>Calc!AO12</f>
        <v>4.2478243974455364E-3</v>
      </c>
      <c r="I12" s="73">
        <f>Calc!AH12</f>
        <v>6852.9636879754671</v>
      </c>
      <c r="J12" s="73">
        <f>Calc!AI12</f>
        <v>19.211529181693528</v>
      </c>
      <c r="K12" s="73">
        <f>Calc!AJ12</f>
        <v>1131.2101705093744</v>
      </c>
      <c r="L12" s="73">
        <f>Calc!AK12</f>
        <v>2.5219189592738229</v>
      </c>
      <c r="M12" s="179">
        <f>Calc!AP12</f>
        <v>271.59640000000002</v>
      </c>
      <c r="N12" s="179">
        <f>Calc!AQ12</f>
        <v>1.9802999999999999</v>
      </c>
      <c r="O12" s="179">
        <f>Calc!AW12</f>
        <v>271.58859999999999</v>
      </c>
      <c r="P12" s="179">
        <f>Calc!AY12</f>
        <v>1.9854122546557533</v>
      </c>
      <c r="Q12" s="180">
        <f>Calc!BC12</f>
        <v>2434.4657587500997</v>
      </c>
      <c r="R12" s="179">
        <f>Calc!BD12</f>
        <v>14.680312430646714</v>
      </c>
      <c r="S12" s="73">
        <f>Input!E12</f>
        <v>331.25</v>
      </c>
      <c r="T12" s="71"/>
      <c r="U12" s="71">
        <f>Input!K12</f>
        <v>7.1543551584463509E-3</v>
      </c>
      <c r="W12" s="71">
        <f>Calc!AS12</f>
        <v>3.2805693427995729E-4</v>
      </c>
      <c r="X12" s="71">
        <f>Calc!AT12</f>
        <v>6.8291840208792742E-7</v>
      </c>
      <c r="Y12" s="71">
        <f>Calc!AN12</f>
        <v>2.259835275897089</v>
      </c>
      <c r="Z12" s="71">
        <f>Calc!AO12</f>
        <v>4.2478243974455364E-3</v>
      </c>
      <c r="AA12" s="71">
        <f t="shared" si="0"/>
        <v>2.1312101705093744</v>
      </c>
      <c r="AB12" s="71">
        <f t="shared" si="1"/>
        <v>1.921152918169353E-2</v>
      </c>
    </row>
    <row r="13" spans="1:28" x14ac:dyDescent="0.2">
      <c r="A13" s="16">
        <f>Input!A13</f>
        <v>10815</v>
      </c>
      <c r="B13" s="16" t="str">
        <f>Input!B13</f>
        <v>Hu1-13</v>
      </c>
      <c r="C13" s="175">
        <f>Calc!O13*1000</f>
        <v>13699.926064839383</v>
      </c>
      <c r="D13" s="175">
        <f>Calc!P13*1000</f>
        <v>2.589229774142261</v>
      </c>
      <c r="E13" s="175">
        <f>Calc!X13</f>
        <v>0.90352480593405116</v>
      </c>
      <c r="F13" s="175">
        <f>Calc!Y13</f>
        <v>9.0942293142684295E-3</v>
      </c>
      <c r="G13" s="175">
        <f>Calc!AN13</f>
        <v>0.99588301909425703</v>
      </c>
      <c r="H13" s="176">
        <f>Calc!AO13</f>
        <v>3.5670547778450992E-3</v>
      </c>
      <c r="I13" s="18">
        <f>Calc!AH13</f>
        <v>46149.85059713688</v>
      </c>
      <c r="J13" s="18">
        <f>Calc!AI13</f>
        <v>492.96902639198288</v>
      </c>
      <c r="K13" s="18">
        <f>Calc!AJ13</f>
        <v>-1.0759985301597164</v>
      </c>
      <c r="L13" s="18">
        <f>Calc!AK13</f>
        <v>2.3286636106792642</v>
      </c>
      <c r="M13" s="177">
        <f>Calc!AP13</f>
        <v>649.57640000000004</v>
      </c>
      <c r="N13" s="177" t="e">
        <f>Calc!AQ13</f>
        <v>#VALUE!</v>
      </c>
      <c r="O13" s="177">
        <f>Calc!AW13</f>
        <v>649.57460000000003</v>
      </c>
      <c r="P13" s="177">
        <f>Calc!AX13</f>
        <v>301.1754978459</v>
      </c>
      <c r="Q13" s="181">
        <f>Calc!BC13</f>
        <v>-6.7287378916189526</v>
      </c>
      <c r="R13" s="177">
        <f>Calc!BD13</f>
        <v>15.074109384230388</v>
      </c>
      <c r="S13" s="18">
        <f>Input!E13</f>
        <v>0</v>
      </c>
      <c r="T13" s="71"/>
      <c r="U13" s="71">
        <f>Input!K13</f>
        <v>7.1473712880570301E-3</v>
      </c>
      <c r="W13" s="71">
        <f>Calc!AS13</f>
        <v>2.1579333545145674E-5</v>
      </c>
      <c r="X13" s="71">
        <f>Calc!AT13</f>
        <v>2.1724030094312853E-7</v>
      </c>
      <c r="Y13" s="71">
        <f>Calc!AN13</f>
        <v>0.99588301909425703</v>
      </c>
      <c r="Z13" s="71">
        <f>Calc!AO13</f>
        <v>3.5670547778450992E-3</v>
      </c>
      <c r="AA13" s="71">
        <f t="shared" si="0"/>
        <v>0.99892400146984028</v>
      </c>
      <c r="AB13" s="71">
        <f t="shared" si="1"/>
        <v>0.49296902639198287</v>
      </c>
    </row>
    <row r="14" spans="1:28" x14ac:dyDescent="0.2">
      <c r="A14" s="71">
        <f>Input!A14</f>
        <v>10891</v>
      </c>
      <c r="B14" s="71" t="str">
        <f>Input!B14</f>
        <v>M5-14-44B_346,5</v>
      </c>
      <c r="C14" s="178">
        <f>Calc!O14*1000</f>
        <v>280.32701801732549</v>
      </c>
      <c r="D14" s="178">
        <f>Calc!P14*1000</f>
        <v>2.4337700703993773E-2</v>
      </c>
      <c r="E14" s="178">
        <f>Calc!X14</f>
        <v>0.14700159405958285</v>
      </c>
      <c r="F14" s="178">
        <f>Calc!Y14</f>
        <v>3.9110925532712045E-4</v>
      </c>
      <c r="G14" s="178">
        <f>Calc!AN14</f>
        <v>2.1858434254260621</v>
      </c>
      <c r="H14" s="74">
        <f>Calc!AO14</f>
        <v>3.9909537465768457E-3</v>
      </c>
      <c r="I14" s="73">
        <f>Calc!AH14</f>
        <v>12716.555320446359</v>
      </c>
      <c r="J14" s="73">
        <f>Calc!AI14</f>
        <v>41.019029367826541</v>
      </c>
      <c r="K14" s="73">
        <f>Calc!AJ14</f>
        <v>1073.5827739719484</v>
      </c>
      <c r="L14" s="73">
        <f>Calc!AK14</f>
        <v>2.0540152194110437</v>
      </c>
      <c r="M14" s="179">
        <f>Calc!AP14</f>
        <v>269.39120000000003</v>
      </c>
      <c r="N14" s="179">
        <f>Calc!AQ14</f>
        <v>1.8279000000000001</v>
      </c>
      <c r="O14" s="179">
        <f>Calc!AW14</f>
        <v>269.38690000000003</v>
      </c>
      <c r="P14" s="179">
        <f>Calc!AY14</f>
        <v>1.8234749979550686</v>
      </c>
      <c r="Q14" s="180">
        <f>Calc!BC14</f>
        <v>2296.1353728332565</v>
      </c>
      <c r="R14" s="179">
        <f>Calc!BD14</f>
        <v>12.606039685411647</v>
      </c>
      <c r="S14" s="73">
        <f>Input!E14</f>
        <v>346.5</v>
      </c>
      <c r="T14" s="71"/>
      <c r="U14" s="71">
        <f>Input!K14</f>
        <v>7.1478863493836106E-3</v>
      </c>
      <c r="W14" s="71">
        <f>Calc!AS14</f>
        <v>1.7158260524853346E-4</v>
      </c>
      <c r="X14" s="71">
        <f>Calc!AT14</f>
        <v>4.5675194673641555E-7</v>
      </c>
      <c r="Y14" s="71">
        <f>Calc!AN14</f>
        <v>2.1858434254260621</v>
      </c>
      <c r="Z14" s="71">
        <f>Calc!AO14</f>
        <v>3.9909537465768457E-3</v>
      </c>
      <c r="AA14" s="71">
        <f t="shared" si="0"/>
        <v>2.0735827739719483</v>
      </c>
      <c r="AB14" s="71">
        <f t="shared" si="1"/>
        <v>4.1019029367826539E-2</v>
      </c>
    </row>
    <row r="15" spans="1:28" x14ac:dyDescent="0.2">
      <c r="A15" s="16">
        <f>Input!A15</f>
        <v>10815</v>
      </c>
      <c r="B15" s="16" t="str">
        <f>Input!B15</f>
        <v>Hu1-13</v>
      </c>
      <c r="C15" s="175">
        <f>Calc!O15*1000</f>
        <v>13700.605051231014</v>
      </c>
      <c r="D15" s="175">
        <f>Calc!P15*1000</f>
        <v>2.4906821550498082</v>
      </c>
      <c r="E15" s="175">
        <f>Calc!X15</f>
        <v>0.88169109578165561</v>
      </c>
      <c r="F15" s="175">
        <f>Calc!Y15</f>
        <v>8.0963347964154823E-3</v>
      </c>
      <c r="G15" s="175">
        <f>Calc!AN15</f>
        <v>1.0005451479817855</v>
      </c>
      <c r="H15" s="176">
        <f>Calc!AO15</f>
        <v>3.1166037129952175E-3</v>
      </c>
      <c r="I15" s="18">
        <f>Calc!AH15</f>
        <v>47516.430859604858</v>
      </c>
      <c r="J15" s="18">
        <f>Calc!AI15</f>
        <v>460.66975524404796</v>
      </c>
      <c r="K15" s="18">
        <f>Calc!AJ15</f>
        <v>1.4062442537292608</v>
      </c>
      <c r="L15" s="18">
        <f>Calc!AK15</f>
        <v>1.9851621197802516</v>
      </c>
      <c r="M15" s="177">
        <f>Calc!AP15</f>
        <v>711.69470000000001</v>
      </c>
      <c r="N15" s="177" t="e">
        <f>Calc!AQ15</f>
        <v>#VALUE!</v>
      </c>
      <c r="O15" s="177">
        <f>Calc!AW15</f>
        <v>711.69299999999998</v>
      </c>
      <c r="P15" s="177">
        <f>Calc!AX15</f>
        <v>324.44074982469999</v>
      </c>
      <c r="Q15" s="181">
        <f>Calc!BC15</f>
        <v>10.478890954128245</v>
      </c>
      <c r="R15" s="177">
        <f>Calc!BD15</f>
        <v>17.378113480538413</v>
      </c>
      <c r="S15" s="18">
        <f>Input!E15</f>
        <v>0</v>
      </c>
      <c r="T15" s="71"/>
      <c r="U15" s="71">
        <f>Input!K15</f>
        <v>7.1331348142090857E-3</v>
      </c>
      <c r="W15" s="71">
        <f>Calc!AS15</f>
        <v>2.1056824552712333E-5</v>
      </c>
      <c r="X15" s="71">
        <f>Calc!AT15</f>
        <v>1.9339710693073919E-7</v>
      </c>
      <c r="Y15" s="71">
        <f>Calc!AN15</f>
        <v>1.0005451479817855</v>
      </c>
      <c r="Z15" s="71">
        <f>Calc!AO15</f>
        <v>3.1166037129952175E-3</v>
      </c>
      <c r="AA15" s="71">
        <f t="shared" si="0"/>
        <v>1.0014062442537293</v>
      </c>
      <c r="AB15" s="71">
        <f t="shared" si="1"/>
        <v>0.46066975524404796</v>
      </c>
    </row>
    <row r="16" spans="1:28" x14ac:dyDescent="0.2">
      <c r="A16" s="71">
        <f>Input!A16</f>
        <v>10892</v>
      </c>
      <c r="B16" s="71" t="str">
        <f>Input!B16</f>
        <v>M5-14-44B_618,75</v>
      </c>
      <c r="C16" s="178">
        <f>Calc!O16*1000</f>
        <v>285.63266761377025</v>
      </c>
      <c r="D16" s="178">
        <f>Calc!P16*1000</f>
        <v>1.8847718226426297E-2</v>
      </c>
      <c r="E16" s="178">
        <f>Calc!X16</f>
        <v>6.8878710038697374E-2</v>
      </c>
      <c r="F16" s="178">
        <f>Calc!Y16</f>
        <v>1.7064873178267468E-4</v>
      </c>
      <c r="G16" s="178">
        <f>Calc!AN16</f>
        <v>2.1011238363820293</v>
      </c>
      <c r="H16" s="74">
        <f>Calc!AO16</f>
        <v>4.8059996769204512E-3</v>
      </c>
      <c r="I16" s="73">
        <f>Calc!AH16</f>
        <v>26626.774407962443</v>
      </c>
      <c r="J16" s="73">
        <f>Calc!AI16</f>
        <v>89.767120290386174</v>
      </c>
      <c r="K16" s="73">
        <f>Calc!AJ16</f>
        <v>985.15406984982917</v>
      </c>
      <c r="L16" s="73">
        <f>Calc!AK16</f>
        <v>1.6348463181528816</v>
      </c>
      <c r="M16" s="179">
        <f>Calc!AP16</f>
        <v>277.91840000000002</v>
      </c>
      <c r="N16" s="179">
        <f>Calc!AQ16</f>
        <v>2.3071000000000002</v>
      </c>
      <c r="O16" s="179">
        <f>Calc!AW16</f>
        <v>277.91640000000001</v>
      </c>
      <c r="P16" s="179">
        <f>Calc!AY16</f>
        <v>2.2848854631475679</v>
      </c>
      <c r="Q16" s="180">
        <f>Calc!BC16</f>
        <v>2158.3402463046323</v>
      </c>
      <c r="R16" s="179">
        <f>Calc!BD16</f>
        <v>14.370667803324659</v>
      </c>
      <c r="S16" s="73">
        <f>Input!E16</f>
        <v>618.75</v>
      </c>
      <c r="T16" s="71"/>
      <c r="U16" s="71">
        <f>Input!K16</f>
        <v>7.137523244743431E-3</v>
      </c>
      <c r="W16" s="71">
        <f>Calc!AS16</f>
        <v>7.8902960739640727E-5</v>
      </c>
      <c r="X16" s="71">
        <f>Calc!AT16</f>
        <v>1.9555338616515173E-7</v>
      </c>
      <c r="Y16" s="71">
        <f>Calc!AN16</f>
        <v>2.1011238363820293</v>
      </c>
      <c r="Z16" s="71">
        <f>Calc!AO16</f>
        <v>4.8059996769204512E-3</v>
      </c>
      <c r="AA16" s="71">
        <f t="shared" si="0"/>
        <v>1.9851540698498291</v>
      </c>
      <c r="AB16" s="71">
        <f t="shared" si="1"/>
        <v>8.9767120290386179E-2</v>
      </c>
    </row>
    <row r="17" spans="1:28" x14ac:dyDescent="0.2">
      <c r="A17" s="16">
        <f>Input!A17</f>
        <v>10815</v>
      </c>
      <c r="B17" s="16" t="str">
        <f>Input!B17</f>
        <v>Hu1-13</v>
      </c>
      <c r="C17" s="175">
        <f>Calc!O17*1000</f>
        <v>13702.24298819626</v>
      </c>
      <c r="D17" s="175">
        <f>Calc!P17*1000</f>
        <v>2.3842062464656988</v>
      </c>
      <c r="E17" s="175">
        <f>Calc!X17</f>
        <v>0.867387908758391</v>
      </c>
      <c r="F17" s="175">
        <f>Calc!Y17</f>
        <v>5.8116160209789828E-3</v>
      </c>
      <c r="G17" s="175">
        <f>Calc!AN17</f>
        <v>0.99927161612895854</v>
      </c>
      <c r="H17" s="176">
        <f>Calc!AO17</f>
        <v>3.1002292165663967E-3</v>
      </c>
      <c r="I17" s="18">
        <f>Calc!AH17</f>
        <v>48244.263610617221</v>
      </c>
      <c r="J17" s="18">
        <f>Calc!AI17</f>
        <v>356.11642878789593</v>
      </c>
      <c r="K17" s="18">
        <f>Calc!AJ17</f>
        <v>-0.72481986003769538</v>
      </c>
      <c r="L17" s="18">
        <f>Calc!AK17</f>
        <v>3.0484620641075946</v>
      </c>
      <c r="M17" s="177" t="str">
        <f>Calc!AP17</f>
        <v>Out of range</v>
      </c>
      <c r="N17" s="177" t="e">
        <f>Calc!AQ17</f>
        <v>#VALUE!</v>
      </c>
      <c r="O17" s="177" t="str">
        <f>Calc!AW17</f>
        <v>Out of range</v>
      </c>
      <c r="P17" s="177">
        <f>Calc!AX17</f>
        <v>322.09734613640001</v>
      </c>
      <c r="Q17" s="181" t="e">
        <f>Calc!BC17</f>
        <v>#VALUE!</v>
      </c>
      <c r="R17" s="177" t="e">
        <f>Calc!BD17</f>
        <v>#VALUE!</v>
      </c>
      <c r="S17" s="18">
        <f>Input!E17</f>
        <v>0</v>
      </c>
      <c r="T17" s="71"/>
      <c r="U17" s="71">
        <f>Input!K17</f>
        <v>7.1302621723482963E-3</v>
      </c>
      <c r="W17" s="71">
        <f>Calc!AS17</f>
        <v>2.0712755078907383E-5</v>
      </c>
      <c r="X17" s="71">
        <f>Calc!AT17</f>
        <v>1.3882504395395148E-7</v>
      </c>
      <c r="Y17" s="71">
        <f>Calc!AN17</f>
        <v>0.99927161612895854</v>
      </c>
      <c r="Z17" s="71">
        <f>Calc!AO17</f>
        <v>3.1002292165663967E-3</v>
      </c>
      <c r="AA17" s="71">
        <f t="shared" si="0"/>
        <v>0.9992751801399623</v>
      </c>
      <c r="AB17" s="71">
        <f t="shared" si="1"/>
        <v>0.3561164287878959</v>
      </c>
    </row>
    <row r="18" spans="1:28" x14ac:dyDescent="0.2">
      <c r="A18" s="71">
        <f>Input!A18</f>
        <v>10893</v>
      </c>
      <c r="B18" s="71" t="str">
        <f>Input!B18</f>
        <v>M5-14-44B_653</v>
      </c>
      <c r="C18" s="178">
        <f>Calc!O18*1000</f>
        <v>302.60352212767305</v>
      </c>
      <c r="D18" s="178">
        <f>Calc!P18*1000</f>
        <v>2.8487455137125063E-2</v>
      </c>
      <c r="E18" s="178">
        <f>Calc!X18</f>
        <v>0.15976005951610533</v>
      </c>
      <c r="F18" s="178">
        <f>Calc!Y18</f>
        <v>7.1019210840105929E-4</v>
      </c>
      <c r="G18" s="178">
        <f>Calc!AN18</f>
        <v>11.469606717024851</v>
      </c>
      <c r="H18" s="74">
        <f>Calc!AO18</f>
        <v>6.0908580243657015E-2</v>
      </c>
      <c r="I18" s="73">
        <f>Calc!AH18</f>
        <v>66409.358042822336</v>
      </c>
      <c r="J18" s="73">
        <f>Calc!AI18</f>
        <v>459.87282463067731</v>
      </c>
      <c r="K18" s="73">
        <f>Calc!AJ18</f>
        <v>2980.259167940399</v>
      </c>
      <c r="L18" s="73">
        <f>Calc!AK18</f>
        <v>12.047221179183131</v>
      </c>
      <c r="M18" s="179" t="str">
        <f>Calc!AP18</f>
        <v>Out of range</v>
      </c>
      <c r="N18" s="179" t="e">
        <f>Calc!AQ18</f>
        <v>#VALUE!</v>
      </c>
      <c r="O18" s="179" t="str">
        <f>Calc!AW18</f>
        <v>Out of range</v>
      </c>
      <c r="P18" s="179" t="e">
        <f>Calc!AY18</f>
        <v>#VALUE!</v>
      </c>
      <c r="Q18" s="180" t="e">
        <f>Calc!BC18</f>
        <v>#VALUE!</v>
      </c>
      <c r="R18" s="179" t="e">
        <f>Calc!BD18</f>
        <v>#VALUE!</v>
      </c>
      <c r="S18" s="73">
        <f>Input!E18</f>
        <v>653</v>
      </c>
      <c r="T18" s="71"/>
      <c r="U18" s="71">
        <f>Input!K18</f>
        <v>7.1587793870285452E-3</v>
      </c>
      <c r="W18" s="71">
        <f>Calc!AS18</f>
        <v>1.7274695696052519E-4</v>
      </c>
      <c r="X18" s="71">
        <f>Calc!AT18</f>
        <v>7.6809581499612532E-7</v>
      </c>
      <c r="Y18" s="71">
        <f>Calc!AN18</f>
        <v>11.469606717024851</v>
      </c>
      <c r="Z18" s="71">
        <f>Calc!AO18</f>
        <v>6.0908580243657015E-2</v>
      </c>
      <c r="AA18" s="71">
        <f t="shared" si="0"/>
        <v>3.9802591679403991</v>
      </c>
      <c r="AB18" s="71">
        <f t="shared" si="1"/>
        <v>0.4598728246306773</v>
      </c>
    </row>
    <row r="19" spans="1:28" x14ac:dyDescent="0.2">
      <c r="A19" s="16">
        <f>Input!A19</f>
        <v>10815</v>
      </c>
      <c r="B19" s="16" t="str">
        <f>Input!B19</f>
        <v>Hu1-13</v>
      </c>
      <c r="C19" s="175">
        <f>Calc!O19*1000</f>
        <v>13698.567590098577</v>
      </c>
      <c r="D19" s="175">
        <f>Calc!P19*1000</f>
        <v>2.7632137285455443</v>
      </c>
      <c r="E19" s="175">
        <f>Calc!X19</f>
        <v>0.8643796079236159</v>
      </c>
      <c r="F19" s="175">
        <f>Calc!Y19</f>
        <v>7.8850801469379315E-3</v>
      </c>
      <c r="G19" s="175">
        <f>Calc!AN19</f>
        <v>1.0011482410874382</v>
      </c>
      <c r="H19" s="176">
        <f>Calc!AO19</f>
        <v>4.0531748712097516E-3</v>
      </c>
      <c r="I19" s="18">
        <f>Calc!AH19</f>
        <v>48490.075710739613</v>
      </c>
      <c r="J19" s="18">
        <f>Calc!AI19</f>
        <v>483.8453813049457</v>
      </c>
      <c r="K19" s="18">
        <f>Calc!AJ19</f>
        <v>0.69171692018099584</v>
      </c>
      <c r="L19" s="18">
        <f>Calc!AK19</f>
        <v>3.2666460901569954</v>
      </c>
      <c r="M19" s="177" t="str">
        <f>Calc!AP19</f>
        <v>Out of range</v>
      </c>
      <c r="N19" s="177" t="e">
        <f>Calc!AQ19</f>
        <v>#VALUE!</v>
      </c>
      <c r="O19" s="177" t="str">
        <f>Calc!AW19</f>
        <v>Out of range</v>
      </c>
      <c r="P19" s="177">
        <f>Calc!AX19</f>
        <v>327.52268226699999</v>
      </c>
      <c r="Q19" s="181" t="e">
        <f>Calc!BC19</f>
        <v>#VALUE!</v>
      </c>
      <c r="R19" s="177" t="e">
        <f>Calc!BD19</f>
        <v>#VALUE!</v>
      </c>
      <c r="S19" s="18">
        <f>Input!E19</f>
        <v>0</v>
      </c>
      <c r="T19" s="71"/>
      <c r="U19" s="71">
        <f>Input!K19</f>
        <v>7.1236781443474182E-3</v>
      </c>
      <c r="W19" s="71">
        <f>Calc!AS19</f>
        <v>2.0646456546276402E-5</v>
      </c>
      <c r="X19" s="71">
        <f>Calc!AT19</f>
        <v>1.8838801788602133E-7</v>
      </c>
      <c r="Y19" s="71">
        <f>Calc!AN19</f>
        <v>1.0011482410874382</v>
      </c>
      <c r="Z19" s="71">
        <f>Calc!AO19</f>
        <v>4.0531748712097516E-3</v>
      </c>
      <c r="AA19" s="71">
        <f t="shared" si="0"/>
        <v>1.000691716920181</v>
      </c>
      <c r="AB19" s="71">
        <f t="shared" si="1"/>
        <v>0.4838453813049457</v>
      </c>
    </row>
    <row r="20" spans="1:28" x14ac:dyDescent="0.2">
      <c r="H20" s="78"/>
    </row>
    <row r="21" spans="1:28" x14ac:dyDescent="0.2">
      <c r="A21" s="16">
        <f>Input!A21</f>
        <v>10815</v>
      </c>
      <c r="B21" s="16" t="str">
        <f>Input!B21</f>
        <v>Hu1-13</v>
      </c>
      <c r="C21" s="175">
        <f>Calc!O21*1000</f>
        <v>13702.379602845522</v>
      </c>
      <c r="D21" s="175">
        <f>Calc!P21*1000</f>
        <v>1.4991704571482873</v>
      </c>
      <c r="E21" s="175">
        <f>Calc!X21</f>
        <v>0.88838310707148227</v>
      </c>
      <c r="F21" s="175">
        <f>Calc!Y21</f>
        <v>3.4148225646745121E-3</v>
      </c>
      <c r="G21" s="175">
        <f>Calc!AN21</f>
        <v>0.99460588771538438</v>
      </c>
      <c r="H21" s="176">
        <f>Calc!AO21</f>
        <v>2.5753578029186963E-3</v>
      </c>
      <c r="I21" s="18">
        <f>Calc!AH21</f>
        <v>46884.637027140569</v>
      </c>
      <c r="J21" s="18">
        <f>Calc!AI21</f>
        <v>217.23283291777119</v>
      </c>
      <c r="K21" s="18">
        <f>Calc!AJ21</f>
        <v>-0.90313185095880488</v>
      </c>
      <c r="L21" s="18">
        <f>Calc!AK21</f>
        <v>1.5823413933688879</v>
      </c>
      <c r="M21" s="177">
        <f>Calc!AP21</f>
        <v>598.90250000000003</v>
      </c>
      <c r="N21" s="177" t="e">
        <f>Calc!AQ21</f>
        <v>#VALUE!</v>
      </c>
      <c r="O21" s="177">
        <f>Calc!AW21</f>
        <v>598.90070000000003</v>
      </c>
      <c r="P21" s="177">
        <f>Calc!AX21</f>
        <v>224.20933979579999</v>
      </c>
      <c r="Q21" s="181">
        <f>Calc!BC21</f>
        <v>-4.895160125833188</v>
      </c>
      <c r="R21" s="177">
        <f>Calc!BD21</f>
        <v>8.6666526864514815</v>
      </c>
      <c r="S21" s="18">
        <f>Input!E21</f>
        <v>0</v>
      </c>
      <c r="T21" s="71"/>
      <c r="U21" s="71">
        <f>Input!K21</f>
        <v>7.1422341560600996E-3</v>
      </c>
      <c r="W21" s="71">
        <f>Calc!AS21</f>
        <v>2.1213897574585615E-5</v>
      </c>
      <c r="X21" s="71">
        <f>Calc!AT21</f>
        <v>8.1576331794233067E-8</v>
      </c>
      <c r="Y21" s="71">
        <f>Calc!AN21</f>
        <v>0.99460588771538438</v>
      </c>
      <c r="Z21" s="71">
        <f>Calc!AO21</f>
        <v>2.5753578029186963E-3</v>
      </c>
      <c r="AA21" s="71">
        <f t="shared" ref="AA21:AA31" si="2">1+K21/1000</f>
        <v>0.9990968681490412</v>
      </c>
      <c r="AB21" s="71">
        <f t="shared" ref="AB21:AB31" si="3">J21/1000</f>
        <v>0.21723283291777118</v>
      </c>
    </row>
    <row r="22" spans="1:28" x14ac:dyDescent="0.2">
      <c r="A22" s="71">
        <f>Input!A22</f>
        <v>10894</v>
      </c>
      <c r="B22" s="71" t="str">
        <f>Input!B22</f>
        <v>M5-14-42_58,75</v>
      </c>
      <c r="C22" s="178">
        <f>Calc!O22*1000</f>
        <v>1358.0467507983044</v>
      </c>
      <c r="D22" s="178">
        <f>Calc!P22*1000</f>
        <v>6.6424630282533148E-2</v>
      </c>
      <c r="E22" s="178">
        <f>Calc!X22</f>
        <v>7.869176192328399E-2</v>
      </c>
      <c r="F22" s="178">
        <f>Calc!Y22</f>
        <v>1.5252861886048445E-4</v>
      </c>
      <c r="G22" s="178">
        <f>Calc!AN22</f>
        <v>1.0250631615420898</v>
      </c>
      <c r="H22" s="74">
        <f>Calc!AO22</f>
        <v>2.0674408817308232E-3</v>
      </c>
      <c r="I22" s="73">
        <f>Calc!AH22</f>
        <v>53776.533310698796</v>
      </c>
      <c r="J22" s="73">
        <f>Calc!AI22</f>
        <v>150.40598654461607</v>
      </c>
      <c r="K22" s="73">
        <f>Calc!AJ22</f>
        <v>162.28997513986454</v>
      </c>
      <c r="L22" s="73">
        <f>Calc!AK22</f>
        <v>0.52356550124050871</v>
      </c>
      <c r="M22" s="179">
        <f>Calc!AP22</f>
        <v>208.9606</v>
      </c>
      <c r="N22" s="179">
        <f>Calc!AQ22</f>
        <v>1.1843999999999999</v>
      </c>
      <c r="O22" s="179">
        <f>Calc!AW22</f>
        <v>208.95939999999999</v>
      </c>
      <c r="P22" s="179">
        <f>Calc!AY22</f>
        <v>1.2253732159707511</v>
      </c>
      <c r="Q22" s="180">
        <f>Calc!BC22</f>
        <v>292.6802363370121</v>
      </c>
      <c r="R22" s="179">
        <f>Calc!BD22</f>
        <v>1.3841667470833374</v>
      </c>
      <c r="S22" s="73">
        <f>Input!E22</f>
        <v>58.75</v>
      </c>
      <c r="T22" s="71"/>
      <c r="U22" s="71">
        <f>Input!K22</f>
        <v>7.1443989744335327E-3</v>
      </c>
      <c r="W22" s="71">
        <f>Calc!AS22</f>
        <v>1.8959667611846833E-5</v>
      </c>
      <c r="X22" s="71">
        <f>Calc!AT22</f>
        <v>3.6761313219540542E-8</v>
      </c>
      <c r="Y22" s="71">
        <f>Calc!AN22</f>
        <v>1.0250631615420898</v>
      </c>
      <c r="Z22" s="71">
        <f>Calc!AO22</f>
        <v>2.0674408817308232E-3</v>
      </c>
      <c r="AA22" s="71">
        <f t="shared" si="2"/>
        <v>1.1622899751398645</v>
      </c>
      <c r="AB22" s="71">
        <f t="shared" si="3"/>
        <v>0.15040598654461607</v>
      </c>
    </row>
    <row r="23" spans="1:28" x14ac:dyDescent="0.2">
      <c r="A23" s="16">
        <f>Input!A23</f>
        <v>10815</v>
      </c>
      <c r="B23" s="16" t="str">
        <f>Input!B23</f>
        <v>Hu1-13</v>
      </c>
      <c r="C23" s="175">
        <f>Calc!O23*1000</f>
        <v>13701.470390200906</v>
      </c>
      <c r="D23" s="175">
        <f>Calc!P23*1000</f>
        <v>1.3332251945884417</v>
      </c>
      <c r="E23" s="175">
        <f>Calc!X23</f>
        <v>0.88842076249650015</v>
      </c>
      <c r="F23" s="175">
        <f>Calc!Y23</f>
        <v>3.9259498298503497E-3</v>
      </c>
      <c r="G23" s="175">
        <f>Calc!AN23</f>
        <v>0.99470605937363099</v>
      </c>
      <c r="H23" s="176">
        <f>Calc!AO23</f>
        <v>3.1612611675082532E-3</v>
      </c>
      <c r="I23" s="18">
        <f>Calc!AH23</f>
        <v>46884.260438065074</v>
      </c>
      <c r="J23" s="18">
        <f>Calc!AI23</f>
        <v>255.15767804710896</v>
      </c>
      <c r="K23" s="18">
        <f>Calc!AJ23</f>
        <v>0.42829955381318285</v>
      </c>
      <c r="L23" s="18">
        <f>Calc!AK23</f>
        <v>1.4065878816624291</v>
      </c>
      <c r="M23" s="177">
        <f>Calc!AP23</f>
        <v>559.80089999999996</v>
      </c>
      <c r="N23" s="177" t="e">
        <f>Calc!AQ23</f>
        <v>#VALUE!</v>
      </c>
      <c r="O23" s="177">
        <f>Calc!AW23</f>
        <v>559.79920000000004</v>
      </c>
      <c r="P23" s="177">
        <f>Calc!AX23</f>
        <v>167.46303767750001</v>
      </c>
      <c r="Q23" s="181">
        <f>Calc!BC23</f>
        <v>2.0789324031466179</v>
      </c>
      <c r="R23" s="177">
        <f>Calc!BD23</f>
        <v>6.8392567658553816</v>
      </c>
      <c r="S23" s="18">
        <f>Input!E23</f>
        <v>0</v>
      </c>
      <c r="T23" s="71"/>
      <c r="U23" s="71">
        <f>Input!K23</f>
        <v>7.1395446009696051E-3</v>
      </c>
      <c r="W23" s="71">
        <f>Calc!AS23</f>
        <v>2.1216204544543366E-5</v>
      </c>
      <c r="X23" s="71">
        <f>Calc!AT23</f>
        <v>9.3777575663271956E-8</v>
      </c>
      <c r="Y23" s="71">
        <f>Calc!AN23</f>
        <v>0.99470605937363099</v>
      </c>
      <c r="Z23" s="71">
        <f>Calc!AO23</f>
        <v>3.1612611675082532E-3</v>
      </c>
      <c r="AA23" s="71">
        <f t="shared" si="2"/>
        <v>1.0004282995538132</v>
      </c>
      <c r="AB23" s="71">
        <f t="shared" si="3"/>
        <v>0.25515767804710898</v>
      </c>
    </row>
    <row r="24" spans="1:28" x14ac:dyDescent="0.2">
      <c r="A24" s="71">
        <f>Input!A24</f>
        <v>10895</v>
      </c>
      <c r="B24" s="71" t="str">
        <f>Input!B24</f>
        <v>M5-14-42_162,75</v>
      </c>
      <c r="C24" s="178">
        <f>Calc!O24*1000</f>
        <v>661.38209082670801</v>
      </c>
      <c r="D24" s="178">
        <f>Calc!P24*1000</f>
        <v>2.8284402254664925E-2</v>
      </c>
      <c r="E24" s="178">
        <f>Calc!X24</f>
        <v>2.4495003191414604</v>
      </c>
      <c r="F24" s="178">
        <f>Calc!Y24</f>
        <v>3.9829833849918013E-3</v>
      </c>
      <c r="G24" s="178">
        <f>Calc!AN24</f>
        <v>1.0855901572845537</v>
      </c>
      <c r="H24" s="74">
        <f>Calc!AO24</f>
        <v>2.1566061899778327E-3</v>
      </c>
      <c r="I24" s="73">
        <f>Calc!AH24</f>
        <v>893.18646314531088</v>
      </c>
      <c r="J24" s="73">
        <f>Calc!AI24</f>
        <v>2.2926644344687137</v>
      </c>
      <c r="K24" s="73">
        <f>Calc!AJ24</f>
        <v>185.59794021642028</v>
      </c>
      <c r="L24" s="73">
        <f>Calc!AK24</f>
        <v>0.65706453260532927</v>
      </c>
      <c r="M24" s="179">
        <f>Calc!AP24</f>
        <v>230.7157</v>
      </c>
      <c r="N24" s="179">
        <f>Calc!AQ24</f>
        <v>1.585</v>
      </c>
      <c r="O24" s="179">
        <f>Calc!AW24</f>
        <v>230.64259999999999</v>
      </c>
      <c r="P24" s="179">
        <f>Calc!AY24</f>
        <v>1.5167876743423498</v>
      </c>
      <c r="Q24" s="180">
        <f>Calc!BC24</f>
        <v>355.83600979362302</v>
      </c>
      <c r="R24" s="179">
        <f>Calc!BD24</f>
        <v>1.9765981570396451</v>
      </c>
      <c r="S24" s="73">
        <f>Input!E24</f>
        <v>162.75</v>
      </c>
      <c r="T24" s="71"/>
      <c r="U24" s="71">
        <f>Input!K24</f>
        <v>7.1428212293925741E-3</v>
      </c>
      <c r="W24" s="71">
        <f>Calc!AS24</f>
        <v>1.2118287184929761E-3</v>
      </c>
      <c r="X24" s="71">
        <f>Calc!AT24</f>
        <v>1.9711623113392223E-6</v>
      </c>
      <c r="Y24" s="71">
        <f>Calc!AN24</f>
        <v>1.0855901572845537</v>
      </c>
      <c r="Z24" s="71">
        <f>Calc!AO24</f>
        <v>2.1566061899778327E-3</v>
      </c>
      <c r="AA24" s="71">
        <f t="shared" si="2"/>
        <v>1.1855979402164203</v>
      </c>
      <c r="AB24" s="71">
        <f t="shared" si="3"/>
        <v>2.2926644344687139E-3</v>
      </c>
    </row>
    <row r="25" spans="1:28" x14ac:dyDescent="0.2">
      <c r="A25" s="16">
        <f>Input!A25</f>
        <v>10815</v>
      </c>
      <c r="B25" s="16" t="str">
        <f>Input!B25</f>
        <v>Hu1-13</v>
      </c>
      <c r="C25" s="175">
        <f>Calc!O25*1000</f>
        <v>13699.488543402418</v>
      </c>
      <c r="D25" s="175">
        <f>Calc!P25*1000</f>
        <v>1.1827186108034682</v>
      </c>
      <c r="E25" s="175">
        <f>Calc!X25</f>
        <v>0.88769887659103175</v>
      </c>
      <c r="F25" s="175">
        <f>Calc!Y25</f>
        <v>2.7583238747134497E-3</v>
      </c>
      <c r="G25" s="175">
        <f>Calc!AN25</f>
        <v>0.99939641059734818</v>
      </c>
      <c r="H25" s="176">
        <f>Calc!AO25</f>
        <v>2.2170103254857427E-3</v>
      </c>
      <c r="I25" s="18">
        <f>Calc!AH25</f>
        <v>47136.82190032534</v>
      </c>
      <c r="J25" s="18">
        <f>Calc!AI25</f>
        <v>179.91683166304173</v>
      </c>
      <c r="K25" s="18">
        <f>Calc!AJ25</f>
        <v>-0.20273458270991807</v>
      </c>
      <c r="L25" s="18">
        <f>Calc!AK25</f>
        <v>1.3288982575925017</v>
      </c>
      <c r="M25" s="177">
        <f>Calc!AP25</f>
        <v>880.3098</v>
      </c>
      <c r="N25" s="177" t="e">
        <f>Calc!AQ25</f>
        <v>#VALUE!</v>
      </c>
      <c r="O25" s="177">
        <f>Calc!AW25</f>
        <v>880.30809999999997</v>
      </c>
      <c r="P25" s="177">
        <f>Calc!AX25</f>
        <v>353.71932234169998</v>
      </c>
      <c r="Q25" s="181">
        <f>Calc!BC25</f>
        <v>-2.4312964823833179</v>
      </c>
      <c r="R25" s="177">
        <f>Calc!BD25</f>
        <v>17.396570798584758</v>
      </c>
      <c r="S25" s="18">
        <f>Input!E25</f>
        <v>0</v>
      </c>
      <c r="T25" s="71"/>
      <c r="U25" s="71">
        <f>Input!K25</f>
        <v>7.1365322746616304E-3</v>
      </c>
      <c r="W25" s="71">
        <f>Calc!AS25</f>
        <v>2.1202032090976636E-5</v>
      </c>
      <c r="X25" s="71">
        <f>Calc!AT25</f>
        <v>6.5905952363322943E-8</v>
      </c>
      <c r="Y25" s="71">
        <f>Calc!AN25</f>
        <v>0.99939641059734818</v>
      </c>
      <c r="Z25" s="71">
        <f>Calc!AO25</f>
        <v>2.2170103254857427E-3</v>
      </c>
      <c r="AA25" s="71">
        <f t="shared" si="2"/>
        <v>0.99979726541729008</v>
      </c>
      <c r="AB25" s="71">
        <f t="shared" si="3"/>
        <v>0.17991683166304173</v>
      </c>
    </row>
    <row r="26" spans="1:28" x14ac:dyDescent="0.2">
      <c r="A26" s="71">
        <f>Input!A26</f>
        <v>10896</v>
      </c>
      <c r="B26" s="71" t="str">
        <f>Input!B26</f>
        <v>M5-14-42_211,25</v>
      </c>
      <c r="C26" s="178">
        <f>Calc!O26*1000</f>
        <v>908.36026086704305</v>
      </c>
      <c r="D26" s="178">
        <f>Calc!P26*1000</f>
        <v>4.4498187498559987E-2</v>
      </c>
      <c r="E26" s="178">
        <f>Calc!X26</f>
        <v>0.1461396138736317</v>
      </c>
      <c r="F26" s="178">
        <f>Calc!Y26</f>
        <v>2.6761062266523106E-4</v>
      </c>
      <c r="G26" s="178">
        <f>Calc!AN26</f>
        <v>1.1311471617523201</v>
      </c>
      <c r="H26" s="74">
        <f>Calc!AO26</f>
        <v>2.1175439717583322E-3</v>
      </c>
      <c r="I26" s="73">
        <f>Calc!AH26</f>
        <v>21438.966462495631</v>
      </c>
      <c r="J26" s="73">
        <f>Calc!AI26</f>
        <v>56.133226568761032</v>
      </c>
      <c r="K26" s="73">
        <f>Calc!AJ26</f>
        <v>204.40225626237108</v>
      </c>
      <c r="L26" s="73">
        <f>Calc!AK26</f>
        <v>0.59904065010420404</v>
      </c>
      <c r="M26" s="179">
        <f>Calc!AP26</f>
        <v>247.9331</v>
      </c>
      <c r="N26" s="179">
        <f>Calc!AQ26</f>
        <v>1.6355999999999999</v>
      </c>
      <c r="O26" s="179">
        <f>Calc!AW26</f>
        <v>247.93</v>
      </c>
      <c r="P26" s="179">
        <f>Calc!AY26</f>
        <v>1.6670907037644718</v>
      </c>
      <c r="Q26" s="180">
        <f>Calc!BC26</f>
        <v>411.48115884099093</v>
      </c>
      <c r="R26" s="179">
        <f>Calc!BD26</f>
        <v>2.2807534658186195</v>
      </c>
      <c r="S26" s="73">
        <f>Input!E26</f>
        <v>211.25</v>
      </c>
      <c r="T26" s="71"/>
      <c r="U26" s="71">
        <f>Input!K26</f>
        <v>7.1395446197963413E-3</v>
      </c>
      <c r="W26" s="71">
        <f>Calc!AS26</f>
        <v>5.2641226557947282E-5</v>
      </c>
      <c r="X26" s="71">
        <f>Calc!AT26</f>
        <v>9.6431014923628068E-8</v>
      </c>
      <c r="Y26" s="71">
        <f>Calc!AN26</f>
        <v>1.1311471617523201</v>
      </c>
      <c r="Z26" s="71">
        <f>Calc!AO26</f>
        <v>2.1175439717583322E-3</v>
      </c>
      <c r="AA26" s="71">
        <f t="shared" si="2"/>
        <v>1.2044022562623711</v>
      </c>
      <c r="AB26" s="71">
        <f t="shared" si="3"/>
        <v>5.6133226568761033E-2</v>
      </c>
    </row>
    <row r="27" spans="1:28" x14ac:dyDescent="0.2">
      <c r="A27" s="16">
        <f>Input!A27</f>
        <v>10815</v>
      </c>
      <c r="B27" s="16" t="str">
        <f>Input!B27</f>
        <v>Hu1-13</v>
      </c>
      <c r="C27" s="175">
        <f>Calc!O27*1000</f>
        <v>13700.540360783469</v>
      </c>
      <c r="D27" s="175">
        <f>Calc!P27*1000</f>
        <v>1.1998522950235373</v>
      </c>
      <c r="E27" s="175">
        <f>Calc!X27</f>
        <v>0.88682806926186553</v>
      </c>
      <c r="F27" s="175">
        <f>Calc!Y27</f>
        <v>4.596331252613297E-3</v>
      </c>
      <c r="G27" s="175">
        <f>Calc!AN27</f>
        <v>0.99605303909606402</v>
      </c>
      <c r="H27" s="176">
        <f>Calc!AO27</f>
        <v>2.3706845849536147E-3</v>
      </c>
      <c r="I27" s="18">
        <f>Calc!AH27</f>
        <v>47028.871754162283</v>
      </c>
      <c r="J27" s="18">
        <f>Calc!AI27</f>
        <v>268.18599497809271</v>
      </c>
      <c r="K27" s="18">
        <f>Calc!AJ27</f>
        <v>-0.90115222332043388</v>
      </c>
      <c r="L27" s="18">
        <f>Calc!AK27</f>
        <v>1.502083535830733</v>
      </c>
      <c r="M27" s="177">
        <f>Calc!AP27</f>
        <v>646.30160000000001</v>
      </c>
      <c r="N27" s="177" t="e">
        <f>Calc!AQ27</f>
        <v>#VALUE!</v>
      </c>
      <c r="O27" s="177">
        <f>Calc!AW27</f>
        <v>646.2998</v>
      </c>
      <c r="P27" s="177">
        <f>Calc!AX27</f>
        <v>279.6426474754</v>
      </c>
      <c r="Q27" s="181">
        <f>Calc!BC27</f>
        <v>-5.5834994826408622</v>
      </c>
      <c r="R27" s="177">
        <f>Calc!BD27</f>
        <v>9.5307171303459892</v>
      </c>
      <c r="S27" s="18">
        <f>Input!E27</f>
        <v>0</v>
      </c>
      <c r="T27" s="71"/>
      <c r="U27" s="71">
        <f>Input!K27</f>
        <v>7.1357571864571635E-3</v>
      </c>
      <c r="W27" s="71">
        <f>Calc!AS27</f>
        <v>2.1179607376141411E-5</v>
      </c>
      <c r="X27" s="71">
        <f>Calc!AT27</f>
        <v>1.0978721936096009E-7</v>
      </c>
      <c r="Y27" s="71">
        <f>Calc!AN27</f>
        <v>0.99605303909606402</v>
      </c>
      <c r="Z27" s="71">
        <f>Calc!AO27</f>
        <v>2.3706845849536147E-3</v>
      </c>
      <c r="AA27" s="71">
        <f t="shared" si="2"/>
        <v>0.99909884777667957</v>
      </c>
      <c r="AB27" s="71">
        <f t="shared" si="3"/>
        <v>0.2681859949780927</v>
      </c>
    </row>
    <row r="28" spans="1:28" x14ac:dyDescent="0.2">
      <c r="A28" s="71">
        <f>Input!A28</f>
        <v>10897</v>
      </c>
      <c r="B28" s="71" t="str">
        <f>Input!B28</f>
        <v>M5-14-42_224</v>
      </c>
      <c r="C28" s="178">
        <f>Calc!O28*1000</f>
        <v>811.11218676392832</v>
      </c>
      <c r="D28" s="178">
        <f>Calc!P28*1000</f>
        <v>3.6397073868818311E-2</v>
      </c>
      <c r="E28" s="178">
        <f>Calc!X28</f>
        <v>0.13170722216548905</v>
      </c>
      <c r="F28" s="178">
        <f>Calc!Y28</f>
        <v>2.0702380321989446E-4</v>
      </c>
      <c r="G28" s="178">
        <f>Calc!AN28</f>
        <v>1.0525014718169405</v>
      </c>
      <c r="H28" s="74">
        <f>Calc!AO28</f>
        <v>1.7434671410759156E-3</v>
      </c>
      <c r="I28" s="73">
        <f>Calc!AH28</f>
        <v>19741.952626103426</v>
      </c>
      <c r="J28" s="73">
        <f>Calc!AI28</f>
        <v>45.073439918505066</v>
      </c>
      <c r="K28" s="73">
        <f>Calc!AJ28</f>
        <v>144.84411610959702</v>
      </c>
      <c r="L28" s="73">
        <f>Calc!AK28</f>
        <v>0.69261592547447548</v>
      </c>
      <c r="M28" s="179">
        <f>Calc!AP28</f>
        <v>239.6686</v>
      </c>
      <c r="N28" s="179">
        <f>Calc!AQ28</f>
        <v>1.4178999999999999</v>
      </c>
      <c r="O28" s="179">
        <f>Calc!AW28</f>
        <v>239.6652</v>
      </c>
      <c r="P28" s="179">
        <f>Calc!AY28</f>
        <v>1.4576231874488117</v>
      </c>
      <c r="Q28" s="180">
        <f>Calc!BC28</f>
        <v>284.86280463714633</v>
      </c>
      <c r="R28" s="179">
        <f>Calc!BD28</f>
        <v>1.796816395819776</v>
      </c>
      <c r="S28" s="73">
        <f>Input!E28</f>
        <v>224</v>
      </c>
      <c r="T28" s="71"/>
      <c r="U28" s="71">
        <f>Input!K28</f>
        <v>7.1408033665607846E-3</v>
      </c>
      <c r="W28" s="71">
        <f>Calc!AS28</f>
        <v>5.3130613934001315E-5</v>
      </c>
      <c r="X28" s="71">
        <f>Calc!AT28</f>
        <v>8.3547301386533804E-8</v>
      </c>
      <c r="Y28" s="71">
        <f>Calc!AN28</f>
        <v>1.0525014718169405</v>
      </c>
      <c r="Z28" s="71">
        <f>Calc!AO28</f>
        <v>1.7434671410759156E-3</v>
      </c>
      <c r="AA28" s="71">
        <f t="shared" si="2"/>
        <v>1.144844116109597</v>
      </c>
      <c r="AB28" s="71">
        <f t="shared" si="3"/>
        <v>4.5073439918505064E-2</v>
      </c>
    </row>
    <row r="29" spans="1:28" x14ac:dyDescent="0.2">
      <c r="A29" s="16">
        <f>Input!A29</f>
        <v>10815</v>
      </c>
      <c r="B29" s="16" t="str">
        <f>Input!B29</f>
        <v>Hu1-13</v>
      </c>
      <c r="C29" s="175">
        <f>Calc!O29*1000</f>
        <v>13700.645234504893</v>
      </c>
      <c r="D29" s="175">
        <f>Calc!P29*1000</f>
        <v>1.1044676818972499</v>
      </c>
      <c r="E29" s="175">
        <f>Calc!X29</f>
        <v>0.88264543653171157</v>
      </c>
      <c r="F29" s="175">
        <f>Calc!Y29</f>
        <v>2.7434923289083495E-3</v>
      </c>
      <c r="G29" s="175">
        <f>Calc!AN29</f>
        <v>0.99710723928362843</v>
      </c>
      <c r="H29" s="176">
        <f>Calc!AO29</f>
        <v>2.7046792721203837E-3</v>
      </c>
      <c r="I29" s="18">
        <f>Calc!AH29</f>
        <v>47302.101894382351</v>
      </c>
      <c r="J29" s="18">
        <f>Calc!AI29</f>
        <v>195.10373632192639</v>
      </c>
      <c r="K29" s="18">
        <f>Calc!AJ29</f>
        <v>-0.16045094242989055</v>
      </c>
      <c r="L29" s="18">
        <f>Calc!AK29</f>
        <v>1.2775283238384338</v>
      </c>
      <c r="M29" s="177">
        <f>Calc!AP29</f>
        <v>646.38080000000002</v>
      </c>
      <c r="N29" s="177" t="e">
        <f>Calc!AQ29</f>
        <v>#VALUE!</v>
      </c>
      <c r="O29" s="177">
        <f>Calc!AW29</f>
        <v>646.37900000000002</v>
      </c>
      <c r="P29" s="177">
        <f>Calc!AX29</f>
        <v>286.32990082129999</v>
      </c>
      <c r="Q29" s="181">
        <f>Calc!BC29</f>
        <v>-0.99436919570458004</v>
      </c>
      <c r="R29" s="177">
        <f>Calc!BD29</f>
        <v>7.9260113977751656</v>
      </c>
      <c r="S29" s="18">
        <f>Input!E29</f>
        <v>0</v>
      </c>
      <c r="T29" s="71"/>
      <c r="U29" s="71">
        <f>Input!K29</f>
        <v>7.1313618294102758E-3</v>
      </c>
      <c r="W29" s="71">
        <f>Calc!AS29</f>
        <v>2.1079554593789542E-5</v>
      </c>
      <c r="X29" s="71">
        <f>Calc!AT29</f>
        <v>6.5542788607725088E-8</v>
      </c>
      <c r="Y29" s="71">
        <f>Calc!AN29</f>
        <v>0.99710723928362843</v>
      </c>
      <c r="Z29" s="71">
        <f>Calc!AO29</f>
        <v>2.7046792721203837E-3</v>
      </c>
      <c r="AA29" s="71">
        <f t="shared" si="2"/>
        <v>0.99983954905757011</v>
      </c>
      <c r="AB29" s="71">
        <f t="shared" si="3"/>
        <v>0.1951037363219264</v>
      </c>
    </row>
    <row r="30" spans="1:28" x14ac:dyDescent="0.2">
      <c r="A30" s="71">
        <f>Input!A30</f>
        <v>10898</v>
      </c>
      <c r="B30" s="71" t="str">
        <f>Input!B30</f>
        <v>M5-14-42_277,5</v>
      </c>
      <c r="C30" s="178">
        <f>Calc!O30*1000</f>
        <v>1416.000572004167</v>
      </c>
      <c r="D30" s="178">
        <f>Calc!P30*1000</f>
        <v>8.4504328819137955E-2</v>
      </c>
      <c r="E30" s="178">
        <f>Calc!X30</f>
        <v>0.20532240040591856</v>
      </c>
      <c r="F30" s="178">
        <f>Calc!Y30</f>
        <v>4.2453027026756121E-4</v>
      </c>
      <c r="G30" s="178">
        <f>Calc!AN30</f>
        <v>1.2195106385404715</v>
      </c>
      <c r="H30" s="74">
        <f>Calc!AO30</f>
        <v>2.301773528795925E-3</v>
      </c>
      <c r="I30" s="73">
        <f>Calc!AH30</f>
        <v>25629.878114490275</v>
      </c>
      <c r="J30" s="73">
        <f>Calc!AI30</f>
        <v>71.736263296406761</v>
      </c>
      <c r="K30" s="73">
        <f>Calc!AJ30</f>
        <v>246.53199340173114</v>
      </c>
      <c r="L30" s="73">
        <f>Calc!AK30</f>
        <v>0.42407881723669377</v>
      </c>
      <c r="M30" s="179">
        <f>Calc!AP30</f>
        <v>280.27609999999999</v>
      </c>
      <c r="N30" s="179">
        <f>Calc!AQ30</f>
        <v>2.2355999999999998</v>
      </c>
      <c r="O30" s="179">
        <f>Calc!AW30</f>
        <v>280.27359999999999</v>
      </c>
      <c r="P30" s="179">
        <f>Calc!AY30</f>
        <v>2.1707971894274993</v>
      </c>
      <c r="Q30" s="180">
        <f>Calc!BC30</f>
        <v>543.72341614151333</v>
      </c>
      <c r="R30" s="179">
        <f>Calc!BD30</f>
        <v>3.4597371880958483</v>
      </c>
      <c r="S30" s="73">
        <f>Input!E30</f>
        <v>277.5</v>
      </c>
      <c r="T30" s="71"/>
      <c r="U30" s="71">
        <f>Input!K30</f>
        <v>7.1377850579739943E-3</v>
      </c>
      <c r="W30" s="71">
        <f>Calc!AS30</f>
        <v>4.7444849668001567E-5</v>
      </c>
      <c r="X30" s="71">
        <f>Calc!AT30</f>
        <v>9.8139135889638469E-8</v>
      </c>
      <c r="Y30" s="71">
        <f>Calc!AN30</f>
        <v>1.2195106385404715</v>
      </c>
      <c r="Z30" s="71">
        <f>Calc!AO30</f>
        <v>2.301773528795925E-3</v>
      </c>
      <c r="AA30" s="71">
        <f t="shared" si="2"/>
        <v>1.2465319934017312</v>
      </c>
      <c r="AB30" s="71">
        <f t="shared" si="3"/>
        <v>7.1736263296406755E-2</v>
      </c>
    </row>
    <row r="31" spans="1:28" x14ac:dyDescent="0.2">
      <c r="A31" s="16">
        <f>Input!A31</f>
        <v>10815</v>
      </c>
      <c r="B31" s="16" t="str">
        <f>Input!B31</f>
        <v>Hu1-13</v>
      </c>
      <c r="C31" s="175">
        <f>Calc!O31*1000</f>
        <v>13699.349099261308</v>
      </c>
      <c r="D31" s="175">
        <f>Calc!P31*1000</f>
        <v>1.707746382398921</v>
      </c>
      <c r="E31" s="175">
        <f>Calc!X31</f>
        <v>0.86752129697926028</v>
      </c>
      <c r="F31" s="175">
        <f>Calc!Y31</f>
        <v>4.9750587851683861E-3</v>
      </c>
      <c r="G31" s="175">
        <f>Calc!AN31</f>
        <v>0.997144677381122</v>
      </c>
      <c r="H31" s="176">
        <f>Calc!AO31</f>
        <v>2.4604581674559879E-3</v>
      </c>
      <c r="I31" s="18">
        <f>Calc!AH31</f>
        <v>48124.00822475458</v>
      </c>
      <c r="J31" s="18">
        <f>Calc!AI31</f>
        <v>300.38377808753415</v>
      </c>
      <c r="K31" s="18">
        <f>Calc!AJ31</f>
        <v>1.6695615003581299</v>
      </c>
      <c r="L31" s="18">
        <f>Calc!AK31</f>
        <v>1.4399738891588432</v>
      </c>
      <c r="M31" s="177">
        <f>Calc!AP31</f>
        <v>573.40269999999998</v>
      </c>
      <c r="N31" s="177" t="e">
        <f>Calc!AQ31</f>
        <v>#VALUE!</v>
      </c>
      <c r="O31" s="177">
        <f>Calc!AW31</f>
        <v>573.40099999999995</v>
      </c>
      <c r="P31" s="177">
        <f>Calc!AX31</f>
        <v>162.22076914479999</v>
      </c>
      <c r="Q31" s="181">
        <f>Calc!BC31</f>
        <v>8.4210375352276081</v>
      </c>
      <c r="R31" s="177">
        <f>Calc!BD31</f>
        <v>7.4297508296318222</v>
      </c>
      <c r="S31" s="18">
        <f>Input!E31</f>
        <v>0</v>
      </c>
      <c r="T31" s="71"/>
      <c r="U31" s="71">
        <f>Input!K31</f>
        <v>7.1233602575446293E-3</v>
      </c>
      <c r="W31" s="71">
        <f>Calc!AS31</f>
        <v>2.0720316410971756E-5</v>
      </c>
      <c r="X31" s="71">
        <f>Calc!AT31</f>
        <v>1.188548845514145E-7</v>
      </c>
      <c r="Y31" s="71">
        <f>Calc!AN31</f>
        <v>0.997144677381122</v>
      </c>
      <c r="Z31" s="71">
        <f>Calc!AO31</f>
        <v>2.4604581674559879E-3</v>
      </c>
      <c r="AA31" s="71">
        <f t="shared" si="2"/>
        <v>1.0016695615003581</v>
      </c>
      <c r="AB31" s="71">
        <f t="shared" si="3"/>
        <v>0.30038377808753414</v>
      </c>
    </row>
    <row r="32" spans="1:28" x14ac:dyDescent="0.2">
      <c r="H32" s="78"/>
    </row>
    <row r="33" spans="1:28" x14ac:dyDescent="0.2">
      <c r="A33" s="16">
        <f>Input!A33</f>
        <v>10815</v>
      </c>
      <c r="B33" s="16" t="str">
        <f>Input!B33</f>
        <v>Hu1-13</v>
      </c>
      <c r="C33" s="175">
        <f>Calc!O33*1000</f>
        <v>13697.340155487494</v>
      </c>
      <c r="D33" s="175">
        <f>Calc!P33*1000</f>
        <v>1.7495772048681764</v>
      </c>
      <c r="E33" s="175">
        <f>Calc!X33</f>
        <v>0.87967045869213656</v>
      </c>
      <c r="F33" s="175">
        <f>Calc!Y33</f>
        <v>5.9274848973045078E-3</v>
      </c>
      <c r="G33" s="175">
        <f>Calc!AN33</f>
        <v>0.9976764585407486</v>
      </c>
      <c r="H33" s="176">
        <f>Calc!AO33</f>
        <v>3.9249450504157896E-3</v>
      </c>
      <c r="I33" s="18">
        <f>Calc!AH33</f>
        <v>47477.712607168869</v>
      </c>
      <c r="J33" s="18">
        <f>Calc!AI33</f>
        <v>370.4035356729043</v>
      </c>
      <c r="K33" s="18">
        <f>Calc!AJ33</f>
        <v>1.5633732497362107</v>
      </c>
      <c r="L33" s="18">
        <f>Calc!AK33</f>
        <v>2.6478512883644063</v>
      </c>
      <c r="M33" s="177">
        <f>Calc!AP33</f>
        <v>588.56569999999999</v>
      </c>
      <c r="N33" s="177" t="e">
        <f>Calc!AQ33</f>
        <v>#VALUE!</v>
      </c>
      <c r="O33" s="177">
        <f>Calc!AW33</f>
        <v>588.56399999999996</v>
      </c>
      <c r="P33" s="177">
        <f>Calc!AX33</f>
        <v>254.86317091980001</v>
      </c>
      <c r="Q33" s="181">
        <f>Calc!BC33</f>
        <v>8.2301870987942216</v>
      </c>
      <c r="R33" s="177">
        <f>Calc!BD33</f>
        <v>14.255996253073798</v>
      </c>
      <c r="S33" s="18">
        <f>Input!E33</f>
        <v>0</v>
      </c>
      <c r="T33" s="71"/>
      <c r="U33" s="71">
        <f>Input!K33</f>
        <v>7.1294664320751691E-3</v>
      </c>
      <c r="W33" s="71">
        <f>Calc!AS33</f>
        <v>2.1013574659662629E-5</v>
      </c>
      <c r="X33" s="71">
        <f>Calc!AT33</f>
        <v>1.4162124214755835E-7</v>
      </c>
      <c r="Y33" s="71">
        <f>Calc!AN33</f>
        <v>0.9976764585407486</v>
      </c>
      <c r="Z33" s="71">
        <f>Calc!AO33</f>
        <v>3.9249450504157896E-3</v>
      </c>
      <c r="AA33" s="71">
        <f t="shared" ref="AA33:AA43" si="4">1+K33/1000</f>
        <v>1.0015633732497362</v>
      </c>
      <c r="AB33" s="71">
        <f t="shared" ref="AB33:AB43" si="5">J33/1000</f>
        <v>0.37040353567290429</v>
      </c>
    </row>
    <row r="34" spans="1:28" x14ac:dyDescent="0.2">
      <c r="A34" s="71">
        <f>Input!A34</f>
        <v>10903</v>
      </c>
      <c r="B34" s="71" t="str">
        <f>Input!B34</f>
        <v>M43_401_14_44</v>
      </c>
      <c r="C34" s="178">
        <f>Calc!O34*1000</f>
        <v>448.77246831528458</v>
      </c>
      <c r="D34" s="178">
        <f>Calc!P34*1000</f>
        <v>3.4600154256668222E-2</v>
      </c>
      <c r="E34" s="178">
        <f>Calc!X34</f>
        <v>0.84731535147371984</v>
      </c>
      <c r="F34" s="178">
        <f>Calc!Y34</f>
        <v>1.5782464281843343E-3</v>
      </c>
      <c r="G34" s="178">
        <f>Calc!AN34</f>
        <v>1.9632165600073976</v>
      </c>
      <c r="H34" s="74">
        <f>Calc!AO34</f>
        <v>4.232205245164565E-3</v>
      </c>
      <c r="I34" s="73">
        <f>Calc!AH34</f>
        <v>3171.3483348115865</v>
      </c>
      <c r="J34" s="73">
        <f>Calc!AI34</f>
        <v>9.0318068742443014</v>
      </c>
      <c r="K34" s="73">
        <f>Calc!AJ34</f>
        <v>1014.7661415502766</v>
      </c>
      <c r="L34" s="73">
        <f>Calc!AK34</f>
        <v>1.1882757901123422</v>
      </c>
      <c r="M34" s="179">
        <f>Calc!AP34</f>
        <v>218.03559999999999</v>
      </c>
      <c r="N34" s="179">
        <f>Calc!AQ34</f>
        <v>1.2941</v>
      </c>
      <c r="O34" s="179">
        <f>Calc!AW34</f>
        <v>218.018</v>
      </c>
      <c r="P34" s="179">
        <f>Calc!AY34</f>
        <v>1.2356928103149962</v>
      </c>
      <c r="Q34" s="180">
        <f>Calc!BC34</f>
        <v>1877.4567353084487</v>
      </c>
      <c r="R34" s="179">
        <f>Calc!BD34</f>
        <v>6.9063271678151548</v>
      </c>
      <c r="S34" s="73">
        <f>Input!E34</f>
        <v>44</v>
      </c>
      <c r="T34" s="71"/>
      <c r="U34" s="71">
        <f>Input!K34</f>
        <v>7.1365154128865127E-3</v>
      </c>
      <c r="W34" s="71">
        <f>Calc!AS34</f>
        <v>6.1778170094482993E-4</v>
      </c>
      <c r="X34" s="71">
        <f>Calc!AT34</f>
        <v>1.1516924227523871E-6</v>
      </c>
      <c r="Y34" s="71">
        <f>Calc!AN34</f>
        <v>1.9632165600073976</v>
      </c>
      <c r="Z34" s="71">
        <f>Calc!AO34</f>
        <v>4.232205245164565E-3</v>
      </c>
      <c r="AA34" s="71">
        <f t="shared" si="4"/>
        <v>2.0147661415502767</v>
      </c>
      <c r="AB34" s="71">
        <f t="shared" si="5"/>
        <v>9.0318068742443018E-3</v>
      </c>
    </row>
    <row r="35" spans="1:28" x14ac:dyDescent="0.2">
      <c r="A35" s="16">
        <f>Input!A35</f>
        <v>10815</v>
      </c>
      <c r="B35" s="16" t="str">
        <f>Input!B35</f>
        <v>Hu1-13</v>
      </c>
      <c r="C35" s="175">
        <f>Calc!O35*1000</f>
        <v>13697.803628802629</v>
      </c>
      <c r="D35" s="175">
        <f>Calc!P35*1000</f>
        <v>1.6684146927616301</v>
      </c>
      <c r="E35" s="175">
        <f>Calc!X35</f>
        <v>0.90351290826346686</v>
      </c>
      <c r="F35" s="175">
        <f>Calc!Y35</f>
        <v>5.4191836658182765E-3</v>
      </c>
      <c r="G35" s="175">
        <f>Calc!AN35</f>
        <v>0.99823271264215274</v>
      </c>
      <c r="H35" s="176">
        <f>Calc!AO35</f>
        <v>3.1234077218035318E-3</v>
      </c>
      <c r="I35" s="18">
        <f>Calc!AH35</f>
        <v>46252.179387287622</v>
      </c>
      <c r="J35" s="18">
        <f>Calc!AI35</f>
        <v>312.84485241449477</v>
      </c>
      <c r="K35" s="18">
        <f>Calc!AJ35</f>
        <v>0.69436921953025532</v>
      </c>
      <c r="L35" s="18">
        <f>Calc!AK35</f>
        <v>1.8368448552095695</v>
      </c>
      <c r="M35" s="177">
        <f>Calc!AP35</f>
        <v>642.81309999999996</v>
      </c>
      <c r="N35" s="177" t="e">
        <f>Calc!AQ35</f>
        <v>#VALUE!</v>
      </c>
      <c r="O35" s="177">
        <f>Calc!AW35</f>
        <v>642.81129999999996</v>
      </c>
      <c r="P35" s="177">
        <f>Calc!AX35</f>
        <v>294.80431387879997</v>
      </c>
      <c r="Q35" s="181">
        <f>Calc!BC35</f>
        <v>4.2601339947198795</v>
      </c>
      <c r="R35" s="177">
        <f>Calc!BD35</f>
        <v>11.431410957092959</v>
      </c>
      <c r="S35" s="18">
        <f>Input!E35</f>
        <v>0</v>
      </c>
      <c r="T35" s="71"/>
      <c r="U35" s="71">
        <f>Input!K35</f>
        <v>7.1269880330882881E-3</v>
      </c>
      <c r="W35" s="71">
        <f>Calc!AS35</f>
        <v>2.1582392999982967E-5</v>
      </c>
      <c r="X35" s="71">
        <f>Calc!AT35</f>
        <v>1.2947580975807851E-7</v>
      </c>
      <c r="Y35" s="71">
        <f>Calc!AN35</f>
        <v>0.99823271264215274</v>
      </c>
      <c r="Z35" s="71">
        <f>Calc!AO35</f>
        <v>3.1234077218035318E-3</v>
      </c>
      <c r="AA35" s="71">
        <f t="shared" si="4"/>
        <v>1.0006943692195303</v>
      </c>
      <c r="AB35" s="71">
        <f t="shared" si="5"/>
        <v>0.31284485241449478</v>
      </c>
    </row>
    <row r="36" spans="1:28" x14ac:dyDescent="0.2">
      <c r="A36" s="71">
        <f>Input!A36</f>
        <v>10904</v>
      </c>
      <c r="B36" s="71" t="str">
        <f>Input!B36</f>
        <v>M43_401_14_119</v>
      </c>
      <c r="C36" s="178">
        <f>Calc!O36*1000</f>
        <v>340.83764230772823</v>
      </c>
      <c r="D36" s="178">
        <f>Calc!P36*1000</f>
        <v>2.9863700097719655E-2</v>
      </c>
      <c r="E36" s="178">
        <f>Calc!X36</f>
        <v>0.14467839189837425</v>
      </c>
      <c r="F36" s="178">
        <f>Calc!Y36</f>
        <v>5.4494376426895356E-4</v>
      </c>
      <c r="G36" s="178">
        <f>Calc!AN36</f>
        <v>2.3603039799600589</v>
      </c>
      <c r="H36" s="74">
        <f>Calc!AO36</f>
        <v>7.3795066667330794E-3</v>
      </c>
      <c r="I36" s="73">
        <f>Calc!AH36</f>
        <v>16940.58114013814</v>
      </c>
      <c r="J36" s="73">
        <f>Calc!AI36</f>
        <v>82.912933926669055</v>
      </c>
      <c r="K36" s="73">
        <f>Calc!AJ36</f>
        <v>1325.5390637490696</v>
      </c>
      <c r="L36" s="73">
        <f>Calc!AK36</f>
        <v>2.5670517331202336</v>
      </c>
      <c r="M36" s="179">
        <f>Calc!AP36</f>
        <v>232.94720000000001</v>
      </c>
      <c r="N36" s="179">
        <f>Calc!AQ36</f>
        <v>2.0741999999999998</v>
      </c>
      <c r="O36" s="179">
        <f>Calc!AW36</f>
        <v>232.94399999999999</v>
      </c>
      <c r="P36" s="179">
        <f>Calc!AY36</f>
        <v>2.049435955285916</v>
      </c>
      <c r="Q36" s="180">
        <f>Calc!BC36</f>
        <v>2557.9372242520003</v>
      </c>
      <c r="R36" s="179">
        <f>Calc!BD36</f>
        <v>15.601497896735792</v>
      </c>
      <c r="S36" s="73">
        <f>Input!E36</f>
        <v>119</v>
      </c>
      <c r="T36" s="71"/>
      <c r="U36" s="71">
        <f>Input!K36</f>
        <v>7.126285986838711E-3</v>
      </c>
      <c r="W36" s="71">
        <f>Calc!AS36</f>
        <v>1.3889042000114489E-4</v>
      </c>
      <c r="X36" s="71">
        <f>Calc!AT36</f>
        <v>5.2328438720687058E-7</v>
      </c>
      <c r="Y36" s="71">
        <f>Calc!AN36</f>
        <v>2.3603039799600589</v>
      </c>
      <c r="Z36" s="71">
        <f>Calc!AO36</f>
        <v>7.3795066667330794E-3</v>
      </c>
      <c r="AA36" s="71">
        <f t="shared" si="4"/>
        <v>2.3255390637490696</v>
      </c>
      <c r="AB36" s="71">
        <f t="shared" si="5"/>
        <v>8.2912933926669055E-2</v>
      </c>
    </row>
    <row r="37" spans="1:28" x14ac:dyDescent="0.2">
      <c r="A37" s="16">
        <f>Input!A37</f>
        <v>10815</v>
      </c>
      <c r="B37" s="16" t="str">
        <f>Input!B37</f>
        <v>Hu1-13</v>
      </c>
      <c r="C37" s="175">
        <f>Calc!O37*1000</f>
        <v>13701.398518924445</v>
      </c>
      <c r="D37" s="175">
        <f>Calc!P37*1000</f>
        <v>2.1819934056287669</v>
      </c>
      <c r="E37" s="175">
        <f>Calc!X37</f>
        <v>0.89774323806381928</v>
      </c>
      <c r="F37" s="175">
        <f>Calc!Y37</f>
        <v>5.9863473833150268E-3</v>
      </c>
      <c r="G37" s="175">
        <f>Calc!AN37</f>
        <v>0.99548034262039498</v>
      </c>
      <c r="H37" s="176">
        <f>Calc!AO37</f>
        <v>2.976920662544482E-3</v>
      </c>
      <c r="I37" s="18">
        <f>Calc!AH37</f>
        <v>46433.270455251914</v>
      </c>
      <c r="J37" s="18">
        <f>Calc!AI37</f>
        <v>339.25685418495806</v>
      </c>
      <c r="K37" s="18">
        <f>Calc!AJ37</f>
        <v>-1.3258509718689915</v>
      </c>
      <c r="L37" s="18">
        <f>Calc!AK37</f>
        <v>2.2365777648538314</v>
      </c>
      <c r="M37" s="177">
        <f>Calc!AP37</f>
        <v>647.57259999999997</v>
      </c>
      <c r="N37" s="177" t="e">
        <f>Calc!AQ37</f>
        <v>#VALUE!</v>
      </c>
      <c r="O37" s="177">
        <f>Calc!AW37</f>
        <v>647.57090000000005</v>
      </c>
      <c r="P37" s="177">
        <f>Calc!AX37</f>
        <v>295.55714471239997</v>
      </c>
      <c r="Q37" s="181">
        <f>Calc!BC37</f>
        <v>-8.2444350245565197</v>
      </c>
      <c r="R37" s="177">
        <f>Calc!BD37</f>
        <v>14.527796130259416</v>
      </c>
      <c r="S37" s="18">
        <f>Input!E37</f>
        <v>0</v>
      </c>
      <c r="T37" s="71"/>
      <c r="U37" s="71">
        <f>Input!K37</f>
        <v>7.1212358233307196E-3</v>
      </c>
      <c r="W37" s="71">
        <f>Calc!AS37</f>
        <v>2.143894524034758E-5</v>
      </c>
      <c r="X37" s="71">
        <f>Calc!AT37</f>
        <v>1.430003191026535E-7</v>
      </c>
      <c r="Y37" s="71">
        <f>Calc!AN37</f>
        <v>0.99548034262039498</v>
      </c>
      <c r="Z37" s="71">
        <f>Calc!AO37</f>
        <v>2.976920662544482E-3</v>
      </c>
      <c r="AA37" s="71">
        <f t="shared" si="4"/>
        <v>0.99867414902813101</v>
      </c>
      <c r="AB37" s="71">
        <f t="shared" si="5"/>
        <v>0.33925685418495805</v>
      </c>
    </row>
    <row r="38" spans="1:28" x14ac:dyDescent="0.2">
      <c r="A38" s="71">
        <f>Input!A38</f>
        <v>10905</v>
      </c>
      <c r="B38" s="71" t="str">
        <f>Input!B38</f>
        <v>M43_401_14_122.5</v>
      </c>
      <c r="C38" s="178">
        <f>Calc!O38*1000</f>
        <v>505.22584854907672</v>
      </c>
      <c r="D38" s="178">
        <f>Calc!P38*1000</f>
        <v>2.8553436725323445E-2</v>
      </c>
      <c r="E38" s="178">
        <f>Calc!X38</f>
        <v>4.2974011719415746</v>
      </c>
      <c r="F38" s="178">
        <f>Calc!Y38</f>
        <v>6.9812338564918678E-3</v>
      </c>
      <c r="G38" s="178">
        <f>Calc!AN38</f>
        <v>2.0565623314891432</v>
      </c>
      <c r="H38" s="74">
        <f>Calc!AO38</f>
        <v>3.5428389736914478E-3</v>
      </c>
      <c r="I38" s="73">
        <f>Calc!AH38</f>
        <v>736.3988125947468</v>
      </c>
      <c r="J38" s="73">
        <f>Calc!AI38</f>
        <v>1.7431945431671014</v>
      </c>
      <c r="K38" s="73">
        <f>Calc!AJ38</f>
        <v>1024.9288341387658</v>
      </c>
      <c r="L38" s="73">
        <f>Calc!AK38</f>
        <v>1.1887462624317839</v>
      </c>
      <c r="M38" s="179">
        <f>Calc!AP38</f>
        <v>243.0915</v>
      </c>
      <c r="N38" s="179">
        <f>Calc!AQ38</f>
        <v>1.2294</v>
      </c>
      <c r="O38" s="179">
        <f>Calc!AW38</f>
        <v>243.0164</v>
      </c>
      <c r="P38" s="179">
        <f>Calc!AY38</f>
        <v>1.2635456485398573</v>
      </c>
      <c r="Q38" s="180">
        <f>Calc!BC38</f>
        <v>2034.8661481276906</v>
      </c>
      <c r="R38" s="179">
        <f>Calc!BD38</f>
        <v>7.6301114748532486</v>
      </c>
      <c r="S38" s="73">
        <f>Input!E38</f>
        <v>122.5</v>
      </c>
      <c r="T38" s="71"/>
      <c r="U38" s="71">
        <f>Input!K38</f>
        <v>7.1256290744916503E-3</v>
      </c>
      <c r="W38" s="71">
        <f>Calc!AS38</f>
        <v>2.7831493149746197E-3</v>
      </c>
      <c r="X38" s="71">
        <f>Calc!AT38</f>
        <v>4.5240297208521596E-6</v>
      </c>
      <c r="Y38" s="71">
        <f>Calc!AN38</f>
        <v>2.0565623314891432</v>
      </c>
      <c r="Z38" s="71">
        <f>Calc!AO38</f>
        <v>3.5428389736914478E-3</v>
      </c>
      <c r="AA38" s="71">
        <f t="shared" si="4"/>
        <v>2.0249288341387657</v>
      </c>
      <c r="AB38" s="71">
        <f t="shared" si="5"/>
        <v>1.7431945431671014E-3</v>
      </c>
    </row>
    <row r="39" spans="1:28" x14ac:dyDescent="0.2">
      <c r="A39" s="16">
        <f>Input!A39</f>
        <v>10815</v>
      </c>
      <c r="B39" s="16" t="str">
        <f>Input!B39</f>
        <v>Hu1-13</v>
      </c>
      <c r="C39" s="175">
        <f>Calc!O39*1000</f>
        <v>13701.721229172595</v>
      </c>
      <c r="D39" s="175">
        <f>Calc!P39*1000</f>
        <v>1.9765614492914105</v>
      </c>
      <c r="E39" s="175">
        <f>Calc!X39</f>
        <v>0.89560734253483443</v>
      </c>
      <c r="F39" s="175">
        <f>Calc!Y39</f>
        <v>5.072651136366387E-3</v>
      </c>
      <c r="G39" s="175">
        <f>Calc!AN39</f>
        <v>0.99765919848668905</v>
      </c>
      <c r="H39" s="176">
        <f>Calc!AO39</f>
        <v>3.4047457453609494E-3</v>
      </c>
      <c r="I39" s="18">
        <f>Calc!AH39</f>
        <v>46646.978939109707</v>
      </c>
      <c r="J39" s="18">
        <f>Calc!AI39</f>
        <v>308.38546911566289</v>
      </c>
      <c r="K39" s="18">
        <f>Calc!AJ39</f>
        <v>1.7967264280223105</v>
      </c>
      <c r="L39" s="18">
        <f>Calc!AK39</f>
        <v>2.650456164373638</v>
      </c>
      <c r="M39" s="177">
        <f>Calc!AP39</f>
        <v>580.60400000000004</v>
      </c>
      <c r="N39" s="177" t="e">
        <f>Calc!AQ39</f>
        <v>#VALUE!</v>
      </c>
      <c r="O39" s="177">
        <f>Calc!AW39</f>
        <v>580.60230000000001</v>
      </c>
      <c r="P39" s="177">
        <f>Calc!AX39</f>
        <v>252.90648428150001</v>
      </c>
      <c r="Q39" s="181">
        <f>Calc!BC39</f>
        <v>9.2484954550591301</v>
      </c>
      <c r="R39" s="177">
        <f>Calc!BD39</f>
        <v>13.949640921174407</v>
      </c>
      <c r="S39" s="18">
        <f>Input!E39</f>
        <v>0</v>
      </c>
      <c r="T39" s="71"/>
      <c r="U39" s="71">
        <f>Input!K39</f>
        <v>7.1119770286346617E-3</v>
      </c>
      <c r="W39" s="71">
        <f>Calc!AS39</f>
        <v>2.138743432428874E-5</v>
      </c>
      <c r="X39" s="71">
        <f>Calc!AT39</f>
        <v>1.2117606741082528E-7</v>
      </c>
      <c r="Y39" s="71">
        <f>Calc!AN39</f>
        <v>0.99765919848668905</v>
      </c>
      <c r="Z39" s="71">
        <f>Calc!AO39</f>
        <v>3.4047457453609494E-3</v>
      </c>
      <c r="AA39" s="71">
        <f t="shared" si="4"/>
        <v>1.0017967264280223</v>
      </c>
      <c r="AB39" s="71">
        <f t="shared" si="5"/>
        <v>0.30838546911566289</v>
      </c>
    </row>
    <row r="40" spans="1:28" x14ac:dyDescent="0.2">
      <c r="A40" s="71">
        <f>Input!A40</f>
        <v>10906</v>
      </c>
      <c r="B40" s="71" t="str">
        <f>Input!B40</f>
        <v>M43_401_14_337.5</v>
      </c>
      <c r="C40" s="178">
        <f>Calc!O40*1000</f>
        <v>441.96757798953166</v>
      </c>
      <c r="D40" s="178">
        <f>Calc!P40*1000</f>
        <v>3.1266092368473296E-2</v>
      </c>
      <c r="E40" s="178">
        <f>Calc!X40</f>
        <v>0.11156051571183712</v>
      </c>
      <c r="F40" s="178">
        <f>Calc!Y40</f>
        <v>2.5779571559860376E-4</v>
      </c>
      <c r="G40" s="178">
        <f>Calc!AN40</f>
        <v>1.5517025903207682</v>
      </c>
      <c r="H40" s="74">
        <f>Calc!AO40</f>
        <v>3.1731748826216316E-3</v>
      </c>
      <c r="I40" s="73">
        <f>Calc!AH40</f>
        <v>18768.165688072415</v>
      </c>
      <c r="J40" s="73">
        <f>Calc!AI40</f>
        <v>57.898305147853705</v>
      </c>
      <c r="K40" s="73">
        <f>Calc!AJ40</f>
        <v>516.92442420241628</v>
      </c>
      <c r="L40" s="73">
        <f>Calc!AK40</f>
        <v>1.2423742421804396</v>
      </c>
      <c r="M40" s="179">
        <f>Calc!AP40</f>
        <v>285.37970000000001</v>
      </c>
      <c r="N40" s="179">
        <f>Calc!AQ40</f>
        <v>2.3445999999999998</v>
      </c>
      <c r="O40" s="179">
        <f>Calc!AW40</f>
        <v>285.37650000000002</v>
      </c>
      <c r="P40" s="179">
        <f>Calc!AY40</f>
        <v>2.4241872711802017</v>
      </c>
      <c r="Q40" s="180">
        <f>Calc!BC40</f>
        <v>1156.6073354836112</v>
      </c>
      <c r="R40" s="179">
        <f>Calc!BD40</f>
        <v>8.3866679821635746</v>
      </c>
      <c r="S40" s="73">
        <f>Input!E40</f>
        <v>337.5</v>
      </c>
      <c r="T40" s="71"/>
      <c r="U40" s="71">
        <f>Input!K40</f>
        <v>7.1209405489180873E-3</v>
      </c>
      <c r="W40" s="71">
        <f>Calc!AS40</f>
        <v>8.2591674747417725E-5</v>
      </c>
      <c r="X40" s="71">
        <f>Calc!AT40</f>
        <v>1.9094349677001919E-7</v>
      </c>
      <c r="Y40" s="71">
        <f>Calc!AN40</f>
        <v>1.5517025903207682</v>
      </c>
      <c r="Z40" s="71">
        <f>Calc!AO40</f>
        <v>3.1731748826216316E-3</v>
      </c>
      <c r="AA40" s="71">
        <f t="shared" si="4"/>
        <v>1.5169244242024162</v>
      </c>
      <c r="AB40" s="71">
        <f t="shared" si="5"/>
        <v>5.7898305147853706E-2</v>
      </c>
    </row>
    <row r="41" spans="1:28" x14ac:dyDescent="0.2">
      <c r="A41" s="16">
        <f>Input!A41</f>
        <v>10815</v>
      </c>
      <c r="B41" s="16" t="str">
        <f>Input!B41</f>
        <v>Hu1-13</v>
      </c>
      <c r="C41" s="175">
        <f>Calc!O41*1000</f>
        <v>13697.344152823225</v>
      </c>
      <c r="D41" s="175">
        <f>Calc!P41*1000</f>
        <v>2.0492251379349482</v>
      </c>
      <c r="E41" s="175">
        <f>Calc!X41</f>
        <v>0.88974369054033797</v>
      </c>
      <c r="F41" s="175">
        <f>Calc!Y41</f>
        <v>3.6122079269717607E-3</v>
      </c>
      <c r="G41" s="175">
        <f>Calc!AN41</f>
        <v>1.0002677828615689</v>
      </c>
      <c r="H41" s="176">
        <f>Calc!AO41</f>
        <v>3.4753347826297159E-3</v>
      </c>
      <c r="I41" s="18">
        <f>Calc!AH41</f>
        <v>47062.12804305803</v>
      </c>
      <c r="J41" s="18">
        <f>Calc!AI41</f>
        <v>251.38103122357501</v>
      </c>
      <c r="K41" s="18">
        <f>Calc!AJ41</f>
        <v>-1.3043606280648268</v>
      </c>
      <c r="L41" s="18">
        <f>Calc!AK41</f>
        <v>2.1450253940378716</v>
      </c>
      <c r="M41" s="177" t="str">
        <f>Calc!AP41</f>
        <v>Out of range</v>
      </c>
      <c r="N41" s="177" t="e">
        <f>Calc!AQ41</f>
        <v>#VALUE!</v>
      </c>
      <c r="O41" s="177" t="str">
        <f>Calc!AW41</f>
        <v>Out of range</v>
      </c>
      <c r="P41" s="177">
        <f>Calc!AX41</f>
        <v>311.83956448859999</v>
      </c>
      <c r="Q41" s="181" t="e">
        <f>Calc!BC41</f>
        <v>#VALUE!</v>
      </c>
      <c r="R41" s="177" t="e">
        <f>Calc!BD41</f>
        <v>#VALUE!</v>
      </c>
      <c r="S41" s="18">
        <f>Input!E41</f>
        <v>0</v>
      </c>
      <c r="T41" s="71"/>
      <c r="U41" s="71">
        <f>Input!K41</f>
        <v>7.1085868835183592E-3</v>
      </c>
      <c r="W41" s="71">
        <f>Calc!AS41</f>
        <v>2.1254197896584807E-5</v>
      </c>
      <c r="X41" s="71">
        <f>Calc!AT41</f>
        <v>8.6346994240361259E-8</v>
      </c>
      <c r="Y41" s="71">
        <f>Calc!AN41</f>
        <v>1.0002677828615689</v>
      </c>
      <c r="Z41" s="71">
        <f>Calc!AO41</f>
        <v>3.4753347826297159E-3</v>
      </c>
      <c r="AA41" s="71">
        <f t="shared" si="4"/>
        <v>0.99869563937193517</v>
      </c>
      <c r="AB41" s="71">
        <f t="shared" si="5"/>
        <v>0.25138103122357502</v>
      </c>
    </row>
    <row r="42" spans="1:28" x14ac:dyDescent="0.2">
      <c r="A42" s="71">
        <f>Input!A42</f>
        <v>10899</v>
      </c>
      <c r="B42" s="71" t="str">
        <f>Input!B42</f>
        <v>RuWa51_3_20</v>
      </c>
      <c r="C42" s="178">
        <f>Calc!O42*1000</f>
        <v>3721.1889075301046</v>
      </c>
      <c r="D42" s="178">
        <f>Calc!P42*1000</f>
        <v>0.33550939970888982</v>
      </c>
      <c r="E42" s="178">
        <f>Calc!X42</f>
        <v>0.46482448706909596</v>
      </c>
      <c r="F42" s="178">
        <f>Calc!Y42</f>
        <v>1.2822222157513263E-3</v>
      </c>
      <c r="G42" s="178">
        <f>Calc!AN42</f>
        <v>0.90780275513732656</v>
      </c>
      <c r="H42" s="74">
        <f>Calc!AO42</f>
        <v>2.6245762904368347E-3</v>
      </c>
      <c r="I42" s="73">
        <f>Calc!AH42</f>
        <v>22216.944275876434</v>
      </c>
      <c r="J42" s="73">
        <f>Calc!AI42</f>
        <v>88.756275091222605</v>
      </c>
      <c r="K42" s="73">
        <f>Calc!AJ42</f>
        <v>-37.98557071586761</v>
      </c>
      <c r="L42" s="73">
        <f>Calc!AK42</f>
        <v>0.73117232957466516</v>
      </c>
      <c r="M42" s="179">
        <f>Calc!AP42</f>
        <v>341.60759999999999</v>
      </c>
      <c r="N42" s="179">
        <f>Calc!AQ42</f>
        <v>7.6073000000000004</v>
      </c>
      <c r="O42" s="179">
        <f>Calc!AW42</f>
        <v>341.60379999999998</v>
      </c>
      <c r="P42" s="179">
        <f>Calc!AY42</f>
        <v>7.7172302651671734</v>
      </c>
      <c r="Q42" s="180">
        <f>Calc!BC42</f>
        <v>-99.607034483383359</v>
      </c>
      <c r="R42" s="179">
        <f>Calc!BD42</f>
        <v>2.8951473113726967</v>
      </c>
      <c r="S42" s="73">
        <f>Input!E42</f>
        <v>20</v>
      </c>
      <c r="T42" s="71"/>
      <c r="U42" s="71">
        <f>Input!K42</f>
        <v>7.1077936730022384E-3</v>
      </c>
      <c r="W42" s="71">
        <f>Calc!AS42</f>
        <v>4.087177056760277E-5</v>
      </c>
      <c r="X42" s="71">
        <f>Calc!AT42</f>
        <v>1.1280532653845282E-7</v>
      </c>
      <c r="Y42" s="71">
        <f>Calc!AN42</f>
        <v>0.90780275513732656</v>
      </c>
      <c r="Z42" s="71">
        <f>Calc!AO42</f>
        <v>2.6245762904368347E-3</v>
      </c>
      <c r="AA42" s="71">
        <f t="shared" si="4"/>
        <v>0.96201442928413239</v>
      </c>
      <c r="AB42" s="71">
        <f t="shared" si="5"/>
        <v>8.8756275091222608E-2</v>
      </c>
    </row>
    <row r="43" spans="1:28" x14ac:dyDescent="0.2">
      <c r="A43" s="16">
        <f>Input!A43</f>
        <v>10815</v>
      </c>
      <c r="B43" s="16" t="str">
        <f>Input!B43</f>
        <v>Hu1-13</v>
      </c>
      <c r="C43" s="175">
        <f>Calc!O43*1000</f>
        <v>13697.344152823225</v>
      </c>
      <c r="D43" s="175">
        <f>Calc!P43*1000</f>
        <v>2.0492251379349482</v>
      </c>
      <c r="E43" s="175">
        <f>Calc!X43</f>
        <v>0.88974369054033797</v>
      </c>
      <c r="F43" s="175">
        <f>Calc!Y43</f>
        <v>3.6122079269717607E-3</v>
      </c>
      <c r="G43" s="175">
        <f>Calc!AN43</f>
        <v>1.0002677828615689</v>
      </c>
      <c r="H43" s="176">
        <f>Calc!AO43</f>
        <v>3.4753347826297159E-3</v>
      </c>
      <c r="I43" s="18">
        <f>Calc!AH43</f>
        <v>47062.12804305803</v>
      </c>
      <c r="J43" s="18">
        <f>Calc!AI43</f>
        <v>251.38103122357501</v>
      </c>
      <c r="K43" s="18">
        <f>Calc!AJ43</f>
        <v>-1.3043606280648268</v>
      </c>
      <c r="L43" s="18">
        <f>Calc!AK43</f>
        <v>2.1450253940378716</v>
      </c>
      <c r="M43" s="177" t="str">
        <f>Calc!AP43</f>
        <v>Out of range</v>
      </c>
      <c r="N43" s="177" t="e">
        <f>Calc!AQ43</f>
        <v>#VALUE!</v>
      </c>
      <c r="O43" s="177" t="str">
        <f>Calc!AW43</f>
        <v>Out of range</v>
      </c>
      <c r="P43" s="177">
        <f>Calc!AX43</f>
        <v>312.32706897420002</v>
      </c>
      <c r="Q43" s="181" t="e">
        <f>Calc!BC43</f>
        <v>#VALUE!</v>
      </c>
      <c r="R43" s="177" t="e">
        <f>Calc!BD43</f>
        <v>#VALUE!</v>
      </c>
      <c r="S43" s="18">
        <f>Input!E43</f>
        <v>0</v>
      </c>
      <c r="T43" s="71"/>
      <c r="U43" s="71">
        <f>Input!K43</f>
        <v>7.1085868835183592E-3</v>
      </c>
      <c r="W43" s="71">
        <f>Calc!AS43</f>
        <v>2.1254197896584807E-5</v>
      </c>
      <c r="X43" s="71">
        <f>Calc!AT43</f>
        <v>8.6346994240361259E-8</v>
      </c>
      <c r="Y43" s="71">
        <f>Calc!AN43</f>
        <v>1.0002677828615689</v>
      </c>
      <c r="Z43" s="71">
        <f>Calc!AO43</f>
        <v>3.4753347826297159E-3</v>
      </c>
      <c r="AA43" s="71">
        <f t="shared" si="4"/>
        <v>0.99869563937193517</v>
      </c>
      <c r="AB43" s="71">
        <f t="shared" si="5"/>
        <v>0.25138103122357502</v>
      </c>
    </row>
    <row r="44" spans="1:28" x14ac:dyDescent="0.2">
      <c r="H44" s="78"/>
    </row>
    <row r="45" spans="1:28" x14ac:dyDescent="0.2">
      <c r="A45" s="16">
        <f>Input!A45</f>
        <v>10815</v>
      </c>
      <c r="B45" s="16" t="str">
        <f>Input!B45</f>
        <v>Hu1-13</v>
      </c>
      <c r="C45" s="175">
        <f>Calc!O45*1000</f>
        <v>13699.798716316256</v>
      </c>
      <c r="D45" s="175">
        <f>Calc!P45*1000</f>
        <v>1.6897092417385273</v>
      </c>
      <c r="E45" s="175">
        <f>Calc!X45</f>
        <v>0.87221225279425252</v>
      </c>
      <c r="F45" s="175">
        <f>Calc!Y45</f>
        <v>4.749825059668881E-3</v>
      </c>
      <c r="G45" s="175">
        <f>Calc!AN45</f>
        <v>0.9958679099437906</v>
      </c>
      <c r="H45" s="176">
        <f>Calc!AO45</f>
        <v>2.3368856027956141E-3</v>
      </c>
      <c r="I45" s="18">
        <f>Calc!AH45</f>
        <v>47805.467598171279</v>
      </c>
      <c r="J45" s="18">
        <f>Calc!AI45</f>
        <v>283.41473552017681</v>
      </c>
      <c r="K45" s="18">
        <f>Calc!AJ45</f>
        <v>8.3180166550622658E-2</v>
      </c>
      <c r="L45" s="18">
        <f>Calc!AK45</f>
        <v>1.6714127702693256</v>
      </c>
      <c r="M45" s="177">
        <f>Calc!AP45</f>
        <v>595.49019999999996</v>
      </c>
      <c r="N45" s="177" t="e">
        <f>Calc!AQ45</f>
        <v>#VALUE!</v>
      </c>
      <c r="O45" s="177">
        <f>Calc!AW45</f>
        <v>595.48850000000004</v>
      </c>
      <c r="P45" s="177">
        <f>Calc!AX45</f>
        <v>216.5001721349</v>
      </c>
      <c r="Q45" s="181">
        <f>Calc!BC45</f>
        <v>0.44653295854132335</v>
      </c>
      <c r="R45" s="177">
        <f>Calc!BD45</f>
        <v>8.9732169565867359</v>
      </c>
      <c r="S45" s="18">
        <f>Input!E45</f>
        <v>0</v>
      </c>
      <c r="T45" s="71"/>
      <c r="U45" s="71">
        <f>Input!K45</f>
        <v>7.1392041522908055E-3</v>
      </c>
      <c r="W45" s="71">
        <f>Calc!AS45</f>
        <v>2.0831673864474154E-5</v>
      </c>
      <c r="X45" s="71">
        <f>Calc!AT45</f>
        <v>1.1347258758867203E-7</v>
      </c>
      <c r="Y45" s="71">
        <f>Calc!AN45</f>
        <v>0.9958679099437906</v>
      </c>
      <c r="Z45" s="71">
        <f>Calc!AO45</f>
        <v>2.3368856027956141E-3</v>
      </c>
      <c r="AA45" s="71">
        <f t="shared" ref="AA45:AA55" si="6">1+K45/1000</f>
        <v>1.0000831801665506</v>
      </c>
      <c r="AB45" s="71">
        <f t="shared" ref="AB45:AB55" si="7">J45/1000</f>
        <v>0.28341473552017682</v>
      </c>
    </row>
    <row r="46" spans="1:28" x14ac:dyDescent="0.2">
      <c r="A46" s="71">
        <f>Input!A46</f>
        <v>10909</v>
      </c>
      <c r="B46" s="71" t="str">
        <f>Input!B46</f>
        <v>M43_401_14_5B_Base</v>
      </c>
      <c r="C46" s="178">
        <f>Calc!O46*1000</f>
        <v>355.66093988063375</v>
      </c>
      <c r="D46" s="178">
        <f>Calc!P46*1000</f>
        <v>4.3239908962123236E-2</v>
      </c>
      <c r="E46" s="178">
        <f>Calc!X46</f>
        <v>0.10138698957176444</v>
      </c>
      <c r="F46" s="178">
        <f>Calc!Y46</f>
        <v>7.5089370603859953E-4</v>
      </c>
      <c r="G46" s="178">
        <f>Calc!AN46</f>
        <v>1.242773322339761</v>
      </c>
      <c r="H46" s="74">
        <f>Calc!AO46</f>
        <v>4.2833919628444137E-3</v>
      </c>
      <c r="I46" s="73">
        <f>Calc!AH46</f>
        <v>13306.775842541176</v>
      </c>
      <c r="J46" s="73">
        <f>Calc!AI46</f>
        <v>108.69000702828359</v>
      </c>
      <c r="K46" s="73">
        <f>Calc!AJ46</f>
        <v>1175.0270158264957</v>
      </c>
      <c r="L46" s="73">
        <f>Calc!AK46</f>
        <v>4.0859229167125717</v>
      </c>
      <c r="M46" s="179">
        <f>Calc!AP46</f>
        <v>84.387799999999999</v>
      </c>
      <c r="N46" s="179">
        <f>Calc!AQ46</f>
        <v>0.47910000000000003</v>
      </c>
      <c r="O46" s="179">
        <f>Calc!AW46</f>
        <v>84.384699999999995</v>
      </c>
      <c r="P46" s="179">
        <f>Calc!AY46</f>
        <v>0.46815767862602042</v>
      </c>
      <c r="Q46" s="180">
        <f>Calc!BC46</f>
        <v>1490.9743404447327</v>
      </c>
      <c r="R46" s="179">
        <f>Calc!BD46</f>
        <v>5.5461663651731445</v>
      </c>
      <c r="S46" s="73">
        <f>Input!E46</f>
        <v>0</v>
      </c>
      <c r="T46" s="71"/>
      <c r="U46" s="71">
        <f>Input!K46</f>
        <v>7.1290117788476073E-3</v>
      </c>
      <c r="W46" s="71">
        <f>Calc!AS46</f>
        <v>9.3274349064440223E-5</v>
      </c>
      <c r="X46" s="71">
        <f>Calc!AT46</f>
        <v>6.9090282594302529E-7</v>
      </c>
      <c r="Y46" s="71">
        <f>Calc!AN46</f>
        <v>1.242773322339761</v>
      </c>
      <c r="Z46" s="71">
        <f>Calc!AO46</f>
        <v>4.2833919628444137E-3</v>
      </c>
      <c r="AA46" s="71">
        <f t="shared" si="6"/>
        <v>2.1750270158264957</v>
      </c>
      <c r="AB46" s="71">
        <f t="shared" si="7"/>
        <v>0.10869000702828359</v>
      </c>
    </row>
    <row r="47" spans="1:28" x14ac:dyDescent="0.2">
      <c r="A47" s="16">
        <f>Input!A47</f>
        <v>10815</v>
      </c>
      <c r="B47" s="16" t="str">
        <f>Input!B47</f>
        <v>Hu1-13</v>
      </c>
      <c r="C47" s="175">
        <f>Calc!O47*1000</f>
        <v>13702.982521447948</v>
      </c>
      <c r="D47" s="175">
        <f>Calc!P47*1000</f>
        <v>1.9151357625160403</v>
      </c>
      <c r="E47" s="175">
        <f>Calc!X47</f>
        <v>0.86759197257695531</v>
      </c>
      <c r="F47" s="175">
        <f>Calc!Y47</f>
        <v>5.5747074916901972E-3</v>
      </c>
      <c r="G47" s="175">
        <f>Calc!AN47</f>
        <v>1.0015693258711582</v>
      </c>
      <c r="H47" s="176">
        <f>Calc!AO47</f>
        <v>2.8888532788691325E-3</v>
      </c>
      <c r="I47" s="18">
        <f>Calc!AH47</f>
        <v>48346.431437370309</v>
      </c>
      <c r="J47" s="18">
        <f>Calc!AI47</f>
        <v>340.44535590248933</v>
      </c>
      <c r="K47" s="18">
        <f>Calc!AJ47</f>
        <v>-1.2592040976158181</v>
      </c>
      <c r="L47" s="18">
        <f>Calc!AK47</f>
        <v>1.6289030720414592</v>
      </c>
      <c r="M47" s="177" t="str">
        <f>Calc!AP47</f>
        <v>Out of range</v>
      </c>
      <c r="N47" s="177" t="e">
        <f>Calc!AQ47</f>
        <v>#VALUE!</v>
      </c>
      <c r="O47" s="177" t="str">
        <f>Calc!AW47</f>
        <v>Out of range</v>
      </c>
      <c r="P47" s="177">
        <f>Calc!AX47</f>
        <v>253.9894801202</v>
      </c>
      <c r="Q47" s="181" t="e">
        <f>Calc!BC47</f>
        <v>#VALUE!</v>
      </c>
      <c r="R47" s="177" t="e">
        <f>Calc!BD47</f>
        <v>#VALUE!</v>
      </c>
      <c r="S47" s="18">
        <f>Input!E47</f>
        <v>0</v>
      </c>
      <c r="T47" s="71"/>
      <c r="U47" s="71">
        <f>Input!K47</f>
        <v>7.1168442957553644E-3</v>
      </c>
      <c r="W47" s="71">
        <f>Calc!AS47</f>
        <v>2.0716509907636652E-5</v>
      </c>
      <c r="X47" s="71">
        <f>Calc!AT47</f>
        <v>1.33145306071314E-7</v>
      </c>
      <c r="Y47" s="71">
        <f>Calc!AN47</f>
        <v>1.0015693258711582</v>
      </c>
      <c r="Z47" s="71">
        <f>Calc!AO47</f>
        <v>2.8888532788691325E-3</v>
      </c>
      <c r="AA47" s="71">
        <f t="shared" si="6"/>
        <v>0.99874079590238418</v>
      </c>
      <c r="AB47" s="71">
        <f t="shared" si="7"/>
        <v>0.34044535590248931</v>
      </c>
    </row>
    <row r="48" spans="1:28" x14ac:dyDescent="0.2">
      <c r="A48" s="71">
        <f>Input!A48</f>
        <v>10910</v>
      </c>
      <c r="B48" s="71" t="str">
        <f>Input!B48</f>
        <v>M43_401_14_15_E</v>
      </c>
      <c r="C48" s="178">
        <f>Calc!O48*1000</f>
        <v>521.0014184524739</v>
      </c>
      <c r="D48" s="178">
        <f>Calc!P48*1000</f>
        <v>4.3617277567264912E-2</v>
      </c>
      <c r="E48" s="178">
        <f>Calc!X48</f>
        <v>0.87951920498387981</v>
      </c>
      <c r="F48" s="178">
        <f>Calc!Y48</f>
        <v>1.8447656043260089E-3</v>
      </c>
      <c r="G48" s="178">
        <f>Calc!AN48</f>
        <v>2.5215291938483708</v>
      </c>
      <c r="H48" s="74">
        <f>Calc!AO48</f>
        <v>5.3136443399443376E-3</v>
      </c>
      <c r="I48" s="73">
        <f>Calc!AH48</f>
        <v>4574.5315586672968</v>
      </c>
      <c r="J48" s="73">
        <f>Calc!AI48</f>
        <v>13.595774367982571</v>
      </c>
      <c r="K48" s="73">
        <f>Calc!AJ48</f>
        <v>1674.9581310378621</v>
      </c>
      <c r="L48" s="73">
        <f>Calc!AK48</f>
        <v>2.5089117671179979</v>
      </c>
      <c r="M48" s="179">
        <f>Calc!AP48</f>
        <v>190.21700000000001</v>
      </c>
      <c r="N48" s="179">
        <f>Calc!AQ48</f>
        <v>0.93059999999999998</v>
      </c>
      <c r="O48" s="179">
        <f>Calc!AW48</f>
        <v>190.20529999999999</v>
      </c>
      <c r="P48" s="179">
        <f>Calc!AY48</f>
        <v>0.94927741848144076</v>
      </c>
      <c r="Q48" s="180">
        <f>Calc!BC48</f>
        <v>2864.9730328004516</v>
      </c>
      <c r="R48" s="179">
        <f>Calc!BD48</f>
        <v>8.7933162669209644</v>
      </c>
      <c r="S48" s="73">
        <f>Input!E48</f>
        <v>0</v>
      </c>
      <c r="T48" s="71"/>
      <c r="U48" s="71">
        <f>Input!K48</f>
        <v>7.1187318329750211E-3</v>
      </c>
      <c r="W48" s="71">
        <f>Calc!AS48</f>
        <v>5.5236047208829608E-4</v>
      </c>
      <c r="X48" s="71">
        <f>Calc!AT48</f>
        <v>1.1594822998565794E-6</v>
      </c>
      <c r="Y48" s="71">
        <f>Calc!AN48</f>
        <v>2.5215291938483708</v>
      </c>
      <c r="Z48" s="71">
        <f>Calc!AO48</f>
        <v>5.3136443399443376E-3</v>
      </c>
      <c r="AA48" s="71">
        <f t="shared" si="6"/>
        <v>2.6749581310378621</v>
      </c>
      <c r="AB48" s="71">
        <f t="shared" si="7"/>
        <v>1.3595774367982571E-2</v>
      </c>
    </row>
    <row r="49" spans="1:28" x14ac:dyDescent="0.2">
      <c r="A49" s="16">
        <f>Input!A49</f>
        <v>10815</v>
      </c>
      <c r="B49" s="16" t="str">
        <f>Input!B49</f>
        <v>Hu1-13</v>
      </c>
      <c r="C49" s="175">
        <f>Calc!O49*1000</f>
        <v>13701.398727236699</v>
      </c>
      <c r="D49" s="175">
        <f>Calc!P49*1000</f>
        <v>1.8059792202852332</v>
      </c>
      <c r="E49" s="175">
        <f>Calc!X49</f>
        <v>0.87033686821907108</v>
      </c>
      <c r="F49" s="175">
        <f>Calc!Y49</f>
        <v>4.4478977358080136E-3</v>
      </c>
      <c r="G49" s="175">
        <f>Calc!AN49</f>
        <v>1.0026037112626116</v>
      </c>
      <c r="H49" s="176">
        <f>Calc!AO49</f>
        <v>3.2093039826172568E-3</v>
      </c>
      <c r="I49" s="18">
        <f>Calc!AH49</f>
        <v>48238.151939969968</v>
      </c>
      <c r="J49" s="18">
        <f>Calc!AI49</f>
        <v>290.81855744217222</v>
      </c>
      <c r="K49" s="18">
        <f>Calc!AJ49</f>
        <v>0.30493278560594916</v>
      </c>
      <c r="L49" s="18">
        <f>Calc!AK49</f>
        <v>2.0345521827358488</v>
      </c>
      <c r="M49" s="177" t="str">
        <f>Calc!AP49</f>
        <v>Out of range</v>
      </c>
      <c r="N49" s="177" t="e">
        <f>Calc!AQ49</f>
        <v>#VALUE!</v>
      </c>
      <c r="O49" s="177" t="str">
        <f>Calc!AW49</f>
        <v>Out of range</v>
      </c>
      <c r="P49" s="177">
        <f>Calc!AX49</f>
        <v>305.89849532739998</v>
      </c>
      <c r="Q49" s="181" t="e">
        <f>Calc!BC49</f>
        <v>#VALUE!</v>
      </c>
      <c r="R49" s="177" t="e">
        <f>Calc!BD49</f>
        <v>#VALUE!</v>
      </c>
      <c r="S49" s="18">
        <f>Input!E49</f>
        <v>0</v>
      </c>
      <c r="T49" s="71"/>
      <c r="U49" s="71">
        <f>Input!K49</f>
        <v>7.118700735378008E-3</v>
      </c>
      <c r="W49" s="71">
        <f>Calc!AS49</f>
        <v>2.0784455269146776E-5</v>
      </c>
      <c r="X49" s="71">
        <f>Calc!AT49</f>
        <v>1.0625526543003991E-7</v>
      </c>
      <c r="Y49" s="71">
        <f>Calc!AN49</f>
        <v>1.0026037112626116</v>
      </c>
      <c r="Z49" s="71">
        <f>Calc!AO49</f>
        <v>3.2093039826172568E-3</v>
      </c>
      <c r="AA49" s="71">
        <f t="shared" si="6"/>
        <v>1.0003049327856059</v>
      </c>
      <c r="AB49" s="71">
        <f t="shared" si="7"/>
        <v>0.29081855744217222</v>
      </c>
    </row>
    <row r="50" spans="1:28" x14ac:dyDescent="0.2">
      <c r="A50" s="71">
        <f>Input!A50</f>
        <v>10911</v>
      </c>
      <c r="B50" s="71" t="str">
        <f>Input!B50</f>
        <v>M43_401_14_15_F</v>
      </c>
      <c r="C50" s="178">
        <f>Calc!O50*1000</f>
        <v>315.8533880886377</v>
      </c>
      <c r="D50" s="178">
        <f>Calc!P50*1000</f>
        <v>2.7295545057482405E-2</v>
      </c>
      <c r="E50" s="178">
        <f>Calc!X50</f>
        <v>0.46492870947415876</v>
      </c>
      <c r="F50" s="178">
        <f>Calc!Y50</f>
        <v>9.6229626912063676E-4</v>
      </c>
      <c r="G50" s="178">
        <f>Calc!AN50</f>
        <v>1.5458276354003495</v>
      </c>
      <c r="H50" s="74">
        <f>Calc!AO50</f>
        <v>4.3737892830579481E-3</v>
      </c>
      <c r="I50" s="73">
        <f>Calc!AH50</f>
        <v>3204.1868597747889</v>
      </c>
      <c r="J50" s="73">
        <f>Calc!AI50</f>
        <v>11.229329156455419</v>
      </c>
      <c r="K50" s="73">
        <f>Calc!AJ50</f>
        <v>1366.3301701829851</v>
      </c>
      <c r="L50" s="73">
        <f>Calc!AK50</f>
        <v>3.5170835864028884</v>
      </c>
      <c r="M50" s="179">
        <f>Calc!AP50</f>
        <v>101.7499</v>
      </c>
      <c r="N50" s="179">
        <f>Calc!AQ50</f>
        <v>0.49390000000000001</v>
      </c>
      <c r="O50" s="179">
        <f>Calc!AW50</f>
        <v>101.7359</v>
      </c>
      <c r="P50" s="179">
        <f>Calc!AY50</f>
        <v>0.49102221925297046</v>
      </c>
      <c r="Q50" s="180">
        <f>Calc!BC50</f>
        <v>1820.7222294493083</v>
      </c>
      <c r="R50" s="179">
        <f>Calc!BD50</f>
        <v>5.3226747359936883</v>
      </c>
      <c r="S50" s="73">
        <f>Input!E50</f>
        <v>0</v>
      </c>
      <c r="T50" s="71"/>
      <c r="U50" s="71">
        <f>Input!K50</f>
        <v>7.1166767567616088E-3</v>
      </c>
      <c r="W50" s="71">
        <f>Calc!AS50</f>
        <v>4.8163384279207054E-4</v>
      </c>
      <c r="X50" s="71">
        <f>Calc!AT50</f>
        <v>9.9774061682276836E-7</v>
      </c>
      <c r="Y50" s="71">
        <f>Calc!AN50</f>
        <v>1.5458276354003495</v>
      </c>
      <c r="Z50" s="71">
        <f>Calc!AO50</f>
        <v>4.3737892830579481E-3</v>
      </c>
      <c r="AA50" s="71">
        <f t="shared" si="6"/>
        <v>2.3663301701829851</v>
      </c>
      <c r="AB50" s="71">
        <f t="shared" si="7"/>
        <v>1.122932915645542E-2</v>
      </c>
    </row>
    <row r="51" spans="1:28" x14ac:dyDescent="0.2">
      <c r="A51" s="16">
        <f>Input!A51</f>
        <v>10815</v>
      </c>
      <c r="B51" s="16" t="str">
        <f>Input!B51</f>
        <v>Hu1-13</v>
      </c>
      <c r="C51" s="175">
        <f>Calc!O51*1000</f>
        <v>13699.55804629926</v>
      </c>
      <c r="D51" s="175">
        <f>Calc!P51*1000</f>
        <v>1.934166983671453</v>
      </c>
      <c r="E51" s="175">
        <f>Calc!X51</f>
        <v>0.89306324976797224</v>
      </c>
      <c r="F51" s="175">
        <f>Calc!Y51</f>
        <v>4.871520688884857E-3</v>
      </c>
      <c r="G51" s="175">
        <f>Calc!AN51</f>
        <v>0.99405464178527958</v>
      </c>
      <c r="H51" s="176">
        <f>Calc!AO51</f>
        <v>2.349820464445799E-3</v>
      </c>
      <c r="I51" s="18">
        <f>Calc!AH51</f>
        <v>46603.488343142773</v>
      </c>
      <c r="J51" s="18">
        <f>Calc!AI51</f>
        <v>276.98038512537107</v>
      </c>
      <c r="K51" s="18">
        <f>Calc!AJ51</f>
        <v>-0.74966990579627968</v>
      </c>
      <c r="L51" s="18">
        <f>Calc!AK51</f>
        <v>2.1534350972570997</v>
      </c>
      <c r="M51" s="177">
        <f>Calc!AP51</f>
        <v>580.18870000000004</v>
      </c>
      <c r="N51" s="177" t="e">
        <f>Calc!AQ51</f>
        <v>#VALUE!</v>
      </c>
      <c r="O51" s="177">
        <f>Calc!AW51</f>
        <v>580.18690000000004</v>
      </c>
      <c r="P51" s="177">
        <f>Calc!AX51</f>
        <v>216.0393312953</v>
      </c>
      <c r="Q51" s="181">
        <f>Calc!BC51</f>
        <v>-3.8543406241772784</v>
      </c>
      <c r="R51" s="177">
        <f>Calc!BD51</f>
        <v>11.110558533534483</v>
      </c>
      <c r="S51" s="18">
        <f>Input!E51</f>
        <v>0</v>
      </c>
      <c r="T51" s="71"/>
      <c r="U51" s="71">
        <f>Input!K51</f>
        <v>7.1378169392464523E-3</v>
      </c>
      <c r="W51" s="71">
        <f>Calc!AS51</f>
        <v>2.1330047966925304E-5</v>
      </c>
      <c r="X51" s="71">
        <f>Calc!AT51</f>
        <v>1.1639104929823291E-7</v>
      </c>
      <c r="Y51" s="71">
        <f>Calc!AN51</f>
        <v>0.99405464178527958</v>
      </c>
      <c r="Z51" s="71">
        <f>Calc!AO51</f>
        <v>2.349820464445799E-3</v>
      </c>
      <c r="AA51" s="71">
        <f t="shared" si="6"/>
        <v>0.99925033009420372</v>
      </c>
      <c r="AB51" s="71">
        <f t="shared" si="7"/>
        <v>0.2769803851253711</v>
      </c>
    </row>
    <row r="52" spans="1:28" x14ac:dyDescent="0.2">
      <c r="A52" s="71">
        <f>Input!A52</f>
        <v>10912</v>
      </c>
      <c r="B52" s="71" t="str">
        <f>Input!B52</f>
        <v>M43_401_14_15_G</v>
      </c>
      <c r="C52" s="178">
        <f>Calc!O52*1000</f>
        <v>728.42216933266366</v>
      </c>
      <c r="D52" s="178">
        <f>Calc!P52*1000</f>
        <v>4.702818111863092E-2</v>
      </c>
      <c r="E52" s="178">
        <f>Calc!X52</f>
        <v>0.2186059835641018</v>
      </c>
      <c r="F52" s="178">
        <f>Calc!Y52</f>
        <v>4.4290060551611043E-4</v>
      </c>
      <c r="G52" s="178">
        <f>Calc!AN52</f>
        <v>1.3913706807329496</v>
      </c>
      <c r="H52" s="74">
        <f>Calc!AO52</f>
        <v>3.0662342465946567E-3</v>
      </c>
      <c r="I52" s="73">
        <f>Calc!AH52</f>
        <v>14098.606577243601</v>
      </c>
      <c r="J52" s="73">
        <f>Calc!AI52</f>
        <v>42.194931655459271</v>
      </c>
      <c r="K52" s="73">
        <f>Calc!AJ52</f>
        <v>1416.4992288043238</v>
      </c>
      <c r="L52" s="73">
        <f>Calc!AK52</f>
        <v>1.4488912515241166</v>
      </c>
      <c r="M52" s="179">
        <f>Calc!AP52</f>
        <v>84.719800000000006</v>
      </c>
      <c r="N52" s="179">
        <f>Calc!AQ52</f>
        <v>0.28179999999999999</v>
      </c>
      <c r="O52" s="179">
        <f>Calc!AW52</f>
        <v>84.716999999999999</v>
      </c>
      <c r="P52" s="179">
        <f>Calc!AY52</f>
        <v>0.27007583469279783</v>
      </c>
      <c r="Q52" s="180">
        <f>Calc!BC52</f>
        <v>1799.0611632661592</v>
      </c>
      <c r="R52" s="179">
        <f>Calc!BD52</f>
        <v>2.2948868758459993</v>
      </c>
      <c r="S52" s="73">
        <f>Input!E52</f>
        <v>0</v>
      </c>
      <c r="T52" s="71"/>
      <c r="U52" s="71">
        <f>Input!K52</f>
        <v>7.1443233419530112E-3</v>
      </c>
      <c r="W52" s="71">
        <f>Calc!AS52</f>
        <v>9.8196285711503331E-5</v>
      </c>
      <c r="X52" s="71">
        <f>Calc!AT52</f>
        <v>1.9904885406423043E-7</v>
      </c>
      <c r="Y52" s="71">
        <f>Calc!AN52</f>
        <v>1.3913706807329496</v>
      </c>
      <c r="Z52" s="71">
        <f>Calc!AO52</f>
        <v>3.0662342465946567E-3</v>
      </c>
      <c r="AA52" s="71">
        <f t="shared" si="6"/>
        <v>2.4164992288043239</v>
      </c>
      <c r="AB52" s="71">
        <f t="shared" si="7"/>
        <v>4.2194931655459268E-2</v>
      </c>
    </row>
    <row r="53" spans="1:28" x14ac:dyDescent="0.2">
      <c r="A53" s="16">
        <f>Input!A53</f>
        <v>10815</v>
      </c>
      <c r="B53" s="16" t="str">
        <f>Input!B53</f>
        <v>Hu1-13</v>
      </c>
      <c r="C53" s="175">
        <f>Calc!O53*1000</f>
        <v>13698.004477412453</v>
      </c>
      <c r="D53" s="175">
        <f>Calc!P53*1000</f>
        <v>1.4253946976478549</v>
      </c>
      <c r="E53" s="175">
        <f>Calc!X53</f>
        <v>0.91037250398395264</v>
      </c>
      <c r="F53" s="175">
        <f>Calc!Y53</f>
        <v>5.0168700662019229E-3</v>
      </c>
      <c r="G53" s="175">
        <f>Calc!AN53</f>
        <v>0.9959697546807994</v>
      </c>
      <c r="H53" s="176">
        <f>Calc!AO53</f>
        <v>3.3120101791527718E-3</v>
      </c>
      <c r="I53" s="18">
        <f>Calc!AH53</f>
        <v>45800.281883566095</v>
      </c>
      <c r="J53" s="18">
        <f>Calc!AI53</f>
        <v>294.75008392258383</v>
      </c>
      <c r="K53" s="18">
        <f>Calc!AJ53</f>
        <v>1.8309840421077972</v>
      </c>
      <c r="L53" s="18">
        <f>Calc!AK53</f>
        <v>1.487655934596869</v>
      </c>
      <c r="M53" s="177">
        <f>Calc!AP53</f>
        <v>547.59320000000002</v>
      </c>
      <c r="N53" s="177" t="e">
        <f>Calc!AQ53</f>
        <v>#VALUE!</v>
      </c>
      <c r="O53" s="177">
        <f>Calc!AW53</f>
        <v>547.59140000000002</v>
      </c>
      <c r="P53" s="177">
        <f>Calc!AX53</f>
        <v>153.12016435819999</v>
      </c>
      <c r="Q53" s="181">
        <f>Calc!BC53</f>
        <v>8.5864839784599027</v>
      </c>
      <c r="R53" s="177">
        <f>Calc!BD53</f>
        <v>7.1457350469861316</v>
      </c>
      <c r="S53" s="18">
        <f>Input!E53</f>
        <v>0</v>
      </c>
      <c r="T53" s="71"/>
      <c r="U53" s="71">
        <f>Input!K53</f>
        <v>7.1433472923645115E-3</v>
      </c>
      <c r="W53" s="71">
        <f>Calc!AS53</f>
        <v>2.1745930673805961E-5</v>
      </c>
      <c r="X53" s="71">
        <f>Calc!AT53</f>
        <v>1.1985858094025938E-7</v>
      </c>
      <c r="Y53" s="71">
        <f>Calc!AN53</f>
        <v>0.9959697546807994</v>
      </c>
      <c r="Z53" s="71">
        <f>Calc!AO53</f>
        <v>3.3120101791527718E-3</v>
      </c>
      <c r="AA53" s="71">
        <f t="shared" si="6"/>
        <v>1.0018309840421078</v>
      </c>
      <c r="AB53" s="71">
        <f t="shared" si="7"/>
        <v>0.29475008392258384</v>
      </c>
    </row>
    <row r="54" spans="1:28" x14ac:dyDescent="0.2">
      <c r="A54" s="71">
        <f>Input!A54</f>
        <v>10907</v>
      </c>
      <c r="B54" s="71" t="str">
        <f>Input!B54</f>
        <v>M43_401_14_341.5</v>
      </c>
      <c r="C54" s="178">
        <f>Calc!O54*1000</f>
        <v>471.95684398890108</v>
      </c>
      <c r="D54" s="178">
        <f>Calc!P54*1000</f>
        <v>2.7200287068516193E-2</v>
      </c>
      <c r="E54" s="178">
        <f>Calc!X54</f>
        <v>0.14133933963541526</v>
      </c>
      <c r="F54" s="178">
        <f>Calc!Y54</f>
        <v>2.7739136399086608E-4</v>
      </c>
      <c r="G54" s="178">
        <f>Calc!AN54</f>
        <v>1.5523792846442539</v>
      </c>
      <c r="H54" s="74">
        <f>Calc!AO54</f>
        <v>2.8396203582477858E-3</v>
      </c>
      <c r="I54" s="73">
        <f>Calc!AH54</f>
        <v>15759.069281722375</v>
      </c>
      <c r="J54" s="73">
        <f>Calc!AI54</f>
        <v>42.269675566416304</v>
      </c>
      <c r="K54" s="73">
        <f>Calc!AJ54</f>
        <v>512.21150468177984</v>
      </c>
      <c r="L54" s="73">
        <f>Calc!AK54</f>
        <v>1.1728423489258557</v>
      </c>
      <c r="M54" s="179">
        <f>Calc!AP54</f>
        <v>289.89109999999999</v>
      </c>
      <c r="N54" s="179">
        <f>Calc!AQ54</f>
        <v>2.2282000000000002</v>
      </c>
      <c r="O54" s="179">
        <f>Calc!AW54</f>
        <v>289.88740000000001</v>
      </c>
      <c r="P54" s="179">
        <f>Calc!AY54</f>
        <v>2.282578827131037</v>
      </c>
      <c r="Q54" s="180">
        <f>Calc!BC54</f>
        <v>1160.744943743149</v>
      </c>
      <c r="R54" s="179">
        <f>Calc!BD54</f>
        <v>7.9353613081064083</v>
      </c>
      <c r="S54" s="73">
        <f>Input!E54</f>
        <v>341.5</v>
      </c>
      <c r="T54" s="71"/>
      <c r="U54" s="71">
        <f>Input!K54</f>
        <v>7.1453705918887419E-3</v>
      </c>
      <c r="W54" s="71">
        <f>Calc!AS54</f>
        <v>9.7988913067883411E-5</v>
      </c>
      <c r="X54" s="71">
        <f>Calc!AT54</f>
        <v>1.923950943816237E-7</v>
      </c>
      <c r="Y54" s="71">
        <f>Calc!AN54</f>
        <v>1.5523792846442539</v>
      </c>
      <c r="Z54" s="71">
        <f>Calc!AO54</f>
        <v>2.8396203582477858E-3</v>
      </c>
      <c r="AA54" s="71">
        <f t="shared" si="6"/>
        <v>1.5122115046817799</v>
      </c>
      <c r="AB54" s="71">
        <f t="shared" si="7"/>
        <v>4.2269675566416302E-2</v>
      </c>
    </row>
    <row r="55" spans="1:28" x14ac:dyDescent="0.2">
      <c r="A55" s="16">
        <f>Input!A55</f>
        <v>10815</v>
      </c>
      <c r="B55" s="16" t="str">
        <f>Input!B55</f>
        <v>Hu1-13</v>
      </c>
      <c r="C55" s="175">
        <f>Calc!O55*1000</f>
        <v>13697.319727852921</v>
      </c>
      <c r="D55" s="175">
        <f>Calc!P55*1000</f>
        <v>2.2383472171534193</v>
      </c>
      <c r="E55" s="175">
        <f>Calc!X55</f>
        <v>0.90597714141108543</v>
      </c>
      <c r="F55" s="175">
        <f>Calc!Y55</f>
        <v>5.4528296259493689E-3</v>
      </c>
      <c r="G55" s="175">
        <f>Calc!AN55</f>
        <v>0.99351063217107816</v>
      </c>
      <c r="H55" s="176">
        <f>Calc!AO55</f>
        <v>3.0266566198230058E-3</v>
      </c>
      <c r="I55" s="18">
        <f>Calc!AH55</f>
        <v>45906.554853613401</v>
      </c>
      <c r="J55" s="18">
        <f>Calc!AI55</f>
        <v>309.58547686019779</v>
      </c>
      <c r="K55" s="18">
        <f>Calc!AJ55</f>
        <v>0.16480213979352953</v>
      </c>
      <c r="L55" s="18">
        <f>Calc!AK55</f>
        <v>1.6649584878769252</v>
      </c>
      <c r="M55" s="177">
        <f>Calc!AP55</f>
        <v>545.51869999999997</v>
      </c>
      <c r="N55" s="177" t="e">
        <f>Calc!AQ55</f>
        <v>#VALUE!</v>
      </c>
      <c r="O55" s="177">
        <f>Calc!AW55</f>
        <v>545.51689999999996</v>
      </c>
      <c r="P55" s="177">
        <f>Calc!AX55</f>
        <v>121.623816851</v>
      </c>
      <c r="Q55" s="181">
        <f>Calc!BC55</f>
        <v>0.76833591311400729</v>
      </c>
      <c r="R55" s="177">
        <f>Calc!BD55</f>
        <v>7.7634721539102811</v>
      </c>
      <c r="S55" s="18">
        <f>Input!E55</f>
        <v>0</v>
      </c>
      <c r="T55" s="71"/>
      <c r="U55" s="71">
        <f>Input!K55</f>
        <v>7.1406841362536052E-3</v>
      </c>
      <c r="W55" s="71">
        <f>Calc!AS55</f>
        <v>2.1642021174082436E-5</v>
      </c>
      <c r="X55" s="71">
        <f>Calc!AT55</f>
        <v>1.3030543298962134E-7</v>
      </c>
      <c r="Y55" s="71">
        <f>Calc!AN55</f>
        <v>0.99351063217107816</v>
      </c>
      <c r="Z55" s="71">
        <f>Calc!AO55</f>
        <v>3.0266566198230058E-3</v>
      </c>
      <c r="AA55" s="71">
        <f t="shared" si="6"/>
        <v>1.0001648021397935</v>
      </c>
      <c r="AB55" s="71">
        <f t="shared" si="7"/>
        <v>0.30958547686019777</v>
      </c>
    </row>
    <row r="56" spans="1:28" x14ac:dyDescent="0.2">
      <c r="A56" s="71">
        <f>Input!A56</f>
        <v>10908</v>
      </c>
      <c r="B56" s="71" t="str">
        <f>Input!B56</f>
        <v>M43_401_14_544.5</v>
      </c>
      <c r="C56" s="178">
        <f>Calc!O56*1000</f>
        <v>704.06637686401405</v>
      </c>
      <c r="D56" s="178">
        <f>Calc!P56*1000</f>
        <v>4.454496649760574E-2</v>
      </c>
      <c r="E56" s="178">
        <f>Calc!X56</f>
        <v>0.27591831898859598</v>
      </c>
      <c r="F56" s="178">
        <f>Calc!Y56</f>
        <v>5.1002025774136127E-4</v>
      </c>
      <c r="G56" s="178">
        <f>Calc!AN56</f>
        <v>1.821870756013491</v>
      </c>
      <c r="H56" s="74">
        <f>Calc!AO56</f>
        <v>3.3977079183139395E-3</v>
      </c>
      <c r="I56" s="73">
        <f>Calc!AH56</f>
        <v>14144.89388281535</v>
      </c>
      <c r="J56" s="73">
        <f>Calc!AI56</f>
        <v>37.130846974789605</v>
      </c>
      <c r="K56" s="73">
        <f>Calc!AJ56</f>
        <v>727.08477468601257</v>
      </c>
      <c r="L56" s="73">
        <f>Calc!AK56</f>
        <v>0.89239966328445031</v>
      </c>
      <c r="M56" s="179">
        <f>Calc!AP56</f>
        <v>294.90910000000002</v>
      </c>
      <c r="N56" s="179">
        <f>Calc!AQ56</f>
        <v>2.0960000000000001</v>
      </c>
      <c r="O56" s="179">
        <f>Calc!AW56</f>
        <v>294.90519999999998</v>
      </c>
      <c r="P56" s="179">
        <f>Calc!AY56</f>
        <v>2.1704944893627363</v>
      </c>
      <c r="Q56" s="180">
        <f>Calc!BC56</f>
        <v>1671.1766670798665</v>
      </c>
      <c r="R56" s="179">
        <f>Calc!BD56</f>
        <v>10.439880730177835</v>
      </c>
      <c r="S56" s="73">
        <f>Input!E56</f>
        <v>544.5</v>
      </c>
      <c r="T56" s="71"/>
      <c r="U56" s="71">
        <f>Input!K56</f>
        <v>7.1387711008899608E-3</v>
      </c>
      <c r="W56" s="71">
        <f>Calc!AS56</f>
        <v>1.2822806875891597E-4</v>
      </c>
      <c r="X56" s="71">
        <f>Calc!AT56</f>
        <v>2.3716152791721394E-7</v>
      </c>
      <c r="Y56" s="71">
        <f>Calc!AN56</f>
        <v>1.821870756013491</v>
      </c>
      <c r="Z56" s="71">
        <f>Calc!AO56</f>
        <v>3.3977079183139395E-3</v>
      </c>
      <c r="AA56" s="71">
        <f t="shared" ref="AA56:AA57" si="8">1+K56/1000</f>
        <v>1.7270847746860125</v>
      </c>
      <c r="AB56" s="71">
        <f t="shared" ref="AB56:AB57" si="9">J56/1000</f>
        <v>3.7130846974789605E-2</v>
      </c>
    </row>
    <row r="57" spans="1:28" x14ac:dyDescent="0.2">
      <c r="A57" s="16">
        <f>Input!A57</f>
        <v>10815</v>
      </c>
      <c r="B57" s="16" t="str">
        <f>Input!B57</f>
        <v>Hu1-13</v>
      </c>
      <c r="C57" s="175">
        <f>Calc!O57*1000</f>
        <v>13701.6835333582</v>
      </c>
      <c r="D57" s="175">
        <f>Calc!P57*1000</f>
        <v>1.0391082787089363</v>
      </c>
      <c r="E57" s="175">
        <f>Calc!X57</f>
        <v>0.88276420989051418</v>
      </c>
      <c r="F57" s="175">
        <f>Calc!Y57</f>
        <v>2.8072158388833439E-3</v>
      </c>
      <c r="G57" s="175">
        <f>Calc!AN57</f>
        <v>0.99759924146453061</v>
      </c>
      <c r="H57" s="176">
        <f>Calc!AO57</f>
        <v>2.2811273821614162E-3</v>
      </c>
      <c r="I57" s="18">
        <f>Calc!AH57</f>
        <v>47322.660709124655</v>
      </c>
      <c r="J57" s="18">
        <f>Calc!AI57</f>
        <v>185.31792419097778</v>
      </c>
      <c r="K57" s="18">
        <f>Calc!AJ57</f>
        <v>-0.71304903480440274</v>
      </c>
      <c r="L57" s="18">
        <f>Calc!AK57</f>
        <v>1.0230499154115935</v>
      </c>
      <c r="M57" s="177">
        <f>Calc!AP57</f>
        <v>718.01589999999999</v>
      </c>
      <c r="N57" s="177" t="e">
        <f>Calc!AQ57</f>
        <v>#VALUE!</v>
      </c>
      <c r="O57" s="177">
        <f>Calc!AW57</f>
        <v>718.01409999999998</v>
      </c>
      <c r="P57" s="177">
        <f>Calc!AX57</f>
        <v>325.03279493069999</v>
      </c>
      <c r="Q57" s="181">
        <f>Calc!BC57</f>
        <v>-5.4090516547948564</v>
      </c>
      <c r="R57" s="177">
        <f>Calc!BD57</f>
        <v>8.4168330366804653</v>
      </c>
      <c r="S57" s="18">
        <f>Input!E57</f>
        <v>0</v>
      </c>
      <c r="T57" s="71"/>
      <c r="U57" s="71">
        <f>Input!K57</f>
        <v>7.1335792162675353E-3</v>
      </c>
      <c r="W57" s="71">
        <f>Calc!AS57</f>
        <v>2.1080793567302011E-5</v>
      </c>
      <c r="X57" s="71">
        <f>Calc!AT57</f>
        <v>6.7056596768959042E-8</v>
      </c>
      <c r="Y57" s="71">
        <f>Calc!AN57</f>
        <v>0.99759924146453061</v>
      </c>
      <c r="Z57" s="71">
        <f>Calc!AO57</f>
        <v>2.2811273821614162E-3</v>
      </c>
      <c r="AA57" s="71">
        <f t="shared" si="8"/>
        <v>0.9992869509651956</v>
      </c>
      <c r="AB57" s="71">
        <f t="shared" si="9"/>
        <v>0.18531792419097778</v>
      </c>
    </row>
    <row r="58" spans="1:28" x14ac:dyDescent="0.2">
      <c r="H58" s="78"/>
    </row>
    <row r="59" spans="1:28" x14ac:dyDescent="0.2">
      <c r="H59" s="78"/>
    </row>
    <row r="60" spans="1:28" ht="13.5" customHeight="1" x14ac:dyDescent="0.2">
      <c r="H60" s="78"/>
    </row>
    <row r="61" spans="1:28" ht="13.5" customHeight="1" x14ac:dyDescent="0.2"/>
    <row r="62" spans="1:28" ht="13.5" customHeight="1" x14ac:dyDescent="0.2">
      <c r="H62" s="78"/>
    </row>
    <row r="63" spans="1:28" ht="13.5" customHeight="1" x14ac:dyDescent="0.2">
      <c r="H63" s="78"/>
    </row>
    <row r="64" spans="1:28" ht="13.5" customHeight="1" x14ac:dyDescent="0.2">
      <c r="H64" s="78"/>
    </row>
    <row r="65" spans="8:8" ht="13.5" customHeight="1" x14ac:dyDescent="0.2"/>
    <row r="66" spans="8:8" ht="13.5" customHeight="1" x14ac:dyDescent="0.2">
      <c r="H66" s="78"/>
    </row>
    <row r="67" spans="8:8" ht="13.5" customHeight="1" x14ac:dyDescent="0.2">
      <c r="H67" s="78"/>
    </row>
    <row r="68" spans="8:8" ht="13.5" customHeight="1" x14ac:dyDescent="0.2">
      <c r="H68" s="78"/>
    </row>
    <row r="69" spans="8:8" ht="13.5" customHeight="1" x14ac:dyDescent="0.2">
      <c r="H69" s="78"/>
    </row>
    <row r="70" spans="8:8" ht="13.5" customHeight="1" x14ac:dyDescent="0.2">
      <c r="H70" s="78"/>
    </row>
    <row r="71" spans="8:8" ht="13.5" customHeight="1" x14ac:dyDescent="0.2">
      <c r="H71" s="78"/>
    </row>
    <row r="72" spans="8:8" ht="13.5" customHeight="1" x14ac:dyDescent="0.2">
      <c r="H72" s="78"/>
    </row>
    <row r="73" spans="8:8" ht="13.5" customHeight="1" x14ac:dyDescent="0.2">
      <c r="H73" s="78"/>
    </row>
    <row r="74" spans="8:8" ht="13.5" customHeight="1" x14ac:dyDescent="0.2">
      <c r="H74" s="78"/>
    </row>
    <row r="76" spans="8:8" ht="13.5" customHeight="1" x14ac:dyDescent="0.2">
      <c r="H76" s="78"/>
    </row>
    <row r="77" spans="8:8" ht="13.5" customHeight="1" x14ac:dyDescent="0.2"/>
    <row r="78" spans="8:8" ht="13.5" customHeight="1" x14ac:dyDescent="0.2">
      <c r="H78" s="78"/>
    </row>
    <row r="79" spans="8:8" ht="13.5" customHeight="1" x14ac:dyDescent="0.2">
      <c r="H79" s="78"/>
    </row>
    <row r="80" spans="8:8" ht="13.5" customHeight="1" x14ac:dyDescent="0.2">
      <c r="H80" s="78"/>
    </row>
    <row r="81" spans="8:8" ht="13.5" customHeight="1" x14ac:dyDescent="0.2"/>
    <row r="82" spans="8:8" ht="13.5" customHeight="1" x14ac:dyDescent="0.2">
      <c r="H82" s="78"/>
    </row>
    <row r="83" spans="8:8" ht="13.5" customHeight="1" x14ac:dyDescent="0.2">
      <c r="H83" s="78"/>
    </row>
    <row r="84" spans="8:8" ht="13.5" customHeight="1" x14ac:dyDescent="0.2">
      <c r="H84" s="78"/>
    </row>
    <row r="85" spans="8:8" ht="13.5" customHeight="1" x14ac:dyDescent="0.2">
      <c r="H85" s="78"/>
    </row>
    <row r="86" spans="8:8" ht="13.5" customHeight="1" x14ac:dyDescent="0.2">
      <c r="H86" s="78"/>
    </row>
    <row r="87" spans="8:8" ht="13.5" customHeight="1" x14ac:dyDescent="0.2">
      <c r="H87" s="78"/>
    </row>
    <row r="88" spans="8:8" ht="13.5" customHeight="1" x14ac:dyDescent="0.2">
      <c r="H88" s="78"/>
    </row>
    <row r="89" spans="8:8" ht="13.5" customHeight="1" x14ac:dyDescent="0.2">
      <c r="H89" s="78"/>
    </row>
    <row r="90" spans="8:8" ht="13.5" customHeight="1" x14ac:dyDescent="0.2">
      <c r="H90" s="78"/>
    </row>
    <row r="92" spans="8:8" ht="13.5" customHeight="1" x14ac:dyDescent="0.2">
      <c r="H92" s="78"/>
    </row>
    <row r="93" spans="8:8" ht="13.5" customHeight="1" x14ac:dyDescent="0.2"/>
    <row r="94" spans="8:8" ht="13.5" customHeight="1" x14ac:dyDescent="0.2">
      <c r="H94" s="78"/>
    </row>
    <row r="95" spans="8:8" ht="13.5" customHeight="1" x14ac:dyDescent="0.2">
      <c r="H95" s="78"/>
    </row>
    <row r="96" spans="8:8" ht="13.5" customHeight="1" x14ac:dyDescent="0.2">
      <c r="H96" s="78"/>
    </row>
    <row r="97" spans="8:8" ht="13.5" customHeight="1" x14ac:dyDescent="0.2"/>
    <row r="98" spans="8:8" ht="13.5" customHeight="1" x14ac:dyDescent="0.2">
      <c r="H98" s="78"/>
    </row>
    <row r="99" spans="8:8" ht="13.5" customHeight="1" x14ac:dyDescent="0.2">
      <c r="H99" s="78"/>
    </row>
    <row r="100" spans="8:8" ht="13.5" customHeight="1" x14ac:dyDescent="0.2">
      <c r="H100" s="78"/>
    </row>
    <row r="101" spans="8:8" ht="13.5" customHeight="1" x14ac:dyDescent="0.2">
      <c r="H101" s="78"/>
    </row>
    <row r="102" spans="8:8" ht="13.5" customHeight="1" x14ac:dyDescent="0.2">
      <c r="H102" s="78"/>
    </row>
    <row r="103" spans="8:8" ht="13.5" customHeight="1" x14ac:dyDescent="0.2">
      <c r="H103" s="78"/>
    </row>
    <row r="104" spans="8:8" ht="13.5" customHeight="1" x14ac:dyDescent="0.2">
      <c r="H104" s="78"/>
    </row>
    <row r="105" spans="8:8" ht="13.5" customHeight="1" x14ac:dyDescent="0.2">
      <c r="H105" s="78"/>
    </row>
    <row r="106" spans="8:8" ht="13.5" customHeight="1" x14ac:dyDescent="0.2">
      <c r="H106" s="78"/>
    </row>
    <row r="108" spans="8:8" ht="13.5" customHeight="1" x14ac:dyDescent="0.2">
      <c r="H108" s="78"/>
    </row>
    <row r="109" spans="8:8" ht="13.5" customHeight="1" x14ac:dyDescent="0.2"/>
    <row r="110" spans="8:8" ht="13.5" customHeight="1" x14ac:dyDescent="0.2">
      <c r="H110" s="78"/>
    </row>
    <row r="111" spans="8:8" ht="13.5" customHeight="1" x14ac:dyDescent="0.2">
      <c r="H111" s="78"/>
    </row>
    <row r="112" spans="8:8" ht="13.5" customHeight="1" x14ac:dyDescent="0.2">
      <c r="H112" s="78"/>
    </row>
    <row r="113" spans="8:8" ht="13.5" customHeight="1" x14ac:dyDescent="0.2"/>
    <row r="114" spans="8:8" ht="13.5" customHeight="1" x14ac:dyDescent="0.2">
      <c r="H114" s="78"/>
    </row>
    <row r="115" spans="8:8" ht="13.5" customHeight="1" x14ac:dyDescent="0.2">
      <c r="H115" s="78"/>
    </row>
    <row r="116" spans="8:8" ht="13.5" customHeight="1" x14ac:dyDescent="0.2">
      <c r="H116" s="78"/>
    </row>
    <row r="117" spans="8:8" ht="13.5" customHeight="1" x14ac:dyDescent="0.2">
      <c r="H117" s="78"/>
    </row>
    <row r="118" spans="8:8" ht="13.5" customHeight="1" x14ac:dyDescent="0.2">
      <c r="H118" s="78"/>
    </row>
    <row r="119" spans="8:8" ht="13.5" customHeight="1" x14ac:dyDescent="0.2">
      <c r="H119" s="78"/>
    </row>
    <row r="120" spans="8:8" ht="13.5" customHeight="1" x14ac:dyDescent="0.2">
      <c r="H120" s="78"/>
    </row>
    <row r="121" spans="8:8" ht="13.5" customHeight="1" x14ac:dyDescent="0.2"/>
    <row r="122" spans="8:8" ht="13.5" customHeight="1" x14ac:dyDescent="0.2">
      <c r="H122" s="78"/>
    </row>
    <row r="123" spans="8:8" ht="13.5" customHeight="1" x14ac:dyDescent="0.2">
      <c r="H123" s="78"/>
    </row>
    <row r="124" spans="8:8" ht="13.5" customHeight="1" x14ac:dyDescent="0.2">
      <c r="H124" s="78"/>
    </row>
    <row r="125" spans="8:8" ht="13.5" customHeight="1" x14ac:dyDescent="0.2"/>
    <row r="126" spans="8:8" ht="13.5" customHeight="1" x14ac:dyDescent="0.2">
      <c r="H126" s="78"/>
    </row>
    <row r="127" spans="8:8" ht="13.5" customHeight="1" x14ac:dyDescent="0.2">
      <c r="H127" s="78"/>
    </row>
    <row r="128" spans="8:8" ht="13.5" customHeight="1" x14ac:dyDescent="0.2">
      <c r="H128" s="78"/>
    </row>
    <row r="129" spans="8:8" ht="13.5" customHeight="1" x14ac:dyDescent="0.2">
      <c r="H129" s="78"/>
    </row>
    <row r="130" spans="8:8" ht="13.5" customHeight="1" x14ac:dyDescent="0.2">
      <c r="H130" s="78"/>
    </row>
    <row r="131" spans="8:8" ht="13.5" customHeight="1" x14ac:dyDescent="0.2">
      <c r="H131" s="78"/>
    </row>
    <row r="132" spans="8:8" ht="13.5" customHeight="1" x14ac:dyDescent="0.2">
      <c r="H132" s="78"/>
    </row>
    <row r="133" spans="8:8" ht="13.5" customHeight="1" x14ac:dyDescent="0.2"/>
    <row r="134" spans="8:8" ht="13.5" customHeight="1" x14ac:dyDescent="0.2">
      <c r="H134" s="78"/>
    </row>
    <row r="135" spans="8:8" ht="13.5" customHeight="1" x14ac:dyDescent="0.2">
      <c r="H135" s="78"/>
    </row>
    <row r="136" spans="8:8" ht="13.5" customHeight="1" x14ac:dyDescent="0.2">
      <c r="H136" s="78"/>
    </row>
    <row r="137" spans="8:8" ht="13.5" customHeight="1" x14ac:dyDescent="0.2"/>
    <row r="138" spans="8:8" ht="13.5" customHeight="1" x14ac:dyDescent="0.2">
      <c r="H138" s="78"/>
    </row>
    <row r="139" spans="8:8" ht="13.5" customHeight="1" x14ac:dyDescent="0.2">
      <c r="H139" s="78"/>
    </row>
    <row r="140" spans="8:8" ht="13.5" customHeight="1" x14ac:dyDescent="0.2">
      <c r="H140" s="78"/>
    </row>
    <row r="141" spans="8:8" ht="13.5" customHeight="1" x14ac:dyDescent="0.2">
      <c r="H141" s="78"/>
    </row>
    <row r="142" spans="8:8" ht="13.5" customHeight="1" x14ac:dyDescent="0.2">
      <c r="H142" s="78"/>
    </row>
    <row r="143" spans="8:8" ht="13.5" customHeight="1" x14ac:dyDescent="0.2">
      <c r="H143" s="78"/>
    </row>
    <row r="144" spans="8:8" ht="13.5" customHeight="1" x14ac:dyDescent="0.2">
      <c r="H144" s="78"/>
    </row>
    <row r="145" spans="8:8" ht="13.5" customHeight="1" x14ac:dyDescent="0.2"/>
    <row r="146" spans="8:8" ht="13.5" customHeight="1" x14ac:dyDescent="0.2">
      <c r="H146" s="78"/>
    </row>
    <row r="147" spans="8:8" ht="13.5" customHeight="1" x14ac:dyDescent="0.2">
      <c r="H147" s="78"/>
    </row>
    <row r="148" spans="8:8" ht="13.5" customHeight="1" x14ac:dyDescent="0.2">
      <c r="H148" s="78"/>
    </row>
    <row r="149" spans="8:8" ht="13.5" customHeight="1" x14ac:dyDescent="0.2"/>
    <row r="150" spans="8:8" ht="13.5" customHeight="1" x14ac:dyDescent="0.2">
      <c r="H150" s="78"/>
    </row>
    <row r="151" spans="8:8" ht="13.5" customHeight="1" x14ac:dyDescent="0.2">
      <c r="H151" s="78"/>
    </row>
    <row r="152" spans="8:8" ht="13.5" customHeight="1" x14ac:dyDescent="0.2">
      <c r="H152" s="78"/>
    </row>
    <row r="153" spans="8:8" ht="13.5" customHeight="1" x14ac:dyDescent="0.2">
      <c r="H153" s="78"/>
    </row>
    <row r="154" spans="8:8" ht="13.5" customHeight="1" x14ac:dyDescent="0.2">
      <c r="H154" s="78"/>
    </row>
    <row r="155" spans="8:8" ht="13.5" customHeight="1" x14ac:dyDescent="0.2">
      <c r="H155" s="78"/>
    </row>
    <row r="156" spans="8:8" ht="13.5" customHeight="1" x14ac:dyDescent="0.2">
      <c r="H156" s="78"/>
    </row>
    <row r="157" spans="8:8" ht="13.5" customHeight="1" x14ac:dyDescent="0.2"/>
    <row r="158" spans="8:8" ht="13.5" customHeight="1" x14ac:dyDescent="0.2">
      <c r="H158" s="78"/>
    </row>
    <row r="159" spans="8:8" ht="13.5" customHeight="1" x14ac:dyDescent="0.2">
      <c r="H159" s="78"/>
    </row>
    <row r="160" spans="8:8" ht="13.5" customHeight="1" x14ac:dyDescent="0.2">
      <c r="H160" s="78"/>
    </row>
    <row r="161" spans="8:8" ht="13.5" customHeight="1" x14ac:dyDescent="0.2"/>
    <row r="162" spans="8:8" ht="13.5" customHeight="1" x14ac:dyDescent="0.2">
      <c r="H162" s="78"/>
    </row>
    <row r="163" spans="8:8" ht="13.5" customHeight="1" x14ac:dyDescent="0.2">
      <c r="H163" s="78"/>
    </row>
    <row r="164" spans="8:8" ht="13.5" customHeight="1" x14ac:dyDescent="0.2">
      <c r="H164" s="78"/>
    </row>
    <row r="165" spans="8:8" ht="13.5" customHeight="1" x14ac:dyDescent="0.2">
      <c r="H165" s="78"/>
    </row>
    <row r="166" spans="8:8" ht="13.5" customHeight="1" x14ac:dyDescent="0.2">
      <c r="H166" s="78"/>
    </row>
    <row r="167" spans="8:8" ht="13.5" customHeight="1" x14ac:dyDescent="0.2">
      <c r="H167" s="78"/>
    </row>
    <row r="168" spans="8:8" ht="13.5" customHeight="1" x14ac:dyDescent="0.2">
      <c r="H168" s="78"/>
    </row>
    <row r="169" spans="8:8" ht="13.5" customHeight="1" x14ac:dyDescent="0.2"/>
    <row r="170" spans="8:8" ht="13.5" customHeight="1" x14ac:dyDescent="0.2">
      <c r="H170" s="78"/>
    </row>
    <row r="171" spans="8:8" ht="13.5" customHeight="1" x14ac:dyDescent="0.2">
      <c r="H171" s="78"/>
    </row>
    <row r="172" spans="8:8" ht="13.5" customHeight="1" x14ac:dyDescent="0.2">
      <c r="H172" s="78"/>
    </row>
    <row r="173" spans="8:8" ht="13.5" customHeight="1" x14ac:dyDescent="0.2"/>
    <row r="174" spans="8:8" ht="13.5" customHeight="1" x14ac:dyDescent="0.2">
      <c r="H174" s="78"/>
    </row>
    <row r="175" spans="8:8" ht="13.5" customHeight="1" x14ac:dyDescent="0.2">
      <c r="H175" s="78"/>
    </row>
    <row r="176" spans="8:8" ht="13.5" customHeight="1" x14ac:dyDescent="0.2">
      <c r="H176" s="78"/>
    </row>
    <row r="177" spans="8:8" ht="13.5" customHeight="1" x14ac:dyDescent="0.2">
      <c r="H177" s="78"/>
    </row>
    <row r="178" spans="8:8" ht="13.5" customHeight="1" x14ac:dyDescent="0.2">
      <c r="H178" s="78"/>
    </row>
    <row r="179" spans="8:8" ht="13.5" customHeight="1" x14ac:dyDescent="0.2">
      <c r="H179" s="78"/>
    </row>
    <row r="180" spans="8:8" ht="13.5" customHeight="1" x14ac:dyDescent="0.2">
      <c r="H180" s="78"/>
    </row>
    <row r="181" spans="8:8" ht="13.5" customHeight="1" x14ac:dyDescent="0.2"/>
    <row r="182" spans="8:8" ht="13.5" customHeight="1" x14ac:dyDescent="0.2">
      <c r="H182" s="78"/>
    </row>
    <row r="183" spans="8:8" ht="13.5" customHeight="1" x14ac:dyDescent="0.2">
      <c r="H183" s="78"/>
    </row>
    <row r="184" spans="8:8" ht="13.5" customHeight="1" x14ac:dyDescent="0.2">
      <c r="H184" s="78"/>
    </row>
    <row r="185" spans="8:8" ht="13.5" customHeight="1" x14ac:dyDescent="0.2"/>
    <row r="186" spans="8:8" ht="13.5" customHeight="1" x14ac:dyDescent="0.2">
      <c r="H186" s="78"/>
    </row>
    <row r="187" spans="8:8" ht="13.5" customHeight="1" x14ac:dyDescent="0.2">
      <c r="H187" s="78"/>
    </row>
    <row r="188" spans="8:8" ht="13.5" customHeight="1" x14ac:dyDescent="0.2">
      <c r="H188" s="78"/>
    </row>
    <row r="189" spans="8:8" ht="13.5" customHeight="1" x14ac:dyDescent="0.2">
      <c r="H189" s="78"/>
    </row>
    <row r="190" spans="8:8" ht="13.5" customHeight="1" x14ac:dyDescent="0.2">
      <c r="H190" s="78"/>
    </row>
    <row r="191" spans="8:8" ht="13.5" customHeight="1" x14ac:dyDescent="0.2">
      <c r="H191" s="78"/>
    </row>
    <row r="192" spans="8:8" ht="13.5" customHeight="1" x14ac:dyDescent="0.2">
      <c r="H192" s="78"/>
    </row>
    <row r="193" spans="8:8" ht="13.5" customHeight="1" x14ac:dyDescent="0.2"/>
    <row r="194" spans="8:8" ht="13.5" customHeight="1" x14ac:dyDescent="0.2">
      <c r="H194" s="78"/>
    </row>
    <row r="195" spans="8:8" ht="13.5" customHeight="1" x14ac:dyDescent="0.2">
      <c r="H195" s="78"/>
    </row>
    <row r="196" spans="8:8" ht="13.5" customHeight="1" x14ac:dyDescent="0.2">
      <c r="H196" s="78"/>
    </row>
    <row r="197" spans="8:8" ht="13.5" customHeight="1" x14ac:dyDescent="0.2"/>
    <row r="198" spans="8:8" ht="13.5" customHeight="1" x14ac:dyDescent="0.2">
      <c r="H198" s="78"/>
    </row>
    <row r="199" spans="8:8" ht="13.5" customHeight="1" x14ac:dyDescent="0.2">
      <c r="H199" s="78"/>
    </row>
    <row r="200" spans="8:8" ht="13.5" customHeight="1" x14ac:dyDescent="0.2">
      <c r="H200" s="78"/>
    </row>
    <row r="201" spans="8:8" ht="13.5" customHeight="1" x14ac:dyDescent="0.2">
      <c r="H201" s="78"/>
    </row>
    <row r="202" spans="8:8" ht="13.5" customHeight="1" x14ac:dyDescent="0.2">
      <c r="H202" s="78"/>
    </row>
    <row r="203" spans="8:8" ht="13.5" customHeight="1" x14ac:dyDescent="0.2">
      <c r="H203" s="78"/>
    </row>
    <row r="204" spans="8:8" ht="13.5" customHeight="1" x14ac:dyDescent="0.2">
      <c r="H204" s="78"/>
    </row>
    <row r="205" spans="8:8" ht="13.5" customHeight="1" x14ac:dyDescent="0.2"/>
    <row r="206" spans="8:8" ht="13.5" customHeight="1" x14ac:dyDescent="0.2">
      <c r="H206" s="78"/>
    </row>
    <row r="207" spans="8:8" ht="13.5" customHeight="1" x14ac:dyDescent="0.2">
      <c r="H207" s="78"/>
    </row>
    <row r="208" spans="8:8" ht="13.5" customHeight="1" x14ac:dyDescent="0.2">
      <c r="H208" s="78"/>
    </row>
    <row r="209" spans="8:8" ht="13.5" customHeight="1" x14ac:dyDescent="0.2"/>
    <row r="210" spans="8:8" ht="13.5" customHeight="1" x14ac:dyDescent="0.2">
      <c r="H210" s="78"/>
    </row>
    <row r="211" spans="8:8" ht="13.5" customHeight="1" x14ac:dyDescent="0.2">
      <c r="H211" s="78"/>
    </row>
    <row r="212" spans="8:8" ht="13.5" customHeight="1" x14ac:dyDescent="0.2">
      <c r="H212" s="78"/>
    </row>
    <row r="213" spans="8:8" ht="13.5" customHeight="1" x14ac:dyDescent="0.2">
      <c r="H213" s="78"/>
    </row>
    <row r="214" spans="8:8" ht="13.5" customHeight="1" x14ac:dyDescent="0.2">
      <c r="H214" s="78"/>
    </row>
    <row r="215" spans="8:8" ht="13.5" customHeight="1" x14ac:dyDescent="0.2">
      <c r="H215" s="78"/>
    </row>
    <row r="216" spans="8:8" ht="13.5" customHeight="1" x14ac:dyDescent="0.2">
      <c r="H216" s="78"/>
    </row>
    <row r="217" spans="8:8" ht="13.5" customHeight="1" x14ac:dyDescent="0.2"/>
    <row r="218" spans="8:8" ht="13.5" customHeight="1" x14ac:dyDescent="0.2">
      <c r="H218" s="78"/>
    </row>
    <row r="219" spans="8:8" ht="13.5" customHeight="1" x14ac:dyDescent="0.2">
      <c r="H219" s="78"/>
    </row>
    <row r="220" spans="8:8" ht="13.5" customHeight="1" x14ac:dyDescent="0.2">
      <c r="H220" s="78"/>
    </row>
    <row r="221" spans="8:8" ht="13.5" customHeight="1" x14ac:dyDescent="0.2"/>
    <row r="222" spans="8:8" ht="13.5" customHeight="1" x14ac:dyDescent="0.2">
      <c r="H222" s="78"/>
    </row>
    <row r="223" spans="8:8" ht="13.5" customHeight="1" x14ac:dyDescent="0.2">
      <c r="H223" s="78"/>
    </row>
    <row r="224" spans="8:8" ht="13.5" customHeight="1" x14ac:dyDescent="0.2">
      <c r="H224" s="78"/>
    </row>
    <row r="225" spans="8:8" ht="13.5" customHeight="1" x14ac:dyDescent="0.2">
      <c r="H225" s="78"/>
    </row>
    <row r="226" spans="8:8" ht="13.5" customHeight="1" x14ac:dyDescent="0.2">
      <c r="H226" s="78"/>
    </row>
    <row r="227" spans="8:8" ht="13.5" customHeight="1" x14ac:dyDescent="0.2">
      <c r="H227" s="78"/>
    </row>
    <row r="228" spans="8:8" ht="13.5" customHeight="1" x14ac:dyDescent="0.2">
      <c r="H228" s="78"/>
    </row>
    <row r="229" spans="8:8" ht="13.5" customHeight="1" x14ac:dyDescent="0.2"/>
    <row r="230" spans="8:8" ht="13.5" customHeight="1" x14ac:dyDescent="0.2">
      <c r="H230" s="78"/>
    </row>
    <row r="231" spans="8:8" ht="13.5" customHeight="1" x14ac:dyDescent="0.2">
      <c r="H231" s="78"/>
    </row>
    <row r="232" spans="8:8" ht="13.5" customHeight="1" x14ac:dyDescent="0.2">
      <c r="H232" s="78"/>
    </row>
    <row r="233" spans="8:8" ht="13.5" customHeight="1" x14ac:dyDescent="0.2"/>
    <row r="234" spans="8:8" ht="13.5" customHeight="1" x14ac:dyDescent="0.2">
      <c r="H234" s="78"/>
    </row>
    <row r="235" spans="8:8" ht="13.5" customHeight="1" x14ac:dyDescent="0.2">
      <c r="H235" s="78"/>
    </row>
    <row r="236" spans="8:8" ht="13.5" customHeight="1" x14ac:dyDescent="0.2">
      <c r="H236" s="78"/>
    </row>
    <row r="237" spans="8:8" ht="13.5" customHeight="1" x14ac:dyDescent="0.2">
      <c r="H237" s="78"/>
    </row>
    <row r="238" spans="8:8" ht="13.5" customHeight="1" x14ac:dyDescent="0.2">
      <c r="H238" s="78"/>
    </row>
    <row r="239" spans="8:8" ht="13.5" customHeight="1" x14ac:dyDescent="0.2">
      <c r="H239" s="78"/>
    </row>
    <row r="240" spans="8:8" ht="13.5" customHeight="1" x14ac:dyDescent="0.2">
      <c r="H240" s="78"/>
    </row>
    <row r="241" spans="8:8" ht="13.5" customHeight="1" x14ac:dyDescent="0.2"/>
    <row r="242" spans="8:8" ht="13.5" customHeight="1" x14ac:dyDescent="0.2">
      <c r="H242" s="78"/>
    </row>
    <row r="243" spans="8:8" ht="13.5" customHeight="1" x14ac:dyDescent="0.2">
      <c r="H243" s="78"/>
    </row>
    <row r="244" spans="8:8" ht="13.5" customHeight="1" x14ac:dyDescent="0.2">
      <c r="H244" s="78"/>
    </row>
    <row r="245" spans="8:8" ht="13.5" customHeight="1" x14ac:dyDescent="0.2"/>
    <row r="246" spans="8:8" ht="13.5" customHeight="1" x14ac:dyDescent="0.2">
      <c r="H246" s="78"/>
    </row>
    <row r="247" spans="8:8" ht="13.5" customHeight="1" x14ac:dyDescent="0.2">
      <c r="H247" s="78"/>
    </row>
    <row r="248" spans="8:8" ht="13.5" customHeight="1" x14ac:dyDescent="0.2">
      <c r="H248" s="78"/>
    </row>
    <row r="249" spans="8:8" ht="13.5" customHeight="1" x14ac:dyDescent="0.2">
      <c r="H249" s="78"/>
    </row>
    <row r="250" spans="8:8" ht="13.5" customHeight="1" x14ac:dyDescent="0.2">
      <c r="H250" s="78"/>
    </row>
    <row r="251" spans="8:8" ht="13.5" customHeight="1" x14ac:dyDescent="0.2">
      <c r="H251" s="78"/>
    </row>
    <row r="252" spans="8:8" ht="13.5" customHeight="1" x14ac:dyDescent="0.2">
      <c r="H252" s="78"/>
    </row>
    <row r="253" spans="8:8" ht="13.5" customHeight="1" x14ac:dyDescent="0.2"/>
    <row r="254" spans="8:8" ht="13.5" customHeight="1" x14ac:dyDescent="0.2">
      <c r="H254" s="78"/>
    </row>
    <row r="255" spans="8:8" ht="13.5" customHeight="1" x14ac:dyDescent="0.2">
      <c r="H255" s="78"/>
    </row>
    <row r="256" spans="8:8" ht="13.5" customHeight="1" x14ac:dyDescent="0.2">
      <c r="H256" s="78"/>
    </row>
    <row r="257" spans="8:8" ht="13.5" customHeight="1" x14ac:dyDescent="0.2"/>
    <row r="258" spans="8:8" ht="13.5" customHeight="1" x14ac:dyDescent="0.2">
      <c r="H258" s="78"/>
    </row>
    <row r="259" spans="8:8" ht="13.5" customHeight="1" x14ac:dyDescent="0.2">
      <c r="H259" s="78"/>
    </row>
    <row r="260" spans="8:8" ht="13.5" customHeight="1" x14ac:dyDescent="0.2">
      <c r="H260" s="78"/>
    </row>
    <row r="261" spans="8:8" ht="13.5" customHeight="1" x14ac:dyDescent="0.2">
      <c r="H261" s="78"/>
    </row>
    <row r="262" spans="8:8" ht="13.5" customHeight="1" x14ac:dyDescent="0.2">
      <c r="H262" s="78"/>
    </row>
    <row r="263" spans="8:8" ht="13.5" customHeight="1" x14ac:dyDescent="0.2">
      <c r="H263" s="78"/>
    </row>
    <row r="264" spans="8:8" ht="13.5" customHeight="1" x14ac:dyDescent="0.2">
      <c r="H264" s="78"/>
    </row>
    <row r="265" spans="8:8" ht="13.5" customHeight="1" x14ac:dyDescent="0.2"/>
    <row r="266" spans="8:8" ht="13.5" customHeight="1" x14ac:dyDescent="0.2">
      <c r="H266" s="78"/>
    </row>
    <row r="267" spans="8:8" ht="13.5" customHeight="1" x14ac:dyDescent="0.2">
      <c r="H267" s="78"/>
    </row>
    <row r="268" spans="8:8" ht="13.5" customHeight="1" x14ac:dyDescent="0.2">
      <c r="H268" s="78"/>
    </row>
    <row r="269" spans="8:8" ht="13.5" customHeight="1" x14ac:dyDescent="0.2"/>
    <row r="270" spans="8:8" ht="13.5" customHeight="1" x14ac:dyDescent="0.2">
      <c r="H270" s="78"/>
    </row>
    <row r="271" spans="8:8" ht="13.5" customHeight="1" x14ac:dyDescent="0.2">
      <c r="H271" s="78"/>
    </row>
    <row r="272" spans="8:8" ht="13.5" customHeight="1" x14ac:dyDescent="0.2">
      <c r="H272" s="78"/>
    </row>
    <row r="273" spans="8:8" ht="13.5" customHeight="1" x14ac:dyDescent="0.2">
      <c r="H273" s="78"/>
    </row>
    <row r="274" spans="8:8" ht="13.5" customHeight="1" x14ac:dyDescent="0.2">
      <c r="H274" s="78"/>
    </row>
    <row r="275" spans="8:8" ht="13.5" customHeight="1" x14ac:dyDescent="0.2">
      <c r="H275" s="78"/>
    </row>
    <row r="276" spans="8:8" ht="13.5" customHeight="1" x14ac:dyDescent="0.2">
      <c r="H276" s="78"/>
    </row>
    <row r="277" spans="8:8" ht="13.5" customHeight="1" x14ac:dyDescent="0.2"/>
    <row r="278" spans="8:8" ht="13.5" customHeight="1" x14ac:dyDescent="0.2">
      <c r="H278" s="78"/>
    </row>
    <row r="279" spans="8:8" ht="13.5" customHeight="1" x14ac:dyDescent="0.2">
      <c r="H279" s="78"/>
    </row>
    <row r="280" spans="8:8" ht="13.5" customHeight="1" x14ac:dyDescent="0.2">
      <c r="H280" s="78"/>
    </row>
    <row r="281" spans="8:8" ht="13.5" customHeight="1" x14ac:dyDescent="0.2"/>
    <row r="282" spans="8:8" ht="13.5" customHeight="1" x14ac:dyDescent="0.2">
      <c r="H282" s="78"/>
    </row>
    <row r="283" spans="8:8" ht="13.5" customHeight="1" x14ac:dyDescent="0.2">
      <c r="H283" s="78"/>
    </row>
    <row r="284" spans="8:8" ht="13.5" customHeight="1" x14ac:dyDescent="0.2">
      <c r="H284" s="78"/>
    </row>
    <row r="285" spans="8:8" ht="13.5" customHeight="1" x14ac:dyDescent="0.2">
      <c r="H285" s="78"/>
    </row>
    <row r="286" spans="8:8" ht="13.5" customHeight="1" x14ac:dyDescent="0.2">
      <c r="H286" s="78"/>
    </row>
    <row r="287" spans="8:8" ht="13.5" customHeight="1" x14ac:dyDescent="0.2">
      <c r="H287" s="78"/>
    </row>
    <row r="288" spans="8:8" ht="13.5" customHeight="1" x14ac:dyDescent="0.2">
      <c r="H288" s="78"/>
    </row>
    <row r="289" spans="8:8" ht="13.5" customHeight="1" x14ac:dyDescent="0.2"/>
    <row r="290" spans="8:8" ht="13.5" customHeight="1" x14ac:dyDescent="0.2">
      <c r="H290" s="78"/>
    </row>
    <row r="291" spans="8:8" ht="13.5" customHeight="1" x14ac:dyDescent="0.2">
      <c r="H291" s="78"/>
    </row>
    <row r="292" spans="8:8" ht="13.5" customHeight="1" x14ac:dyDescent="0.2">
      <c r="H292" s="78"/>
    </row>
    <row r="293" spans="8:8" ht="13.5" customHeight="1" x14ac:dyDescent="0.2"/>
    <row r="294" spans="8:8" ht="13.5" customHeight="1" x14ac:dyDescent="0.2">
      <c r="H294" s="78"/>
    </row>
    <row r="295" spans="8:8" ht="13.5" customHeight="1" x14ac:dyDescent="0.2">
      <c r="H295" s="78"/>
    </row>
    <row r="296" spans="8:8" ht="13.5" customHeight="1" x14ac:dyDescent="0.2">
      <c r="H296" s="78"/>
    </row>
    <row r="297" spans="8:8" ht="13.5" customHeight="1" x14ac:dyDescent="0.2">
      <c r="H297" s="78"/>
    </row>
    <row r="298" spans="8:8" ht="13.5" customHeight="1" x14ac:dyDescent="0.2">
      <c r="H298" s="78"/>
    </row>
    <row r="299" spans="8:8" ht="13.5" customHeight="1" x14ac:dyDescent="0.2">
      <c r="H299" s="78"/>
    </row>
    <row r="300" spans="8:8" ht="13.5" customHeight="1" x14ac:dyDescent="0.2">
      <c r="H300" s="78"/>
    </row>
    <row r="301" spans="8:8" ht="13.5" customHeight="1" x14ac:dyDescent="0.2"/>
    <row r="302" spans="8:8" ht="13.5" customHeight="1" x14ac:dyDescent="0.2">
      <c r="H302" s="78"/>
    </row>
    <row r="303" spans="8:8" ht="13.5" customHeight="1" x14ac:dyDescent="0.2">
      <c r="H303" s="78"/>
    </row>
    <row r="304" spans="8:8" ht="13.5" customHeight="1" x14ac:dyDescent="0.2">
      <c r="H304" s="78"/>
    </row>
    <row r="305" spans="8:8" ht="13.5" customHeight="1" x14ac:dyDescent="0.2"/>
    <row r="306" spans="8:8" ht="13.5" customHeight="1" x14ac:dyDescent="0.2">
      <c r="H306" s="78"/>
    </row>
    <row r="307" spans="8:8" ht="13.5" customHeight="1" x14ac:dyDescent="0.2">
      <c r="H307" s="78"/>
    </row>
    <row r="308" spans="8:8" ht="13.5" customHeight="1" x14ac:dyDescent="0.2">
      <c r="H308" s="78"/>
    </row>
    <row r="309" spans="8:8" ht="13.5" customHeight="1" x14ac:dyDescent="0.2">
      <c r="H309" s="78"/>
    </row>
    <row r="310" spans="8:8" ht="13.5" customHeight="1" x14ac:dyDescent="0.2">
      <c r="H310" s="78"/>
    </row>
    <row r="311" spans="8:8" ht="13.5" customHeight="1" x14ac:dyDescent="0.2">
      <c r="H311" s="78"/>
    </row>
    <row r="312" spans="8:8" ht="13.5" customHeight="1" x14ac:dyDescent="0.2">
      <c r="H312" s="78"/>
    </row>
    <row r="313" spans="8:8" ht="13.5" customHeight="1" x14ac:dyDescent="0.2"/>
    <row r="314" spans="8:8" ht="13.5" customHeight="1" x14ac:dyDescent="0.2">
      <c r="H314" s="78"/>
    </row>
    <row r="315" spans="8:8" ht="13.5" customHeight="1" x14ac:dyDescent="0.2">
      <c r="H315" s="78"/>
    </row>
    <row r="316" spans="8:8" ht="13.5" customHeight="1" x14ac:dyDescent="0.2">
      <c r="H316" s="78"/>
    </row>
    <row r="317" spans="8:8" ht="13.5" customHeight="1" x14ac:dyDescent="0.2"/>
    <row r="318" spans="8:8" ht="13.5" customHeight="1" x14ac:dyDescent="0.2">
      <c r="H318" s="78"/>
    </row>
    <row r="319" spans="8:8" ht="13.5" customHeight="1" x14ac:dyDescent="0.2">
      <c r="H319" s="78"/>
    </row>
    <row r="320" spans="8:8" ht="13.5" customHeight="1" x14ac:dyDescent="0.2">
      <c r="H320" s="78"/>
    </row>
    <row r="321" spans="8:8" ht="13.5" customHeight="1" x14ac:dyDescent="0.2">
      <c r="H321" s="78"/>
    </row>
    <row r="322" spans="8:8" ht="13.5" customHeight="1" x14ac:dyDescent="0.2">
      <c r="H322" s="78"/>
    </row>
    <row r="323" spans="8:8" ht="13.5" customHeight="1" x14ac:dyDescent="0.2">
      <c r="H323" s="78"/>
    </row>
    <row r="324" spans="8:8" ht="13.5" customHeight="1" x14ac:dyDescent="0.2">
      <c r="H324" s="78"/>
    </row>
    <row r="325" spans="8:8" ht="13.5" customHeight="1" x14ac:dyDescent="0.2"/>
    <row r="326" spans="8:8" ht="13.5" customHeight="1" x14ac:dyDescent="0.2">
      <c r="H326" s="78"/>
    </row>
    <row r="327" spans="8:8" ht="13.5" customHeight="1" x14ac:dyDescent="0.2">
      <c r="H327" s="78"/>
    </row>
    <row r="328" spans="8:8" ht="13.5" customHeight="1" x14ac:dyDescent="0.2">
      <c r="H328" s="78"/>
    </row>
    <row r="329" spans="8:8" ht="13.5" customHeight="1" x14ac:dyDescent="0.2"/>
    <row r="330" spans="8:8" ht="13.5" customHeight="1" x14ac:dyDescent="0.2">
      <c r="H330" s="78"/>
    </row>
    <row r="331" spans="8:8" ht="13.5" customHeight="1" x14ac:dyDescent="0.2">
      <c r="H331" s="78"/>
    </row>
    <row r="332" spans="8:8" ht="13.5" customHeight="1" x14ac:dyDescent="0.2">
      <c r="H332" s="78"/>
    </row>
    <row r="333" spans="8:8" ht="13.5" customHeight="1" x14ac:dyDescent="0.2">
      <c r="H333" s="78"/>
    </row>
    <row r="334" spans="8:8" ht="13.5" customHeight="1" x14ac:dyDescent="0.2">
      <c r="H334" s="78"/>
    </row>
    <row r="335" spans="8:8" ht="13.5" customHeight="1" x14ac:dyDescent="0.2">
      <c r="H335" s="78"/>
    </row>
    <row r="336" spans="8:8" ht="13.5" customHeight="1" x14ac:dyDescent="0.2">
      <c r="H336" s="78"/>
    </row>
    <row r="337" spans="8:8" ht="13.5" customHeight="1" x14ac:dyDescent="0.2"/>
    <row r="338" spans="8:8" ht="13.5" customHeight="1" x14ac:dyDescent="0.2">
      <c r="H338" s="78"/>
    </row>
    <row r="339" spans="8:8" ht="13.5" customHeight="1" x14ac:dyDescent="0.2">
      <c r="H339" s="78"/>
    </row>
    <row r="340" spans="8:8" ht="13.5" customHeight="1" x14ac:dyDescent="0.2">
      <c r="H340" s="78"/>
    </row>
    <row r="341" spans="8:8" ht="13.5" customHeight="1" x14ac:dyDescent="0.2"/>
    <row r="342" spans="8:8" ht="13.5" customHeight="1" x14ac:dyDescent="0.2">
      <c r="H342" s="78"/>
    </row>
    <row r="343" spans="8:8" ht="13.5" customHeight="1" x14ac:dyDescent="0.2">
      <c r="H343" s="78"/>
    </row>
    <row r="344" spans="8:8" ht="13.5" customHeight="1" x14ac:dyDescent="0.2">
      <c r="H344" s="78"/>
    </row>
    <row r="345" spans="8:8" ht="13.5" customHeight="1" x14ac:dyDescent="0.2">
      <c r="H345" s="78"/>
    </row>
    <row r="346" spans="8:8" ht="13.5" customHeight="1" x14ac:dyDescent="0.2">
      <c r="H346" s="78"/>
    </row>
    <row r="347" spans="8:8" ht="13.5" customHeight="1" x14ac:dyDescent="0.2">
      <c r="H347" s="78"/>
    </row>
    <row r="348" spans="8:8" ht="13.5" customHeight="1" x14ac:dyDescent="0.2">
      <c r="H348" s="78"/>
    </row>
    <row r="352" spans="8:8" ht="13.5" customHeight="1" x14ac:dyDescent="0.2">
      <c r="H352" s="78"/>
    </row>
    <row r="353" spans="8:8" ht="13.5" customHeight="1" x14ac:dyDescent="0.2">
      <c r="H353" s="78"/>
    </row>
    <row r="354" spans="8:8" ht="13.5" customHeight="1" x14ac:dyDescent="0.2">
      <c r="H354" s="78"/>
    </row>
    <row r="355" spans="8:8" ht="13.5" customHeight="1" x14ac:dyDescent="0.2">
      <c r="H355" s="78"/>
    </row>
    <row r="356" spans="8:8" ht="13.5" customHeight="1" x14ac:dyDescent="0.2">
      <c r="H356" s="78"/>
    </row>
    <row r="357" spans="8:8" ht="13.5" customHeight="1" x14ac:dyDescent="0.2">
      <c r="H357" s="78"/>
    </row>
    <row r="358" spans="8:8" ht="13.5" customHeight="1" x14ac:dyDescent="0.2">
      <c r="H358" s="78"/>
    </row>
    <row r="360" spans="8:8" ht="13.5" customHeight="1" x14ac:dyDescent="0.2">
      <c r="H360" s="78"/>
    </row>
    <row r="361" spans="8:8" ht="13.5" customHeight="1" x14ac:dyDescent="0.2">
      <c r="H361" s="78"/>
    </row>
    <row r="362" spans="8:8" ht="13.5" customHeight="1" x14ac:dyDescent="0.2">
      <c r="H362" s="78"/>
    </row>
    <row r="363" spans="8:8" ht="13.5" customHeight="1" x14ac:dyDescent="0.2">
      <c r="H363" s="78"/>
    </row>
    <row r="364" spans="8:8" ht="13.5" customHeight="1" x14ac:dyDescent="0.2">
      <c r="H364" s="78"/>
    </row>
    <row r="365" spans="8:8" ht="13.5" customHeight="1" x14ac:dyDescent="0.2">
      <c r="H365" s="78"/>
    </row>
    <row r="366" spans="8:8" ht="13.5" customHeight="1" x14ac:dyDescent="0.2">
      <c r="H366" s="78"/>
    </row>
    <row r="367" spans="8:8" ht="13.5" customHeight="1" x14ac:dyDescent="0.2">
      <c r="H367" s="78"/>
    </row>
    <row r="368" spans="8:8" ht="13.5" customHeight="1" x14ac:dyDescent="0.2">
      <c r="H368" s="78"/>
    </row>
    <row r="369" spans="8:8" ht="13.5" customHeight="1" x14ac:dyDescent="0.2">
      <c r="H369" s="78"/>
    </row>
    <row r="370" spans="8:8" ht="13.5" customHeight="1" x14ac:dyDescent="0.2">
      <c r="H370" s="78"/>
    </row>
    <row r="371" spans="8:8" ht="13.5" customHeight="1" x14ac:dyDescent="0.2">
      <c r="H371" s="78"/>
    </row>
    <row r="372" spans="8:8" ht="13.5" customHeight="1" x14ac:dyDescent="0.2">
      <c r="H372" s="78"/>
    </row>
    <row r="374" spans="8:8" ht="13.5" customHeight="1" x14ac:dyDescent="0.2">
      <c r="H374" s="78"/>
    </row>
    <row r="375" spans="8:8" ht="13.5" customHeight="1" x14ac:dyDescent="0.2">
      <c r="H375" s="78"/>
    </row>
    <row r="376" spans="8:8" ht="13.5" customHeight="1" x14ac:dyDescent="0.2">
      <c r="H376" s="78"/>
    </row>
    <row r="377" spans="8:8" ht="13.5" customHeight="1" x14ac:dyDescent="0.2">
      <c r="H377" s="78"/>
    </row>
    <row r="378" spans="8:8" ht="13.5" customHeight="1" x14ac:dyDescent="0.2">
      <c r="H378" s="78"/>
    </row>
    <row r="379" spans="8:8" ht="13.5" customHeight="1" x14ac:dyDescent="0.2">
      <c r="H379" s="78"/>
    </row>
    <row r="380" spans="8:8" ht="13.5" customHeight="1" x14ac:dyDescent="0.2">
      <c r="H380" s="78"/>
    </row>
    <row r="381" spans="8:8" ht="13.5" customHeight="1" x14ac:dyDescent="0.2">
      <c r="H381" s="78"/>
    </row>
    <row r="382" spans="8:8" ht="13.5" customHeight="1" x14ac:dyDescent="0.2">
      <c r="H382" s="78"/>
    </row>
    <row r="384" spans="8:8" ht="13.5" customHeight="1" x14ac:dyDescent="0.2">
      <c r="H384" s="78"/>
    </row>
    <row r="385" spans="8:8" ht="13.5" customHeight="1" x14ac:dyDescent="0.2">
      <c r="H385" s="78"/>
    </row>
    <row r="386" spans="8:8" ht="13.5" customHeight="1" x14ac:dyDescent="0.2">
      <c r="H386" s="78"/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/>
  <dimension ref="A1:L26"/>
  <sheetViews>
    <sheetView tabSelected="1" workbookViewId="0">
      <selection activeCell="B6" sqref="B6"/>
    </sheetView>
  </sheetViews>
  <sheetFormatPr baseColWidth="10" defaultRowHeight="12.75" x14ac:dyDescent="0.2"/>
  <cols>
    <col min="1" max="1" width="19.42578125" bestFit="1" customWidth="1"/>
    <col min="2" max="2" width="16.85546875" customWidth="1"/>
    <col min="3" max="3" width="14.7109375" customWidth="1"/>
    <col min="4" max="4" width="17.42578125" customWidth="1"/>
    <col min="257" max="257" width="19.42578125" bestFit="1" customWidth="1"/>
    <col min="258" max="258" width="15.42578125" customWidth="1"/>
    <col min="259" max="259" width="14.7109375" customWidth="1"/>
    <col min="260" max="260" width="17.42578125" customWidth="1"/>
    <col min="513" max="513" width="19.42578125" bestFit="1" customWidth="1"/>
    <col min="514" max="514" width="15.42578125" customWidth="1"/>
    <col min="515" max="515" width="14.7109375" customWidth="1"/>
    <col min="516" max="516" width="17.42578125" customWidth="1"/>
    <col min="769" max="769" width="19.42578125" bestFit="1" customWidth="1"/>
    <col min="770" max="770" width="15.42578125" customWidth="1"/>
    <col min="771" max="771" width="14.7109375" customWidth="1"/>
    <col min="772" max="772" width="17.42578125" customWidth="1"/>
    <col min="1025" max="1025" width="19.42578125" bestFit="1" customWidth="1"/>
    <col min="1026" max="1026" width="15.42578125" customWidth="1"/>
    <col min="1027" max="1027" width="14.7109375" customWidth="1"/>
    <col min="1028" max="1028" width="17.42578125" customWidth="1"/>
    <col min="1281" max="1281" width="19.42578125" bestFit="1" customWidth="1"/>
    <col min="1282" max="1282" width="15.42578125" customWidth="1"/>
    <col min="1283" max="1283" width="14.7109375" customWidth="1"/>
    <col min="1284" max="1284" width="17.42578125" customWidth="1"/>
    <col min="1537" max="1537" width="19.42578125" bestFit="1" customWidth="1"/>
    <col min="1538" max="1538" width="15.42578125" customWidth="1"/>
    <col min="1539" max="1539" width="14.7109375" customWidth="1"/>
    <col min="1540" max="1540" width="17.42578125" customWidth="1"/>
    <col min="1793" max="1793" width="19.42578125" bestFit="1" customWidth="1"/>
    <col min="1794" max="1794" width="15.42578125" customWidth="1"/>
    <col min="1795" max="1795" width="14.7109375" customWidth="1"/>
    <col min="1796" max="1796" width="17.42578125" customWidth="1"/>
    <col min="2049" max="2049" width="19.42578125" bestFit="1" customWidth="1"/>
    <col min="2050" max="2050" width="15.42578125" customWidth="1"/>
    <col min="2051" max="2051" width="14.7109375" customWidth="1"/>
    <col min="2052" max="2052" width="17.42578125" customWidth="1"/>
    <col min="2305" max="2305" width="19.42578125" bestFit="1" customWidth="1"/>
    <col min="2306" max="2306" width="15.42578125" customWidth="1"/>
    <col min="2307" max="2307" width="14.7109375" customWidth="1"/>
    <col min="2308" max="2308" width="17.42578125" customWidth="1"/>
    <col min="2561" max="2561" width="19.42578125" bestFit="1" customWidth="1"/>
    <col min="2562" max="2562" width="15.42578125" customWidth="1"/>
    <col min="2563" max="2563" width="14.7109375" customWidth="1"/>
    <col min="2564" max="2564" width="17.42578125" customWidth="1"/>
    <col min="2817" max="2817" width="19.42578125" bestFit="1" customWidth="1"/>
    <col min="2818" max="2818" width="15.42578125" customWidth="1"/>
    <col min="2819" max="2819" width="14.7109375" customWidth="1"/>
    <col min="2820" max="2820" width="17.42578125" customWidth="1"/>
    <col min="3073" max="3073" width="19.42578125" bestFit="1" customWidth="1"/>
    <col min="3074" max="3074" width="15.42578125" customWidth="1"/>
    <col min="3075" max="3075" width="14.7109375" customWidth="1"/>
    <col min="3076" max="3076" width="17.42578125" customWidth="1"/>
    <col min="3329" max="3329" width="19.42578125" bestFit="1" customWidth="1"/>
    <col min="3330" max="3330" width="15.42578125" customWidth="1"/>
    <col min="3331" max="3331" width="14.7109375" customWidth="1"/>
    <col min="3332" max="3332" width="17.42578125" customWidth="1"/>
    <col min="3585" max="3585" width="19.42578125" bestFit="1" customWidth="1"/>
    <col min="3586" max="3586" width="15.42578125" customWidth="1"/>
    <col min="3587" max="3587" width="14.7109375" customWidth="1"/>
    <col min="3588" max="3588" width="17.42578125" customWidth="1"/>
    <col min="3841" max="3841" width="19.42578125" bestFit="1" customWidth="1"/>
    <col min="3842" max="3842" width="15.42578125" customWidth="1"/>
    <col min="3843" max="3843" width="14.7109375" customWidth="1"/>
    <col min="3844" max="3844" width="17.42578125" customWidth="1"/>
    <col min="4097" max="4097" width="19.42578125" bestFit="1" customWidth="1"/>
    <col min="4098" max="4098" width="15.42578125" customWidth="1"/>
    <col min="4099" max="4099" width="14.7109375" customWidth="1"/>
    <col min="4100" max="4100" width="17.42578125" customWidth="1"/>
    <col min="4353" max="4353" width="19.42578125" bestFit="1" customWidth="1"/>
    <col min="4354" max="4354" width="15.42578125" customWidth="1"/>
    <col min="4355" max="4355" width="14.7109375" customWidth="1"/>
    <col min="4356" max="4356" width="17.42578125" customWidth="1"/>
    <col min="4609" max="4609" width="19.42578125" bestFit="1" customWidth="1"/>
    <col min="4610" max="4610" width="15.42578125" customWidth="1"/>
    <col min="4611" max="4611" width="14.7109375" customWidth="1"/>
    <col min="4612" max="4612" width="17.42578125" customWidth="1"/>
    <col min="4865" max="4865" width="19.42578125" bestFit="1" customWidth="1"/>
    <col min="4866" max="4866" width="15.42578125" customWidth="1"/>
    <col min="4867" max="4867" width="14.7109375" customWidth="1"/>
    <col min="4868" max="4868" width="17.42578125" customWidth="1"/>
    <col min="5121" max="5121" width="19.42578125" bestFit="1" customWidth="1"/>
    <col min="5122" max="5122" width="15.42578125" customWidth="1"/>
    <col min="5123" max="5123" width="14.7109375" customWidth="1"/>
    <col min="5124" max="5124" width="17.42578125" customWidth="1"/>
    <col min="5377" max="5377" width="19.42578125" bestFit="1" customWidth="1"/>
    <col min="5378" max="5378" width="15.42578125" customWidth="1"/>
    <col min="5379" max="5379" width="14.7109375" customWidth="1"/>
    <col min="5380" max="5380" width="17.42578125" customWidth="1"/>
    <col min="5633" max="5633" width="19.42578125" bestFit="1" customWidth="1"/>
    <col min="5634" max="5634" width="15.42578125" customWidth="1"/>
    <col min="5635" max="5635" width="14.7109375" customWidth="1"/>
    <col min="5636" max="5636" width="17.42578125" customWidth="1"/>
    <col min="5889" max="5889" width="19.42578125" bestFit="1" customWidth="1"/>
    <col min="5890" max="5890" width="15.42578125" customWidth="1"/>
    <col min="5891" max="5891" width="14.7109375" customWidth="1"/>
    <col min="5892" max="5892" width="17.42578125" customWidth="1"/>
    <col min="6145" max="6145" width="19.42578125" bestFit="1" customWidth="1"/>
    <col min="6146" max="6146" width="15.42578125" customWidth="1"/>
    <col min="6147" max="6147" width="14.7109375" customWidth="1"/>
    <col min="6148" max="6148" width="17.42578125" customWidth="1"/>
    <col min="6401" max="6401" width="19.42578125" bestFit="1" customWidth="1"/>
    <col min="6402" max="6402" width="15.42578125" customWidth="1"/>
    <col min="6403" max="6403" width="14.7109375" customWidth="1"/>
    <col min="6404" max="6404" width="17.42578125" customWidth="1"/>
    <col min="6657" max="6657" width="19.42578125" bestFit="1" customWidth="1"/>
    <col min="6658" max="6658" width="15.42578125" customWidth="1"/>
    <col min="6659" max="6659" width="14.7109375" customWidth="1"/>
    <col min="6660" max="6660" width="17.42578125" customWidth="1"/>
    <col min="6913" max="6913" width="19.42578125" bestFit="1" customWidth="1"/>
    <col min="6914" max="6914" width="15.42578125" customWidth="1"/>
    <col min="6915" max="6915" width="14.7109375" customWidth="1"/>
    <col min="6916" max="6916" width="17.42578125" customWidth="1"/>
    <col min="7169" max="7169" width="19.42578125" bestFit="1" customWidth="1"/>
    <col min="7170" max="7170" width="15.42578125" customWidth="1"/>
    <col min="7171" max="7171" width="14.7109375" customWidth="1"/>
    <col min="7172" max="7172" width="17.42578125" customWidth="1"/>
    <col min="7425" max="7425" width="19.42578125" bestFit="1" customWidth="1"/>
    <col min="7426" max="7426" width="15.42578125" customWidth="1"/>
    <col min="7427" max="7427" width="14.7109375" customWidth="1"/>
    <col min="7428" max="7428" width="17.42578125" customWidth="1"/>
    <col min="7681" max="7681" width="19.42578125" bestFit="1" customWidth="1"/>
    <col min="7682" max="7682" width="15.42578125" customWidth="1"/>
    <col min="7683" max="7683" width="14.7109375" customWidth="1"/>
    <col min="7684" max="7684" width="17.42578125" customWidth="1"/>
    <col min="7937" max="7937" width="19.42578125" bestFit="1" customWidth="1"/>
    <col min="7938" max="7938" width="15.42578125" customWidth="1"/>
    <col min="7939" max="7939" width="14.7109375" customWidth="1"/>
    <col min="7940" max="7940" width="17.42578125" customWidth="1"/>
    <col min="8193" max="8193" width="19.42578125" bestFit="1" customWidth="1"/>
    <col min="8194" max="8194" width="15.42578125" customWidth="1"/>
    <col min="8195" max="8195" width="14.7109375" customWidth="1"/>
    <col min="8196" max="8196" width="17.42578125" customWidth="1"/>
    <col min="8449" max="8449" width="19.42578125" bestFit="1" customWidth="1"/>
    <col min="8450" max="8450" width="15.42578125" customWidth="1"/>
    <col min="8451" max="8451" width="14.7109375" customWidth="1"/>
    <col min="8452" max="8452" width="17.42578125" customWidth="1"/>
    <col min="8705" max="8705" width="19.42578125" bestFit="1" customWidth="1"/>
    <col min="8706" max="8706" width="15.42578125" customWidth="1"/>
    <col min="8707" max="8707" width="14.7109375" customWidth="1"/>
    <col min="8708" max="8708" width="17.42578125" customWidth="1"/>
    <col min="8961" max="8961" width="19.42578125" bestFit="1" customWidth="1"/>
    <col min="8962" max="8962" width="15.42578125" customWidth="1"/>
    <col min="8963" max="8963" width="14.7109375" customWidth="1"/>
    <col min="8964" max="8964" width="17.42578125" customWidth="1"/>
    <col min="9217" max="9217" width="19.42578125" bestFit="1" customWidth="1"/>
    <col min="9218" max="9218" width="15.42578125" customWidth="1"/>
    <col min="9219" max="9219" width="14.7109375" customWidth="1"/>
    <col min="9220" max="9220" width="17.42578125" customWidth="1"/>
    <col min="9473" max="9473" width="19.42578125" bestFit="1" customWidth="1"/>
    <col min="9474" max="9474" width="15.42578125" customWidth="1"/>
    <col min="9475" max="9475" width="14.7109375" customWidth="1"/>
    <col min="9476" max="9476" width="17.42578125" customWidth="1"/>
    <col min="9729" max="9729" width="19.42578125" bestFit="1" customWidth="1"/>
    <col min="9730" max="9730" width="15.42578125" customWidth="1"/>
    <col min="9731" max="9731" width="14.7109375" customWidth="1"/>
    <col min="9732" max="9732" width="17.42578125" customWidth="1"/>
    <col min="9985" max="9985" width="19.42578125" bestFit="1" customWidth="1"/>
    <col min="9986" max="9986" width="15.42578125" customWidth="1"/>
    <col min="9987" max="9987" width="14.7109375" customWidth="1"/>
    <col min="9988" max="9988" width="17.42578125" customWidth="1"/>
    <col min="10241" max="10241" width="19.42578125" bestFit="1" customWidth="1"/>
    <col min="10242" max="10242" width="15.42578125" customWidth="1"/>
    <col min="10243" max="10243" width="14.7109375" customWidth="1"/>
    <col min="10244" max="10244" width="17.42578125" customWidth="1"/>
    <col min="10497" max="10497" width="19.42578125" bestFit="1" customWidth="1"/>
    <col min="10498" max="10498" width="15.42578125" customWidth="1"/>
    <col min="10499" max="10499" width="14.7109375" customWidth="1"/>
    <col min="10500" max="10500" width="17.42578125" customWidth="1"/>
    <col min="10753" max="10753" width="19.42578125" bestFit="1" customWidth="1"/>
    <col min="10754" max="10754" width="15.42578125" customWidth="1"/>
    <col min="10755" max="10755" width="14.7109375" customWidth="1"/>
    <col min="10756" max="10756" width="17.42578125" customWidth="1"/>
    <col min="11009" max="11009" width="19.42578125" bestFit="1" customWidth="1"/>
    <col min="11010" max="11010" width="15.42578125" customWidth="1"/>
    <col min="11011" max="11011" width="14.7109375" customWidth="1"/>
    <col min="11012" max="11012" width="17.42578125" customWidth="1"/>
    <col min="11265" max="11265" width="19.42578125" bestFit="1" customWidth="1"/>
    <col min="11266" max="11266" width="15.42578125" customWidth="1"/>
    <col min="11267" max="11267" width="14.7109375" customWidth="1"/>
    <col min="11268" max="11268" width="17.42578125" customWidth="1"/>
    <col min="11521" max="11521" width="19.42578125" bestFit="1" customWidth="1"/>
    <col min="11522" max="11522" width="15.42578125" customWidth="1"/>
    <col min="11523" max="11523" width="14.7109375" customWidth="1"/>
    <col min="11524" max="11524" width="17.42578125" customWidth="1"/>
    <col min="11777" max="11777" width="19.42578125" bestFit="1" customWidth="1"/>
    <col min="11778" max="11778" width="15.42578125" customWidth="1"/>
    <col min="11779" max="11779" width="14.7109375" customWidth="1"/>
    <col min="11780" max="11780" width="17.42578125" customWidth="1"/>
    <col min="12033" max="12033" width="19.42578125" bestFit="1" customWidth="1"/>
    <col min="12034" max="12034" width="15.42578125" customWidth="1"/>
    <col min="12035" max="12035" width="14.7109375" customWidth="1"/>
    <col min="12036" max="12036" width="17.42578125" customWidth="1"/>
    <col min="12289" max="12289" width="19.42578125" bestFit="1" customWidth="1"/>
    <col min="12290" max="12290" width="15.42578125" customWidth="1"/>
    <col min="12291" max="12291" width="14.7109375" customWidth="1"/>
    <col min="12292" max="12292" width="17.42578125" customWidth="1"/>
    <col min="12545" max="12545" width="19.42578125" bestFit="1" customWidth="1"/>
    <col min="12546" max="12546" width="15.42578125" customWidth="1"/>
    <col min="12547" max="12547" width="14.7109375" customWidth="1"/>
    <col min="12548" max="12548" width="17.42578125" customWidth="1"/>
    <col min="12801" max="12801" width="19.42578125" bestFit="1" customWidth="1"/>
    <col min="12802" max="12802" width="15.42578125" customWidth="1"/>
    <col min="12803" max="12803" width="14.7109375" customWidth="1"/>
    <col min="12804" max="12804" width="17.42578125" customWidth="1"/>
    <col min="13057" max="13057" width="19.42578125" bestFit="1" customWidth="1"/>
    <col min="13058" max="13058" width="15.42578125" customWidth="1"/>
    <col min="13059" max="13059" width="14.7109375" customWidth="1"/>
    <col min="13060" max="13060" width="17.42578125" customWidth="1"/>
    <col min="13313" max="13313" width="19.42578125" bestFit="1" customWidth="1"/>
    <col min="13314" max="13314" width="15.42578125" customWidth="1"/>
    <col min="13315" max="13315" width="14.7109375" customWidth="1"/>
    <col min="13316" max="13316" width="17.42578125" customWidth="1"/>
    <col min="13569" max="13569" width="19.42578125" bestFit="1" customWidth="1"/>
    <col min="13570" max="13570" width="15.42578125" customWidth="1"/>
    <col min="13571" max="13571" width="14.7109375" customWidth="1"/>
    <col min="13572" max="13572" width="17.42578125" customWidth="1"/>
    <col min="13825" max="13825" width="19.42578125" bestFit="1" customWidth="1"/>
    <col min="13826" max="13826" width="15.42578125" customWidth="1"/>
    <col min="13827" max="13827" width="14.7109375" customWidth="1"/>
    <col min="13828" max="13828" width="17.42578125" customWidth="1"/>
    <col min="14081" max="14081" width="19.42578125" bestFit="1" customWidth="1"/>
    <col min="14082" max="14082" width="15.42578125" customWidth="1"/>
    <col min="14083" max="14083" width="14.7109375" customWidth="1"/>
    <col min="14084" max="14084" width="17.42578125" customWidth="1"/>
    <col min="14337" max="14337" width="19.42578125" bestFit="1" customWidth="1"/>
    <col min="14338" max="14338" width="15.42578125" customWidth="1"/>
    <col min="14339" max="14339" width="14.7109375" customWidth="1"/>
    <col min="14340" max="14340" width="17.42578125" customWidth="1"/>
    <col min="14593" max="14593" width="19.42578125" bestFit="1" customWidth="1"/>
    <col min="14594" max="14594" width="15.42578125" customWidth="1"/>
    <col min="14595" max="14595" width="14.7109375" customWidth="1"/>
    <col min="14596" max="14596" width="17.42578125" customWidth="1"/>
    <col min="14849" max="14849" width="19.42578125" bestFit="1" customWidth="1"/>
    <col min="14850" max="14850" width="15.42578125" customWidth="1"/>
    <col min="14851" max="14851" width="14.7109375" customWidth="1"/>
    <col min="14852" max="14852" width="17.42578125" customWidth="1"/>
    <col min="15105" max="15105" width="19.42578125" bestFit="1" customWidth="1"/>
    <col min="15106" max="15106" width="15.42578125" customWidth="1"/>
    <col min="15107" max="15107" width="14.7109375" customWidth="1"/>
    <col min="15108" max="15108" width="17.42578125" customWidth="1"/>
    <col min="15361" max="15361" width="19.42578125" bestFit="1" customWidth="1"/>
    <col min="15362" max="15362" width="15.42578125" customWidth="1"/>
    <col min="15363" max="15363" width="14.7109375" customWidth="1"/>
    <col min="15364" max="15364" width="17.42578125" customWidth="1"/>
    <col min="15617" max="15617" width="19.42578125" bestFit="1" customWidth="1"/>
    <col min="15618" max="15618" width="15.42578125" customWidth="1"/>
    <col min="15619" max="15619" width="14.7109375" customWidth="1"/>
    <col min="15620" max="15620" width="17.42578125" customWidth="1"/>
    <col min="15873" max="15873" width="19.42578125" bestFit="1" customWidth="1"/>
    <col min="15874" max="15874" width="15.42578125" customWidth="1"/>
    <col min="15875" max="15875" width="14.7109375" customWidth="1"/>
    <col min="15876" max="15876" width="17.42578125" customWidth="1"/>
    <col min="16129" max="16129" width="19.42578125" bestFit="1" customWidth="1"/>
    <col min="16130" max="16130" width="15.42578125" customWidth="1"/>
    <col min="16131" max="16131" width="14.7109375" customWidth="1"/>
    <col min="16132" max="16132" width="17.42578125" customWidth="1"/>
  </cols>
  <sheetData>
    <row r="1" spans="1:12" ht="15" x14ac:dyDescent="0.25">
      <c r="A1" s="2" t="s">
        <v>83</v>
      </c>
    </row>
    <row r="3" spans="1:12" ht="15" x14ac:dyDescent="0.25">
      <c r="A3" s="2" t="s">
        <v>84</v>
      </c>
      <c r="B3" s="11">
        <v>233.03963519999999</v>
      </c>
    </row>
    <row r="4" spans="1:12" x14ac:dyDescent="0.2">
      <c r="A4" s="3" t="s">
        <v>85</v>
      </c>
      <c r="B4" s="11">
        <v>234.0409521</v>
      </c>
    </row>
    <row r="5" spans="1:12" x14ac:dyDescent="0.2">
      <c r="A5" s="3" t="s">
        <v>86</v>
      </c>
      <c r="B5" s="11">
        <v>235.04392989999999</v>
      </c>
    </row>
    <row r="6" spans="1:12" x14ac:dyDescent="0.2">
      <c r="A6" s="3" t="s">
        <v>87</v>
      </c>
      <c r="B6" s="11">
        <v>236.045568</v>
      </c>
    </row>
    <row r="7" spans="1:12" x14ac:dyDescent="0.2">
      <c r="A7" s="3" t="s">
        <v>88</v>
      </c>
      <c r="B7" s="11">
        <v>238.0507882</v>
      </c>
    </row>
    <row r="8" spans="1:12" x14ac:dyDescent="0.2">
      <c r="A8" s="3"/>
      <c r="B8" s="11"/>
    </row>
    <row r="9" spans="1:12" x14ac:dyDescent="0.2">
      <c r="A9" s="3" t="s">
        <v>89</v>
      </c>
      <c r="B9" s="11">
        <v>229.03176199999999</v>
      </c>
    </row>
    <row r="10" spans="1:12" x14ac:dyDescent="0.2">
      <c r="A10" s="3" t="s">
        <v>90</v>
      </c>
      <c r="B10" s="11">
        <v>230.0331338</v>
      </c>
    </row>
    <row r="11" spans="1:12" x14ac:dyDescent="0.2">
      <c r="A11" s="3" t="s">
        <v>91</v>
      </c>
      <c r="B11" s="11">
        <v>232.0380553</v>
      </c>
      <c r="L11" s="4"/>
    </row>
    <row r="12" spans="1:12" x14ac:dyDescent="0.2">
      <c r="B12" s="10"/>
    </row>
    <row r="13" spans="1:12" x14ac:dyDescent="0.2">
      <c r="B13" s="10"/>
    </row>
    <row r="14" spans="1:12" ht="15" x14ac:dyDescent="0.25">
      <c r="A14" s="2" t="s">
        <v>92</v>
      </c>
      <c r="B14" s="10" t="s">
        <v>110</v>
      </c>
    </row>
    <row r="15" spans="1:12" x14ac:dyDescent="0.2">
      <c r="B15" s="10"/>
    </row>
    <row r="16" spans="1:12" ht="15" x14ac:dyDescent="0.25">
      <c r="A16" s="2" t="s">
        <v>93</v>
      </c>
      <c r="B16" s="11">
        <v>9.1704999999999997E-6</v>
      </c>
      <c r="G16" s="4"/>
    </row>
    <row r="17" spans="1:8" ht="15" x14ac:dyDescent="0.25">
      <c r="A17" s="2" t="s">
        <v>94</v>
      </c>
      <c r="B17" s="15">
        <v>2.8220599999999998E-6</v>
      </c>
      <c r="D17" s="11"/>
    </row>
    <row r="18" spans="1:8" ht="15" x14ac:dyDescent="0.25">
      <c r="A18" s="2" t="s">
        <v>95</v>
      </c>
      <c r="B18" s="15">
        <v>1.5512499999999999E-10</v>
      </c>
      <c r="H18" s="4"/>
    </row>
    <row r="19" spans="1:8" ht="15" x14ac:dyDescent="0.25">
      <c r="A19" s="5" t="s">
        <v>96</v>
      </c>
      <c r="B19" s="15">
        <v>4.9475200000000001E-11</v>
      </c>
    </row>
    <row r="20" spans="1:8" s="2" customFormat="1" ht="15" x14ac:dyDescent="0.25">
      <c r="A20" s="3"/>
    </row>
    <row r="21" spans="1:8" ht="15" x14ac:dyDescent="0.25">
      <c r="A21" s="2" t="s">
        <v>100</v>
      </c>
      <c r="B21" s="2" t="s">
        <v>97</v>
      </c>
      <c r="C21" s="2" t="s">
        <v>98</v>
      </c>
      <c r="D21" s="6" t="s">
        <v>99</v>
      </c>
    </row>
    <row r="22" spans="1:8" ht="15" x14ac:dyDescent="0.25">
      <c r="A22" s="2"/>
    </row>
    <row r="23" spans="1:8" ht="15" x14ac:dyDescent="0.25">
      <c r="A23" s="2" t="s">
        <v>101</v>
      </c>
      <c r="B23" s="9">
        <v>3.8677800000000002</v>
      </c>
      <c r="C23" s="14">
        <v>6.8999999999999999E-3</v>
      </c>
      <c r="D23" s="7">
        <f>C23/B23</f>
        <v>1.7839690985526581E-3</v>
      </c>
    </row>
    <row r="24" spans="1:8" ht="15" x14ac:dyDescent="0.25">
      <c r="A24" s="2" t="s">
        <v>102</v>
      </c>
      <c r="B24" s="9">
        <v>3.8556E-2</v>
      </c>
      <c r="C24" s="8">
        <v>2.4000000000000001E-4</v>
      </c>
      <c r="D24" s="7">
        <f>C24/B24</f>
        <v>6.2247121070650481E-3</v>
      </c>
    </row>
    <row r="25" spans="1:8" ht="15" x14ac:dyDescent="0.25">
      <c r="A25" s="2" t="s">
        <v>103</v>
      </c>
      <c r="B25" s="1">
        <v>1.8037000000000001E-2</v>
      </c>
      <c r="C25" s="12">
        <v>7.9999999999999996E-6</v>
      </c>
      <c r="D25" s="13">
        <f>C25/B25</f>
        <v>4.4353273826024277E-4</v>
      </c>
      <c r="E25" s="11" t="s">
        <v>114</v>
      </c>
    </row>
    <row r="26" spans="1:8" ht="15" x14ac:dyDescent="0.25">
      <c r="A26" s="2"/>
      <c r="E26" s="11" t="s">
        <v>113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Constants</vt:lpstr>
    </vt:vector>
  </TitlesOfParts>
  <Company>Akademie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Kontor</cp:lastModifiedBy>
  <cp:lastPrinted>2009-07-14T11:56:15Z</cp:lastPrinted>
  <dcterms:created xsi:type="dcterms:W3CDTF">2003-07-28T11:40:39Z</dcterms:created>
  <dcterms:modified xsi:type="dcterms:W3CDTF">2021-02-02T23:00:16Z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3b97b238-2fdc-47ee-b555-c1ad6fe178da</vt:lpwstr>
  </property>
</Properties>
</file>