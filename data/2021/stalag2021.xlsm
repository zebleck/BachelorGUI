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293" i="6" l="1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BB293" i="2"/>
  <c r="BA293" i="2"/>
  <c r="AV293" i="2"/>
  <c r="AD293" i="2"/>
  <c r="X293" i="2"/>
  <c r="S293" i="2"/>
  <c r="J293" i="2"/>
  <c r="E293" i="2"/>
  <c r="D293" i="2"/>
  <c r="C293" i="2"/>
  <c r="B293" i="2"/>
  <c r="A293" i="2"/>
  <c r="BB292" i="2"/>
  <c r="BA292" i="2"/>
  <c r="AV292" i="2"/>
  <c r="AE292" i="2"/>
  <c r="AD292" i="2"/>
  <c r="AF292" i="2" s="1"/>
  <c r="Y292" i="2"/>
  <c r="X292" i="2"/>
  <c r="Z292" i="2" s="1"/>
  <c r="T292" i="2"/>
  <c r="S292" i="2"/>
  <c r="K292" i="2"/>
  <c r="J292" i="2"/>
  <c r="L292" i="2" s="1"/>
  <c r="M292" i="2" s="1"/>
  <c r="F292" i="2"/>
  <c r="E292" i="2"/>
  <c r="G292" i="2" s="1"/>
  <c r="C292" i="2"/>
  <c r="D292" i="2" s="1"/>
  <c r="B292" i="2"/>
  <c r="A292" i="2"/>
  <c r="BB291" i="2"/>
  <c r="BA291" i="2"/>
  <c r="AV291" i="2"/>
  <c r="AF291" i="2"/>
  <c r="AE291" i="2"/>
  <c r="AD291" i="2"/>
  <c r="Z291" i="2"/>
  <c r="Y291" i="2"/>
  <c r="X291" i="2"/>
  <c r="U291" i="2"/>
  <c r="AJ291" i="2" s="1"/>
  <c r="T291" i="2"/>
  <c r="S291" i="2"/>
  <c r="G291" i="2"/>
  <c r="F291" i="2"/>
  <c r="E291" i="2"/>
  <c r="C291" i="2"/>
  <c r="B291" i="2"/>
  <c r="A291" i="2"/>
  <c r="BB290" i="2"/>
  <c r="BA290" i="2"/>
  <c r="AV290" i="2"/>
  <c r="AG290" i="2"/>
  <c r="AF290" i="2"/>
  <c r="AE290" i="2"/>
  <c r="AD290" i="2"/>
  <c r="AA290" i="2"/>
  <c r="Z290" i="2"/>
  <c r="X290" i="2"/>
  <c r="Y290" i="2" s="1"/>
  <c r="S290" i="2"/>
  <c r="T290" i="2" s="1"/>
  <c r="H290" i="2"/>
  <c r="G290" i="2"/>
  <c r="O290" i="2" s="1"/>
  <c r="E290" i="2"/>
  <c r="F290" i="2" s="1"/>
  <c r="D290" i="2"/>
  <c r="C290" i="2"/>
  <c r="J290" i="2" s="1"/>
  <c r="B290" i="2"/>
  <c r="A290" i="2"/>
  <c r="BB289" i="2"/>
  <c r="BA289" i="2"/>
  <c r="AV289" i="2"/>
  <c r="AD289" i="2"/>
  <c r="X289" i="2"/>
  <c r="S289" i="2"/>
  <c r="J289" i="2"/>
  <c r="E289" i="2"/>
  <c r="D289" i="2"/>
  <c r="C289" i="2"/>
  <c r="B289" i="2"/>
  <c r="A289" i="2"/>
  <c r="BB288" i="2"/>
  <c r="BA288" i="2"/>
  <c r="AV288" i="2"/>
  <c r="AE288" i="2"/>
  <c r="AD288" i="2"/>
  <c r="AF288" i="2" s="1"/>
  <c r="X288" i="2"/>
  <c r="Z288" i="2" s="1"/>
  <c r="T288" i="2"/>
  <c r="S288" i="2"/>
  <c r="K288" i="2"/>
  <c r="J288" i="2"/>
  <c r="L288" i="2" s="1"/>
  <c r="M288" i="2" s="1"/>
  <c r="E288" i="2"/>
  <c r="G288" i="2" s="1"/>
  <c r="H288" i="2" s="1"/>
  <c r="C288" i="2"/>
  <c r="D288" i="2" s="1"/>
  <c r="B288" i="2"/>
  <c r="A288" i="2"/>
  <c r="BB287" i="2"/>
  <c r="BA287" i="2"/>
  <c r="AV287" i="2"/>
  <c r="AF287" i="2"/>
  <c r="AE287" i="2"/>
  <c r="AD287" i="2"/>
  <c r="Z287" i="2"/>
  <c r="Y287" i="2"/>
  <c r="X287" i="2"/>
  <c r="U287" i="2"/>
  <c r="T287" i="2"/>
  <c r="S287" i="2"/>
  <c r="G287" i="2"/>
  <c r="F287" i="2"/>
  <c r="E287" i="2"/>
  <c r="C287" i="2"/>
  <c r="B287" i="2"/>
  <c r="A287" i="2"/>
  <c r="BB286" i="2"/>
  <c r="BA286" i="2"/>
  <c r="AV286" i="2"/>
  <c r="AG286" i="2"/>
  <c r="AF286" i="2"/>
  <c r="AE286" i="2"/>
  <c r="AD286" i="2"/>
  <c r="AA286" i="2"/>
  <c r="Z286" i="2"/>
  <c r="Y286" i="2"/>
  <c r="X286" i="2"/>
  <c r="T286" i="2"/>
  <c r="S286" i="2"/>
  <c r="L286" i="2"/>
  <c r="M286" i="2" s="1"/>
  <c r="H286" i="2"/>
  <c r="G286" i="2"/>
  <c r="O286" i="2" s="1"/>
  <c r="P286" i="2" s="1"/>
  <c r="E286" i="2"/>
  <c r="F286" i="2" s="1"/>
  <c r="D286" i="2"/>
  <c r="C286" i="2"/>
  <c r="J286" i="2" s="1"/>
  <c r="K286" i="2" s="1"/>
  <c r="B286" i="2"/>
  <c r="A286" i="2"/>
  <c r="BB285" i="2"/>
  <c r="BA285" i="2"/>
  <c r="AV285" i="2"/>
  <c r="AD285" i="2"/>
  <c r="AF285" i="2" s="1"/>
  <c r="X285" i="2"/>
  <c r="Z285" i="2" s="1"/>
  <c r="S285" i="2"/>
  <c r="U285" i="2" s="1"/>
  <c r="J285" i="2"/>
  <c r="L285" i="2" s="1"/>
  <c r="M285" i="2" s="1"/>
  <c r="E285" i="2"/>
  <c r="G285" i="2" s="1"/>
  <c r="C285" i="2"/>
  <c r="D285" i="2" s="1"/>
  <c r="B285" i="2"/>
  <c r="A285" i="2"/>
  <c r="AA285" i="2" l="1"/>
  <c r="H285" i="2"/>
  <c r="O285" i="2"/>
  <c r="AH285" i="2"/>
  <c r="AI285" i="2" s="1"/>
  <c r="AG285" i="2"/>
  <c r="U286" i="2"/>
  <c r="V285" i="2"/>
  <c r="AJ285" i="2"/>
  <c r="F285" i="2"/>
  <c r="K285" i="2"/>
  <c r="T285" i="2"/>
  <c r="Y285" i="2"/>
  <c r="AE285" i="2"/>
  <c r="AA287" i="2"/>
  <c r="O288" i="2"/>
  <c r="AA288" i="2"/>
  <c r="G289" i="2"/>
  <c r="F289" i="2"/>
  <c r="Z289" i="2"/>
  <c r="Y289" i="2"/>
  <c r="V287" i="2"/>
  <c r="AJ287" i="2"/>
  <c r="F288" i="2"/>
  <c r="Y288" i="2"/>
  <c r="L289" i="2"/>
  <c r="M289" i="2" s="1"/>
  <c r="K289" i="2"/>
  <c r="AF289" i="2"/>
  <c r="AE289" i="2"/>
  <c r="Q290" i="2"/>
  <c r="P290" i="2"/>
  <c r="AA292" i="2"/>
  <c r="G293" i="2"/>
  <c r="F293" i="2"/>
  <c r="Z293" i="2"/>
  <c r="Y293" i="2"/>
  <c r="Q286" i="2"/>
  <c r="AH286" i="2"/>
  <c r="AI286" i="2" s="1"/>
  <c r="O287" i="2"/>
  <c r="H287" i="2"/>
  <c r="U288" i="2"/>
  <c r="AH288" i="2"/>
  <c r="AG288" i="2"/>
  <c r="L290" i="2"/>
  <c r="M290" i="2" s="1"/>
  <c r="K290" i="2"/>
  <c r="AH291" i="2"/>
  <c r="AI291" i="2" s="1"/>
  <c r="AG291" i="2"/>
  <c r="O292" i="2"/>
  <c r="H292" i="2"/>
  <c r="L293" i="2"/>
  <c r="M293" i="2" s="1"/>
  <c r="K293" i="2"/>
  <c r="AF293" i="2"/>
  <c r="AE293" i="2"/>
  <c r="J287" i="2"/>
  <c r="D287" i="2"/>
  <c r="AH287" i="2"/>
  <c r="AG287" i="2"/>
  <c r="U289" i="2"/>
  <c r="T289" i="2"/>
  <c r="O291" i="2"/>
  <c r="H291" i="2"/>
  <c r="AA291" i="2"/>
  <c r="U292" i="2"/>
  <c r="AH292" i="2"/>
  <c r="AI292" i="2" s="1"/>
  <c r="AG292" i="2"/>
  <c r="AL290" i="2"/>
  <c r="J291" i="2"/>
  <c r="D291" i="2"/>
  <c r="V291" i="2"/>
  <c r="U293" i="2"/>
  <c r="T293" i="2"/>
  <c r="AH290" i="2"/>
  <c r="AI290" i="2" s="1"/>
  <c r="S283" i="6"/>
  <c r="E283" i="6"/>
  <c r="B283" i="6"/>
  <c r="A283" i="6"/>
  <c r="S282" i="6"/>
  <c r="E282" i="6"/>
  <c r="B282" i="6"/>
  <c r="A282" i="6"/>
  <c r="S281" i="6"/>
  <c r="B281" i="6"/>
  <c r="A281" i="6"/>
  <c r="S280" i="6"/>
  <c r="F280" i="6"/>
  <c r="B280" i="6"/>
  <c r="A280" i="6"/>
  <c r="S279" i="6"/>
  <c r="B279" i="6"/>
  <c r="A279" i="6"/>
  <c r="S278" i="6"/>
  <c r="E278" i="6"/>
  <c r="B278" i="6"/>
  <c r="A278" i="6"/>
  <c r="S277" i="6"/>
  <c r="B277" i="6"/>
  <c r="A277" i="6"/>
  <c r="S276" i="6"/>
  <c r="F276" i="6"/>
  <c r="B276" i="6"/>
  <c r="A276" i="6"/>
  <c r="S275" i="6"/>
  <c r="E275" i="6"/>
  <c r="B275" i="6"/>
  <c r="A275" i="6"/>
  <c r="S274" i="6"/>
  <c r="E274" i="6"/>
  <c r="B274" i="6"/>
  <c r="A274" i="6"/>
  <c r="S273" i="6"/>
  <c r="B273" i="6"/>
  <c r="A273" i="6"/>
  <c r="S272" i="6"/>
  <c r="B272" i="6"/>
  <c r="A272" i="6"/>
  <c r="S271" i="6"/>
  <c r="B271" i="6"/>
  <c r="A271" i="6"/>
  <c r="BB283" i="2"/>
  <c r="BA283" i="2"/>
  <c r="AV283" i="2"/>
  <c r="AD283" i="2"/>
  <c r="AF283" i="2" s="1"/>
  <c r="X283" i="2"/>
  <c r="Z283" i="2" s="1"/>
  <c r="S283" i="2"/>
  <c r="U283" i="2" s="1"/>
  <c r="J283" i="2"/>
  <c r="L283" i="2" s="1"/>
  <c r="M283" i="2" s="1"/>
  <c r="E283" i="2"/>
  <c r="G283" i="2" s="1"/>
  <c r="D283" i="2"/>
  <c r="C283" i="2"/>
  <c r="B283" i="2"/>
  <c r="A283" i="2"/>
  <c r="BB282" i="2"/>
  <c r="BA282" i="2"/>
  <c r="AV282" i="2"/>
  <c r="AD282" i="2"/>
  <c r="AE282" i="2" s="1"/>
  <c r="X282" i="2"/>
  <c r="Z282" i="2" s="1"/>
  <c r="S282" i="2"/>
  <c r="T282" i="2" s="1"/>
  <c r="J282" i="2"/>
  <c r="L282" i="2" s="1"/>
  <c r="M282" i="2" s="1"/>
  <c r="E282" i="2"/>
  <c r="F282" i="2" s="1"/>
  <c r="C282" i="2"/>
  <c r="D282" i="2" s="1"/>
  <c r="B282" i="2"/>
  <c r="A282" i="2"/>
  <c r="BB281" i="2"/>
  <c r="BA281" i="2"/>
  <c r="AV281" i="2"/>
  <c r="AD281" i="2"/>
  <c r="X281" i="2"/>
  <c r="E281" i="6" s="1"/>
  <c r="S281" i="2"/>
  <c r="E281" i="2"/>
  <c r="D281" i="2"/>
  <c r="C281" i="2"/>
  <c r="J281" i="2" s="1"/>
  <c r="B281" i="2"/>
  <c r="A281" i="2"/>
  <c r="BB280" i="2"/>
  <c r="BA280" i="2"/>
  <c r="AV280" i="2"/>
  <c r="AD280" i="2"/>
  <c r="AF280" i="2" s="1"/>
  <c r="Y280" i="2"/>
  <c r="X280" i="2"/>
  <c r="Z280" i="2" s="1"/>
  <c r="S280" i="2"/>
  <c r="T280" i="2" s="1"/>
  <c r="F280" i="2"/>
  <c r="E280" i="2"/>
  <c r="G280" i="2" s="1"/>
  <c r="C280" i="2"/>
  <c r="D280" i="2" s="1"/>
  <c r="B280" i="2"/>
  <c r="A280" i="2"/>
  <c r="BB279" i="2"/>
  <c r="BA279" i="2"/>
  <c r="AV279" i="2"/>
  <c r="AF279" i="2"/>
  <c r="AE279" i="2"/>
  <c r="AD279" i="2"/>
  <c r="X279" i="2"/>
  <c r="Z279" i="2" s="1"/>
  <c r="S279" i="2"/>
  <c r="G279" i="2"/>
  <c r="F279" i="2"/>
  <c r="E279" i="2"/>
  <c r="C279" i="2"/>
  <c r="B279" i="2"/>
  <c r="A279" i="2"/>
  <c r="BB278" i="2"/>
  <c r="BA278" i="2"/>
  <c r="AV278" i="2"/>
  <c r="AD278" i="2"/>
  <c r="AF278" i="2" s="1"/>
  <c r="AG278" i="2" s="1"/>
  <c r="X278" i="2"/>
  <c r="S278" i="2"/>
  <c r="T278" i="2" s="1"/>
  <c r="E278" i="2"/>
  <c r="D278" i="2"/>
  <c r="C278" i="2"/>
  <c r="J278" i="2" s="1"/>
  <c r="B278" i="2"/>
  <c r="A278" i="2"/>
  <c r="BB277" i="2"/>
  <c r="BA277" i="2"/>
  <c r="AV277" i="2"/>
  <c r="AD277" i="2"/>
  <c r="X277" i="2"/>
  <c r="E277" i="6" s="1"/>
  <c r="S277" i="2"/>
  <c r="E277" i="2"/>
  <c r="D277" i="2"/>
  <c r="C277" i="2"/>
  <c r="J277" i="2" s="1"/>
  <c r="B277" i="2"/>
  <c r="A277" i="2"/>
  <c r="BB276" i="2"/>
  <c r="BA276" i="2"/>
  <c r="AV276" i="2"/>
  <c r="AD276" i="2"/>
  <c r="AF276" i="2" s="1"/>
  <c r="Y276" i="2"/>
  <c r="X276" i="2"/>
  <c r="Z276" i="2" s="1"/>
  <c r="S276" i="2"/>
  <c r="T276" i="2" s="1"/>
  <c r="F276" i="2"/>
  <c r="E276" i="2"/>
  <c r="G276" i="2" s="1"/>
  <c r="C276" i="2"/>
  <c r="D276" i="2" s="1"/>
  <c r="B276" i="2"/>
  <c r="A276" i="2"/>
  <c r="BB275" i="2"/>
  <c r="BA275" i="2"/>
  <c r="AV275" i="2"/>
  <c r="AF275" i="2"/>
  <c r="AE275" i="2"/>
  <c r="AD275" i="2"/>
  <c r="Z275" i="2"/>
  <c r="Y275" i="2"/>
  <c r="F275" i="6" s="1"/>
  <c r="X275" i="2"/>
  <c r="S275" i="2"/>
  <c r="U275" i="2" s="1"/>
  <c r="AJ275" i="2" s="1"/>
  <c r="K275" i="6" s="1"/>
  <c r="E275" i="2"/>
  <c r="C275" i="2"/>
  <c r="B275" i="2"/>
  <c r="A275" i="2"/>
  <c r="BB274" i="2"/>
  <c r="BA274" i="2"/>
  <c r="AV274" i="2"/>
  <c r="AD274" i="2"/>
  <c r="AA274" i="2"/>
  <c r="Z274" i="2"/>
  <c r="X274" i="2"/>
  <c r="Y274" i="2" s="1"/>
  <c r="F274" i="6" s="1"/>
  <c r="S274" i="2"/>
  <c r="T274" i="2" s="1"/>
  <c r="G274" i="2"/>
  <c r="O274" i="2" s="1"/>
  <c r="E274" i="2"/>
  <c r="F274" i="2" s="1"/>
  <c r="C274" i="2"/>
  <c r="J274" i="2" s="1"/>
  <c r="K274" i="2" s="1"/>
  <c r="B274" i="2"/>
  <c r="A274" i="2"/>
  <c r="BB273" i="2"/>
  <c r="BA273" i="2"/>
  <c r="AV273" i="2"/>
  <c r="AD273" i="2"/>
  <c r="AF273" i="2" s="1"/>
  <c r="X273" i="2"/>
  <c r="Y273" i="2" s="1"/>
  <c r="F273" i="6" s="1"/>
  <c r="S273" i="2"/>
  <c r="U273" i="2" s="1"/>
  <c r="J273" i="2"/>
  <c r="L273" i="2" s="1"/>
  <c r="M273" i="2" s="1"/>
  <c r="E273" i="2"/>
  <c r="F273" i="2" s="1"/>
  <c r="C273" i="2"/>
  <c r="D273" i="2" s="1"/>
  <c r="B273" i="2"/>
  <c r="A273" i="2"/>
  <c r="BB272" i="2"/>
  <c r="BA272" i="2"/>
  <c r="AV272" i="2"/>
  <c r="AF272" i="2"/>
  <c r="AE272" i="2"/>
  <c r="AD272" i="2"/>
  <c r="X272" i="2"/>
  <c r="Y272" i="2" s="1"/>
  <c r="F272" i="6" s="1"/>
  <c r="T272" i="2"/>
  <c r="S272" i="2"/>
  <c r="G272" i="2"/>
  <c r="O272" i="2" s="1"/>
  <c r="C272" i="6" s="1"/>
  <c r="F272" i="2"/>
  <c r="E272" i="2"/>
  <c r="C272" i="2"/>
  <c r="J272" i="2" s="1"/>
  <c r="B272" i="2"/>
  <c r="A272" i="2"/>
  <c r="BB271" i="2"/>
  <c r="BA271" i="2"/>
  <c r="AV271" i="2"/>
  <c r="AF271" i="2"/>
  <c r="AD271" i="2"/>
  <c r="AE271" i="2" s="1"/>
  <c r="X271" i="2"/>
  <c r="U271" i="2"/>
  <c r="U272" i="2" s="1"/>
  <c r="S271" i="2"/>
  <c r="T271" i="2" s="1"/>
  <c r="E271" i="2"/>
  <c r="C271" i="2"/>
  <c r="D271" i="2" s="1"/>
  <c r="B271" i="2"/>
  <c r="A271" i="2"/>
  <c r="K287" i="2" l="1"/>
  <c r="L287" i="2"/>
  <c r="M287" i="2" s="1"/>
  <c r="R286" i="2"/>
  <c r="AS286" i="2"/>
  <c r="Q285" i="2"/>
  <c r="P285" i="2"/>
  <c r="AI287" i="2"/>
  <c r="AI288" i="2"/>
  <c r="Q287" i="2"/>
  <c r="P287" i="2"/>
  <c r="H289" i="2"/>
  <c r="O289" i="2"/>
  <c r="AK285" i="2"/>
  <c r="AK291" i="2"/>
  <c r="V292" i="2"/>
  <c r="AJ292" i="2"/>
  <c r="H293" i="2"/>
  <c r="O293" i="2"/>
  <c r="AS290" i="2"/>
  <c r="R290" i="2"/>
  <c r="AM290" i="2" s="1"/>
  <c r="AK287" i="2"/>
  <c r="Q288" i="2"/>
  <c r="P288" i="2"/>
  <c r="U290" i="2"/>
  <c r="V289" i="2"/>
  <c r="AJ289" i="2"/>
  <c r="AG293" i="2"/>
  <c r="AH293" i="2"/>
  <c r="Q292" i="2"/>
  <c r="P292" i="2"/>
  <c r="AA293" i="2"/>
  <c r="AG289" i="2"/>
  <c r="AH289" i="2"/>
  <c r="P291" i="2"/>
  <c r="Q291" i="2"/>
  <c r="V293" i="2"/>
  <c r="AJ293" i="2"/>
  <c r="K291" i="2"/>
  <c r="L291" i="2"/>
  <c r="M291" i="2" s="1"/>
  <c r="V288" i="2"/>
  <c r="AJ288" i="2"/>
  <c r="AL286" i="2"/>
  <c r="AA289" i="2"/>
  <c r="V286" i="2"/>
  <c r="AJ286" i="2"/>
  <c r="T275" i="2"/>
  <c r="F278" i="2"/>
  <c r="G278" i="2"/>
  <c r="AE278" i="2"/>
  <c r="Y279" i="2"/>
  <c r="F279" i="6" s="1"/>
  <c r="Y271" i="2"/>
  <c r="F271" i="6" s="1"/>
  <c r="Z271" i="2"/>
  <c r="AA271" i="2" s="1"/>
  <c r="AE276" i="2"/>
  <c r="AE280" i="2"/>
  <c r="E271" i="6"/>
  <c r="E279" i="6"/>
  <c r="F271" i="2"/>
  <c r="G271" i="2"/>
  <c r="O271" i="2" s="1"/>
  <c r="C271" i="6" s="1"/>
  <c r="P274" i="2"/>
  <c r="D274" i="6" s="1"/>
  <c r="C274" i="6"/>
  <c r="G275" i="2"/>
  <c r="H275" i="2" s="1"/>
  <c r="F275" i="2"/>
  <c r="Y278" i="2"/>
  <c r="F278" i="6" s="1"/>
  <c r="Z278" i="2"/>
  <c r="AA278" i="2" s="1"/>
  <c r="U279" i="2"/>
  <c r="AJ279" i="2" s="1"/>
  <c r="K279" i="6" s="1"/>
  <c r="T279" i="2"/>
  <c r="E272" i="6"/>
  <c r="Z272" i="2"/>
  <c r="AE274" i="2"/>
  <c r="AF274" i="2"/>
  <c r="J276" i="2"/>
  <c r="J280" i="2"/>
  <c r="E273" i="6"/>
  <c r="E276" i="6"/>
  <c r="E280" i="6"/>
  <c r="AJ283" i="2"/>
  <c r="K283" i="6" s="1"/>
  <c r="V283" i="2"/>
  <c r="AA282" i="2"/>
  <c r="AA283" i="2"/>
  <c r="O283" i="2"/>
  <c r="C283" i="6" s="1"/>
  <c r="H283" i="2"/>
  <c r="AH283" i="2"/>
  <c r="I283" i="6" s="1"/>
  <c r="AG283" i="2"/>
  <c r="K282" i="2"/>
  <c r="Y282" i="2"/>
  <c r="F282" i="6" s="1"/>
  <c r="G282" i="2"/>
  <c r="U282" i="2"/>
  <c r="AF282" i="2"/>
  <c r="F283" i="2"/>
  <c r="K283" i="2"/>
  <c r="T283" i="2"/>
  <c r="Y283" i="2"/>
  <c r="F283" i="6" s="1"/>
  <c r="AE283" i="2"/>
  <c r="P272" i="2"/>
  <c r="D272" i="6" s="1"/>
  <c r="Q272" i="2"/>
  <c r="R272" i="2" s="1"/>
  <c r="Q271" i="2"/>
  <c r="R271" i="2" s="1"/>
  <c r="AS272" i="2"/>
  <c r="U274" i="2"/>
  <c r="V273" i="2"/>
  <c r="AJ273" i="2"/>
  <c r="K273" i="6" s="1"/>
  <c r="V272" i="2"/>
  <c r="AJ272" i="2"/>
  <c r="K272" i="6" s="1"/>
  <c r="AG273" i="2"/>
  <c r="AH273" i="2"/>
  <c r="I273" i="6" s="1"/>
  <c r="K272" i="2"/>
  <c r="L272" i="2"/>
  <c r="M272" i="2" s="1"/>
  <c r="AJ271" i="2"/>
  <c r="K271" i="6" s="1"/>
  <c r="H271" i="2"/>
  <c r="V271" i="2"/>
  <c r="AG271" i="2"/>
  <c r="K273" i="2"/>
  <c r="T273" i="2"/>
  <c r="AE273" i="2"/>
  <c r="Q274" i="2"/>
  <c r="R274" i="2" s="1"/>
  <c r="AH275" i="2"/>
  <c r="I275" i="6" s="1"/>
  <c r="AG275" i="2"/>
  <c r="AF277" i="2"/>
  <c r="AE277" i="2"/>
  <c r="Z281" i="2"/>
  <c r="Y281" i="2"/>
  <c r="F281" i="6" s="1"/>
  <c r="J271" i="2"/>
  <c r="AH271" i="2"/>
  <c r="I271" i="6" s="1"/>
  <c r="AL271" i="2"/>
  <c r="AM271" i="2" s="1"/>
  <c r="D272" i="2"/>
  <c r="H272" i="2"/>
  <c r="AA272" i="2"/>
  <c r="AG272" i="2"/>
  <c r="G273" i="2"/>
  <c r="Z273" i="2"/>
  <c r="H274" i="2"/>
  <c r="AH274" i="2"/>
  <c r="O275" i="2"/>
  <c r="C275" i="6" s="1"/>
  <c r="AA275" i="2"/>
  <c r="AH276" i="2"/>
  <c r="I276" i="6" s="1"/>
  <c r="AG276" i="2"/>
  <c r="L278" i="2"/>
  <c r="M278" i="2" s="1"/>
  <c r="K278" i="2"/>
  <c r="AH279" i="2"/>
  <c r="I279" i="6" s="1"/>
  <c r="AG279" i="2"/>
  <c r="O280" i="2"/>
  <c r="C280" i="6" s="1"/>
  <c r="H280" i="2"/>
  <c r="L281" i="2"/>
  <c r="M281" i="2" s="1"/>
  <c r="K281" i="2"/>
  <c r="AF281" i="2"/>
  <c r="AE281" i="2"/>
  <c r="O276" i="2"/>
  <c r="C276" i="6" s="1"/>
  <c r="H276" i="2"/>
  <c r="L277" i="2"/>
  <c r="M277" i="2" s="1"/>
  <c r="K277" i="2"/>
  <c r="AA280" i="2"/>
  <c r="G281" i="2"/>
  <c r="F281" i="2"/>
  <c r="AH272" i="2"/>
  <c r="D274" i="2"/>
  <c r="L274" i="2"/>
  <c r="M274" i="2" s="1"/>
  <c r="AG274" i="2"/>
  <c r="J275" i="2"/>
  <c r="D275" i="2"/>
  <c r="V275" i="2"/>
  <c r="U277" i="2"/>
  <c r="U276" i="2" s="1"/>
  <c r="T277" i="2"/>
  <c r="O279" i="2"/>
  <c r="C279" i="6" s="1"/>
  <c r="H279" i="2"/>
  <c r="AA279" i="2"/>
  <c r="AH280" i="2"/>
  <c r="I280" i="6" s="1"/>
  <c r="AG280" i="2"/>
  <c r="AA276" i="2"/>
  <c r="G277" i="2"/>
  <c r="F277" i="2"/>
  <c r="Z277" i="2"/>
  <c r="Y277" i="2"/>
  <c r="F277" i="6" s="1"/>
  <c r="J279" i="2"/>
  <c r="D279" i="2"/>
  <c r="U281" i="2"/>
  <c r="U280" i="2" s="1"/>
  <c r="T281" i="2"/>
  <c r="AH278" i="2"/>
  <c r="AK286" i="2" l="1"/>
  <c r="AM286" i="2"/>
  <c r="AK293" i="2"/>
  <c r="R291" i="2"/>
  <c r="AN291" i="2"/>
  <c r="AS291" i="2"/>
  <c r="AL291" i="2"/>
  <c r="AK289" i="2"/>
  <c r="AK288" i="2"/>
  <c r="R292" i="2"/>
  <c r="AL292" i="2"/>
  <c r="AS292" i="2"/>
  <c r="AJ290" i="2"/>
  <c r="V290" i="2"/>
  <c r="R287" i="2"/>
  <c r="AN287" i="2"/>
  <c r="AS287" i="2"/>
  <c r="AL287" i="2"/>
  <c r="R285" i="2"/>
  <c r="AS285" i="2"/>
  <c r="AL285" i="2"/>
  <c r="AN285" i="2"/>
  <c r="Q293" i="2"/>
  <c r="P293" i="2"/>
  <c r="AI289" i="2"/>
  <c r="AI293" i="2"/>
  <c r="AT290" i="2"/>
  <c r="AK292" i="2"/>
  <c r="Q289" i="2"/>
  <c r="P289" i="2"/>
  <c r="AT286" i="2"/>
  <c r="R288" i="2"/>
  <c r="AS288" i="2"/>
  <c r="AL288" i="2"/>
  <c r="AI278" i="2"/>
  <c r="J278" i="6" s="1"/>
  <c r="I278" i="6"/>
  <c r="AI272" i="2"/>
  <c r="J272" i="6" s="1"/>
  <c r="I272" i="6"/>
  <c r="L276" i="2"/>
  <c r="M276" i="2" s="1"/>
  <c r="K276" i="2"/>
  <c r="AI274" i="2"/>
  <c r="J274" i="6" s="1"/>
  <c r="I274" i="6"/>
  <c r="AS271" i="2"/>
  <c r="P271" i="2"/>
  <c r="D271" i="6" s="1"/>
  <c r="V279" i="2"/>
  <c r="AK279" i="2" s="1"/>
  <c r="L279" i="6" s="1"/>
  <c r="AL272" i="2"/>
  <c r="AM272" i="2" s="1"/>
  <c r="L280" i="2"/>
  <c r="M280" i="2" s="1"/>
  <c r="K280" i="2"/>
  <c r="O278" i="2"/>
  <c r="H278" i="2"/>
  <c r="AH282" i="2"/>
  <c r="AG282" i="2"/>
  <c r="V282" i="2"/>
  <c r="AJ282" i="2"/>
  <c r="K282" i="6" s="1"/>
  <c r="O282" i="2"/>
  <c r="C282" i="6" s="1"/>
  <c r="H282" i="2"/>
  <c r="Q283" i="2"/>
  <c r="P283" i="2"/>
  <c r="D283" i="6" s="1"/>
  <c r="AI283" i="2"/>
  <c r="J283" i="6" s="1"/>
  <c r="AK283" i="2"/>
  <c r="L283" i="6" s="1"/>
  <c r="V276" i="2"/>
  <c r="AJ276" i="2"/>
  <c r="K276" i="6" s="1"/>
  <c r="V280" i="2"/>
  <c r="AJ280" i="2"/>
  <c r="K280" i="6" s="1"/>
  <c r="K275" i="2"/>
  <c r="L275" i="2"/>
  <c r="M275" i="2" s="1"/>
  <c r="AA281" i="2"/>
  <c r="AI275" i="2"/>
  <c r="J275" i="6" s="1"/>
  <c r="AK271" i="2"/>
  <c r="L271" i="6" s="1"/>
  <c r="AJ274" i="2"/>
  <c r="K274" i="6" s="1"/>
  <c r="V274" i="2"/>
  <c r="AA277" i="2"/>
  <c r="P279" i="2"/>
  <c r="D279" i="6" s="1"/>
  <c r="Q279" i="2"/>
  <c r="AK275" i="2"/>
  <c r="L275" i="6" s="1"/>
  <c r="P275" i="2"/>
  <c r="D275" i="6" s="1"/>
  <c r="Q275" i="2"/>
  <c r="AA273" i="2"/>
  <c r="AI273" i="2" s="1"/>
  <c r="J273" i="6" s="1"/>
  <c r="AI271" i="2"/>
  <c r="J271" i="6" s="1"/>
  <c r="AT272" i="2"/>
  <c r="H273" i="2"/>
  <c r="O273" i="2"/>
  <c r="C273" i="6" s="1"/>
  <c r="AG281" i="2"/>
  <c r="AH281" i="2"/>
  <c r="Q280" i="2"/>
  <c r="P280" i="2"/>
  <c r="D280" i="6" s="1"/>
  <c r="V281" i="2"/>
  <c r="AJ281" i="2"/>
  <c r="K281" i="6" s="1"/>
  <c r="K279" i="2"/>
  <c r="L279" i="2"/>
  <c r="M279" i="2" s="1"/>
  <c r="H281" i="2"/>
  <c r="O281" i="2"/>
  <c r="C281" i="6" s="1"/>
  <c r="Q276" i="2"/>
  <c r="P276" i="2"/>
  <c r="D276" i="6" s="1"/>
  <c r="AI279" i="2"/>
  <c r="J279" i="6" s="1"/>
  <c r="K271" i="2"/>
  <c r="L271" i="2"/>
  <c r="M271" i="2" s="1"/>
  <c r="AG277" i="2"/>
  <c r="AH277" i="2"/>
  <c r="H277" i="2"/>
  <c r="O277" i="2"/>
  <c r="C277" i="6" s="1"/>
  <c r="AI280" i="2"/>
  <c r="J280" i="6" s="1"/>
  <c r="U278" i="2"/>
  <c r="V277" i="2"/>
  <c r="AJ277" i="2"/>
  <c r="K277" i="6" s="1"/>
  <c r="AI276" i="2"/>
  <c r="J276" i="6" s="1"/>
  <c r="AL274" i="2"/>
  <c r="AS274" i="2"/>
  <c r="AK272" i="2"/>
  <c r="L272" i="6" s="1"/>
  <c r="AK273" i="2"/>
  <c r="L273" i="6" s="1"/>
  <c r="AN271" i="2"/>
  <c r="G271" i="6" s="1"/>
  <c r="AW271" i="2"/>
  <c r="AP271" i="2"/>
  <c r="AP291" i="2"/>
  <c r="AP287" i="2"/>
  <c r="AW285" i="2"/>
  <c r="AW291" i="2"/>
  <c r="AW287" i="2"/>
  <c r="AP285" i="2"/>
  <c r="BE287" i="2" l="1"/>
  <c r="BC287" i="2"/>
  <c r="BE291" i="2"/>
  <c r="BC291" i="2"/>
  <c r="BE285" i="2"/>
  <c r="BC285" i="2"/>
  <c r="R293" i="2"/>
  <c r="AN293" i="2"/>
  <c r="AL293" i="2"/>
  <c r="AS293" i="2"/>
  <c r="AN288" i="2"/>
  <c r="AM288" i="2"/>
  <c r="AO285" i="2"/>
  <c r="AM291" i="2"/>
  <c r="AT288" i="2"/>
  <c r="AT287" i="2"/>
  <c r="AT291" i="2"/>
  <c r="AN286" i="2"/>
  <c r="AT292" i="2"/>
  <c r="AM287" i="2"/>
  <c r="AK290" i="2"/>
  <c r="AN292" i="2"/>
  <c r="AM292" i="2"/>
  <c r="R289" i="2"/>
  <c r="AS289" i="2"/>
  <c r="AN289" i="2"/>
  <c r="AL289" i="2"/>
  <c r="AM289" i="2" s="1"/>
  <c r="AM285" i="2"/>
  <c r="AT285" i="2"/>
  <c r="AO287" i="2"/>
  <c r="AO291" i="2"/>
  <c r="M271" i="6"/>
  <c r="O271" i="6"/>
  <c r="AI277" i="2"/>
  <c r="J277" i="6" s="1"/>
  <c r="I277" i="6"/>
  <c r="AI281" i="2"/>
  <c r="J281" i="6" s="1"/>
  <c r="I281" i="6"/>
  <c r="C278" i="6"/>
  <c r="Q278" i="2"/>
  <c r="P278" i="2"/>
  <c r="D278" i="6" s="1"/>
  <c r="AT271" i="2"/>
  <c r="AI282" i="2"/>
  <c r="J282" i="6" s="1"/>
  <c r="I282" i="6"/>
  <c r="R283" i="2"/>
  <c r="AN283" i="2"/>
  <c r="G283" i="6" s="1"/>
  <c r="AS283" i="2"/>
  <c r="AL283" i="2"/>
  <c r="AK282" i="2"/>
  <c r="L282" i="6" s="1"/>
  <c r="Q282" i="2"/>
  <c r="P282" i="2"/>
  <c r="D282" i="6" s="1"/>
  <c r="BE271" i="2"/>
  <c r="BC271" i="2"/>
  <c r="Q271" i="6" s="1"/>
  <c r="P273" i="2"/>
  <c r="D273" i="6" s="1"/>
  <c r="Q273" i="2"/>
  <c r="AK276" i="2"/>
  <c r="L276" i="6" s="1"/>
  <c r="AK281" i="2"/>
  <c r="L281" i="6" s="1"/>
  <c r="R279" i="2"/>
  <c r="AN279" i="2"/>
  <c r="G279" i="6" s="1"/>
  <c r="AL279" i="2"/>
  <c r="AS279" i="2"/>
  <c r="AK280" i="2"/>
  <c r="L280" i="6" s="1"/>
  <c r="AT274" i="2"/>
  <c r="Q277" i="2"/>
  <c r="P277" i="2"/>
  <c r="D277" i="6" s="1"/>
  <c r="R275" i="2"/>
  <c r="AS275" i="2"/>
  <c r="AN275" i="2"/>
  <c r="G275" i="6" s="1"/>
  <c r="AL275" i="2"/>
  <c r="AO271" i="2"/>
  <c r="AM274" i="2"/>
  <c r="AK277" i="2"/>
  <c r="L277" i="6" s="1"/>
  <c r="Q281" i="2"/>
  <c r="P281" i="2"/>
  <c r="D281" i="6" s="1"/>
  <c r="R280" i="2"/>
  <c r="AS280" i="2"/>
  <c r="AL280" i="2"/>
  <c r="AK274" i="2"/>
  <c r="L274" i="6" s="1"/>
  <c r="AJ278" i="2"/>
  <c r="K278" i="6" s="1"/>
  <c r="V278" i="2"/>
  <c r="R276" i="2"/>
  <c r="AL276" i="2"/>
  <c r="AS276" i="2"/>
  <c r="AW283" i="2"/>
  <c r="AP283" i="2"/>
  <c r="AP279" i="2"/>
  <c r="AX271" i="2"/>
  <c r="AQ271" i="2"/>
  <c r="AW279" i="2"/>
  <c r="AP275" i="2"/>
  <c r="AW275" i="2"/>
  <c r="AP293" i="2"/>
  <c r="AX287" i="2"/>
  <c r="AW292" i="2"/>
  <c r="AP292" i="2"/>
  <c r="AQ287" i="2"/>
  <c r="AW288" i="2"/>
  <c r="AP288" i="2"/>
  <c r="AQ285" i="2"/>
  <c r="AX291" i="2"/>
  <c r="AW289" i="2"/>
  <c r="AX285" i="2"/>
  <c r="AW293" i="2"/>
  <c r="AW286" i="2"/>
  <c r="AP286" i="2"/>
  <c r="AP289" i="2"/>
  <c r="AQ291" i="2"/>
  <c r="AR291" i="2" l="1"/>
  <c r="BE286" i="2"/>
  <c r="BC286" i="2"/>
  <c r="BE293" i="2"/>
  <c r="BC293" i="2"/>
  <c r="AZ285" i="2"/>
  <c r="BE289" i="2"/>
  <c r="BC289" i="2"/>
  <c r="AZ291" i="2"/>
  <c r="AR285" i="2"/>
  <c r="BE288" i="2"/>
  <c r="BC288" i="2"/>
  <c r="AR287" i="2"/>
  <c r="BE292" i="2"/>
  <c r="BC292" i="2"/>
  <c r="AZ287" i="2"/>
  <c r="AO289" i="2"/>
  <c r="AN290" i="2"/>
  <c r="AO286" i="2"/>
  <c r="AY286" i="2" s="1"/>
  <c r="AT293" i="2"/>
  <c r="AT289" i="2"/>
  <c r="AM293" i="2"/>
  <c r="AY285" i="2"/>
  <c r="AO288" i="2"/>
  <c r="AO292" i="2"/>
  <c r="AO293" i="2"/>
  <c r="AY291" i="2"/>
  <c r="AY287" i="2"/>
  <c r="O275" i="6"/>
  <c r="M275" i="6"/>
  <c r="O279" i="6"/>
  <c r="N271" i="6"/>
  <c r="P271" i="6"/>
  <c r="M279" i="6"/>
  <c r="M283" i="6"/>
  <c r="O283" i="6"/>
  <c r="R278" i="2"/>
  <c r="AL278" i="2"/>
  <c r="AM278" i="2" s="1"/>
  <c r="AS278" i="2"/>
  <c r="AT278" i="2" s="1"/>
  <c r="AY271" i="2"/>
  <c r="BF271" i="2" s="1"/>
  <c r="H271" i="6"/>
  <c r="BE283" i="2"/>
  <c r="BC283" i="2"/>
  <c r="Q283" i="6" s="1"/>
  <c r="R282" i="2"/>
  <c r="AS282" i="2"/>
  <c r="AL282" i="2"/>
  <c r="AO283" i="2"/>
  <c r="H283" i="6" s="1"/>
  <c r="AM283" i="2"/>
  <c r="AT283" i="2"/>
  <c r="AY275" i="2"/>
  <c r="BE275" i="2"/>
  <c r="BC275" i="2"/>
  <c r="Q275" i="6" s="1"/>
  <c r="BE279" i="2"/>
  <c r="BC279" i="2"/>
  <c r="Q279" i="6" s="1"/>
  <c r="AR271" i="2"/>
  <c r="AZ271" i="2"/>
  <c r="BG271" i="2"/>
  <c r="AT276" i="2"/>
  <c r="AT275" i="2"/>
  <c r="R277" i="2"/>
  <c r="AN277" i="2"/>
  <c r="AL277" i="2"/>
  <c r="AS277" i="2"/>
  <c r="AM279" i="2"/>
  <c r="AO275" i="2"/>
  <c r="H275" i="6" s="1"/>
  <c r="AT279" i="2"/>
  <c r="AM276" i="2"/>
  <c r="AK278" i="2"/>
  <c r="L278" i="6" s="1"/>
  <c r="AM280" i="2"/>
  <c r="R281" i="2"/>
  <c r="AS281" i="2"/>
  <c r="AN281" i="2"/>
  <c r="AL281" i="2"/>
  <c r="AO279" i="2"/>
  <c r="H279" i="6" s="1"/>
  <c r="R273" i="2"/>
  <c r="AN273" i="2"/>
  <c r="G273" i="6" s="1"/>
  <c r="AL273" i="2"/>
  <c r="AS273" i="2"/>
  <c r="AT280" i="2"/>
  <c r="AM275" i="2"/>
  <c r="AQ283" i="2"/>
  <c r="AX283" i="2"/>
  <c r="AP277" i="2"/>
  <c r="AQ275" i="2"/>
  <c r="AX279" i="2"/>
  <c r="AP281" i="2"/>
  <c r="AP273" i="2"/>
  <c r="AX275" i="2"/>
  <c r="AW277" i="2"/>
  <c r="AQ279" i="2"/>
  <c r="AW273" i="2"/>
  <c r="AW281" i="2"/>
  <c r="AX286" i="2"/>
  <c r="AQ286" i="2"/>
  <c r="AQ289" i="2"/>
  <c r="AX293" i="2"/>
  <c r="AX288" i="2"/>
  <c r="AQ288" i="2"/>
  <c r="AX289" i="2"/>
  <c r="AQ293" i="2"/>
  <c r="AX292" i="2"/>
  <c r="AQ292" i="2"/>
  <c r="AP290" i="2"/>
  <c r="AW290" i="2"/>
  <c r="BE290" i="2" l="1"/>
  <c r="BC290" i="2"/>
  <c r="AR292" i="2"/>
  <c r="AZ292" i="2"/>
  <c r="AR293" i="2"/>
  <c r="AZ289" i="2"/>
  <c r="AR288" i="2"/>
  <c r="AZ288" i="2"/>
  <c r="AZ293" i="2"/>
  <c r="AR289" i="2"/>
  <c r="AR286" i="2"/>
  <c r="AZ286" i="2"/>
  <c r="BG286" i="2"/>
  <c r="BF286" i="2"/>
  <c r="BD286" i="2"/>
  <c r="AO290" i="2"/>
  <c r="AY290" i="2" s="1"/>
  <c r="BG287" i="2"/>
  <c r="BF287" i="2"/>
  <c r="BD287" i="2"/>
  <c r="AY292" i="2"/>
  <c r="AY293" i="2"/>
  <c r="BG291" i="2"/>
  <c r="BF291" i="2"/>
  <c r="BD291" i="2"/>
  <c r="BF285" i="2"/>
  <c r="BG285" i="2"/>
  <c r="BD285" i="2"/>
  <c r="AY288" i="2"/>
  <c r="AY289" i="2"/>
  <c r="O281" i="6"/>
  <c r="O273" i="6"/>
  <c r="N279" i="6"/>
  <c r="O277" i="6"/>
  <c r="P275" i="6"/>
  <c r="M273" i="6"/>
  <c r="M281" i="6"/>
  <c r="P279" i="6"/>
  <c r="N275" i="6"/>
  <c r="M277" i="6"/>
  <c r="P283" i="6"/>
  <c r="N283" i="6"/>
  <c r="AN280" i="2"/>
  <c r="G281" i="6"/>
  <c r="AM277" i="2"/>
  <c r="AN276" i="2"/>
  <c r="G277" i="6"/>
  <c r="BD271" i="2"/>
  <c r="R271" i="6" s="1"/>
  <c r="AZ283" i="2"/>
  <c r="AR283" i="2"/>
  <c r="AT282" i="2"/>
  <c r="AM282" i="2"/>
  <c r="AN282" i="2"/>
  <c r="G282" i="6" s="1"/>
  <c r="AY283" i="2"/>
  <c r="BE281" i="2"/>
  <c r="BC281" i="2"/>
  <c r="Q281" i="6" s="1"/>
  <c r="BE273" i="2"/>
  <c r="BC273" i="2"/>
  <c r="Q273" i="6" s="1"/>
  <c r="AR279" i="2"/>
  <c r="BE277" i="2"/>
  <c r="BC277" i="2"/>
  <c r="Q277" i="6" s="1"/>
  <c r="AZ275" i="2"/>
  <c r="AZ279" i="2"/>
  <c r="AR275" i="2"/>
  <c r="AO280" i="2"/>
  <c r="H280" i="6" s="1"/>
  <c r="BG275" i="2"/>
  <c r="BF275" i="2"/>
  <c r="AT281" i="2"/>
  <c r="AT273" i="2"/>
  <c r="AY273" i="2" s="1"/>
  <c r="AM273" i="2"/>
  <c r="AM281" i="2"/>
  <c r="AT277" i="2"/>
  <c r="AO273" i="2"/>
  <c r="H273" i="6" s="1"/>
  <c r="AN272" i="2"/>
  <c r="G272" i="6" s="1"/>
  <c r="AN274" i="2"/>
  <c r="G274" i="6" s="1"/>
  <c r="AO281" i="2"/>
  <c r="H281" i="6" s="1"/>
  <c r="AY279" i="2"/>
  <c r="AO277" i="2"/>
  <c r="H277" i="6" s="1"/>
  <c r="AN278" i="2"/>
  <c r="G278" i="6" s="1"/>
  <c r="BD275" i="2"/>
  <c r="R275" i="6" s="1"/>
  <c r="S269" i="6"/>
  <c r="B269" i="6"/>
  <c r="A269" i="6"/>
  <c r="S268" i="6"/>
  <c r="B268" i="6"/>
  <c r="A268" i="6"/>
  <c r="S267" i="6"/>
  <c r="B267" i="6"/>
  <c r="A267" i="6"/>
  <c r="S266" i="6"/>
  <c r="B266" i="6"/>
  <c r="A266" i="6"/>
  <c r="S265" i="6"/>
  <c r="B265" i="6"/>
  <c r="A265" i="6"/>
  <c r="S264" i="6"/>
  <c r="B264" i="6"/>
  <c r="A264" i="6"/>
  <c r="S263" i="6"/>
  <c r="B263" i="6"/>
  <c r="A263" i="6"/>
  <c r="S262" i="6"/>
  <c r="F262" i="6"/>
  <c r="E262" i="6"/>
  <c r="B262" i="6"/>
  <c r="A262" i="6"/>
  <c r="S261" i="6"/>
  <c r="E261" i="6"/>
  <c r="B261" i="6"/>
  <c r="A261" i="6"/>
  <c r="S260" i="6"/>
  <c r="B260" i="6"/>
  <c r="A260" i="6"/>
  <c r="S259" i="6"/>
  <c r="B259" i="6"/>
  <c r="A259" i="6"/>
  <c r="BB269" i="2"/>
  <c r="BA269" i="2"/>
  <c r="AV269" i="2"/>
  <c r="AD269" i="2"/>
  <c r="X269" i="2"/>
  <c r="E269" i="6" s="1"/>
  <c r="S269" i="2"/>
  <c r="E269" i="2"/>
  <c r="C269" i="2"/>
  <c r="D269" i="2" s="1"/>
  <c r="B269" i="2"/>
  <c r="A269" i="2"/>
  <c r="BB268" i="2"/>
  <c r="BA268" i="2"/>
  <c r="AV268" i="2"/>
  <c r="AD268" i="2"/>
  <c r="AF268" i="2" s="1"/>
  <c r="AG268" i="2" s="1"/>
  <c r="X268" i="2"/>
  <c r="S268" i="2"/>
  <c r="F268" i="2"/>
  <c r="E268" i="2"/>
  <c r="G268" i="2" s="1"/>
  <c r="H268" i="2" s="1"/>
  <c r="D268" i="2"/>
  <c r="C268" i="2"/>
  <c r="J268" i="2" s="1"/>
  <c r="L268" i="2" s="1"/>
  <c r="M268" i="2" s="1"/>
  <c r="B268" i="2"/>
  <c r="A268" i="2"/>
  <c r="BB267" i="2"/>
  <c r="BA267" i="2"/>
  <c r="AV267" i="2"/>
  <c r="AF267" i="2"/>
  <c r="AE267" i="2"/>
  <c r="AD267" i="2"/>
  <c r="Z267" i="2"/>
  <c r="X267" i="2"/>
  <c r="E267" i="6" s="1"/>
  <c r="S267" i="2"/>
  <c r="U267" i="2" s="1"/>
  <c r="E267" i="2"/>
  <c r="F267" i="2" s="1"/>
  <c r="C267" i="2"/>
  <c r="B267" i="2"/>
  <c r="A267" i="2"/>
  <c r="BB266" i="2"/>
  <c r="BA266" i="2"/>
  <c r="AV266" i="2"/>
  <c r="AE266" i="2"/>
  <c r="AD266" i="2"/>
  <c r="AF266" i="2" s="1"/>
  <c r="AG266" i="2" s="1"/>
  <c r="Z266" i="2"/>
  <c r="AA266" i="2" s="1"/>
  <c r="X266" i="2"/>
  <c r="E266" i="6" s="1"/>
  <c r="S266" i="2"/>
  <c r="T266" i="2" s="1"/>
  <c r="G266" i="2"/>
  <c r="O266" i="2" s="1"/>
  <c r="F266" i="2"/>
  <c r="E266" i="2"/>
  <c r="C266" i="2"/>
  <c r="J266" i="2" s="1"/>
  <c r="L266" i="2" s="1"/>
  <c r="M266" i="2" s="1"/>
  <c r="B266" i="2"/>
  <c r="A266" i="2"/>
  <c r="BB265" i="2"/>
  <c r="BA265" i="2"/>
  <c r="AV265" i="2"/>
  <c r="AF265" i="2"/>
  <c r="AD265" i="2"/>
  <c r="AE265" i="2" s="1"/>
  <c r="X265" i="2"/>
  <c r="Y265" i="2" s="1"/>
  <c r="F265" i="6" s="1"/>
  <c r="S265" i="2"/>
  <c r="T265" i="2" s="1"/>
  <c r="E265" i="2"/>
  <c r="F265" i="2" s="1"/>
  <c r="C265" i="2"/>
  <c r="J265" i="2" s="1"/>
  <c r="K265" i="2" s="1"/>
  <c r="B265" i="2"/>
  <c r="A265" i="2"/>
  <c r="BB264" i="2"/>
  <c r="BA264" i="2"/>
  <c r="AV264" i="2"/>
  <c r="AD264" i="2"/>
  <c r="AF264" i="2" s="1"/>
  <c r="X264" i="2"/>
  <c r="T264" i="2"/>
  <c r="S264" i="2"/>
  <c r="J264" i="2"/>
  <c r="L264" i="2" s="1"/>
  <c r="M264" i="2" s="1"/>
  <c r="H264" i="2"/>
  <c r="F264" i="2"/>
  <c r="E264" i="2"/>
  <c r="G264" i="2" s="1"/>
  <c r="O264" i="2" s="1"/>
  <c r="Q264" i="2" s="1"/>
  <c r="D264" i="2"/>
  <c r="C264" i="2"/>
  <c r="B264" i="2"/>
  <c r="A264" i="2"/>
  <c r="BB263" i="2"/>
  <c r="BA263" i="2"/>
  <c r="AV263" i="2"/>
  <c r="AD263" i="2"/>
  <c r="AF263" i="2" s="1"/>
  <c r="AG263" i="2" s="1"/>
  <c r="X263" i="2"/>
  <c r="S263" i="2"/>
  <c r="U263" i="2" s="1"/>
  <c r="E263" i="2"/>
  <c r="F263" i="2" s="1"/>
  <c r="C263" i="2"/>
  <c r="D263" i="2" s="1"/>
  <c r="B263" i="2"/>
  <c r="A263" i="2"/>
  <c r="BB262" i="2"/>
  <c r="BA262" i="2"/>
  <c r="AV262" i="2"/>
  <c r="AD262" i="2"/>
  <c r="AF262" i="2" s="1"/>
  <c r="AG262" i="2" s="1"/>
  <c r="Z262" i="2"/>
  <c r="X262" i="2"/>
  <c r="Y262" i="2" s="1"/>
  <c r="S262" i="2"/>
  <c r="T262" i="2" s="1"/>
  <c r="K262" i="2"/>
  <c r="E262" i="2"/>
  <c r="G262" i="2" s="1"/>
  <c r="O262" i="2" s="1"/>
  <c r="P262" i="2" s="1"/>
  <c r="D262" i="6" s="1"/>
  <c r="D262" i="2"/>
  <c r="C262" i="2"/>
  <c r="J262" i="2" s="1"/>
  <c r="L262" i="2" s="1"/>
  <c r="M262" i="2" s="1"/>
  <c r="B262" i="2"/>
  <c r="A262" i="2"/>
  <c r="BB261" i="2"/>
  <c r="BA261" i="2"/>
  <c r="AV261" i="2"/>
  <c r="AF261" i="2"/>
  <c r="AE261" i="2"/>
  <c r="AD261" i="2"/>
  <c r="Z261" i="2"/>
  <c r="Y261" i="2"/>
  <c r="F261" i="6" s="1"/>
  <c r="X261" i="2"/>
  <c r="S261" i="2"/>
  <c r="U261" i="2" s="1"/>
  <c r="G261" i="2"/>
  <c r="E261" i="2"/>
  <c r="F261" i="2" s="1"/>
  <c r="C261" i="2"/>
  <c r="B261" i="2"/>
  <c r="A261" i="2"/>
  <c r="BB260" i="2"/>
  <c r="BA260" i="2"/>
  <c r="AV260" i="2"/>
  <c r="AD260" i="2"/>
  <c r="AF260" i="2" s="1"/>
  <c r="X260" i="2"/>
  <c r="S260" i="2"/>
  <c r="M260" i="2"/>
  <c r="E260" i="2"/>
  <c r="G260" i="2" s="1"/>
  <c r="O260" i="2" s="1"/>
  <c r="C260" i="6" s="1"/>
  <c r="C260" i="2"/>
  <c r="J260" i="2" s="1"/>
  <c r="L260" i="2" s="1"/>
  <c r="B260" i="2"/>
  <c r="A260" i="2"/>
  <c r="BB259" i="2"/>
  <c r="BA259" i="2"/>
  <c r="AV259" i="2"/>
  <c r="AD259" i="2"/>
  <c r="X259" i="2"/>
  <c r="E259" i="6" s="1"/>
  <c r="S259" i="2"/>
  <c r="E259" i="2"/>
  <c r="D259" i="2"/>
  <c r="C259" i="2"/>
  <c r="J259" i="2" s="1"/>
  <c r="B259" i="2"/>
  <c r="A259" i="2"/>
  <c r="AP280" i="2"/>
  <c r="AW280" i="2"/>
  <c r="AP276" i="2"/>
  <c r="AW276" i="2"/>
  <c r="AW282" i="2"/>
  <c r="AP282" i="2"/>
  <c r="AX280" i="2"/>
  <c r="AQ280" i="2"/>
  <c r="AX273" i="2"/>
  <c r="AQ273" i="2"/>
  <c r="AW272" i="2"/>
  <c r="AP272" i="2"/>
  <c r="AQ277" i="2"/>
  <c r="AW274" i="2"/>
  <c r="AP274" i="2"/>
  <c r="AW278" i="2"/>
  <c r="AP278" i="2"/>
  <c r="AX281" i="2"/>
  <c r="AX277" i="2"/>
  <c r="AQ281" i="2"/>
  <c r="AX290" i="2"/>
  <c r="AQ290" i="2"/>
  <c r="AR290" i="2" l="1"/>
  <c r="AZ290" i="2"/>
  <c r="BG290" i="2"/>
  <c r="BF290" i="2"/>
  <c r="BD290" i="2"/>
  <c r="BF289" i="2"/>
  <c r="BG289" i="2"/>
  <c r="BD289" i="2"/>
  <c r="BF293" i="2"/>
  <c r="BG293" i="2"/>
  <c r="BD293" i="2"/>
  <c r="BG288" i="2"/>
  <c r="BF288" i="2"/>
  <c r="BD288" i="2"/>
  <c r="BG292" i="2"/>
  <c r="BF292" i="2"/>
  <c r="BD292" i="2"/>
  <c r="N281" i="6"/>
  <c r="P277" i="6"/>
  <c r="P281" i="6"/>
  <c r="M278" i="6"/>
  <c r="O278" i="6"/>
  <c r="M274" i="6"/>
  <c r="O274" i="6"/>
  <c r="N277" i="6"/>
  <c r="M272" i="6"/>
  <c r="O272" i="6"/>
  <c r="N273" i="6"/>
  <c r="P273" i="6"/>
  <c r="N280" i="6"/>
  <c r="M282" i="6"/>
  <c r="O282" i="6"/>
  <c r="O276" i="6"/>
  <c r="BE276" i="2"/>
  <c r="BC276" i="2"/>
  <c r="Q276" i="6" s="1"/>
  <c r="M276" i="6"/>
  <c r="O280" i="6"/>
  <c r="BE280" i="2"/>
  <c r="BC280" i="2"/>
  <c r="Q280" i="6" s="1"/>
  <c r="M280" i="6"/>
  <c r="G276" i="6"/>
  <c r="AO276" i="2"/>
  <c r="G280" i="6"/>
  <c r="BE282" i="2"/>
  <c r="BC282" i="2"/>
  <c r="Q282" i="6" s="1"/>
  <c r="BG283" i="2"/>
  <c r="BF283" i="2"/>
  <c r="BD283" i="2"/>
  <c r="R283" i="6" s="1"/>
  <c r="AO282" i="2"/>
  <c r="H282" i="6" s="1"/>
  <c r="AR281" i="2"/>
  <c r="AZ277" i="2"/>
  <c r="AZ281" i="2"/>
  <c r="BE278" i="2"/>
  <c r="BC278" i="2"/>
  <c r="Q278" i="6" s="1"/>
  <c r="BE274" i="2"/>
  <c r="BC274" i="2"/>
  <c r="Q274" i="6" s="1"/>
  <c r="AR277" i="2"/>
  <c r="BE272" i="2"/>
  <c r="BC272" i="2"/>
  <c r="Q272" i="6" s="1"/>
  <c r="AR273" i="2"/>
  <c r="AZ273" i="2"/>
  <c r="AR280" i="2"/>
  <c r="AZ280" i="2"/>
  <c r="BG273" i="2"/>
  <c r="BF273" i="2"/>
  <c r="BD273" i="2"/>
  <c r="R273" i="6" s="1"/>
  <c r="AO278" i="2"/>
  <c r="AO274" i="2"/>
  <c r="H274" i="6" s="1"/>
  <c r="AY277" i="2"/>
  <c r="AO272" i="2"/>
  <c r="AY281" i="2"/>
  <c r="BG279" i="2"/>
  <c r="BF279" i="2"/>
  <c r="BD279" i="2"/>
  <c r="R279" i="6" s="1"/>
  <c r="AY280" i="2"/>
  <c r="P280" i="6" s="1"/>
  <c r="AY276" i="2"/>
  <c r="P276" i="6" s="1"/>
  <c r="J269" i="2"/>
  <c r="T261" i="2"/>
  <c r="H262" i="2"/>
  <c r="AE262" i="2"/>
  <c r="Z268" i="2"/>
  <c r="AA268" i="2" s="1"/>
  <c r="E268" i="6"/>
  <c r="C264" i="6"/>
  <c r="E265" i="6"/>
  <c r="D260" i="2"/>
  <c r="Z260" i="2"/>
  <c r="AA260" i="2" s="1"/>
  <c r="E260" i="6"/>
  <c r="Z263" i="2"/>
  <c r="E263" i="6"/>
  <c r="Z264" i="2"/>
  <c r="Y264" i="2"/>
  <c r="F264" i="6" s="1"/>
  <c r="E264" i="6"/>
  <c r="L265" i="2"/>
  <c r="M265" i="2" s="1"/>
  <c r="Y266" i="2"/>
  <c r="F266" i="6" s="1"/>
  <c r="G267" i="2"/>
  <c r="Y267" i="2"/>
  <c r="F267" i="6" s="1"/>
  <c r="Y268" i="2"/>
  <c r="F268" i="6" s="1"/>
  <c r="P266" i="2"/>
  <c r="D266" i="6" s="1"/>
  <c r="C266" i="6"/>
  <c r="Q262" i="2"/>
  <c r="R262" i="2" s="1"/>
  <c r="C262" i="6"/>
  <c r="F262" i="2"/>
  <c r="AE263" i="2"/>
  <c r="AS264" i="2"/>
  <c r="AT264" i="2" s="1"/>
  <c r="AL264" i="2"/>
  <c r="D265" i="2"/>
  <c r="T267" i="2"/>
  <c r="Y259" i="2"/>
  <c r="F259" i="6" s="1"/>
  <c r="Z259" i="2"/>
  <c r="Q260" i="2"/>
  <c r="R260" i="2" s="1"/>
  <c r="P260" i="2"/>
  <c r="D260" i="6" s="1"/>
  <c r="O261" i="2"/>
  <c r="C261" i="6" s="1"/>
  <c r="H261" i="2"/>
  <c r="AF259" i="2"/>
  <c r="AE259" i="2"/>
  <c r="AL260" i="2"/>
  <c r="AH260" i="2"/>
  <c r="I260" i="6" s="1"/>
  <c r="AS260" i="2"/>
  <c r="D261" i="2"/>
  <c r="J261" i="2"/>
  <c r="U262" i="2"/>
  <c r="V261" i="2"/>
  <c r="AJ261" i="2"/>
  <c r="K261" i="6" s="1"/>
  <c r="V263" i="2"/>
  <c r="AJ263" i="2"/>
  <c r="K263" i="6" s="1"/>
  <c r="T259" i="2"/>
  <c r="U259" i="2"/>
  <c r="F259" i="2"/>
  <c r="G259" i="2"/>
  <c r="AA261" i="2"/>
  <c r="K259" i="2"/>
  <c r="L259" i="2"/>
  <c r="M259" i="2" s="1"/>
  <c r="H260" i="2"/>
  <c r="AG260" i="2"/>
  <c r="AA263" i="2"/>
  <c r="AH261" i="2"/>
  <c r="I261" i="6" s="1"/>
  <c r="AG261" i="2"/>
  <c r="Y263" i="2"/>
  <c r="F263" i="6" s="1"/>
  <c r="P264" i="2"/>
  <c r="D264" i="6" s="1"/>
  <c r="G265" i="2"/>
  <c r="F260" i="2"/>
  <c r="K260" i="2"/>
  <c r="T260" i="2"/>
  <c r="Y260" i="2"/>
  <c r="F260" i="6" s="1"/>
  <c r="AE260" i="2"/>
  <c r="AA262" i="2"/>
  <c r="G263" i="2"/>
  <c r="T263" i="2"/>
  <c r="AH263" i="2"/>
  <c r="I263" i="6" s="1"/>
  <c r="K264" i="2"/>
  <c r="R264" i="2"/>
  <c r="AE264" i="2"/>
  <c r="U265" i="2"/>
  <c r="K266" i="2"/>
  <c r="Q266" i="2"/>
  <c r="AL266" i="2"/>
  <c r="AH266" i="2"/>
  <c r="V267" i="2"/>
  <c r="AJ267" i="2"/>
  <c r="K267" i="6" s="1"/>
  <c r="O268" i="2"/>
  <c r="C268" i="6" s="1"/>
  <c r="AH268" i="2"/>
  <c r="AL262" i="2"/>
  <c r="AH262" i="2"/>
  <c r="J263" i="2"/>
  <c r="U264" i="2"/>
  <c r="AG264" i="2"/>
  <c r="O267" i="2"/>
  <c r="C267" i="6" s="1"/>
  <c r="H267" i="2"/>
  <c r="L269" i="2"/>
  <c r="M269" i="2" s="1"/>
  <c r="K269" i="2"/>
  <c r="U269" i="2"/>
  <c r="T269" i="2"/>
  <c r="AF269" i="2"/>
  <c r="AE269" i="2"/>
  <c r="J267" i="2"/>
  <c r="D267" i="2"/>
  <c r="AH267" i="2"/>
  <c r="AG267" i="2"/>
  <c r="U268" i="2"/>
  <c r="Z265" i="2"/>
  <c r="AH265" i="2" s="1"/>
  <c r="I265" i="6" s="1"/>
  <c r="AG265" i="2"/>
  <c r="D266" i="2"/>
  <c r="H266" i="2"/>
  <c r="AA267" i="2"/>
  <c r="K268" i="2"/>
  <c r="T268" i="2"/>
  <c r="AE268" i="2"/>
  <c r="G269" i="2"/>
  <c r="F269" i="2"/>
  <c r="Z269" i="2"/>
  <c r="Y269" i="2"/>
  <c r="F269" i="6" s="1"/>
  <c r="AQ276" i="2"/>
  <c r="AX276" i="2"/>
  <c r="AX282" i="2"/>
  <c r="AQ282" i="2"/>
  <c r="AX272" i="2"/>
  <c r="AQ272" i="2"/>
  <c r="AQ278" i="2"/>
  <c r="AX278" i="2"/>
  <c r="AX274" i="2"/>
  <c r="AQ274" i="2"/>
  <c r="N274" i="6" l="1"/>
  <c r="N278" i="6"/>
  <c r="N272" i="6"/>
  <c r="N282" i="6"/>
  <c r="AZ276" i="2"/>
  <c r="N276" i="6"/>
  <c r="AR276" i="2"/>
  <c r="AY272" i="2"/>
  <c r="P272" i="6" s="1"/>
  <c r="H272" i="6"/>
  <c r="AY278" i="2"/>
  <c r="P278" i="6" s="1"/>
  <c r="H278" i="6"/>
  <c r="AY274" i="2"/>
  <c r="P274" i="6" s="1"/>
  <c r="H276" i="6"/>
  <c r="AR282" i="2"/>
  <c r="AZ282" i="2"/>
  <c r="AY282" i="2"/>
  <c r="P282" i="6" s="1"/>
  <c r="AR274" i="2"/>
  <c r="AZ274" i="2"/>
  <c r="AZ278" i="2"/>
  <c r="AR278" i="2"/>
  <c r="AR272" i="2"/>
  <c r="AZ272" i="2"/>
  <c r="BF272" i="2"/>
  <c r="BF277" i="2"/>
  <c r="BG277" i="2"/>
  <c r="BD277" i="2"/>
  <c r="R277" i="6" s="1"/>
  <c r="BG274" i="2"/>
  <c r="BG276" i="2"/>
  <c r="BF276" i="2"/>
  <c r="BD276" i="2"/>
  <c r="R276" i="6" s="1"/>
  <c r="BG280" i="2"/>
  <c r="BF280" i="2"/>
  <c r="BD280" i="2"/>
  <c r="R280" i="6" s="1"/>
  <c r="BF281" i="2"/>
  <c r="BG281" i="2"/>
  <c r="BD281" i="2"/>
  <c r="R281" i="6" s="1"/>
  <c r="AI268" i="2"/>
  <c r="J268" i="6" s="1"/>
  <c r="I268" i="6"/>
  <c r="AI266" i="2"/>
  <c r="J266" i="6" s="1"/>
  <c r="I266" i="6"/>
  <c r="AI267" i="2"/>
  <c r="J267" i="6" s="1"/>
  <c r="I267" i="6"/>
  <c r="AI262" i="2"/>
  <c r="J262" i="6" s="1"/>
  <c r="I262" i="6"/>
  <c r="AI264" i="2"/>
  <c r="J264" i="6" s="1"/>
  <c r="AS262" i="2"/>
  <c r="AT262" i="2" s="1"/>
  <c r="AA264" i="2"/>
  <c r="AH264" i="2"/>
  <c r="I264" i="6" s="1"/>
  <c r="AA269" i="2"/>
  <c r="AM264" i="2"/>
  <c r="V268" i="2"/>
  <c r="AJ268" i="2"/>
  <c r="K268" i="6" s="1"/>
  <c r="AH269" i="2"/>
  <c r="I269" i="6" s="1"/>
  <c r="AG269" i="2"/>
  <c r="AJ264" i="2"/>
  <c r="K264" i="6" s="1"/>
  <c r="V264" i="2"/>
  <c r="AM262" i="2"/>
  <c r="O269" i="2"/>
  <c r="C269" i="6" s="1"/>
  <c r="H269" i="2"/>
  <c r="H259" i="2"/>
  <c r="O259" i="2"/>
  <c r="C259" i="6" s="1"/>
  <c r="V259" i="2"/>
  <c r="AJ259" i="2"/>
  <c r="K259" i="6" s="1"/>
  <c r="AJ262" i="2"/>
  <c r="K262" i="6" s="1"/>
  <c r="V262" i="2"/>
  <c r="AT260" i="2"/>
  <c r="AA265" i="2"/>
  <c r="AI265" i="2" s="1"/>
  <c r="J265" i="6" s="1"/>
  <c r="L267" i="2"/>
  <c r="M267" i="2" s="1"/>
  <c r="K267" i="2"/>
  <c r="AJ269" i="2"/>
  <c r="K269" i="6" s="1"/>
  <c r="V269" i="2"/>
  <c r="Q267" i="2"/>
  <c r="P267" i="2"/>
  <c r="D267" i="6" s="1"/>
  <c r="K263" i="2"/>
  <c r="L263" i="2"/>
  <c r="M263" i="2" s="1"/>
  <c r="AK267" i="2"/>
  <c r="L267" i="6" s="1"/>
  <c r="AS266" i="2"/>
  <c r="R266" i="2"/>
  <c r="AM266" i="2" s="1"/>
  <c r="AJ265" i="2"/>
  <c r="K265" i="6" s="1"/>
  <c r="V265" i="2"/>
  <c r="U266" i="2"/>
  <c r="AI263" i="2"/>
  <c r="J263" i="6" s="1"/>
  <c r="AK263" i="2"/>
  <c r="L263" i="6" s="1"/>
  <c r="AI260" i="2"/>
  <c r="J260" i="6" s="1"/>
  <c r="AG259" i="2"/>
  <c r="AH259" i="2"/>
  <c r="K261" i="2"/>
  <c r="L261" i="2"/>
  <c r="M261" i="2" s="1"/>
  <c r="AM260" i="2"/>
  <c r="AA259" i="2"/>
  <c r="O265" i="2"/>
  <c r="C265" i="6" s="1"/>
  <c r="H265" i="2"/>
  <c r="Q268" i="2"/>
  <c r="P268" i="2"/>
  <c r="D268" i="6" s="1"/>
  <c r="H263" i="2"/>
  <c r="O263" i="2"/>
  <c r="C263" i="6" s="1"/>
  <c r="AI261" i="2"/>
  <c r="J261" i="6" s="1"/>
  <c r="AK261" i="2"/>
  <c r="L261" i="6" s="1"/>
  <c r="U260" i="2"/>
  <c r="P261" i="2"/>
  <c r="D261" i="6" s="1"/>
  <c r="Q261" i="2"/>
  <c r="BF278" i="2" l="1"/>
  <c r="BG272" i="2"/>
  <c r="BD278" i="2"/>
  <c r="R278" i="6" s="1"/>
  <c r="BG278" i="2"/>
  <c r="BD274" i="2"/>
  <c r="R274" i="6" s="1"/>
  <c r="BF274" i="2"/>
  <c r="BD272" i="2"/>
  <c r="R272" i="6" s="1"/>
  <c r="BG282" i="2"/>
  <c r="BF282" i="2"/>
  <c r="BD282" i="2"/>
  <c r="R282" i="6" s="1"/>
  <c r="AI259" i="2"/>
  <c r="J259" i="6" s="1"/>
  <c r="I259" i="6"/>
  <c r="AT266" i="2"/>
  <c r="Q259" i="2"/>
  <c r="P259" i="2"/>
  <c r="D259" i="6" s="1"/>
  <c r="P265" i="2"/>
  <c r="D265" i="6" s="1"/>
  <c r="Q265" i="2"/>
  <c r="AK265" i="2"/>
  <c r="L265" i="6" s="1"/>
  <c r="R267" i="2"/>
  <c r="AS267" i="2"/>
  <c r="AN267" i="2"/>
  <c r="G267" i="6" s="1"/>
  <c r="AL267" i="2"/>
  <c r="AM267" i="2" s="1"/>
  <c r="AK269" i="2"/>
  <c r="L269" i="6" s="1"/>
  <c r="AK262" i="2"/>
  <c r="L262" i="6" s="1"/>
  <c r="Q269" i="2"/>
  <c r="P269" i="2"/>
  <c r="D269" i="6" s="1"/>
  <c r="AI269" i="2"/>
  <c r="J269" i="6" s="1"/>
  <c r="AK268" i="2"/>
  <c r="L268" i="6" s="1"/>
  <c r="R261" i="2"/>
  <c r="AS261" i="2"/>
  <c r="AN261" i="2"/>
  <c r="G261" i="6" s="1"/>
  <c r="AL261" i="2"/>
  <c r="R268" i="2"/>
  <c r="AS268" i="2"/>
  <c r="AL268" i="2"/>
  <c r="AK259" i="2"/>
  <c r="L259" i="6" s="1"/>
  <c r="P263" i="2"/>
  <c r="D263" i="6" s="1"/>
  <c r="Q263" i="2"/>
  <c r="AJ266" i="2"/>
  <c r="K266" i="6" s="1"/>
  <c r="V266" i="2"/>
  <c r="AJ260" i="2"/>
  <c r="K260" i="6" s="1"/>
  <c r="V260" i="2"/>
  <c r="AK264" i="2"/>
  <c r="L264" i="6" s="1"/>
  <c r="AP261" i="2"/>
  <c r="AW267" i="2"/>
  <c r="AP267" i="2"/>
  <c r="AW261" i="2"/>
  <c r="O261" i="6" l="1"/>
  <c r="M267" i="6"/>
  <c r="O267" i="6"/>
  <c r="M261" i="6"/>
  <c r="BE261" i="2"/>
  <c r="BC261" i="2"/>
  <c r="Q261" i="6" s="1"/>
  <c r="BE267" i="2"/>
  <c r="BC267" i="2"/>
  <c r="Q267" i="6" s="1"/>
  <c r="R263" i="2"/>
  <c r="AS263" i="2"/>
  <c r="AL263" i="2"/>
  <c r="AN263" i="2"/>
  <c r="G263" i="6" s="1"/>
  <c r="AT268" i="2"/>
  <c r="AT261" i="2"/>
  <c r="AY261" i="2" s="1"/>
  <c r="R259" i="2"/>
  <c r="AL259" i="2"/>
  <c r="AM259" i="2" s="1"/>
  <c r="AS259" i="2"/>
  <c r="AN259" i="2"/>
  <c r="G259" i="6" s="1"/>
  <c r="AK266" i="2"/>
  <c r="L266" i="6" s="1"/>
  <c r="R269" i="2"/>
  <c r="AS269" i="2"/>
  <c r="AL269" i="2"/>
  <c r="AN269" i="2"/>
  <c r="G269" i="6" s="1"/>
  <c r="AO267" i="2"/>
  <c r="H267" i="6" s="1"/>
  <c r="R265" i="2"/>
  <c r="AN265" i="2"/>
  <c r="G265" i="6" s="1"/>
  <c r="AL265" i="2"/>
  <c r="AS265" i="2"/>
  <c r="AK260" i="2"/>
  <c r="L260" i="6" s="1"/>
  <c r="AM261" i="2"/>
  <c r="AT267" i="2"/>
  <c r="AN268" i="2"/>
  <c r="G268" i="6" s="1"/>
  <c r="AM268" i="2"/>
  <c r="AO261" i="2"/>
  <c r="H261" i="6" s="1"/>
  <c r="AW259" i="2"/>
  <c r="AW269" i="2"/>
  <c r="AW263" i="2"/>
  <c r="AX261" i="2"/>
  <c r="AQ261" i="2"/>
  <c r="AP269" i="2"/>
  <c r="AX267" i="2"/>
  <c r="AP263" i="2"/>
  <c r="AQ267" i="2"/>
  <c r="AW265" i="2"/>
  <c r="AW268" i="2"/>
  <c r="AP268" i="2"/>
  <c r="AP259" i="2"/>
  <c r="AP265" i="2"/>
  <c r="M269" i="6" l="1"/>
  <c r="O269" i="6"/>
  <c r="AM269" i="2"/>
  <c r="M265" i="6"/>
  <c r="M259" i="6"/>
  <c r="M268" i="6"/>
  <c r="O268" i="6"/>
  <c r="O265" i="6"/>
  <c r="N267" i="6"/>
  <c r="M263" i="6"/>
  <c r="P267" i="6"/>
  <c r="N261" i="6"/>
  <c r="P261" i="6"/>
  <c r="O263" i="6"/>
  <c r="O259" i="6"/>
  <c r="BE268" i="2"/>
  <c r="BC268" i="2"/>
  <c r="Q268" i="6" s="1"/>
  <c r="BE265" i="2"/>
  <c r="BC265" i="2"/>
  <c r="Q265" i="6" s="1"/>
  <c r="AR267" i="2"/>
  <c r="AZ267" i="2"/>
  <c r="AR261" i="2"/>
  <c r="AZ261" i="2"/>
  <c r="BE263" i="2"/>
  <c r="BC263" i="2"/>
  <c r="Q263" i="6" s="1"/>
  <c r="BE269" i="2"/>
  <c r="BC269" i="2"/>
  <c r="Q269" i="6" s="1"/>
  <c r="BE259" i="2"/>
  <c r="BC259" i="2"/>
  <c r="Q259" i="6" s="1"/>
  <c r="BF261" i="2"/>
  <c r="BG261" i="2"/>
  <c r="BD261" i="2"/>
  <c r="R261" i="6" s="1"/>
  <c r="AO265" i="2"/>
  <c r="H265" i="6" s="1"/>
  <c r="AN266" i="2"/>
  <c r="G266" i="6" s="1"/>
  <c r="AO259" i="2"/>
  <c r="H259" i="6" s="1"/>
  <c r="AN260" i="2"/>
  <c r="G260" i="6" s="1"/>
  <c r="AO268" i="2"/>
  <c r="AT265" i="2"/>
  <c r="AO263" i="2"/>
  <c r="H263" i="6" s="1"/>
  <c r="AN264" i="2"/>
  <c r="G264" i="6" s="1"/>
  <c r="AN262" i="2"/>
  <c r="G262" i="6" s="1"/>
  <c r="AM265" i="2"/>
  <c r="AO269" i="2"/>
  <c r="H269" i="6" s="1"/>
  <c r="AM263" i="2"/>
  <c r="AT263" i="2"/>
  <c r="AY263" i="2" s="1"/>
  <c r="AT269" i="2"/>
  <c r="AT259" i="2"/>
  <c r="AY259" i="2" s="1"/>
  <c r="AY267" i="2"/>
  <c r="AW266" i="2"/>
  <c r="AP266" i="2"/>
  <c r="AX265" i="2"/>
  <c r="AX269" i="2"/>
  <c r="AQ263" i="2"/>
  <c r="AQ269" i="2"/>
  <c r="AX259" i="2"/>
  <c r="AQ265" i="2"/>
  <c r="AP262" i="2"/>
  <c r="AW262" i="2"/>
  <c r="AX263" i="2"/>
  <c r="AQ259" i="2"/>
  <c r="AX268" i="2"/>
  <c r="AQ268" i="2"/>
  <c r="AP260" i="2"/>
  <c r="AW260" i="2"/>
  <c r="AW264" i="2"/>
  <c r="AP264" i="2"/>
  <c r="N269" i="6" l="1"/>
  <c r="P269" i="6"/>
  <c r="AY269" i="2"/>
  <c r="M264" i="6"/>
  <c r="O264" i="6"/>
  <c r="O260" i="6"/>
  <c r="M260" i="6"/>
  <c r="N268" i="6"/>
  <c r="N259" i="6"/>
  <c r="P263" i="6"/>
  <c r="O262" i="6"/>
  <c r="M262" i="6"/>
  <c r="N265" i="6"/>
  <c r="P259" i="6"/>
  <c r="N263" i="6"/>
  <c r="P265" i="6"/>
  <c r="M266" i="6"/>
  <c r="O266" i="6"/>
  <c r="AY265" i="2"/>
  <c r="AY268" i="2"/>
  <c r="P268" i="6" s="1"/>
  <c r="H268" i="6"/>
  <c r="BE264" i="2"/>
  <c r="BC264" i="2"/>
  <c r="Q264" i="6" s="1"/>
  <c r="BE260" i="2"/>
  <c r="BC260" i="2"/>
  <c r="Q260" i="6" s="1"/>
  <c r="AR268" i="2"/>
  <c r="AZ268" i="2"/>
  <c r="AR259" i="2"/>
  <c r="AZ263" i="2"/>
  <c r="BE262" i="2"/>
  <c r="BC262" i="2"/>
  <c r="Q262" i="6" s="1"/>
  <c r="AR265" i="2"/>
  <c r="AZ259" i="2"/>
  <c r="AR269" i="2"/>
  <c r="AR263" i="2"/>
  <c r="AZ269" i="2"/>
  <c r="AZ265" i="2"/>
  <c r="BE266" i="2"/>
  <c r="BC266" i="2"/>
  <c r="Q266" i="6" s="1"/>
  <c r="BF259" i="2"/>
  <c r="BG259" i="2"/>
  <c r="BD259" i="2"/>
  <c r="R259" i="6" s="1"/>
  <c r="BF269" i="2"/>
  <c r="BG269" i="2"/>
  <c r="BD269" i="2"/>
  <c r="R269" i="6" s="1"/>
  <c r="BG265" i="2"/>
  <c r="BF265" i="2"/>
  <c r="BD265" i="2"/>
  <c r="R265" i="6" s="1"/>
  <c r="BD268" i="2"/>
  <c r="R268" i="6" s="1"/>
  <c r="BF263" i="2"/>
  <c r="BG263" i="2"/>
  <c r="BD263" i="2"/>
  <c r="R263" i="6" s="1"/>
  <c r="BG267" i="2"/>
  <c r="BF267" i="2"/>
  <c r="BD267" i="2"/>
  <c r="R267" i="6" s="1"/>
  <c r="AO264" i="2"/>
  <c r="H264" i="6" s="1"/>
  <c r="AO260" i="2"/>
  <c r="H260" i="6" s="1"/>
  <c r="AO262" i="2"/>
  <c r="H262" i="6" s="1"/>
  <c r="AO266" i="2"/>
  <c r="H266" i="6" s="1"/>
  <c r="AQ264" i="2"/>
  <c r="AX264" i="2"/>
  <c r="AQ262" i="2"/>
  <c r="AX262" i="2"/>
  <c r="AQ266" i="2"/>
  <c r="AX266" i="2"/>
  <c r="AQ260" i="2"/>
  <c r="AX260" i="2"/>
  <c r="BG268" i="2" l="1"/>
  <c r="N260" i="6"/>
  <c r="N266" i="6"/>
  <c r="N262" i="6"/>
  <c r="N264" i="6"/>
  <c r="AY264" i="2"/>
  <c r="P264" i="6" s="1"/>
  <c r="BF268" i="2"/>
  <c r="AZ260" i="2"/>
  <c r="AR260" i="2"/>
  <c r="AZ266" i="2"/>
  <c r="AR266" i="2"/>
  <c r="AZ262" i="2"/>
  <c r="AR262" i="2"/>
  <c r="AZ264" i="2"/>
  <c r="AR264" i="2"/>
  <c r="BD264" i="2"/>
  <c r="R264" i="6" s="1"/>
  <c r="AY266" i="2"/>
  <c r="P266" i="6" s="1"/>
  <c r="AY262" i="2"/>
  <c r="P262" i="6" s="1"/>
  <c r="AY260" i="2"/>
  <c r="P260" i="6" s="1"/>
  <c r="S257" i="6"/>
  <c r="B257" i="6"/>
  <c r="A257" i="6"/>
  <c r="S256" i="6"/>
  <c r="B256" i="6"/>
  <c r="A256" i="6"/>
  <c r="S255" i="6"/>
  <c r="B255" i="6"/>
  <c r="A255" i="6"/>
  <c r="S254" i="6"/>
  <c r="B254" i="6"/>
  <c r="A254" i="6"/>
  <c r="S253" i="6"/>
  <c r="B253" i="6"/>
  <c r="A253" i="6"/>
  <c r="S252" i="6"/>
  <c r="F252" i="6"/>
  <c r="B252" i="6"/>
  <c r="A252" i="6"/>
  <c r="S251" i="6"/>
  <c r="E251" i="6"/>
  <c r="B251" i="6"/>
  <c r="A251" i="6"/>
  <c r="S250" i="6"/>
  <c r="B250" i="6"/>
  <c r="A250" i="6"/>
  <c r="S249" i="6"/>
  <c r="B249" i="6"/>
  <c r="A249" i="6"/>
  <c r="S248" i="6"/>
  <c r="B248" i="6"/>
  <c r="A248" i="6"/>
  <c r="S247" i="6"/>
  <c r="E247" i="6"/>
  <c r="B247" i="6"/>
  <c r="A247" i="6"/>
  <c r="BB257" i="2"/>
  <c r="BA257" i="2"/>
  <c r="AV257" i="2"/>
  <c r="AD257" i="2"/>
  <c r="AF257" i="2" s="1"/>
  <c r="X257" i="2"/>
  <c r="Z257" i="2" s="1"/>
  <c r="S257" i="2"/>
  <c r="U257" i="2" s="1"/>
  <c r="E257" i="2"/>
  <c r="G257" i="2" s="1"/>
  <c r="D257" i="2"/>
  <c r="C257" i="2"/>
  <c r="J257" i="2" s="1"/>
  <c r="L257" i="2" s="1"/>
  <c r="M257" i="2" s="1"/>
  <c r="B257" i="2"/>
  <c r="A257" i="2"/>
  <c r="BB256" i="2"/>
  <c r="BA256" i="2"/>
  <c r="AV256" i="2"/>
  <c r="AD256" i="2"/>
  <c r="AF256" i="2" s="1"/>
  <c r="X256" i="2"/>
  <c r="Y256" i="2" s="1"/>
  <c r="F256" i="6" s="1"/>
  <c r="S256" i="2"/>
  <c r="E256" i="2"/>
  <c r="G256" i="2" s="1"/>
  <c r="C256" i="2"/>
  <c r="D256" i="2" s="1"/>
  <c r="B256" i="2"/>
  <c r="A256" i="2"/>
  <c r="BB255" i="2"/>
  <c r="BA255" i="2"/>
  <c r="AV255" i="2"/>
  <c r="AD255" i="2"/>
  <c r="X255" i="2"/>
  <c r="E255" i="6" s="1"/>
  <c r="S255" i="2"/>
  <c r="J255" i="2"/>
  <c r="E255" i="2"/>
  <c r="D255" i="2"/>
  <c r="C255" i="2"/>
  <c r="B255" i="2"/>
  <c r="A255" i="2"/>
  <c r="BB254" i="2"/>
  <c r="BA254" i="2"/>
  <c r="AV254" i="2"/>
  <c r="AD254" i="2"/>
  <c r="AF254" i="2" s="1"/>
  <c r="X254" i="2"/>
  <c r="Z254" i="2" s="1"/>
  <c r="S254" i="2"/>
  <c r="T254" i="2" s="1"/>
  <c r="J254" i="2"/>
  <c r="L254" i="2" s="1"/>
  <c r="M254" i="2" s="1"/>
  <c r="E254" i="2"/>
  <c r="G254" i="2" s="1"/>
  <c r="C254" i="2"/>
  <c r="D254" i="2" s="1"/>
  <c r="B254" i="2"/>
  <c r="A254" i="2"/>
  <c r="BB253" i="2"/>
  <c r="BA253" i="2"/>
  <c r="AV253" i="2"/>
  <c r="AF253" i="2"/>
  <c r="AD253" i="2"/>
  <c r="AE253" i="2" s="1"/>
  <c r="Z253" i="2"/>
  <c r="Y253" i="2"/>
  <c r="F253" i="6" s="1"/>
  <c r="X253" i="2"/>
  <c r="E253" i="6" s="1"/>
  <c r="S253" i="2"/>
  <c r="U253" i="2" s="1"/>
  <c r="AJ253" i="2" s="1"/>
  <c r="K253" i="6" s="1"/>
  <c r="F253" i="2"/>
  <c r="E253" i="2"/>
  <c r="G253" i="2" s="1"/>
  <c r="C253" i="2"/>
  <c r="B253" i="2"/>
  <c r="A253" i="2"/>
  <c r="BB252" i="2"/>
  <c r="BA252" i="2"/>
  <c r="AV252" i="2"/>
  <c r="AD252" i="2"/>
  <c r="AE252" i="2" s="1"/>
  <c r="X252" i="2"/>
  <c r="Y252" i="2" s="1"/>
  <c r="S252" i="2"/>
  <c r="T252" i="2" s="1"/>
  <c r="G252" i="2"/>
  <c r="O252" i="2" s="1"/>
  <c r="P252" i="2" s="1"/>
  <c r="D252" i="6" s="1"/>
  <c r="E252" i="2"/>
  <c r="F252" i="2" s="1"/>
  <c r="C252" i="2"/>
  <c r="J252" i="2" s="1"/>
  <c r="K252" i="2" s="1"/>
  <c r="B252" i="2"/>
  <c r="A252" i="2"/>
  <c r="BB251" i="2"/>
  <c r="BA251" i="2"/>
  <c r="AV251" i="2"/>
  <c r="AF251" i="2"/>
  <c r="AD251" i="2"/>
  <c r="AE251" i="2" s="1"/>
  <c r="Z251" i="2"/>
  <c r="X251" i="2"/>
  <c r="Y251" i="2" s="1"/>
  <c r="F251" i="6" s="1"/>
  <c r="U251" i="2"/>
  <c r="S251" i="2"/>
  <c r="T251" i="2" s="1"/>
  <c r="G251" i="2"/>
  <c r="O251" i="2" s="1"/>
  <c r="C251" i="6" s="1"/>
  <c r="E251" i="2"/>
  <c r="F251" i="2" s="1"/>
  <c r="C251" i="2"/>
  <c r="J251" i="2" s="1"/>
  <c r="B251" i="2"/>
  <c r="A251" i="2"/>
  <c r="BB250" i="2"/>
  <c r="BA250" i="2"/>
  <c r="AV250" i="2"/>
  <c r="AD250" i="2"/>
  <c r="AE250" i="2" s="1"/>
  <c r="X250" i="2"/>
  <c r="Y250" i="2" s="1"/>
  <c r="F250" i="6" s="1"/>
  <c r="S250" i="2"/>
  <c r="T250" i="2" s="1"/>
  <c r="E250" i="2"/>
  <c r="F250" i="2" s="1"/>
  <c r="C250" i="2"/>
  <c r="J250" i="2" s="1"/>
  <c r="K250" i="2" s="1"/>
  <c r="B250" i="2"/>
  <c r="A250" i="2"/>
  <c r="BB249" i="2"/>
  <c r="BA249" i="2"/>
  <c r="AV249" i="2"/>
  <c r="AD249" i="2"/>
  <c r="X249" i="2"/>
  <c r="E249" i="6" s="1"/>
  <c r="S249" i="2"/>
  <c r="E249" i="2"/>
  <c r="C249" i="2"/>
  <c r="D249" i="2" s="1"/>
  <c r="B249" i="2"/>
  <c r="A249" i="2"/>
  <c r="BB248" i="2"/>
  <c r="BA248" i="2"/>
  <c r="AV248" i="2"/>
  <c r="AE248" i="2"/>
  <c r="AD248" i="2"/>
  <c r="AF248" i="2" s="1"/>
  <c r="AG248" i="2" s="1"/>
  <c r="Z248" i="2"/>
  <c r="X248" i="2"/>
  <c r="E248" i="6" s="1"/>
  <c r="S248" i="2"/>
  <c r="T248" i="2" s="1"/>
  <c r="F248" i="2"/>
  <c r="E248" i="2"/>
  <c r="G248" i="2" s="1"/>
  <c r="H248" i="2" s="1"/>
  <c r="C248" i="2"/>
  <c r="D248" i="2" s="1"/>
  <c r="B248" i="2"/>
  <c r="A248" i="2"/>
  <c r="BB247" i="2"/>
  <c r="BA247" i="2"/>
  <c r="AV247" i="2"/>
  <c r="AD247" i="2"/>
  <c r="AF247" i="2" s="1"/>
  <c r="X247" i="2"/>
  <c r="Y247" i="2" s="1"/>
  <c r="F247" i="6" s="1"/>
  <c r="S247" i="2"/>
  <c r="T247" i="2" s="1"/>
  <c r="E247" i="2"/>
  <c r="F247" i="2" s="1"/>
  <c r="C247" i="2"/>
  <c r="B247" i="2"/>
  <c r="A247" i="2"/>
  <c r="BF264" i="2" l="1"/>
  <c r="BG264" i="2"/>
  <c r="BG260" i="2"/>
  <c r="BF260" i="2"/>
  <c r="BD260" i="2"/>
  <c r="R260" i="6" s="1"/>
  <c r="BG266" i="2"/>
  <c r="BF266" i="2"/>
  <c r="BD266" i="2"/>
  <c r="R266" i="6" s="1"/>
  <c r="BG262" i="2"/>
  <c r="BF262" i="2"/>
  <c r="BD262" i="2"/>
  <c r="R262" i="6" s="1"/>
  <c r="E257" i="6"/>
  <c r="U247" i="2"/>
  <c r="AJ247" i="2" s="1"/>
  <c r="K247" i="6" s="1"/>
  <c r="AE247" i="2"/>
  <c r="D250" i="2"/>
  <c r="AF252" i="2"/>
  <c r="AG252" i="2" s="1"/>
  <c r="T253" i="2"/>
  <c r="F254" i="2"/>
  <c r="AE254" i="2"/>
  <c r="J256" i="2"/>
  <c r="L256" i="2" s="1"/>
  <c r="M256" i="2" s="1"/>
  <c r="E250" i="6"/>
  <c r="C252" i="6"/>
  <c r="E254" i="6"/>
  <c r="G247" i="2"/>
  <c r="O247" i="2" s="1"/>
  <c r="C247" i="6" s="1"/>
  <c r="Z247" i="2"/>
  <c r="AH247" i="2" s="1"/>
  <c r="Y248" i="2"/>
  <c r="F248" i="6" s="1"/>
  <c r="J249" i="2"/>
  <c r="Z252" i="2"/>
  <c r="AA252" i="2" s="1"/>
  <c r="K254" i="2"/>
  <c r="Y254" i="2"/>
  <c r="F254" i="6" s="1"/>
  <c r="E252" i="6"/>
  <c r="E256" i="6"/>
  <c r="AJ257" i="2"/>
  <c r="K257" i="6" s="1"/>
  <c r="V257" i="2"/>
  <c r="AA257" i="2"/>
  <c r="H256" i="2"/>
  <c r="O256" i="2"/>
  <c r="C256" i="6" s="1"/>
  <c r="AG256" i="2"/>
  <c r="O257" i="2"/>
  <c r="C257" i="6" s="1"/>
  <c r="H257" i="2"/>
  <c r="AH257" i="2"/>
  <c r="I257" i="6" s="1"/>
  <c r="AG257" i="2"/>
  <c r="F256" i="2"/>
  <c r="T256" i="2"/>
  <c r="AE256" i="2"/>
  <c r="Z256" i="2"/>
  <c r="F257" i="2"/>
  <c r="K257" i="2"/>
  <c r="T257" i="2"/>
  <c r="Y257" i="2"/>
  <c r="F257" i="6" s="1"/>
  <c r="AE257" i="2"/>
  <c r="Q252" i="2"/>
  <c r="AL252" i="2" s="1"/>
  <c r="O253" i="2"/>
  <c r="C253" i="6" s="1"/>
  <c r="H253" i="2"/>
  <c r="AH254" i="2"/>
  <c r="I254" i="6" s="1"/>
  <c r="AG254" i="2"/>
  <c r="J253" i="2"/>
  <c r="D253" i="2"/>
  <c r="V253" i="2"/>
  <c r="D252" i="2"/>
  <c r="AA254" i="2"/>
  <c r="G255" i="2"/>
  <c r="F255" i="2"/>
  <c r="Z255" i="2"/>
  <c r="Y255" i="2"/>
  <c r="F255" i="6" s="1"/>
  <c r="AA253" i="2"/>
  <c r="H252" i="2"/>
  <c r="U255" i="2"/>
  <c r="U254" i="2" s="1"/>
  <c r="T255" i="2"/>
  <c r="L252" i="2"/>
  <c r="M252" i="2" s="1"/>
  <c r="U252" i="2"/>
  <c r="AH253" i="2"/>
  <c r="I253" i="6" s="1"/>
  <c r="AG253" i="2"/>
  <c r="O254" i="2"/>
  <c r="C254" i="6" s="1"/>
  <c r="H254" i="2"/>
  <c r="L255" i="2"/>
  <c r="M255" i="2" s="1"/>
  <c r="K255" i="2"/>
  <c r="AF255" i="2"/>
  <c r="AE255" i="2"/>
  <c r="AH252" i="2"/>
  <c r="Q251" i="2"/>
  <c r="R251" i="2" s="1"/>
  <c r="P251" i="2"/>
  <c r="D251" i="6" s="1"/>
  <c r="U249" i="2"/>
  <c r="U248" i="2" s="1"/>
  <c r="T249" i="2"/>
  <c r="AG247" i="2"/>
  <c r="G249" i="2"/>
  <c r="F249" i="2"/>
  <c r="Z249" i="2"/>
  <c r="Y249" i="2"/>
  <c r="F249" i="6" s="1"/>
  <c r="L251" i="2"/>
  <c r="M251" i="2" s="1"/>
  <c r="K251" i="2"/>
  <c r="J247" i="2"/>
  <c r="D247" i="2"/>
  <c r="AA247" i="2"/>
  <c r="L249" i="2"/>
  <c r="M249" i="2" s="1"/>
  <c r="K249" i="2"/>
  <c r="AF249" i="2"/>
  <c r="AE249" i="2"/>
  <c r="H247" i="2"/>
  <c r="H251" i="2"/>
  <c r="AA251" i="2"/>
  <c r="AG251" i="2"/>
  <c r="J248" i="2"/>
  <c r="O248" i="2"/>
  <c r="C248" i="6" s="1"/>
  <c r="AH248" i="2"/>
  <c r="I248" i="6" s="1"/>
  <c r="G250" i="2"/>
  <c r="L250" i="2"/>
  <c r="M250" i="2" s="1"/>
  <c r="U250" i="2"/>
  <c r="Z250" i="2"/>
  <c r="AF250" i="2"/>
  <c r="AJ251" i="2"/>
  <c r="K251" i="6" s="1"/>
  <c r="AN251" i="2"/>
  <c r="G251" i="6" s="1"/>
  <c r="D251" i="2"/>
  <c r="V251" i="2"/>
  <c r="AA248" i="2"/>
  <c r="AH251" i="2"/>
  <c r="I251" i="6" s="1"/>
  <c r="AP251" i="2"/>
  <c r="M251" i="6" l="1"/>
  <c r="AI247" i="2"/>
  <c r="J247" i="6" s="1"/>
  <c r="I247" i="6"/>
  <c r="AI252" i="2"/>
  <c r="J252" i="6" s="1"/>
  <c r="I252" i="6"/>
  <c r="V247" i="2"/>
  <c r="AK247" i="2" s="1"/>
  <c r="L247" i="6" s="1"/>
  <c r="U256" i="2"/>
  <c r="K256" i="2"/>
  <c r="Q257" i="2"/>
  <c r="P257" i="2"/>
  <c r="D257" i="6" s="1"/>
  <c r="Q256" i="2"/>
  <c r="P256" i="2"/>
  <c r="D256" i="6" s="1"/>
  <c r="AK257" i="2"/>
  <c r="L257" i="6" s="1"/>
  <c r="AI257" i="2"/>
  <c r="J257" i="6" s="1"/>
  <c r="AS256" i="2"/>
  <c r="AA256" i="2"/>
  <c r="AH256" i="2"/>
  <c r="Q254" i="2"/>
  <c r="P254" i="2"/>
  <c r="D254" i="6" s="1"/>
  <c r="P253" i="2"/>
  <c r="D253" i="6" s="1"/>
  <c r="Q253" i="2"/>
  <c r="AA255" i="2"/>
  <c r="AI254" i="2"/>
  <c r="J254" i="6" s="1"/>
  <c r="AI253" i="2"/>
  <c r="J253" i="6" s="1"/>
  <c r="K253" i="2"/>
  <c r="L253" i="2"/>
  <c r="M253" i="2" s="1"/>
  <c r="V255" i="2"/>
  <c r="AJ255" i="2"/>
  <c r="K255" i="6" s="1"/>
  <c r="H255" i="2"/>
  <c r="O255" i="2"/>
  <c r="C255" i="6" s="1"/>
  <c r="AK253" i="2"/>
  <c r="L253" i="6" s="1"/>
  <c r="AG255" i="2"/>
  <c r="AH255" i="2"/>
  <c r="AJ252" i="2"/>
  <c r="K252" i="6" s="1"/>
  <c r="V252" i="2"/>
  <c r="V254" i="2"/>
  <c r="AJ254" i="2"/>
  <c r="K254" i="6" s="1"/>
  <c r="AS252" i="2"/>
  <c r="R252" i="2"/>
  <c r="AM252" i="2" s="1"/>
  <c r="V248" i="2"/>
  <c r="AJ248" i="2"/>
  <c r="K248" i="6" s="1"/>
  <c r="Q248" i="2"/>
  <c r="P248" i="2"/>
  <c r="D248" i="6" s="1"/>
  <c r="AG249" i="2"/>
  <c r="AH249" i="2"/>
  <c r="K247" i="2"/>
  <c r="L247" i="2"/>
  <c r="M247" i="2" s="1"/>
  <c r="H249" i="2"/>
  <c r="O249" i="2"/>
  <c r="C249" i="6" s="1"/>
  <c r="AK251" i="2"/>
  <c r="L251" i="6" s="1"/>
  <c r="AH250" i="2"/>
  <c r="I250" i="6" s="1"/>
  <c r="AG250" i="2"/>
  <c r="O250" i="2"/>
  <c r="C250" i="6" s="1"/>
  <c r="H250" i="2"/>
  <c r="L248" i="2"/>
  <c r="M248" i="2" s="1"/>
  <c r="K248" i="2"/>
  <c r="AL251" i="2"/>
  <c r="AM251" i="2" s="1"/>
  <c r="AJ249" i="2"/>
  <c r="K249" i="6" s="1"/>
  <c r="V249" i="2"/>
  <c r="AS251" i="2"/>
  <c r="AA250" i="2"/>
  <c r="P247" i="2"/>
  <c r="D247" i="6" s="1"/>
  <c r="Q247" i="2"/>
  <c r="AA249" i="2"/>
  <c r="AI251" i="2"/>
  <c r="J251" i="6" s="1"/>
  <c r="AO251" i="2"/>
  <c r="H251" i="6" s="1"/>
  <c r="AJ250" i="2"/>
  <c r="K250" i="6" s="1"/>
  <c r="V250" i="2"/>
  <c r="AI248" i="2"/>
  <c r="J248" i="6" s="1"/>
  <c r="AW251" i="2"/>
  <c r="AQ251" i="2"/>
  <c r="N251" i="6" l="1"/>
  <c r="O251" i="6"/>
  <c r="AI255" i="2"/>
  <c r="J255" i="6" s="1"/>
  <c r="I255" i="6"/>
  <c r="AI256" i="2"/>
  <c r="J256" i="6" s="1"/>
  <c r="I256" i="6"/>
  <c r="AJ256" i="2"/>
  <c r="K256" i="6" s="1"/>
  <c r="V256" i="2"/>
  <c r="AK256" i="2" s="1"/>
  <c r="L256" i="6" s="1"/>
  <c r="AI249" i="2"/>
  <c r="J249" i="6" s="1"/>
  <c r="I249" i="6"/>
  <c r="R257" i="2"/>
  <c r="AS257" i="2"/>
  <c r="AN257" i="2"/>
  <c r="G257" i="6" s="1"/>
  <c r="AL257" i="2"/>
  <c r="AT256" i="2"/>
  <c r="R256" i="2"/>
  <c r="AL256" i="2"/>
  <c r="R253" i="2"/>
  <c r="AN253" i="2"/>
  <c r="G253" i="6" s="1"/>
  <c r="AS253" i="2"/>
  <c r="AL253" i="2"/>
  <c r="AT252" i="2"/>
  <c r="AK252" i="2"/>
  <c r="L252" i="6" s="1"/>
  <c r="Q255" i="2"/>
  <c r="P255" i="2"/>
  <c r="D255" i="6" s="1"/>
  <c r="AK255" i="2"/>
  <c r="L255" i="6" s="1"/>
  <c r="AK254" i="2"/>
  <c r="L254" i="6" s="1"/>
  <c r="R254" i="2"/>
  <c r="AL254" i="2"/>
  <c r="AS254" i="2"/>
  <c r="AR251" i="2"/>
  <c r="BE251" i="2"/>
  <c r="BC251" i="2"/>
  <c r="Q251" i="6" s="1"/>
  <c r="R247" i="2"/>
  <c r="AN247" i="2"/>
  <c r="G247" i="6" s="1"/>
  <c r="AL247" i="2"/>
  <c r="AS247" i="2"/>
  <c r="AT251" i="2"/>
  <c r="P250" i="2"/>
  <c r="D250" i="6" s="1"/>
  <c r="Q250" i="2"/>
  <c r="AK250" i="2"/>
  <c r="L250" i="6" s="1"/>
  <c r="Q249" i="2"/>
  <c r="P249" i="2"/>
  <c r="D249" i="6" s="1"/>
  <c r="AK248" i="2"/>
  <c r="L248" i="6" s="1"/>
  <c r="AK249" i="2"/>
  <c r="L249" i="6" s="1"/>
  <c r="AI250" i="2"/>
  <c r="J250" i="6" s="1"/>
  <c r="R248" i="2"/>
  <c r="AS248" i="2"/>
  <c r="AL248" i="2"/>
  <c r="AP257" i="2"/>
  <c r="AW257" i="2"/>
  <c r="AW253" i="2"/>
  <c r="AP253" i="2"/>
  <c r="AW247" i="2"/>
  <c r="AX251" i="2"/>
  <c r="AP247" i="2"/>
  <c r="O257" i="6" l="1"/>
  <c r="M257" i="6"/>
  <c r="M247" i="6"/>
  <c r="P251" i="6"/>
  <c r="O247" i="6"/>
  <c r="M253" i="6"/>
  <c r="O253" i="6"/>
  <c r="AM247" i="2"/>
  <c r="BE257" i="2"/>
  <c r="BC257" i="2"/>
  <c r="Q257" i="6" s="1"/>
  <c r="AT257" i="2"/>
  <c r="AM257" i="2"/>
  <c r="AM256" i="2"/>
  <c r="AO257" i="2"/>
  <c r="H257" i="6" s="1"/>
  <c r="BE253" i="2"/>
  <c r="BC253" i="2"/>
  <c r="Q253" i="6" s="1"/>
  <c r="AO253" i="2"/>
  <c r="H253" i="6" s="1"/>
  <c r="AN252" i="2"/>
  <c r="G252" i="6" s="1"/>
  <c r="AT254" i="2"/>
  <c r="AM254" i="2"/>
  <c r="AM253" i="2"/>
  <c r="R255" i="2"/>
  <c r="AS255" i="2"/>
  <c r="AN255" i="2"/>
  <c r="AL255" i="2"/>
  <c r="AT253" i="2"/>
  <c r="AY253" i="2" s="1"/>
  <c r="AZ251" i="2"/>
  <c r="BE247" i="2"/>
  <c r="BC247" i="2"/>
  <c r="Q247" i="6" s="1"/>
  <c r="AT248" i="2"/>
  <c r="R250" i="2"/>
  <c r="AL250" i="2"/>
  <c r="AS250" i="2"/>
  <c r="AO247" i="2"/>
  <c r="H247" i="6" s="1"/>
  <c r="R249" i="2"/>
  <c r="AS249" i="2"/>
  <c r="AL249" i="2"/>
  <c r="AM249" i="2" s="1"/>
  <c r="AN249" i="2"/>
  <c r="G249" i="6" s="1"/>
  <c r="AY251" i="2"/>
  <c r="AM248" i="2"/>
  <c r="AT247" i="2"/>
  <c r="AY247" i="2" s="1"/>
  <c r="AX257" i="2"/>
  <c r="AQ257" i="2"/>
  <c r="AP255" i="2"/>
  <c r="AW252" i="2"/>
  <c r="AP252" i="2"/>
  <c r="AX253" i="2"/>
  <c r="AW255" i="2"/>
  <c r="AQ253" i="2"/>
  <c r="AX247" i="2"/>
  <c r="AQ247" i="2"/>
  <c r="AW249" i="2"/>
  <c r="AP249" i="2"/>
  <c r="N257" i="6" l="1"/>
  <c r="P257" i="6"/>
  <c r="M249" i="6"/>
  <c r="O249" i="6"/>
  <c r="N247" i="6"/>
  <c r="P247" i="6"/>
  <c r="N253" i="6"/>
  <c r="O255" i="6"/>
  <c r="P253" i="6"/>
  <c r="M252" i="6"/>
  <c r="O252" i="6"/>
  <c r="M255" i="6"/>
  <c r="AM255" i="2"/>
  <c r="AN254" i="2"/>
  <c r="G255" i="6"/>
  <c r="AN256" i="2"/>
  <c r="AO256" i="2" s="1"/>
  <c r="H256" i="6" s="1"/>
  <c r="AR257" i="2"/>
  <c r="AZ257" i="2"/>
  <c r="AY257" i="2"/>
  <c r="AR253" i="2"/>
  <c r="BE255" i="2"/>
  <c r="BC255" i="2"/>
  <c r="Q255" i="6" s="1"/>
  <c r="AZ253" i="2"/>
  <c r="BE252" i="2"/>
  <c r="BC252" i="2"/>
  <c r="Q252" i="6" s="1"/>
  <c r="AO254" i="2"/>
  <c r="H254" i="6" s="1"/>
  <c r="BG253" i="2"/>
  <c r="BF253" i="2"/>
  <c r="AT255" i="2"/>
  <c r="AY255" i="2" s="1"/>
  <c r="AO252" i="2"/>
  <c r="H252" i="6" s="1"/>
  <c r="AO255" i="2"/>
  <c r="H255" i="6" s="1"/>
  <c r="BD253" i="2"/>
  <c r="R253" i="6" s="1"/>
  <c r="BE249" i="2"/>
  <c r="BC249" i="2"/>
  <c r="Q249" i="6" s="1"/>
  <c r="AR247" i="2"/>
  <c r="AZ247" i="2"/>
  <c r="BG247" i="2"/>
  <c r="BF247" i="2"/>
  <c r="BD247" i="2"/>
  <c r="R247" i="6" s="1"/>
  <c r="AO249" i="2"/>
  <c r="H249" i="6" s="1"/>
  <c r="AN248" i="2"/>
  <c r="G248" i="6" s="1"/>
  <c r="AT249" i="2"/>
  <c r="AM250" i="2"/>
  <c r="AN250" i="2"/>
  <c r="G250" i="6" s="1"/>
  <c r="BG251" i="2"/>
  <c r="BF251" i="2"/>
  <c r="BD251" i="2"/>
  <c r="R251" i="6" s="1"/>
  <c r="AT250" i="2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BB245" i="2"/>
  <c r="BA245" i="2"/>
  <c r="AV245" i="2"/>
  <c r="AF245" i="2"/>
  <c r="AD245" i="2"/>
  <c r="AE245" i="2" s="1"/>
  <c r="Z245" i="2"/>
  <c r="X245" i="2"/>
  <c r="Y245" i="2" s="1"/>
  <c r="U245" i="2"/>
  <c r="S245" i="2"/>
  <c r="T245" i="2" s="1"/>
  <c r="G245" i="2"/>
  <c r="E245" i="2"/>
  <c r="F245" i="2" s="1"/>
  <c r="C245" i="2"/>
  <c r="B245" i="2"/>
  <c r="A245" i="2"/>
  <c r="BB244" i="2"/>
  <c r="BA244" i="2"/>
  <c r="AV244" i="2"/>
  <c r="AG244" i="2"/>
  <c r="AE244" i="2"/>
  <c r="AD244" i="2"/>
  <c r="AF244" i="2" s="1"/>
  <c r="AA244" i="2"/>
  <c r="Y244" i="2"/>
  <c r="X244" i="2"/>
  <c r="Z244" i="2" s="1"/>
  <c r="T244" i="2"/>
  <c r="S244" i="2"/>
  <c r="K244" i="2"/>
  <c r="J244" i="2"/>
  <c r="L244" i="2" s="1"/>
  <c r="M244" i="2" s="1"/>
  <c r="F244" i="2"/>
  <c r="E244" i="2"/>
  <c r="G244" i="2" s="1"/>
  <c r="O244" i="2" s="1"/>
  <c r="D244" i="2"/>
  <c r="C244" i="2"/>
  <c r="B244" i="2"/>
  <c r="A244" i="2"/>
  <c r="BB243" i="2"/>
  <c r="BA243" i="2"/>
  <c r="AV243" i="2"/>
  <c r="AD243" i="2"/>
  <c r="X243" i="2"/>
  <c r="S243" i="2"/>
  <c r="J243" i="2"/>
  <c r="E243" i="2"/>
  <c r="C243" i="2"/>
  <c r="D243" i="2" s="1"/>
  <c r="B243" i="2"/>
  <c r="A243" i="2"/>
  <c r="BB242" i="2"/>
  <c r="BA242" i="2"/>
  <c r="AV242" i="2"/>
  <c r="AG242" i="2"/>
  <c r="AF242" i="2"/>
  <c r="AE242" i="2"/>
  <c r="AD242" i="2"/>
  <c r="AA242" i="2"/>
  <c r="Z242" i="2"/>
  <c r="Y242" i="2"/>
  <c r="X242" i="2"/>
  <c r="T242" i="2"/>
  <c r="S242" i="2"/>
  <c r="H242" i="2"/>
  <c r="G242" i="2"/>
  <c r="O242" i="2" s="1"/>
  <c r="Q242" i="2" s="1"/>
  <c r="F242" i="2"/>
  <c r="E242" i="2"/>
  <c r="D242" i="2"/>
  <c r="C242" i="2"/>
  <c r="J242" i="2" s="1"/>
  <c r="L242" i="2" s="1"/>
  <c r="M242" i="2" s="1"/>
  <c r="B242" i="2"/>
  <c r="A242" i="2"/>
  <c r="BB241" i="2"/>
  <c r="BA241" i="2"/>
  <c r="AV241" i="2"/>
  <c r="AJ241" i="2"/>
  <c r="AF241" i="2"/>
  <c r="AG241" i="2" s="1"/>
  <c r="AD241" i="2"/>
  <c r="AE241" i="2" s="1"/>
  <c r="X241" i="2"/>
  <c r="Y241" i="2" s="1"/>
  <c r="U241" i="2"/>
  <c r="S241" i="2"/>
  <c r="T241" i="2" s="1"/>
  <c r="E241" i="2"/>
  <c r="F241" i="2" s="1"/>
  <c r="C241" i="2"/>
  <c r="D241" i="2" s="1"/>
  <c r="B241" i="2"/>
  <c r="A241" i="2"/>
  <c r="AP256" i="2"/>
  <c r="AW256" i="2"/>
  <c r="AP254" i="2"/>
  <c r="AW254" i="2"/>
  <c r="AX256" i="2"/>
  <c r="AQ256" i="2"/>
  <c r="AX255" i="2"/>
  <c r="AX254" i="2"/>
  <c r="AQ254" i="2"/>
  <c r="AX252" i="2"/>
  <c r="AQ252" i="2"/>
  <c r="AQ255" i="2"/>
  <c r="AQ249" i="2"/>
  <c r="AW248" i="2"/>
  <c r="AP248" i="2"/>
  <c r="AX249" i="2"/>
  <c r="AW250" i="2"/>
  <c r="AP250" i="2"/>
  <c r="M250" i="6" l="1"/>
  <c r="O250" i="6"/>
  <c r="P249" i="6"/>
  <c r="M248" i="6"/>
  <c r="O248" i="6"/>
  <c r="N249" i="6"/>
  <c r="N255" i="6"/>
  <c r="N252" i="6"/>
  <c r="N254" i="6"/>
  <c r="P255" i="6"/>
  <c r="N256" i="6"/>
  <c r="O254" i="6"/>
  <c r="AY254" i="2"/>
  <c r="BE254" i="2"/>
  <c r="BC254" i="2"/>
  <c r="Q254" i="6" s="1"/>
  <c r="M254" i="6"/>
  <c r="O256" i="6"/>
  <c r="AY256" i="2"/>
  <c r="P256" i="6" s="1"/>
  <c r="BC256" i="2"/>
  <c r="Q256" i="6" s="1"/>
  <c r="BE256" i="2"/>
  <c r="M256" i="6"/>
  <c r="G254" i="6"/>
  <c r="G256" i="6"/>
  <c r="AY252" i="2"/>
  <c r="P252" i="6" s="1"/>
  <c r="AR256" i="2"/>
  <c r="AZ256" i="2"/>
  <c r="BG257" i="2"/>
  <c r="BF257" i="2"/>
  <c r="BD257" i="2"/>
  <c r="R257" i="6" s="1"/>
  <c r="BG256" i="2"/>
  <c r="AR255" i="2"/>
  <c r="AR252" i="2"/>
  <c r="AZ252" i="2"/>
  <c r="AR254" i="2"/>
  <c r="AZ254" i="2"/>
  <c r="AZ255" i="2"/>
  <c r="BF255" i="2"/>
  <c r="BG255" i="2"/>
  <c r="BD255" i="2"/>
  <c r="R255" i="6" s="1"/>
  <c r="BG252" i="2"/>
  <c r="BD252" i="2"/>
  <c r="R252" i="6" s="1"/>
  <c r="BG254" i="2"/>
  <c r="BF254" i="2"/>
  <c r="BE250" i="2"/>
  <c r="BC250" i="2"/>
  <c r="Q250" i="6" s="1"/>
  <c r="AZ249" i="2"/>
  <c r="AY248" i="2"/>
  <c r="BE248" i="2"/>
  <c r="BC248" i="2"/>
  <c r="Q248" i="6" s="1"/>
  <c r="AR249" i="2"/>
  <c r="AO250" i="2"/>
  <c r="H250" i="6" s="1"/>
  <c r="AO248" i="2"/>
  <c r="H248" i="6" s="1"/>
  <c r="AY249" i="2"/>
  <c r="AS244" i="2"/>
  <c r="AS242" i="2"/>
  <c r="R242" i="2"/>
  <c r="G241" i="2"/>
  <c r="F243" i="2"/>
  <c r="G243" i="2"/>
  <c r="Q244" i="2"/>
  <c r="R244" i="2" s="1"/>
  <c r="P244" i="2"/>
  <c r="H245" i="2"/>
  <c r="O245" i="2"/>
  <c r="V245" i="2"/>
  <c r="AG245" i="2"/>
  <c r="AH245" i="2"/>
  <c r="J241" i="2"/>
  <c r="K242" i="2"/>
  <c r="K243" i="2"/>
  <c r="L243" i="2"/>
  <c r="M243" i="2" s="1"/>
  <c r="AE243" i="2"/>
  <c r="AF243" i="2"/>
  <c r="AL244" i="2"/>
  <c r="AH244" i="2"/>
  <c r="AI244" i="2" s="1"/>
  <c r="AJ245" i="2"/>
  <c r="AL242" i="2"/>
  <c r="T243" i="2"/>
  <c r="U243" i="2"/>
  <c r="Z241" i="2"/>
  <c r="Y243" i="2"/>
  <c r="Z243" i="2"/>
  <c r="V241" i="2"/>
  <c r="P242" i="2"/>
  <c r="H244" i="2"/>
  <c r="D245" i="2"/>
  <c r="J245" i="2"/>
  <c r="AA245" i="2"/>
  <c r="AH242" i="2"/>
  <c r="AI242" i="2" s="1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6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5" i="6"/>
  <c r="BB239" i="2"/>
  <c r="BA239" i="2"/>
  <c r="AV239" i="2"/>
  <c r="AD239" i="2"/>
  <c r="AF239" i="2" s="1"/>
  <c r="X239" i="2"/>
  <c r="Z239" i="2" s="1"/>
  <c r="S239" i="2"/>
  <c r="U239" i="2" s="1"/>
  <c r="J239" i="2"/>
  <c r="L239" i="2" s="1"/>
  <c r="M239" i="2" s="1"/>
  <c r="E239" i="2"/>
  <c r="G239" i="2" s="1"/>
  <c r="D239" i="2"/>
  <c r="C239" i="2"/>
  <c r="B239" i="2"/>
  <c r="A239" i="2"/>
  <c r="BB238" i="2"/>
  <c r="BA238" i="2"/>
  <c r="AV238" i="2"/>
  <c r="AD238" i="2"/>
  <c r="AF238" i="2" s="1"/>
  <c r="X238" i="2"/>
  <c r="Y238" i="2" s="1"/>
  <c r="S238" i="2"/>
  <c r="J238" i="2"/>
  <c r="L238" i="2" s="1"/>
  <c r="M238" i="2" s="1"/>
  <c r="E238" i="2"/>
  <c r="F238" i="2" s="1"/>
  <c r="D238" i="2"/>
  <c r="C238" i="2"/>
  <c r="B238" i="2"/>
  <c r="A238" i="2"/>
  <c r="BB237" i="2"/>
  <c r="BA237" i="2"/>
  <c r="AV237" i="2"/>
  <c r="AD237" i="2"/>
  <c r="AE237" i="2" s="1"/>
  <c r="X237" i="2"/>
  <c r="Y237" i="2" s="1"/>
  <c r="S237" i="2"/>
  <c r="U237" i="2" s="1"/>
  <c r="J237" i="2"/>
  <c r="K237" i="2" s="1"/>
  <c r="E237" i="2"/>
  <c r="G237" i="2" s="1"/>
  <c r="C237" i="2"/>
  <c r="D237" i="2" s="1"/>
  <c r="B237" i="2"/>
  <c r="A237" i="2"/>
  <c r="BB236" i="2"/>
  <c r="BA236" i="2"/>
  <c r="AV236" i="2"/>
  <c r="AF236" i="2"/>
  <c r="AE236" i="2"/>
  <c r="AD236" i="2"/>
  <c r="Z236" i="2"/>
  <c r="Y236" i="2"/>
  <c r="X236" i="2"/>
  <c r="T236" i="2"/>
  <c r="S236" i="2"/>
  <c r="G236" i="2"/>
  <c r="O236" i="2" s="1"/>
  <c r="F236" i="2"/>
  <c r="E236" i="2"/>
  <c r="C236" i="2"/>
  <c r="J236" i="2" s="1"/>
  <c r="B236" i="2"/>
  <c r="A236" i="2"/>
  <c r="BB235" i="2"/>
  <c r="BA235" i="2"/>
  <c r="AV235" i="2"/>
  <c r="AF235" i="2"/>
  <c r="AD235" i="2"/>
  <c r="AE235" i="2" s="1"/>
  <c r="Z235" i="2"/>
  <c r="X235" i="2"/>
  <c r="Y235" i="2" s="1"/>
  <c r="U235" i="2"/>
  <c r="U236" i="2" s="1"/>
  <c r="S235" i="2"/>
  <c r="T235" i="2" s="1"/>
  <c r="G235" i="2"/>
  <c r="H235" i="2" s="1"/>
  <c r="E235" i="2"/>
  <c r="F235" i="2" s="1"/>
  <c r="C235" i="2"/>
  <c r="J235" i="2" s="1"/>
  <c r="B235" i="2"/>
  <c r="A235" i="2"/>
  <c r="AX250" i="2"/>
  <c r="AQ250" i="2"/>
  <c r="AX248" i="2"/>
  <c r="AQ248" i="2"/>
  <c r="N248" i="6" l="1"/>
  <c r="N250" i="6"/>
  <c r="BD256" i="2"/>
  <c r="R256" i="6" s="1"/>
  <c r="BF252" i="2"/>
  <c r="BF256" i="2"/>
  <c r="BD248" i="2"/>
  <c r="R248" i="6" s="1"/>
  <c r="P248" i="6"/>
  <c r="BD254" i="2"/>
  <c r="R254" i="6" s="1"/>
  <c r="P254" i="6"/>
  <c r="AR248" i="2"/>
  <c r="AZ248" i="2"/>
  <c r="AR250" i="2"/>
  <c r="AZ250" i="2"/>
  <c r="AY250" i="2"/>
  <c r="P250" i="6" s="1"/>
  <c r="BF248" i="2"/>
  <c r="BG248" i="2"/>
  <c r="BF249" i="2"/>
  <c r="BG249" i="2"/>
  <c r="BD249" i="2"/>
  <c r="R249" i="6" s="1"/>
  <c r="K241" i="2"/>
  <c r="L241" i="2"/>
  <c r="M241" i="2" s="1"/>
  <c r="AK245" i="2"/>
  <c r="H241" i="2"/>
  <c r="O241" i="2"/>
  <c r="AM244" i="2"/>
  <c r="AI245" i="2"/>
  <c r="AA243" i="2"/>
  <c r="AK241" i="2"/>
  <c r="AG243" i="2"/>
  <c r="AH243" i="2"/>
  <c r="AI243" i="2" s="1"/>
  <c r="P245" i="2"/>
  <c r="Q245" i="2"/>
  <c r="H243" i="2"/>
  <c r="O243" i="2"/>
  <c r="AT242" i="2"/>
  <c r="K245" i="2"/>
  <c r="L245" i="2"/>
  <c r="M245" i="2" s="1"/>
  <c r="V243" i="2"/>
  <c r="AJ243" i="2"/>
  <c r="AA241" i="2"/>
  <c r="AH241" i="2"/>
  <c r="AI241" i="2" s="1"/>
  <c r="AM242" i="2"/>
  <c r="U242" i="2"/>
  <c r="U244" i="2"/>
  <c r="AT244" i="2"/>
  <c r="L235" i="2"/>
  <c r="M235" i="2" s="1"/>
  <c r="K235" i="2"/>
  <c r="AJ236" i="2"/>
  <c r="V236" i="2"/>
  <c r="O237" i="2"/>
  <c r="H237" i="2"/>
  <c r="AH238" i="2"/>
  <c r="AG238" i="2"/>
  <c r="O239" i="2"/>
  <c r="H239" i="2"/>
  <c r="AH239" i="2"/>
  <c r="AG239" i="2"/>
  <c r="Q236" i="2"/>
  <c r="R236" i="2" s="1"/>
  <c r="P236" i="2"/>
  <c r="L236" i="2"/>
  <c r="M236" i="2" s="1"/>
  <c r="K236" i="2"/>
  <c r="V237" i="2"/>
  <c r="AJ237" i="2"/>
  <c r="U238" i="2"/>
  <c r="V239" i="2"/>
  <c r="AJ239" i="2"/>
  <c r="AA239" i="2"/>
  <c r="O235" i="2"/>
  <c r="D236" i="2"/>
  <c r="H236" i="2"/>
  <c r="AA236" i="2"/>
  <c r="AG236" i="2"/>
  <c r="L237" i="2"/>
  <c r="M237" i="2" s="1"/>
  <c r="Z237" i="2"/>
  <c r="AF237" i="2"/>
  <c r="K238" i="2"/>
  <c r="T238" i="2"/>
  <c r="AE238" i="2"/>
  <c r="AH236" i="2"/>
  <c r="AI236" i="2" s="1"/>
  <c r="G238" i="2"/>
  <c r="Z238" i="2"/>
  <c r="F239" i="2"/>
  <c r="K239" i="2"/>
  <c r="T239" i="2"/>
  <c r="Y239" i="2"/>
  <c r="AE239" i="2"/>
  <c r="AJ235" i="2"/>
  <c r="D235" i="2"/>
  <c r="V235" i="2"/>
  <c r="F237" i="2"/>
  <c r="T237" i="2"/>
  <c r="AA235" i="2"/>
  <c r="AG235" i="2"/>
  <c r="AH235" i="2"/>
  <c r="AI235" i="2" s="1"/>
  <c r="BF250" i="2" l="1"/>
  <c r="BG250" i="2"/>
  <c r="BD250" i="2"/>
  <c r="R250" i="6" s="1"/>
  <c r="R245" i="2"/>
  <c r="AS245" i="2"/>
  <c r="AL245" i="2"/>
  <c r="AN245" i="2"/>
  <c r="P241" i="2"/>
  <c r="Q241" i="2"/>
  <c r="AJ244" i="2"/>
  <c r="V244" i="2"/>
  <c r="AJ242" i="2"/>
  <c r="V242" i="2"/>
  <c r="AK243" i="2"/>
  <c r="P243" i="2"/>
  <c r="Q243" i="2"/>
  <c r="Q235" i="2"/>
  <c r="P235" i="2"/>
  <c r="AK239" i="2"/>
  <c r="AK236" i="2"/>
  <c r="AK235" i="2"/>
  <c r="AA238" i="2"/>
  <c r="V238" i="2"/>
  <c r="AJ238" i="2"/>
  <c r="AS236" i="2"/>
  <c r="AL236" i="2"/>
  <c r="Q239" i="2"/>
  <c r="P239" i="2"/>
  <c r="O238" i="2"/>
  <c r="H238" i="2"/>
  <c r="AI239" i="2"/>
  <c r="P237" i="2"/>
  <c r="Q237" i="2"/>
  <c r="R237" i="2" s="1"/>
  <c r="AK237" i="2"/>
  <c r="AL237" i="2"/>
  <c r="AM237" i="2" s="1"/>
  <c r="AH237" i="2"/>
  <c r="AI237" i="2" s="1"/>
  <c r="AG237" i="2"/>
  <c r="AN237" i="2"/>
  <c r="AI238" i="2"/>
  <c r="AS237" i="2"/>
  <c r="AA237" i="2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BB233" i="2"/>
  <c r="BA233" i="2"/>
  <c r="AV233" i="2"/>
  <c r="AD233" i="2"/>
  <c r="X233" i="2"/>
  <c r="S233" i="2"/>
  <c r="J233" i="2"/>
  <c r="E233" i="2"/>
  <c r="C233" i="2"/>
  <c r="D233" i="2" s="1"/>
  <c r="B233" i="2"/>
  <c r="A233" i="2"/>
  <c r="BB232" i="2"/>
  <c r="BA232" i="2"/>
  <c r="AV232" i="2"/>
  <c r="AE232" i="2"/>
  <c r="AD232" i="2"/>
  <c r="AF232" i="2" s="1"/>
  <c r="Y232" i="2"/>
  <c r="X232" i="2"/>
  <c r="Z232" i="2" s="1"/>
  <c r="T232" i="2"/>
  <c r="S232" i="2"/>
  <c r="K232" i="2"/>
  <c r="J232" i="2"/>
  <c r="L232" i="2" s="1"/>
  <c r="M232" i="2" s="1"/>
  <c r="F232" i="2"/>
  <c r="E232" i="2"/>
  <c r="G232" i="2" s="1"/>
  <c r="D232" i="2"/>
  <c r="C232" i="2"/>
  <c r="B232" i="2"/>
  <c r="A232" i="2"/>
  <c r="BB231" i="2"/>
  <c r="BA231" i="2"/>
  <c r="AV231" i="2"/>
  <c r="AJ231" i="2"/>
  <c r="AF231" i="2"/>
  <c r="AD231" i="2"/>
  <c r="AE231" i="2" s="1"/>
  <c r="Z231" i="2"/>
  <c r="X231" i="2"/>
  <c r="Y231" i="2" s="1"/>
  <c r="U231" i="2"/>
  <c r="S231" i="2"/>
  <c r="T231" i="2" s="1"/>
  <c r="G231" i="2"/>
  <c r="E231" i="2"/>
  <c r="F231" i="2" s="1"/>
  <c r="C231" i="2"/>
  <c r="B231" i="2"/>
  <c r="A231" i="2"/>
  <c r="BB230" i="2"/>
  <c r="BA230" i="2"/>
  <c r="AV230" i="2"/>
  <c r="AG230" i="2"/>
  <c r="AF230" i="2"/>
  <c r="AE230" i="2"/>
  <c r="AD230" i="2"/>
  <c r="AA230" i="2"/>
  <c r="Z230" i="2"/>
  <c r="Y230" i="2"/>
  <c r="X230" i="2"/>
  <c r="T230" i="2"/>
  <c r="S230" i="2"/>
  <c r="H230" i="2"/>
  <c r="G230" i="2"/>
  <c r="O230" i="2" s="1"/>
  <c r="F230" i="2"/>
  <c r="E230" i="2"/>
  <c r="D230" i="2"/>
  <c r="C230" i="2"/>
  <c r="J230" i="2" s="1"/>
  <c r="B230" i="2"/>
  <c r="A230" i="2"/>
  <c r="BB229" i="2"/>
  <c r="BA229" i="2"/>
  <c r="AV229" i="2"/>
  <c r="AD229" i="2"/>
  <c r="X229" i="2"/>
  <c r="S229" i="2"/>
  <c r="J229" i="2"/>
  <c r="E229" i="2"/>
  <c r="D229" i="2"/>
  <c r="C229" i="2"/>
  <c r="B229" i="2"/>
  <c r="A229" i="2"/>
  <c r="BB228" i="2"/>
  <c r="BA228" i="2"/>
  <c r="AV228" i="2"/>
  <c r="AE228" i="2"/>
  <c r="AD228" i="2"/>
  <c r="AF228" i="2" s="1"/>
  <c r="Y228" i="2"/>
  <c r="X228" i="2"/>
  <c r="Z228" i="2" s="1"/>
  <c r="T228" i="2"/>
  <c r="S228" i="2"/>
  <c r="K228" i="2"/>
  <c r="J228" i="2"/>
  <c r="L228" i="2" s="1"/>
  <c r="M228" i="2" s="1"/>
  <c r="F228" i="2"/>
  <c r="E228" i="2"/>
  <c r="G228" i="2" s="1"/>
  <c r="D228" i="2"/>
  <c r="C228" i="2"/>
  <c r="B228" i="2"/>
  <c r="A228" i="2"/>
  <c r="BB227" i="2"/>
  <c r="BA227" i="2"/>
  <c r="AV227" i="2"/>
  <c r="AF227" i="2"/>
  <c r="AE227" i="2"/>
  <c r="AD227" i="2"/>
  <c r="Z227" i="2"/>
  <c r="Y227" i="2"/>
  <c r="X227" i="2"/>
  <c r="U227" i="2"/>
  <c r="T227" i="2"/>
  <c r="S227" i="2"/>
  <c r="G227" i="2"/>
  <c r="F227" i="2"/>
  <c r="E227" i="2"/>
  <c r="C227" i="2"/>
  <c r="B227" i="2"/>
  <c r="A227" i="2"/>
  <c r="BB226" i="2"/>
  <c r="BA226" i="2"/>
  <c r="AV226" i="2"/>
  <c r="AF226" i="2"/>
  <c r="AE226" i="2"/>
  <c r="AD226" i="2"/>
  <c r="Z226" i="2"/>
  <c r="Y226" i="2"/>
  <c r="X226" i="2"/>
  <c r="U226" i="2"/>
  <c r="T226" i="2"/>
  <c r="S226" i="2"/>
  <c r="G226" i="2"/>
  <c r="F226" i="2"/>
  <c r="E226" i="2"/>
  <c r="C226" i="2"/>
  <c r="B226" i="2"/>
  <c r="A226" i="2"/>
  <c r="BB225" i="2"/>
  <c r="BA225" i="2"/>
  <c r="AV225" i="2"/>
  <c r="AD225" i="2"/>
  <c r="AF225" i="2" s="1"/>
  <c r="AH225" i="2" s="1"/>
  <c r="X225" i="2"/>
  <c r="Z225" i="2" s="1"/>
  <c r="AA225" i="2" s="1"/>
  <c r="V225" i="2"/>
  <c r="AK225" i="2" s="1"/>
  <c r="S225" i="2"/>
  <c r="U225" i="2" s="1"/>
  <c r="AJ225" i="2" s="1"/>
  <c r="J225" i="2"/>
  <c r="L225" i="2" s="1"/>
  <c r="M225" i="2" s="1"/>
  <c r="E225" i="2"/>
  <c r="G225" i="2" s="1"/>
  <c r="O225" i="2" s="1"/>
  <c r="D225" i="2"/>
  <c r="C225" i="2"/>
  <c r="B225" i="2"/>
  <c r="A225" i="2"/>
  <c r="BB224" i="2"/>
  <c r="BA224" i="2"/>
  <c r="AV224" i="2"/>
  <c r="AF224" i="2"/>
  <c r="AG224" i="2" s="1"/>
  <c r="AD224" i="2"/>
  <c r="AE224" i="2" s="1"/>
  <c r="Z224" i="2"/>
  <c r="Y224" i="2"/>
  <c r="X224" i="2"/>
  <c r="S224" i="2"/>
  <c r="T224" i="2" s="1"/>
  <c r="G224" i="2"/>
  <c r="H224" i="2" s="1"/>
  <c r="F224" i="2"/>
  <c r="E224" i="2"/>
  <c r="C224" i="2"/>
  <c r="D224" i="2" s="1"/>
  <c r="B224" i="2"/>
  <c r="A224" i="2"/>
  <c r="BB223" i="2"/>
  <c r="BA223" i="2"/>
  <c r="AV223" i="2"/>
  <c r="AF223" i="2"/>
  <c r="AE223" i="2"/>
  <c r="AD223" i="2"/>
  <c r="Z223" i="2"/>
  <c r="AA223" i="2" s="1"/>
  <c r="Y223" i="2"/>
  <c r="X223" i="2"/>
  <c r="U223" i="2"/>
  <c r="AJ223" i="2" s="1"/>
  <c r="T223" i="2"/>
  <c r="S223" i="2"/>
  <c r="Q223" i="2"/>
  <c r="R223" i="2" s="1"/>
  <c r="L223" i="2"/>
  <c r="M223" i="2" s="1"/>
  <c r="K223" i="2"/>
  <c r="G223" i="2"/>
  <c r="O223" i="2" s="1"/>
  <c r="P223" i="2" s="1"/>
  <c r="F223" i="2"/>
  <c r="E223" i="2"/>
  <c r="C223" i="2"/>
  <c r="J223" i="2" s="1"/>
  <c r="B223" i="2"/>
  <c r="A223" i="2"/>
  <c r="BB222" i="2"/>
  <c r="BA222" i="2"/>
  <c r="AV222" i="2"/>
  <c r="AD222" i="2"/>
  <c r="AE222" i="2" s="1"/>
  <c r="X222" i="2"/>
  <c r="Y222" i="2" s="1"/>
  <c r="U222" i="2"/>
  <c r="AJ222" i="2" s="1"/>
  <c r="S222" i="2"/>
  <c r="T222" i="2" s="1"/>
  <c r="E222" i="2"/>
  <c r="F222" i="2" s="1"/>
  <c r="C222" i="2"/>
  <c r="J222" i="2" s="1"/>
  <c r="B222" i="2"/>
  <c r="A222" i="2"/>
  <c r="BB221" i="2"/>
  <c r="BA221" i="2"/>
  <c r="AV221" i="2"/>
  <c r="AG221" i="2"/>
  <c r="AE221" i="2"/>
  <c r="AD221" i="2"/>
  <c r="AF221" i="2" s="1"/>
  <c r="X221" i="2"/>
  <c r="Z221" i="2" s="1"/>
  <c r="S221" i="2"/>
  <c r="U221" i="2" s="1"/>
  <c r="AJ221" i="2" s="1"/>
  <c r="M221" i="2"/>
  <c r="K221" i="2"/>
  <c r="J221" i="2"/>
  <c r="L221" i="2" s="1"/>
  <c r="E221" i="2"/>
  <c r="G221" i="2" s="1"/>
  <c r="O221" i="2" s="1"/>
  <c r="D221" i="2"/>
  <c r="C221" i="2"/>
  <c r="B221" i="2"/>
  <c r="A221" i="2"/>
  <c r="AW237" i="2"/>
  <c r="AP237" i="2"/>
  <c r="AW245" i="2"/>
  <c r="AP245" i="2"/>
  <c r="BE245" i="2" l="1"/>
  <c r="BC245" i="2"/>
  <c r="AK242" i="2"/>
  <c r="AO245" i="2"/>
  <c r="R243" i="2"/>
  <c r="AL243" i="2"/>
  <c r="AM243" i="2" s="1"/>
  <c r="AS243" i="2"/>
  <c r="AN243" i="2"/>
  <c r="AM245" i="2"/>
  <c r="AT245" i="2"/>
  <c r="R241" i="2"/>
  <c r="AL241" i="2"/>
  <c r="AM241" i="2" s="1"/>
  <c r="AN241" i="2"/>
  <c r="AS241" i="2"/>
  <c r="AK244" i="2"/>
  <c r="BE237" i="2"/>
  <c r="AY237" i="2"/>
  <c r="BC237" i="2"/>
  <c r="R239" i="2"/>
  <c r="AN239" i="2"/>
  <c r="AS239" i="2"/>
  <c r="AL239" i="2"/>
  <c r="R235" i="2"/>
  <c r="AL235" i="2"/>
  <c r="AM235" i="2" s="1"/>
  <c r="AN235" i="2"/>
  <c r="AS235" i="2"/>
  <c r="AO237" i="2"/>
  <c r="AN236" i="2"/>
  <c r="AM236" i="2"/>
  <c r="P238" i="2"/>
  <c r="Q238" i="2"/>
  <c r="AT236" i="2"/>
  <c r="AT237" i="2"/>
  <c r="AK238" i="2"/>
  <c r="Q225" i="2"/>
  <c r="R225" i="2" s="1"/>
  <c r="P225" i="2"/>
  <c r="K222" i="2"/>
  <c r="L222" i="2"/>
  <c r="M222" i="2" s="1"/>
  <c r="Q221" i="2"/>
  <c r="P221" i="2"/>
  <c r="AL223" i="2"/>
  <c r="AH223" i="2"/>
  <c r="F221" i="2"/>
  <c r="Y221" i="2"/>
  <c r="D222" i="2"/>
  <c r="V222" i="2"/>
  <c r="AA224" i="2"/>
  <c r="K225" i="2"/>
  <c r="H221" i="2"/>
  <c r="T221" i="2"/>
  <c r="AA221" i="2"/>
  <c r="AH221" i="2"/>
  <c r="AF222" i="2"/>
  <c r="AN223" i="2"/>
  <c r="AS223" i="2"/>
  <c r="J224" i="2"/>
  <c r="U224" i="2"/>
  <c r="F225" i="2"/>
  <c r="Y225" i="2"/>
  <c r="AG225" i="2"/>
  <c r="AI225" i="2" s="1"/>
  <c r="AS225" i="2"/>
  <c r="O226" i="2"/>
  <c r="H226" i="2"/>
  <c r="AH226" i="2"/>
  <c r="AG226" i="2"/>
  <c r="V221" i="2"/>
  <c r="G222" i="2"/>
  <c r="Z222" i="2"/>
  <c r="D223" i="2"/>
  <c r="H223" i="2"/>
  <c r="H225" i="2"/>
  <c r="T225" i="2"/>
  <c r="J226" i="2"/>
  <c r="D226" i="2"/>
  <c r="AA226" i="2"/>
  <c r="AH227" i="2"/>
  <c r="AG227" i="2"/>
  <c r="AA228" i="2"/>
  <c r="V226" i="2"/>
  <c r="AJ226" i="2"/>
  <c r="V223" i="2"/>
  <c r="AG223" i="2"/>
  <c r="O224" i="2"/>
  <c r="AH224" i="2"/>
  <c r="AI224" i="2" s="1"/>
  <c r="AE225" i="2"/>
  <c r="O227" i="2"/>
  <c r="H227" i="2"/>
  <c r="V227" i="2"/>
  <c r="AJ227" i="2"/>
  <c r="AH228" i="2"/>
  <c r="AG228" i="2"/>
  <c r="G229" i="2"/>
  <c r="F229" i="2"/>
  <c r="Z229" i="2"/>
  <c r="Y229" i="2"/>
  <c r="G233" i="2"/>
  <c r="F233" i="2"/>
  <c r="Z233" i="2"/>
  <c r="Y233" i="2"/>
  <c r="J227" i="2"/>
  <c r="D227" i="2"/>
  <c r="AA227" i="2"/>
  <c r="O228" i="2"/>
  <c r="H228" i="2"/>
  <c r="L229" i="2"/>
  <c r="M229" i="2" s="1"/>
  <c r="K229" i="2"/>
  <c r="AF229" i="2"/>
  <c r="AE229" i="2"/>
  <c r="O231" i="2"/>
  <c r="H231" i="2"/>
  <c r="V231" i="2"/>
  <c r="AH231" i="2"/>
  <c r="AG231" i="2"/>
  <c r="AA232" i="2"/>
  <c r="L233" i="2"/>
  <c r="M233" i="2" s="1"/>
  <c r="K233" i="2"/>
  <c r="AF233" i="2"/>
  <c r="AE233" i="2"/>
  <c r="L230" i="2"/>
  <c r="M230" i="2" s="1"/>
  <c r="K230" i="2"/>
  <c r="Q230" i="2"/>
  <c r="P230" i="2"/>
  <c r="O232" i="2"/>
  <c r="H232" i="2"/>
  <c r="U229" i="2"/>
  <c r="T229" i="2"/>
  <c r="AL230" i="2"/>
  <c r="J231" i="2"/>
  <c r="D231" i="2"/>
  <c r="AA231" i="2"/>
  <c r="AH232" i="2"/>
  <c r="AG232" i="2"/>
  <c r="U233" i="2"/>
  <c r="T233" i="2"/>
  <c r="AH230" i="2"/>
  <c r="AI230" i="2" s="1"/>
  <c r="S219" i="6"/>
  <c r="B219" i="6"/>
  <c r="A219" i="6"/>
  <c r="S218" i="6"/>
  <c r="B218" i="6"/>
  <c r="A218" i="6"/>
  <c r="S217" i="6"/>
  <c r="B217" i="6"/>
  <c r="A217" i="6"/>
  <c r="S216" i="6"/>
  <c r="B216" i="6"/>
  <c r="A216" i="6"/>
  <c r="S215" i="6"/>
  <c r="B215" i="6"/>
  <c r="A215" i="6"/>
  <c r="S214" i="6"/>
  <c r="B214" i="6"/>
  <c r="A214" i="6"/>
  <c r="S213" i="6"/>
  <c r="B213" i="6"/>
  <c r="A213" i="6"/>
  <c r="S212" i="6"/>
  <c r="E212" i="6"/>
  <c r="B212" i="6"/>
  <c r="A212" i="6"/>
  <c r="S211" i="6"/>
  <c r="B211" i="6"/>
  <c r="A211" i="6"/>
  <c r="S210" i="6"/>
  <c r="B210" i="6"/>
  <c r="A210" i="6"/>
  <c r="S209" i="6"/>
  <c r="F209" i="6"/>
  <c r="B209" i="6"/>
  <c r="A209" i="6"/>
  <c r="S208" i="6"/>
  <c r="E208" i="6"/>
  <c r="B208" i="6"/>
  <c r="A208" i="6"/>
  <c r="S207" i="6"/>
  <c r="B207" i="6"/>
  <c r="A207" i="6"/>
  <c r="BB219" i="2"/>
  <c r="BA219" i="2"/>
  <c r="AV219" i="2"/>
  <c r="AE219" i="2"/>
  <c r="AD219" i="2"/>
  <c r="AF219" i="2" s="1"/>
  <c r="X219" i="2"/>
  <c r="U219" i="2"/>
  <c r="S219" i="2"/>
  <c r="T219" i="2" s="1"/>
  <c r="Q219" i="2"/>
  <c r="R219" i="2" s="1"/>
  <c r="H219" i="2"/>
  <c r="G219" i="2"/>
  <c r="O219" i="2" s="1"/>
  <c r="C219" i="6" s="1"/>
  <c r="E219" i="2"/>
  <c r="F219" i="2" s="1"/>
  <c r="D219" i="2"/>
  <c r="C219" i="2"/>
  <c r="J219" i="2" s="1"/>
  <c r="L219" i="2" s="1"/>
  <c r="M219" i="2" s="1"/>
  <c r="B219" i="2"/>
  <c r="A219" i="2"/>
  <c r="BB218" i="2"/>
  <c r="BA218" i="2"/>
  <c r="AV218" i="2"/>
  <c r="AD218" i="2"/>
  <c r="AE218" i="2" s="1"/>
  <c r="AA218" i="2"/>
  <c r="Z218" i="2"/>
  <c r="X218" i="2"/>
  <c r="Y218" i="2" s="1"/>
  <c r="F218" i="6" s="1"/>
  <c r="S218" i="2"/>
  <c r="T218" i="2" s="1"/>
  <c r="J218" i="2"/>
  <c r="E218" i="2"/>
  <c r="D218" i="2"/>
  <c r="C218" i="2"/>
  <c r="B218" i="2"/>
  <c r="A218" i="2"/>
  <c r="BB217" i="2"/>
  <c r="BA217" i="2"/>
  <c r="AV217" i="2"/>
  <c r="AG217" i="2"/>
  <c r="AE217" i="2"/>
  <c r="AD217" i="2"/>
  <c r="AF217" i="2" s="1"/>
  <c r="X217" i="2"/>
  <c r="Z217" i="2" s="1"/>
  <c r="S217" i="2"/>
  <c r="F217" i="2"/>
  <c r="E217" i="2"/>
  <c r="G217" i="2" s="1"/>
  <c r="C217" i="2"/>
  <c r="D217" i="2" s="1"/>
  <c r="B217" i="2"/>
  <c r="A217" i="2"/>
  <c r="BB216" i="2"/>
  <c r="BA216" i="2"/>
  <c r="AV216" i="2"/>
  <c r="AD216" i="2"/>
  <c r="X216" i="2"/>
  <c r="T216" i="2"/>
  <c r="S216" i="2"/>
  <c r="G216" i="2"/>
  <c r="F216" i="2"/>
  <c r="E216" i="2"/>
  <c r="C216" i="2"/>
  <c r="D216" i="2" s="1"/>
  <c r="B216" i="2"/>
  <c r="A216" i="2"/>
  <c r="BB215" i="2"/>
  <c r="BA215" i="2"/>
  <c r="AV215" i="2"/>
  <c r="AD215" i="2"/>
  <c r="X215" i="2"/>
  <c r="S215" i="2"/>
  <c r="G215" i="2"/>
  <c r="F215" i="2"/>
  <c r="E215" i="2"/>
  <c r="C215" i="2"/>
  <c r="B215" i="2"/>
  <c r="A215" i="2"/>
  <c r="BB214" i="2"/>
  <c r="BA214" i="2"/>
  <c r="AV214" i="2"/>
  <c r="AD214" i="2"/>
  <c r="AE214" i="2" s="1"/>
  <c r="X214" i="2"/>
  <c r="E214" i="6" s="1"/>
  <c r="S214" i="2"/>
  <c r="T214" i="2" s="1"/>
  <c r="E214" i="2"/>
  <c r="C214" i="2"/>
  <c r="B214" i="2"/>
  <c r="A214" i="2"/>
  <c r="BB213" i="2"/>
  <c r="BA213" i="2"/>
  <c r="AV213" i="2"/>
  <c r="AE213" i="2"/>
  <c r="AD213" i="2"/>
  <c r="AF213" i="2" s="1"/>
  <c r="X213" i="2"/>
  <c r="S213" i="2"/>
  <c r="U213" i="2" s="1"/>
  <c r="J213" i="2"/>
  <c r="E213" i="2"/>
  <c r="G213" i="2" s="1"/>
  <c r="O213" i="2" s="1"/>
  <c r="C213" i="6" s="1"/>
  <c r="C213" i="2"/>
  <c r="D213" i="2" s="1"/>
  <c r="B213" i="2"/>
  <c r="A213" i="2"/>
  <c r="BB212" i="2"/>
  <c r="BA212" i="2"/>
  <c r="AV212" i="2"/>
  <c r="AE212" i="2"/>
  <c r="AD212" i="2"/>
  <c r="AF212" i="2" s="1"/>
  <c r="X212" i="2"/>
  <c r="Y212" i="2" s="1"/>
  <c r="F212" i="6" s="1"/>
  <c r="T212" i="2"/>
  <c r="S212" i="2"/>
  <c r="E212" i="2"/>
  <c r="C212" i="2"/>
  <c r="D212" i="2" s="1"/>
  <c r="B212" i="2"/>
  <c r="A212" i="2"/>
  <c r="BB211" i="2"/>
  <c r="BA211" i="2"/>
  <c r="AV211" i="2"/>
  <c r="AE211" i="2"/>
  <c r="AD211" i="2"/>
  <c r="AF211" i="2" s="1"/>
  <c r="AG211" i="2" s="1"/>
  <c r="X211" i="2"/>
  <c r="S211" i="2"/>
  <c r="T211" i="2" s="1"/>
  <c r="E211" i="2"/>
  <c r="C211" i="2"/>
  <c r="D211" i="2" s="1"/>
  <c r="B211" i="2"/>
  <c r="A211" i="2"/>
  <c r="BB210" i="2"/>
  <c r="BA210" i="2"/>
  <c r="AV210" i="2"/>
  <c r="AE210" i="2"/>
  <c r="AD210" i="2"/>
  <c r="AF210" i="2" s="1"/>
  <c r="AG210" i="2" s="1"/>
  <c r="X210" i="2"/>
  <c r="T210" i="2"/>
  <c r="S210" i="2"/>
  <c r="G210" i="2"/>
  <c r="F210" i="2"/>
  <c r="E210" i="2"/>
  <c r="C210" i="2"/>
  <c r="B210" i="2"/>
  <c r="A210" i="2"/>
  <c r="BB209" i="2"/>
  <c r="BA209" i="2"/>
  <c r="AV209" i="2"/>
  <c r="AD209" i="2"/>
  <c r="AE209" i="2" s="1"/>
  <c r="Z209" i="2"/>
  <c r="AA209" i="2" s="1"/>
  <c r="X209" i="2"/>
  <c r="Y209" i="2" s="1"/>
  <c r="U209" i="2"/>
  <c r="AJ209" i="2" s="1"/>
  <c r="K209" i="6" s="1"/>
  <c r="S209" i="2"/>
  <c r="T209" i="2" s="1"/>
  <c r="O209" i="2"/>
  <c r="H209" i="2"/>
  <c r="G209" i="2"/>
  <c r="E209" i="2"/>
  <c r="F209" i="2" s="1"/>
  <c r="C209" i="2"/>
  <c r="J209" i="2" s="1"/>
  <c r="B209" i="2"/>
  <c r="A209" i="2"/>
  <c r="BB208" i="2"/>
  <c r="BA208" i="2"/>
  <c r="AV208" i="2"/>
  <c r="AD208" i="2"/>
  <c r="AF208" i="2" s="1"/>
  <c r="X208" i="2"/>
  <c r="Z208" i="2" s="1"/>
  <c r="S208" i="2"/>
  <c r="E208" i="2"/>
  <c r="G208" i="2" s="1"/>
  <c r="C208" i="2"/>
  <c r="B208" i="2"/>
  <c r="A208" i="2"/>
  <c r="BB207" i="2"/>
  <c r="BA207" i="2"/>
  <c r="AV207" i="2"/>
  <c r="AD207" i="2"/>
  <c r="AE207" i="2" s="1"/>
  <c r="X207" i="2"/>
  <c r="Y207" i="2" s="1"/>
  <c r="F207" i="6" s="1"/>
  <c r="S207" i="2"/>
  <c r="T207" i="2" s="1"/>
  <c r="E207" i="2"/>
  <c r="F207" i="2" s="1"/>
  <c r="C207" i="2"/>
  <c r="B207" i="2"/>
  <c r="A207" i="2"/>
  <c r="AP239" i="2"/>
  <c r="AW236" i="2"/>
  <c r="AP236" i="2"/>
  <c r="AW239" i="2"/>
  <c r="AP235" i="2"/>
  <c r="AX237" i="2"/>
  <c r="AW235" i="2"/>
  <c r="AQ237" i="2"/>
  <c r="AP223" i="2"/>
  <c r="AW223" i="2"/>
  <c r="AW243" i="2"/>
  <c r="AQ245" i="2"/>
  <c r="AP243" i="2"/>
  <c r="AX245" i="2"/>
  <c r="AW241" i="2"/>
  <c r="AP241" i="2"/>
  <c r="BE241" i="2" l="1"/>
  <c r="BC241" i="2"/>
  <c r="AZ245" i="2"/>
  <c r="AR245" i="2"/>
  <c r="BE243" i="2"/>
  <c r="BC243" i="2"/>
  <c r="AO241" i="2"/>
  <c r="AN242" i="2"/>
  <c r="AT241" i="2"/>
  <c r="AY241" i="2" s="1"/>
  <c r="AO243" i="2"/>
  <c r="AN244" i="2"/>
  <c r="AT243" i="2"/>
  <c r="AY245" i="2"/>
  <c r="AR237" i="2"/>
  <c r="BE235" i="2"/>
  <c r="BC235" i="2"/>
  <c r="AZ237" i="2"/>
  <c r="BE239" i="2"/>
  <c r="BC239" i="2"/>
  <c r="BE236" i="2"/>
  <c r="BC236" i="2"/>
  <c r="BG237" i="2"/>
  <c r="BF237" i="2"/>
  <c r="R238" i="2"/>
  <c r="AL238" i="2"/>
  <c r="AS238" i="2"/>
  <c r="AT235" i="2"/>
  <c r="AM239" i="2"/>
  <c r="AO235" i="2"/>
  <c r="AT239" i="2"/>
  <c r="BD237" i="2"/>
  <c r="AO236" i="2"/>
  <c r="AO239" i="2"/>
  <c r="AY223" i="2"/>
  <c r="BD223" i="2" s="1"/>
  <c r="BE223" i="2"/>
  <c r="BC223" i="2"/>
  <c r="Q232" i="2"/>
  <c r="P232" i="2"/>
  <c r="AI231" i="2"/>
  <c r="AI232" i="2"/>
  <c r="P231" i="2"/>
  <c r="Q231" i="2"/>
  <c r="AA233" i="2"/>
  <c r="AA229" i="2"/>
  <c r="AI228" i="2"/>
  <c r="AK227" i="2"/>
  <c r="AK223" i="2"/>
  <c r="AN225" i="2"/>
  <c r="AA222" i="2"/>
  <c r="P226" i="2"/>
  <c r="Q226" i="2"/>
  <c r="AT223" i="2"/>
  <c r="AI221" i="2"/>
  <c r="AI223" i="2"/>
  <c r="L224" i="2"/>
  <c r="M224" i="2" s="1"/>
  <c r="K224" i="2"/>
  <c r="AK222" i="2"/>
  <c r="U230" i="2"/>
  <c r="V229" i="2"/>
  <c r="AJ229" i="2"/>
  <c r="AS230" i="2"/>
  <c r="R230" i="2"/>
  <c r="AM230" i="2" s="1"/>
  <c r="AG233" i="2"/>
  <c r="AH233" i="2"/>
  <c r="AK231" i="2"/>
  <c r="AI227" i="2"/>
  <c r="H222" i="2"/>
  <c r="O222" i="2"/>
  <c r="AI226" i="2"/>
  <c r="AT225" i="2"/>
  <c r="AO223" i="2"/>
  <c r="AM223" i="2"/>
  <c r="AL221" i="2"/>
  <c r="R221" i="2"/>
  <c r="P227" i="2"/>
  <c r="Q227" i="2"/>
  <c r="AK221" i="2"/>
  <c r="V233" i="2"/>
  <c r="AJ233" i="2"/>
  <c r="U232" i="2"/>
  <c r="K231" i="2"/>
  <c r="L231" i="2"/>
  <c r="M231" i="2" s="1"/>
  <c r="AG229" i="2"/>
  <c r="AH229" i="2"/>
  <c r="Q228" i="2"/>
  <c r="P228" i="2"/>
  <c r="K227" i="2"/>
  <c r="L227" i="2"/>
  <c r="M227" i="2" s="1"/>
  <c r="H233" i="2"/>
  <c r="O233" i="2"/>
  <c r="H229" i="2"/>
  <c r="O229" i="2"/>
  <c r="U228" i="2"/>
  <c r="Q224" i="2"/>
  <c r="P224" i="2"/>
  <c r="AK226" i="2"/>
  <c r="L226" i="2"/>
  <c r="M226" i="2" s="1"/>
  <c r="K226" i="2"/>
  <c r="AN221" i="2"/>
  <c r="AL225" i="2"/>
  <c r="AM225" i="2" s="1"/>
  <c r="V224" i="2"/>
  <c r="AJ224" i="2"/>
  <c r="AG222" i="2"/>
  <c r="AH222" i="2"/>
  <c r="AI222" i="2" s="1"/>
  <c r="AS221" i="2"/>
  <c r="U215" i="2"/>
  <c r="T215" i="2"/>
  <c r="F218" i="2"/>
  <c r="G218" i="2"/>
  <c r="Z211" i="2"/>
  <c r="E211" i="6"/>
  <c r="Y211" i="2"/>
  <c r="F211" i="6" s="1"/>
  <c r="Z213" i="2"/>
  <c r="AA213" i="2" s="1"/>
  <c r="E213" i="6"/>
  <c r="Y213" i="2"/>
  <c r="F213" i="6" s="1"/>
  <c r="J214" i="2"/>
  <c r="D214" i="2"/>
  <c r="Z215" i="2"/>
  <c r="AA215" i="2" s="1"/>
  <c r="E215" i="6"/>
  <c r="Y215" i="2"/>
  <c r="F215" i="6" s="1"/>
  <c r="Z219" i="2"/>
  <c r="AA219" i="2" s="1"/>
  <c r="E219" i="6"/>
  <c r="Y219" i="2"/>
  <c r="F219" i="6" s="1"/>
  <c r="J208" i="2"/>
  <c r="L208" i="2" s="1"/>
  <c r="M208" i="2" s="1"/>
  <c r="D208" i="2"/>
  <c r="O210" i="2"/>
  <c r="H210" i="2"/>
  <c r="E210" i="6"/>
  <c r="Z210" i="2"/>
  <c r="AA210" i="2" s="1"/>
  <c r="Y210" i="2"/>
  <c r="F210" i="6" s="1"/>
  <c r="F212" i="2"/>
  <c r="G212" i="2"/>
  <c r="H212" i="2" s="1"/>
  <c r="AH213" i="2"/>
  <c r="I213" i="6" s="1"/>
  <c r="AF215" i="2"/>
  <c r="AG215" i="2" s="1"/>
  <c r="AE215" i="2"/>
  <c r="Z216" i="2"/>
  <c r="Y216" i="2"/>
  <c r="F216" i="6" s="1"/>
  <c r="E216" i="6"/>
  <c r="J210" i="2"/>
  <c r="D210" i="2"/>
  <c r="G211" i="2"/>
  <c r="H211" i="2" s="1"/>
  <c r="F211" i="2"/>
  <c r="L213" i="2"/>
  <c r="M213" i="2" s="1"/>
  <c r="K213" i="2"/>
  <c r="H216" i="2"/>
  <c r="O216" i="2"/>
  <c r="J207" i="2"/>
  <c r="L207" i="2" s="1"/>
  <c r="M207" i="2" s="1"/>
  <c r="D207" i="2"/>
  <c r="P209" i="2"/>
  <c r="D209" i="6" s="1"/>
  <c r="C209" i="6"/>
  <c r="AG213" i="2"/>
  <c r="J217" i="2"/>
  <c r="K219" i="2"/>
  <c r="E207" i="6"/>
  <c r="J212" i="2"/>
  <c r="L212" i="2" s="1"/>
  <c r="M212" i="2" s="1"/>
  <c r="E218" i="6"/>
  <c r="P219" i="2"/>
  <c r="D219" i="6" s="1"/>
  <c r="E209" i="6"/>
  <c r="E217" i="6"/>
  <c r="H208" i="2"/>
  <c r="O208" i="2"/>
  <c r="C208" i="6" s="1"/>
  <c r="AH208" i="2"/>
  <c r="AG208" i="2"/>
  <c r="Q213" i="2"/>
  <c r="P213" i="2"/>
  <c r="D213" i="6" s="1"/>
  <c r="AA208" i="2"/>
  <c r="K209" i="2"/>
  <c r="L209" i="2"/>
  <c r="M209" i="2" s="1"/>
  <c r="AS213" i="2"/>
  <c r="K214" i="2"/>
  <c r="L214" i="2"/>
  <c r="M214" i="2" s="1"/>
  <c r="AF216" i="2"/>
  <c r="AE216" i="2"/>
  <c r="AA211" i="2"/>
  <c r="AL219" i="2"/>
  <c r="AN219" i="2"/>
  <c r="G219" i="6" s="1"/>
  <c r="AG219" i="2"/>
  <c r="G207" i="2"/>
  <c r="U207" i="2"/>
  <c r="Z207" i="2"/>
  <c r="AF207" i="2"/>
  <c r="F208" i="2"/>
  <c r="K208" i="2"/>
  <c r="T208" i="2"/>
  <c r="Y208" i="2"/>
  <c r="F208" i="6" s="1"/>
  <c r="AE208" i="2"/>
  <c r="AF209" i="2"/>
  <c r="J211" i="2"/>
  <c r="U211" i="2"/>
  <c r="K212" i="2"/>
  <c r="Z212" i="2"/>
  <c r="F213" i="2"/>
  <c r="T213" i="2"/>
  <c r="Y214" i="2"/>
  <c r="F214" i="6" s="1"/>
  <c r="Z214" i="2"/>
  <c r="J216" i="2"/>
  <c r="O217" i="2"/>
  <c r="C217" i="6" s="1"/>
  <c r="H217" i="2"/>
  <c r="Y217" i="2"/>
  <c r="F217" i="6" s="1"/>
  <c r="AS219" i="2"/>
  <c r="U210" i="2"/>
  <c r="AH210" i="2"/>
  <c r="F214" i="2"/>
  <c r="G214" i="2"/>
  <c r="J215" i="2"/>
  <c r="D215" i="2"/>
  <c r="U217" i="2"/>
  <c r="T217" i="2"/>
  <c r="D209" i="2"/>
  <c r="Q209" i="2"/>
  <c r="V209" i="2"/>
  <c r="AH211" i="2"/>
  <c r="AJ213" i="2"/>
  <c r="K213" i="6" s="1"/>
  <c r="V213" i="2"/>
  <c r="AF214" i="2"/>
  <c r="P216" i="2"/>
  <c r="D216" i="6" s="1"/>
  <c r="AA217" i="2"/>
  <c r="O212" i="2"/>
  <c r="C212" i="6" s="1"/>
  <c r="AG212" i="2"/>
  <c r="H213" i="2"/>
  <c r="O215" i="2"/>
  <c r="C215" i="6" s="1"/>
  <c r="H215" i="2"/>
  <c r="AJ215" i="2"/>
  <c r="K215" i="6" s="1"/>
  <c r="AH215" i="2"/>
  <c r="AA216" i="2"/>
  <c r="AH217" i="2"/>
  <c r="K218" i="2"/>
  <c r="L218" i="2"/>
  <c r="M218" i="2" s="1"/>
  <c r="AJ219" i="2"/>
  <c r="K219" i="6" s="1"/>
  <c r="V219" i="2"/>
  <c r="AN213" i="2"/>
  <c r="G213" i="6" s="1"/>
  <c r="AF218" i="2"/>
  <c r="S205" i="6"/>
  <c r="E205" i="6"/>
  <c r="B205" i="6"/>
  <c r="A205" i="6"/>
  <c r="S204" i="6"/>
  <c r="B204" i="6"/>
  <c r="A204" i="6"/>
  <c r="S203" i="6"/>
  <c r="B203" i="6"/>
  <c r="A203" i="6"/>
  <c r="S202" i="6"/>
  <c r="F202" i="6"/>
  <c r="B202" i="6"/>
  <c r="A202" i="6"/>
  <c r="S201" i="6"/>
  <c r="E201" i="6"/>
  <c r="B201" i="6"/>
  <c r="A201" i="6"/>
  <c r="S200" i="6"/>
  <c r="B200" i="6"/>
  <c r="A200" i="6"/>
  <c r="S199" i="6"/>
  <c r="B199" i="6"/>
  <c r="A199" i="6"/>
  <c r="S198" i="6"/>
  <c r="B198" i="6"/>
  <c r="A198" i="6"/>
  <c r="S197" i="6"/>
  <c r="E197" i="6"/>
  <c r="B197" i="6"/>
  <c r="A197" i="6"/>
  <c r="S196" i="6"/>
  <c r="B196" i="6"/>
  <c r="A196" i="6"/>
  <c r="S195" i="6"/>
  <c r="K195" i="6"/>
  <c r="B195" i="6"/>
  <c r="A195" i="6"/>
  <c r="S194" i="6"/>
  <c r="B194" i="6"/>
  <c r="A194" i="6"/>
  <c r="S193" i="6"/>
  <c r="B193" i="6"/>
  <c r="A193" i="6"/>
  <c r="BB205" i="2"/>
  <c r="BA205" i="2"/>
  <c r="AV205" i="2"/>
  <c r="AD205" i="2"/>
  <c r="X205" i="2"/>
  <c r="S205" i="2"/>
  <c r="E205" i="2"/>
  <c r="C205" i="2"/>
  <c r="D205" i="2" s="1"/>
  <c r="B205" i="2"/>
  <c r="A205" i="2"/>
  <c r="BB204" i="2"/>
  <c r="BA204" i="2"/>
  <c r="AV204" i="2"/>
  <c r="AD204" i="2"/>
  <c r="X204" i="2"/>
  <c r="Z204" i="2" s="1"/>
  <c r="S204" i="2"/>
  <c r="T204" i="2" s="1"/>
  <c r="J204" i="2"/>
  <c r="L204" i="2" s="1"/>
  <c r="M204" i="2" s="1"/>
  <c r="E204" i="2"/>
  <c r="C204" i="2"/>
  <c r="D204" i="2" s="1"/>
  <c r="B204" i="2"/>
  <c r="A204" i="2"/>
  <c r="BB203" i="2"/>
  <c r="BA203" i="2"/>
  <c r="AV203" i="2"/>
  <c r="AE203" i="2"/>
  <c r="AD203" i="2"/>
  <c r="AF203" i="2" s="1"/>
  <c r="X203" i="2"/>
  <c r="U203" i="2"/>
  <c r="T203" i="2"/>
  <c r="S203" i="2"/>
  <c r="G203" i="2"/>
  <c r="E203" i="2"/>
  <c r="F203" i="2" s="1"/>
  <c r="C203" i="2"/>
  <c r="B203" i="2"/>
  <c r="A203" i="2"/>
  <c r="BB202" i="2"/>
  <c r="BA202" i="2"/>
  <c r="AV202" i="2"/>
  <c r="AF202" i="2"/>
  <c r="AG202" i="2" s="1"/>
  <c r="AD202" i="2"/>
  <c r="AE202" i="2" s="1"/>
  <c r="X202" i="2"/>
  <c r="Y202" i="2" s="1"/>
  <c r="S202" i="2"/>
  <c r="T202" i="2" s="1"/>
  <c r="E202" i="2"/>
  <c r="F202" i="2" s="1"/>
  <c r="C202" i="2"/>
  <c r="B202" i="2"/>
  <c r="A202" i="2"/>
  <c r="BB201" i="2"/>
  <c r="BA201" i="2"/>
  <c r="AV201" i="2"/>
  <c r="AD201" i="2"/>
  <c r="X201" i="2"/>
  <c r="S201" i="2"/>
  <c r="J201" i="2"/>
  <c r="E201" i="2"/>
  <c r="C201" i="2"/>
  <c r="D201" i="2" s="1"/>
  <c r="B201" i="2"/>
  <c r="A201" i="2"/>
  <c r="BB200" i="2"/>
  <c r="BA200" i="2"/>
  <c r="AV200" i="2"/>
  <c r="AD200" i="2"/>
  <c r="AF200" i="2" s="1"/>
  <c r="X200" i="2"/>
  <c r="S200" i="2"/>
  <c r="T200" i="2" s="1"/>
  <c r="J200" i="2"/>
  <c r="E200" i="2"/>
  <c r="G200" i="2" s="1"/>
  <c r="C200" i="2"/>
  <c r="D200" i="2" s="1"/>
  <c r="B200" i="2"/>
  <c r="A200" i="2"/>
  <c r="BB199" i="2"/>
  <c r="BA199" i="2"/>
  <c r="AV199" i="2"/>
  <c r="AD199" i="2"/>
  <c r="X199" i="2"/>
  <c r="Y199" i="2" s="1"/>
  <c r="F199" i="6" s="1"/>
  <c r="S199" i="2"/>
  <c r="E199" i="2"/>
  <c r="F199" i="2" s="1"/>
  <c r="C199" i="2"/>
  <c r="B199" i="2"/>
  <c r="A199" i="2"/>
  <c r="BB198" i="2"/>
  <c r="BA198" i="2"/>
  <c r="AV198" i="2"/>
  <c r="AD198" i="2"/>
  <c r="AF198" i="2" s="1"/>
  <c r="AA198" i="2"/>
  <c r="X198" i="2"/>
  <c r="Z198" i="2" s="1"/>
  <c r="S198" i="2"/>
  <c r="E198" i="2"/>
  <c r="G198" i="2" s="1"/>
  <c r="C198" i="2"/>
  <c r="D198" i="2" s="1"/>
  <c r="B198" i="2"/>
  <c r="A198" i="2"/>
  <c r="BB197" i="2"/>
  <c r="BA197" i="2"/>
  <c r="AV197" i="2"/>
  <c r="AE197" i="2"/>
  <c r="AD197" i="2"/>
  <c r="AF197" i="2" s="1"/>
  <c r="Y197" i="2"/>
  <c r="F197" i="6" s="1"/>
  <c r="X197" i="2"/>
  <c r="Z197" i="2" s="1"/>
  <c r="T197" i="2"/>
  <c r="S197" i="2"/>
  <c r="U197" i="2" s="1"/>
  <c r="F197" i="2"/>
  <c r="E197" i="2"/>
  <c r="G197" i="2" s="1"/>
  <c r="D197" i="2"/>
  <c r="C197" i="2"/>
  <c r="J197" i="2" s="1"/>
  <c r="B197" i="2"/>
  <c r="A197" i="2"/>
  <c r="BB196" i="2"/>
  <c r="BA196" i="2"/>
  <c r="AV196" i="2"/>
  <c r="AF196" i="2"/>
  <c r="AE196" i="2"/>
  <c r="AD196" i="2"/>
  <c r="Z196" i="2"/>
  <c r="X196" i="2"/>
  <c r="Y196" i="2" s="1"/>
  <c r="F196" i="6" s="1"/>
  <c r="S196" i="2"/>
  <c r="T196" i="2" s="1"/>
  <c r="G196" i="2"/>
  <c r="O196" i="2" s="1"/>
  <c r="C196" i="6" s="1"/>
  <c r="F196" i="2"/>
  <c r="E196" i="2"/>
  <c r="C196" i="2"/>
  <c r="J196" i="2" s="1"/>
  <c r="B196" i="2"/>
  <c r="A196" i="2"/>
  <c r="BB195" i="2"/>
  <c r="BA195" i="2"/>
  <c r="AV195" i="2"/>
  <c r="AE195" i="2"/>
  <c r="AD195" i="2"/>
  <c r="AF195" i="2" s="1"/>
  <c r="AG195" i="2" s="1"/>
  <c r="Y195" i="2"/>
  <c r="F195" i="6" s="1"/>
  <c r="X195" i="2"/>
  <c r="E195" i="6" s="1"/>
  <c r="V195" i="2"/>
  <c r="AK195" i="2" s="1"/>
  <c r="L195" i="6" s="1"/>
  <c r="T195" i="2"/>
  <c r="S195" i="2"/>
  <c r="U195" i="2" s="1"/>
  <c r="AJ195" i="2" s="1"/>
  <c r="H195" i="2"/>
  <c r="F195" i="2"/>
  <c r="E195" i="2"/>
  <c r="G195" i="2" s="1"/>
  <c r="O195" i="2" s="1"/>
  <c r="C195" i="6" s="1"/>
  <c r="D195" i="2"/>
  <c r="C195" i="2"/>
  <c r="J195" i="2" s="1"/>
  <c r="B195" i="2"/>
  <c r="A195" i="2"/>
  <c r="BB194" i="2"/>
  <c r="BA194" i="2"/>
  <c r="AV194" i="2"/>
  <c r="AD194" i="2"/>
  <c r="AF194" i="2" s="1"/>
  <c r="X194" i="2"/>
  <c r="S194" i="2"/>
  <c r="J194" i="2"/>
  <c r="L194" i="2" s="1"/>
  <c r="M194" i="2" s="1"/>
  <c r="E194" i="2"/>
  <c r="G194" i="2" s="1"/>
  <c r="D194" i="2"/>
  <c r="C194" i="2"/>
  <c r="B194" i="2"/>
  <c r="A194" i="2"/>
  <c r="BB193" i="2"/>
  <c r="BA193" i="2"/>
  <c r="AV193" i="2"/>
  <c r="AD193" i="2"/>
  <c r="AF193" i="2" s="1"/>
  <c r="X193" i="2"/>
  <c r="T193" i="2"/>
  <c r="S193" i="2"/>
  <c r="U193" i="2" s="1"/>
  <c r="E193" i="2"/>
  <c r="G193" i="2" s="1"/>
  <c r="C193" i="2"/>
  <c r="J193" i="2" s="1"/>
  <c r="K193" i="2" s="1"/>
  <c r="B193" i="2"/>
  <c r="A193" i="2"/>
  <c r="AP219" i="2"/>
  <c r="AP213" i="2"/>
  <c r="AW213" i="2"/>
  <c r="AW219" i="2"/>
  <c r="AX236" i="2"/>
  <c r="AQ236" i="2"/>
  <c r="AQ235" i="2"/>
  <c r="AQ239" i="2"/>
  <c r="AX239" i="2"/>
  <c r="AX235" i="2"/>
  <c r="AW225" i="2"/>
  <c r="AP225" i="2"/>
  <c r="AP221" i="2"/>
  <c r="AW221" i="2"/>
  <c r="AX223" i="2"/>
  <c r="AQ223" i="2"/>
  <c r="AX241" i="2"/>
  <c r="AQ243" i="2"/>
  <c r="AQ241" i="2"/>
  <c r="AP244" i="2"/>
  <c r="AW244" i="2"/>
  <c r="AP242" i="2"/>
  <c r="AW242" i="2"/>
  <c r="AX243" i="2"/>
  <c r="AZ243" i="2" l="1"/>
  <c r="BE242" i="2"/>
  <c r="BC242" i="2"/>
  <c r="AY244" i="2"/>
  <c r="BE244" i="2"/>
  <c r="BD244" i="2"/>
  <c r="BC244" i="2"/>
  <c r="AR241" i="2"/>
  <c r="AR243" i="2"/>
  <c r="AZ241" i="2"/>
  <c r="BF241" i="2"/>
  <c r="BG241" i="2"/>
  <c r="BD241" i="2"/>
  <c r="AO242" i="2"/>
  <c r="AO244" i="2"/>
  <c r="BG245" i="2"/>
  <c r="BF245" i="2"/>
  <c r="BD245" i="2"/>
  <c r="AY243" i="2"/>
  <c r="AZ235" i="2"/>
  <c r="AZ239" i="2"/>
  <c r="AR239" i="2"/>
  <c r="AR235" i="2"/>
  <c r="AR236" i="2"/>
  <c r="AZ236" i="2"/>
  <c r="AY235" i="2"/>
  <c r="AT238" i="2"/>
  <c r="AY239" i="2"/>
  <c r="AM238" i="2"/>
  <c r="AN238" i="2"/>
  <c r="AY236" i="2"/>
  <c r="AR223" i="2"/>
  <c r="AZ223" i="2"/>
  <c r="BE221" i="2"/>
  <c r="BC221" i="2"/>
  <c r="BE225" i="2"/>
  <c r="AY225" i="2"/>
  <c r="BD225" i="2" s="1"/>
  <c r="BC225" i="2"/>
  <c r="AK224" i="2"/>
  <c r="V228" i="2"/>
  <c r="AJ228" i="2"/>
  <c r="R228" i="2"/>
  <c r="AS228" i="2"/>
  <c r="AL228" i="2"/>
  <c r="R227" i="2"/>
  <c r="AN227" i="2"/>
  <c r="AL227" i="2"/>
  <c r="AM227" i="2" s="1"/>
  <c r="AS227" i="2"/>
  <c r="P222" i="2"/>
  <c r="Q222" i="2"/>
  <c r="AI233" i="2"/>
  <c r="AK229" i="2"/>
  <c r="Q229" i="2"/>
  <c r="P229" i="2"/>
  <c r="AI229" i="2"/>
  <c r="AT230" i="2"/>
  <c r="AJ230" i="2"/>
  <c r="V230" i="2"/>
  <c r="AT221" i="2"/>
  <c r="AO221" i="2"/>
  <c r="AK233" i="2"/>
  <c r="R226" i="2"/>
  <c r="AL226" i="2"/>
  <c r="AS226" i="2"/>
  <c r="AO225" i="2"/>
  <c r="R231" i="2"/>
  <c r="AN231" i="2"/>
  <c r="AL231" i="2"/>
  <c r="AS231" i="2"/>
  <c r="R224" i="2"/>
  <c r="AS224" i="2"/>
  <c r="AL224" i="2"/>
  <c r="Q233" i="2"/>
  <c r="P233" i="2"/>
  <c r="V232" i="2"/>
  <c r="AJ232" i="2"/>
  <c r="AM221" i="2"/>
  <c r="R232" i="2"/>
  <c r="AS232" i="2"/>
  <c r="AL232" i="2"/>
  <c r="BG223" i="2"/>
  <c r="BF223" i="2"/>
  <c r="O219" i="6"/>
  <c r="O213" i="6"/>
  <c r="M213" i="6"/>
  <c r="M219" i="6"/>
  <c r="AI210" i="2"/>
  <c r="J210" i="6" s="1"/>
  <c r="I210" i="6"/>
  <c r="H218" i="2"/>
  <c r="O218" i="2"/>
  <c r="AI211" i="2"/>
  <c r="J211" i="6" s="1"/>
  <c r="I211" i="6"/>
  <c r="L217" i="2"/>
  <c r="M217" i="2" s="1"/>
  <c r="K217" i="2"/>
  <c r="O211" i="2"/>
  <c r="C211" i="6" s="1"/>
  <c r="AH219" i="2"/>
  <c r="I219" i="6" s="1"/>
  <c r="L210" i="2"/>
  <c r="M210" i="2" s="1"/>
  <c r="K210" i="2"/>
  <c r="AI217" i="2"/>
  <c r="J217" i="6" s="1"/>
  <c r="I217" i="6"/>
  <c r="AI213" i="2"/>
  <c r="J213" i="6" s="1"/>
  <c r="AI215" i="2"/>
  <c r="J215" i="6" s="1"/>
  <c r="I215" i="6"/>
  <c r="K207" i="2"/>
  <c r="AI208" i="2"/>
  <c r="J208" i="6" s="1"/>
  <c r="I208" i="6"/>
  <c r="Q216" i="2"/>
  <c r="C216" i="6"/>
  <c r="Q210" i="2"/>
  <c r="P210" i="2"/>
  <c r="D210" i="6" s="1"/>
  <c r="C210" i="6"/>
  <c r="V215" i="2"/>
  <c r="AK215" i="2" s="1"/>
  <c r="L215" i="6" s="1"/>
  <c r="U214" i="2"/>
  <c r="BE219" i="2"/>
  <c r="BC219" i="2"/>
  <c r="Q219" i="6" s="1"/>
  <c r="BE213" i="2"/>
  <c r="BC213" i="2"/>
  <c r="Q213" i="6" s="1"/>
  <c r="P215" i="2"/>
  <c r="D215" i="6" s="1"/>
  <c r="Q215" i="2"/>
  <c r="R209" i="2"/>
  <c r="AS209" i="2"/>
  <c r="AG218" i="2"/>
  <c r="AH218" i="2"/>
  <c r="I218" i="6" s="1"/>
  <c r="Q212" i="2"/>
  <c r="P212" i="2"/>
  <c r="D212" i="6" s="1"/>
  <c r="AG214" i="2"/>
  <c r="AH214" i="2"/>
  <c r="L215" i="2"/>
  <c r="M215" i="2" s="1"/>
  <c r="K215" i="2"/>
  <c r="AT219" i="2"/>
  <c r="K216" i="2"/>
  <c r="L216" i="2"/>
  <c r="M216" i="2" s="1"/>
  <c r="V211" i="2"/>
  <c r="AJ211" i="2"/>
  <c r="K211" i="6" s="1"/>
  <c r="U212" i="2"/>
  <c r="H207" i="2"/>
  <c r="O207" i="2"/>
  <c r="C207" i="6" s="1"/>
  <c r="AM219" i="2"/>
  <c r="AG216" i="2"/>
  <c r="AL216" i="2"/>
  <c r="AH216" i="2"/>
  <c r="I216" i="6" s="1"/>
  <c r="AT213" i="2"/>
  <c r="AL213" i="2"/>
  <c r="R213" i="2"/>
  <c r="AO213" i="2" s="1"/>
  <c r="H213" i="6" s="1"/>
  <c r="Q217" i="2"/>
  <c r="P217" i="2"/>
  <c r="D217" i="6" s="1"/>
  <c r="AI219" i="2"/>
  <c r="J219" i="6" s="1"/>
  <c r="Q211" i="2"/>
  <c r="H214" i="2"/>
  <c r="O214" i="2"/>
  <c r="C214" i="6" s="1"/>
  <c r="AA214" i="2"/>
  <c r="AA212" i="2"/>
  <c r="AH212" i="2"/>
  <c r="I212" i="6" s="1"/>
  <c r="K211" i="2"/>
  <c r="L211" i="2"/>
  <c r="M211" i="2" s="1"/>
  <c r="AG207" i="2"/>
  <c r="AH207" i="2"/>
  <c r="Q208" i="2"/>
  <c r="P208" i="2"/>
  <c r="D208" i="6" s="1"/>
  <c r="AL209" i="2"/>
  <c r="AM209" i="2" s="1"/>
  <c r="AG209" i="2"/>
  <c r="AH209" i="2"/>
  <c r="AN209" i="2"/>
  <c r="G209" i="6" s="1"/>
  <c r="V207" i="2"/>
  <c r="AJ207" i="2"/>
  <c r="K207" i="6" s="1"/>
  <c r="U208" i="2"/>
  <c r="AK219" i="2"/>
  <c r="L219" i="6" s="1"/>
  <c r="AK213" i="2"/>
  <c r="L213" i="6" s="1"/>
  <c r="AK209" i="2"/>
  <c r="L209" i="6" s="1"/>
  <c r="AJ217" i="2"/>
  <c r="K217" i="6" s="1"/>
  <c r="V217" i="2"/>
  <c r="U218" i="2"/>
  <c r="U216" i="2"/>
  <c r="AJ210" i="2"/>
  <c r="K210" i="6" s="1"/>
  <c r="V210" i="2"/>
  <c r="AA207" i="2"/>
  <c r="AO219" i="2"/>
  <c r="H219" i="6" s="1"/>
  <c r="E203" i="6"/>
  <c r="Z203" i="2"/>
  <c r="Y203" i="2"/>
  <c r="F203" i="6" s="1"/>
  <c r="D193" i="2"/>
  <c r="Z193" i="2"/>
  <c r="AA193" i="2" s="1"/>
  <c r="Y193" i="2"/>
  <c r="F193" i="6" s="1"/>
  <c r="AF199" i="2"/>
  <c r="AE199" i="2"/>
  <c r="L200" i="2"/>
  <c r="M200" i="2" s="1"/>
  <c r="K200" i="2"/>
  <c r="J202" i="2"/>
  <c r="D202" i="2"/>
  <c r="G204" i="2"/>
  <c r="F204" i="2"/>
  <c r="AF204" i="2"/>
  <c r="AE204" i="2"/>
  <c r="E193" i="6"/>
  <c r="Z194" i="2"/>
  <c r="E194" i="6"/>
  <c r="AE193" i="2"/>
  <c r="L197" i="2"/>
  <c r="M197" i="2" s="1"/>
  <c r="K197" i="2"/>
  <c r="O198" i="2"/>
  <c r="C198" i="6" s="1"/>
  <c r="H198" i="2"/>
  <c r="T199" i="2"/>
  <c r="U199" i="2"/>
  <c r="AJ199" i="2" s="1"/>
  <c r="K199" i="6" s="1"/>
  <c r="Z200" i="2"/>
  <c r="E200" i="6"/>
  <c r="Y200" i="2"/>
  <c r="F200" i="6" s="1"/>
  <c r="Z195" i="2"/>
  <c r="AA195" i="2" s="1"/>
  <c r="J205" i="2"/>
  <c r="E196" i="6"/>
  <c r="E204" i="6"/>
  <c r="J198" i="2"/>
  <c r="L198" i="2" s="1"/>
  <c r="M198" i="2" s="1"/>
  <c r="E199" i="6"/>
  <c r="G199" i="2"/>
  <c r="O199" i="2" s="1"/>
  <c r="C199" i="6" s="1"/>
  <c r="Z199" i="2"/>
  <c r="AA199" i="2" s="1"/>
  <c r="F200" i="2"/>
  <c r="AE200" i="2"/>
  <c r="G202" i="2"/>
  <c r="Z202" i="2"/>
  <c r="AA202" i="2" s="1"/>
  <c r="K204" i="2"/>
  <c r="Y204" i="2"/>
  <c r="F204" i="6" s="1"/>
  <c r="E198" i="6"/>
  <c r="E202" i="6"/>
  <c r="V193" i="2"/>
  <c r="AJ193" i="2"/>
  <c r="K193" i="6" s="1"/>
  <c r="AH193" i="2"/>
  <c r="I193" i="6" s="1"/>
  <c r="AG193" i="2"/>
  <c r="AA194" i="2"/>
  <c r="H194" i="2"/>
  <c r="O194" i="2"/>
  <c r="C194" i="6" s="1"/>
  <c r="AG194" i="2"/>
  <c r="AH194" i="2"/>
  <c r="P196" i="2"/>
  <c r="D196" i="6" s="1"/>
  <c r="Q196" i="2"/>
  <c r="R196" i="2" s="1"/>
  <c r="O197" i="2"/>
  <c r="C197" i="6" s="1"/>
  <c r="H197" i="2"/>
  <c r="V197" i="2"/>
  <c r="AJ197" i="2"/>
  <c r="K197" i="6" s="1"/>
  <c r="U196" i="2"/>
  <c r="AH197" i="2"/>
  <c r="I197" i="6" s="1"/>
  <c r="AG197" i="2"/>
  <c r="O193" i="2"/>
  <c r="C193" i="6" s="1"/>
  <c r="H193" i="2"/>
  <c r="K196" i="2"/>
  <c r="L196" i="2"/>
  <c r="M196" i="2" s="1"/>
  <c r="U194" i="2"/>
  <c r="L195" i="2"/>
  <c r="M195" i="2" s="1"/>
  <c r="K195" i="2"/>
  <c r="Q195" i="2"/>
  <c r="P195" i="2"/>
  <c r="D195" i="6" s="1"/>
  <c r="AA197" i="2"/>
  <c r="F193" i="2"/>
  <c r="U198" i="2"/>
  <c r="AH198" i="2"/>
  <c r="I198" i="6" s="1"/>
  <c r="J199" i="2"/>
  <c r="D199" i="2"/>
  <c r="AH200" i="2"/>
  <c r="I200" i="6" s="1"/>
  <c r="AG200" i="2"/>
  <c r="U201" i="2"/>
  <c r="T201" i="2"/>
  <c r="J203" i="2"/>
  <c r="D203" i="2"/>
  <c r="V203" i="2"/>
  <c r="G205" i="2"/>
  <c r="F205" i="2"/>
  <c r="Z205" i="2"/>
  <c r="Y205" i="2"/>
  <c r="F205" i="6" s="1"/>
  <c r="L193" i="2"/>
  <c r="M193" i="2" s="1"/>
  <c r="F194" i="2"/>
  <c r="K194" i="2"/>
  <c r="T194" i="2"/>
  <c r="Y194" i="2"/>
  <c r="F194" i="6" s="1"/>
  <c r="AE194" i="2"/>
  <c r="AH195" i="2"/>
  <c r="D196" i="2"/>
  <c r="H196" i="2"/>
  <c r="AA196" i="2"/>
  <c r="AG196" i="2"/>
  <c r="AG198" i="2"/>
  <c r="G201" i="2"/>
  <c r="F201" i="2"/>
  <c r="Z201" i="2"/>
  <c r="Y201" i="2"/>
  <c r="F201" i="6" s="1"/>
  <c r="AA204" i="2"/>
  <c r="L205" i="2"/>
  <c r="M205" i="2" s="1"/>
  <c r="K205" i="2"/>
  <c r="AF205" i="2"/>
  <c r="AE205" i="2"/>
  <c r="AH196" i="2"/>
  <c r="V199" i="2"/>
  <c r="AA200" i="2"/>
  <c r="L201" i="2"/>
  <c r="M201" i="2" s="1"/>
  <c r="K201" i="2"/>
  <c r="AF201" i="2"/>
  <c r="AE201" i="2"/>
  <c r="AH203" i="2"/>
  <c r="I203" i="6" s="1"/>
  <c r="AG203" i="2"/>
  <c r="O204" i="2"/>
  <c r="C204" i="6" s="1"/>
  <c r="H204" i="2"/>
  <c r="Q198" i="2"/>
  <c r="AL198" i="2" s="1"/>
  <c r="P198" i="2"/>
  <c r="D198" i="6" s="1"/>
  <c r="AH199" i="2"/>
  <c r="AG199" i="2"/>
  <c r="O200" i="2"/>
  <c r="C200" i="6" s="1"/>
  <c r="H200" i="2"/>
  <c r="L202" i="2"/>
  <c r="M202" i="2" s="1"/>
  <c r="K202" i="2"/>
  <c r="O203" i="2"/>
  <c r="C203" i="6" s="1"/>
  <c r="H203" i="2"/>
  <c r="AA203" i="2"/>
  <c r="AJ203" i="2"/>
  <c r="K203" i="6" s="1"/>
  <c r="AH204" i="2"/>
  <c r="I204" i="6" s="1"/>
  <c r="AG204" i="2"/>
  <c r="U205" i="2"/>
  <c r="T205" i="2"/>
  <c r="F198" i="2"/>
  <c r="K198" i="2"/>
  <c r="T198" i="2"/>
  <c r="Y198" i="2"/>
  <c r="F198" i="6" s="1"/>
  <c r="AE198" i="2"/>
  <c r="S191" i="6"/>
  <c r="B191" i="6"/>
  <c r="A191" i="6"/>
  <c r="S190" i="6"/>
  <c r="E190" i="6"/>
  <c r="B190" i="6"/>
  <c r="A190" i="6"/>
  <c r="S189" i="6"/>
  <c r="B189" i="6"/>
  <c r="A189" i="6"/>
  <c r="S188" i="6"/>
  <c r="B188" i="6"/>
  <c r="A188" i="6"/>
  <c r="S187" i="6"/>
  <c r="B187" i="6"/>
  <c r="A187" i="6"/>
  <c r="S186" i="6"/>
  <c r="E186" i="6"/>
  <c r="B186" i="6"/>
  <c r="A186" i="6"/>
  <c r="S185" i="6"/>
  <c r="B185" i="6"/>
  <c r="A185" i="6"/>
  <c r="S184" i="6"/>
  <c r="E184" i="6"/>
  <c r="B184" i="6"/>
  <c r="A184" i="6"/>
  <c r="S183" i="6"/>
  <c r="B183" i="6"/>
  <c r="A183" i="6"/>
  <c r="S182" i="6"/>
  <c r="B182" i="6"/>
  <c r="A182" i="6"/>
  <c r="S181" i="6"/>
  <c r="F181" i="6"/>
  <c r="B181" i="6"/>
  <c r="A181" i="6"/>
  <c r="S180" i="6"/>
  <c r="E180" i="6"/>
  <c r="B180" i="6"/>
  <c r="A180" i="6"/>
  <c r="S179" i="6"/>
  <c r="B179" i="6"/>
  <c r="A179" i="6"/>
  <c r="BB191" i="2"/>
  <c r="BA191" i="2"/>
  <c r="AV191" i="2"/>
  <c r="AD191" i="2"/>
  <c r="AF191" i="2" s="1"/>
  <c r="X191" i="2"/>
  <c r="Z191" i="2" s="1"/>
  <c r="S191" i="2"/>
  <c r="U191" i="2" s="1"/>
  <c r="E191" i="2"/>
  <c r="G191" i="2" s="1"/>
  <c r="C191" i="2"/>
  <c r="D191" i="2" s="1"/>
  <c r="B191" i="2"/>
  <c r="A191" i="2"/>
  <c r="BB190" i="2"/>
  <c r="BA190" i="2"/>
  <c r="AV190" i="2"/>
  <c r="AF190" i="2"/>
  <c r="AD190" i="2"/>
  <c r="AE190" i="2" s="1"/>
  <c r="Z190" i="2"/>
  <c r="X190" i="2"/>
  <c r="Y190" i="2" s="1"/>
  <c r="F190" i="6" s="1"/>
  <c r="S190" i="2"/>
  <c r="T190" i="2" s="1"/>
  <c r="E190" i="2"/>
  <c r="F190" i="2" s="1"/>
  <c r="C190" i="2"/>
  <c r="J190" i="2" s="1"/>
  <c r="B190" i="2"/>
  <c r="A190" i="2"/>
  <c r="BB189" i="2"/>
  <c r="BA189" i="2"/>
  <c r="AV189" i="2"/>
  <c r="AD189" i="2"/>
  <c r="AF189" i="2" s="1"/>
  <c r="X189" i="2"/>
  <c r="S189" i="2"/>
  <c r="U189" i="2" s="1"/>
  <c r="E189" i="2"/>
  <c r="G189" i="2" s="1"/>
  <c r="C189" i="2"/>
  <c r="D189" i="2" s="1"/>
  <c r="B189" i="2"/>
  <c r="A189" i="2"/>
  <c r="BB188" i="2"/>
  <c r="BA188" i="2"/>
  <c r="AV188" i="2"/>
  <c r="AE188" i="2"/>
  <c r="AD188" i="2"/>
  <c r="AF188" i="2" s="1"/>
  <c r="X188" i="2"/>
  <c r="S188" i="2"/>
  <c r="T188" i="2" s="1"/>
  <c r="E188" i="2"/>
  <c r="C188" i="2"/>
  <c r="B188" i="2"/>
  <c r="A188" i="2"/>
  <c r="BB187" i="2"/>
  <c r="BA187" i="2"/>
  <c r="AV187" i="2"/>
  <c r="AF187" i="2"/>
  <c r="AG187" i="2" s="1"/>
  <c r="AD187" i="2"/>
  <c r="AE187" i="2" s="1"/>
  <c r="Z187" i="2"/>
  <c r="AA187" i="2" s="1"/>
  <c r="X187" i="2"/>
  <c r="Y187" i="2" s="1"/>
  <c r="F187" i="6" s="1"/>
  <c r="U187" i="2"/>
  <c r="S187" i="2"/>
  <c r="T187" i="2" s="1"/>
  <c r="G187" i="2"/>
  <c r="O187" i="2" s="1"/>
  <c r="C187" i="6" s="1"/>
  <c r="E187" i="2"/>
  <c r="F187" i="2" s="1"/>
  <c r="C187" i="2"/>
  <c r="J187" i="2" s="1"/>
  <c r="K187" i="2" s="1"/>
  <c r="B187" i="2"/>
  <c r="A187" i="2"/>
  <c r="BB186" i="2"/>
  <c r="BA186" i="2"/>
  <c r="AV186" i="2"/>
  <c r="AD186" i="2"/>
  <c r="AE186" i="2" s="1"/>
  <c r="X186" i="2"/>
  <c r="Y186" i="2" s="1"/>
  <c r="F186" i="6" s="1"/>
  <c r="U186" i="2"/>
  <c r="AJ186" i="2" s="1"/>
  <c r="K186" i="6" s="1"/>
  <c r="S186" i="2"/>
  <c r="T186" i="2" s="1"/>
  <c r="E186" i="2"/>
  <c r="F186" i="2" s="1"/>
  <c r="C186" i="2"/>
  <c r="J186" i="2" s="1"/>
  <c r="B186" i="2"/>
  <c r="A186" i="2"/>
  <c r="BB185" i="2"/>
  <c r="BA185" i="2"/>
  <c r="AV185" i="2"/>
  <c r="AE185" i="2"/>
  <c r="AD185" i="2"/>
  <c r="AF185" i="2" s="1"/>
  <c r="X185" i="2"/>
  <c r="V185" i="2"/>
  <c r="AK185" i="2" s="1"/>
  <c r="L185" i="6" s="1"/>
  <c r="T185" i="2"/>
  <c r="S185" i="2"/>
  <c r="U185" i="2" s="1"/>
  <c r="AJ185" i="2" s="1"/>
  <c r="K185" i="6" s="1"/>
  <c r="E185" i="2"/>
  <c r="G185" i="2" s="1"/>
  <c r="O185" i="2" s="1"/>
  <c r="C185" i="6" s="1"/>
  <c r="C185" i="2"/>
  <c r="B185" i="2"/>
  <c r="A185" i="2"/>
  <c r="BB184" i="2"/>
  <c r="BA184" i="2"/>
  <c r="AV184" i="2"/>
  <c r="AD184" i="2"/>
  <c r="X184" i="2"/>
  <c r="Y184" i="2" s="1"/>
  <c r="F184" i="6" s="1"/>
  <c r="S184" i="2"/>
  <c r="E184" i="2"/>
  <c r="F184" i="2" s="1"/>
  <c r="C184" i="2"/>
  <c r="D184" i="2" s="1"/>
  <c r="B184" i="2"/>
  <c r="A184" i="2"/>
  <c r="BB183" i="2"/>
  <c r="BA183" i="2"/>
  <c r="AV183" i="2"/>
  <c r="AE183" i="2"/>
  <c r="AD183" i="2"/>
  <c r="AF183" i="2" s="1"/>
  <c r="AG183" i="2" s="1"/>
  <c r="Y183" i="2"/>
  <c r="F183" i="6" s="1"/>
  <c r="X183" i="2"/>
  <c r="E183" i="6" s="1"/>
  <c r="V183" i="2"/>
  <c r="AK183" i="2" s="1"/>
  <c r="L183" i="6" s="1"/>
  <c r="T183" i="2"/>
  <c r="S183" i="2"/>
  <c r="U183" i="2" s="1"/>
  <c r="AJ183" i="2" s="1"/>
  <c r="K183" i="6" s="1"/>
  <c r="E183" i="2"/>
  <c r="F183" i="2" s="1"/>
  <c r="C183" i="2"/>
  <c r="B183" i="2"/>
  <c r="A183" i="2"/>
  <c r="BB182" i="2"/>
  <c r="BA182" i="2"/>
  <c r="AV182" i="2"/>
  <c r="AD182" i="2"/>
  <c r="AE182" i="2" s="1"/>
  <c r="X182" i="2"/>
  <c r="S182" i="2"/>
  <c r="T182" i="2" s="1"/>
  <c r="J182" i="2"/>
  <c r="K182" i="2" s="1"/>
  <c r="E182" i="2"/>
  <c r="C182" i="2"/>
  <c r="D182" i="2" s="1"/>
  <c r="B182" i="2"/>
  <c r="A182" i="2"/>
  <c r="BB181" i="2"/>
  <c r="BA181" i="2"/>
  <c r="AV181" i="2"/>
  <c r="AF181" i="2"/>
  <c r="AD181" i="2"/>
  <c r="AE181" i="2" s="1"/>
  <c r="Z181" i="2"/>
  <c r="X181" i="2"/>
  <c r="Y181" i="2" s="1"/>
  <c r="U181" i="2"/>
  <c r="S181" i="2"/>
  <c r="T181" i="2" s="1"/>
  <c r="G181" i="2"/>
  <c r="O181" i="2" s="1"/>
  <c r="C181" i="6" s="1"/>
  <c r="E181" i="2"/>
  <c r="F181" i="2" s="1"/>
  <c r="C181" i="2"/>
  <c r="J181" i="2" s="1"/>
  <c r="B181" i="2"/>
  <c r="A181" i="2"/>
  <c r="BB180" i="2"/>
  <c r="BA180" i="2"/>
  <c r="AV180" i="2"/>
  <c r="AE180" i="2"/>
  <c r="AD180" i="2"/>
  <c r="AF180" i="2" s="1"/>
  <c r="AG180" i="2" s="1"/>
  <c r="Y180" i="2"/>
  <c r="F180" i="6" s="1"/>
  <c r="X180" i="2"/>
  <c r="Z180" i="2" s="1"/>
  <c r="AA180" i="2" s="1"/>
  <c r="T180" i="2"/>
  <c r="S180" i="2"/>
  <c r="H180" i="2"/>
  <c r="G180" i="2"/>
  <c r="O180" i="2" s="1"/>
  <c r="C180" i="6" s="1"/>
  <c r="F180" i="2"/>
  <c r="E180" i="2"/>
  <c r="D180" i="2"/>
  <c r="C180" i="2"/>
  <c r="J180" i="2" s="1"/>
  <c r="B180" i="2"/>
  <c r="A180" i="2"/>
  <c r="BB179" i="2"/>
  <c r="BA179" i="2"/>
  <c r="AV179" i="2"/>
  <c r="AD179" i="2"/>
  <c r="AF179" i="2" s="1"/>
  <c r="X179" i="2"/>
  <c r="S179" i="2"/>
  <c r="U179" i="2" s="1"/>
  <c r="J179" i="2"/>
  <c r="L179" i="2" s="1"/>
  <c r="M179" i="2" s="1"/>
  <c r="E179" i="2"/>
  <c r="G179" i="2" s="1"/>
  <c r="C179" i="2"/>
  <c r="D179" i="2" s="1"/>
  <c r="B179" i="2"/>
  <c r="A179" i="2"/>
  <c r="AP209" i="2"/>
  <c r="AQ219" i="2"/>
  <c r="AX219" i="2"/>
  <c r="AW209" i="2"/>
  <c r="AX213" i="2"/>
  <c r="AQ213" i="2"/>
  <c r="AW238" i="2"/>
  <c r="AP238" i="2"/>
  <c r="AW227" i="2"/>
  <c r="AX221" i="2"/>
  <c r="AP231" i="2"/>
  <c r="AQ221" i="2"/>
  <c r="AP227" i="2"/>
  <c r="AX225" i="2"/>
  <c r="AQ225" i="2"/>
  <c r="AW231" i="2"/>
  <c r="AQ244" i="2"/>
  <c r="AX244" i="2"/>
  <c r="AQ242" i="2"/>
  <c r="AX242" i="2"/>
  <c r="AZ242" i="2" l="1"/>
  <c r="AR242" i="2"/>
  <c r="AZ244" i="2"/>
  <c r="AR244" i="2"/>
  <c r="AY242" i="2"/>
  <c r="BG244" i="2"/>
  <c r="BF244" i="2"/>
  <c r="BF243" i="2"/>
  <c r="BG243" i="2"/>
  <c r="BD243" i="2"/>
  <c r="BE238" i="2"/>
  <c r="BC238" i="2"/>
  <c r="BF236" i="2"/>
  <c r="BG236" i="2"/>
  <c r="BD236" i="2"/>
  <c r="AO238" i="2"/>
  <c r="BG235" i="2"/>
  <c r="BF235" i="2"/>
  <c r="BD235" i="2"/>
  <c r="BG239" i="2"/>
  <c r="BF239" i="2"/>
  <c r="BD239" i="2"/>
  <c r="BE231" i="2"/>
  <c r="BC231" i="2"/>
  <c r="AR225" i="2"/>
  <c r="AZ225" i="2"/>
  <c r="AR221" i="2"/>
  <c r="AZ221" i="2"/>
  <c r="BE227" i="2"/>
  <c r="BC227" i="2"/>
  <c r="AK230" i="2"/>
  <c r="AT228" i="2"/>
  <c r="AM232" i="2"/>
  <c r="R233" i="2"/>
  <c r="AN233" i="2"/>
  <c r="AN232" i="2" s="1"/>
  <c r="AS233" i="2"/>
  <c r="AL233" i="2"/>
  <c r="AM233" i="2" s="1"/>
  <c r="AT231" i="2"/>
  <c r="R222" i="2"/>
  <c r="AS222" i="2"/>
  <c r="AL222" i="2"/>
  <c r="AO227" i="2"/>
  <c r="AT232" i="2"/>
  <c r="AK232" i="2"/>
  <c r="AN224" i="2"/>
  <c r="AM224" i="2"/>
  <c r="AM231" i="2"/>
  <c r="AT226" i="2"/>
  <c r="R229" i="2"/>
  <c r="AS229" i="2"/>
  <c r="AN229" i="2"/>
  <c r="AL229" i="2"/>
  <c r="AT224" i="2"/>
  <c r="AO231" i="2"/>
  <c r="AY231" i="2" s="1"/>
  <c r="AM226" i="2"/>
  <c r="AN226" i="2"/>
  <c r="AT227" i="2"/>
  <c r="AM228" i="2"/>
  <c r="AK228" i="2"/>
  <c r="BG225" i="2"/>
  <c r="BF225" i="2"/>
  <c r="AY221" i="2"/>
  <c r="N213" i="6"/>
  <c r="P213" i="6"/>
  <c r="O209" i="6"/>
  <c r="P219" i="6"/>
  <c r="N219" i="6"/>
  <c r="M209" i="6"/>
  <c r="AI209" i="2"/>
  <c r="J209" i="6" s="1"/>
  <c r="I209" i="6"/>
  <c r="AJ214" i="2"/>
  <c r="K214" i="6" s="1"/>
  <c r="V214" i="2"/>
  <c r="AK214" i="2" s="1"/>
  <c r="L214" i="6" s="1"/>
  <c r="R210" i="2"/>
  <c r="AL210" i="2"/>
  <c r="AM210" i="2" s="1"/>
  <c r="P218" i="2"/>
  <c r="D218" i="6" s="1"/>
  <c r="C218" i="6"/>
  <c r="Q218" i="2"/>
  <c r="P211" i="2"/>
  <c r="D211" i="6" s="1"/>
  <c r="AI214" i="2"/>
  <c r="J214" i="6" s="1"/>
  <c r="I214" i="6"/>
  <c r="AS210" i="2"/>
  <c r="AT210" i="2" s="1"/>
  <c r="R216" i="2"/>
  <c r="AM216" i="2" s="1"/>
  <c r="AS216" i="2"/>
  <c r="AT216" i="2" s="1"/>
  <c r="AI207" i="2"/>
  <c r="J207" i="6" s="1"/>
  <c r="I207" i="6"/>
  <c r="AR213" i="2"/>
  <c r="AZ213" i="2"/>
  <c r="BE209" i="2"/>
  <c r="BC209" i="2"/>
  <c r="Q209" i="6" s="1"/>
  <c r="AZ219" i="2"/>
  <c r="AR219" i="2"/>
  <c r="AJ218" i="2"/>
  <c r="K218" i="6" s="1"/>
  <c r="V218" i="2"/>
  <c r="R208" i="2"/>
  <c r="AL208" i="2"/>
  <c r="AS208" i="2"/>
  <c r="R212" i="2"/>
  <c r="AL212" i="2"/>
  <c r="AT209" i="2"/>
  <c r="AK210" i="2"/>
  <c r="L210" i="6" s="1"/>
  <c r="P214" i="2"/>
  <c r="D214" i="6" s="1"/>
  <c r="Q214" i="2"/>
  <c r="AI212" i="2"/>
  <c r="J212" i="6" s="1"/>
  <c r="AL217" i="2"/>
  <c r="R217" i="2"/>
  <c r="AS217" i="2"/>
  <c r="AN217" i="2"/>
  <c r="AI216" i="2"/>
  <c r="J216" i="6" s="1"/>
  <c r="P207" i="2"/>
  <c r="D207" i="6" s="1"/>
  <c r="Q207" i="2"/>
  <c r="AK211" i="2"/>
  <c r="L211" i="6" s="1"/>
  <c r="AI218" i="2"/>
  <c r="J218" i="6" s="1"/>
  <c r="AY213" i="2"/>
  <c r="AK217" i="2"/>
  <c r="L217" i="6" s="1"/>
  <c r="AK207" i="2"/>
  <c r="L207" i="6" s="1"/>
  <c r="AN216" i="2"/>
  <c r="G216" i="6" s="1"/>
  <c r="AN215" i="2"/>
  <c r="G215" i="6" s="1"/>
  <c r="R215" i="2"/>
  <c r="AS215" i="2"/>
  <c r="AL215" i="2"/>
  <c r="AM215" i="2" s="1"/>
  <c r="V216" i="2"/>
  <c r="AJ216" i="2"/>
  <c r="K216" i="6" s="1"/>
  <c r="AJ208" i="2"/>
  <c r="K208" i="6" s="1"/>
  <c r="V208" i="2"/>
  <c r="AO209" i="2"/>
  <c r="H209" i="6" s="1"/>
  <c r="AS212" i="2"/>
  <c r="R211" i="2"/>
  <c r="AS211" i="2"/>
  <c r="AN211" i="2"/>
  <c r="G211" i="6" s="1"/>
  <c r="AL211" i="2"/>
  <c r="AM213" i="2"/>
  <c r="V212" i="2"/>
  <c r="AJ212" i="2"/>
  <c r="K212" i="6" s="1"/>
  <c r="AY219" i="2"/>
  <c r="O202" i="2"/>
  <c r="H202" i="2"/>
  <c r="AH202" i="2"/>
  <c r="H199" i="2"/>
  <c r="AS196" i="2"/>
  <c r="AI194" i="2"/>
  <c r="J194" i="6" s="1"/>
  <c r="I194" i="6"/>
  <c r="AI196" i="2"/>
  <c r="J196" i="6" s="1"/>
  <c r="I196" i="6"/>
  <c r="AI199" i="2"/>
  <c r="J199" i="6" s="1"/>
  <c r="I199" i="6"/>
  <c r="AI195" i="2"/>
  <c r="J195" i="6" s="1"/>
  <c r="I195" i="6"/>
  <c r="AL196" i="2"/>
  <c r="AM196" i="2" s="1"/>
  <c r="AG201" i="2"/>
  <c r="AH201" i="2"/>
  <c r="I201" i="6" s="1"/>
  <c r="P199" i="2"/>
  <c r="D199" i="6" s="1"/>
  <c r="Q199" i="2"/>
  <c r="U202" i="2"/>
  <c r="V201" i="2"/>
  <c r="AJ201" i="2"/>
  <c r="K201" i="6" s="1"/>
  <c r="U200" i="2"/>
  <c r="K199" i="2"/>
  <c r="L199" i="2"/>
  <c r="M199" i="2" s="1"/>
  <c r="V194" i="2"/>
  <c r="AJ194" i="2"/>
  <c r="K194" i="6" s="1"/>
  <c r="AJ196" i="2"/>
  <c r="K196" i="6" s="1"/>
  <c r="V196" i="2"/>
  <c r="Q194" i="2"/>
  <c r="P194" i="2"/>
  <c r="D194" i="6" s="1"/>
  <c r="V205" i="2"/>
  <c r="AJ205" i="2"/>
  <c r="K205" i="6" s="1"/>
  <c r="U204" i="2"/>
  <c r="Q204" i="2"/>
  <c r="P204" i="2"/>
  <c r="D204" i="6" s="1"/>
  <c r="AK199" i="2"/>
  <c r="L199" i="6" s="1"/>
  <c r="AA201" i="2"/>
  <c r="H205" i="2"/>
  <c r="O205" i="2"/>
  <c r="C205" i="6" s="1"/>
  <c r="K203" i="2"/>
  <c r="L203" i="2"/>
  <c r="M203" i="2" s="1"/>
  <c r="AI198" i="2"/>
  <c r="J198" i="6" s="1"/>
  <c r="AS195" i="2"/>
  <c r="R195" i="2"/>
  <c r="AT196" i="2"/>
  <c r="Q197" i="2"/>
  <c r="P197" i="2"/>
  <c r="D197" i="6" s="1"/>
  <c r="P203" i="2"/>
  <c r="D203" i="6" s="1"/>
  <c r="Q203" i="2"/>
  <c r="Q200" i="2"/>
  <c r="P200" i="2"/>
  <c r="D200" i="6" s="1"/>
  <c r="AL195" i="2"/>
  <c r="AK203" i="2"/>
  <c r="L203" i="6" s="1"/>
  <c r="AI200" i="2"/>
  <c r="J200" i="6" s="1"/>
  <c r="AM198" i="2"/>
  <c r="AI197" i="2"/>
  <c r="J197" i="6" s="1"/>
  <c r="AK193" i="2"/>
  <c r="L193" i="6" s="1"/>
  <c r="AI204" i="2"/>
  <c r="J204" i="6" s="1"/>
  <c r="R198" i="2"/>
  <c r="AS198" i="2"/>
  <c r="AI203" i="2"/>
  <c r="J203" i="6" s="1"/>
  <c r="AG205" i="2"/>
  <c r="AH205" i="2"/>
  <c r="H201" i="2"/>
  <c r="O201" i="2"/>
  <c r="C201" i="6" s="1"/>
  <c r="AA205" i="2"/>
  <c r="AJ198" i="2"/>
  <c r="K198" i="6" s="1"/>
  <c r="V198" i="2"/>
  <c r="AN195" i="2"/>
  <c r="G195" i="6" s="1"/>
  <c r="Q193" i="2"/>
  <c r="P193" i="2"/>
  <c r="D193" i="6" s="1"/>
  <c r="AK197" i="2"/>
  <c r="L197" i="6" s="1"/>
  <c r="AI193" i="2"/>
  <c r="J193" i="6" s="1"/>
  <c r="AE191" i="2"/>
  <c r="J191" i="2"/>
  <c r="E191" i="6"/>
  <c r="F191" i="2"/>
  <c r="T191" i="2"/>
  <c r="Y191" i="2"/>
  <c r="F191" i="6" s="1"/>
  <c r="J183" i="2"/>
  <c r="D183" i="2"/>
  <c r="AF184" i="2"/>
  <c r="AG184" i="2" s="1"/>
  <c r="AE184" i="2"/>
  <c r="Z179" i="2"/>
  <c r="AA179" i="2" s="1"/>
  <c r="E179" i="6"/>
  <c r="Y182" i="2"/>
  <c r="F182" i="6" s="1"/>
  <c r="E182" i="6"/>
  <c r="Z182" i="2"/>
  <c r="F182" i="2"/>
  <c r="G182" i="2"/>
  <c r="O182" i="2" s="1"/>
  <c r="C182" i="6" s="1"/>
  <c r="G183" i="2"/>
  <c r="U184" i="2"/>
  <c r="V184" i="2" s="1"/>
  <c r="T184" i="2"/>
  <c r="J185" i="2"/>
  <c r="D185" i="2"/>
  <c r="F188" i="2"/>
  <c r="G188" i="2"/>
  <c r="H188" i="2" s="1"/>
  <c r="J189" i="2"/>
  <c r="AJ187" i="2"/>
  <c r="K187" i="6" s="1"/>
  <c r="V187" i="2"/>
  <c r="AK187" i="2" s="1"/>
  <c r="L187" i="6" s="1"/>
  <c r="Z185" i="2"/>
  <c r="E185" i="6"/>
  <c r="Z188" i="2"/>
  <c r="Y188" i="2"/>
  <c r="F188" i="6" s="1"/>
  <c r="E188" i="6"/>
  <c r="Z189" i="2"/>
  <c r="AA189" i="2" s="1"/>
  <c r="E189" i="6"/>
  <c r="Y189" i="2"/>
  <c r="F189" i="6" s="1"/>
  <c r="Z183" i="2"/>
  <c r="L187" i="2"/>
  <c r="M187" i="2" s="1"/>
  <c r="E187" i="6"/>
  <c r="G184" i="2"/>
  <c r="H184" i="2" s="1"/>
  <c r="Z184" i="2"/>
  <c r="AF186" i="2"/>
  <c r="AG186" i="2" s="1"/>
  <c r="U188" i="2"/>
  <c r="AJ188" i="2" s="1"/>
  <c r="K188" i="6" s="1"/>
  <c r="F189" i="2"/>
  <c r="T189" i="2"/>
  <c r="AE189" i="2"/>
  <c r="G190" i="2"/>
  <c r="O190" i="2" s="1"/>
  <c r="C190" i="6" s="1"/>
  <c r="E181" i="6"/>
  <c r="Q190" i="2"/>
  <c r="R190" i="2" s="1"/>
  <c r="O191" i="2"/>
  <c r="C191" i="6" s="1"/>
  <c r="H191" i="2"/>
  <c r="V191" i="2"/>
  <c r="AJ191" i="2"/>
  <c r="K191" i="6" s="1"/>
  <c r="U190" i="2"/>
  <c r="AH191" i="2"/>
  <c r="I191" i="6" s="1"/>
  <c r="AG191" i="2"/>
  <c r="K190" i="2"/>
  <c r="L190" i="2"/>
  <c r="M190" i="2" s="1"/>
  <c r="AA191" i="2"/>
  <c r="D190" i="2"/>
  <c r="H190" i="2"/>
  <c r="AA190" i="2"/>
  <c r="AG190" i="2"/>
  <c r="AH190" i="2"/>
  <c r="I190" i="6" s="1"/>
  <c r="K186" i="2"/>
  <c r="L186" i="2"/>
  <c r="M186" i="2" s="1"/>
  <c r="P181" i="2"/>
  <c r="D181" i="6" s="1"/>
  <c r="Q181" i="2"/>
  <c r="R181" i="2" s="1"/>
  <c r="Q185" i="2"/>
  <c r="R185" i="2" s="1"/>
  <c r="P185" i="2"/>
  <c r="D185" i="6" s="1"/>
  <c r="U180" i="2"/>
  <c r="V179" i="2"/>
  <c r="AJ179" i="2"/>
  <c r="K179" i="6" s="1"/>
  <c r="L180" i="2"/>
  <c r="M180" i="2" s="1"/>
  <c r="K180" i="2"/>
  <c r="Q180" i="2"/>
  <c r="P180" i="2"/>
  <c r="D180" i="6" s="1"/>
  <c r="K181" i="2"/>
  <c r="L181" i="2"/>
  <c r="M181" i="2" s="1"/>
  <c r="AL181" i="2"/>
  <c r="AJ184" i="2"/>
  <c r="K184" i="6" s="1"/>
  <c r="H179" i="2"/>
  <c r="O179" i="2"/>
  <c r="C179" i="6" s="1"/>
  <c r="AG179" i="2"/>
  <c r="AH179" i="2"/>
  <c r="I179" i="6" s="1"/>
  <c r="P182" i="2"/>
  <c r="D182" i="6" s="1"/>
  <c r="Q182" i="2"/>
  <c r="R182" i="2" s="1"/>
  <c r="AS182" i="2"/>
  <c r="AJ181" i="2"/>
  <c r="K181" i="6" s="1"/>
  <c r="AN181" i="2"/>
  <c r="G181" i="6" s="1"/>
  <c r="AA184" i="2"/>
  <c r="AH184" i="2"/>
  <c r="F179" i="2"/>
  <c r="K179" i="2"/>
  <c r="T179" i="2"/>
  <c r="Y179" i="2"/>
  <c r="F179" i="6" s="1"/>
  <c r="AE179" i="2"/>
  <c r="AH180" i="2"/>
  <c r="D181" i="2"/>
  <c r="H181" i="2"/>
  <c r="V181" i="2"/>
  <c r="AA181" i="2"/>
  <c r="AG181" i="2"/>
  <c r="L182" i="2"/>
  <c r="M182" i="2" s="1"/>
  <c r="AF182" i="2"/>
  <c r="J184" i="2"/>
  <c r="F185" i="2"/>
  <c r="Y185" i="2"/>
  <c r="F185" i="6" s="1"/>
  <c r="AG185" i="2"/>
  <c r="D186" i="2"/>
  <c r="V186" i="2"/>
  <c r="J188" i="2"/>
  <c r="D188" i="2"/>
  <c r="AH188" i="2"/>
  <c r="I188" i="6" s="1"/>
  <c r="AG188" i="2"/>
  <c r="AH181" i="2"/>
  <c r="I181" i="6" s="1"/>
  <c r="H185" i="2"/>
  <c r="AA185" i="2"/>
  <c r="AH185" i="2"/>
  <c r="Q187" i="2"/>
  <c r="P187" i="2"/>
  <c r="D187" i="6" s="1"/>
  <c r="AA188" i="2"/>
  <c r="O189" i="2"/>
  <c r="C189" i="6" s="1"/>
  <c r="H189" i="2"/>
  <c r="H182" i="2"/>
  <c r="U182" i="2"/>
  <c r="AA182" i="2"/>
  <c r="AH183" i="2"/>
  <c r="G186" i="2"/>
  <c r="Z186" i="2"/>
  <c r="D187" i="2"/>
  <c r="H187" i="2"/>
  <c r="O188" i="2"/>
  <c r="C188" i="6" s="1"/>
  <c r="V188" i="2"/>
  <c r="V189" i="2"/>
  <c r="AJ189" i="2"/>
  <c r="K189" i="6" s="1"/>
  <c r="AG189" i="2"/>
  <c r="AH187" i="2"/>
  <c r="AL187" i="2"/>
  <c r="S177" i="6"/>
  <c r="B177" i="6"/>
  <c r="A177" i="6"/>
  <c r="S176" i="6"/>
  <c r="B176" i="6"/>
  <c r="A176" i="6"/>
  <c r="S175" i="6"/>
  <c r="B175" i="6"/>
  <c r="A175" i="6"/>
  <c r="S174" i="6"/>
  <c r="B174" i="6"/>
  <c r="A174" i="6"/>
  <c r="S173" i="6"/>
  <c r="E173" i="6"/>
  <c r="B173" i="6"/>
  <c r="A173" i="6"/>
  <c r="S172" i="6"/>
  <c r="E172" i="6"/>
  <c r="B172" i="6"/>
  <c r="A172" i="6"/>
  <c r="S171" i="6"/>
  <c r="B171" i="6"/>
  <c r="A171" i="6"/>
  <c r="S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BB177" i="2"/>
  <c r="BA177" i="2"/>
  <c r="AV177" i="2"/>
  <c r="AD177" i="2"/>
  <c r="X177" i="2"/>
  <c r="E177" i="6" s="1"/>
  <c r="S177" i="2"/>
  <c r="E177" i="2"/>
  <c r="C177" i="2"/>
  <c r="B177" i="2"/>
  <c r="A177" i="2"/>
  <c r="BB176" i="2"/>
  <c r="BA176" i="2"/>
  <c r="AV176" i="2"/>
  <c r="AE176" i="2"/>
  <c r="AD176" i="2"/>
  <c r="AF176" i="2" s="1"/>
  <c r="AG176" i="2" s="1"/>
  <c r="X176" i="2"/>
  <c r="S176" i="2"/>
  <c r="T176" i="2" s="1"/>
  <c r="J176" i="2"/>
  <c r="E176" i="2"/>
  <c r="G176" i="2" s="1"/>
  <c r="H176" i="2" s="1"/>
  <c r="C176" i="2"/>
  <c r="D176" i="2" s="1"/>
  <c r="B176" i="2"/>
  <c r="A176" i="2"/>
  <c r="BB175" i="2"/>
  <c r="BA175" i="2"/>
  <c r="AV175" i="2"/>
  <c r="AF175" i="2"/>
  <c r="AE175" i="2"/>
  <c r="AD175" i="2"/>
  <c r="X175" i="2"/>
  <c r="U175" i="2"/>
  <c r="S175" i="2"/>
  <c r="T175" i="2" s="1"/>
  <c r="G175" i="2"/>
  <c r="F175" i="2"/>
  <c r="E175" i="2"/>
  <c r="C175" i="2"/>
  <c r="B175" i="2"/>
  <c r="A175" i="2"/>
  <c r="BB174" i="2"/>
  <c r="BA174" i="2"/>
  <c r="AV174" i="2"/>
  <c r="AF174" i="2"/>
  <c r="AD174" i="2"/>
  <c r="AE174" i="2" s="1"/>
  <c r="Z174" i="2"/>
  <c r="AA174" i="2" s="1"/>
  <c r="Y174" i="2"/>
  <c r="F174" i="6" s="1"/>
  <c r="X174" i="2"/>
  <c r="E174" i="6" s="1"/>
  <c r="T174" i="2"/>
  <c r="S174" i="2"/>
  <c r="G174" i="2"/>
  <c r="F174" i="2"/>
  <c r="E174" i="2"/>
  <c r="C174" i="2"/>
  <c r="B174" i="2"/>
  <c r="A174" i="2"/>
  <c r="BB173" i="2"/>
  <c r="BA173" i="2"/>
  <c r="AV173" i="2"/>
  <c r="AD173" i="2"/>
  <c r="X173" i="2"/>
  <c r="S173" i="2"/>
  <c r="J173" i="2"/>
  <c r="E173" i="2"/>
  <c r="C173" i="2"/>
  <c r="D173" i="2" s="1"/>
  <c r="B173" i="2"/>
  <c r="A173" i="2"/>
  <c r="BB172" i="2"/>
  <c r="BA172" i="2"/>
  <c r="AV172" i="2"/>
  <c r="AD172" i="2"/>
  <c r="X172" i="2"/>
  <c r="Z172" i="2" s="1"/>
  <c r="S172" i="2"/>
  <c r="J172" i="2"/>
  <c r="E172" i="2"/>
  <c r="C172" i="2"/>
  <c r="D172" i="2" s="1"/>
  <c r="B172" i="2"/>
  <c r="A172" i="2"/>
  <c r="BB171" i="2"/>
  <c r="BA171" i="2"/>
  <c r="AV171" i="2"/>
  <c r="AE171" i="2"/>
  <c r="AD171" i="2"/>
  <c r="AF171" i="2" s="1"/>
  <c r="X171" i="2"/>
  <c r="U171" i="2"/>
  <c r="T171" i="2"/>
  <c r="S171" i="2"/>
  <c r="G171" i="2"/>
  <c r="F171" i="2"/>
  <c r="E171" i="2"/>
  <c r="C171" i="2"/>
  <c r="B171" i="2"/>
  <c r="A171" i="2"/>
  <c r="BB170" i="2"/>
  <c r="BA170" i="2"/>
  <c r="AV170" i="2"/>
  <c r="AF170" i="2"/>
  <c r="AE170" i="2"/>
  <c r="AD170" i="2"/>
  <c r="Z170" i="2"/>
  <c r="AA170" i="2" s="1"/>
  <c r="Y170" i="2"/>
  <c r="F170" i="6" s="1"/>
  <c r="X170" i="2"/>
  <c r="E170" i="6" s="1"/>
  <c r="S170" i="2"/>
  <c r="T170" i="2" s="1"/>
  <c r="G170" i="2"/>
  <c r="F170" i="2"/>
  <c r="E170" i="2"/>
  <c r="C170" i="2"/>
  <c r="B170" i="2"/>
  <c r="A170" i="2"/>
  <c r="BB169" i="2"/>
  <c r="BA169" i="2"/>
  <c r="AV169" i="2"/>
  <c r="AD169" i="2"/>
  <c r="X169" i="2"/>
  <c r="Z169" i="2" s="1"/>
  <c r="S169" i="2"/>
  <c r="E169" i="2"/>
  <c r="G169" i="2" s="1"/>
  <c r="C169" i="2"/>
  <c r="D169" i="2" s="1"/>
  <c r="B169" i="2"/>
  <c r="A169" i="2"/>
  <c r="BB168" i="2"/>
  <c r="BA168" i="2"/>
  <c r="AV168" i="2"/>
  <c r="AD168" i="2"/>
  <c r="X168" i="2"/>
  <c r="S168" i="2"/>
  <c r="T168" i="2" s="1"/>
  <c r="J168" i="2"/>
  <c r="E168" i="2"/>
  <c r="F168" i="2" s="1"/>
  <c r="C168" i="2"/>
  <c r="D168" i="2" s="1"/>
  <c r="B168" i="2"/>
  <c r="A168" i="2"/>
  <c r="BB167" i="2"/>
  <c r="BA167" i="2"/>
  <c r="AV167" i="2"/>
  <c r="AG167" i="2"/>
  <c r="AE167" i="2"/>
  <c r="AD167" i="2"/>
  <c r="AF167" i="2" s="1"/>
  <c r="X167" i="2"/>
  <c r="S167" i="2"/>
  <c r="U167" i="2" s="1"/>
  <c r="V167" i="2" s="1"/>
  <c r="AK167" i="2" s="1"/>
  <c r="L167" i="6" s="1"/>
  <c r="G167" i="2"/>
  <c r="E167" i="2"/>
  <c r="F167" i="2" s="1"/>
  <c r="C167" i="2"/>
  <c r="B167" i="2"/>
  <c r="A167" i="2"/>
  <c r="AP181" i="2"/>
  <c r="AW195" i="2"/>
  <c r="AP195" i="2"/>
  <c r="AX209" i="2"/>
  <c r="AW217" i="2"/>
  <c r="AP215" i="2"/>
  <c r="AP217" i="2"/>
  <c r="AP216" i="2"/>
  <c r="AW216" i="2"/>
  <c r="AP211" i="2"/>
  <c r="AW215" i="2"/>
  <c r="AQ209" i="2"/>
  <c r="AW211" i="2"/>
  <c r="AX238" i="2"/>
  <c r="AQ238" i="2"/>
  <c r="AX231" i="2"/>
  <c r="AQ227" i="2"/>
  <c r="AW229" i="2"/>
  <c r="AQ231" i="2"/>
  <c r="AP233" i="2"/>
  <c r="AP229" i="2"/>
  <c r="AW224" i="2"/>
  <c r="AP224" i="2"/>
  <c r="AW233" i="2"/>
  <c r="AW226" i="2"/>
  <c r="AP226" i="2"/>
  <c r="AX227" i="2"/>
  <c r="AW232" i="2"/>
  <c r="AP232" i="2"/>
  <c r="BG242" i="2" l="1"/>
  <c r="BF242" i="2"/>
  <c r="BD242" i="2"/>
  <c r="AR238" i="2"/>
  <c r="AZ238" i="2"/>
  <c r="AY238" i="2"/>
  <c r="BE232" i="2"/>
  <c r="BC232" i="2"/>
  <c r="AZ227" i="2"/>
  <c r="BE226" i="2"/>
  <c r="BC226" i="2"/>
  <c r="BE233" i="2"/>
  <c r="BC233" i="2"/>
  <c r="BE224" i="2"/>
  <c r="AY224" i="2"/>
  <c r="BD224" i="2" s="1"/>
  <c r="BC224" i="2"/>
  <c r="AR231" i="2"/>
  <c r="BE229" i="2"/>
  <c r="BC229" i="2"/>
  <c r="AR227" i="2"/>
  <c r="AZ231" i="2"/>
  <c r="BG231" i="2"/>
  <c r="BF231" i="2"/>
  <c r="BD231" i="2"/>
  <c r="AO232" i="2"/>
  <c r="AO226" i="2"/>
  <c r="AY226" i="2" s="1"/>
  <c r="AM229" i="2"/>
  <c r="AT222" i="2"/>
  <c r="AT233" i="2"/>
  <c r="AY233" i="2" s="1"/>
  <c r="AO224" i="2"/>
  <c r="AM222" i="2"/>
  <c r="AN222" i="2"/>
  <c r="BF221" i="2"/>
  <c r="BG221" i="2"/>
  <c r="BD221" i="2"/>
  <c r="AO229" i="2"/>
  <c r="AN230" i="2"/>
  <c r="AO233" i="2"/>
  <c r="AY227" i="2"/>
  <c r="AN228" i="2"/>
  <c r="AT229" i="2"/>
  <c r="O211" i="6"/>
  <c r="N209" i="6"/>
  <c r="O215" i="6"/>
  <c r="M211" i="6"/>
  <c r="O216" i="6"/>
  <c r="M216" i="6"/>
  <c r="M217" i="6"/>
  <c r="M215" i="6"/>
  <c r="O217" i="6"/>
  <c r="P209" i="6"/>
  <c r="AL218" i="2"/>
  <c r="R218" i="2"/>
  <c r="AO218" i="2" s="1"/>
  <c r="H218" i="6" s="1"/>
  <c r="AS218" i="2"/>
  <c r="AN218" i="2"/>
  <c r="G217" i="6"/>
  <c r="BE211" i="2"/>
  <c r="BC211" i="2"/>
  <c r="Q211" i="6" s="1"/>
  <c r="AR209" i="2"/>
  <c r="BE215" i="2"/>
  <c r="BC215" i="2"/>
  <c r="Q215" i="6" s="1"/>
  <c r="BE216" i="2"/>
  <c r="BC216" i="2"/>
  <c r="Q216" i="6" s="1"/>
  <c r="BE217" i="2"/>
  <c r="BC217" i="2"/>
  <c r="Q217" i="6" s="1"/>
  <c r="AZ209" i="2"/>
  <c r="BG219" i="2"/>
  <c r="BF219" i="2"/>
  <c r="BD219" i="2"/>
  <c r="R219" i="6" s="1"/>
  <c r="R214" i="2"/>
  <c r="AL214" i="2"/>
  <c r="AS214" i="2"/>
  <c r="AK212" i="2"/>
  <c r="L212" i="6" s="1"/>
  <c r="AT211" i="2"/>
  <c r="AY211" i="2" s="1"/>
  <c r="AT215" i="2"/>
  <c r="AM217" i="2"/>
  <c r="AK218" i="2"/>
  <c r="L218" i="6" s="1"/>
  <c r="AO211" i="2"/>
  <c r="H211" i="6" s="1"/>
  <c r="AT212" i="2"/>
  <c r="AO216" i="2"/>
  <c r="H216" i="6" s="1"/>
  <c r="AK208" i="2"/>
  <c r="L208" i="6" s="1"/>
  <c r="AO217" i="2"/>
  <c r="H217" i="6" s="1"/>
  <c r="AT208" i="2"/>
  <c r="BG213" i="2"/>
  <c r="BF213" i="2"/>
  <c r="BD213" i="2"/>
  <c r="R213" i="6" s="1"/>
  <c r="AN212" i="2"/>
  <c r="G212" i="6" s="1"/>
  <c r="AM212" i="2"/>
  <c r="AM211" i="2"/>
  <c r="AN210" i="2"/>
  <c r="G210" i="6" s="1"/>
  <c r="AK216" i="2"/>
  <c r="L216" i="6" s="1"/>
  <c r="AO215" i="2"/>
  <c r="H215" i="6" s="1"/>
  <c r="R207" i="2"/>
  <c r="AN207" i="2"/>
  <c r="G207" i="6" s="1"/>
  <c r="AS207" i="2"/>
  <c r="AL207" i="2"/>
  <c r="AT217" i="2"/>
  <c r="AN208" i="2"/>
  <c r="G208" i="6" s="1"/>
  <c r="AM208" i="2"/>
  <c r="AY209" i="2"/>
  <c r="M195" i="6"/>
  <c r="O195" i="6"/>
  <c r="AI205" i="2"/>
  <c r="J205" i="6" s="1"/>
  <c r="I205" i="6"/>
  <c r="AI202" i="2"/>
  <c r="J202" i="6" s="1"/>
  <c r="I202" i="6"/>
  <c r="C202" i="6"/>
  <c r="Q202" i="2"/>
  <c r="P202" i="2"/>
  <c r="D202" i="6" s="1"/>
  <c r="BE195" i="2"/>
  <c r="BC195" i="2"/>
  <c r="Q195" i="6" s="1"/>
  <c r="AO195" i="2"/>
  <c r="H195" i="6" s="1"/>
  <c r="Q205" i="2"/>
  <c r="P205" i="2"/>
  <c r="D205" i="6" s="1"/>
  <c r="R194" i="2"/>
  <c r="AL194" i="2"/>
  <c r="AS194" i="2"/>
  <c r="AK198" i="2"/>
  <c r="L198" i="6" s="1"/>
  <c r="AT198" i="2"/>
  <c r="AM195" i="2"/>
  <c r="R200" i="2"/>
  <c r="AL200" i="2"/>
  <c r="AS200" i="2"/>
  <c r="R197" i="2"/>
  <c r="AL197" i="2"/>
  <c r="AS197" i="2"/>
  <c r="AN197" i="2"/>
  <c r="G197" i="6" s="1"/>
  <c r="AK196" i="2"/>
  <c r="L196" i="6" s="1"/>
  <c r="V200" i="2"/>
  <c r="AJ200" i="2"/>
  <c r="K200" i="6" s="1"/>
  <c r="AJ202" i="2"/>
  <c r="K202" i="6" s="1"/>
  <c r="V202" i="2"/>
  <c r="AI201" i="2"/>
  <c r="J201" i="6" s="1"/>
  <c r="AK201" i="2"/>
  <c r="L201" i="6" s="1"/>
  <c r="Q201" i="2"/>
  <c r="P201" i="2"/>
  <c r="D201" i="6" s="1"/>
  <c r="R203" i="2"/>
  <c r="AN203" i="2"/>
  <c r="G203" i="6" s="1"/>
  <c r="AL203" i="2"/>
  <c r="AS203" i="2"/>
  <c r="R204" i="2"/>
  <c r="AS204" i="2"/>
  <c r="AL204" i="2"/>
  <c r="AK205" i="2"/>
  <c r="L205" i="6" s="1"/>
  <c r="AK194" i="2"/>
  <c r="L194" i="6" s="1"/>
  <c r="R199" i="2"/>
  <c r="AN199" i="2"/>
  <c r="G199" i="6" s="1"/>
  <c r="AS199" i="2"/>
  <c r="AL199" i="2"/>
  <c r="AM199" i="2" s="1"/>
  <c r="AT195" i="2"/>
  <c r="R193" i="2"/>
  <c r="AN193" i="2"/>
  <c r="G193" i="6" s="1"/>
  <c r="AS193" i="2"/>
  <c r="AL193" i="2"/>
  <c r="V204" i="2"/>
  <c r="AJ204" i="2"/>
  <c r="K204" i="6" s="1"/>
  <c r="L191" i="2"/>
  <c r="M191" i="2" s="1"/>
  <c r="K191" i="2"/>
  <c r="M181" i="6"/>
  <c r="I183" i="6"/>
  <c r="O183" i="2"/>
  <c r="H183" i="2"/>
  <c r="AH189" i="2"/>
  <c r="AI180" i="2"/>
  <c r="J180" i="6" s="1"/>
  <c r="I180" i="6"/>
  <c r="O184" i="2"/>
  <c r="C184" i="6" s="1"/>
  <c r="P190" i="2"/>
  <c r="D190" i="6" s="1"/>
  <c r="AA183" i="2"/>
  <c r="AI183" i="2" s="1"/>
  <c r="J183" i="6" s="1"/>
  <c r="L189" i="2"/>
  <c r="M189" i="2" s="1"/>
  <c r="K189" i="2"/>
  <c r="L185" i="2"/>
  <c r="M185" i="2" s="1"/>
  <c r="K185" i="2"/>
  <c r="AS190" i="2"/>
  <c r="AI187" i="2"/>
  <c r="J187" i="6" s="1"/>
  <c r="I187" i="6"/>
  <c r="AI185" i="2"/>
  <c r="J185" i="6" s="1"/>
  <c r="I185" i="6"/>
  <c r="AI184" i="2"/>
  <c r="J184" i="6" s="1"/>
  <c r="I184" i="6"/>
  <c r="AS185" i="2"/>
  <c r="AT185" i="2" s="1"/>
  <c r="L183" i="2"/>
  <c r="M183" i="2" s="1"/>
  <c r="K183" i="2"/>
  <c r="Q191" i="2"/>
  <c r="P191" i="2"/>
  <c r="D191" i="6" s="1"/>
  <c r="AI190" i="2"/>
  <c r="J190" i="6" s="1"/>
  <c r="AI191" i="2"/>
  <c r="J191" i="6" s="1"/>
  <c r="AK191" i="2"/>
  <c r="L191" i="6" s="1"/>
  <c r="AL190" i="2"/>
  <c r="V190" i="2"/>
  <c r="AJ190" i="2"/>
  <c r="K190" i="6" s="1"/>
  <c r="AH186" i="2"/>
  <c r="AA186" i="2"/>
  <c r="AJ182" i="2"/>
  <c r="K182" i="6" s="1"/>
  <c r="V182" i="2"/>
  <c r="AK186" i="2"/>
  <c r="L186" i="6" s="1"/>
  <c r="AO181" i="2"/>
  <c r="H181" i="6" s="1"/>
  <c r="AM181" i="2"/>
  <c r="AS180" i="2"/>
  <c r="R180" i="2"/>
  <c r="AK188" i="2"/>
  <c r="L188" i="6" s="1"/>
  <c r="O186" i="2"/>
  <c r="C186" i="6" s="1"/>
  <c r="H186" i="2"/>
  <c r="L184" i="2"/>
  <c r="M184" i="2" s="1"/>
  <c r="K184" i="2"/>
  <c r="AL180" i="2"/>
  <c r="AK179" i="2"/>
  <c r="L179" i="6" s="1"/>
  <c r="AS181" i="2"/>
  <c r="AN185" i="2"/>
  <c r="G185" i="6" s="1"/>
  <c r="AH182" i="2"/>
  <c r="AL182" i="2"/>
  <c r="AG182" i="2"/>
  <c r="AI179" i="2"/>
  <c r="J179" i="6" s="1"/>
  <c r="Q179" i="2"/>
  <c r="P179" i="2"/>
  <c r="D179" i="6" s="1"/>
  <c r="AJ180" i="2"/>
  <c r="K180" i="6" s="1"/>
  <c r="V180" i="2"/>
  <c r="AL185" i="2"/>
  <c r="AM185" i="2" s="1"/>
  <c r="P188" i="2"/>
  <c r="D188" i="6" s="1"/>
  <c r="Q188" i="2"/>
  <c r="K188" i="2"/>
  <c r="L188" i="2"/>
  <c r="M188" i="2" s="1"/>
  <c r="AK181" i="2"/>
  <c r="L181" i="6" s="1"/>
  <c r="AT182" i="2"/>
  <c r="AK189" i="2"/>
  <c r="L189" i="6" s="1"/>
  <c r="Q189" i="2"/>
  <c r="P189" i="2"/>
  <c r="D189" i="6" s="1"/>
  <c r="R187" i="2"/>
  <c r="AM187" i="2" s="1"/>
  <c r="AS187" i="2"/>
  <c r="AI181" i="2"/>
  <c r="J181" i="6" s="1"/>
  <c r="AI188" i="2"/>
  <c r="J188" i="6" s="1"/>
  <c r="AN187" i="2"/>
  <c r="G187" i="6" s="1"/>
  <c r="Q184" i="2"/>
  <c r="P184" i="2"/>
  <c r="D184" i="6" s="1"/>
  <c r="AK184" i="2"/>
  <c r="L184" i="6" s="1"/>
  <c r="E167" i="6"/>
  <c r="Z167" i="2"/>
  <c r="AA167" i="2" s="1"/>
  <c r="O174" i="2"/>
  <c r="H174" i="2"/>
  <c r="E175" i="6"/>
  <c r="Z175" i="2"/>
  <c r="L176" i="2"/>
  <c r="M176" i="2" s="1"/>
  <c r="K176" i="2"/>
  <c r="E171" i="6"/>
  <c r="Y171" i="2"/>
  <c r="F171" i="6" s="1"/>
  <c r="Y175" i="2"/>
  <c r="F175" i="6" s="1"/>
  <c r="T167" i="2"/>
  <c r="AJ167" i="2"/>
  <c r="K167" i="6" s="1"/>
  <c r="G168" i="2"/>
  <c r="Y168" i="2"/>
  <c r="F168" i="6" s="1"/>
  <c r="Z168" i="2"/>
  <c r="Z171" i="2"/>
  <c r="Y167" i="2"/>
  <c r="F167" i="6" s="1"/>
  <c r="J174" i="2"/>
  <c r="L174" i="2" s="1"/>
  <c r="M174" i="2" s="1"/>
  <c r="D174" i="2"/>
  <c r="J169" i="2"/>
  <c r="AF169" i="2"/>
  <c r="AG169" i="2" s="1"/>
  <c r="AE169" i="2"/>
  <c r="G172" i="2"/>
  <c r="F172" i="2"/>
  <c r="Z176" i="2"/>
  <c r="E176" i="6"/>
  <c r="D177" i="2"/>
  <c r="J177" i="2"/>
  <c r="E169" i="6"/>
  <c r="L168" i="2"/>
  <c r="M168" i="2" s="1"/>
  <c r="K168" i="2"/>
  <c r="AF168" i="2"/>
  <c r="AE168" i="2"/>
  <c r="U169" i="2"/>
  <c r="T169" i="2"/>
  <c r="O170" i="2"/>
  <c r="C170" i="6" s="1"/>
  <c r="H170" i="2"/>
  <c r="AH169" i="2"/>
  <c r="AA169" i="2"/>
  <c r="AH170" i="2"/>
  <c r="I170" i="6" s="1"/>
  <c r="AG170" i="2"/>
  <c r="Z177" i="2"/>
  <c r="Y177" i="2"/>
  <c r="F177" i="6" s="1"/>
  <c r="O167" i="2"/>
  <c r="C167" i="6" s="1"/>
  <c r="H167" i="2"/>
  <c r="O169" i="2"/>
  <c r="C169" i="6" s="1"/>
  <c r="H169" i="2"/>
  <c r="Y169" i="2"/>
  <c r="F169" i="6" s="1"/>
  <c r="L173" i="2"/>
  <c r="M173" i="2" s="1"/>
  <c r="K173" i="2"/>
  <c r="J167" i="2"/>
  <c r="D167" i="2"/>
  <c r="AA168" i="2"/>
  <c r="F169" i="2"/>
  <c r="T172" i="2"/>
  <c r="J175" i="2"/>
  <c r="D175" i="2"/>
  <c r="O171" i="2"/>
  <c r="C171" i="6" s="1"/>
  <c r="H171" i="2"/>
  <c r="AA172" i="2"/>
  <c r="AH174" i="2"/>
  <c r="I174" i="6" s="1"/>
  <c r="J170" i="2"/>
  <c r="D170" i="2"/>
  <c r="AA171" i="2"/>
  <c r="Y172" i="2"/>
  <c r="F172" i="6" s="1"/>
  <c r="AF173" i="2"/>
  <c r="AE173" i="2"/>
  <c r="AG174" i="2"/>
  <c r="AH175" i="2"/>
  <c r="I175" i="6" s="1"/>
  <c r="AG175" i="2"/>
  <c r="AH167" i="2"/>
  <c r="V171" i="2"/>
  <c r="AJ171" i="2"/>
  <c r="K171" i="6" s="1"/>
  <c r="AF172" i="2"/>
  <c r="AE172" i="2"/>
  <c r="U173" i="2"/>
  <c r="U172" i="2" s="1"/>
  <c r="T173" i="2"/>
  <c r="K174" i="2"/>
  <c r="O175" i="2"/>
  <c r="C175" i="6" s="1"/>
  <c r="H175" i="2"/>
  <c r="L172" i="2"/>
  <c r="M172" i="2" s="1"/>
  <c r="K172" i="2"/>
  <c r="G177" i="2"/>
  <c r="F177" i="2"/>
  <c r="AA175" i="2"/>
  <c r="O176" i="2"/>
  <c r="C176" i="6" s="1"/>
  <c r="AA176" i="2"/>
  <c r="AH176" i="2"/>
  <c r="L177" i="2"/>
  <c r="M177" i="2" s="1"/>
  <c r="K177" i="2"/>
  <c r="AF177" i="2"/>
  <c r="AE177" i="2"/>
  <c r="J171" i="2"/>
  <c r="D171" i="2"/>
  <c r="AH171" i="2"/>
  <c r="AG171" i="2"/>
  <c r="G173" i="2"/>
  <c r="F173" i="2"/>
  <c r="Z173" i="2"/>
  <c r="Y173" i="2"/>
  <c r="F173" i="6" s="1"/>
  <c r="V175" i="2"/>
  <c r="AJ175" i="2"/>
  <c r="K175" i="6" s="1"/>
  <c r="F176" i="2"/>
  <c r="Y176" i="2"/>
  <c r="F176" i="6" s="1"/>
  <c r="U177" i="2"/>
  <c r="U176" i="2" s="1"/>
  <c r="T177" i="2"/>
  <c r="AQ181" i="2"/>
  <c r="AW181" i="2"/>
  <c r="AW185" i="2"/>
  <c r="AP185" i="2"/>
  <c r="AP187" i="2"/>
  <c r="AW187" i="2"/>
  <c r="AQ195" i="2"/>
  <c r="AP197" i="2"/>
  <c r="AW203" i="2"/>
  <c r="AW199" i="2"/>
  <c r="AP193" i="2"/>
  <c r="AW197" i="2"/>
  <c r="AW193" i="2"/>
  <c r="AP199" i="2"/>
  <c r="AP203" i="2"/>
  <c r="AX195" i="2"/>
  <c r="AW218" i="2"/>
  <c r="AP218" i="2"/>
  <c r="AQ216" i="2"/>
  <c r="AX216" i="2"/>
  <c r="AQ215" i="2"/>
  <c r="AW207" i="2"/>
  <c r="AX217" i="2"/>
  <c r="AQ218" i="2"/>
  <c r="AX211" i="2"/>
  <c r="AQ211" i="2"/>
  <c r="AQ217" i="2"/>
  <c r="AP210" i="2"/>
  <c r="AW210" i="2"/>
  <c r="AP207" i="2"/>
  <c r="AW208" i="2"/>
  <c r="AP208" i="2"/>
  <c r="AX215" i="2"/>
  <c r="AW212" i="2"/>
  <c r="AP212" i="2"/>
  <c r="AX226" i="2"/>
  <c r="AQ226" i="2"/>
  <c r="AX224" i="2"/>
  <c r="AQ224" i="2"/>
  <c r="AQ233" i="2"/>
  <c r="AX233" i="2"/>
  <c r="AW222" i="2"/>
  <c r="AP222" i="2"/>
  <c r="AQ229" i="2"/>
  <c r="AW228" i="2"/>
  <c r="AP228" i="2"/>
  <c r="AX232" i="2"/>
  <c r="AQ232" i="2"/>
  <c r="AW230" i="2"/>
  <c r="AP230" i="2"/>
  <c r="AX229" i="2"/>
  <c r="BG238" i="2" l="1"/>
  <c r="BF238" i="2"/>
  <c r="BD238" i="2"/>
  <c r="AZ229" i="2"/>
  <c r="BE230" i="2"/>
  <c r="AY230" i="2"/>
  <c r="BC230" i="2"/>
  <c r="AR232" i="2"/>
  <c r="AZ232" i="2"/>
  <c r="AY228" i="2"/>
  <c r="BD228" i="2" s="1"/>
  <c r="BE228" i="2"/>
  <c r="BC228" i="2"/>
  <c r="AR229" i="2"/>
  <c r="BE222" i="2"/>
  <c r="BC222" i="2"/>
  <c r="AZ233" i="2"/>
  <c r="AR233" i="2"/>
  <c r="AR224" i="2"/>
  <c r="AZ224" i="2"/>
  <c r="AR226" i="2"/>
  <c r="AZ226" i="2"/>
  <c r="BG226" i="2"/>
  <c r="BF226" i="2"/>
  <c r="BD226" i="2"/>
  <c r="BF233" i="2"/>
  <c r="BG233" i="2"/>
  <c r="BD233" i="2"/>
  <c r="AO230" i="2"/>
  <c r="AO228" i="2"/>
  <c r="AO222" i="2"/>
  <c r="BF224" i="2"/>
  <c r="BG224" i="2"/>
  <c r="BG227" i="2"/>
  <c r="BF227" i="2"/>
  <c r="BD227" i="2"/>
  <c r="AY229" i="2"/>
  <c r="AY232" i="2"/>
  <c r="M212" i="6"/>
  <c r="O212" i="6"/>
  <c r="P215" i="6"/>
  <c r="M208" i="6"/>
  <c r="O208" i="6"/>
  <c r="M207" i="6"/>
  <c r="O210" i="6"/>
  <c r="M210" i="6"/>
  <c r="N217" i="6"/>
  <c r="N211" i="6"/>
  <c r="P211" i="6"/>
  <c r="N218" i="6"/>
  <c r="P217" i="6"/>
  <c r="O207" i="6"/>
  <c r="N215" i="6"/>
  <c r="N216" i="6"/>
  <c r="M218" i="6"/>
  <c r="O218" i="6"/>
  <c r="BC218" i="2"/>
  <c r="Q218" i="6" s="1"/>
  <c r="BE218" i="2"/>
  <c r="AM218" i="2"/>
  <c r="G218" i="6"/>
  <c r="AY217" i="2"/>
  <c r="AY216" i="2"/>
  <c r="P216" i="6" s="1"/>
  <c r="AT218" i="2"/>
  <c r="BE212" i="2"/>
  <c r="BC212" i="2"/>
  <c r="Q212" i="6" s="1"/>
  <c r="AZ215" i="2"/>
  <c r="BE208" i="2"/>
  <c r="BC208" i="2"/>
  <c r="Q208" i="6" s="1"/>
  <c r="BE210" i="2"/>
  <c r="BC210" i="2"/>
  <c r="Q210" i="6" s="1"/>
  <c r="AR217" i="2"/>
  <c r="AR211" i="2"/>
  <c r="AZ211" i="2"/>
  <c r="AR218" i="2"/>
  <c r="AZ217" i="2"/>
  <c r="BE207" i="2"/>
  <c r="BC207" i="2"/>
  <c r="Q207" i="6" s="1"/>
  <c r="AR215" i="2"/>
  <c r="AZ216" i="2"/>
  <c r="AR216" i="2"/>
  <c r="BG217" i="2"/>
  <c r="BF217" i="2"/>
  <c r="BD217" i="2"/>
  <c r="R217" i="6" s="1"/>
  <c r="AO212" i="2"/>
  <c r="AM214" i="2"/>
  <c r="AN214" i="2"/>
  <c r="G214" i="6" s="1"/>
  <c r="AO208" i="2"/>
  <c r="H208" i="6" s="1"/>
  <c r="AO207" i="2"/>
  <c r="H207" i="6" s="1"/>
  <c r="AO210" i="2"/>
  <c r="AY218" i="2"/>
  <c r="P218" i="6" s="1"/>
  <c r="AY215" i="2"/>
  <c r="BG211" i="2"/>
  <c r="BF211" i="2"/>
  <c r="AT207" i="2"/>
  <c r="AY207" i="2" s="1"/>
  <c r="BD207" i="2" s="1"/>
  <c r="R207" i="6" s="1"/>
  <c r="BG209" i="2"/>
  <c r="BF209" i="2"/>
  <c r="BD209" i="2"/>
  <c r="R209" i="6" s="1"/>
  <c r="AM207" i="2"/>
  <c r="AT214" i="2"/>
  <c r="BD211" i="2"/>
  <c r="R211" i="6" s="1"/>
  <c r="P195" i="6"/>
  <c r="M203" i="6"/>
  <c r="M199" i="6"/>
  <c r="O193" i="6"/>
  <c r="O197" i="6"/>
  <c r="M193" i="6"/>
  <c r="O199" i="6"/>
  <c r="O203" i="6"/>
  <c r="M197" i="6"/>
  <c r="N195" i="6"/>
  <c r="AM203" i="2"/>
  <c r="AS202" i="2"/>
  <c r="AT202" i="2" s="1"/>
  <c r="R202" i="2"/>
  <c r="AL202" i="2"/>
  <c r="AM202" i="2" s="1"/>
  <c r="AZ195" i="2"/>
  <c r="AY193" i="2"/>
  <c r="BD193" i="2" s="1"/>
  <c r="R193" i="6" s="1"/>
  <c r="BE193" i="2"/>
  <c r="BC193" i="2"/>
  <c r="Q193" i="6" s="1"/>
  <c r="BE197" i="2"/>
  <c r="BC197" i="2"/>
  <c r="Q197" i="6" s="1"/>
  <c r="BE199" i="2"/>
  <c r="BC199" i="2"/>
  <c r="Q199" i="6" s="1"/>
  <c r="BE203" i="2"/>
  <c r="BC203" i="2"/>
  <c r="Q203" i="6" s="1"/>
  <c r="AR195" i="2"/>
  <c r="AK204" i="2"/>
  <c r="L204" i="6" s="1"/>
  <c r="AM193" i="2"/>
  <c r="AT204" i="2"/>
  <c r="AO203" i="2"/>
  <c r="H203" i="6" s="1"/>
  <c r="R201" i="2"/>
  <c r="AS201" i="2"/>
  <c r="AN201" i="2"/>
  <c r="G201" i="6" s="1"/>
  <c r="AL201" i="2"/>
  <c r="AM201" i="2" s="1"/>
  <c r="AM197" i="2"/>
  <c r="AY195" i="2"/>
  <c r="AO199" i="2"/>
  <c r="H199" i="6" s="1"/>
  <c r="AM204" i="2"/>
  <c r="AK202" i="2"/>
  <c r="L202" i="6" s="1"/>
  <c r="AN200" i="2"/>
  <c r="G200" i="6" s="1"/>
  <c r="AM200" i="2"/>
  <c r="AT193" i="2"/>
  <c r="AT194" i="2"/>
  <c r="R205" i="2"/>
  <c r="AN205" i="2"/>
  <c r="G205" i="6" s="1"/>
  <c r="AL205" i="2"/>
  <c r="AS205" i="2"/>
  <c r="AK200" i="2"/>
  <c r="L200" i="6" s="1"/>
  <c r="AT197" i="2"/>
  <c r="AO193" i="2"/>
  <c r="H193" i="6" s="1"/>
  <c r="AT199" i="2"/>
  <c r="AT203" i="2"/>
  <c r="AY203" i="2" s="1"/>
  <c r="AO197" i="2"/>
  <c r="H197" i="6" s="1"/>
  <c r="AN198" i="2"/>
  <c r="G198" i="6" s="1"/>
  <c r="AT200" i="2"/>
  <c r="AN196" i="2"/>
  <c r="G196" i="6" s="1"/>
  <c r="AN194" i="2"/>
  <c r="G194" i="6" s="1"/>
  <c r="AM194" i="2"/>
  <c r="O187" i="6"/>
  <c r="M187" i="6"/>
  <c r="M185" i="6"/>
  <c r="O185" i="6"/>
  <c r="O181" i="6"/>
  <c r="N181" i="6"/>
  <c r="AI186" i="2"/>
  <c r="J186" i="6" s="1"/>
  <c r="I186" i="6"/>
  <c r="C183" i="6"/>
  <c r="Q183" i="2"/>
  <c r="P183" i="2"/>
  <c r="D183" i="6" s="1"/>
  <c r="AI189" i="2"/>
  <c r="J189" i="6" s="1"/>
  <c r="I189" i="6"/>
  <c r="AI182" i="2"/>
  <c r="J182" i="6" s="1"/>
  <c r="I182" i="6"/>
  <c r="AT190" i="2"/>
  <c r="AM190" i="2"/>
  <c r="AK190" i="2"/>
  <c r="L190" i="6" s="1"/>
  <c r="R191" i="2"/>
  <c r="AN191" i="2"/>
  <c r="G191" i="6" s="1"/>
  <c r="AS191" i="2"/>
  <c r="AL191" i="2"/>
  <c r="BE187" i="2"/>
  <c r="BC187" i="2"/>
  <c r="Q187" i="6" s="1"/>
  <c r="BE185" i="2"/>
  <c r="BC185" i="2"/>
  <c r="Q185" i="6" s="1"/>
  <c r="BE181" i="2"/>
  <c r="BC181" i="2"/>
  <c r="Q181" i="6" s="1"/>
  <c r="AR181" i="2"/>
  <c r="R189" i="2"/>
  <c r="AN189" i="2"/>
  <c r="G189" i="6" s="1"/>
  <c r="AS189" i="2"/>
  <c r="AL189" i="2"/>
  <c r="AM182" i="2"/>
  <c r="AM180" i="2"/>
  <c r="P186" i="2"/>
  <c r="D186" i="6" s="1"/>
  <c r="Q186" i="2"/>
  <c r="AK182" i="2"/>
  <c r="L182" i="6" s="1"/>
  <c r="R184" i="2"/>
  <c r="AL184" i="2"/>
  <c r="AS184" i="2"/>
  <c r="AT187" i="2"/>
  <c r="AK180" i="2"/>
  <c r="L180" i="6" s="1"/>
  <c r="R179" i="2"/>
  <c r="AL179" i="2"/>
  <c r="AS179" i="2"/>
  <c r="AN179" i="2"/>
  <c r="G179" i="6" s="1"/>
  <c r="AO187" i="2"/>
  <c r="H187" i="6" s="1"/>
  <c r="R188" i="2"/>
  <c r="AL188" i="2"/>
  <c r="AS188" i="2"/>
  <c r="AO185" i="2"/>
  <c r="H185" i="6" s="1"/>
  <c r="AT181" i="2"/>
  <c r="AT180" i="2"/>
  <c r="AI176" i="2"/>
  <c r="J176" i="6" s="1"/>
  <c r="I176" i="6"/>
  <c r="AI167" i="2"/>
  <c r="J167" i="6" s="1"/>
  <c r="I167" i="6"/>
  <c r="H172" i="2"/>
  <c r="O172" i="2"/>
  <c r="AI171" i="2"/>
  <c r="J171" i="6" s="1"/>
  <c r="I171" i="6"/>
  <c r="AI169" i="2"/>
  <c r="J169" i="6" s="1"/>
  <c r="I169" i="6"/>
  <c r="H168" i="2"/>
  <c r="O168" i="2"/>
  <c r="P174" i="2"/>
  <c r="D174" i="6" s="1"/>
  <c r="C174" i="6"/>
  <c r="Q174" i="2"/>
  <c r="L169" i="2"/>
  <c r="M169" i="2" s="1"/>
  <c r="K169" i="2"/>
  <c r="V172" i="2"/>
  <c r="AJ172" i="2"/>
  <c r="K172" i="6" s="1"/>
  <c r="V176" i="2"/>
  <c r="AJ176" i="2"/>
  <c r="K176" i="6" s="1"/>
  <c r="AK175" i="2"/>
  <c r="L175" i="6" s="1"/>
  <c r="AH173" i="2"/>
  <c r="I173" i="6" s="1"/>
  <c r="AG173" i="2"/>
  <c r="V177" i="2"/>
  <c r="AJ177" i="2"/>
  <c r="K177" i="6" s="1"/>
  <c r="AG172" i="2"/>
  <c r="AH172" i="2"/>
  <c r="K170" i="2"/>
  <c r="L170" i="2"/>
  <c r="M170" i="2" s="1"/>
  <c r="L175" i="2"/>
  <c r="M175" i="2" s="1"/>
  <c r="K175" i="2"/>
  <c r="Q169" i="2"/>
  <c r="P169" i="2"/>
  <c r="D169" i="6" s="1"/>
  <c r="AA173" i="2"/>
  <c r="K171" i="2"/>
  <c r="L171" i="2"/>
  <c r="M171" i="2" s="1"/>
  <c r="Q176" i="2"/>
  <c r="P176" i="2"/>
  <c r="D176" i="6" s="1"/>
  <c r="H177" i="2"/>
  <c r="O177" i="2"/>
  <c r="C177" i="6" s="1"/>
  <c r="AI174" i="2"/>
  <c r="J174" i="6" s="1"/>
  <c r="AA177" i="2"/>
  <c r="P170" i="2"/>
  <c r="D170" i="6" s="1"/>
  <c r="Q170" i="2"/>
  <c r="AG168" i="2"/>
  <c r="AH168" i="2"/>
  <c r="AJ173" i="2"/>
  <c r="K173" i="6" s="1"/>
  <c r="V173" i="2"/>
  <c r="U174" i="2"/>
  <c r="P171" i="2"/>
  <c r="D171" i="6" s="1"/>
  <c r="Q171" i="2"/>
  <c r="P175" i="2"/>
  <c r="D175" i="6" s="1"/>
  <c r="Q175" i="2"/>
  <c r="AI175" i="2"/>
  <c r="J175" i="6" s="1"/>
  <c r="O173" i="2"/>
  <c r="C173" i="6" s="1"/>
  <c r="H173" i="2"/>
  <c r="AG177" i="2"/>
  <c r="AH177" i="2"/>
  <c r="I177" i="6" s="1"/>
  <c r="AK171" i="2"/>
  <c r="L171" i="6" s="1"/>
  <c r="K167" i="2"/>
  <c r="L167" i="2"/>
  <c r="M167" i="2" s="1"/>
  <c r="Q167" i="2"/>
  <c r="P167" i="2"/>
  <c r="D167" i="6" s="1"/>
  <c r="AI170" i="2"/>
  <c r="J170" i="6" s="1"/>
  <c r="AJ169" i="2"/>
  <c r="K169" i="6" s="1"/>
  <c r="U170" i="2"/>
  <c r="V169" i="2"/>
  <c r="U168" i="2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BB165" i="2"/>
  <c r="BA165" i="2"/>
  <c r="AV165" i="2"/>
  <c r="AD165" i="2"/>
  <c r="AF165" i="2" s="1"/>
  <c r="X165" i="2"/>
  <c r="Z165" i="2" s="1"/>
  <c r="S165" i="2"/>
  <c r="U165" i="2" s="1"/>
  <c r="M165" i="2"/>
  <c r="J165" i="2"/>
  <c r="L165" i="2" s="1"/>
  <c r="H165" i="2"/>
  <c r="E165" i="2"/>
  <c r="G165" i="2" s="1"/>
  <c r="O165" i="2" s="1"/>
  <c r="D165" i="2"/>
  <c r="C165" i="2"/>
  <c r="B165" i="2"/>
  <c r="A165" i="2"/>
  <c r="BB164" i="2"/>
  <c r="BA164" i="2"/>
  <c r="AV164" i="2"/>
  <c r="AD164" i="2"/>
  <c r="X164" i="2"/>
  <c r="S164" i="2"/>
  <c r="J164" i="2"/>
  <c r="E164" i="2"/>
  <c r="C164" i="2"/>
  <c r="D164" i="2" s="1"/>
  <c r="B164" i="2"/>
  <c r="A164" i="2"/>
  <c r="BB163" i="2"/>
  <c r="BA163" i="2"/>
  <c r="AV163" i="2"/>
  <c r="AF163" i="2"/>
  <c r="AE163" i="2"/>
  <c r="AD163" i="2"/>
  <c r="Z163" i="2"/>
  <c r="Y163" i="2"/>
  <c r="X163" i="2"/>
  <c r="U163" i="2"/>
  <c r="AJ163" i="2" s="1"/>
  <c r="T163" i="2"/>
  <c r="S163" i="2"/>
  <c r="G163" i="2"/>
  <c r="O163" i="2" s="1"/>
  <c r="Q163" i="2" s="1"/>
  <c r="R163" i="2" s="1"/>
  <c r="F163" i="2"/>
  <c r="E163" i="2"/>
  <c r="C163" i="2"/>
  <c r="J163" i="2" s="1"/>
  <c r="L163" i="2" s="1"/>
  <c r="M163" i="2" s="1"/>
  <c r="B163" i="2"/>
  <c r="A163" i="2"/>
  <c r="BB162" i="2"/>
  <c r="BA162" i="2"/>
  <c r="AV162" i="2"/>
  <c r="AF162" i="2"/>
  <c r="AE162" i="2"/>
  <c r="AD162" i="2"/>
  <c r="Z162" i="2"/>
  <c r="X162" i="2"/>
  <c r="Y162" i="2" s="1"/>
  <c r="U162" i="2"/>
  <c r="AJ162" i="2" s="1"/>
  <c r="S162" i="2"/>
  <c r="T162" i="2" s="1"/>
  <c r="G162" i="2"/>
  <c r="E162" i="2"/>
  <c r="F162" i="2" s="1"/>
  <c r="C162" i="2"/>
  <c r="B162" i="2"/>
  <c r="A162" i="2"/>
  <c r="BB161" i="2"/>
  <c r="BA161" i="2"/>
  <c r="AV161" i="2"/>
  <c r="AG161" i="2"/>
  <c r="AD161" i="2"/>
  <c r="AF161" i="2" s="1"/>
  <c r="AA161" i="2"/>
  <c r="X161" i="2"/>
  <c r="Z161" i="2" s="1"/>
  <c r="V161" i="2"/>
  <c r="AK161" i="2" s="1"/>
  <c r="S161" i="2"/>
  <c r="U161" i="2" s="1"/>
  <c r="J161" i="2"/>
  <c r="L161" i="2" s="1"/>
  <c r="M161" i="2" s="1"/>
  <c r="E161" i="2"/>
  <c r="G161" i="2" s="1"/>
  <c r="O161" i="2" s="1"/>
  <c r="D161" i="2"/>
  <c r="C161" i="2"/>
  <c r="B161" i="2"/>
  <c r="A161" i="2"/>
  <c r="BB160" i="2"/>
  <c r="BA160" i="2"/>
  <c r="AV160" i="2"/>
  <c r="AD160" i="2"/>
  <c r="X160" i="2"/>
  <c r="S160" i="2"/>
  <c r="J160" i="2"/>
  <c r="E160" i="2"/>
  <c r="C160" i="2"/>
  <c r="D160" i="2" s="1"/>
  <c r="B160" i="2"/>
  <c r="A160" i="2"/>
  <c r="BB159" i="2"/>
  <c r="BA159" i="2"/>
  <c r="AV159" i="2"/>
  <c r="AF159" i="2"/>
  <c r="AN159" i="2" s="1"/>
  <c r="AE159" i="2"/>
  <c r="AD159" i="2"/>
  <c r="Z159" i="2"/>
  <c r="Y159" i="2"/>
  <c r="X159" i="2"/>
  <c r="U159" i="2"/>
  <c r="AJ159" i="2" s="1"/>
  <c r="T159" i="2"/>
  <c r="S159" i="2"/>
  <c r="P159" i="2"/>
  <c r="G159" i="2"/>
  <c r="O159" i="2" s="1"/>
  <c r="Q159" i="2" s="1"/>
  <c r="R159" i="2" s="1"/>
  <c r="F159" i="2"/>
  <c r="E159" i="2"/>
  <c r="C159" i="2"/>
  <c r="J159" i="2" s="1"/>
  <c r="L159" i="2" s="1"/>
  <c r="M159" i="2" s="1"/>
  <c r="B159" i="2"/>
  <c r="A159" i="2"/>
  <c r="BB158" i="2"/>
  <c r="BA158" i="2"/>
  <c r="AV158" i="2"/>
  <c r="AF158" i="2"/>
  <c r="AD158" i="2"/>
  <c r="AE158" i="2" s="1"/>
  <c r="Z158" i="2"/>
  <c r="X158" i="2"/>
  <c r="Y158" i="2" s="1"/>
  <c r="S158" i="2"/>
  <c r="T158" i="2" s="1"/>
  <c r="G158" i="2"/>
  <c r="E158" i="2"/>
  <c r="F158" i="2" s="1"/>
  <c r="C158" i="2"/>
  <c r="B158" i="2"/>
  <c r="A158" i="2"/>
  <c r="BB157" i="2"/>
  <c r="BA157" i="2"/>
  <c r="AV157" i="2"/>
  <c r="AG157" i="2"/>
  <c r="AE157" i="2"/>
  <c r="AD157" i="2"/>
  <c r="AF157" i="2" s="1"/>
  <c r="AA157" i="2"/>
  <c r="Y157" i="2"/>
  <c r="X157" i="2"/>
  <c r="Z157" i="2" s="1"/>
  <c r="T157" i="2"/>
  <c r="S157" i="2"/>
  <c r="U157" i="2" s="1"/>
  <c r="V157" i="2" s="1"/>
  <c r="AK157" i="2" s="1"/>
  <c r="M157" i="2"/>
  <c r="K157" i="2"/>
  <c r="J157" i="2"/>
  <c r="L157" i="2" s="1"/>
  <c r="F157" i="2"/>
  <c r="E157" i="2"/>
  <c r="G157" i="2" s="1"/>
  <c r="O157" i="2" s="1"/>
  <c r="Q157" i="2" s="1"/>
  <c r="R157" i="2" s="1"/>
  <c r="D157" i="2"/>
  <c r="C157" i="2"/>
  <c r="B157" i="2"/>
  <c r="A157" i="2"/>
  <c r="BB156" i="2"/>
  <c r="BA156" i="2"/>
  <c r="AV156" i="2"/>
  <c r="AF156" i="2"/>
  <c r="AG156" i="2" s="1"/>
  <c r="AD156" i="2"/>
  <c r="AE156" i="2" s="1"/>
  <c r="X156" i="2"/>
  <c r="Y156" i="2" s="1"/>
  <c r="S156" i="2"/>
  <c r="T156" i="2" s="1"/>
  <c r="G156" i="2"/>
  <c r="H156" i="2" s="1"/>
  <c r="F156" i="2"/>
  <c r="E156" i="2"/>
  <c r="C156" i="2"/>
  <c r="D156" i="2" s="1"/>
  <c r="B156" i="2"/>
  <c r="A156" i="2"/>
  <c r="BB155" i="2"/>
  <c r="BA155" i="2"/>
  <c r="AV155" i="2"/>
  <c r="AF155" i="2"/>
  <c r="AE155" i="2"/>
  <c r="AD155" i="2"/>
  <c r="Z155" i="2"/>
  <c r="AS155" i="2" s="1"/>
  <c r="Y155" i="2"/>
  <c r="X155" i="2"/>
  <c r="U155" i="2"/>
  <c r="AJ155" i="2" s="1"/>
  <c r="T155" i="2"/>
  <c r="S155" i="2"/>
  <c r="Q155" i="2"/>
  <c r="R155" i="2" s="1"/>
  <c r="L155" i="2"/>
  <c r="M155" i="2" s="1"/>
  <c r="K155" i="2"/>
  <c r="G155" i="2"/>
  <c r="O155" i="2" s="1"/>
  <c r="P155" i="2" s="1"/>
  <c r="F155" i="2"/>
  <c r="E155" i="2"/>
  <c r="C155" i="2"/>
  <c r="J155" i="2" s="1"/>
  <c r="B155" i="2"/>
  <c r="A155" i="2"/>
  <c r="BB154" i="2"/>
  <c r="BA154" i="2"/>
  <c r="AV154" i="2"/>
  <c r="AD154" i="2"/>
  <c r="AE154" i="2" s="1"/>
  <c r="X154" i="2"/>
  <c r="Y154" i="2" s="1"/>
  <c r="U154" i="2"/>
  <c r="AJ154" i="2" s="1"/>
  <c r="S154" i="2"/>
  <c r="T154" i="2" s="1"/>
  <c r="E154" i="2"/>
  <c r="F154" i="2" s="1"/>
  <c r="C154" i="2"/>
  <c r="D154" i="2" s="1"/>
  <c r="B154" i="2"/>
  <c r="A154" i="2"/>
  <c r="BB153" i="2"/>
  <c r="BA153" i="2"/>
  <c r="AV153" i="2"/>
  <c r="AG153" i="2"/>
  <c r="AE153" i="2"/>
  <c r="AD153" i="2"/>
  <c r="AF153" i="2" s="1"/>
  <c r="X153" i="2"/>
  <c r="Z153" i="2" s="1"/>
  <c r="S153" i="2"/>
  <c r="U153" i="2" s="1"/>
  <c r="AJ153" i="2" s="1"/>
  <c r="M153" i="2"/>
  <c r="K153" i="2"/>
  <c r="J153" i="2"/>
  <c r="L153" i="2" s="1"/>
  <c r="E153" i="2"/>
  <c r="G153" i="2" s="1"/>
  <c r="O153" i="2" s="1"/>
  <c r="D153" i="2"/>
  <c r="C153" i="2"/>
  <c r="B153" i="2"/>
  <c r="A153" i="2"/>
  <c r="AP159" i="2"/>
  <c r="AP191" i="2"/>
  <c r="AW191" i="2"/>
  <c r="AP179" i="2"/>
  <c r="AW189" i="2"/>
  <c r="AX187" i="2"/>
  <c r="AQ187" i="2"/>
  <c r="AX185" i="2"/>
  <c r="AQ185" i="2"/>
  <c r="AP189" i="2"/>
  <c r="AX181" i="2"/>
  <c r="AW179" i="2"/>
  <c r="AP201" i="2"/>
  <c r="AQ199" i="2"/>
  <c r="AW200" i="2"/>
  <c r="AP200" i="2"/>
  <c r="AX203" i="2"/>
  <c r="AP196" i="2"/>
  <c r="AW196" i="2"/>
  <c r="AQ197" i="2"/>
  <c r="AQ203" i="2"/>
  <c r="AP205" i="2"/>
  <c r="AX197" i="2"/>
  <c r="AW194" i="2"/>
  <c r="AP194" i="2"/>
  <c r="AX193" i="2"/>
  <c r="AQ193" i="2"/>
  <c r="AW198" i="2"/>
  <c r="AP198" i="2"/>
  <c r="AW201" i="2"/>
  <c r="AW205" i="2"/>
  <c r="AX199" i="2"/>
  <c r="AX218" i="2"/>
  <c r="AQ210" i="2"/>
  <c r="AX210" i="2"/>
  <c r="AX212" i="2"/>
  <c r="AQ212" i="2"/>
  <c r="AQ207" i="2"/>
  <c r="AX208" i="2"/>
  <c r="AQ208" i="2"/>
  <c r="AX207" i="2"/>
  <c r="AW214" i="2"/>
  <c r="AP214" i="2"/>
  <c r="AQ230" i="2"/>
  <c r="AX230" i="2"/>
  <c r="AX228" i="2"/>
  <c r="AQ228" i="2"/>
  <c r="AX222" i="2"/>
  <c r="AQ222" i="2"/>
  <c r="AR222" i="2" l="1"/>
  <c r="AZ222" i="2"/>
  <c r="AR228" i="2"/>
  <c r="AZ228" i="2"/>
  <c r="AZ230" i="2"/>
  <c r="AR230" i="2"/>
  <c r="BG230" i="2"/>
  <c r="BF230" i="2"/>
  <c r="AY222" i="2"/>
  <c r="BD230" i="2"/>
  <c r="BG232" i="2"/>
  <c r="BF232" i="2"/>
  <c r="BD232" i="2"/>
  <c r="BG228" i="2"/>
  <c r="BF228" i="2"/>
  <c r="BF229" i="2"/>
  <c r="BG229" i="2"/>
  <c r="BD229" i="2"/>
  <c r="M214" i="6"/>
  <c r="O214" i="6"/>
  <c r="P207" i="6"/>
  <c r="N208" i="6"/>
  <c r="N207" i="6"/>
  <c r="N212" i="6"/>
  <c r="N210" i="6"/>
  <c r="AZ218" i="2"/>
  <c r="BD216" i="2"/>
  <c r="R216" i="6" s="1"/>
  <c r="BG216" i="2"/>
  <c r="AY210" i="2"/>
  <c r="P210" i="6" s="1"/>
  <c r="H210" i="6"/>
  <c r="BF216" i="2"/>
  <c r="AY212" i="2"/>
  <c r="P212" i="6" s="1"/>
  <c r="H212" i="6"/>
  <c r="BE214" i="2"/>
  <c r="BC214" i="2"/>
  <c r="Q214" i="6" s="1"/>
  <c r="AZ207" i="2"/>
  <c r="AR208" i="2"/>
  <c r="AZ208" i="2"/>
  <c r="AR207" i="2"/>
  <c r="AR212" i="2"/>
  <c r="AZ212" i="2"/>
  <c r="AZ210" i="2"/>
  <c r="AR210" i="2"/>
  <c r="BF212" i="2"/>
  <c r="BD212" i="2"/>
  <c r="R212" i="6" s="1"/>
  <c r="BG210" i="2"/>
  <c r="BF210" i="2"/>
  <c r="BD210" i="2"/>
  <c r="R210" i="6" s="1"/>
  <c r="BG215" i="2"/>
  <c r="BF215" i="2"/>
  <c r="BD215" i="2"/>
  <c r="R215" i="6" s="1"/>
  <c r="AO214" i="2"/>
  <c r="BG218" i="2"/>
  <c r="BF218" i="2"/>
  <c r="BD218" i="2"/>
  <c r="R218" i="6" s="1"/>
  <c r="AY208" i="2"/>
  <c r="P208" i="6" s="1"/>
  <c r="BF207" i="2"/>
  <c r="BG207" i="2"/>
  <c r="P199" i="6"/>
  <c r="O205" i="6"/>
  <c r="O201" i="6"/>
  <c r="M198" i="6"/>
  <c r="O198" i="6"/>
  <c r="N193" i="6"/>
  <c r="P193" i="6"/>
  <c r="M194" i="6"/>
  <c r="O194" i="6"/>
  <c r="P197" i="6"/>
  <c r="M205" i="6"/>
  <c r="N203" i="6"/>
  <c r="N197" i="6"/>
  <c r="O196" i="6"/>
  <c r="M196" i="6"/>
  <c r="P203" i="6"/>
  <c r="M200" i="6"/>
  <c r="O200" i="6"/>
  <c r="N199" i="6"/>
  <c r="M201" i="6"/>
  <c r="AY197" i="2"/>
  <c r="AZ199" i="2"/>
  <c r="BE205" i="2"/>
  <c r="BC205" i="2"/>
  <c r="Q205" i="6" s="1"/>
  <c r="BE201" i="2"/>
  <c r="BC201" i="2"/>
  <c r="Q201" i="6" s="1"/>
  <c r="BE198" i="2"/>
  <c r="BC198" i="2"/>
  <c r="Q198" i="6" s="1"/>
  <c r="AR193" i="2"/>
  <c r="AZ193" i="2"/>
  <c r="BE194" i="2"/>
  <c r="BC194" i="2"/>
  <c r="Q194" i="6" s="1"/>
  <c r="AZ197" i="2"/>
  <c r="AR203" i="2"/>
  <c r="AR197" i="2"/>
  <c r="BE196" i="2"/>
  <c r="BC196" i="2"/>
  <c r="Q196" i="6" s="1"/>
  <c r="AZ203" i="2"/>
  <c r="BE200" i="2"/>
  <c r="BC200" i="2"/>
  <c r="Q200" i="6" s="1"/>
  <c r="AR199" i="2"/>
  <c r="BG203" i="2"/>
  <c r="BF203" i="2"/>
  <c r="BD203" i="2"/>
  <c r="R203" i="6" s="1"/>
  <c r="BF197" i="2"/>
  <c r="BG197" i="2"/>
  <c r="BD197" i="2"/>
  <c r="R197" i="6" s="1"/>
  <c r="AT205" i="2"/>
  <c r="BF195" i="2"/>
  <c r="BG195" i="2"/>
  <c r="BD195" i="2"/>
  <c r="R195" i="6" s="1"/>
  <c r="AT201" i="2"/>
  <c r="AY201" i="2" s="1"/>
  <c r="AO198" i="2"/>
  <c r="H198" i="6" s="1"/>
  <c r="AM205" i="2"/>
  <c r="AY199" i="2"/>
  <c r="AO194" i="2"/>
  <c r="H194" i="6" s="1"/>
  <c r="AO205" i="2"/>
  <c r="AN204" i="2"/>
  <c r="G204" i="6" s="1"/>
  <c r="BG193" i="2"/>
  <c r="BF193" i="2"/>
  <c r="AO196" i="2"/>
  <c r="H196" i="6" s="1"/>
  <c r="AO200" i="2"/>
  <c r="H200" i="6" s="1"/>
  <c r="AO201" i="2"/>
  <c r="H201" i="6" s="1"/>
  <c r="AN202" i="2"/>
  <c r="G202" i="6" s="1"/>
  <c r="O191" i="6"/>
  <c r="M191" i="6"/>
  <c r="O179" i="6"/>
  <c r="P181" i="6"/>
  <c r="M189" i="6"/>
  <c r="N185" i="6"/>
  <c r="P185" i="6"/>
  <c r="N187" i="6"/>
  <c r="P187" i="6"/>
  <c r="O189" i="6"/>
  <c r="M179" i="6"/>
  <c r="AN190" i="2"/>
  <c r="AY185" i="2"/>
  <c r="AM189" i="2"/>
  <c r="R183" i="2"/>
  <c r="AN183" i="2"/>
  <c r="AN184" i="2" s="1"/>
  <c r="G184" i="6" s="1"/>
  <c r="AL183" i="2"/>
  <c r="AS183" i="2"/>
  <c r="AY187" i="2"/>
  <c r="BF187" i="2" s="1"/>
  <c r="AN180" i="2"/>
  <c r="AO180" i="2" s="1"/>
  <c r="H180" i="6" s="1"/>
  <c r="BE191" i="2"/>
  <c r="BC191" i="2"/>
  <c r="Q191" i="6" s="1"/>
  <c r="AM191" i="2"/>
  <c r="AT191" i="2"/>
  <c r="AY191" i="2" s="1"/>
  <c r="AO191" i="2"/>
  <c r="H191" i="6" s="1"/>
  <c r="BE179" i="2"/>
  <c r="BC179" i="2"/>
  <c r="Q179" i="6" s="1"/>
  <c r="AZ181" i="2"/>
  <c r="AR185" i="2"/>
  <c r="AZ185" i="2"/>
  <c r="AR187" i="2"/>
  <c r="AZ187" i="2"/>
  <c r="BE189" i="2"/>
  <c r="BC189" i="2"/>
  <c r="Q189" i="6" s="1"/>
  <c r="BG187" i="2"/>
  <c r="BD187" i="2"/>
  <c r="R187" i="6" s="1"/>
  <c r="AM188" i="2"/>
  <c r="AN188" i="2"/>
  <c r="G188" i="6" s="1"/>
  <c r="AT179" i="2"/>
  <c r="AM179" i="2"/>
  <c r="AT184" i="2"/>
  <c r="R186" i="2"/>
  <c r="AL186" i="2"/>
  <c r="AS186" i="2"/>
  <c r="AO189" i="2"/>
  <c r="H189" i="6" s="1"/>
  <c r="AY181" i="2"/>
  <c r="BG185" i="2"/>
  <c r="BF185" i="2"/>
  <c r="AM184" i="2"/>
  <c r="BD185" i="2"/>
  <c r="R185" i="6" s="1"/>
  <c r="AT189" i="2"/>
  <c r="AT188" i="2"/>
  <c r="AO179" i="2"/>
  <c r="H179" i="6" s="1"/>
  <c r="Q172" i="2"/>
  <c r="C172" i="6"/>
  <c r="P172" i="2"/>
  <c r="D172" i="6" s="1"/>
  <c r="AI168" i="2"/>
  <c r="J168" i="6" s="1"/>
  <c r="I168" i="6"/>
  <c r="AI172" i="2"/>
  <c r="J172" i="6" s="1"/>
  <c r="I172" i="6"/>
  <c r="R174" i="2"/>
  <c r="AL174" i="2"/>
  <c r="AS174" i="2"/>
  <c r="AT174" i="2" s="1"/>
  <c r="Q168" i="2"/>
  <c r="C168" i="6"/>
  <c r="P168" i="2"/>
  <c r="D168" i="6" s="1"/>
  <c r="Q173" i="2"/>
  <c r="P173" i="2"/>
  <c r="D173" i="6" s="1"/>
  <c r="AK169" i="2"/>
  <c r="L169" i="6" s="1"/>
  <c r="R171" i="2"/>
  <c r="AL171" i="2"/>
  <c r="AS171" i="2"/>
  <c r="AN171" i="2"/>
  <c r="G171" i="6" s="1"/>
  <c r="Q177" i="2"/>
  <c r="P177" i="2"/>
  <c r="D177" i="6" s="1"/>
  <c r="AK177" i="2"/>
  <c r="L177" i="6" s="1"/>
  <c r="V170" i="2"/>
  <c r="AJ170" i="2"/>
  <c r="K170" i="6" s="1"/>
  <c r="AS167" i="2"/>
  <c r="AN167" i="2"/>
  <c r="G167" i="6" s="1"/>
  <c r="R167" i="2"/>
  <c r="AL167" i="2"/>
  <c r="AI177" i="2"/>
  <c r="J177" i="6" s="1"/>
  <c r="AL169" i="2"/>
  <c r="R169" i="2"/>
  <c r="AS169" i="2"/>
  <c r="AN169" i="2"/>
  <c r="G169" i="6" s="1"/>
  <c r="V168" i="2"/>
  <c r="AJ168" i="2"/>
  <c r="K168" i="6" s="1"/>
  <c r="AJ174" i="2"/>
  <c r="K174" i="6" s="1"/>
  <c r="V174" i="2"/>
  <c r="R170" i="2"/>
  <c r="AL170" i="2"/>
  <c r="AS170" i="2"/>
  <c r="R175" i="2"/>
  <c r="AN175" i="2"/>
  <c r="G175" i="6" s="1"/>
  <c r="AL175" i="2"/>
  <c r="AS175" i="2"/>
  <c r="AK173" i="2"/>
  <c r="L173" i="6" s="1"/>
  <c r="R176" i="2"/>
  <c r="AL176" i="2"/>
  <c r="AS176" i="2"/>
  <c r="AI173" i="2"/>
  <c r="J173" i="6" s="1"/>
  <c r="AK176" i="2"/>
  <c r="L176" i="6" s="1"/>
  <c r="AK172" i="2"/>
  <c r="L172" i="6" s="1"/>
  <c r="Q153" i="2"/>
  <c r="AS153" i="2" s="1"/>
  <c r="P153" i="2"/>
  <c r="AT155" i="2"/>
  <c r="AL155" i="2"/>
  <c r="AM155" i="2" s="1"/>
  <c r="AH155" i="2"/>
  <c r="U156" i="2"/>
  <c r="Y153" i="2"/>
  <c r="J154" i="2"/>
  <c r="V155" i="2"/>
  <c r="AA155" i="2"/>
  <c r="AG155" i="2"/>
  <c r="H153" i="2"/>
  <c r="T153" i="2"/>
  <c r="AA153" i="2"/>
  <c r="AH153" i="2"/>
  <c r="AF154" i="2"/>
  <c r="AN155" i="2"/>
  <c r="J156" i="2"/>
  <c r="Z156" i="2"/>
  <c r="AH156" i="2" s="1"/>
  <c r="H157" i="2"/>
  <c r="P157" i="2"/>
  <c r="AL157" i="2"/>
  <c r="AM157" i="2" s="1"/>
  <c r="AH157" i="2"/>
  <c r="AI157" i="2" s="1"/>
  <c r="AN157" i="2"/>
  <c r="V153" i="2"/>
  <c r="AN153" i="2"/>
  <c r="G154" i="2"/>
  <c r="Z154" i="2"/>
  <c r="D155" i="2"/>
  <c r="H155" i="2"/>
  <c r="AS157" i="2"/>
  <c r="U158" i="2"/>
  <c r="AJ157" i="2"/>
  <c r="F153" i="2"/>
  <c r="V154" i="2"/>
  <c r="O156" i="2"/>
  <c r="K159" i="2"/>
  <c r="F160" i="2"/>
  <c r="G160" i="2"/>
  <c r="Y160" i="2"/>
  <c r="Z160" i="2"/>
  <c r="Q161" i="2"/>
  <c r="R161" i="2" s="1"/>
  <c r="P161" i="2"/>
  <c r="AG162" i="2"/>
  <c r="AH162" i="2"/>
  <c r="P163" i="2"/>
  <c r="T164" i="2"/>
  <c r="U164" i="2"/>
  <c r="D158" i="2"/>
  <c r="J158" i="2"/>
  <c r="AA158" i="2"/>
  <c r="AS159" i="2"/>
  <c r="K160" i="2"/>
  <c r="L160" i="2"/>
  <c r="M160" i="2" s="1"/>
  <c r="AE160" i="2"/>
  <c r="AF160" i="2"/>
  <c r="H161" i="2"/>
  <c r="AJ161" i="2"/>
  <c r="AL161" i="2"/>
  <c r="AM161" i="2" s="1"/>
  <c r="AH161" i="2"/>
  <c r="AI161" i="2" s="1"/>
  <c r="AN161" i="2"/>
  <c r="D162" i="2"/>
  <c r="J162" i="2"/>
  <c r="AA162" i="2"/>
  <c r="AN163" i="2"/>
  <c r="F164" i="2"/>
  <c r="G164" i="2"/>
  <c r="Y164" i="2"/>
  <c r="Z164" i="2"/>
  <c r="Q165" i="2"/>
  <c r="R165" i="2" s="1"/>
  <c r="P165" i="2"/>
  <c r="AA165" i="2"/>
  <c r="AS163" i="2"/>
  <c r="K164" i="2"/>
  <c r="L164" i="2"/>
  <c r="M164" i="2" s="1"/>
  <c r="AE164" i="2"/>
  <c r="AF164" i="2"/>
  <c r="AJ165" i="2"/>
  <c r="AL165" i="2"/>
  <c r="AH165" i="2"/>
  <c r="AN165" i="2"/>
  <c r="H158" i="2"/>
  <c r="O158" i="2"/>
  <c r="AG158" i="2"/>
  <c r="AH158" i="2"/>
  <c r="AI158" i="2" s="1"/>
  <c r="T160" i="2"/>
  <c r="U160" i="2"/>
  <c r="H162" i="2"/>
  <c r="O162" i="2"/>
  <c r="V162" i="2"/>
  <c r="K163" i="2"/>
  <c r="V165" i="2"/>
  <c r="AG165" i="2"/>
  <c r="D159" i="2"/>
  <c r="H159" i="2"/>
  <c r="V159" i="2"/>
  <c r="AA159" i="2"/>
  <c r="AG159" i="2"/>
  <c r="AO159" i="2" s="1"/>
  <c r="F161" i="2"/>
  <c r="K161" i="2"/>
  <c r="T161" i="2"/>
  <c r="Y161" i="2"/>
  <c r="AE161" i="2"/>
  <c r="D163" i="2"/>
  <c r="H163" i="2"/>
  <c r="V163" i="2"/>
  <c r="AA163" i="2"/>
  <c r="AG163" i="2"/>
  <c r="F165" i="2"/>
  <c r="K165" i="2"/>
  <c r="T165" i="2"/>
  <c r="Y165" i="2"/>
  <c r="AE165" i="2"/>
  <c r="AH159" i="2"/>
  <c r="AL159" i="2"/>
  <c r="AM159" i="2" s="1"/>
  <c r="AH163" i="2"/>
  <c r="AI163" i="2" s="1"/>
  <c r="AL163" i="2"/>
  <c r="AP153" i="2"/>
  <c r="AQ159" i="2"/>
  <c r="AP161" i="2"/>
  <c r="AP157" i="2"/>
  <c r="AW157" i="2"/>
  <c r="AP163" i="2"/>
  <c r="AW163" i="2"/>
  <c r="AW155" i="2"/>
  <c r="AP155" i="2"/>
  <c r="AW159" i="2"/>
  <c r="AP165" i="2"/>
  <c r="AW153" i="2"/>
  <c r="AW169" i="2"/>
  <c r="AP175" i="2"/>
  <c r="AW171" i="2"/>
  <c r="AW167" i="2"/>
  <c r="AP169" i="2"/>
  <c r="AP171" i="2"/>
  <c r="AP167" i="2"/>
  <c r="AW175" i="2"/>
  <c r="AP190" i="2"/>
  <c r="AW190" i="2"/>
  <c r="AP183" i="2"/>
  <c r="AP180" i="2"/>
  <c r="AW180" i="2"/>
  <c r="AW183" i="2"/>
  <c r="AX191" i="2"/>
  <c r="AQ191" i="2"/>
  <c r="AW188" i="2"/>
  <c r="AP188" i="2"/>
  <c r="AX189" i="2"/>
  <c r="AQ179" i="2"/>
  <c r="AX179" i="2"/>
  <c r="AQ189" i="2"/>
  <c r="AW184" i="2"/>
  <c r="AP184" i="2"/>
  <c r="AX180" i="2"/>
  <c r="AQ180" i="2"/>
  <c r="AW204" i="2"/>
  <c r="AP204" i="2"/>
  <c r="AX200" i="2"/>
  <c r="AQ200" i="2"/>
  <c r="AQ201" i="2"/>
  <c r="AQ205" i="2"/>
  <c r="AX205" i="2"/>
  <c r="AX201" i="2"/>
  <c r="AX194" i="2"/>
  <c r="AQ194" i="2"/>
  <c r="AP202" i="2"/>
  <c r="AW202" i="2"/>
  <c r="AX198" i="2"/>
  <c r="AQ198" i="2"/>
  <c r="AQ196" i="2"/>
  <c r="AX196" i="2"/>
  <c r="AX214" i="2"/>
  <c r="AQ214" i="2"/>
  <c r="BG222" i="2" l="1"/>
  <c r="BF222" i="2"/>
  <c r="BD222" i="2"/>
  <c r="N214" i="6"/>
  <c r="AY214" i="2"/>
  <c r="P214" i="6" s="1"/>
  <c r="H214" i="6"/>
  <c r="BG212" i="2"/>
  <c r="AR214" i="2"/>
  <c r="AZ214" i="2"/>
  <c r="BG208" i="2"/>
  <c r="BF208" i="2"/>
  <c r="BD208" i="2"/>
  <c r="R208" i="6" s="1"/>
  <c r="N196" i="6"/>
  <c r="N198" i="6"/>
  <c r="O202" i="6"/>
  <c r="M202" i="6"/>
  <c r="N194" i="6"/>
  <c r="P201" i="6"/>
  <c r="P205" i="6"/>
  <c r="N205" i="6"/>
  <c r="N201" i="6"/>
  <c r="N200" i="6"/>
  <c r="M204" i="6"/>
  <c r="O204" i="6"/>
  <c r="AY200" i="2"/>
  <c r="P200" i="6" s="1"/>
  <c r="AY205" i="2"/>
  <c r="H205" i="6"/>
  <c r="AY194" i="2"/>
  <c r="BG194" i="2" s="1"/>
  <c r="AZ196" i="2"/>
  <c r="AR196" i="2"/>
  <c r="AR198" i="2"/>
  <c r="AZ198" i="2"/>
  <c r="BE202" i="2"/>
  <c r="BC202" i="2"/>
  <c r="Q202" i="6" s="1"/>
  <c r="AR194" i="2"/>
  <c r="AZ194" i="2"/>
  <c r="AZ201" i="2"/>
  <c r="AZ205" i="2"/>
  <c r="AR205" i="2"/>
  <c r="AR201" i="2"/>
  <c r="AR200" i="2"/>
  <c r="AZ200" i="2"/>
  <c r="BE204" i="2"/>
  <c r="BC204" i="2"/>
  <c r="Q204" i="6" s="1"/>
  <c r="BF205" i="2"/>
  <c r="BG205" i="2"/>
  <c r="BD205" i="2"/>
  <c r="R205" i="6" s="1"/>
  <c r="BF201" i="2"/>
  <c r="BG201" i="2"/>
  <c r="AO202" i="2"/>
  <c r="BD201" i="2"/>
  <c r="R201" i="6" s="1"/>
  <c r="BG200" i="2"/>
  <c r="BF200" i="2"/>
  <c r="BG199" i="2"/>
  <c r="BF199" i="2"/>
  <c r="BD199" i="2"/>
  <c r="R199" i="6" s="1"/>
  <c r="BD200" i="2"/>
  <c r="R200" i="6" s="1"/>
  <c r="AY196" i="2"/>
  <c r="P196" i="6" s="1"/>
  <c r="AY198" i="2"/>
  <c r="P198" i="6" s="1"/>
  <c r="AO204" i="2"/>
  <c r="H204" i="6" s="1"/>
  <c r="N191" i="6"/>
  <c r="P191" i="6"/>
  <c r="N180" i="6"/>
  <c r="M184" i="6"/>
  <c r="O184" i="6"/>
  <c r="N189" i="6"/>
  <c r="P179" i="6"/>
  <c r="N179" i="6"/>
  <c r="P189" i="6"/>
  <c r="M188" i="6"/>
  <c r="O188" i="6"/>
  <c r="O183" i="6"/>
  <c r="BC183" i="2"/>
  <c r="Q183" i="6" s="1"/>
  <c r="BE183" i="2"/>
  <c r="O180" i="6"/>
  <c r="BE180" i="2"/>
  <c r="BC180" i="2"/>
  <c r="Q180" i="6" s="1"/>
  <c r="M180" i="6"/>
  <c r="M183" i="6"/>
  <c r="O190" i="6"/>
  <c r="BC190" i="2"/>
  <c r="Q190" i="6" s="1"/>
  <c r="BE190" i="2"/>
  <c r="M190" i="6"/>
  <c r="AT183" i="2"/>
  <c r="AM183" i="2"/>
  <c r="G180" i="6"/>
  <c r="AO183" i="2"/>
  <c r="G183" i="6"/>
  <c r="AN182" i="2"/>
  <c r="G190" i="6"/>
  <c r="AO190" i="2"/>
  <c r="AR191" i="2"/>
  <c r="AZ191" i="2"/>
  <c r="BG191" i="2"/>
  <c r="BF191" i="2"/>
  <c r="BD191" i="2"/>
  <c r="R191" i="6" s="1"/>
  <c r="AR180" i="2"/>
  <c r="AZ180" i="2"/>
  <c r="BE184" i="2"/>
  <c r="BC184" i="2"/>
  <c r="Q184" i="6" s="1"/>
  <c r="AR189" i="2"/>
  <c r="AZ179" i="2"/>
  <c r="AR179" i="2"/>
  <c r="AZ189" i="2"/>
  <c r="BE188" i="2"/>
  <c r="BC188" i="2"/>
  <c r="Q188" i="6" s="1"/>
  <c r="BF181" i="2"/>
  <c r="BG181" i="2"/>
  <c r="BD181" i="2"/>
  <c r="R181" i="6" s="1"/>
  <c r="AM186" i="2"/>
  <c r="AN186" i="2"/>
  <c r="G186" i="6" s="1"/>
  <c r="AO184" i="2"/>
  <c r="H184" i="6" s="1"/>
  <c r="AY180" i="2"/>
  <c r="P180" i="6" s="1"/>
  <c r="AO188" i="2"/>
  <c r="H188" i="6" s="1"/>
  <c r="AY189" i="2"/>
  <c r="AT186" i="2"/>
  <c r="AY179" i="2"/>
  <c r="O175" i="6"/>
  <c r="M167" i="6"/>
  <c r="M171" i="6"/>
  <c r="M169" i="6"/>
  <c r="O167" i="6"/>
  <c r="O171" i="6"/>
  <c r="M175" i="6"/>
  <c r="O169" i="6"/>
  <c r="R168" i="2"/>
  <c r="AS168" i="2"/>
  <c r="AT168" i="2" s="1"/>
  <c r="AL168" i="2"/>
  <c r="AM174" i="2"/>
  <c r="R172" i="2"/>
  <c r="AS172" i="2"/>
  <c r="AT172" i="2" s="1"/>
  <c r="AL172" i="2"/>
  <c r="BE175" i="2"/>
  <c r="BC175" i="2"/>
  <c r="Q175" i="6" s="1"/>
  <c r="BE167" i="2"/>
  <c r="BC167" i="2"/>
  <c r="Q167" i="6" s="1"/>
  <c r="BE171" i="2"/>
  <c r="BC171" i="2"/>
  <c r="Q171" i="6" s="1"/>
  <c r="BE169" i="2"/>
  <c r="BC169" i="2"/>
  <c r="Q169" i="6" s="1"/>
  <c r="AK174" i="2"/>
  <c r="L174" i="6" s="1"/>
  <c r="AT176" i="2"/>
  <c r="AT175" i="2"/>
  <c r="AT170" i="2"/>
  <c r="AK168" i="2"/>
  <c r="L168" i="6" s="1"/>
  <c r="AM169" i="2"/>
  <c r="AO167" i="2"/>
  <c r="H167" i="6" s="1"/>
  <c r="AO171" i="2"/>
  <c r="H171" i="6" s="1"/>
  <c r="AM176" i="2"/>
  <c r="AM175" i="2"/>
  <c r="AM170" i="2"/>
  <c r="AN170" i="2"/>
  <c r="G170" i="6" s="1"/>
  <c r="AO169" i="2"/>
  <c r="H169" i="6" s="1"/>
  <c r="AT167" i="2"/>
  <c r="R177" i="2"/>
  <c r="AN177" i="2"/>
  <c r="G177" i="6" s="1"/>
  <c r="AL177" i="2"/>
  <c r="AS177" i="2"/>
  <c r="AT171" i="2"/>
  <c r="AK170" i="2"/>
  <c r="L170" i="6" s="1"/>
  <c r="AO175" i="2"/>
  <c r="H175" i="6" s="1"/>
  <c r="AT169" i="2"/>
  <c r="AM167" i="2"/>
  <c r="AN168" i="2"/>
  <c r="G168" i="6" s="1"/>
  <c r="AM171" i="2"/>
  <c r="R173" i="2"/>
  <c r="AS173" i="2"/>
  <c r="AL173" i="2"/>
  <c r="AN173" i="2"/>
  <c r="G173" i="6" s="1"/>
  <c r="BE153" i="2"/>
  <c r="BC153" i="2"/>
  <c r="BE159" i="2"/>
  <c r="BC159" i="2"/>
  <c r="BE155" i="2"/>
  <c r="BC155" i="2"/>
  <c r="BE163" i="2"/>
  <c r="BC163" i="2"/>
  <c r="BE157" i="2"/>
  <c r="BC157" i="2"/>
  <c r="AR159" i="2"/>
  <c r="AT153" i="2"/>
  <c r="AY153" i="2" s="1"/>
  <c r="AO165" i="2"/>
  <c r="K162" i="2"/>
  <c r="L162" i="2"/>
  <c r="M162" i="2" s="1"/>
  <c r="AG160" i="2"/>
  <c r="AH160" i="2"/>
  <c r="AI160" i="2" s="1"/>
  <c r="AT159" i="2"/>
  <c r="AI162" i="2"/>
  <c r="AK153" i="2"/>
  <c r="AO155" i="2"/>
  <c r="V156" i="2"/>
  <c r="AJ156" i="2"/>
  <c r="AM163" i="2"/>
  <c r="AI159" i="2"/>
  <c r="AK163" i="2"/>
  <c r="V160" i="2"/>
  <c r="AJ160" i="2"/>
  <c r="AI165" i="2"/>
  <c r="AG164" i="2"/>
  <c r="AH164" i="2"/>
  <c r="AT163" i="2"/>
  <c r="AA164" i="2"/>
  <c r="AO163" i="2"/>
  <c r="V164" i="2"/>
  <c r="AJ164" i="2"/>
  <c r="AA160" i="2"/>
  <c r="AT157" i="2"/>
  <c r="AA154" i="2"/>
  <c r="AO157" i="2"/>
  <c r="AH154" i="2"/>
  <c r="AG154" i="2"/>
  <c r="AK155" i="2"/>
  <c r="AI155" i="2"/>
  <c r="AK162" i="2"/>
  <c r="P158" i="2"/>
  <c r="Q158" i="2"/>
  <c r="AM165" i="2"/>
  <c r="AO161" i="2"/>
  <c r="AS165" i="2"/>
  <c r="P156" i="2"/>
  <c r="Q156" i="2"/>
  <c r="V158" i="2"/>
  <c r="AJ158" i="2"/>
  <c r="H154" i="2"/>
  <c r="O154" i="2"/>
  <c r="AS156" i="2"/>
  <c r="AA156" i="2"/>
  <c r="AI156" i="2" s="1"/>
  <c r="K154" i="2"/>
  <c r="L154" i="2"/>
  <c r="M154" i="2" s="1"/>
  <c r="AK159" i="2"/>
  <c r="AK165" i="2"/>
  <c r="P162" i="2"/>
  <c r="Q162" i="2"/>
  <c r="H164" i="2"/>
  <c r="O164" i="2"/>
  <c r="K158" i="2"/>
  <c r="L158" i="2"/>
  <c r="M158" i="2" s="1"/>
  <c r="H160" i="2"/>
  <c r="O160" i="2"/>
  <c r="AS161" i="2"/>
  <c r="AK154" i="2"/>
  <c r="AO153" i="2"/>
  <c r="L156" i="2"/>
  <c r="M156" i="2" s="1"/>
  <c r="K156" i="2"/>
  <c r="AI153" i="2"/>
  <c r="AL153" i="2"/>
  <c r="AM153" i="2" s="1"/>
  <c r="R153" i="2"/>
  <c r="X146" i="2"/>
  <c r="X144" i="2"/>
  <c r="X142" i="2"/>
  <c r="X140" i="2"/>
  <c r="X138" i="2"/>
  <c r="X136" i="2"/>
  <c r="X134" i="2"/>
  <c r="X132" i="2"/>
  <c r="X150" i="2"/>
  <c r="AX155" i="2"/>
  <c r="AQ155" i="2"/>
  <c r="AQ161" i="2"/>
  <c r="AX153" i="2"/>
  <c r="AX159" i="2"/>
  <c r="AQ163" i="2"/>
  <c r="AW165" i="2"/>
  <c r="AX163" i="2"/>
  <c r="AQ157" i="2"/>
  <c r="AQ165" i="2"/>
  <c r="AX157" i="2"/>
  <c r="AW161" i="2"/>
  <c r="AQ153" i="2"/>
  <c r="AW170" i="2"/>
  <c r="AP170" i="2"/>
  <c r="AP177" i="2"/>
  <c r="AP168" i="2"/>
  <c r="AW168" i="2"/>
  <c r="AQ175" i="2"/>
  <c r="AQ169" i="2"/>
  <c r="AP173" i="2"/>
  <c r="AX171" i="2"/>
  <c r="AW173" i="2"/>
  <c r="AX175" i="2"/>
  <c r="AQ167" i="2"/>
  <c r="AX167" i="2"/>
  <c r="AW177" i="2"/>
  <c r="AX169" i="2"/>
  <c r="AQ171" i="2"/>
  <c r="AX183" i="2"/>
  <c r="AW182" i="2"/>
  <c r="AP182" i="2"/>
  <c r="AQ183" i="2"/>
  <c r="AQ190" i="2"/>
  <c r="AX190" i="2"/>
  <c r="AX184" i="2"/>
  <c r="AQ184" i="2"/>
  <c r="AX188" i="2"/>
  <c r="AQ188" i="2"/>
  <c r="AW186" i="2"/>
  <c r="AP186" i="2"/>
  <c r="AQ202" i="2"/>
  <c r="AX202" i="2"/>
  <c r="AX204" i="2"/>
  <c r="AQ204" i="2"/>
  <c r="BF214" i="2" l="1"/>
  <c r="BG214" i="2"/>
  <c r="BD214" i="2"/>
  <c r="R214" i="6" s="1"/>
  <c r="N204" i="6"/>
  <c r="N202" i="6"/>
  <c r="AY202" i="2"/>
  <c r="P202" i="6" s="1"/>
  <c r="H202" i="6"/>
  <c r="P194" i="6"/>
  <c r="BD194" i="2"/>
  <c r="R194" i="6" s="1"/>
  <c r="BF194" i="2"/>
  <c r="AR204" i="2"/>
  <c r="AZ204" i="2"/>
  <c r="AZ202" i="2"/>
  <c r="AR202" i="2"/>
  <c r="BG202" i="2"/>
  <c r="BF202" i="2"/>
  <c r="BD202" i="2"/>
  <c r="R202" i="6" s="1"/>
  <c r="BG198" i="2"/>
  <c r="BF198" i="2"/>
  <c r="BD198" i="2"/>
  <c r="R198" i="6" s="1"/>
  <c r="BG196" i="2"/>
  <c r="BF196" i="2"/>
  <c r="BD196" i="2"/>
  <c r="R196" i="6" s="1"/>
  <c r="AY204" i="2"/>
  <c r="P204" i="6" s="1"/>
  <c r="M186" i="6"/>
  <c r="O186" i="6"/>
  <c r="N188" i="6"/>
  <c r="N184" i="6"/>
  <c r="AZ190" i="2"/>
  <c r="N190" i="6"/>
  <c r="AR190" i="2"/>
  <c r="N183" i="6"/>
  <c r="AR183" i="2"/>
  <c r="M182" i="6"/>
  <c r="O182" i="6"/>
  <c r="BE182" i="2"/>
  <c r="BC182" i="2"/>
  <c r="Q182" i="6" s="1"/>
  <c r="P183" i="6"/>
  <c r="AZ183" i="2"/>
  <c r="H190" i="6"/>
  <c r="H183" i="6"/>
  <c r="G182" i="6"/>
  <c r="AO182" i="2"/>
  <c r="AY190" i="2"/>
  <c r="AY188" i="2"/>
  <c r="P188" i="6" s="1"/>
  <c r="AY183" i="2"/>
  <c r="BE186" i="2"/>
  <c r="BC186" i="2"/>
  <c r="Q186" i="6" s="1"/>
  <c r="AR188" i="2"/>
  <c r="AZ188" i="2"/>
  <c r="AR184" i="2"/>
  <c r="AZ184" i="2"/>
  <c r="BG189" i="2"/>
  <c r="BF189" i="2"/>
  <c r="BD189" i="2"/>
  <c r="R189" i="6" s="1"/>
  <c r="AO186" i="2"/>
  <c r="H186" i="6" s="1"/>
  <c r="BF179" i="2"/>
  <c r="BG179" i="2"/>
  <c r="BD179" i="2"/>
  <c r="R179" i="6" s="1"/>
  <c r="BF188" i="2"/>
  <c r="BG180" i="2"/>
  <c r="BF180" i="2"/>
  <c r="BD180" i="2"/>
  <c r="R180" i="6" s="1"/>
  <c r="BD188" i="2"/>
  <c r="R188" i="6" s="1"/>
  <c r="AY184" i="2"/>
  <c r="P184" i="6" s="1"/>
  <c r="N171" i="6"/>
  <c r="P169" i="6"/>
  <c r="O177" i="6"/>
  <c r="P167" i="6"/>
  <c r="N167" i="6"/>
  <c r="P175" i="6"/>
  <c r="O173" i="6"/>
  <c r="P171" i="6"/>
  <c r="M173" i="6"/>
  <c r="N169" i="6"/>
  <c r="N175" i="6"/>
  <c r="O168" i="6"/>
  <c r="M168" i="6"/>
  <c r="M177" i="6"/>
  <c r="M170" i="6"/>
  <c r="O170" i="6"/>
  <c r="AM172" i="2"/>
  <c r="AM168" i="2"/>
  <c r="AR171" i="2"/>
  <c r="AZ169" i="2"/>
  <c r="BE177" i="2"/>
  <c r="BC177" i="2"/>
  <c r="Q177" i="6" s="1"/>
  <c r="AZ167" i="2"/>
  <c r="AR167" i="2"/>
  <c r="AZ175" i="2"/>
  <c r="BE173" i="2"/>
  <c r="BC173" i="2"/>
  <c r="Q173" i="6" s="1"/>
  <c r="AZ171" i="2"/>
  <c r="AR169" i="2"/>
  <c r="AR175" i="2"/>
  <c r="BE168" i="2"/>
  <c r="BC168" i="2"/>
  <c r="Q168" i="6" s="1"/>
  <c r="BE170" i="2"/>
  <c r="BC170" i="2"/>
  <c r="Q170" i="6" s="1"/>
  <c r="AT177" i="2"/>
  <c r="AY169" i="2"/>
  <c r="AT173" i="2"/>
  <c r="AO173" i="2"/>
  <c r="H173" i="6" s="1"/>
  <c r="AN174" i="2"/>
  <c r="G174" i="6" s="1"/>
  <c r="AN172" i="2"/>
  <c r="G172" i="6" s="1"/>
  <c r="AM177" i="2"/>
  <c r="AM173" i="2"/>
  <c r="AO168" i="2"/>
  <c r="AO177" i="2"/>
  <c r="H177" i="6" s="1"/>
  <c r="AO170" i="2"/>
  <c r="H170" i="6" s="1"/>
  <c r="AN176" i="2"/>
  <c r="G176" i="6" s="1"/>
  <c r="AY171" i="2"/>
  <c r="AY167" i="2"/>
  <c r="AY175" i="2"/>
  <c r="AR153" i="2"/>
  <c r="AY161" i="2"/>
  <c r="BD161" i="2" s="1"/>
  <c r="BE161" i="2"/>
  <c r="BC161" i="2"/>
  <c r="AZ157" i="2"/>
  <c r="AR165" i="2"/>
  <c r="AR157" i="2"/>
  <c r="AZ163" i="2"/>
  <c r="AY165" i="2"/>
  <c r="BD165" i="2" s="1"/>
  <c r="BE165" i="2"/>
  <c r="BC165" i="2"/>
  <c r="AR163" i="2"/>
  <c r="AZ159" i="2"/>
  <c r="AZ153" i="2"/>
  <c r="AR161" i="2"/>
  <c r="AR155" i="2"/>
  <c r="AZ155" i="2"/>
  <c r="BF153" i="2"/>
  <c r="BG153" i="2"/>
  <c r="BD153" i="2"/>
  <c r="R162" i="2"/>
  <c r="AS162" i="2"/>
  <c r="AL162" i="2"/>
  <c r="P154" i="2"/>
  <c r="Q154" i="2"/>
  <c r="AK158" i="2"/>
  <c r="AT161" i="2"/>
  <c r="R156" i="2"/>
  <c r="AL156" i="2"/>
  <c r="AI154" i="2"/>
  <c r="AK160" i="2"/>
  <c r="P160" i="2"/>
  <c r="Q160" i="2"/>
  <c r="P164" i="2"/>
  <c r="Q164" i="2"/>
  <c r="R158" i="2"/>
  <c r="AS158" i="2"/>
  <c r="AL158" i="2"/>
  <c r="AK164" i="2"/>
  <c r="AT156" i="2"/>
  <c r="AT165" i="2"/>
  <c r="AK156" i="2"/>
  <c r="AY163" i="2"/>
  <c r="AY159" i="2"/>
  <c r="AI164" i="2"/>
  <c r="AY157" i="2"/>
  <c r="AY155" i="2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S150" i="6"/>
  <c r="N150" i="6"/>
  <c r="M150" i="6"/>
  <c r="L150" i="6"/>
  <c r="K150" i="6"/>
  <c r="H150" i="6"/>
  <c r="G150" i="6"/>
  <c r="E150" i="6"/>
  <c r="D150" i="6"/>
  <c r="C150" i="6"/>
  <c r="B150" i="6"/>
  <c r="A150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BB151" i="2"/>
  <c r="BA151" i="2"/>
  <c r="AV151" i="2"/>
  <c r="AD151" i="2"/>
  <c r="AF151" i="2" s="1"/>
  <c r="X151" i="2"/>
  <c r="Z151" i="2" s="1"/>
  <c r="S151" i="2"/>
  <c r="U151" i="2" s="1"/>
  <c r="J151" i="2"/>
  <c r="L151" i="2" s="1"/>
  <c r="M151" i="2" s="1"/>
  <c r="E151" i="2"/>
  <c r="G151" i="2" s="1"/>
  <c r="D151" i="2"/>
  <c r="C151" i="2"/>
  <c r="B151" i="2"/>
  <c r="A151" i="2"/>
  <c r="BB150" i="2"/>
  <c r="BA150" i="2"/>
  <c r="AV150" i="2"/>
  <c r="AD150" i="2"/>
  <c r="AE150" i="2" s="1"/>
  <c r="Z150" i="2"/>
  <c r="S150" i="2"/>
  <c r="T150" i="2" s="1"/>
  <c r="J150" i="2"/>
  <c r="L150" i="2" s="1"/>
  <c r="M150" i="2" s="1"/>
  <c r="E150" i="2"/>
  <c r="F150" i="2" s="1"/>
  <c r="C150" i="2"/>
  <c r="D150" i="2" s="1"/>
  <c r="B150" i="2"/>
  <c r="A150" i="2"/>
  <c r="BB149" i="2"/>
  <c r="BA149" i="2"/>
  <c r="AV149" i="2"/>
  <c r="AF149" i="2"/>
  <c r="AE149" i="2"/>
  <c r="AD149" i="2"/>
  <c r="Z149" i="2"/>
  <c r="Y149" i="2"/>
  <c r="X149" i="2"/>
  <c r="U149" i="2"/>
  <c r="T149" i="2"/>
  <c r="S149" i="2"/>
  <c r="G149" i="2"/>
  <c r="O149" i="2" s="1"/>
  <c r="F149" i="2"/>
  <c r="E149" i="2"/>
  <c r="C149" i="2"/>
  <c r="J149" i="2" s="1"/>
  <c r="B149" i="2"/>
  <c r="A149" i="2"/>
  <c r="AX161" i="2"/>
  <c r="AX165" i="2"/>
  <c r="AX177" i="2"/>
  <c r="AP174" i="2"/>
  <c r="AW174" i="2"/>
  <c r="AQ168" i="2"/>
  <c r="AX168" i="2"/>
  <c r="AP172" i="2"/>
  <c r="AW172" i="2"/>
  <c r="AX173" i="2"/>
  <c r="AX170" i="2"/>
  <c r="AQ170" i="2"/>
  <c r="AQ173" i="2"/>
  <c r="AW176" i="2"/>
  <c r="AP176" i="2"/>
  <c r="AQ177" i="2"/>
  <c r="AX182" i="2"/>
  <c r="AQ182" i="2"/>
  <c r="AX186" i="2"/>
  <c r="AQ186" i="2"/>
  <c r="BG204" i="2" l="1"/>
  <c r="BF204" i="2"/>
  <c r="BD204" i="2"/>
  <c r="R204" i="6" s="1"/>
  <c r="N186" i="6"/>
  <c r="N182" i="6"/>
  <c r="AR182" i="2"/>
  <c r="AZ182" i="2"/>
  <c r="AY182" i="2"/>
  <c r="H182" i="6"/>
  <c r="BG183" i="2"/>
  <c r="BF183" i="2"/>
  <c r="BD183" i="2"/>
  <c r="R183" i="6" s="1"/>
  <c r="BG188" i="2"/>
  <c r="P190" i="6"/>
  <c r="BG190" i="2"/>
  <c r="BD190" i="2"/>
  <c r="R190" i="6" s="1"/>
  <c r="BF190" i="2"/>
  <c r="AR186" i="2"/>
  <c r="AZ186" i="2"/>
  <c r="AY186" i="2"/>
  <c r="P186" i="6" s="1"/>
  <c r="BF184" i="2"/>
  <c r="BG184" i="2"/>
  <c r="BD184" i="2"/>
  <c r="R184" i="6" s="1"/>
  <c r="N177" i="6"/>
  <c r="M176" i="6"/>
  <c r="O176" i="6"/>
  <c r="N173" i="6"/>
  <c r="N170" i="6"/>
  <c r="P173" i="6"/>
  <c r="O172" i="6"/>
  <c r="M172" i="6"/>
  <c r="N168" i="6"/>
  <c r="O174" i="6"/>
  <c r="M174" i="6"/>
  <c r="P177" i="6"/>
  <c r="AY168" i="2"/>
  <c r="P168" i="6" s="1"/>
  <c r="H168" i="6"/>
  <c r="AY170" i="2"/>
  <c r="P170" i="6" s="1"/>
  <c r="AR177" i="2"/>
  <c r="BE176" i="2"/>
  <c r="BC176" i="2"/>
  <c r="Q176" i="6" s="1"/>
  <c r="AR173" i="2"/>
  <c r="AR170" i="2"/>
  <c r="AZ170" i="2"/>
  <c r="AZ173" i="2"/>
  <c r="BE172" i="2"/>
  <c r="BC172" i="2"/>
  <c r="Q172" i="6" s="1"/>
  <c r="AZ168" i="2"/>
  <c r="AR168" i="2"/>
  <c r="BE174" i="2"/>
  <c r="BC174" i="2"/>
  <c r="Q174" i="6" s="1"/>
  <c r="AZ177" i="2"/>
  <c r="BG168" i="2"/>
  <c r="BD168" i="2"/>
  <c r="R168" i="6" s="1"/>
  <c r="BG167" i="2"/>
  <c r="BF167" i="2"/>
  <c r="BD167" i="2"/>
  <c r="R167" i="6" s="1"/>
  <c r="AO176" i="2"/>
  <c r="H176" i="6" s="1"/>
  <c r="AY173" i="2"/>
  <c r="BG175" i="2"/>
  <c r="BF175" i="2"/>
  <c r="BD175" i="2"/>
  <c r="R175" i="6" s="1"/>
  <c r="BG169" i="2"/>
  <c r="BF169" i="2"/>
  <c r="BD169" i="2"/>
  <c r="R169" i="6" s="1"/>
  <c r="BG170" i="2"/>
  <c r="BF170" i="2"/>
  <c r="AO172" i="2"/>
  <c r="BG171" i="2"/>
  <c r="BF171" i="2"/>
  <c r="BD171" i="2"/>
  <c r="R171" i="6" s="1"/>
  <c r="AO174" i="2"/>
  <c r="H174" i="6" s="1"/>
  <c r="BD170" i="2"/>
  <c r="R170" i="6" s="1"/>
  <c r="AY177" i="2"/>
  <c r="AZ165" i="2"/>
  <c r="AZ161" i="2"/>
  <c r="BG155" i="2"/>
  <c r="BF155" i="2"/>
  <c r="BD155" i="2"/>
  <c r="BG157" i="2"/>
  <c r="BF157" i="2"/>
  <c r="BD157" i="2"/>
  <c r="AM158" i="2"/>
  <c r="AN158" i="2"/>
  <c r="AT162" i="2"/>
  <c r="AT158" i="2"/>
  <c r="R160" i="2"/>
  <c r="AS160" i="2"/>
  <c r="AL160" i="2"/>
  <c r="AM156" i="2"/>
  <c r="AN156" i="2"/>
  <c r="R154" i="2"/>
  <c r="AS154" i="2"/>
  <c r="AL154" i="2"/>
  <c r="BG165" i="2"/>
  <c r="BF165" i="2"/>
  <c r="BG161" i="2"/>
  <c r="BF161" i="2"/>
  <c r="BG159" i="2"/>
  <c r="BF159" i="2"/>
  <c r="BD159" i="2"/>
  <c r="BG163" i="2"/>
  <c r="BF163" i="2"/>
  <c r="BD163" i="2"/>
  <c r="R164" i="2"/>
  <c r="AL164" i="2"/>
  <c r="AS164" i="2"/>
  <c r="AM162" i="2"/>
  <c r="AN162" i="2"/>
  <c r="AS149" i="2"/>
  <c r="AJ151" i="2"/>
  <c r="V151" i="2"/>
  <c r="AA150" i="2"/>
  <c r="AA151" i="2"/>
  <c r="P149" i="2"/>
  <c r="Q149" i="2"/>
  <c r="R149" i="2" s="1"/>
  <c r="O151" i="2"/>
  <c r="H151" i="2"/>
  <c r="AG151" i="2"/>
  <c r="AH151" i="2"/>
  <c r="AI151" i="2" s="1"/>
  <c r="L149" i="2"/>
  <c r="M149" i="2" s="1"/>
  <c r="K149" i="2"/>
  <c r="AL149" i="2"/>
  <c r="AN149" i="2"/>
  <c r="K150" i="2"/>
  <c r="Y150" i="2"/>
  <c r="F150" i="6" s="1"/>
  <c r="D149" i="2"/>
  <c r="H149" i="2"/>
  <c r="V149" i="2"/>
  <c r="AA149" i="2"/>
  <c r="AG149" i="2"/>
  <c r="G150" i="2"/>
  <c r="U150" i="2"/>
  <c r="AF150" i="2"/>
  <c r="F151" i="2"/>
  <c r="K151" i="2"/>
  <c r="T151" i="2"/>
  <c r="Y151" i="2"/>
  <c r="AE151" i="2"/>
  <c r="AJ149" i="2"/>
  <c r="AH149" i="2"/>
  <c r="AI149" i="2" s="1"/>
  <c r="AW149" i="2"/>
  <c r="AP149" i="2"/>
  <c r="AW162" i="2"/>
  <c r="AP162" i="2"/>
  <c r="AW156" i="2"/>
  <c r="AP156" i="2"/>
  <c r="AW158" i="2"/>
  <c r="AP158" i="2"/>
  <c r="AX172" i="2"/>
  <c r="AQ172" i="2"/>
  <c r="AQ174" i="2"/>
  <c r="AX174" i="2"/>
  <c r="AX176" i="2"/>
  <c r="AQ176" i="2"/>
  <c r="P182" i="6" l="1"/>
  <c r="BF182" i="2"/>
  <c r="BG182" i="2"/>
  <c r="BD182" i="2"/>
  <c r="R182" i="6" s="1"/>
  <c r="BG186" i="2"/>
  <c r="BF186" i="2"/>
  <c r="BD186" i="2"/>
  <c r="R186" i="6" s="1"/>
  <c r="N176" i="6"/>
  <c r="N174" i="6"/>
  <c r="N172" i="6"/>
  <c r="AY172" i="2"/>
  <c r="P172" i="6" s="1"/>
  <c r="H172" i="6"/>
  <c r="BF168" i="2"/>
  <c r="AY176" i="2"/>
  <c r="AR176" i="2"/>
  <c r="AZ176" i="2"/>
  <c r="AZ174" i="2"/>
  <c r="AR174" i="2"/>
  <c r="AR172" i="2"/>
  <c r="AZ172" i="2"/>
  <c r="BF173" i="2"/>
  <c r="BG173" i="2"/>
  <c r="BD173" i="2"/>
  <c r="R173" i="6" s="1"/>
  <c r="BF177" i="2"/>
  <c r="BG177" i="2"/>
  <c r="BD177" i="2"/>
  <c r="R177" i="6" s="1"/>
  <c r="BG176" i="2"/>
  <c r="BF176" i="2"/>
  <c r="AY174" i="2"/>
  <c r="P174" i="6" s="1"/>
  <c r="AY158" i="2"/>
  <c r="BE158" i="2"/>
  <c r="BC158" i="2"/>
  <c r="BE156" i="2"/>
  <c r="BC156" i="2"/>
  <c r="AY162" i="2"/>
  <c r="BE162" i="2"/>
  <c r="BC162" i="2"/>
  <c r="AO158" i="2"/>
  <c r="AT164" i="2"/>
  <c r="AO156" i="2"/>
  <c r="AM164" i="2"/>
  <c r="AN164" i="2"/>
  <c r="AM154" i="2"/>
  <c r="AN154" i="2"/>
  <c r="AO162" i="2"/>
  <c r="AT154" i="2"/>
  <c r="AM160" i="2"/>
  <c r="AN160" i="2"/>
  <c r="AT160" i="2"/>
  <c r="BE149" i="2"/>
  <c r="BC149" i="2"/>
  <c r="AM149" i="2"/>
  <c r="Q151" i="2"/>
  <c r="P151" i="2"/>
  <c r="AG150" i="2"/>
  <c r="AH150" i="2"/>
  <c r="AK151" i="2"/>
  <c r="AK149" i="2"/>
  <c r="V150" i="2"/>
  <c r="AJ150" i="2"/>
  <c r="H150" i="2"/>
  <c r="O150" i="2"/>
  <c r="AO149" i="2"/>
  <c r="AT149" i="2"/>
  <c r="S147" i="6"/>
  <c r="E147" i="6"/>
  <c r="B147" i="6"/>
  <c r="A147" i="6"/>
  <c r="S146" i="6"/>
  <c r="B146" i="6"/>
  <c r="A146" i="6"/>
  <c r="S145" i="6"/>
  <c r="K145" i="6"/>
  <c r="C145" i="6"/>
  <c r="B145" i="6"/>
  <c r="A145" i="6"/>
  <c r="S144" i="6"/>
  <c r="B144" i="6"/>
  <c r="A144" i="6"/>
  <c r="S143" i="6"/>
  <c r="E143" i="6"/>
  <c r="B143" i="6"/>
  <c r="A143" i="6"/>
  <c r="S142" i="6"/>
  <c r="B142" i="6"/>
  <c r="A142" i="6"/>
  <c r="S141" i="6"/>
  <c r="K141" i="6"/>
  <c r="B141" i="6"/>
  <c r="A141" i="6"/>
  <c r="S140" i="6"/>
  <c r="B140" i="6"/>
  <c r="A140" i="6"/>
  <c r="S139" i="6"/>
  <c r="E139" i="6"/>
  <c r="B139" i="6"/>
  <c r="A139" i="6"/>
  <c r="S138" i="6"/>
  <c r="B138" i="6"/>
  <c r="A138" i="6"/>
  <c r="S137" i="6"/>
  <c r="B137" i="6"/>
  <c r="A137" i="6"/>
  <c r="S136" i="6"/>
  <c r="B136" i="6"/>
  <c r="A136" i="6"/>
  <c r="S135" i="6"/>
  <c r="E135" i="6"/>
  <c r="B135" i="6"/>
  <c r="A135" i="6"/>
  <c r="S134" i="6"/>
  <c r="B134" i="6"/>
  <c r="A134" i="6"/>
  <c r="S133" i="6"/>
  <c r="B133" i="6"/>
  <c r="A133" i="6"/>
  <c r="S132" i="6"/>
  <c r="B132" i="6"/>
  <c r="A132" i="6"/>
  <c r="S131" i="6"/>
  <c r="E131" i="6"/>
  <c r="B131" i="6"/>
  <c r="A131" i="6"/>
  <c r="BB147" i="2"/>
  <c r="BA147" i="2"/>
  <c r="AV147" i="2"/>
  <c r="AD147" i="2"/>
  <c r="AF147" i="2" s="1"/>
  <c r="X147" i="2"/>
  <c r="Z147" i="2" s="1"/>
  <c r="S147" i="2"/>
  <c r="U147" i="2" s="1"/>
  <c r="E147" i="2"/>
  <c r="G147" i="2" s="1"/>
  <c r="D147" i="2"/>
  <c r="C147" i="2"/>
  <c r="J147" i="2" s="1"/>
  <c r="L147" i="2" s="1"/>
  <c r="M147" i="2" s="1"/>
  <c r="B147" i="2"/>
  <c r="A147" i="2"/>
  <c r="BB146" i="2"/>
  <c r="BA146" i="2"/>
  <c r="AV146" i="2"/>
  <c r="AD146" i="2"/>
  <c r="AE146" i="2" s="1"/>
  <c r="Y146" i="2"/>
  <c r="F146" i="6" s="1"/>
  <c r="S146" i="2"/>
  <c r="T146" i="2" s="1"/>
  <c r="E146" i="2"/>
  <c r="F146" i="2" s="1"/>
  <c r="C146" i="2"/>
  <c r="D146" i="2" s="1"/>
  <c r="B146" i="2"/>
  <c r="A146" i="2"/>
  <c r="BB145" i="2"/>
  <c r="BA145" i="2"/>
  <c r="AV145" i="2"/>
  <c r="AE145" i="2"/>
  <c r="AD145" i="2"/>
  <c r="AF145" i="2" s="1"/>
  <c r="X145" i="2"/>
  <c r="U145" i="2"/>
  <c r="AJ145" i="2" s="1"/>
  <c r="T145" i="2"/>
  <c r="S145" i="2"/>
  <c r="G145" i="2"/>
  <c r="O145" i="2" s="1"/>
  <c r="F145" i="2"/>
  <c r="E145" i="2"/>
  <c r="C145" i="2"/>
  <c r="J145" i="2" s="1"/>
  <c r="B145" i="2"/>
  <c r="A145" i="2"/>
  <c r="BB144" i="2"/>
  <c r="BA144" i="2"/>
  <c r="AV144" i="2"/>
  <c r="AF144" i="2"/>
  <c r="AG144" i="2" s="1"/>
  <c r="AD144" i="2"/>
  <c r="AE144" i="2" s="1"/>
  <c r="U144" i="2"/>
  <c r="S144" i="2"/>
  <c r="T144" i="2" s="1"/>
  <c r="E144" i="2"/>
  <c r="C144" i="2"/>
  <c r="B144" i="2"/>
  <c r="A144" i="2"/>
  <c r="BB143" i="2"/>
  <c r="BA143" i="2"/>
  <c r="AV143" i="2"/>
  <c r="AD143" i="2"/>
  <c r="AF143" i="2" s="1"/>
  <c r="AG143" i="2" s="1"/>
  <c r="X143" i="2"/>
  <c r="Z143" i="2" s="1"/>
  <c r="V143" i="2"/>
  <c r="AK143" i="2" s="1"/>
  <c r="L143" i="6" s="1"/>
  <c r="S143" i="2"/>
  <c r="U143" i="2" s="1"/>
  <c r="J143" i="2"/>
  <c r="L143" i="2" s="1"/>
  <c r="M143" i="2" s="1"/>
  <c r="H143" i="2"/>
  <c r="E143" i="2"/>
  <c r="G143" i="2" s="1"/>
  <c r="O143" i="2" s="1"/>
  <c r="C143" i="6" s="1"/>
  <c r="C143" i="2"/>
  <c r="D143" i="2" s="1"/>
  <c r="B143" i="2"/>
  <c r="A143" i="2"/>
  <c r="BB142" i="2"/>
  <c r="BA142" i="2"/>
  <c r="AV142" i="2"/>
  <c r="AD142" i="2"/>
  <c r="E142" i="6"/>
  <c r="S142" i="2"/>
  <c r="J142" i="2"/>
  <c r="E142" i="2"/>
  <c r="C142" i="2"/>
  <c r="D142" i="2" s="1"/>
  <c r="B142" i="2"/>
  <c r="A142" i="2"/>
  <c r="BB141" i="2"/>
  <c r="BA141" i="2"/>
  <c r="AV141" i="2"/>
  <c r="AD141" i="2"/>
  <c r="Z141" i="2"/>
  <c r="Y141" i="2"/>
  <c r="F141" i="6" s="1"/>
  <c r="X141" i="2"/>
  <c r="E141" i="6" s="1"/>
  <c r="U141" i="2"/>
  <c r="AJ141" i="2" s="1"/>
  <c r="T141" i="2"/>
  <c r="S141" i="2"/>
  <c r="F141" i="2"/>
  <c r="E141" i="2"/>
  <c r="G141" i="2" s="1"/>
  <c r="C141" i="2"/>
  <c r="B141" i="2"/>
  <c r="A141" i="2"/>
  <c r="BB140" i="2"/>
  <c r="BA140" i="2"/>
  <c r="AV140" i="2"/>
  <c r="AF140" i="2"/>
  <c r="AD140" i="2"/>
  <c r="AE140" i="2" s="1"/>
  <c r="Z140" i="2"/>
  <c r="AA140" i="2" s="1"/>
  <c r="Y140" i="2"/>
  <c r="F140" i="6" s="1"/>
  <c r="E140" i="6"/>
  <c r="S140" i="2"/>
  <c r="T140" i="2" s="1"/>
  <c r="K140" i="2"/>
  <c r="E140" i="2"/>
  <c r="D140" i="2"/>
  <c r="C140" i="2"/>
  <c r="J140" i="2" s="1"/>
  <c r="L140" i="2" s="1"/>
  <c r="M140" i="2" s="1"/>
  <c r="B140" i="2"/>
  <c r="A140" i="2"/>
  <c r="BB139" i="2"/>
  <c r="BA139" i="2"/>
  <c r="AV139" i="2"/>
  <c r="AD139" i="2"/>
  <c r="X139" i="2"/>
  <c r="S139" i="2"/>
  <c r="E139" i="2"/>
  <c r="C139" i="2"/>
  <c r="D139" i="2" s="1"/>
  <c r="B139" i="2"/>
  <c r="A139" i="2"/>
  <c r="BB138" i="2"/>
  <c r="BA138" i="2"/>
  <c r="AV138" i="2"/>
  <c r="AE138" i="2"/>
  <c r="AD138" i="2"/>
  <c r="AF138" i="2" s="1"/>
  <c r="AG138" i="2" s="1"/>
  <c r="Z138" i="2"/>
  <c r="S138" i="2"/>
  <c r="T138" i="2" s="1"/>
  <c r="J138" i="2"/>
  <c r="L138" i="2" s="1"/>
  <c r="M138" i="2" s="1"/>
  <c r="E138" i="2"/>
  <c r="G138" i="2" s="1"/>
  <c r="H138" i="2" s="1"/>
  <c r="C138" i="2"/>
  <c r="D138" i="2" s="1"/>
  <c r="B138" i="2"/>
  <c r="A138" i="2"/>
  <c r="BB137" i="2"/>
  <c r="BA137" i="2"/>
  <c r="AV137" i="2"/>
  <c r="AF137" i="2"/>
  <c r="AD137" i="2"/>
  <c r="AE137" i="2" s="1"/>
  <c r="Z137" i="2"/>
  <c r="Y137" i="2"/>
  <c r="F137" i="6" s="1"/>
  <c r="X137" i="2"/>
  <c r="E137" i="6" s="1"/>
  <c r="S137" i="2"/>
  <c r="U137" i="2" s="1"/>
  <c r="F137" i="2"/>
  <c r="E137" i="2"/>
  <c r="G137" i="2" s="1"/>
  <c r="C137" i="2"/>
  <c r="B137" i="2"/>
  <c r="A137" i="2"/>
  <c r="BB136" i="2"/>
  <c r="BA136" i="2"/>
  <c r="AV136" i="2"/>
  <c r="AD136" i="2"/>
  <c r="AE136" i="2" s="1"/>
  <c r="S136" i="2"/>
  <c r="T136" i="2" s="1"/>
  <c r="E136" i="2"/>
  <c r="F136" i="2" s="1"/>
  <c r="C136" i="2"/>
  <c r="J136" i="2" s="1"/>
  <c r="K136" i="2" s="1"/>
  <c r="B136" i="2"/>
  <c r="A136" i="2"/>
  <c r="BB135" i="2"/>
  <c r="BA135" i="2"/>
  <c r="AV135" i="2"/>
  <c r="AD135" i="2"/>
  <c r="X135" i="2"/>
  <c r="S135" i="2"/>
  <c r="J135" i="2"/>
  <c r="E135" i="2"/>
  <c r="C135" i="2"/>
  <c r="D135" i="2" s="1"/>
  <c r="B135" i="2"/>
  <c r="A135" i="2"/>
  <c r="BB134" i="2"/>
  <c r="BA134" i="2"/>
  <c r="AV134" i="2"/>
  <c r="AD134" i="2"/>
  <c r="AF134" i="2" s="1"/>
  <c r="AG134" i="2" s="1"/>
  <c r="S134" i="2"/>
  <c r="T134" i="2" s="1"/>
  <c r="J134" i="2"/>
  <c r="L134" i="2" s="1"/>
  <c r="M134" i="2" s="1"/>
  <c r="E134" i="2"/>
  <c r="G134" i="2" s="1"/>
  <c r="H134" i="2" s="1"/>
  <c r="C134" i="2"/>
  <c r="D134" i="2" s="1"/>
  <c r="B134" i="2"/>
  <c r="A134" i="2"/>
  <c r="BB133" i="2"/>
  <c r="BA133" i="2"/>
  <c r="AV133" i="2"/>
  <c r="AD133" i="2"/>
  <c r="AF133" i="2" s="1"/>
  <c r="X133" i="2"/>
  <c r="E133" i="6" s="1"/>
  <c r="U133" i="2"/>
  <c r="AJ133" i="2" s="1"/>
  <c r="K133" i="6" s="1"/>
  <c r="S133" i="2"/>
  <c r="T133" i="2" s="1"/>
  <c r="G133" i="2"/>
  <c r="O133" i="2" s="1"/>
  <c r="C133" i="6" s="1"/>
  <c r="F133" i="2"/>
  <c r="E133" i="2"/>
  <c r="C133" i="2"/>
  <c r="J133" i="2" s="1"/>
  <c r="B133" i="2"/>
  <c r="A133" i="2"/>
  <c r="BB132" i="2"/>
  <c r="BA132" i="2"/>
  <c r="AV132" i="2"/>
  <c r="AF132" i="2"/>
  <c r="AD132" i="2"/>
  <c r="AE132" i="2" s="1"/>
  <c r="Z132" i="2"/>
  <c r="AA132" i="2" s="1"/>
  <c r="S132" i="2"/>
  <c r="T132" i="2" s="1"/>
  <c r="E132" i="2"/>
  <c r="F132" i="2" s="1"/>
  <c r="C132" i="2"/>
  <c r="J132" i="2" s="1"/>
  <c r="B132" i="2"/>
  <c r="A132" i="2"/>
  <c r="BB131" i="2"/>
  <c r="BA131" i="2"/>
  <c r="AV131" i="2"/>
  <c r="AD131" i="2"/>
  <c r="AF131" i="2" s="1"/>
  <c r="X131" i="2"/>
  <c r="Z131" i="2" s="1"/>
  <c r="S131" i="2"/>
  <c r="U131" i="2" s="1"/>
  <c r="J131" i="2"/>
  <c r="L131" i="2" s="1"/>
  <c r="M131" i="2" s="1"/>
  <c r="E131" i="2"/>
  <c r="G131" i="2" s="1"/>
  <c r="C131" i="2"/>
  <c r="D131" i="2" s="1"/>
  <c r="B131" i="2"/>
  <c r="A131" i="2"/>
  <c r="AQ149" i="2"/>
  <c r="AX149" i="2"/>
  <c r="AX158" i="2"/>
  <c r="AQ158" i="2"/>
  <c r="AW164" i="2"/>
  <c r="AP164" i="2"/>
  <c r="AX156" i="2"/>
  <c r="AQ156" i="2"/>
  <c r="AW154" i="2"/>
  <c r="AP154" i="2"/>
  <c r="AW160" i="2"/>
  <c r="AP160" i="2"/>
  <c r="AX162" i="2"/>
  <c r="AQ162" i="2"/>
  <c r="BG172" i="2" l="1"/>
  <c r="BD176" i="2"/>
  <c r="R176" i="6" s="1"/>
  <c r="P176" i="6"/>
  <c r="BD172" i="2"/>
  <c r="R172" i="6" s="1"/>
  <c r="BF172" i="2"/>
  <c r="BG174" i="2"/>
  <c r="BF174" i="2"/>
  <c r="BD174" i="2"/>
  <c r="R174" i="6" s="1"/>
  <c r="AR162" i="2"/>
  <c r="AZ162" i="2"/>
  <c r="BE160" i="2"/>
  <c r="AY160" i="2"/>
  <c r="BD160" i="2" s="1"/>
  <c r="BC160" i="2"/>
  <c r="BE154" i="2"/>
  <c r="BC154" i="2"/>
  <c r="AR156" i="2"/>
  <c r="AZ156" i="2"/>
  <c r="BE164" i="2"/>
  <c r="BC164" i="2"/>
  <c r="AR158" i="2"/>
  <c r="AZ158" i="2"/>
  <c r="AO160" i="2"/>
  <c r="AO154" i="2"/>
  <c r="AY156" i="2"/>
  <c r="BF158" i="2"/>
  <c r="BG158" i="2"/>
  <c r="BF162" i="2"/>
  <c r="BG162" i="2"/>
  <c r="AO164" i="2"/>
  <c r="AY164" i="2" s="1"/>
  <c r="BD162" i="2"/>
  <c r="BD158" i="2"/>
  <c r="AI150" i="2"/>
  <c r="J150" i="6" s="1"/>
  <c r="I150" i="6"/>
  <c r="AZ149" i="2"/>
  <c r="AR149" i="2"/>
  <c r="R151" i="2"/>
  <c r="AN151" i="2"/>
  <c r="AS151" i="2"/>
  <c r="AL151" i="2"/>
  <c r="AM151" i="2" s="1"/>
  <c r="Q150" i="2"/>
  <c r="P150" i="2"/>
  <c r="AK150" i="2"/>
  <c r="AY149" i="2"/>
  <c r="Y136" i="2"/>
  <c r="F136" i="6" s="1"/>
  <c r="E136" i="6"/>
  <c r="Y144" i="2"/>
  <c r="F144" i="6" s="1"/>
  <c r="E144" i="6"/>
  <c r="Z144" i="2"/>
  <c r="AH144" i="2" s="1"/>
  <c r="I144" i="6" s="1"/>
  <c r="AE133" i="2"/>
  <c r="G136" i="2"/>
  <c r="O136" i="2" s="1"/>
  <c r="Z136" i="2"/>
  <c r="AA136" i="2" s="1"/>
  <c r="K138" i="2"/>
  <c r="F144" i="2"/>
  <c r="G144" i="2"/>
  <c r="Y133" i="2"/>
  <c r="F133" i="6" s="1"/>
  <c r="Z134" i="2"/>
  <c r="AA134" i="2" s="1"/>
  <c r="E134" i="6"/>
  <c r="L136" i="2"/>
  <c r="M136" i="2" s="1"/>
  <c r="T137" i="2"/>
  <c r="AF141" i="2"/>
  <c r="AH141" i="2" s="1"/>
  <c r="I141" i="6" s="1"/>
  <c r="AE141" i="2"/>
  <c r="G132" i="2"/>
  <c r="O132" i="2" s="1"/>
  <c r="C132" i="6" s="1"/>
  <c r="Z133" i="2"/>
  <c r="AA133" i="2" s="1"/>
  <c r="F134" i="2"/>
  <c r="Y134" i="2"/>
  <c r="F134" i="6" s="1"/>
  <c r="D136" i="2"/>
  <c r="AF136" i="2"/>
  <c r="AG136" i="2" s="1"/>
  <c r="G140" i="2"/>
  <c r="F140" i="2"/>
  <c r="E145" i="6"/>
  <c r="Z145" i="2"/>
  <c r="AA145" i="2" s="1"/>
  <c r="Y145" i="2"/>
  <c r="F145" i="6" s="1"/>
  <c r="Y132" i="2"/>
  <c r="F132" i="6" s="1"/>
  <c r="E132" i="6"/>
  <c r="J139" i="2"/>
  <c r="J146" i="2"/>
  <c r="K146" i="2" s="1"/>
  <c r="E138" i="6"/>
  <c r="E146" i="6"/>
  <c r="L133" i="2"/>
  <c r="M133" i="2" s="1"/>
  <c r="K133" i="2"/>
  <c r="H131" i="2"/>
  <c r="O131" i="2"/>
  <c r="C131" i="6" s="1"/>
  <c r="AG131" i="2"/>
  <c r="AH131" i="2"/>
  <c r="P132" i="2"/>
  <c r="D132" i="6" s="1"/>
  <c r="Q132" i="2"/>
  <c r="R132" i="2" s="1"/>
  <c r="AA131" i="2"/>
  <c r="U132" i="2"/>
  <c r="AJ131" i="2"/>
  <c r="K131" i="6" s="1"/>
  <c r="V131" i="2"/>
  <c r="L132" i="2"/>
  <c r="M132" i="2" s="1"/>
  <c r="K132" i="2"/>
  <c r="Q133" i="2"/>
  <c r="R133" i="2" s="1"/>
  <c r="P133" i="2"/>
  <c r="D133" i="6" s="1"/>
  <c r="U135" i="2"/>
  <c r="T135" i="2"/>
  <c r="J137" i="2"/>
  <c r="D137" i="2"/>
  <c r="Z139" i="2"/>
  <c r="Y139" i="2"/>
  <c r="F139" i="6" s="1"/>
  <c r="H132" i="2"/>
  <c r="AL133" i="2"/>
  <c r="AM133" i="2" s="1"/>
  <c r="AA138" i="2"/>
  <c r="AH138" i="2"/>
  <c r="F131" i="2"/>
  <c r="Y131" i="2"/>
  <c r="F131" i="6" s="1"/>
  <c r="AE131" i="2"/>
  <c r="D133" i="2"/>
  <c r="H133" i="2"/>
  <c r="V133" i="2"/>
  <c r="AG133" i="2"/>
  <c r="AN133" i="2"/>
  <c r="G133" i="6" s="1"/>
  <c r="K134" i="2"/>
  <c r="AE134" i="2"/>
  <c r="G135" i="2"/>
  <c r="F135" i="2"/>
  <c r="Z135" i="2"/>
  <c r="Y135" i="2"/>
  <c r="F135" i="6" s="1"/>
  <c r="Q136" i="2"/>
  <c r="R136" i="2" s="1"/>
  <c r="V137" i="2"/>
  <c r="AJ137" i="2"/>
  <c r="K137" i="6" s="1"/>
  <c r="F138" i="2"/>
  <c r="Y138" i="2"/>
  <c r="F138" i="6" s="1"/>
  <c r="L139" i="2"/>
  <c r="M139" i="2" s="1"/>
  <c r="K139" i="2"/>
  <c r="U139" i="2"/>
  <c r="T139" i="2"/>
  <c r="AF139" i="2"/>
  <c r="AE139" i="2"/>
  <c r="AH140" i="2"/>
  <c r="AG140" i="2"/>
  <c r="L135" i="2"/>
  <c r="M135" i="2" s="1"/>
  <c r="K135" i="2"/>
  <c r="G139" i="2"/>
  <c r="F139" i="2"/>
  <c r="D132" i="2"/>
  <c r="AG132" i="2"/>
  <c r="U134" i="2"/>
  <c r="AA137" i="2"/>
  <c r="O138" i="2"/>
  <c r="C138" i="6" s="1"/>
  <c r="K131" i="2"/>
  <c r="T131" i="2"/>
  <c r="AH132" i="2"/>
  <c r="O134" i="2"/>
  <c r="C134" i="6" s="1"/>
  <c r="AH134" i="2"/>
  <c r="H136" i="2"/>
  <c r="O137" i="2"/>
  <c r="C137" i="6" s="1"/>
  <c r="H137" i="2"/>
  <c r="U138" i="2"/>
  <c r="AF135" i="2"/>
  <c r="AE135" i="2"/>
  <c r="AH137" i="2"/>
  <c r="I137" i="6" s="1"/>
  <c r="AG137" i="2"/>
  <c r="V141" i="2"/>
  <c r="J141" i="2"/>
  <c r="D141" i="2"/>
  <c r="AG141" i="2"/>
  <c r="F142" i="2"/>
  <c r="G142" i="2"/>
  <c r="Y142" i="2"/>
  <c r="F142" i="6" s="1"/>
  <c r="Z142" i="2"/>
  <c r="Q143" i="2"/>
  <c r="R143" i="2" s="1"/>
  <c r="P143" i="2"/>
  <c r="D143" i="6" s="1"/>
  <c r="AA143" i="2"/>
  <c r="Q145" i="2"/>
  <c r="R145" i="2" s="1"/>
  <c r="P145" i="2"/>
  <c r="D145" i="6" s="1"/>
  <c r="O147" i="2"/>
  <c r="C147" i="6" s="1"/>
  <c r="H147" i="2"/>
  <c r="AH147" i="2"/>
  <c r="AG147" i="2"/>
  <c r="AA141" i="2"/>
  <c r="K142" i="2"/>
  <c r="L142" i="2"/>
  <c r="M142" i="2" s="1"/>
  <c r="AE142" i="2"/>
  <c r="AF142" i="2"/>
  <c r="AJ143" i="2"/>
  <c r="K143" i="6" s="1"/>
  <c r="AH143" i="2"/>
  <c r="D144" i="2"/>
  <c r="J144" i="2"/>
  <c r="L145" i="2"/>
  <c r="M145" i="2" s="1"/>
  <c r="K145" i="2"/>
  <c r="AN145" i="2"/>
  <c r="G145" i="6" s="1"/>
  <c r="V147" i="2"/>
  <c r="AJ147" i="2"/>
  <c r="K147" i="6" s="1"/>
  <c r="O141" i="2"/>
  <c r="C141" i="6" s="1"/>
  <c r="H141" i="2"/>
  <c r="T142" i="2"/>
  <c r="U142" i="2"/>
  <c r="H144" i="2"/>
  <c r="O144" i="2"/>
  <c r="C144" i="6" s="1"/>
  <c r="V144" i="2"/>
  <c r="AJ144" i="2"/>
  <c r="K144" i="6" s="1"/>
  <c r="AA147" i="2"/>
  <c r="F143" i="2"/>
  <c r="K143" i="2"/>
  <c r="T143" i="2"/>
  <c r="Y143" i="2"/>
  <c r="F143" i="6" s="1"/>
  <c r="AE143" i="2"/>
  <c r="D145" i="2"/>
  <c r="H145" i="2"/>
  <c r="V145" i="2"/>
  <c r="AG145" i="2"/>
  <c r="G146" i="2"/>
  <c r="L146" i="2"/>
  <c r="M146" i="2" s="1"/>
  <c r="U146" i="2"/>
  <c r="Z146" i="2"/>
  <c r="AF146" i="2"/>
  <c r="F147" i="2"/>
  <c r="K147" i="2"/>
  <c r="T147" i="2"/>
  <c r="Y147" i="2"/>
  <c r="F147" i="6" s="1"/>
  <c r="AE147" i="2"/>
  <c r="AL145" i="2"/>
  <c r="AM145" i="2" s="1"/>
  <c r="AA144" i="2"/>
  <c r="S129" i="6"/>
  <c r="E129" i="6"/>
  <c r="B129" i="6"/>
  <c r="A129" i="6"/>
  <c r="S128" i="6"/>
  <c r="B128" i="6"/>
  <c r="A128" i="6"/>
  <c r="S127" i="6"/>
  <c r="B127" i="6"/>
  <c r="A127" i="6"/>
  <c r="S126" i="6"/>
  <c r="E126" i="6"/>
  <c r="B126" i="6"/>
  <c r="A126" i="6"/>
  <c r="S125" i="6"/>
  <c r="E125" i="6"/>
  <c r="B125" i="6"/>
  <c r="A125" i="6"/>
  <c r="S124" i="6"/>
  <c r="B124" i="6"/>
  <c r="A124" i="6"/>
  <c r="S123" i="6"/>
  <c r="F123" i="6"/>
  <c r="B123" i="6"/>
  <c r="A123" i="6"/>
  <c r="S122" i="6"/>
  <c r="B122" i="6"/>
  <c r="A122" i="6"/>
  <c r="S121" i="6"/>
  <c r="E121" i="6"/>
  <c r="B121" i="6"/>
  <c r="A121" i="6"/>
  <c r="S120" i="6"/>
  <c r="B120" i="6"/>
  <c r="A120" i="6"/>
  <c r="S119" i="6"/>
  <c r="F119" i="6"/>
  <c r="C119" i="6"/>
  <c r="B119" i="6"/>
  <c r="A119" i="6"/>
  <c r="S118" i="6"/>
  <c r="E118" i="6"/>
  <c r="B118" i="6"/>
  <c r="A118" i="6"/>
  <c r="S117" i="6"/>
  <c r="E117" i="6"/>
  <c r="B117" i="6"/>
  <c r="A117" i="6"/>
  <c r="S116" i="6"/>
  <c r="B116" i="6"/>
  <c r="A116" i="6"/>
  <c r="S115" i="6"/>
  <c r="B115" i="6"/>
  <c r="A115" i="6"/>
  <c r="S114" i="6"/>
  <c r="B114" i="6"/>
  <c r="A114" i="6"/>
  <c r="S113" i="6"/>
  <c r="B113" i="6"/>
  <c r="A113" i="6"/>
  <c r="BB129" i="2"/>
  <c r="BA129" i="2"/>
  <c r="AV129" i="2"/>
  <c r="AD129" i="2"/>
  <c r="AF129" i="2" s="1"/>
  <c r="X129" i="2"/>
  <c r="Z129" i="2" s="1"/>
  <c r="S129" i="2"/>
  <c r="F129" i="2"/>
  <c r="E129" i="2"/>
  <c r="G129" i="2" s="1"/>
  <c r="C129" i="2"/>
  <c r="D129" i="2" s="1"/>
  <c r="B129" i="2"/>
  <c r="A129" i="2"/>
  <c r="BB128" i="2"/>
  <c r="BA128" i="2"/>
  <c r="AV128" i="2"/>
  <c r="AD128" i="2"/>
  <c r="AE128" i="2" s="1"/>
  <c r="X128" i="2"/>
  <c r="S128" i="2"/>
  <c r="T128" i="2" s="1"/>
  <c r="E128" i="2"/>
  <c r="F128" i="2" s="1"/>
  <c r="C128" i="2"/>
  <c r="J128" i="2" s="1"/>
  <c r="B128" i="2"/>
  <c r="A128" i="2"/>
  <c r="BB127" i="2"/>
  <c r="BA127" i="2"/>
  <c r="AV127" i="2"/>
  <c r="AD127" i="2"/>
  <c r="AF127" i="2" s="1"/>
  <c r="AG127" i="2" s="1"/>
  <c r="X127" i="2"/>
  <c r="S127" i="2"/>
  <c r="U127" i="2" s="1"/>
  <c r="E127" i="2"/>
  <c r="G127" i="2" s="1"/>
  <c r="C127" i="2"/>
  <c r="J127" i="2" s="1"/>
  <c r="B127" i="2"/>
  <c r="A127" i="2"/>
  <c r="BB126" i="2"/>
  <c r="BA126" i="2"/>
  <c r="AV126" i="2"/>
  <c r="AD126" i="2"/>
  <c r="X126" i="2"/>
  <c r="S126" i="2"/>
  <c r="J126" i="2"/>
  <c r="E126" i="2"/>
  <c r="C126" i="2"/>
  <c r="D126" i="2" s="1"/>
  <c r="B126" i="2"/>
  <c r="A126" i="2"/>
  <c r="BB125" i="2"/>
  <c r="BA125" i="2"/>
  <c r="AV125" i="2"/>
  <c r="AD125" i="2"/>
  <c r="AF125" i="2" s="1"/>
  <c r="Y125" i="2"/>
  <c r="F125" i="6" s="1"/>
  <c r="X125" i="2"/>
  <c r="Z125" i="2" s="1"/>
  <c r="T125" i="2"/>
  <c r="S125" i="2"/>
  <c r="U125" i="2" s="1"/>
  <c r="E125" i="2"/>
  <c r="C125" i="2"/>
  <c r="D125" i="2" s="1"/>
  <c r="B125" i="2"/>
  <c r="A125" i="2"/>
  <c r="BB124" i="2"/>
  <c r="BA124" i="2"/>
  <c r="AV124" i="2"/>
  <c r="AD124" i="2"/>
  <c r="AE124" i="2" s="1"/>
  <c r="X124" i="2"/>
  <c r="S124" i="2"/>
  <c r="T124" i="2" s="1"/>
  <c r="E124" i="2"/>
  <c r="F124" i="2" s="1"/>
  <c r="C124" i="2"/>
  <c r="D124" i="2" s="1"/>
  <c r="B124" i="2"/>
  <c r="A124" i="2"/>
  <c r="BB123" i="2"/>
  <c r="BA123" i="2"/>
  <c r="AV123" i="2"/>
  <c r="AD123" i="2"/>
  <c r="AE123" i="2" s="1"/>
  <c r="Z123" i="2"/>
  <c r="AA123" i="2" s="1"/>
  <c r="X123" i="2"/>
  <c r="Y123" i="2" s="1"/>
  <c r="S123" i="2"/>
  <c r="E123" i="2"/>
  <c r="D123" i="2"/>
  <c r="C123" i="2"/>
  <c r="J123" i="2" s="1"/>
  <c r="B123" i="2"/>
  <c r="A123" i="2"/>
  <c r="BB122" i="2"/>
  <c r="BA122" i="2"/>
  <c r="AV122" i="2"/>
  <c r="AD122" i="2"/>
  <c r="X122" i="2"/>
  <c r="E122" i="6" s="1"/>
  <c r="S122" i="2"/>
  <c r="E122" i="2"/>
  <c r="D122" i="2"/>
  <c r="C122" i="2"/>
  <c r="J122" i="2" s="1"/>
  <c r="B122" i="2"/>
  <c r="A122" i="2"/>
  <c r="BB121" i="2"/>
  <c r="BA121" i="2"/>
  <c r="AV121" i="2"/>
  <c r="AD121" i="2"/>
  <c r="AF121" i="2" s="1"/>
  <c r="Y121" i="2"/>
  <c r="F121" i="6" s="1"/>
  <c r="X121" i="2"/>
  <c r="Z121" i="2" s="1"/>
  <c r="S121" i="2"/>
  <c r="U121" i="2" s="1"/>
  <c r="E121" i="2"/>
  <c r="G121" i="2" s="1"/>
  <c r="C121" i="2"/>
  <c r="D121" i="2" s="1"/>
  <c r="B121" i="2"/>
  <c r="A121" i="2"/>
  <c r="BB120" i="2"/>
  <c r="BA120" i="2"/>
  <c r="AV120" i="2"/>
  <c r="AD120" i="2"/>
  <c r="AE120" i="2" s="1"/>
  <c r="X120" i="2"/>
  <c r="Y120" i="2" s="1"/>
  <c r="F120" i="6" s="1"/>
  <c r="S120" i="2"/>
  <c r="E120" i="2"/>
  <c r="F120" i="2" s="1"/>
  <c r="C120" i="2"/>
  <c r="B120" i="2"/>
  <c r="A120" i="2"/>
  <c r="BB119" i="2"/>
  <c r="BA119" i="2"/>
  <c r="AV119" i="2"/>
  <c r="AF119" i="2"/>
  <c r="AG119" i="2" s="1"/>
  <c r="AD119" i="2"/>
  <c r="AE119" i="2" s="1"/>
  <c r="AA119" i="2"/>
  <c r="Z119" i="2"/>
  <c r="Y119" i="2"/>
  <c r="X119" i="2"/>
  <c r="E119" i="6" s="1"/>
  <c r="V119" i="2"/>
  <c r="AK119" i="2" s="1"/>
  <c r="L119" i="6" s="1"/>
  <c r="U119" i="2"/>
  <c r="T119" i="2"/>
  <c r="S119" i="2"/>
  <c r="G119" i="2"/>
  <c r="O119" i="2" s="1"/>
  <c r="Q119" i="2" s="1"/>
  <c r="R119" i="2" s="1"/>
  <c r="F119" i="2"/>
  <c r="E119" i="2"/>
  <c r="C119" i="2"/>
  <c r="J119" i="2" s="1"/>
  <c r="K119" i="2" s="1"/>
  <c r="B119" i="2"/>
  <c r="A119" i="2"/>
  <c r="BB118" i="2"/>
  <c r="BA118" i="2"/>
  <c r="AV118" i="2"/>
  <c r="AD118" i="2"/>
  <c r="AE118" i="2" s="1"/>
  <c r="X118" i="2"/>
  <c r="S118" i="2"/>
  <c r="T118" i="2" s="1"/>
  <c r="E118" i="2"/>
  <c r="C118" i="2"/>
  <c r="B118" i="2"/>
  <c r="A118" i="2"/>
  <c r="BB117" i="2"/>
  <c r="BA117" i="2"/>
  <c r="AV117" i="2"/>
  <c r="AD117" i="2"/>
  <c r="AF117" i="2" s="1"/>
  <c r="X117" i="2"/>
  <c r="S117" i="2"/>
  <c r="U117" i="2" s="1"/>
  <c r="H117" i="2"/>
  <c r="E117" i="2"/>
  <c r="G117" i="2" s="1"/>
  <c r="O117" i="2" s="1"/>
  <c r="C117" i="6" s="1"/>
  <c r="C117" i="2"/>
  <c r="D117" i="2" s="1"/>
  <c r="B117" i="2"/>
  <c r="A117" i="2"/>
  <c r="BB116" i="2"/>
  <c r="BA116" i="2"/>
  <c r="AV116" i="2"/>
  <c r="AD116" i="2"/>
  <c r="AF116" i="2" s="1"/>
  <c r="X116" i="2"/>
  <c r="E116" i="6" s="1"/>
  <c r="T116" i="2"/>
  <c r="S116" i="2"/>
  <c r="E116" i="2"/>
  <c r="C116" i="2"/>
  <c r="B116" i="2"/>
  <c r="A116" i="2"/>
  <c r="BB115" i="2"/>
  <c r="BA115" i="2"/>
  <c r="AV115" i="2"/>
  <c r="AE115" i="2"/>
  <c r="AD115" i="2"/>
  <c r="AF115" i="2" s="1"/>
  <c r="X115" i="2"/>
  <c r="U115" i="2"/>
  <c r="T115" i="2"/>
  <c r="S115" i="2"/>
  <c r="E115" i="2"/>
  <c r="C115" i="2"/>
  <c r="D115" i="2" s="1"/>
  <c r="B115" i="2"/>
  <c r="A115" i="2"/>
  <c r="BB114" i="2"/>
  <c r="BA114" i="2"/>
  <c r="AV114" i="2"/>
  <c r="AD114" i="2"/>
  <c r="AF114" i="2" s="1"/>
  <c r="AG114" i="2" s="1"/>
  <c r="Z114" i="2"/>
  <c r="AA114" i="2" s="1"/>
  <c r="Y114" i="2"/>
  <c r="F114" i="6" s="1"/>
  <c r="X114" i="2"/>
  <c r="E114" i="6" s="1"/>
  <c r="S114" i="2"/>
  <c r="T114" i="2" s="1"/>
  <c r="L114" i="2"/>
  <c r="M114" i="2" s="1"/>
  <c r="E114" i="2"/>
  <c r="C114" i="2"/>
  <c r="J114" i="2" s="1"/>
  <c r="K114" i="2" s="1"/>
  <c r="B114" i="2"/>
  <c r="A114" i="2"/>
  <c r="BB113" i="2"/>
  <c r="BA113" i="2"/>
  <c r="AV113" i="2"/>
  <c r="AD113" i="2"/>
  <c r="AE113" i="2" s="1"/>
  <c r="X113" i="2"/>
  <c r="Y113" i="2" s="1"/>
  <c r="F113" i="6" s="1"/>
  <c r="S113" i="2"/>
  <c r="T113" i="2" s="1"/>
  <c r="E113" i="2"/>
  <c r="F113" i="2" s="1"/>
  <c r="D113" i="2"/>
  <c r="C113" i="2"/>
  <c r="J113" i="2" s="1"/>
  <c r="K113" i="2" s="1"/>
  <c r="B113" i="2"/>
  <c r="A113" i="2"/>
  <c r="AP133" i="2"/>
  <c r="AP145" i="2"/>
  <c r="AW151" i="2"/>
  <c r="AP151" i="2"/>
  <c r="AX154" i="2"/>
  <c r="AQ154" i="2"/>
  <c r="AX164" i="2"/>
  <c r="AQ164" i="2"/>
  <c r="AX160" i="2"/>
  <c r="AQ160" i="2"/>
  <c r="AR160" i="2" l="1"/>
  <c r="AZ160" i="2"/>
  <c r="AR164" i="2"/>
  <c r="AZ164" i="2"/>
  <c r="AR154" i="2"/>
  <c r="AZ154" i="2"/>
  <c r="BF164" i="2"/>
  <c r="BG164" i="2"/>
  <c r="BD164" i="2"/>
  <c r="BF156" i="2"/>
  <c r="BG156" i="2"/>
  <c r="BD156" i="2"/>
  <c r="AY154" i="2"/>
  <c r="BF160" i="2"/>
  <c r="BG160" i="2"/>
  <c r="BE151" i="2"/>
  <c r="BC151" i="2"/>
  <c r="AO151" i="2"/>
  <c r="R150" i="2"/>
  <c r="AS150" i="2"/>
  <c r="AL150" i="2"/>
  <c r="BG149" i="2"/>
  <c r="BF149" i="2"/>
  <c r="BD149" i="2"/>
  <c r="AT151" i="2"/>
  <c r="M145" i="6"/>
  <c r="M133" i="6"/>
  <c r="AI134" i="2"/>
  <c r="J134" i="6" s="1"/>
  <c r="I134" i="6"/>
  <c r="AI138" i="2"/>
  <c r="J138" i="6" s="1"/>
  <c r="I138" i="6"/>
  <c r="AI143" i="2"/>
  <c r="J143" i="6" s="1"/>
  <c r="I143" i="6"/>
  <c r="AI147" i="2"/>
  <c r="J147" i="6" s="1"/>
  <c r="I147" i="6"/>
  <c r="AH136" i="2"/>
  <c r="AS132" i="2"/>
  <c r="AT132" i="2" s="1"/>
  <c r="AI140" i="2"/>
  <c r="J140" i="6" s="1"/>
  <c r="I140" i="6"/>
  <c r="P136" i="2"/>
  <c r="D136" i="6" s="1"/>
  <c r="C136" i="6"/>
  <c r="AH145" i="2"/>
  <c r="AL136" i="2"/>
  <c r="AI131" i="2"/>
  <c r="J131" i="6" s="1"/>
  <c r="I131" i="6"/>
  <c r="AS145" i="2"/>
  <c r="AT145" i="2" s="1"/>
  <c r="AI132" i="2"/>
  <c r="J132" i="6" s="1"/>
  <c r="I132" i="6"/>
  <c r="AH133" i="2"/>
  <c r="I133" i="6" s="1"/>
  <c r="O140" i="2"/>
  <c r="H140" i="2"/>
  <c r="AK145" i="2"/>
  <c r="L145" i="6" s="1"/>
  <c r="Q141" i="2"/>
  <c r="P141" i="2"/>
  <c r="D141" i="6" s="1"/>
  <c r="AK141" i="2"/>
  <c r="L141" i="6" s="1"/>
  <c r="V138" i="2"/>
  <c r="AJ138" i="2"/>
  <c r="K138" i="6" s="1"/>
  <c r="AM136" i="2"/>
  <c r="V134" i="2"/>
  <c r="AJ134" i="2"/>
  <c r="K134" i="6" s="1"/>
  <c r="AK133" i="2"/>
  <c r="L133" i="6" s="1"/>
  <c r="AA139" i="2"/>
  <c r="AJ135" i="2"/>
  <c r="K135" i="6" s="1"/>
  <c r="U136" i="2"/>
  <c r="V135" i="2"/>
  <c r="AJ132" i="2"/>
  <c r="K132" i="6" s="1"/>
  <c r="V132" i="2"/>
  <c r="Q131" i="2"/>
  <c r="P131" i="2"/>
  <c r="D131" i="6" s="1"/>
  <c r="AH146" i="2"/>
  <c r="I146" i="6" s="1"/>
  <c r="AG146" i="2"/>
  <c r="O146" i="2"/>
  <c r="C146" i="6" s="1"/>
  <c r="H146" i="2"/>
  <c r="V142" i="2"/>
  <c r="AJ142" i="2"/>
  <c r="K142" i="6" s="1"/>
  <c r="AO145" i="2"/>
  <c r="H145" i="6" s="1"/>
  <c r="K144" i="2"/>
  <c r="L144" i="2"/>
  <c r="M144" i="2" s="1"/>
  <c r="AL143" i="2"/>
  <c r="AM143" i="2" s="1"/>
  <c r="AA142" i="2"/>
  <c r="Q134" i="2"/>
  <c r="P134" i="2"/>
  <c r="D134" i="6" s="1"/>
  <c r="Q138" i="2"/>
  <c r="P138" i="2"/>
  <c r="D138" i="6" s="1"/>
  <c r="AS133" i="2"/>
  <c r="AG139" i="2"/>
  <c r="AH139" i="2"/>
  <c r="I139" i="6" s="1"/>
  <c r="AK137" i="2"/>
  <c r="L137" i="6" s="1"/>
  <c r="AA135" i="2"/>
  <c r="AS136" i="2"/>
  <c r="AL132" i="2"/>
  <c r="AI144" i="2"/>
  <c r="J144" i="6" s="1"/>
  <c r="AG142" i="2"/>
  <c r="AH142" i="2"/>
  <c r="AA146" i="2"/>
  <c r="AK144" i="2"/>
  <c r="L144" i="6" s="1"/>
  <c r="AK147" i="2"/>
  <c r="L147" i="6" s="1"/>
  <c r="L141" i="2"/>
  <c r="M141" i="2" s="1"/>
  <c r="K141" i="2"/>
  <c r="AG135" i="2"/>
  <c r="AH135" i="2"/>
  <c r="I135" i="6" s="1"/>
  <c r="Q137" i="2"/>
  <c r="P137" i="2"/>
  <c r="D137" i="6" s="1"/>
  <c r="H139" i="2"/>
  <c r="O139" i="2"/>
  <c r="C139" i="6" s="1"/>
  <c r="AO133" i="2"/>
  <c r="H133" i="6" s="1"/>
  <c r="K137" i="2"/>
  <c r="L137" i="2"/>
  <c r="M137" i="2" s="1"/>
  <c r="AK131" i="2"/>
  <c r="L131" i="6" s="1"/>
  <c r="V146" i="2"/>
  <c r="AJ146" i="2"/>
  <c r="K146" i="6" s="1"/>
  <c r="P144" i="2"/>
  <c r="D144" i="6" s="1"/>
  <c r="Q144" i="2"/>
  <c r="AN143" i="2"/>
  <c r="G143" i="6" s="1"/>
  <c r="Q147" i="2"/>
  <c r="P147" i="2"/>
  <c r="D147" i="6" s="1"/>
  <c r="H142" i="2"/>
  <c r="O142" i="2"/>
  <c r="C142" i="6" s="1"/>
  <c r="AI141" i="2"/>
  <c r="J141" i="6" s="1"/>
  <c r="AS143" i="2"/>
  <c r="AI137" i="2"/>
  <c r="J137" i="6" s="1"/>
  <c r="AJ139" i="2"/>
  <c r="K139" i="6" s="1"/>
  <c r="U140" i="2"/>
  <c r="V139" i="2"/>
  <c r="H135" i="2"/>
  <c r="O135" i="2"/>
  <c r="C135" i="6" s="1"/>
  <c r="AF128" i="2"/>
  <c r="AL128" i="2" s="1"/>
  <c r="AE125" i="2"/>
  <c r="AF124" i="2"/>
  <c r="AF123" i="2"/>
  <c r="AG123" i="2" s="1"/>
  <c r="AE114" i="2"/>
  <c r="L119" i="2"/>
  <c r="M119" i="2" s="1"/>
  <c r="T120" i="2"/>
  <c r="U120" i="2"/>
  <c r="Y124" i="2"/>
  <c r="F124" i="6" s="1"/>
  <c r="E124" i="6"/>
  <c r="Z124" i="2"/>
  <c r="AH124" i="2" s="1"/>
  <c r="J117" i="2"/>
  <c r="G125" i="2"/>
  <c r="H125" i="2" s="1"/>
  <c r="F125" i="2"/>
  <c r="O127" i="2"/>
  <c r="C127" i="6" s="1"/>
  <c r="H127" i="2"/>
  <c r="AE129" i="2"/>
  <c r="F115" i="2"/>
  <c r="G115" i="2"/>
  <c r="H115" i="2" s="1"/>
  <c r="D116" i="2"/>
  <c r="J116" i="2"/>
  <c r="L116" i="2" s="1"/>
  <c r="M116" i="2" s="1"/>
  <c r="D118" i="2"/>
  <c r="J118" i="2"/>
  <c r="K118" i="2" s="1"/>
  <c r="F123" i="2"/>
  <c r="G123" i="2"/>
  <c r="G124" i="2"/>
  <c r="H124" i="2" s="1"/>
  <c r="AJ127" i="2"/>
  <c r="K127" i="6" s="1"/>
  <c r="V127" i="2"/>
  <c r="AK127" i="2" s="1"/>
  <c r="L127" i="6" s="1"/>
  <c r="AE127" i="2"/>
  <c r="U129" i="2"/>
  <c r="T129" i="2"/>
  <c r="G114" i="2"/>
  <c r="O114" i="2" s="1"/>
  <c r="F114" i="2"/>
  <c r="Z117" i="2"/>
  <c r="AA117" i="2" s="1"/>
  <c r="Y117" i="2"/>
  <c r="F117" i="6" s="1"/>
  <c r="T121" i="2"/>
  <c r="AE121" i="2"/>
  <c r="T123" i="2"/>
  <c r="U123" i="2"/>
  <c r="U122" i="2" s="1"/>
  <c r="T127" i="2"/>
  <c r="E113" i="6"/>
  <c r="E127" i="6"/>
  <c r="Z127" i="2"/>
  <c r="AA127" i="2" s="1"/>
  <c r="Y128" i="2"/>
  <c r="F128" i="6" s="1"/>
  <c r="E128" i="6"/>
  <c r="Z128" i="2"/>
  <c r="Y115" i="2"/>
  <c r="F115" i="6" s="1"/>
  <c r="E115" i="6"/>
  <c r="AH117" i="2"/>
  <c r="I117" i="6" s="1"/>
  <c r="AG117" i="2"/>
  <c r="Z115" i="2"/>
  <c r="AH115" i="2" s="1"/>
  <c r="I115" i="6" s="1"/>
  <c r="F117" i="2"/>
  <c r="AE117" i="2"/>
  <c r="AF120" i="2"/>
  <c r="AG120" i="2" s="1"/>
  <c r="F121" i="2"/>
  <c r="F127" i="2"/>
  <c r="Y127" i="2"/>
  <c r="F127" i="6" s="1"/>
  <c r="J121" i="2"/>
  <c r="J124" i="2"/>
  <c r="K124" i="2" s="1"/>
  <c r="J125" i="2"/>
  <c r="J129" i="2"/>
  <c r="E120" i="6"/>
  <c r="D127" i="2"/>
  <c r="G128" i="2"/>
  <c r="O128" i="2" s="1"/>
  <c r="C128" i="6" s="1"/>
  <c r="Y129" i="2"/>
  <c r="F129" i="6" s="1"/>
  <c r="E123" i="6"/>
  <c r="Z126" i="2"/>
  <c r="Y126" i="2"/>
  <c r="F126" i="6" s="1"/>
  <c r="K128" i="2"/>
  <c r="L128" i="2"/>
  <c r="M128" i="2" s="1"/>
  <c r="AG124" i="2"/>
  <c r="AA125" i="2"/>
  <c r="L126" i="2"/>
  <c r="M126" i="2" s="1"/>
  <c r="K126" i="2"/>
  <c r="AF126" i="2"/>
  <c r="AE126" i="2"/>
  <c r="L127" i="2"/>
  <c r="M127" i="2" s="1"/>
  <c r="K127" i="2"/>
  <c r="Q127" i="2"/>
  <c r="AN127" i="2" s="1"/>
  <c r="G127" i="6" s="1"/>
  <c r="AA129" i="2"/>
  <c r="L124" i="2"/>
  <c r="M124" i="2" s="1"/>
  <c r="O125" i="2"/>
  <c r="C125" i="6" s="1"/>
  <c r="P128" i="2"/>
  <c r="D128" i="6" s="1"/>
  <c r="Q128" i="2"/>
  <c r="R128" i="2" s="1"/>
  <c r="O124" i="2"/>
  <c r="C124" i="6" s="1"/>
  <c r="G126" i="2"/>
  <c r="F126" i="2"/>
  <c r="AA124" i="2"/>
  <c r="V125" i="2"/>
  <c r="AJ125" i="2"/>
  <c r="K125" i="6" s="1"/>
  <c r="AH125" i="2"/>
  <c r="AG125" i="2"/>
  <c r="U126" i="2"/>
  <c r="T126" i="2"/>
  <c r="O129" i="2"/>
  <c r="C129" i="6" s="1"/>
  <c r="H129" i="2"/>
  <c r="V129" i="2"/>
  <c r="AJ129" i="2"/>
  <c r="K129" i="6" s="1"/>
  <c r="U128" i="2"/>
  <c r="AH129" i="2"/>
  <c r="I129" i="6" s="1"/>
  <c r="AG129" i="2"/>
  <c r="D128" i="2"/>
  <c r="H128" i="2"/>
  <c r="AA128" i="2"/>
  <c r="AG128" i="2"/>
  <c r="G116" i="2"/>
  <c r="F116" i="2"/>
  <c r="L113" i="2"/>
  <c r="M113" i="2" s="1"/>
  <c r="AF113" i="2"/>
  <c r="J115" i="2"/>
  <c r="V115" i="2"/>
  <c r="AJ115" i="2"/>
  <c r="K115" i="6" s="1"/>
  <c r="AJ117" i="2"/>
  <c r="K117" i="6" s="1"/>
  <c r="U118" i="2"/>
  <c r="V117" i="2"/>
  <c r="F118" i="2"/>
  <c r="G118" i="2"/>
  <c r="G113" i="2"/>
  <c r="Z113" i="2"/>
  <c r="D114" i="2"/>
  <c r="H114" i="2"/>
  <c r="P114" i="2"/>
  <c r="D114" i="6" s="1"/>
  <c r="AE116" i="2"/>
  <c r="T117" i="2"/>
  <c r="AF118" i="2"/>
  <c r="O121" i="2"/>
  <c r="C121" i="6" s="1"/>
  <c r="H121" i="2"/>
  <c r="K122" i="2"/>
  <c r="L122" i="2"/>
  <c r="M122" i="2" s="1"/>
  <c r="U113" i="2"/>
  <c r="AH114" i="2"/>
  <c r="AG115" i="2"/>
  <c r="U116" i="2"/>
  <c r="L118" i="2"/>
  <c r="M118" i="2" s="1"/>
  <c r="D120" i="2"/>
  <c r="J120" i="2"/>
  <c r="V120" i="2"/>
  <c r="AJ120" i="2"/>
  <c r="K120" i="6" s="1"/>
  <c r="Z116" i="2"/>
  <c r="Y116" i="2"/>
  <c r="F116" i="6" s="1"/>
  <c r="Q117" i="2"/>
  <c r="P117" i="2"/>
  <c r="D117" i="6" s="1"/>
  <c r="Y118" i="2"/>
  <c r="F118" i="6" s="1"/>
  <c r="Z118" i="2"/>
  <c r="AA115" i="2"/>
  <c r="AG116" i="2"/>
  <c r="AH116" i="2"/>
  <c r="I116" i="6" s="1"/>
  <c r="AS119" i="2"/>
  <c r="AE122" i="2"/>
  <c r="AF122" i="2"/>
  <c r="AJ121" i="2"/>
  <c r="K121" i="6" s="1"/>
  <c r="V121" i="2"/>
  <c r="AH121" i="2"/>
  <c r="I121" i="6" s="1"/>
  <c r="AG121" i="2"/>
  <c r="L123" i="2"/>
  <c r="M123" i="2" s="1"/>
  <c r="K123" i="2"/>
  <c r="AN117" i="2"/>
  <c r="G117" i="6" s="1"/>
  <c r="D119" i="2"/>
  <c r="H119" i="2"/>
  <c r="P119" i="2"/>
  <c r="D119" i="6" s="1"/>
  <c r="G120" i="2"/>
  <c r="Z120" i="2"/>
  <c r="T122" i="2"/>
  <c r="AJ119" i="2"/>
  <c r="K119" i="6" s="1"/>
  <c r="AL119" i="2"/>
  <c r="AM119" i="2" s="1"/>
  <c r="AA121" i="2"/>
  <c r="F122" i="2"/>
  <c r="G122" i="2"/>
  <c r="Y122" i="2"/>
  <c r="F122" i="6" s="1"/>
  <c r="Z122" i="2"/>
  <c r="AN119" i="2"/>
  <c r="G119" i="6" s="1"/>
  <c r="AJ123" i="2"/>
  <c r="K123" i="6" s="1"/>
  <c r="AH119" i="2"/>
  <c r="AH123" i="2"/>
  <c r="S111" i="6"/>
  <c r="L111" i="6"/>
  <c r="K111" i="6"/>
  <c r="F111" i="6"/>
  <c r="E111" i="6"/>
  <c r="D111" i="6"/>
  <c r="C111" i="6"/>
  <c r="B111" i="6"/>
  <c r="A111" i="6"/>
  <c r="S110" i="6"/>
  <c r="L110" i="6"/>
  <c r="K110" i="6"/>
  <c r="F110" i="6"/>
  <c r="E110" i="6"/>
  <c r="D110" i="6"/>
  <c r="C110" i="6"/>
  <c r="B110" i="6"/>
  <c r="A110" i="6"/>
  <c r="S109" i="6"/>
  <c r="L109" i="6"/>
  <c r="K109" i="6"/>
  <c r="F109" i="6"/>
  <c r="E109" i="6"/>
  <c r="D109" i="6"/>
  <c r="C109" i="6"/>
  <c r="B109" i="6"/>
  <c r="A109" i="6"/>
  <c r="S108" i="6"/>
  <c r="L108" i="6"/>
  <c r="K108" i="6"/>
  <c r="F108" i="6"/>
  <c r="E108" i="6"/>
  <c r="D108" i="6"/>
  <c r="C108" i="6"/>
  <c r="B108" i="6"/>
  <c r="A108" i="6"/>
  <c r="S107" i="6"/>
  <c r="L107" i="6"/>
  <c r="K107" i="6"/>
  <c r="F107" i="6"/>
  <c r="E107" i="6"/>
  <c r="D107" i="6"/>
  <c r="C107" i="6"/>
  <c r="B107" i="6"/>
  <c r="A107" i="6"/>
  <c r="S106" i="6"/>
  <c r="L106" i="6"/>
  <c r="K106" i="6"/>
  <c r="F106" i="6"/>
  <c r="E106" i="6"/>
  <c r="D106" i="6"/>
  <c r="C106" i="6"/>
  <c r="B106" i="6"/>
  <c r="A106" i="6"/>
  <c r="S105" i="6"/>
  <c r="L105" i="6"/>
  <c r="K105" i="6"/>
  <c r="F105" i="6"/>
  <c r="E105" i="6"/>
  <c r="D105" i="6"/>
  <c r="C105" i="6"/>
  <c r="B105" i="6"/>
  <c r="A105" i="6"/>
  <c r="S104" i="6"/>
  <c r="L104" i="6"/>
  <c r="K104" i="6"/>
  <c r="F104" i="6"/>
  <c r="E104" i="6"/>
  <c r="D104" i="6"/>
  <c r="C104" i="6"/>
  <c r="B104" i="6"/>
  <c r="A104" i="6"/>
  <c r="S103" i="6"/>
  <c r="L103" i="6"/>
  <c r="K103" i="6"/>
  <c r="F103" i="6"/>
  <c r="E103" i="6"/>
  <c r="D103" i="6"/>
  <c r="C103" i="6"/>
  <c r="B103" i="6"/>
  <c r="A103" i="6"/>
  <c r="S102" i="6"/>
  <c r="L102" i="6"/>
  <c r="K102" i="6"/>
  <c r="F102" i="6"/>
  <c r="E102" i="6"/>
  <c r="D102" i="6"/>
  <c r="C102" i="6"/>
  <c r="B102" i="6"/>
  <c r="A102" i="6"/>
  <c r="S101" i="6"/>
  <c r="L101" i="6"/>
  <c r="K101" i="6"/>
  <c r="F101" i="6"/>
  <c r="E101" i="6"/>
  <c r="D101" i="6"/>
  <c r="C101" i="6"/>
  <c r="B101" i="6"/>
  <c r="A101" i="6"/>
  <c r="BB111" i="2"/>
  <c r="BA111" i="2"/>
  <c r="AV111" i="2"/>
  <c r="AD111" i="2"/>
  <c r="AE111" i="2" s="1"/>
  <c r="X111" i="2"/>
  <c r="S111" i="2"/>
  <c r="T111" i="2" s="1"/>
  <c r="J111" i="2"/>
  <c r="K111" i="2" s="1"/>
  <c r="E111" i="2"/>
  <c r="D111" i="2"/>
  <c r="C111" i="2"/>
  <c r="B111" i="2"/>
  <c r="A111" i="2"/>
  <c r="BB110" i="2"/>
  <c r="BA110" i="2"/>
  <c r="AV110" i="2"/>
  <c r="AH110" i="2"/>
  <c r="I110" i="6" s="1"/>
  <c r="AD110" i="2"/>
  <c r="AF110" i="2" s="1"/>
  <c r="AG110" i="2" s="1"/>
  <c r="AA110" i="2"/>
  <c r="Y110" i="2"/>
  <c r="X110" i="2"/>
  <c r="Z110" i="2" s="1"/>
  <c r="S110" i="2"/>
  <c r="O110" i="2"/>
  <c r="M110" i="2"/>
  <c r="J110" i="2"/>
  <c r="L110" i="2" s="1"/>
  <c r="H110" i="2"/>
  <c r="F110" i="2"/>
  <c r="E110" i="2"/>
  <c r="G110" i="2" s="1"/>
  <c r="D110" i="2"/>
  <c r="C110" i="2"/>
  <c r="B110" i="2"/>
  <c r="A110" i="2"/>
  <c r="BB109" i="2"/>
  <c r="BA109" i="2"/>
  <c r="AV109" i="2"/>
  <c r="AE109" i="2"/>
  <c r="AD109" i="2"/>
  <c r="AF109" i="2" s="1"/>
  <c r="X109" i="2"/>
  <c r="U109" i="2"/>
  <c r="S109" i="2"/>
  <c r="T109" i="2" s="1"/>
  <c r="J109" i="2"/>
  <c r="L109" i="2" s="1"/>
  <c r="M109" i="2" s="1"/>
  <c r="E109" i="2"/>
  <c r="C109" i="2"/>
  <c r="D109" i="2" s="1"/>
  <c r="B109" i="2"/>
  <c r="A109" i="2"/>
  <c r="BB108" i="2"/>
  <c r="BA108" i="2"/>
  <c r="AV108" i="2"/>
  <c r="AD108" i="2"/>
  <c r="AF108" i="2" s="1"/>
  <c r="Z108" i="2"/>
  <c r="AA108" i="2" s="1"/>
  <c r="Y108" i="2"/>
  <c r="X108" i="2"/>
  <c r="T108" i="2"/>
  <c r="S108" i="2"/>
  <c r="P108" i="2"/>
  <c r="G108" i="2"/>
  <c r="O108" i="2" s="1"/>
  <c r="Q108" i="2" s="1"/>
  <c r="R108" i="2" s="1"/>
  <c r="F108" i="2"/>
  <c r="E108" i="2"/>
  <c r="C108" i="2"/>
  <c r="J108" i="2" s="1"/>
  <c r="B108" i="2"/>
  <c r="A108" i="2"/>
  <c r="BB107" i="2"/>
  <c r="BA107" i="2"/>
  <c r="AV107" i="2"/>
  <c r="AF107" i="2"/>
  <c r="AG107" i="2" s="1"/>
  <c r="AD107" i="2"/>
  <c r="AE107" i="2" s="1"/>
  <c r="X107" i="2"/>
  <c r="Y107" i="2" s="1"/>
  <c r="S107" i="2"/>
  <c r="L107" i="2"/>
  <c r="M107" i="2" s="1"/>
  <c r="G107" i="2"/>
  <c r="E107" i="2"/>
  <c r="F107" i="2" s="1"/>
  <c r="C107" i="2"/>
  <c r="J107" i="2" s="1"/>
  <c r="K107" i="2" s="1"/>
  <c r="B107" i="2"/>
  <c r="A107" i="2"/>
  <c r="BB106" i="2"/>
  <c r="BA106" i="2"/>
  <c r="AV106" i="2"/>
  <c r="AD106" i="2"/>
  <c r="AA106" i="2"/>
  <c r="Y106" i="2"/>
  <c r="X106" i="2"/>
  <c r="Z106" i="2" s="1"/>
  <c r="S106" i="2"/>
  <c r="O106" i="2"/>
  <c r="Q106" i="2" s="1"/>
  <c r="R106" i="2" s="1"/>
  <c r="J106" i="2"/>
  <c r="H106" i="2"/>
  <c r="F106" i="2"/>
  <c r="E106" i="2"/>
  <c r="G106" i="2" s="1"/>
  <c r="D106" i="2"/>
  <c r="C106" i="2"/>
  <c r="B106" i="2"/>
  <c r="A106" i="2"/>
  <c r="BB105" i="2"/>
  <c r="BA105" i="2"/>
  <c r="AV105" i="2"/>
  <c r="AD105" i="2"/>
  <c r="AE105" i="2" s="1"/>
  <c r="X105" i="2"/>
  <c r="Z105" i="2" s="1"/>
  <c r="U105" i="2"/>
  <c r="S105" i="2"/>
  <c r="T105" i="2" s="1"/>
  <c r="L105" i="2"/>
  <c r="M105" i="2" s="1"/>
  <c r="J105" i="2"/>
  <c r="K105" i="2" s="1"/>
  <c r="E105" i="2"/>
  <c r="G105" i="2" s="1"/>
  <c r="C105" i="2"/>
  <c r="D105" i="2" s="1"/>
  <c r="B105" i="2"/>
  <c r="A105" i="2"/>
  <c r="BB104" i="2"/>
  <c r="BA104" i="2"/>
  <c r="AV104" i="2"/>
  <c r="AD104" i="2"/>
  <c r="AF104" i="2" s="1"/>
  <c r="Z104" i="2"/>
  <c r="AA104" i="2" s="1"/>
  <c r="Y104" i="2"/>
  <c r="X104" i="2"/>
  <c r="U104" i="2"/>
  <c r="T104" i="2"/>
  <c r="S104" i="2"/>
  <c r="G104" i="2"/>
  <c r="O104" i="2" s="1"/>
  <c r="Q104" i="2" s="1"/>
  <c r="F104" i="2"/>
  <c r="E104" i="2"/>
  <c r="C104" i="2"/>
  <c r="J104" i="2" s="1"/>
  <c r="L104" i="2" s="1"/>
  <c r="M104" i="2" s="1"/>
  <c r="B104" i="2"/>
  <c r="A104" i="2"/>
  <c r="BB103" i="2"/>
  <c r="BA103" i="2"/>
  <c r="AV103" i="2"/>
  <c r="AF103" i="2"/>
  <c r="AG103" i="2" s="1"/>
  <c r="AD103" i="2"/>
  <c r="AE103" i="2" s="1"/>
  <c r="AA103" i="2"/>
  <c r="Z103" i="2"/>
  <c r="Y103" i="2"/>
  <c r="X103" i="2"/>
  <c r="V103" i="2"/>
  <c r="AK103" i="2" s="1"/>
  <c r="U103" i="2"/>
  <c r="T103" i="2"/>
  <c r="S103" i="2"/>
  <c r="L103" i="2"/>
  <c r="M103" i="2" s="1"/>
  <c r="G103" i="2"/>
  <c r="O103" i="2" s="1"/>
  <c r="Q103" i="2" s="1"/>
  <c r="F103" i="2"/>
  <c r="E103" i="2"/>
  <c r="C103" i="2"/>
  <c r="J103" i="2" s="1"/>
  <c r="K103" i="2" s="1"/>
  <c r="B103" i="2"/>
  <c r="A103" i="2"/>
  <c r="BB102" i="2"/>
  <c r="BA102" i="2"/>
  <c r="AV102" i="2"/>
  <c r="AD102" i="2"/>
  <c r="AE102" i="2" s="1"/>
  <c r="X102" i="2"/>
  <c r="Y102" i="2" s="1"/>
  <c r="S102" i="2"/>
  <c r="T102" i="2" s="1"/>
  <c r="J102" i="2"/>
  <c r="K102" i="2" s="1"/>
  <c r="E102" i="2"/>
  <c r="F102" i="2" s="1"/>
  <c r="D102" i="2"/>
  <c r="C102" i="2"/>
  <c r="B102" i="2"/>
  <c r="A102" i="2"/>
  <c r="BB101" i="2"/>
  <c r="BA101" i="2"/>
  <c r="AV101" i="2"/>
  <c r="AD101" i="2"/>
  <c r="AF101" i="2" s="1"/>
  <c r="AH101" i="2" s="1"/>
  <c r="AA101" i="2"/>
  <c r="Y101" i="2"/>
  <c r="X101" i="2"/>
  <c r="Z101" i="2" s="1"/>
  <c r="S101" i="2"/>
  <c r="U101" i="2" s="1"/>
  <c r="AJ101" i="2" s="1"/>
  <c r="J101" i="2"/>
  <c r="L101" i="2" s="1"/>
  <c r="M101" i="2" s="1"/>
  <c r="E101" i="2"/>
  <c r="G101" i="2" s="1"/>
  <c r="D101" i="2"/>
  <c r="C101" i="2"/>
  <c r="B101" i="2"/>
  <c r="A101" i="2"/>
  <c r="AP127" i="2"/>
  <c r="AP119" i="2"/>
  <c r="AW119" i="2"/>
  <c r="AP117" i="2"/>
  <c r="AW145" i="2"/>
  <c r="AX145" i="2"/>
  <c r="AP143" i="2"/>
  <c r="AW133" i="2"/>
  <c r="AW143" i="2"/>
  <c r="AQ145" i="2"/>
  <c r="AQ133" i="2"/>
  <c r="AQ151" i="2"/>
  <c r="AX151" i="2"/>
  <c r="BG154" i="2" l="1"/>
  <c r="BF154" i="2"/>
  <c r="BD154" i="2"/>
  <c r="AZ151" i="2"/>
  <c r="AR151" i="2"/>
  <c r="AN150" i="2"/>
  <c r="AM150" i="2"/>
  <c r="AT150" i="2"/>
  <c r="AY151" i="2"/>
  <c r="I101" i="6"/>
  <c r="AE101" i="2"/>
  <c r="AG101" i="2"/>
  <c r="AI101" i="2" s="1"/>
  <c r="J101" i="6" s="1"/>
  <c r="AE104" i="2"/>
  <c r="AF105" i="2"/>
  <c r="AE108" i="2"/>
  <c r="N133" i="6"/>
  <c r="N145" i="6"/>
  <c r="O143" i="6"/>
  <c r="O133" i="6"/>
  <c r="M143" i="6"/>
  <c r="P145" i="6"/>
  <c r="O145" i="6"/>
  <c r="BE145" i="2"/>
  <c r="BC145" i="2"/>
  <c r="Q145" i="6" s="1"/>
  <c r="AY145" i="2"/>
  <c r="BF145" i="2" s="1"/>
  <c r="AI133" i="2"/>
  <c r="J133" i="6" s="1"/>
  <c r="AI136" i="2"/>
  <c r="J136" i="6" s="1"/>
  <c r="I136" i="6"/>
  <c r="AI142" i="2"/>
  <c r="J142" i="6" s="1"/>
  <c r="I142" i="6"/>
  <c r="Q140" i="2"/>
  <c r="P140" i="2"/>
  <c r="D140" i="6" s="1"/>
  <c r="C140" i="6"/>
  <c r="AI145" i="2"/>
  <c r="J145" i="6" s="1"/>
  <c r="I145" i="6"/>
  <c r="AR133" i="2"/>
  <c r="AR145" i="2"/>
  <c r="BE143" i="2"/>
  <c r="BC143" i="2"/>
  <c r="Q143" i="6" s="1"/>
  <c r="BE133" i="2"/>
  <c r="BC133" i="2"/>
  <c r="Q133" i="6" s="1"/>
  <c r="AZ145" i="2"/>
  <c r="BG145" i="2"/>
  <c r="BD145" i="2"/>
  <c r="R145" i="6" s="1"/>
  <c r="Q139" i="2"/>
  <c r="P139" i="2"/>
  <c r="D139" i="6" s="1"/>
  <c r="Q135" i="2"/>
  <c r="P135" i="2"/>
  <c r="D135" i="6" s="1"/>
  <c r="R144" i="2"/>
  <c r="AL144" i="2"/>
  <c r="AS144" i="2"/>
  <c r="R138" i="2"/>
  <c r="AL138" i="2"/>
  <c r="AS138" i="2"/>
  <c r="AK138" i="2"/>
  <c r="L138" i="6" s="1"/>
  <c r="AT143" i="2"/>
  <c r="R137" i="2"/>
  <c r="AS137" i="2"/>
  <c r="AN137" i="2"/>
  <c r="G137" i="6" s="1"/>
  <c r="AL137" i="2"/>
  <c r="AM132" i="2"/>
  <c r="AN132" i="2"/>
  <c r="G132" i="6" s="1"/>
  <c r="P146" i="2"/>
  <c r="D146" i="6" s="1"/>
  <c r="Q146" i="2"/>
  <c r="R131" i="2"/>
  <c r="AL131" i="2"/>
  <c r="AM131" i="2" s="1"/>
  <c r="AN131" i="2"/>
  <c r="G131" i="6" s="1"/>
  <c r="AS131" i="2"/>
  <c r="AK135" i="2"/>
  <c r="L135" i="6" s="1"/>
  <c r="AK139" i="2"/>
  <c r="L139" i="6" s="1"/>
  <c r="R147" i="2"/>
  <c r="AS147" i="2"/>
  <c r="AN147" i="2"/>
  <c r="G147" i="6" s="1"/>
  <c r="AL147" i="2"/>
  <c r="AM147" i="2" s="1"/>
  <c r="AI135" i="2"/>
  <c r="J135" i="6" s="1"/>
  <c r="AT136" i="2"/>
  <c r="AT133" i="2"/>
  <c r="R134" i="2"/>
  <c r="AL134" i="2"/>
  <c r="AS134" i="2"/>
  <c r="V140" i="2"/>
  <c r="AJ140" i="2"/>
  <c r="K140" i="6" s="1"/>
  <c r="P142" i="2"/>
  <c r="D142" i="6" s="1"/>
  <c r="Q142" i="2"/>
  <c r="AO143" i="2"/>
  <c r="H143" i="6" s="1"/>
  <c r="AK146" i="2"/>
  <c r="L146" i="6" s="1"/>
  <c r="AI139" i="2"/>
  <c r="J139" i="6" s="1"/>
  <c r="AK142" i="2"/>
  <c r="L142" i="6" s="1"/>
  <c r="AI146" i="2"/>
  <c r="J146" i="6" s="1"/>
  <c r="AK132" i="2"/>
  <c r="L132" i="6" s="1"/>
  <c r="AJ136" i="2"/>
  <c r="K136" i="6" s="1"/>
  <c r="V136" i="2"/>
  <c r="AK134" i="2"/>
  <c r="L134" i="6" s="1"/>
  <c r="R141" i="2"/>
  <c r="AL141" i="2"/>
  <c r="AN141" i="2"/>
  <c r="G141" i="6" s="1"/>
  <c r="AS141" i="2"/>
  <c r="AH128" i="2"/>
  <c r="I128" i="6" s="1"/>
  <c r="M117" i="6"/>
  <c r="O119" i="6"/>
  <c r="M119" i="6"/>
  <c r="M127" i="6"/>
  <c r="AI124" i="2"/>
  <c r="J124" i="6" s="1"/>
  <c r="I124" i="6"/>
  <c r="L129" i="2"/>
  <c r="M129" i="2" s="1"/>
  <c r="K129" i="2"/>
  <c r="O123" i="2"/>
  <c r="H123" i="2"/>
  <c r="AI123" i="2"/>
  <c r="J123" i="6" s="1"/>
  <c r="I123" i="6"/>
  <c r="K116" i="2"/>
  <c r="AI117" i="2"/>
  <c r="J117" i="6" s="1"/>
  <c r="L125" i="2"/>
  <c r="M125" i="2" s="1"/>
  <c r="K125" i="2"/>
  <c r="Q114" i="2"/>
  <c r="C114" i="6"/>
  <c r="L117" i="2"/>
  <c r="M117" i="2" s="1"/>
  <c r="K117" i="2"/>
  <c r="AI114" i="2"/>
  <c r="J114" i="6" s="1"/>
  <c r="I114" i="6"/>
  <c r="V123" i="2"/>
  <c r="AK123" i="2" s="1"/>
  <c r="L123" i="6" s="1"/>
  <c r="U124" i="2"/>
  <c r="AI119" i="2"/>
  <c r="J119" i="6" s="1"/>
  <c r="I119" i="6"/>
  <c r="O115" i="2"/>
  <c r="C115" i="6" s="1"/>
  <c r="AH127" i="2"/>
  <c r="AI125" i="2"/>
  <c r="J125" i="6" s="1"/>
  <c r="I125" i="6"/>
  <c r="P127" i="2"/>
  <c r="D127" i="6" s="1"/>
  <c r="L121" i="2"/>
  <c r="M121" i="2" s="1"/>
  <c r="K121" i="2"/>
  <c r="H126" i="2"/>
  <c r="O126" i="2"/>
  <c r="C126" i="6" s="1"/>
  <c r="AI128" i="2"/>
  <c r="J128" i="6" s="1"/>
  <c r="V128" i="2"/>
  <c r="AJ128" i="2"/>
  <c r="K128" i="6" s="1"/>
  <c r="V126" i="2"/>
  <c r="AJ126" i="2"/>
  <c r="K126" i="6" s="1"/>
  <c r="Q129" i="2"/>
  <c r="P129" i="2"/>
  <c r="D129" i="6" s="1"/>
  <c r="P124" i="2"/>
  <c r="D124" i="6" s="1"/>
  <c r="Q124" i="2"/>
  <c r="Q125" i="2"/>
  <c r="P125" i="2"/>
  <c r="D125" i="6" s="1"/>
  <c r="AS127" i="2"/>
  <c r="R127" i="2"/>
  <c r="AO127" i="2" s="1"/>
  <c r="H127" i="6" s="1"/>
  <c r="AG126" i="2"/>
  <c r="AH126" i="2"/>
  <c r="AL127" i="2"/>
  <c r="AI129" i="2"/>
  <c r="J129" i="6" s="1"/>
  <c r="AK129" i="2"/>
  <c r="L129" i="6" s="1"/>
  <c r="AM128" i="2"/>
  <c r="AK125" i="2"/>
  <c r="L125" i="6" s="1"/>
  <c r="AS128" i="2"/>
  <c r="AA126" i="2"/>
  <c r="BE119" i="2"/>
  <c r="BC119" i="2"/>
  <c r="Q119" i="6" s="1"/>
  <c r="AA120" i="2"/>
  <c r="AG122" i="2"/>
  <c r="AH122" i="2"/>
  <c r="I122" i="6" s="1"/>
  <c r="AA118" i="2"/>
  <c r="V116" i="2"/>
  <c r="AJ116" i="2"/>
  <c r="K116" i="6" s="1"/>
  <c r="AH120" i="2"/>
  <c r="O118" i="2"/>
  <c r="C118" i="6" s="1"/>
  <c r="H118" i="2"/>
  <c r="AK121" i="2"/>
  <c r="L121" i="6" s="1"/>
  <c r="AA116" i="2"/>
  <c r="AI116" i="2" s="1"/>
  <c r="J116" i="6" s="1"/>
  <c r="H116" i="2"/>
  <c r="O116" i="2"/>
  <c r="C116" i="6" s="1"/>
  <c r="V122" i="2"/>
  <c r="AJ122" i="2"/>
  <c r="K122" i="6" s="1"/>
  <c r="AI121" i="2"/>
  <c r="J121" i="6" s="1"/>
  <c r="AT119" i="2"/>
  <c r="P115" i="2"/>
  <c r="D115" i="6" s="1"/>
  <c r="AA113" i="2"/>
  <c r="AH113" i="2"/>
  <c r="AG113" i="2"/>
  <c r="K120" i="2"/>
  <c r="L120" i="2"/>
  <c r="M120" i="2" s="1"/>
  <c r="AJ118" i="2"/>
  <c r="K118" i="6" s="1"/>
  <c r="V118" i="2"/>
  <c r="AA122" i="2"/>
  <c r="H120" i="2"/>
  <c r="O120" i="2"/>
  <c r="C120" i="6" s="1"/>
  <c r="L115" i="2"/>
  <c r="M115" i="2" s="1"/>
  <c r="K115" i="2"/>
  <c r="AO119" i="2"/>
  <c r="H119" i="6" s="1"/>
  <c r="H122" i="2"/>
  <c r="O122" i="2"/>
  <c r="C122" i="6" s="1"/>
  <c r="R117" i="2"/>
  <c r="AO117" i="2" s="1"/>
  <c r="H117" i="6" s="1"/>
  <c r="AS117" i="2"/>
  <c r="AL117" i="2"/>
  <c r="AM117" i="2" s="1"/>
  <c r="AK120" i="2"/>
  <c r="L120" i="6" s="1"/>
  <c r="AI115" i="2"/>
  <c r="J115" i="6" s="1"/>
  <c r="AJ113" i="2"/>
  <c r="K113" i="6" s="1"/>
  <c r="U114" i="2"/>
  <c r="V113" i="2"/>
  <c r="Q121" i="2"/>
  <c r="P121" i="2"/>
  <c r="D121" i="6" s="1"/>
  <c r="AH118" i="2"/>
  <c r="I118" i="6" s="1"/>
  <c r="AG118" i="2"/>
  <c r="O113" i="2"/>
  <c r="C113" i="6" s="1"/>
  <c r="H113" i="2"/>
  <c r="AK117" i="2"/>
  <c r="L117" i="6" s="1"/>
  <c r="AK115" i="2"/>
  <c r="L115" i="6" s="1"/>
  <c r="AS103" i="2"/>
  <c r="AN103" i="2"/>
  <c r="G103" i="6" s="1"/>
  <c r="R103" i="2"/>
  <c r="H101" i="2"/>
  <c r="O101" i="2"/>
  <c r="R104" i="2"/>
  <c r="AS104" i="2"/>
  <c r="P104" i="2"/>
  <c r="V104" i="2"/>
  <c r="AJ104" i="2"/>
  <c r="H105" i="2"/>
  <c r="O105" i="2"/>
  <c r="V105" i="2"/>
  <c r="L106" i="2"/>
  <c r="M106" i="2" s="1"/>
  <c r="K106" i="2"/>
  <c r="U106" i="2"/>
  <c r="Y111" i="2"/>
  <c r="Z111" i="2"/>
  <c r="F101" i="2"/>
  <c r="K101" i="2"/>
  <c r="T101" i="2"/>
  <c r="L102" i="2"/>
  <c r="M102" i="2" s="1"/>
  <c r="AF102" i="2"/>
  <c r="D104" i="2"/>
  <c r="H104" i="2"/>
  <c r="F105" i="2"/>
  <c r="AA105" i="2"/>
  <c r="AG105" i="2"/>
  <c r="AH105" i="2"/>
  <c r="I105" i="6" s="1"/>
  <c r="T106" i="2"/>
  <c r="Z107" i="2"/>
  <c r="AH107" i="2" s="1"/>
  <c r="I107" i="6" s="1"/>
  <c r="L108" i="2"/>
  <c r="M108" i="2" s="1"/>
  <c r="K108" i="2"/>
  <c r="AS108" i="2"/>
  <c r="K109" i="2"/>
  <c r="V109" i="2"/>
  <c r="Q110" i="2"/>
  <c r="P110" i="2"/>
  <c r="AI110" i="2"/>
  <c r="J110" i="6" s="1"/>
  <c r="F111" i="2"/>
  <c r="G111" i="2"/>
  <c r="V101" i="2"/>
  <c r="G102" i="2"/>
  <c r="Z102" i="2"/>
  <c r="D103" i="2"/>
  <c r="H103" i="2"/>
  <c r="P103" i="2"/>
  <c r="AJ103" i="2"/>
  <c r="K104" i="2"/>
  <c r="AL104" i="2"/>
  <c r="AH104" i="2"/>
  <c r="AG104" i="2"/>
  <c r="Y105" i="2"/>
  <c r="AF106" i="2"/>
  <c r="AE106" i="2"/>
  <c r="AS106" i="2"/>
  <c r="D108" i="2"/>
  <c r="H108" i="2"/>
  <c r="Z109" i="2"/>
  <c r="Y109" i="2"/>
  <c r="AJ109" i="2"/>
  <c r="AF111" i="2"/>
  <c r="U102" i="2"/>
  <c r="AL103" i="2"/>
  <c r="AM103" i="2" s="1"/>
  <c r="AH103" i="2"/>
  <c r="AJ105" i="2"/>
  <c r="P106" i="2"/>
  <c r="O107" i="2"/>
  <c r="H107" i="2"/>
  <c r="T107" i="2"/>
  <c r="U107" i="2"/>
  <c r="G109" i="2"/>
  <c r="F109" i="2"/>
  <c r="AG109" i="2"/>
  <c r="T110" i="2"/>
  <c r="L111" i="2"/>
  <c r="M111" i="2" s="1"/>
  <c r="AL108" i="2"/>
  <c r="AH108" i="2"/>
  <c r="I108" i="6" s="1"/>
  <c r="D107" i="2"/>
  <c r="AG108" i="2"/>
  <c r="K110" i="2"/>
  <c r="AE110" i="2"/>
  <c r="U111" i="2"/>
  <c r="U110" i="2" s="1"/>
  <c r="S99" i="6"/>
  <c r="L99" i="6"/>
  <c r="K99" i="6"/>
  <c r="F99" i="6"/>
  <c r="E99" i="6"/>
  <c r="D99" i="6"/>
  <c r="C99" i="6"/>
  <c r="B99" i="6"/>
  <c r="A99" i="6"/>
  <c r="S98" i="6"/>
  <c r="L98" i="6"/>
  <c r="K98" i="6"/>
  <c r="F98" i="6"/>
  <c r="E98" i="6"/>
  <c r="D98" i="6"/>
  <c r="C98" i="6"/>
  <c r="B98" i="6"/>
  <c r="A98" i="6"/>
  <c r="S97" i="6"/>
  <c r="L97" i="6"/>
  <c r="K97" i="6"/>
  <c r="F97" i="6"/>
  <c r="E97" i="6"/>
  <c r="D97" i="6"/>
  <c r="C97" i="6"/>
  <c r="B97" i="6"/>
  <c r="A97" i="6"/>
  <c r="S96" i="6"/>
  <c r="L96" i="6"/>
  <c r="K96" i="6"/>
  <c r="F96" i="6"/>
  <c r="E96" i="6"/>
  <c r="D96" i="6"/>
  <c r="C96" i="6"/>
  <c r="B96" i="6"/>
  <c r="A96" i="6"/>
  <c r="S95" i="6"/>
  <c r="L95" i="6"/>
  <c r="K95" i="6"/>
  <c r="F95" i="6"/>
  <c r="E95" i="6"/>
  <c r="D95" i="6"/>
  <c r="C95" i="6"/>
  <c r="B95" i="6"/>
  <c r="A95" i="6"/>
  <c r="S94" i="6"/>
  <c r="L94" i="6"/>
  <c r="K94" i="6"/>
  <c r="F94" i="6"/>
  <c r="E94" i="6"/>
  <c r="D94" i="6"/>
  <c r="C94" i="6"/>
  <c r="B94" i="6"/>
  <c r="A94" i="6"/>
  <c r="S93" i="6"/>
  <c r="L93" i="6"/>
  <c r="K93" i="6"/>
  <c r="F93" i="6"/>
  <c r="E93" i="6"/>
  <c r="D93" i="6"/>
  <c r="C93" i="6"/>
  <c r="B93" i="6"/>
  <c r="A93" i="6"/>
  <c r="S92" i="6"/>
  <c r="L92" i="6"/>
  <c r="K92" i="6"/>
  <c r="F92" i="6"/>
  <c r="E92" i="6"/>
  <c r="D92" i="6"/>
  <c r="C92" i="6"/>
  <c r="B92" i="6"/>
  <c r="A92" i="6"/>
  <c r="S91" i="6"/>
  <c r="L91" i="6"/>
  <c r="K91" i="6"/>
  <c r="F91" i="6"/>
  <c r="E91" i="6"/>
  <c r="D91" i="6"/>
  <c r="C91" i="6"/>
  <c r="B91" i="6"/>
  <c r="A91" i="6"/>
  <c r="S90" i="6"/>
  <c r="L90" i="6"/>
  <c r="K90" i="6"/>
  <c r="F90" i="6"/>
  <c r="E90" i="6"/>
  <c r="D90" i="6"/>
  <c r="C90" i="6"/>
  <c r="B90" i="6"/>
  <c r="A90" i="6"/>
  <c r="S89" i="6"/>
  <c r="L89" i="6"/>
  <c r="K89" i="6"/>
  <c r="F89" i="6"/>
  <c r="E89" i="6"/>
  <c r="D89" i="6"/>
  <c r="C89" i="6"/>
  <c r="B89" i="6"/>
  <c r="A89" i="6"/>
  <c r="S88" i="6"/>
  <c r="L88" i="6"/>
  <c r="K88" i="6"/>
  <c r="F88" i="6"/>
  <c r="E88" i="6"/>
  <c r="D88" i="6"/>
  <c r="C88" i="6"/>
  <c r="B88" i="6"/>
  <c r="A88" i="6"/>
  <c r="S87" i="6"/>
  <c r="L87" i="6"/>
  <c r="K87" i="6"/>
  <c r="F87" i="6"/>
  <c r="E87" i="6"/>
  <c r="D87" i="6"/>
  <c r="C87" i="6"/>
  <c r="B87" i="6"/>
  <c r="A87" i="6"/>
  <c r="S86" i="6"/>
  <c r="L86" i="6"/>
  <c r="K86" i="6"/>
  <c r="F86" i="6"/>
  <c r="E86" i="6"/>
  <c r="D86" i="6"/>
  <c r="C86" i="6"/>
  <c r="B86" i="6"/>
  <c r="A86" i="6"/>
  <c r="S85" i="6"/>
  <c r="L85" i="6"/>
  <c r="K85" i="6"/>
  <c r="F85" i="6"/>
  <c r="E85" i="6"/>
  <c r="D85" i="6"/>
  <c r="C85" i="6"/>
  <c r="B85" i="6"/>
  <c r="A85" i="6"/>
  <c r="BB99" i="2"/>
  <c r="BA99" i="2"/>
  <c r="AV99" i="2"/>
  <c r="AD99" i="2"/>
  <c r="AE99" i="2" s="1"/>
  <c r="X99" i="2"/>
  <c r="Y99" i="2" s="1"/>
  <c r="S99" i="2"/>
  <c r="U99" i="2" s="1"/>
  <c r="J99" i="2"/>
  <c r="L99" i="2" s="1"/>
  <c r="M99" i="2" s="1"/>
  <c r="E99" i="2"/>
  <c r="F99" i="2" s="1"/>
  <c r="C99" i="2"/>
  <c r="D99" i="2" s="1"/>
  <c r="B99" i="2"/>
  <c r="A99" i="2"/>
  <c r="BB98" i="2"/>
  <c r="BA98" i="2"/>
  <c r="AV98" i="2"/>
  <c r="AD98" i="2"/>
  <c r="AF98" i="2" s="1"/>
  <c r="Z98" i="2"/>
  <c r="Y98" i="2"/>
  <c r="X98" i="2"/>
  <c r="T98" i="2"/>
  <c r="S98" i="2"/>
  <c r="G98" i="2"/>
  <c r="O98" i="2" s="1"/>
  <c r="F98" i="2"/>
  <c r="E98" i="2"/>
  <c r="C98" i="2"/>
  <c r="J98" i="2" s="1"/>
  <c r="B98" i="2"/>
  <c r="A98" i="2"/>
  <c r="BB97" i="2"/>
  <c r="BA97" i="2"/>
  <c r="AV97" i="2"/>
  <c r="AD97" i="2"/>
  <c r="AF97" i="2" s="1"/>
  <c r="X97" i="2"/>
  <c r="Z97" i="2" s="1"/>
  <c r="S97" i="2"/>
  <c r="U97" i="2" s="1"/>
  <c r="J97" i="2"/>
  <c r="L97" i="2" s="1"/>
  <c r="M97" i="2" s="1"/>
  <c r="E97" i="2"/>
  <c r="G97" i="2" s="1"/>
  <c r="D97" i="2"/>
  <c r="C97" i="2"/>
  <c r="B97" i="2"/>
  <c r="A97" i="2"/>
  <c r="BB96" i="2"/>
  <c r="BA96" i="2"/>
  <c r="AV96" i="2"/>
  <c r="AD96" i="2"/>
  <c r="AE96" i="2" s="1"/>
  <c r="X96" i="2"/>
  <c r="Y96" i="2" s="1"/>
  <c r="S96" i="2"/>
  <c r="T96" i="2" s="1"/>
  <c r="J96" i="2"/>
  <c r="K96" i="2" s="1"/>
  <c r="E96" i="2"/>
  <c r="F96" i="2" s="1"/>
  <c r="C96" i="2"/>
  <c r="D96" i="2" s="1"/>
  <c r="B96" i="2"/>
  <c r="A96" i="2"/>
  <c r="BB95" i="2"/>
  <c r="BA95" i="2"/>
  <c r="AV95" i="2"/>
  <c r="AE95" i="2"/>
  <c r="AD95" i="2"/>
  <c r="AF95" i="2" s="1"/>
  <c r="AN95" i="2" s="1"/>
  <c r="G95" i="6" s="1"/>
  <c r="Z95" i="2"/>
  <c r="Y95" i="2"/>
  <c r="X95" i="2"/>
  <c r="U95" i="2"/>
  <c r="AJ95" i="2" s="1"/>
  <c r="T95" i="2"/>
  <c r="S95" i="2"/>
  <c r="P95" i="2"/>
  <c r="G95" i="2"/>
  <c r="O95" i="2" s="1"/>
  <c r="Q95" i="2" s="1"/>
  <c r="R95" i="2" s="1"/>
  <c r="F95" i="2"/>
  <c r="E95" i="2"/>
  <c r="C95" i="2"/>
  <c r="J95" i="2" s="1"/>
  <c r="L95" i="2" s="1"/>
  <c r="M95" i="2" s="1"/>
  <c r="B95" i="2"/>
  <c r="A95" i="2"/>
  <c r="BB94" i="2"/>
  <c r="BA94" i="2"/>
  <c r="AV94" i="2"/>
  <c r="AD94" i="2"/>
  <c r="AF94" i="2" s="1"/>
  <c r="Z94" i="2"/>
  <c r="X94" i="2"/>
  <c r="Y94" i="2" s="1"/>
  <c r="S94" i="2"/>
  <c r="T94" i="2" s="1"/>
  <c r="G94" i="2"/>
  <c r="E94" i="2"/>
  <c r="F94" i="2" s="1"/>
  <c r="C94" i="2"/>
  <c r="B94" i="2"/>
  <c r="A94" i="2"/>
  <c r="BB93" i="2"/>
  <c r="BA93" i="2"/>
  <c r="AV93" i="2"/>
  <c r="AD93" i="2"/>
  <c r="AF93" i="2" s="1"/>
  <c r="AA93" i="2"/>
  <c r="X93" i="2"/>
  <c r="Z93" i="2" s="1"/>
  <c r="S93" i="2"/>
  <c r="U93" i="2" s="1"/>
  <c r="M93" i="2"/>
  <c r="J93" i="2"/>
  <c r="L93" i="2" s="1"/>
  <c r="E93" i="2"/>
  <c r="G93" i="2" s="1"/>
  <c r="O93" i="2" s="1"/>
  <c r="D93" i="2"/>
  <c r="C93" i="2"/>
  <c r="B93" i="2"/>
  <c r="A93" i="2"/>
  <c r="BB92" i="2"/>
  <c r="BA92" i="2"/>
  <c r="AV92" i="2"/>
  <c r="AD92" i="2"/>
  <c r="X92" i="2"/>
  <c r="S92" i="2"/>
  <c r="J92" i="2"/>
  <c r="E92" i="2"/>
  <c r="C92" i="2"/>
  <c r="D92" i="2" s="1"/>
  <c r="B92" i="2"/>
  <c r="A92" i="2"/>
  <c r="BB91" i="2"/>
  <c r="BA91" i="2"/>
  <c r="AV91" i="2"/>
  <c r="AD91" i="2"/>
  <c r="X91" i="2"/>
  <c r="S91" i="2"/>
  <c r="J91" i="2"/>
  <c r="E91" i="2"/>
  <c r="D91" i="2"/>
  <c r="C91" i="2"/>
  <c r="B91" i="2"/>
  <c r="A91" i="2"/>
  <c r="BB90" i="2"/>
  <c r="BA90" i="2"/>
  <c r="AV90" i="2"/>
  <c r="AD90" i="2"/>
  <c r="AF90" i="2" s="1"/>
  <c r="Y90" i="2"/>
  <c r="X90" i="2"/>
  <c r="Z90" i="2" s="1"/>
  <c r="T90" i="2"/>
  <c r="S90" i="2"/>
  <c r="K90" i="2"/>
  <c r="J90" i="2"/>
  <c r="L90" i="2" s="1"/>
  <c r="M90" i="2" s="1"/>
  <c r="F90" i="2"/>
  <c r="E90" i="2"/>
  <c r="G90" i="2" s="1"/>
  <c r="D90" i="2"/>
  <c r="C90" i="2"/>
  <c r="B90" i="2"/>
  <c r="A90" i="2"/>
  <c r="BB89" i="2"/>
  <c r="BA89" i="2"/>
  <c r="AV89" i="2"/>
  <c r="AD89" i="2"/>
  <c r="AE89" i="2" s="1"/>
  <c r="Z89" i="2"/>
  <c r="X89" i="2"/>
  <c r="Y89" i="2" s="1"/>
  <c r="U89" i="2"/>
  <c r="AJ89" i="2" s="1"/>
  <c r="S89" i="2"/>
  <c r="T89" i="2" s="1"/>
  <c r="G89" i="2"/>
  <c r="E89" i="2"/>
  <c r="F89" i="2" s="1"/>
  <c r="C89" i="2"/>
  <c r="B89" i="2"/>
  <c r="A89" i="2"/>
  <c r="BB88" i="2"/>
  <c r="BA88" i="2"/>
  <c r="AV88" i="2"/>
  <c r="AD88" i="2"/>
  <c r="X88" i="2"/>
  <c r="S88" i="2"/>
  <c r="J88" i="2"/>
  <c r="E88" i="2"/>
  <c r="D88" i="2"/>
  <c r="C88" i="2"/>
  <c r="B88" i="2"/>
  <c r="A88" i="2"/>
  <c r="BB87" i="2"/>
  <c r="BA87" i="2"/>
  <c r="AV87" i="2"/>
  <c r="AD87" i="2"/>
  <c r="AF87" i="2" s="1"/>
  <c r="Y87" i="2"/>
  <c r="X87" i="2"/>
  <c r="Z87" i="2" s="1"/>
  <c r="S87" i="2"/>
  <c r="U87" i="2" s="1"/>
  <c r="J87" i="2"/>
  <c r="L87" i="2" s="1"/>
  <c r="M87" i="2" s="1"/>
  <c r="F87" i="2"/>
  <c r="E87" i="2"/>
  <c r="G87" i="2" s="1"/>
  <c r="H87" i="2" s="1"/>
  <c r="C87" i="2"/>
  <c r="D87" i="2" s="1"/>
  <c r="B87" i="2"/>
  <c r="A87" i="2"/>
  <c r="BB86" i="2"/>
  <c r="BA86" i="2"/>
  <c r="AV86" i="2"/>
  <c r="AD86" i="2"/>
  <c r="AF86" i="2" s="1"/>
  <c r="Z86" i="2"/>
  <c r="Y86" i="2"/>
  <c r="X86" i="2"/>
  <c r="T86" i="2"/>
  <c r="S86" i="2"/>
  <c r="G86" i="2"/>
  <c r="F86" i="2"/>
  <c r="E86" i="2"/>
  <c r="C86" i="2"/>
  <c r="B86" i="2"/>
  <c r="A86" i="2"/>
  <c r="BB85" i="2"/>
  <c r="BA85" i="2"/>
  <c r="AV85" i="2"/>
  <c r="AJ85" i="2"/>
  <c r="AF85" i="2"/>
  <c r="AD85" i="2"/>
  <c r="AE85" i="2" s="1"/>
  <c r="Z85" i="2"/>
  <c r="AS85" i="2" s="1"/>
  <c r="AT85" i="2" s="1"/>
  <c r="Y85" i="2"/>
  <c r="X85" i="2"/>
  <c r="U85" i="2"/>
  <c r="T85" i="2"/>
  <c r="S85" i="2"/>
  <c r="Q85" i="2"/>
  <c r="R85" i="2" s="1"/>
  <c r="P85" i="2"/>
  <c r="K85" i="2"/>
  <c r="H85" i="2"/>
  <c r="G85" i="2"/>
  <c r="O85" i="2" s="1"/>
  <c r="F85" i="2"/>
  <c r="E85" i="2"/>
  <c r="D85" i="2"/>
  <c r="C85" i="2"/>
  <c r="J85" i="2" s="1"/>
  <c r="L85" i="2" s="1"/>
  <c r="M85" i="2" s="1"/>
  <c r="B85" i="2"/>
  <c r="A85" i="2"/>
  <c r="AW127" i="2"/>
  <c r="AQ127" i="2"/>
  <c r="AQ117" i="2"/>
  <c r="AX119" i="2"/>
  <c r="AQ119" i="2"/>
  <c r="AW117" i="2"/>
  <c r="AW103" i="2"/>
  <c r="AP103" i="2"/>
  <c r="AP95" i="2"/>
  <c r="AP137" i="2"/>
  <c r="AP131" i="2"/>
  <c r="AW141" i="2"/>
  <c r="AP147" i="2"/>
  <c r="AX133" i="2"/>
  <c r="AP132" i="2"/>
  <c r="AP141" i="2"/>
  <c r="AX143" i="2"/>
  <c r="AW131" i="2"/>
  <c r="AW147" i="2"/>
  <c r="AW137" i="2"/>
  <c r="AQ143" i="2"/>
  <c r="AP150" i="2"/>
  <c r="AW132" i="2"/>
  <c r="AW150" i="2"/>
  <c r="O150" i="6" l="1"/>
  <c r="BE150" i="2"/>
  <c r="BC150" i="2"/>
  <c r="Q150" i="6" s="1"/>
  <c r="AO150" i="2"/>
  <c r="AY150" i="2" s="1"/>
  <c r="P150" i="6" s="1"/>
  <c r="BF151" i="2"/>
  <c r="BG151" i="2"/>
  <c r="BD151" i="2"/>
  <c r="M103" i="6"/>
  <c r="O103" i="6"/>
  <c r="AI103" i="2"/>
  <c r="J103" i="6" s="1"/>
  <c r="I103" i="6"/>
  <c r="AI104" i="2"/>
  <c r="J104" i="6" s="1"/>
  <c r="I104" i="6"/>
  <c r="M95" i="6"/>
  <c r="AE98" i="2"/>
  <c r="AE94" i="2"/>
  <c r="AE86" i="2"/>
  <c r="AF89" i="2"/>
  <c r="AE90" i="2"/>
  <c r="N143" i="6"/>
  <c r="O137" i="6"/>
  <c r="O147" i="6"/>
  <c r="O131" i="6"/>
  <c r="P143" i="6"/>
  <c r="M141" i="6"/>
  <c r="O132" i="6"/>
  <c r="M132" i="6"/>
  <c r="P133" i="6"/>
  <c r="M147" i="6"/>
  <c r="O141" i="6"/>
  <c r="M131" i="6"/>
  <c r="M137" i="6"/>
  <c r="R140" i="2"/>
  <c r="AL140" i="2"/>
  <c r="AS140" i="2"/>
  <c r="AT140" i="2" s="1"/>
  <c r="AM141" i="2"/>
  <c r="AR143" i="2"/>
  <c r="BE137" i="2"/>
  <c r="BC137" i="2"/>
  <c r="Q137" i="6" s="1"/>
  <c r="BE147" i="2"/>
  <c r="BC147" i="2"/>
  <c r="Q147" i="6" s="1"/>
  <c r="BE131" i="2"/>
  <c r="AY131" i="2"/>
  <c r="BC131" i="2"/>
  <c r="Q131" i="6" s="1"/>
  <c r="AZ143" i="2"/>
  <c r="BE132" i="2"/>
  <c r="BC132" i="2"/>
  <c r="Q132" i="6" s="1"/>
  <c r="AZ133" i="2"/>
  <c r="BE141" i="2"/>
  <c r="BC141" i="2"/>
  <c r="Q141" i="6" s="1"/>
  <c r="AK136" i="2"/>
  <c r="L136" i="6" s="1"/>
  <c r="AK140" i="2"/>
  <c r="L140" i="6" s="1"/>
  <c r="AT137" i="2"/>
  <c r="AN144" i="2"/>
  <c r="G144" i="6" s="1"/>
  <c r="AM144" i="2"/>
  <c r="R142" i="2"/>
  <c r="AL142" i="2"/>
  <c r="AS142" i="2"/>
  <c r="AN138" i="2"/>
  <c r="G138" i="6" s="1"/>
  <c r="AM138" i="2"/>
  <c r="R139" i="2"/>
  <c r="AL139" i="2"/>
  <c r="AS139" i="2"/>
  <c r="AN139" i="2"/>
  <c r="G139" i="6" s="1"/>
  <c r="AY143" i="2"/>
  <c r="AT134" i="2"/>
  <c r="AT147" i="2"/>
  <c r="AY147" i="2" s="1"/>
  <c r="AT131" i="2"/>
  <c r="R146" i="2"/>
  <c r="AS146" i="2"/>
  <c r="AL146" i="2"/>
  <c r="AM137" i="2"/>
  <c r="AO141" i="2"/>
  <c r="H141" i="6" s="1"/>
  <c r="AO132" i="2"/>
  <c r="H132" i="6" s="1"/>
  <c r="AT138" i="2"/>
  <c r="AO147" i="2"/>
  <c r="H147" i="6" s="1"/>
  <c r="AY133" i="2"/>
  <c r="AT141" i="2"/>
  <c r="AN134" i="2"/>
  <c r="G134" i="6" s="1"/>
  <c r="AM134" i="2"/>
  <c r="AO131" i="2"/>
  <c r="H131" i="6" s="1"/>
  <c r="AO137" i="2"/>
  <c r="H137" i="6" s="1"/>
  <c r="AT144" i="2"/>
  <c r="R135" i="2"/>
  <c r="AL135" i="2"/>
  <c r="AM135" i="2" s="1"/>
  <c r="AN135" i="2"/>
  <c r="G135" i="6" s="1"/>
  <c r="AS135" i="2"/>
  <c r="O117" i="6"/>
  <c r="N119" i="6"/>
  <c r="P119" i="6"/>
  <c r="N117" i="6"/>
  <c r="N127" i="6"/>
  <c r="O127" i="6"/>
  <c r="AI113" i="2"/>
  <c r="J113" i="6" s="1"/>
  <c r="I113" i="6"/>
  <c r="Q115" i="2"/>
  <c r="AI126" i="2"/>
  <c r="J126" i="6" s="1"/>
  <c r="I126" i="6"/>
  <c r="AI127" i="2"/>
  <c r="J127" i="6" s="1"/>
  <c r="I127" i="6"/>
  <c r="AJ124" i="2"/>
  <c r="K124" i="6" s="1"/>
  <c r="V124" i="2"/>
  <c r="AK124" i="2" s="1"/>
  <c r="L124" i="6" s="1"/>
  <c r="AI120" i="2"/>
  <c r="J120" i="6" s="1"/>
  <c r="I120" i="6"/>
  <c r="AL114" i="2"/>
  <c r="R114" i="2"/>
  <c r="AS114" i="2"/>
  <c r="AT114" i="2" s="1"/>
  <c r="C123" i="6"/>
  <c r="Q123" i="2"/>
  <c r="P123" i="2"/>
  <c r="D123" i="6" s="1"/>
  <c r="AR127" i="2"/>
  <c r="BE127" i="2"/>
  <c r="BC127" i="2"/>
  <c r="Q127" i="6" s="1"/>
  <c r="AK126" i="2"/>
  <c r="L126" i="6" s="1"/>
  <c r="AM127" i="2"/>
  <c r="R125" i="2"/>
  <c r="AS125" i="2"/>
  <c r="AN125" i="2"/>
  <c r="G125" i="6" s="1"/>
  <c r="AL125" i="2"/>
  <c r="R129" i="2"/>
  <c r="AS129" i="2"/>
  <c r="AN129" i="2"/>
  <c r="G129" i="6" s="1"/>
  <c r="AL129" i="2"/>
  <c r="R124" i="2"/>
  <c r="AS124" i="2"/>
  <c r="AL124" i="2"/>
  <c r="AK128" i="2"/>
  <c r="L128" i="6" s="1"/>
  <c r="Q126" i="2"/>
  <c r="P126" i="2"/>
  <c r="D126" i="6" s="1"/>
  <c r="AT128" i="2"/>
  <c r="AT127" i="2"/>
  <c r="AY127" i="2" s="1"/>
  <c r="BE117" i="2"/>
  <c r="BC117" i="2"/>
  <c r="Q117" i="6" s="1"/>
  <c r="AR119" i="2"/>
  <c r="AZ119" i="2"/>
  <c r="AR117" i="2"/>
  <c r="R121" i="2"/>
  <c r="AL121" i="2"/>
  <c r="AN121" i="2"/>
  <c r="G121" i="6" s="1"/>
  <c r="AS121" i="2"/>
  <c r="AT117" i="2"/>
  <c r="AK122" i="2"/>
  <c r="L122" i="6" s="1"/>
  <c r="AK113" i="2"/>
  <c r="L113" i="6" s="1"/>
  <c r="Q116" i="2"/>
  <c r="P116" i="2"/>
  <c r="D116" i="6" s="1"/>
  <c r="P118" i="2"/>
  <c r="D118" i="6" s="1"/>
  <c r="Q118" i="2"/>
  <c r="AK116" i="2"/>
  <c r="L116" i="6" s="1"/>
  <c r="AI122" i="2"/>
  <c r="J122" i="6" s="1"/>
  <c r="AI118" i="2"/>
  <c r="J118" i="6" s="1"/>
  <c r="P122" i="2"/>
  <c r="D122" i="6" s="1"/>
  <c r="Q122" i="2"/>
  <c r="P113" i="2"/>
  <c r="D113" i="6" s="1"/>
  <c r="Q113" i="2"/>
  <c r="V114" i="2"/>
  <c r="AJ114" i="2"/>
  <c r="K114" i="6" s="1"/>
  <c r="P120" i="2"/>
  <c r="D120" i="6" s="1"/>
  <c r="Q120" i="2"/>
  <c r="AK118" i="2"/>
  <c r="L118" i="6" s="1"/>
  <c r="R115" i="2"/>
  <c r="AS115" i="2"/>
  <c r="AN115" i="2"/>
  <c r="G115" i="6" s="1"/>
  <c r="AL115" i="2"/>
  <c r="AY119" i="2"/>
  <c r="BE103" i="2"/>
  <c r="BC103" i="2"/>
  <c r="Q103" i="6" s="1"/>
  <c r="AJ110" i="2"/>
  <c r="V110" i="2"/>
  <c r="AA109" i="2"/>
  <c r="AH102" i="2"/>
  <c r="I102" i="6" s="1"/>
  <c r="AG102" i="2"/>
  <c r="AJ106" i="2"/>
  <c r="V106" i="2"/>
  <c r="AK104" i="2"/>
  <c r="AH109" i="2"/>
  <c r="AG106" i="2"/>
  <c r="AL106" i="2"/>
  <c r="AH106" i="2"/>
  <c r="AM104" i="2"/>
  <c r="AK109" i="2"/>
  <c r="AI105" i="2"/>
  <c r="J105" i="6" s="1"/>
  <c r="Q105" i="2"/>
  <c r="P105" i="2"/>
  <c r="Q101" i="2"/>
  <c r="P101" i="2"/>
  <c r="H109" i="2"/>
  <c r="O109" i="2"/>
  <c r="AK105" i="2"/>
  <c r="AJ111" i="2"/>
  <c r="V111" i="2"/>
  <c r="P107" i="2"/>
  <c r="Q107" i="2"/>
  <c r="AK101" i="2"/>
  <c r="AA107" i="2"/>
  <c r="AI107" i="2" s="1"/>
  <c r="J107" i="6" s="1"/>
  <c r="AA111" i="2"/>
  <c r="AO103" i="2"/>
  <c r="H103" i="6" s="1"/>
  <c r="AM108" i="2"/>
  <c r="AH111" i="2"/>
  <c r="I111" i="6" s="1"/>
  <c r="AG111" i="2"/>
  <c r="O102" i="2"/>
  <c r="H102" i="2"/>
  <c r="AI108" i="2"/>
  <c r="J108" i="6" s="1"/>
  <c r="AJ107" i="2"/>
  <c r="V107" i="2"/>
  <c r="U108" i="2"/>
  <c r="AJ102" i="2"/>
  <c r="V102" i="2"/>
  <c r="AT106" i="2"/>
  <c r="AA102" i="2"/>
  <c r="O111" i="2"/>
  <c r="H111" i="2"/>
  <c r="R110" i="2"/>
  <c r="AL110" i="2"/>
  <c r="AS110" i="2"/>
  <c r="AT108" i="2"/>
  <c r="AT104" i="2"/>
  <c r="AT103" i="2"/>
  <c r="Q98" i="2"/>
  <c r="R98" i="2" s="1"/>
  <c r="P98" i="2"/>
  <c r="L98" i="2"/>
  <c r="M98" i="2" s="1"/>
  <c r="K98" i="2"/>
  <c r="V99" i="2"/>
  <c r="AJ99" i="2"/>
  <c r="U98" i="2"/>
  <c r="K99" i="2"/>
  <c r="T99" i="2"/>
  <c r="D98" i="2"/>
  <c r="H98" i="2"/>
  <c r="AA98" i="2"/>
  <c r="AG98" i="2"/>
  <c r="G99" i="2"/>
  <c r="Z99" i="2"/>
  <c r="AF99" i="2"/>
  <c r="AH98" i="2"/>
  <c r="AH94" i="2"/>
  <c r="I94" i="6" s="1"/>
  <c r="AG94" i="2"/>
  <c r="O97" i="2"/>
  <c r="H97" i="2"/>
  <c r="L92" i="2"/>
  <c r="M92" i="2" s="1"/>
  <c r="K92" i="2"/>
  <c r="AJ93" i="2"/>
  <c r="AA94" i="2"/>
  <c r="F92" i="2"/>
  <c r="G92" i="2"/>
  <c r="Q93" i="2"/>
  <c r="R93" i="2" s="1"/>
  <c r="P93" i="2"/>
  <c r="AH97" i="2"/>
  <c r="I97" i="6" s="1"/>
  <c r="AG97" i="2"/>
  <c r="AE92" i="2"/>
  <c r="AF92" i="2"/>
  <c r="H93" i="2"/>
  <c r="AN93" i="2"/>
  <c r="G93" i="6" s="1"/>
  <c r="AH93" i="2"/>
  <c r="I93" i="6" s="1"/>
  <c r="J94" i="2"/>
  <c r="D94" i="2"/>
  <c r="V93" i="2"/>
  <c r="AG93" i="2"/>
  <c r="AS95" i="2"/>
  <c r="AJ97" i="2"/>
  <c r="V97" i="2"/>
  <c r="Z92" i="2"/>
  <c r="Y92" i="2"/>
  <c r="T92" i="2"/>
  <c r="U92" i="2"/>
  <c r="H94" i="2"/>
  <c r="O94" i="2"/>
  <c r="U94" i="2"/>
  <c r="K95" i="2"/>
  <c r="AA97" i="2"/>
  <c r="F93" i="2"/>
  <c r="K93" i="2"/>
  <c r="T93" i="2"/>
  <c r="Y93" i="2"/>
  <c r="AE93" i="2"/>
  <c r="D95" i="2"/>
  <c r="H95" i="2"/>
  <c r="V95" i="2"/>
  <c r="AA95" i="2"/>
  <c r="AG95" i="2"/>
  <c r="AO95" i="2" s="1"/>
  <c r="H95" i="6" s="1"/>
  <c r="G96" i="2"/>
  <c r="L96" i="2"/>
  <c r="M96" i="2" s="1"/>
  <c r="U96" i="2"/>
  <c r="Z96" i="2"/>
  <c r="AF96" i="2"/>
  <c r="F97" i="2"/>
  <c r="K97" i="2"/>
  <c r="T97" i="2"/>
  <c r="Y97" i="2"/>
  <c r="AE97" i="2"/>
  <c r="AH95" i="2"/>
  <c r="AL95" i="2"/>
  <c r="AM95" i="2" s="1"/>
  <c r="AG87" i="2"/>
  <c r="V87" i="2"/>
  <c r="AJ87" i="2"/>
  <c r="AH89" i="2"/>
  <c r="I89" i="6" s="1"/>
  <c r="AG89" i="2"/>
  <c r="G91" i="2"/>
  <c r="F91" i="2"/>
  <c r="Z91" i="2"/>
  <c r="Y91" i="2"/>
  <c r="AL85" i="2"/>
  <c r="AH85" i="2"/>
  <c r="I85" i="6" s="1"/>
  <c r="J86" i="2"/>
  <c r="D86" i="2"/>
  <c r="AH86" i="2"/>
  <c r="I86" i="6" s="1"/>
  <c r="AG86" i="2"/>
  <c r="K87" i="2"/>
  <c r="AE87" i="2"/>
  <c r="G88" i="2"/>
  <c r="F88" i="2"/>
  <c r="Z88" i="2"/>
  <c r="Y88" i="2"/>
  <c r="O90" i="2"/>
  <c r="H90" i="2"/>
  <c r="L91" i="2"/>
  <c r="M91" i="2" s="1"/>
  <c r="K91" i="2"/>
  <c r="AF91" i="2"/>
  <c r="AE91" i="2"/>
  <c r="V85" i="2"/>
  <c r="AA85" i="2"/>
  <c r="AG85" i="2"/>
  <c r="AA86" i="2"/>
  <c r="O87" i="2"/>
  <c r="AA87" i="2"/>
  <c r="AH87" i="2"/>
  <c r="I87" i="6" s="1"/>
  <c r="J89" i="2"/>
  <c r="D89" i="2"/>
  <c r="AA89" i="2"/>
  <c r="U90" i="2"/>
  <c r="AH90" i="2"/>
  <c r="AG90" i="2"/>
  <c r="O86" i="2"/>
  <c r="H86" i="2"/>
  <c r="O89" i="2"/>
  <c r="H89" i="2"/>
  <c r="V89" i="2"/>
  <c r="AA90" i="2"/>
  <c r="T87" i="2"/>
  <c r="AN85" i="2"/>
  <c r="G85" i="6" s="1"/>
  <c r="U86" i="2"/>
  <c r="L88" i="2"/>
  <c r="M88" i="2" s="1"/>
  <c r="K88" i="2"/>
  <c r="U88" i="2"/>
  <c r="T88" i="2"/>
  <c r="AF88" i="2"/>
  <c r="AE88" i="2"/>
  <c r="U91" i="2"/>
  <c r="T91" i="2"/>
  <c r="AW125" i="2"/>
  <c r="AW129" i="2"/>
  <c r="AP129" i="2"/>
  <c r="AX127" i="2"/>
  <c r="AP125" i="2"/>
  <c r="AW115" i="2"/>
  <c r="AP115" i="2"/>
  <c r="AP121" i="2"/>
  <c r="AW121" i="2"/>
  <c r="AX117" i="2"/>
  <c r="AQ103" i="2"/>
  <c r="AX103" i="2"/>
  <c r="AP93" i="2"/>
  <c r="AW95" i="2"/>
  <c r="AQ95" i="2"/>
  <c r="AW85" i="2"/>
  <c r="AP85" i="2"/>
  <c r="AP139" i="2"/>
  <c r="AX131" i="2"/>
  <c r="AQ147" i="2"/>
  <c r="AP144" i="2"/>
  <c r="AQ132" i="2"/>
  <c r="AQ137" i="2"/>
  <c r="AP138" i="2"/>
  <c r="AW139" i="2"/>
  <c r="AX147" i="2"/>
  <c r="AP134" i="2"/>
  <c r="AW135" i="2"/>
  <c r="AX137" i="2"/>
  <c r="AQ141" i="2"/>
  <c r="AQ131" i="2"/>
  <c r="AX141" i="2"/>
  <c r="AP135" i="2"/>
  <c r="AQ150" i="2"/>
  <c r="AW134" i="2"/>
  <c r="AX132" i="2"/>
  <c r="AW144" i="2"/>
  <c r="AW138" i="2"/>
  <c r="AX150" i="2"/>
  <c r="AR150" i="2" l="1"/>
  <c r="AZ150" i="2"/>
  <c r="BF150" i="2"/>
  <c r="BG150" i="2"/>
  <c r="BD150" i="2"/>
  <c r="R150" i="6" s="1"/>
  <c r="P103" i="6"/>
  <c r="N103" i="6"/>
  <c r="AI109" i="2"/>
  <c r="J109" i="6" s="1"/>
  <c r="I109" i="6"/>
  <c r="AI106" i="2"/>
  <c r="J106" i="6" s="1"/>
  <c r="I106" i="6"/>
  <c r="N95" i="6"/>
  <c r="O95" i="6"/>
  <c r="M93" i="6"/>
  <c r="AI98" i="2"/>
  <c r="J98" i="6" s="1"/>
  <c r="I98" i="6"/>
  <c r="AI95" i="2"/>
  <c r="J95" i="6" s="1"/>
  <c r="I95" i="6"/>
  <c r="M85" i="6"/>
  <c r="O85" i="6"/>
  <c r="AI90" i="2"/>
  <c r="J90" i="6" s="1"/>
  <c r="I90" i="6"/>
  <c r="AM85" i="2"/>
  <c r="M135" i="6"/>
  <c r="P141" i="6"/>
  <c r="N131" i="6"/>
  <c r="N141" i="6"/>
  <c r="P137" i="6"/>
  <c r="O135" i="6"/>
  <c r="M134" i="6"/>
  <c r="O134" i="6"/>
  <c r="P147" i="6"/>
  <c r="O139" i="6"/>
  <c r="M138" i="6"/>
  <c r="O138" i="6"/>
  <c r="N137" i="6"/>
  <c r="N132" i="6"/>
  <c r="M144" i="6"/>
  <c r="O144" i="6"/>
  <c r="N147" i="6"/>
  <c r="P131" i="6"/>
  <c r="M139" i="6"/>
  <c r="AM139" i="2"/>
  <c r="AM140" i="2"/>
  <c r="AZ141" i="2"/>
  <c r="AR131" i="2"/>
  <c r="AR141" i="2"/>
  <c r="AZ137" i="2"/>
  <c r="BE135" i="2"/>
  <c r="BC135" i="2"/>
  <c r="Q135" i="6" s="1"/>
  <c r="BE134" i="2"/>
  <c r="BC134" i="2"/>
  <c r="Q134" i="6" s="1"/>
  <c r="AZ147" i="2"/>
  <c r="BE139" i="2"/>
  <c r="BC139" i="2"/>
  <c r="Q139" i="6" s="1"/>
  <c r="BE138" i="2"/>
  <c r="BC138" i="2"/>
  <c r="Q138" i="6" s="1"/>
  <c r="AR137" i="2"/>
  <c r="AR132" i="2"/>
  <c r="AZ132" i="2"/>
  <c r="BE144" i="2"/>
  <c r="BC144" i="2"/>
  <c r="Q144" i="6" s="1"/>
  <c r="AR147" i="2"/>
  <c r="AZ131" i="2"/>
  <c r="BG147" i="2"/>
  <c r="BF147" i="2"/>
  <c r="BD147" i="2"/>
  <c r="R147" i="6" s="1"/>
  <c r="BF131" i="2"/>
  <c r="BG131" i="2"/>
  <c r="AO135" i="2"/>
  <c r="H135" i="6" s="1"/>
  <c r="AN136" i="2"/>
  <c r="G136" i="6" s="1"/>
  <c r="AT146" i="2"/>
  <c r="BG133" i="2"/>
  <c r="BF133" i="2"/>
  <c r="BD133" i="2"/>
  <c r="R133" i="6" s="1"/>
  <c r="BG143" i="2"/>
  <c r="BF143" i="2"/>
  <c r="BD143" i="2"/>
  <c r="R143" i="6" s="1"/>
  <c r="AM142" i="2"/>
  <c r="AN142" i="2"/>
  <c r="G142" i="6" s="1"/>
  <c r="AY137" i="2"/>
  <c r="AT135" i="2"/>
  <c r="AY135" i="2" s="1"/>
  <c r="AO134" i="2"/>
  <c r="AM146" i="2"/>
  <c r="AN146" i="2"/>
  <c r="G146" i="6" s="1"/>
  <c r="AT139" i="2"/>
  <c r="AO138" i="2"/>
  <c r="AT142" i="2"/>
  <c r="AO144" i="2"/>
  <c r="H144" i="6" s="1"/>
  <c r="BD131" i="2"/>
  <c r="R131" i="6" s="1"/>
  <c r="AO139" i="2"/>
  <c r="H139" i="6" s="1"/>
  <c r="AN140" i="2"/>
  <c r="G140" i="6" s="1"/>
  <c r="AY141" i="2"/>
  <c r="AY132" i="2"/>
  <c r="P132" i="6" s="1"/>
  <c r="P117" i="6"/>
  <c r="O121" i="6"/>
  <c r="M121" i="6"/>
  <c r="M115" i="6"/>
  <c r="O115" i="6"/>
  <c r="M125" i="6"/>
  <c r="P127" i="6"/>
  <c r="M129" i="6"/>
  <c r="O129" i="6"/>
  <c r="O125" i="6"/>
  <c r="AL123" i="2"/>
  <c r="AS123" i="2"/>
  <c r="R123" i="2"/>
  <c r="AM123" i="2" s="1"/>
  <c r="AN123" i="2"/>
  <c r="AN124" i="2" s="1"/>
  <c r="G124" i="6" s="1"/>
  <c r="AM114" i="2"/>
  <c r="AZ127" i="2"/>
  <c r="BE129" i="2"/>
  <c r="BC129" i="2"/>
  <c r="Q129" i="6" s="1"/>
  <c r="BE125" i="2"/>
  <c r="BC125" i="2"/>
  <c r="Q125" i="6" s="1"/>
  <c r="AM124" i="2"/>
  <c r="AO125" i="2"/>
  <c r="H125" i="6" s="1"/>
  <c r="R126" i="2"/>
  <c r="AS126" i="2"/>
  <c r="AL126" i="2"/>
  <c r="BG127" i="2"/>
  <c r="BF127" i="2"/>
  <c r="AM129" i="2"/>
  <c r="AM125" i="2"/>
  <c r="BD127" i="2"/>
  <c r="R127" i="6" s="1"/>
  <c r="AO129" i="2"/>
  <c r="H129" i="6" s="1"/>
  <c r="AN128" i="2"/>
  <c r="G128" i="6" s="1"/>
  <c r="AT124" i="2"/>
  <c r="AT129" i="2"/>
  <c r="AT125" i="2"/>
  <c r="AZ117" i="2"/>
  <c r="BE121" i="2"/>
  <c r="BC121" i="2"/>
  <c r="Q121" i="6" s="1"/>
  <c r="BE115" i="2"/>
  <c r="BC115" i="2"/>
  <c r="Q115" i="6" s="1"/>
  <c r="AM115" i="2"/>
  <c r="AK114" i="2"/>
  <c r="L114" i="6" s="1"/>
  <c r="R122" i="2"/>
  <c r="AL122" i="2"/>
  <c r="AS122" i="2"/>
  <c r="R116" i="2"/>
  <c r="AL116" i="2"/>
  <c r="AS116" i="2"/>
  <c r="AT121" i="2"/>
  <c r="AY117" i="2"/>
  <c r="BG119" i="2"/>
  <c r="BF119" i="2"/>
  <c r="BD119" i="2"/>
  <c r="R119" i="6" s="1"/>
  <c r="R120" i="2"/>
  <c r="AL120" i="2"/>
  <c r="AS120" i="2"/>
  <c r="R118" i="2"/>
  <c r="AS118" i="2"/>
  <c r="AL118" i="2"/>
  <c r="AO121" i="2"/>
  <c r="H121" i="6" s="1"/>
  <c r="AO115" i="2"/>
  <c r="H115" i="6" s="1"/>
  <c r="AT115" i="2"/>
  <c r="R113" i="2"/>
  <c r="AS113" i="2"/>
  <c r="AL113" i="2"/>
  <c r="AN113" i="2"/>
  <c r="G113" i="6" s="1"/>
  <c r="AM121" i="2"/>
  <c r="AZ103" i="2"/>
  <c r="AR103" i="2"/>
  <c r="AM110" i="2"/>
  <c r="P102" i="2"/>
  <c r="Q102" i="2"/>
  <c r="R105" i="2"/>
  <c r="AL105" i="2"/>
  <c r="AM105" i="2" s="1"/>
  <c r="AN105" i="2"/>
  <c r="AS105" i="2"/>
  <c r="AK110" i="2"/>
  <c r="R107" i="2"/>
  <c r="AL107" i="2"/>
  <c r="AN107" i="2"/>
  <c r="G107" i="6" s="1"/>
  <c r="R101" i="2"/>
  <c r="AS101" i="2"/>
  <c r="AL101" i="2"/>
  <c r="AM101" i="2" s="1"/>
  <c r="AN101" i="2"/>
  <c r="G101" i="6" s="1"/>
  <c r="AM106" i="2"/>
  <c r="AT110" i="2"/>
  <c r="P111" i="2"/>
  <c r="Q111" i="2"/>
  <c r="AK102" i="2"/>
  <c r="V108" i="2"/>
  <c r="AJ108" i="2"/>
  <c r="AI111" i="2"/>
  <c r="J111" i="6" s="1"/>
  <c r="AS107" i="2"/>
  <c r="AK111" i="2"/>
  <c r="Q109" i="2"/>
  <c r="P109" i="2"/>
  <c r="AK106" i="2"/>
  <c r="AI102" i="2"/>
  <c r="J102" i="6" s="1"/>
  <c r="AY103" i="2"/>
  <c r="AK107" i="2"/>
  <c r="H99" i="2"/>
  <c r="O99" i="2"/>
  <c r="AG99" i="2"/>
  <c r="AH99" i="2"/>
  <c r="I99" i="6" s="1"/>
  <c r="AK99" i="2"/>
  <c r="AL98" i="2"/>
  <c r="AA99" i="2"/>
  <c r="V98" i="2"/>
  <c r="AJ98" i="2"/>
  <c r="AS98" i="2"/>
  <c r="BE95" i="2"/>
  <c r="AY95" i="2"/>
  <c r="BC95" i="2"/>
  <c r="Q95" i="6" s="1"/>
  <c r="AR95" i="2"/>
  <c r="V96" i="2"/>
  <c r="AJ96" i="2"/>
  <c r="AG96" i="2"/>
  <c r="AH96" i="2"/>
  <c r="I96" i="6" s="1"/>
  <c r="O96" i="2"/>
  <c r="H96" i="2"/>
  <c r="AA92" i="2"/>
  <c r="AT95" i="2"/>
  <c r="K94" i="2"/>
  <c r="L94" i="2"/>
  <c r="M94" i="2" s="1"/>
  <c r="AA96" i="2"/>
  <c r="V92" i="2"/>
  <c r="AJ92" i="2"/>
  <c r="AK97" i="2"/>
  <c r="AI93" i="2"/>
  <c r="J93" i="6" s="1"/>
  <c r="AG92" i="2"/>
  <c r="AH92" i="2"/>
  <c r="I92" i="6" s="1"/>
  <c r="AI97" i="2"/>
  <c r="J97" i="6" s="1"/>
  <c r="H92" i="2"/>
  <c r="O92" i="2"/>
  <c r="AI94" i="2"/>
  <c r="J94" i="6" s="1"/>
  <c r="AO93" i="2"/>
  <c r="H93" i="6" s="1"/>
  <c r="V94" i="2"/>
  <c r="AJ94" i="2"/>
  <c r="AK93" i="2"/>
  <c r="AK95" i="2"/>
  <c r="P94" i="2"/>
  <c r="Q94" i="2"/>
  <c r="AL93" i="2"/>
  <c r="AM93" i="2" s="1"/>
  <c r="Q97" i="2"/>
  <c r="P97" i="2"/>
  <c r="AS93" i="2"/>
  <c r="BE85" i="2"/>
  <c r="BC85" i="2"/>
  <c r="Q85" i="6" s="1"/>
  <c r="P86" i="2"/>
  <c r="Q86" i="2"/>
  <c r="V90" i="2"/>
  <c r="AJ90" i="2"/>
  <c r="K86" i="2"/>
  <c r="L86" i="2"/>
  <c r="M86" i="2" s="1"/>
  <c r="AH88" i="2"/>
  <c r="I88" i="6" s="1"/>
  <c r="AG88" i="2"/>
  <c r="K89" i="2"/>
  <c r="L89" i="2"/>
  <c r="M89" i="2" s="1"/>
  <c r="AG91" i="2"/>
  <c r="AH91" i="2"/>
  <c r="I91" i="6" s="1"/>
  <c r="Q90" i="2"/>
  <c r="P90" i="2"/>
  <c r="H88" i="2"/>
  <c r="O88" i="2"/>
  <c r="AI86" i="2"/>
  <c r="J86" i="6" s="1"/>
  <c r="AI85" i="2"/>
  <c r="J85" i="6" s="1"/>
  <c r="AA91" i="2"/>
  <c r="AI89" i="2"/>
  <c r="J89" i="6" s="1"/>
  <c r="AK87" i="2"/>
  <c r="V86" i="2"/>
  <c r="AJ86" i="2"/>
  <c r="P89" i="2"/>
  <c r="Q89" i="2"/>
  <c r="Q87" i="2"/>
  <c r="P87" i="2"/>
  <c r="V91" i="2"/>
  <c r="AJ91" i="2"/>
  <c r="AJ88" i="2"/>
  <c r="V88" i="2"/>
  <c r="AO85" i="2"/>
  <c r="H85" i="6" s="1"/>
  <c r="AK89" i="2"/>
  <c r="AI87" i="2"/>
  <c r="J87" i="6" s="1"/>
  <c r="AK85" i="2"/>
  <c r="AA88" i="2"/>
  <c r="H91" i="2"/>
  <c r="O91" i="2"/>
  <c r="AP123" i="2"/>
  <c r="AW123" i="2"/>
  <c r="AQ129" i="2"/>
  <c r="AW128" i="2"/>
  <c r="AP128" i="2"/>
  <c r="AW124" i="2"/>
  <c r="AP124" i="2"/>
  <c r="AQ125" i="2"/>
  <c r="AX129" i="2"/>
  <c r="AX125" i="2"/>
  <c r="AW113" i="2"/>
  <c r="AX115" i="2"/>
  <c r="AQ121" i="2"/>
  <c r="AP113" i="2"/>
  <c r="AX121" i="2"/>
  <c r="AQ115" i="2"/>
  <c r="AW107" i="2"/>
  <c r="AW101" i="2"/>
  <c r="AP101" i="2"/>
  <c r="AW105" i="2"/>
  <c r="AP107" i="2"/>
  <c r="AP105" i="2"/>
  <c r="AX95" i="2"/>
  <c r="AW93" i="2"/>
  <c r="AQ93" i="2"/>
  <c r="AQ85" i="2"/>
  <c r="AX85" i="2"/>
  <c r="AP136" i="2"/>
  <c r="AQ134" i="2"/>
  <c r="AQ138" i="2"/>
  <c r="AQ139" i="2"/>
  <c r="AQ135" i="2"/>
  <c r="AX135" i="2"/>
  <c r="AX139" i="2"/>
  <c r="AP142" i="2"/>
  <c r="AP140" i="2"/>
  <c r="AP146" i="2"/>
  <c r="AQ144" i="2"/>
  <c r="AW140" i="2"/>
  <c r="AX134" i="2"/>
  <c r="AW142" i="2"/>
  <c r="AW146" i="2"/>
  <c r="AW136" i="2"/>
  <c r="AX144" i="2"/>
  <c r="AX138" i="2"/>
  <c r="M105" i="6" l="1"/>
  <c r="M107" i="6"/>
  <c r="O105" i="6"/>
  <c r="M101" i="6"/>
  <c r="O101" i="6"/>
  <c r="O107" i="6"/>
  <c r="AN106" i="2"/>
  <c r="G105" i="6"/>
  <c r="N93" i="6"/>
  <c r="O93" i="6"/>
  <c r="P95" i="6"/>
  <c r="P85" i="6"/>
  <c r="N85" i="6"/>
  <c r="AY85" i="2"/>
  <c r="N144" i="6"/>
  <c r="M146" i="6"/>
  <c r="O146" i="6"/>
  <c r="O140" i="6"/>
  <c r="M140" i="6"/>
  <c r="M142" i="6"/>
  <c r="O142" i="6"/>
  <c r="P139" i="6"/>
  <c r="P135" i="6"/>
  <c r="N135" i="6"/>
  <c r="N139" i="6"/>
  <c r="N138" i="6"/>
  <c r="N134" i="6"/>
  <c r="M136" i="6"/>
  <c r="O136" i="6"/>
  <c r="AY134" i="2"/>
  <c r="P134" i="6" s="1"/>
  <c r="H134" i="6"/>
  <c r="AY138" i="2"/>
  <c r="P138" i="6" s="1"/>
  <c r="H138" i="6"/>
  <c r="AR144" i="2"/>
  <c r="AZ144" i="2"/>
  <c r="BE146" i="2"/>
  <c r="BC146" i="2"/>
  <c r="Q146" i="6" s="1"/>
  <c r="BE140" i="2"/>
  <c r="BC140" i="2"/>
  <c r="Q140" i="6" s="1"/>
  <c r="BE142" i="2"/>
  <c r="BC142" i="2"/>
  <c r="Q142" i="6" s="1"/>
  <c r="AZ139" i="2"/>
  <c r="AZ135" i="2"/>
  <c r="AR135" i="2"/>
  <c r="AR139" i="2"/>
  <c r="AR138" i="2"/>
  <c r="AZ138" i="2"/>
  <c r="AR134" i="2"/>
  <c r="AZ134" i="2"/>
  <c r="BE136" i="2"/>
  <c r="BC136" i="2"/>
  <c r="Q136" i="6" s="1"/>
  <c r="BF138" i="2"/>
  <c r="BF134" i="2"/>
  <c r="BG135" i="2"/>
  <c r="BF135" i="2"/>
  <c r="BD135" i="2"/>
  <c r="R135" i="6" s="1"/>
  <c r="BG141" i="2"/>
  <c r="BF141" i="2"/>
  <c r="BD141" i="2"/>
  <c r="R141" i="6" s="1"/>
  <c r="AO146" i="2"/>
  <c r="H146" i="6" s="1"/>
  <c r="BG137" i="2"/>
  <c r="BF137" i="2"/>
  <c r="BD137" i="2"/>
  <c r="R137" i="6" s="1"/>
  <c r="AY144" i="2"/>
  <c r="P144" i="6" s="1"/>
  <c r="BG132" i="2"/>
  <c r="BF132" i="2"/>
  <c r="BD132" i="2"/>
  <c r="R132" i="6" s="1"/>
  <c r="AO140" i="2"/>
  <c r="H140" i="6" s="1"/>
  <c r="AO142" i="2"/>
  <c r="H142" i="6" s="1"/>
  <c r="AY139" i="2"/>
  <c r="AO136" i="2"/>
  <c r="H136" i="6" s="1"/>
  <c r="AY129" i="2"/>
  <c r="BD129" i="2" s="1"/>
  <c r="R129" i="6" s="1"/>
  <c r="AY125" i="2"/>
  <c r="BG125" i="2" s="1"/>
  <c r="N115" i="6"/>
  <c r="P121" i="6"/>
  <c r="M113" i="6"/>
  <c r="N121" i="6"/>
  <c r="P115" i="6"/>
  <c r="O113" i="6"/>
  <c r="P125" i="6"/>
  <c r="P129" i="6"/>
  <c r="N125" i="6"/>
  <c r="M124" i="6"/>
  <c r="O124" i="6"/>
  <c r="M128" i="6"/>
  <c r="O128" i="6"/>
  <c r="N129" i="6"/>
  <c r="O123" i="6"/>
  <c r="BC123" i="2"/>
  <c r="Q123" i="6" s="1"/>
  <c r="BE123" i="2"/>
  <c r="M123" i="6"/>
  <c r="AT123" i="2"/>
  <c r="G123" i="6"/>
  <c r="AO123" i="2"/>
  <c r="AZ125" i="2"/>
  <c r="AZ129" i="2"/>
  <c r="AR125" i="2"/>
  <c r="BE124" i="2"/>
  <c r="BC124" i="2"/>
  <c r="Q124" i="6" s="1"/>
  <c r="BE128" i="2"/>
  <c r="BC128" i="2"/>
  <c r="Q128" i="6" s="1"/>
  <c r="AR129" i="2"/>
  <c r="BF125" i="2"/>
  <c r="BD125" i="2"/>
  <c r="R125" i="6" s="1"/>
  <c r="AN126" i="2"/>
  <c r="G126" i="6" s="1"/>
  <c r="AM126" i="2"/>
  <c r="AO124" i="2"/>
  <c r="H124" i="6" s="1"/>
  <c r="AO128" i="2"/>
  <c r="H128" i="6" s="1"/>
  <c r="AT126" i="2"/>
  <c r="AR115" i="2"/>
  <c r="AZ121" i="2"/>
  <c r="AR121" i="2"/>
  <c r="AZ115" i="2"/>
  <c r="BE113" i="2"/>
  <c r="BC113" i="2"/>
  <c r="Q113" i="6" s="1"/>
  <c r="BF117" i="2"/>
  <c r="BG117" i="2"/>
  <c r="BD117" i="2"/>
  <c r="R117" i="6" s="1"/>
  <c r="AM113" i="2"/>
  <c r="AT122" i="2"/>
  <c r="AY121" i="2"/>
  <c r="AO113" i="2"/>
  <c r="H113" i="6" s="1"/>
  <c r="AN114" i="2"/>
  <c r="G114" i="6" s="1"/>
  <c r="AT116" i="2"/>
  <c r="AT118" i="2"/>
  <c r="AT113" i="2"/>
  <c r="AT120" i="2"/>
  <c r="AM122" i="2"/>
  <c r="AN122" i="2"/>
  <c r="G122" i="6" s="1"/>
  <c r="AM118" i="2"/>
  <c r="AN118" i="2"/>
  <c r="G118" i="6" s="1"/>
  <c r="AM120" i="2"/>
  <c r="AN120" i="2"/>
  <c r="G120" i="6" s="1"/>
  <c r="AM116" i="2"/>
  <c r="AN116" i="2"/>
  <c r="G116" i="6" s="1"/>
  <c r="AY115" i="2"/>
  <c r="BE101" i="2"/>
  <c r="BC101" i="2"/>
  <c r="Q101" i="6" s="1"/>
  <c r="BE105" i="2"/>
  <c r="BC105" i="2"/>
  <c r="Q105" i="6" s="1"/>
  <c r="BE107" i="2"/>
  <c r="BC107" i="2"/>
  <c r="Q107" i="6" s="1"/>
  <c r="AO106" i="2"/>
  <c r="H106" i="6" s="1"/>
  <c r="AT101" i="2"/>
  <c r="BG103" i="2"/>
  <c r="BF103" i="2"/>
  <c r="BD103" i="2"/>
  <c r="R103" i="6" s="1"/>
  <c r="R109" i="2"/>
  <c r="AN109" i="2"/>
  <c r="G109" i="6" s="1"/>
  <c r="AL109" i="2"/>
  <c r="AM109" i="2" s="1"/>
  <c r="AS109" i="2"/>
  <c r="R111" i="2"/>
  <c r="AL111" i="2"/>
  <c r="AS111" i="2"/>
  <c r="AN111" i="2"/>
  <c r="G111" i="6" s="1"/>
  <c r="AK108" i="2"/>
  <c r="AO101" i="2"/>
  <c r="H101" i="6" s="1"/>
  <c r="AO107" i="2"/>
  <c r="H107" i="6" s="1"/>
  <c r="AT105" i="2"/>
  <c r="R102" i="2"/>
  <c r="AL102" i="2"/>
  <c r="AS102" i="2"/>
  <c r="AT107" i="2"/>
  <c r="AY107" i="2" s="1"/>
  <c r="AM107" i="2"/>
  <c r="AO105" i="2"/>
  <c r="H105" i="6" s="1"/>
  <c r="AN104" i="2"/>
  <c r="G104" i="6" s="1"/>
  <c r="AT98" i="2"/>
  <c r="P99" i="2"/>
  <c r="Q99" i="2"/>
  <c r="AI99" i="2"/>
  <c r="J99" i="6" s="1"/>
  <c r="AK98" i="2"/>
  <c r="AM98" i="2"/>
  <c r="AR93" i="2"/>
  <c r="BE93" i="2"/>
  <c r="BC93" i="2"/>
  <c r="Q93" i="6" s="1"/>
  <c r="AZ95" i="2"/>
  <c r="BG95" i="2"/>
  <c r="BF95" i="2"/>
  <c r="AK92" i="2"/>
  <c r="AT93" i="2"/>
  <c r="R94" i="2"/>
  <c r="AL94" i="2"/>
  <c r="AS94" i="2"/>
  <c r="AI92" i="2"/>
  <c r="J92" i="6" s="1"/>
  <c r="P96" i="2"/>
  <c r="Q96" i="2"/>
  <c r="AK94" i="2"/>
  <c r="P92" i="2"/>
  <c r="Q92" i="2"/>
  <c r="AI96" i="2"/>
  <c r="J96" i="6" s="1"/>
  <c r="BD95" i="2"/>
  <c r="R95" i="6" s="1"/>
  <c r="R97" i="2"/>
  <c r="AS97" i="2"/>
  <c r="AL97" i="2"/>
  <c r="AN97" i="2"/>
  <c r="G97" i="6" s="1"/>
  <c r="AK96" i="2"/>
  <c r="AZ85" i="2"/>
  <c r="AR85" i="2"/>
  <c r="BG85" i="2"/>
  <c r="BF85" i="2"/>
  <c r="R90" i="2"/>
  <c r="AL90" i="2"/>
  <c r="AS90" i="2"/>
  <c r="R87" i="2"/>
  <c r="AL87" i="2"/>
  <c r="AM87" i="2" s="1"/>
  <c r="AN87" i="2"/>
  <c r="G87" i="6" s="1"/>
  <c r="AS87" i="2"/>
  <c r="AK86" i="2"/>
  <c r="Q88" i="2"/>
  <c r="P88" i="2"/>
  <c r="AI91" i="2"/>
  <c r="J91" i="6" s="1"/>
  <c r="AK90" i="2"/>
  <c r="Q91" i="2"/>
  <c r="P91" i="2"/>
  <c r="AK88" i="2"/>
  <c r="R89" i="2"/>
  <c r="AL89" i="2"/>
  <c r="AM89" i="2" s="1"/>
  <c r="AS89" i="2"/>
  <c r="AN89" i="2"/>
  <c r="G89" i="6" s="1"/>
  <c r="AK91" i="2"/>
  <c r="R86" i="2"/>
  <c r="AL86" i="2"/>
  <c r="AS86" i="2"/>
  <c r="AI88" i="2"/>
  <c r="J88" i="6" s="1"/>
  <c r="BD85" i="2"/>
  <c r="R85" i="6" s="1"/>
  <c r="AQ123" i="2"/>
  <c r="AX123" i="2"/>
  <c r="AX128" i="2"/>
  <c r="AQ128" i="2"/>
  <c r="AX124" i="2"/>
  <c r="AQ124" i="2"/>
  <c r="AW126" i="2"/>
  <c r="AP126" i="2"/>
  <c r="AW122" i="2"/>
  <c r="AP122" i="2"/>
  <c r="AW120" i="2"/>
  <c r="AP120" i="2"/>
  <c r="AQ113" i="2"/>
  <c r="AX113" i="2"/>
  <c r="AP114" i="2"/>
  <c r="AW114" i="2"/>
  <c r="AW118" i="2"/>
  <c r="AP118" i="2"/>
  <c r="AW116" i="2"/>
  <c r="AP116" i="2"/>
  <c r="AP109" i="2"/>
  <c r="AW106" i="2"/>
  <c r="AP106" i="2"/>
  <c r="AW111" i="2"/>
  <c r="AQ101" i="2"/>
  <c r="AP111" i="2"/>
  <c r="AP104" i="2"/>
  <c r="AX101" i="2"/>
  <c r="AQ107" i="2"/>
  <c r="AX106" i="2"/>
  <c r="AX105" i="2"/>
  <c r="AQ105" i="2"/>
  <c r="AQ106" i="2"/>
  <c r="AX107" i="2"/>
  <c r="AW109" i="2"/>
  <c r="AW104" i="2"/>
  <c r="AW97" i="2"/>
  <c r="AX93" i="2"/>
  <c r="AP97" i="2"/>
  <c r="AW87" i="2"/>
  <c r="AP89" i="2"/>
  <c r="AP87" i="2"/>
  <c r="AW89" i="2"/>
  <c r="AQ136" i="2"/>
  <c r="AQ146" i="2"/>
  <c r="AQ140" i="2"/>
  <c r="AQ142" i="2"/>
  <c r="AX146" i="2"/>
  <c r="AX142" i="2"/>
  <c r="AX140" i="2"/>
  <c r="AX136" i="2"/>
  <c r="BG134" i="2" l="1"/>
  <c r="BG138" i="2"/>
  <c r="O104" i="6"/>
  <c r="O109" i="6"/>
  <c r="P107" i="6"/>
  <c r="N106" i="6"/>
  <c r="N105" i="6"/>
  <c r="P105" i="6"/>
  <c r="N107" i="6"/>
  <c r="P101" i="6"/>
  <c r="M104" i="6"/>
  <c r="M111" i="6"/>
  <c r="N101" i="6"/>
  <c r="O111" i="6"/>
  <c r="M106" i="6"/>
  <c r="O106" i="6"/>
  <c r="BE106" i="2"/>
  <c r="BC106" i="2"/>
  <c r="Q106" i="6" s="1"/>
  <c r="M109" i="6"/>
  <c r="AY101" i="2"/>
  <c r="BD101" i="2" s="1"/>
  <c r="R101" i="6" s="1"/>
  <c r="AN108" i="2"/>
  <c r="AY105" i="2"/>
  <c r="BD105" i="2" s="1"/>
  <c r="R105" i="6" s="1"/>
  <c r="G106" i="6"/>
  <c r="M97" i="6"/>
  <c r="P93" i="6"/>
  <c r="O97" i="6"/>
  <c r="O89" i="6"/>
  <c r="M87" i="6"/>
  <c r="M89" i="6"/>
  <c r="O87" i="6"/>
  <c r="N142" i="6"/>
  <c r="N140" i="6"/>
  <c r="N146" i="6"/>
  <c r="N136" i="6"/>
  <c r="AY140" i="2"/>
  <c r="BD138" i="2"/>
  <c r="R138" i="6" s="1"/>
  <c r="BD134" i="2"/>
  <c r="R134" i="6" s="1"/>
  <c r="AY136" i="2"/>
  <c r="BF136" i="2" s="1"/>
  <c r="AY146" i="2"/>
  <c r="P146" i="6" s="1"/>
  <c r="AR142" i="2"/>
  <c r="AZ142" i="2"/>
  <c r="AZ140" i="2"/>
  <c r="AR140" i="2"/>
  <c r="AR146" i="2"/>
  <c r="AZ146" i="2"/>
  <c r="AZ136" i="2"/>
  <c r="AR136" i="2"/>
  <c r="BG146" i="2"/>
  <c r="BF144" i="2"/>
  <c r="BG144" i="2"/>
  <c r="BD144" i="2"/>
  <c r="R144" i="6" s="1"/>
  <c r="BG140" i="2"/>
  <c r="BF140" i="2"/>
  <c r="BG139" i="2"/>
  <c r="BF139" i="2"/>
  <c r="BD139" i="2"/>
  <c r="R139" i="6" s="1"/>
  <c r="AY142" i="2"/>
  <c r="P142" i="6" s="1"/>
  <c r="BF129" i="2"/>
  <c r="BG129" i="2"/>
  <c r="M116" i="6"/>
  <c r="O116" i="6"/>
  <c r="M118" i="6"/>
  <c r="O118" i="6"/>
  <c r="O114" i="6"/>
  <c r="M114" i="6"/>
  <c r="P113" i="6"/>
  <c r="N113" i="6"/>
  <c r="M120" i="6"/>
  <c r="O120" i="6"/>
  <c r="M122" i="6"/>
  <c r="O122" i="6"/>
  <c r="M126" i="6"/>
  <c r="O126" i="6"/>
  <c r="N124" i="6"/>
  <c r="N128" i="6"/>
  <c r="P123" i="6"/>
  <c r="AZ123" i="2"/>
  <c r="N123" i="6"/>
  <c r="AR123" i="2"/>
  <c r="AY123" i="2"/>
  <c r="H123" i="6"/>
  <c r="BE126" i="2"/>
  <c r="BC126" i="2"/>
  <c r="Q126" i="6" s="1"/>
  <c r="AR124" i="2"/>
  <c r="AZ124" i="2"/>
  <c r="AR128" i="2"/>
  <c r="AZ128" i="2"/>
  <c r="AO126" i="2"/>
  <c r="AY128" i="2"/>
  <c r="P128" i="6" s="1"/>
  <c r="AY124" i="2"/>
  <c r="P124" i="6" s="1"/>
  <c r="BE116" i="2"/>
  <c r="BC116" i="2"/>
  <c r="Q116" i="6" s="1"/>
  <c r="BE118" i="2"/>
  <c r="BC118" i="2"/>
  <c r="Q118" i="6" s="1"/>
  <c r="BE114" i="2"/>
  <c r="BC114" i="2"/>
  <c r="Q114" i="6" s="1"/>
  <c r="AZ113" i="2"/>
  <c r="AR113" i="2"/>
  <c r="BE120" i="2"/>
  <c r="BC120" i="2"/>
  <c r="Q120" i="6" s="1"/>
  <c r="BE122" i="2"/>
  <c r="BC122" i="2"/>
  <c r="Q122" i="6" s="1"/>
  <c r="BG121" i="2"/>
  <c r="BF121" i="2"/>
  <c r="BD121" i="2"/>
  <c r="R121" i="6" s="1"/>
  <c r="AO116" i="2"/>
  <c r="H116" i="6" s="1"/>
  <c r="AO118" i="2"/>
  <c r="H118" i="6" s="1"/>
  <c r="AO114" i="2"/>
  <c r="H114" i="6" s="1"/>
  <c r="AY113" i="2"/>
  <c r="AO120" i="2"/>
  <c r="AO122" i="2"/>
  <c r="H122" i="6" s="1"/>
  <c r="BG115" i="2"/>
  <c r="BF115" i="2"/>
  <c r="BD115" i="2"/>
  <c r="R115" i="6" s="1"/>
  <c r="BE104" i="2"/>
  <c r="BC104" i="2"/>
  <c r="Q104" i="6" s="1"/>
  <c r="BE109" i="2"/>
  <c r="BC109" i="2"/>
  <c r="Q109" i="6" s="1"/>
  <c r="AR106" i="2"/>
  <c r="AZ106" i="2"/>
  <c r="AR101" i="2"/>
  <c r="AR105" i="2"/>
  <c r="AR107" i="2"/>
  <c r="BE111" i="2"/>
  <c r="BC111" i="2"/>
  <c r="Q111" i="6" s="1"/>
  <c r="AZ107" i="2"/>
  <c r="AZ105" i="2"/>
  <c r="AZ101" i="2"/>
  <c r="BG107" i="2"/>
  <c r="BF107" i="2"/>
  <c r="BD107" i="2"/>
  <c r="R107" i="6" s="1"/>
  <c r="BG101" i="2"/>
  <c r="AO104" i="2"/>
  <c r="H104" i="6" s="1"/>
  <c r="AT102" i="2"/>
  <c r="AO108" i="2"/>
  <c r="H108" i="6" s="1"/>
  <c r="AO111" i="2"/>
  <c r="H111" i="6" s="1"/>
  <c r="AT109" i="2"/>
  <c r="AM102" i="2"/>
  <c r="AN102" i="2"/>
  <c r="G102" i="6" s="1"/>
  <c r="AM111" i="2"/>
  <c r="AO109" i="2"/>
  <c r="H109" i="6" s="1"/>
  <c r="AN110" i="2"/>
  <c r="G110" i="6" s="1"/>
  <c r="AY106" i="2"/>
  <c r="P106" i="6" s="1"/>
  <c r="BG105" i="2"/>
  <c r="AT111" i="2"/>
  <c r="R99" i="2"/>
  <c r="AL99" i="2"/>
  <c r="AM99" i="2" s="1"/>
  <c r="AS99" i="2"/>
  <c r="AN99" i="2"/>
  <c r="G99" i="6" s="1"/>
  <c r="AZ93" i="2"/>
  <c r="BE97" i="2"/>
  <c r="BC97" i="2"/>
  <c r="Q97" i="6" s="1"/>
  <c r="AT94" i="2"/>
  <c r="AM97" i="2"/>
  <c r="R96" i="2"/>
  <c r="AL96" i="2"/>
  <c r="AS96" i="2"/>
  <c r="AM94" i="2"/>
  <c r="AN94" i="2"/>
  <c r="G94" i="6" s="1"/>
  <c r="AT97" i="2"/>
  <c r="R92" i="2"/>
  <c r="AS92" i="2"/>
  <c r="AL92" i="2"/>
  <c r="AY93" i="2"/>
  <c r="AO97" i="2"/>
  <c r="H97" i="6" s="1"/>
  <c r="BE89" i="2"/>
  <c r="BC89" i="2"/>
  <c r="Q89" i="6" s="1"/>
  <c r="BE87" i="2"/>
  <c r="BC87" i="2"/>
  <c r="Q87" i="6" s="1"/>
  <c r="AT89" i="2"/>
  <c r="R91" i="2"/>
  <c r="AN91" i="2"/>
  <c r="G91" i="6" s="1"/>
  <c r="AL91" i="2"/>
  <c r="AM91" i="2" s="1"/>
  <c r="AS91" i="2"/>
  <c r="R88" i="2"/>
  <c r="AL88" i="2"/>
  <c r="AS88" i="2"/>
  <c r="AT86" i="2"/>
  <c r="AO89" i="2"/>
  <c r="H89" i="6" s="1"/>
  <c r="AT87" i="2"/>
  <c r="AT90" i="2"/>
  <c r="AM86" i="2"/>
  <c r="AN86" i="2"/>
  <c r="G86" i="6" s="1"/>
  <c r="AO87" i="2"/>
  <c r="H87" i="6" s="1"/>
  <c r="AM90" i="2"/>
  <c r="AX126" i="2"/>
  <c r="AQ126" i="2"/>
  <c r="AX116" i="2"/>
  <c r="AQ116" i="2"/>
  <c r="AX120" i="2"/>
  <c r="AQ120" i="2"/>
  <c r="AX118" i="2"/>
  <c r="AQ118" i="2"/>
  <c r="AX122" i="2"/>
  <c r="AQ122" i="2"/>
  <c r="AQ114" i="2"/>
  <c r="AX114" i="2"/>
  <c r="AX108" i="2"/>
  <c r="AX109" i="2"/>
  <c r="AX111" i="2"/>
  <c r="AQ111" i="2"/>
  <c r="AW102" i="2"/>
  <c r="AQ108" i="2"/>
  <c r="AP110" i="2"/>
  <c r="AQ109" i="2"/>
  <c r="AQ104" i="2"/>
  <c r="AW108" i="2"/>
  <c r="AP108" i="2"/>
  <c r="AX104" i="2"/>
  <c r="AW110" i="2"/>
  <c r="AP102" i="2"/>
  <c r="AX97" i="2"/>
  <c r="AQ97" i="2"/>
  <c r="AW99" i="2"/>
  <c r="AW94" i="2"/>
  <c r="AP99" i="2"/>
  <c r="AP94" i="2"/>
  <c r="AP86" i="2"/>
  <c r="AW91" i="2"/>
  <c r="AP91" i="2"/>
  <c r="AQ89" i="2"/>
  <c r="AX87" i="2"/>
  <c r="AW86" i="2"/>
  <c r="AX89" i="2"/>
  <c r="AQ87" i="2"/>
  <c r="M102" i="6" l="1"/>
  <c r="O110" i="6"/>
  <c r="M108" i="6"/>
  <c r="O108" i="6"/>
  <c r="BE108" i="2"/>
  <c r="BC108" i="2"/>
  <c r="Q108" i="6" s="1"/>
  <c r="N104" i="6"/>
  <c r="N109" i="6"/>
  <c r="M110" i="6"/>
  <c r="N108" i="6"/>
  <c r="O102" i="6"/>
  <c r="N111" i="6"/>
  <c r="P111" i="6"/>
  <c r="P109" i="6"/>
  <c r="BF101" i="2"/>
  <c r="AY109" i="2"/>
  <c r="BD109" i="2" s="1"/>
  <c r="R109" i="6" s="1"/>
  <c r="G108" i="6"/>
  <c r="BF105" i="2"/>
  <c r="AY104" i="2"/>
  <c r="M94" i="6"/>
  <c r="M99" i="6"/>
  <c r="O94" i="6"/>
  <c r="O99" i="6"/>
  <c r="N97" i="6"/>
  <c r="P97" i="6"/>
  <c r="N87" i="6"/>
  <c r="P89" i="6"/>
  <c r="O86" i="6"/>
  <c r="P87" i="6"/>
  <c r="N89" i="6"/>
  <c r="M91" i="6"/>
  <c r="O91" i="6"/>
  <c r="M86" i="6"/>
  <c r="AN90" i="2"/>
  <c r="BD146" i="2"/>
  <c r="R146" i="6" s="1"/>
  <c r="BF146" i="2"/>
  <c r="BD136" i="2"/>
  <c r="R136" i="6" s="1"/>
  <c r="P136" i="6"/>
  <c r="BG136" i="2"/>
  <c r="BD140" i="2"/>
  <c r="R140" i="6" s="1"/>
  <c r="P140" i="6"/>
  <c r="BF142" i="2"/>
  <c r="BG142" i="2"/>
  <c r="BD142" i="2"/>
  <c r="R142" i="6" s="1"/>
  <c r="N114" i="6"/>
  <c r="N122" i="6"/>
  <c r="N118" i="6"/>
  <c r="N120" i="6"/>
  <c r="N116" i="6"/>
  <c r="N126" i="6"/>
  <c r="AY120" i="2"/>
  <c r="P120" i="6" s="1"/>
  <c r="H120" i="6"/>
  <c r="AY118" i="2"/>
  <c r="P118" i="6" s="1"/>
  <c r="AY122" i="2"/>
  <c r="BG122" i="2" s="1"/>
  <c r="AY114" i="2"/>
  <c r="AY126" i="2"/>
  <c r="P126" i="6" s="1"/>
  <c r="H126" i="6"/>
  <c r="BG123" i="2"/>
  <c r="BF123" i="2"/>
  <c r="BD123" i="2"/>
  <c r="R123" i="6" s="1"/>
  <c r="AR126" i="2"/>
  <c r="AZ126" i="2"/>
  <c r="BG124" i="2"/>
  <c r="BF124" i="2"/>
  <c r="BD124" i="2"/>
  <c r="R124" i="6" s="1"/>
  <c r="BG128" i="2"/>
  <c r="BF128" i="2"/>
  <c r="BD128" i="2"/>
  <c r="R128" i="6" s="1"/>
  <c r="AZ114" i="2"/>
  <c r="AR114" i="2"/>
  <c r="AR122" i="2"/>
  <c r="AZ122" i="2"/>
  <c r="AR118" i="2"/>
  <c r="AZ118" i="2"/>
  <c r="AR120" i="2"/>
  <c r="AZ120" i="2"/>
  <c r="AR116" i="2"/>
  <c r="AZ116" i="2"/>
  <c r="BF120" i="2"/>
  <c r="BG120" i="2"/>
  <c r="BD120" i="2"/>
  <c r="R120" i="6" s="1"/>
  <c r="BF113" i="2"/>
  <c r="BG113" i="2"/>
  <c r="BD113" i="2"/>
  <c r="R113" i="6" s="1"/>
  <c r="BG118" i="2"/>
  <c r="BF118" i="2"/>
  <c r="BG114" i="2"/>
  <c r="BF114" i="2"/>
  <c r="BD118" i="2"/>
  <c r="R118" i="6" s="1"/>
  <c r="AY116" i="2"/>
  <c r="P116" i="6" s="1"/>
  <c r="BE102" i="2"/>
  <c r="BC102" i="2"/>
  <c r="Q102" i="6" s="1"/>
  <c r="AZ111" i="2"/>
  <c r="BE110" i="2"/>
  <c r="BC110" i="2"/>
  <c r="Q110" i="6" s="1"/>
  <c r="AR109" i="2"/>
  <c r="AZ109" i="2"/>
  <c r="AR104" i="2"/>
  <c r="AZ104" i="2"/>
  <c r="AR111" i="2"/>
  <c r="AZ108" i="2"/>
  <c r="AR108" i="2"/>
  <c r="BG106" i="2"/>
  <c r="BF106" i="2"/>
  <c r="BD106" i="2"/>
  <c r="R106" i="6" s="1"/>
  <c r="AO102" i="2"/>
  <c r="H102" i="6" s="1"/>
  <c r="AO110" i="2"/>
  <c r="H110" i="6" s="1"/>
  <c r="AY111" i="2"/>
  <c r="AY108" i="2"/>
  <c r="P108" i="6" s="1"/>
  <c r="BG104" i="2"/>
  <c r="BF104" i="2"/>
  <c r="BE99" i="2"/>
  <c r="BC99" i="2"/>
  <c r="Q99" i="6" s="1"/>
  <c r="AO99" i="2"/>
  <c r="H99" i="6" s="1"/>
  <c r="AN98" i="2"/>
  <c r="G98" i="6" s="1"/>
  <c r="AT99" i="2"/>
  <c r="BE94" i="2"/>
  <c r="BC94" i="2"/>
  <c r="Q94" i="6" s="1"/>
  <c r="AR97" i="2"/>
  <c r="AZ97" i="2"/>
  <c r="BG93" i="2"/>
  <c r="BF93" i="2"/>
  <c r="BD93" i="2"/>
  <c r="R93" i="6" s="1"/>
  <c r="AM96" i="2"/>
  <c r="AN96" i="2"/>
  <c r="G96" i="6" s="1"/>
  <c r="AM92" i="2"/>
  <c r="AN92" i="2"/>
  <c r="G92" i="6" s="1"/>
  <c r="AO94" i="2"/>
  <c r="H94" i="6" s="1"/>
  <c r="AT92" i="2"/>
  <c r="AT96" i="2"/>
  <c r="AY97" i="2"/>
  <c r="AR87" i="2"/>
  <c r="AZ87" i="2"/>
  <c r="BE91" i="2"/>
  <c r="BC91" i="2"/>
  <c r="Q91" i="6" s="1"/>
  <c r="AZ89" i="2"/>
  <c r="BE86" i="2"/>
  <c r="BC86" i="2"/>
  <c r="Q86" i="6" s="1"/>
  <c r="AR89" i="2"/>
  <c r="AT88" i="2"/>
  <c r="AN88" i="2"/>
  <c r="G88" i="6" s="1"/>
  <c r="AM88" i="2"/>
  <c r="AO91" i="2"/>
  <c r="H91" i="6" s="1"/>
  <c r="AY87" i="2"/>
  <c r="AT91" i="2"/>
  <c r="AO90" i="2"/>
  <c r="H90" i="6" s="1"/>
  <c r="AO86" i="2"/>
  <c r="H86" i="6" s="1"/>
  <c r="AY89" i="2"/>
  <c r="AX110" i="2"/>
  <c r="AQ110" i="2"/>
  <c r="AX102" i="2"/>
  <c r="AQ102" i="2"/>
  <c r="AX99" i="2"/>
  <c r="AW96" i="2"/>
  <c r="AP96" i="2"/>
  <c r="AP98" i="2"/>
  <c r="AQ99" i="2"/>
  <c r="AQ94" i="2"/>
  <c r="AW98" i="2"/>
  <c r="AX94" i="2"/>
  <c r="AW90" i="2"/>
  <c r="AP90" i="2"/>
  <c r="AX90" i="2"/>
  <c r="AP92" i="2"/>
  <c r="AQ90" i="2"/>
  <c r="AW88" i="2"/>
  <c r="AQ91" i="2"/>
  <c r="AP88" i="2"/>
  <c r="AX86" i="2"/>
  <c r="AX91" i="2"/>
  <c r="AW92" i="2"/>
  <c r="AQ86" i="2"/>
  <c r="N102" i="6" l="1"/>
  <c r="N110" i="6"/>
  <c r="P104" i="6"/>
  <c r="BD104" i="2"/>
  <c r="R104" i="6" s="1"/>
  <c r="BG109" i="2"/>
  <c r="BF109" i="2"/>
  <c r="O98" i="6"/>
  <c r="N94" i="6"/>
  <c r="N99" i="6"/>
  <c r="M98" i="6"/>
  <c r="M96" i="6"/>
  <c r="O96" i="6"/>
  <c r="P99" i="6"/>
  <c r="AY94" i="2"/>
  <c r="N86" i="6"/>
  <c r="O92" i="6"/>
  <c r="P91" i="6"/>
  <c r="M88" i="6"/>
  <c r="N91" i="6"/>
  <c r="O88" i="6"/>
  <c r="N90" i="6"/>
  <c r="M92" i="6"/>
  <c r="M90" i="6"/>
  <c r="O90" i="6"/>
  <c r="AY90" i="2"/>
  <c r="P90" i="6" s="1"/>
  <c r="BE90" i="2"/>
  <c r="BC90" i="2"/>
  <c r="Q90" i="6" s="1"/>
  <c r="G90" i="6"/>
  <c r="BF122" i="2"/>
  <c r="BF126" i="2"/>
  <c r="BD114" i="2"/>
  <c r="R114" i="6" s="1"/>
  <c r="P114" i="6"/>
  <c r="BG126" i="2"/>
  <c r="BD122" i="2"/>
  <c r="R122" i="6" s="1"/>
  <c r="P122" i="6"/>
  <c r="BD126" i="2"/>
  <c r="R126" i="6" s="1"/>
  <c r="BF116" i="2"/>
  <c r="BG116" i="2"/>
  <c r="BD116" i="2"/>
  <c r="R116" i="6" s="1"/>
  <c r="AR110" i="2"/>
  <c r="AZ110" i="2"/>
  <c r="AR102" i="2"/>
  <c r="AZ102" i="2"/>
  <c r="BG108" i="2"/>
  <c r="BF108" i="2"/>
  <c r="BD108" i="2"/>
  <c r="R108" i="6" s="1"/>
  <c r="AY110" i="2"/>
  <c r="P110" i="6" s="1"/>
  <c r="AY102" i="2"/>
  <c r="P102" i="6" s="1"/>
  <c r="BG111" i="2"/>
  <c r="BF111" i="2"/>
  <c r="BD111" i="2"/>
  <c r="R111" i="6" s="1"/>
  <c r="AY98" i="2"/>
  <c r="BE98" i="2"/>
  <c r="BC98" i="2"/>
  <c r="Q98" i="6" s="1"/>
  <c r="AR99" i="2"/>
  <c r="AZ99" i="2"/>
  <c r="AO98" i="2"/>
  <c r="H98" i="6" s="1"/>
  <c r="AY99" i="2"/>
  <c r="AR94" i="2"/>
  <c r="AZ94" i="2"/>
  <c r="BE92" i="2"/>
  <c r="BC92" i="2"/>
  <c r="Q92" i="6" s="1"/>
  <c r="BE96" i="2"/>
  <c r="AY96" i="2"/>
  <c r="P96" i="6" s="1"/>
  <c r="BC96" i="2"/>
  <c r="Q96" i="6" s="1"/>
  <c r="BG97" i="2"/>
  <c r="BF97" i="2"/>
  <c r="BD97" i="2"/>
  <c r="R97" i="6" s="1"/>
  <c r="AO92" i="2"/>
  <c r="H92" i="6" s="1"/>
  <c r="AO96" i="2"/>
  <c r="H96" i="6" s="1"/>
  <c r="BG94" i="2"/>
  <c r="BF94" i="2"/>
  <c r="AZ91" i="2"/>
  <c r="BE88" i="2"/>
  <c r="BC88" i="2"/>
  <c r="Q88" i="6" s="1"/>
  <c r="AR86" i="2"/>
  <c r="AZ86" i="2"/>
  <c r="AR91" i="2"/>
  <c r="AR90" i="2"/>
  <c r="AZ90" i="2"/>
  <c r="AO88" i="2"/>
  <c r="H88" i="6" s="1"/>
  <c r="BG89" i="2"/>
  <c r="BF89" i="2"/>
  <c r="BD89" i="2"/>
  <c r="R89" i="6" s="1"/>
  <c r="AY86" i="2"/>
  <c r="P86" i="6" s="1"/>
  <c r="BF87" i="2"/>
  <c r="BG87" i="2"/>
  <c r="BD87" i="2"/>
  <c r="R87" i="6" s="1"/>
  <c r="AY91" i="2"/>
  <c r="AQ98" i="2"/>
  <c r="AQ96" i="2"/>
  <c r="AX98" i="2"/>
  <c r="AX96" i="2"/>
  <c r="AQ92" i="2"/>
  <c r="AX88" i="2"/>
  <c r="AX92" i="2"/>
  <c r="AQ88" i="2"/>
  <c r="N96" i="6" l="1"/>
  <c r="N98" i="6"/>
  <c r="BD94" i="2"/>
  <c r="R94" i="6" s="1"/>
  <c r="P94" i="6"/>
  <c r="BD98" i="2"/>
  <c r="R98" i="6" s="1"/>
  <c r="P98" i="6"/>
  <c r="N88" i="6"/>
  <c r="N92" i="6"/>
  <c r="BF90" i="2"/>
  <c r="BD90" i="2"/>
  <c r="R90" i="6" s="1"/>
  <c r="BG90" i="2"/>
  <c r="AY88" i="2"/>
  <c r="P88" i="6" s="1"/>
  <c r="BF110" i="2"/>
  <c r="BG110" i="2"/>
  <c r="BD110" i="2"/>
  <c r="R110" i="6" s="1"/>
  <c r="BG102" i="2"/>
  <c r="BF102" i="2"/>
  <c r="BD102" i="2"/>
  <c r="R102" i="6" s="1"/>
  <c r="AR98" i="2"/>
  <c r="AZ98" i="2"/>
  <c r="BG99" i="2"/>
  <c r="BF99" i="2"/>
  <c r="BD99" i="2"/>
  <c r="R99" i="6" s="1"/>
  <c r="BG98" i="2"/>
  <c r="BF98" i="2"/>
  <c r="AR92" i="2"/>
  <c r="AZ92" i="2"/>
  <c r="AR96" i="2"/>
  <c r="AZ96" i="2"/>
  <c r="BF96" i="2"/>
  <c r="BG96" i="2"/>
  <c r="AY92" i="2"/>
  <c r="P92" i="6" s="1"/>
  <c r="BD96" i="2"/>
  <c r="R96" i="6" s="1"/>
  <c r="AR88" i="2"/>
  <c r="AZ88" i="2"/>
  <c r="BG88" i="2"/>
  <c r="BG86" i="2"/>
  <c r="BF86" i="2"/>
  <c r="BD86" i="2"/>
  <c r="R86" i="6" s="1"/>
  <c r="BF91" i="2"/>
  <c r="BG91" i="2"/>
  <c r="BD91" i="2"/>
  <c r="R91" i="6" s="1"/>
  <c r="BD88" i="2" l="1"/>
  <c r="R88" i="6" s="1"/>
  <c r="BF88" i="2"/>
  <c r="BF92" i="2"/>
  <c r="BG92" i="2"/>
  <c r="BD92" i="2"/>
  <c r="R92" i="6" s="1"/>
  <c r="S83" i="6" l="1"/>
  <c r="L83" i="6"/>
  <c r="K83" i="6"/>
  <c r="F83" i="6"/>
  <c r="E83" i="6"/>
  <c r="D83" i="6"/>
  <c r="C83" i="6"/>
  <c r="B83" i="6"/>
  <c r="A83" i="6"/>
  <c r="S82" i="6"/>
  <c r="L82" i="6"/>
  <c r="K82" i="6"/>
  <c r="F82" i="6"/>
  <c r="E82" i="6"/>
  <c r="D82" i="6"/>
  <c r="C82" i="6"/>
  <c r="B82" i="6"/>
  <c r="A82" i="6"/>
  <c r="S81" i="6"/>
  <c r="L81" i="6"/>
  <c r="K81" i="6"/>
  <c r="F81" i="6"/>
  <c r="E81" i="6"/>
  <c r="D81" i="6"/>
  <c r="C81" i="6"/>
  <c r="B81" i="6"/>
  <c r="A81" i="6"/>
  <c r="S80" i="6"/>
  <c r="L80" i="6"/>
  <c r="K80" i="6"/>
  <c r="F80" i="6"/>
  <c r="E80" i="6"/>
  <c r="D80" i="6"/>
  <c r="C80" i="6"/>
  <c r="B80" i="6"/>
  <c r="A80" i="6"/>
  <c r="S79" i="6"/>
  <c r="L79" i="6"/>
  <c r="K79" i="6"/>
  <c r="F79" i="6"/>
  <c r="E79" i="6"/>
  <c r="D79" i="6"/>
  <c r="C79" i="6"/>
  <c r="B79" i="6"/>
  <c r="A79" i="6"/>
  <c r="S78" i="6"/>
  <c r="L78" i="6"/>
  <c r="K78" i="6"/>
  <c r="F78" i="6"/>
  <c r="E78" i="6"/>
  <c r="D78" i="6"/>
  <c r="C78" i="6"/>
  <c r="B78" i="6"/>
  <c r="A78" i="6"/>
  <c r="S77" i="6"/>
  <c r="L77" i="6"/>
  <c r="K77" i="6"/>
  <c r="F77" i="6"/>
  <c r="E77" i="6"/>
  <c r="D77" i="6"/>
  <c r="C77" i="6"/>
  <c r="B77" i="6"/>
  <c r="A77" i="6"/>
  <c r="BB83" i="2"/>
  <c r="BA83" i="2"/>
  <c r="AV83" i="2"/>
  <c r="AD83" i="2"/>
  <c r="AF83" i="2" s="1"/>
  <c r="X83" i="2"/>
  <c r="Z83" i="2" s="1"/>
  <c r="S83" i="2"/>
  <c r="U83" i="2" s="1"/>
  <c r="J83" i="2"/>
  <c r="L83" i="2" s="1"/>
  <c r="M83" i="2" s="1"/>
  <c r="E83" i="2"/>
  <c r="G83" i="2" s="1"/>
  <c r="D83" i="2"/>
  <c r="C83" i="2"/>
  <c r="B83" i="2"/>
  <c r="A83" i="2"/>
  <c r="BB82" i="2"/>
  <c r="BA82" i="2"/>
  <c r="AV82" i="2"/>
  <c r="AE82" i="2"/>
  <c r="AD82" i="2"/>
  <c r="AF82" i="2" s="1"/>
  <c r="Y82" i="2"/>
  <c r="X82" i="2"/>
  <c r="Z82" i="2" s="1"/>
  <c r="T82" i="2"/>
  <c r="S82" i="2"/>
  <c r="K82" i="2"/>
  <c r="J82" i="2"/>
  <c r="L82" i="2" s="1"/>
  <c r="M82" i="2" s="1"/>
  <c r="F82" i="2"/>
  <c r="E82" i="2"/>
  <c r="G82" i="2" s="1"/>
  <c r="D82" i="2"/>
  <c r="C82" i="2"/>
  <c r="B82" i="2"/>
  <c r="A82" i="2"/>
  <c r="BB81" i="2"/>
  <c r="BA81" i="2"/>
  <c r="AV81" i="2"/>
  <c r="AJ81" i="2"/>
  <c r="AD81" i="2"/>
  <c r="AF81" i="2" s="1"/>
  <c r="Z81" i="2"/>
  <c r="Y81" i="2"/>
  <c r="X81" i="2"/>
  <c r="U81" i="2"/>
  <c r="T81" i="2"/>
  <c r="S81" i="2"/>
  <c r="G81" i="2"/>
  <c r="F81" i="2"/>
  <c r="E81" i="2"/>
  <c r="C81" i="2"/>
  <c r="B81" i="2"/>
  <c r="A81" i="2"/>
  <c r="BB80" i="2"/>
  <c r="BA80" i="2"/>
  <c r="AV80" i="2"/>
  <c r="AE80" i="2"/>
  <c r="AD80" i="2"/>
  <c r="AF80" i="2" s="1"/>
  <c r="AG80" i="2" s="1"/>
  <c r="AA80" i="2"/>
  <c r="Z80" i="2"/>
  <c r="Y80" i="2"/>
  <c r="X80" i="2"/>
  <c r="T80" i="2"/>
  <c r="S80" i="2"/>
  <c r="H80" i="2"/>
  <c r="G80" i="2"/>
  <c r="O80" i="2" s="1"/>
  <c r="F80" i="2"/>
  <c r="E80" i="2"/>
  <c r="D80" i="2"/>
  <c r="C80" i="2"/>
  <c r="J80" i="2" s="1"/>
  <c r="B80" i="2"/>
  <c r="A80" i="2"/>
  <c r="BB79" i="2"/>
  <c r="BA79" i="2"/>
  <c r="AV79" i="2"/>
  <c r="AD79" i="2"/>
  <c r="X79" i="2"/>
  <c r="S79" i="2"/>
  <c r="J79" i="2"/>
  <c r="E79" i="2"/>
  <c r="D79" i="2"/>
  <c r="C79" i="2"/>
  <c r="B79" i="2"/>
  <c r="A79" i="2"/>
  <c r="BB78" i="2"/>
  <c r="BA78" i="2"/>
  <c r="AV78" i="2"/>
  <c r="AD78" i="2"/>
  <c r="AF78" i="2" s="1"/>
  <c r="X78" i="2"/>
  <c r="Z78" i="2" s="1"/>
  <c r="S78" i="2"/>
  <c r="J78" i="2"/>
  <c r="L78" i="2" s="1"/>
  <c r="M78" i="2" s="1"/>
  <c r="E78" i="2"/>
  <c r="G78" i="2" s="1"/>
  <c r="H78" i="2" s="1"/>
  <c r="D78" i="2"/>
  <c r="C78" i="2"/>
  <c r="B78" i="2"/>
  <c r="A78" i="2"/>
  <c r="BB77" i="2"/>
  <c r="BA77" i="2"/>
  <c r="AV77" i="2"/>
  <c r="AD77" i="2"/>
  <c r="AF77" i="2" s="1"/>
  <c r="Z77" i="2"/>
  <c r="Y77" i="2"/>
  <c r="X77" i="2"/>
  <c r="U77" i="2"/>
  <c r="T77" i="2"/>
  <c r="S77" i="2"/>
  <c r="G77" i="2"/>
  <c r="F77" i="2"/>
  <c r="E77" i="2"/>
  <c r="C77" i="2"/>
  <c r="B77" i="2"/>
  <c r="A77" i="2"/>
  <c r="AE81" i="2" l="1"/>
  <c r="AE78" i="2"/>
  <c r="AE77" i="2"/>
  <c r="AH77" i="2"/>
  <c r="I77" i="6" s="1"/>
  <c r="AG77" i="2"/>
  <c r="L80" i="2"/>
  <c r="M80" i="2" s="1"/>
  <c r="K80" i="2"/>
  <c r="AA81" i="2"/>
  <c r="O82" i="2"/>
  <c r="H82" i="2"/>
  <c r="K78" i="2"/>
  <c r="U79" i="2"/>
  <c r="T79" i="2"/>
  <c r="J81" i="2"/>
  <c r="D81" i="2"/>
  <c r="V81" i="2"/>
  <c r="U82" i="2"/>
  <c r="AH82" i="2"/>
  <c r="I82" i="6" s="1"/>
  <c r="AG82" i="2"/>
  <c r="V77" i="2"/>
  <c r="AJ77" i="2"/>
  <c r="O78" i="2"/>
  <c r="AA78" i="2"/>
  <c r="G79" i="2"/>
  <c r="F79" i="2"/>
  <c r="Z79" i="2"/>
  <c r="Y79" i="2"/>
  <c r="H83" i="2"/>
  <c r="O83" i="2"/>
  <c r="AG83" i="2"/>
  <c r="AH83" i="2"/>
  <c r="O77" i="2"/>
  <c r="H77" i="2"/>
  <c r="F78" i="2"/>
  <c r="Y78" i="2"/>
  <c r="L79" i="2"/>
  <c r="M79" i="2" s="1"/>
  <c r="K79" i="2"/>
  <c r="AF79" i="2"/>
  <c r="AE79" i="2"/>
  <c r="AH81" i="2"/>
  <c r="AG81" i="2"/>
  <c r="AA82" i="2"/>
  <c r="J77" i="2"/>
  <c r="D77" i="2"/>
  <c r="U78" i="2"/>
  <c r="AH78" i="2"/>
  <c r="AG78" i="2"/>
  <c r="Q80" i="2"/>
  <c r="P80" i="2"/>
  <c r="O81" i="2"/>
  <c r="H81" i="2"/>
  <c r="V83" i="2"/>
  <c r="AJ83" i="2"/>
  <c r="AA77" i="2"/>
  <c r="T78" i="2"/>
  <c r="AA83" i="2"/>
  <c r="AH80" i="2"/>
  <c r="F83" i="2"/>
  <c r="K83" i="2"/>
  <c r="T83" i="2"/>
  <c r="Y83" i="2"/>
  <c r="AE83" i="2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BB75" i="2"/>
  <c r="BA75" i="2"/>
  <c r="AV75" i="2"/>
  <c r="AD75" i="2"/>
  <c r="X75" i="2"/>
  <c r="S75" i="2"/>
  <c r="J75" i="2"/>
  <c r="E75" i="2"/>
  <c r="D75" i="2"/>
  <c r="C75" i="2"/>
  <c r="B75" i="2"/>
  <c r="A75" i="2"/>
  <c r="BB74" i="2"/>
  <c r="BA74" i="2"/>
  <c r="AV74" i="2"/>
  <c r="AF74" i="2"/>
  <c r="AG74" i="2" s="1"/>
  <c r="AE74" i="2"/>
  <c r="AD74" i="2"/>
  <c r="X74" i="2"/>
  <c r="S74" i="2"/>
  <c r="E74" i="2"/>
  <c r="C74" i="2"/>
  <c r="D74" i="2" s="1"/>
  <c r="B74" i="2"/>
  <c r="A74" i="2"/>
  <c r="BB73" i="2"/>
  <c r="BA73" i="2"/>
  <c r="AV73" i="2"/>
  <c r="AJ73" i="2"/>
  <c r="AF73" i="2"/>
  <c r="AE73" i="2"/>
  <c r="AD73" i="2"/>
  <c r="Z73" i="2"/>
  <c r="AS73" i="2" s="1"/>
  <c r="Y73" i="2"/>
  <c r="X73" i="2"/>
  <c r="U73" i="2"/>
  <c r="T73" i="2"/>
  <c r="S73" i="2"/>
  <c r="Q73" i="2"/>
  <c r="R73" i="2" s="1"/>
  <c r="P73" i="2"/>
  <c r="K73" i="2"/>
  <c r="H73" i="2"/>
  <c r="G73" i="2"/>
  <c r="O73" i="2" s="1"/>
  <c r="F73" i="2"/>
  <c r="E73" i="2"/>
  <c r="D73" i="2"/>
  <c r="C73" i="2"/>
  <c r="J73" i="2" s="1"/>
  <c r="L73" i="2" s="1"/>
  <c r="M73" i="2" s="1"/>
  <c r="B73" i="2"/>
  <c r="A73" i="2"/>
  <c r="BB72" i="2"/>
  <c r="BA72" i="2"/>
  <c r="AV72" i="2"/>
  <c r="AG72" i="2"/>
  <c r="AF72" i="2"/>
  <c r="AD72" i="2"/>
  <c r="AE72" i="2" s="1"/>
  <c r="Z72" i="2"/>
  <c r="X72" i="2"/>
  <c r="Y72" i="2" s="1"/>
  <c r="S72" i="2"/>
  <c r="G72" i="2"/>
  <c r="E72" i="2"/>
  <c r="F72" i="2" s="1"/>
  <c r="C72" i="2"/>
  <c r="J72" i="2" s="1"/>
  <c r="B72" i="2"/>
  <c r="A72" i="2"/>
  <c r="BB71" i="2"/>
  <c r="BA71" i="2"/>
  <c r="AV71" i="2"/>
  <c r="AD71" i="2"/>
  <c r="AA71" i="2"/>
  <c r="X71" i="2"/>
  <c r="Z71" i="2" s="1"/>
  <c r="V71" i="2"/>
  <c r="AK71" i="2" s="1"/>
  <c r="T71" i="2"/>
  <c r="S71" i="2"/>
  <c r="U71" i="2" s="1"/>
  <c r="AJ71" i="2" s="1"/>
  <c r="P71" i="2"/>
  <c r="O71" i="2"/>
  <c r="Q71" i="2" s="1"/>
  <c r="J71" i="2"/>
  <c r="H71" i="2"/>
  <c r="E71" i="2"/>
  <c r="G71" i="2" s="1"/>
  <c r="D71" i="2"/>
  <c r="C71" i="2"/>
  <c r="B71" i="2"/>
  <c r="A71" i="2"/>
  <c r="BB70" i="2"/>
  <c r="BA70" i="2"/>
  <c r="AV70" i="2"/>
  <c r="AF70" i="2"/>
  <c r="AE70" i="2"/>
  <c r="AD70" i="2"/>
  <c r="Z70" i="2"/>
  <c r="X70" i="2"/>
  <c r="Y70" i="2" s="1"/>
  <c r="T70" i="2"/>
  <c r="S70" i="2"/>
  <c r="U70" i="2" s="1"/>
  <c r="E70" i="2"/>
  <c r="G70" i="2" s="1"/>
  <c r="C70" i="2"/>
  <c r="D70" i="2" s="1"/>
  <c r="B70" i="2"/>
  <c r="A70" i="2"/>
  <c r="BB69" i="2"/>
  <c r="BA69" i="2"/>
  <c r="AV69" i="2"/>
  <c r="AJ69" i="2"/>
  <c r="AG69" i="2"/>
  <c r="AF69" i="2"/>
  <c r="AE69" i="2"/>
  <c r="AD69" i="2"/>
  <c r="AA69" i="2"/>
  <c r="Z69" i="2"/>
  <c r="Y69" i="2"/>
  <c r="X69" i="2"/>
  <c r="V69" i="2"/>
  <c r="AK69" i="2" s="1"/>
  <c r="U69" i="2"/>
  <c r="T69" i="2"/>
  <c r="S69" i="2"/>
  <c r="R69" i="2"/>
  <c r="Q69" i="2"/>
  <c r="P69" i="2"/>
  <c r="L69" i="2"/>
  <c r="M69" i="2" s="1"/>
  <c r="K69" i="2"/>
  <c r="H69" i="2"/>
  <c r="G69" i="2"/>
  <c r="O69" i="2" s="1"/>
  <c r="F69" i="2"/>
  <c r="E69" i="2"/>
  <c r="D69" i="2"/>
  <c r="C69" i="2"/>
  <c r="J69" i="2" s="1"/>
  <c r="B69" i="2"/>
  <c r="A69" i="2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BB67" i="2"/>
  <c r="BA67" i="2"/>
  <c r="AV67" i="2"/>
  <c r="AD67" i="2"/>
  <c r="AF67" i="2" s="1"/>
  <c r="X67" i="2"/>
  <c r="Z67" i="2" s="1"/>
  <c r="S67" i="2"/>
  <c r="U67" i="2" s="1"/>
  <c r="M67" i="2"/>
  <c r="J67" i="2"/>
  <c r="L67" i="2" s="1"/>
  <c r="H67" i="2"/>
  <c r="E67" i="2"/>
  <c r="G67" i="2" s="1"/>
  <c r="O67" i="2" s="1"/>
  <c r="D67" i="2"/>
  <c r="C67" i="2"/>
  <c r="B67" i="2"/>
  <c r="A67" i="2"/>
  <c r="BB66" i="2"/>
  <c r="BA66" i="2"/>
  <c r="AV66" i="2"/>
  <c r="AD66" i="2"/>
  <c r="X66" i="2"/>
  <c r="S66" i="2"/>
  <c r="J66" i="2"/>
  <c r="E66" i="2"/>
  <c r="D66" i="2"/>
  <c r="C66" i="2"/>
  <c r="B66" i="2"/>
  <c r="A66" i="2"/>
  <c r="BB65" i="2"/>
  <c r="BA65" i="2"/>
  <c r="AV65" i="2"/>
  <c r="AE65" i="2"/>
  <c r="AD65" i="2"/>
  <c r="AF65" i="2" s="1"/>
  <c r="AH65" i="2" s="1"/>
  <c r="Y65" i="2"/>
  <c r="X65" i="2"/>
  <c r="Z65" i="2" s="1"/>
  <c r="T65" i="2"/>
  <c r="S65" i="2"/>
  <c r="U65" i="2" s="1"/>
  <c r="K65" i="2"/>
  <c r="J65" i="2"/>
  <c r="L65" i="2" s="1"/>
  <c r="M65" i="2" s="1"/>
  <c r="F65" i="2"/>
  <c r="E65" i="2"/>
  <c r="G65" i="2" s="1"/>
  <c r="H65" i="2" s="1"/>
  <c r="C65" i="2"/>
  <c r="D65" i="2" s="1"/>
  <c r="B65" i="2"/>
  <c r="A65" i="2"/>
  <c r="BB64" i="2"/>
  <c r="BA64" i="2"/>
  <c r="AV64" i="2"/>
  <c r="AJ64" i="2"/>
  <c r="AF64" i="2"/>
  <c r="AE64" i="2"/>
  <c r="AD64" i="2"/>
  <c r="Z64" i="2"/>
  <c r="Y64" i="2"/>
  <c r="X64" i="2"/>
  <c r="U64" i="2"/>
  <c r="T64" i="2"/>
  <c r="S64" i="2"/>
  <c r="G64" i="2"/>
  <c r="F64" i="2"/>
  <c r="E64" i="2"/>
  <c r="C64" i="2"/>
  <c r="B64" i="2"/>
  <c r="A64" i="2"/>
  <c r="BB63" i="2"/>
  <c r="BA63" i="2"/>
  <c r="AV63" i="2"/>
  <c r="AG63" i="2"/>
  <c r="AF63" i="2"/>
  <c r="AD63" i="2"/>
  <c r="AE63" i="2" s="1"/>
  <c r="Z63" i="2"/>
  <c r="AA63" i="2" s="1"/>
  <c r="X63" i="2"/>
  <c r="Y63" i="2" s="1"/>
  <c r="V63" i="2"/>
  <c r="AK63" i="2" s="1"/>
  <c r="U63" i="2"/>
  <c r="S63" i="2"/>
  <c r="T63" i="2" s="1"/>
  <c r="L63" i="2"/>
  <c r="M63" i="2" s="1"/>
  <c r="G63" i="2"/>
  <c r="E63" i="2"/>
  <c r="F63" i="2" s="1"/>
  <c r="D63" i="2"/>
  <c r="C63" i="2"/>
  <c r="J63" i="2" s="1"/>
  <c r="K63" i="2" s="1"/>
  <c r="B63" i="2"/>
  <c r="A63" i="2"/>
  <c r="BB62" i="2"/>
  <c r="BA62" i="2"/>
  <c r="AV62" i="2"/>
  <c r="AL62" i="2"/>
  <c r="AG62" i="2"/>
  <c r="AD62" i="2"/>
  <c r="AF62" i="2" s="1"/>
  <c r="AH62" i="2" s="1"/>
  <c r="AI62" i="2" s="1"/>
  <c r="AA62" i="2"/>
  <c r="Y62" i="2"/>
  <c r="X62" i="2"/>
  <c r="Z62" i="2" s="1"/>
  <c r="S62" i="2"/>
  <c r="P62" i="2"/>
  <c r="O62" i="2"/>
  <c r="Q62" i="2" s="1"/>
  <c r="AS62" i="2" s="1"/>
  <c r="AT62" i="2" s="1"/>
  <c r="M62" i="2"/>
  <c r="J62" i="2"/>
  <c r="L62" i="2" s="1"/>
  <c r="H62" i="2"/>
  <c r="F62" i="2"/>
  <c r="E62" i="2"/>
  <c r="G62" i="2" s="1"/>
  <c r="D62" i="2"/>
  <c r="C62" i="2"/>
  <c r="B62" i="2"/>
  <c r="A62" i="2"/>
  <c r="BB61" i="2"/>
  <c r="BA61" i="2"/>
  <c r="AV61" i="2"/>
  <c r="AD61" i="2"/>
  <c r="X61" i="2"/>
  <c r="Z61" i="2" s="1"/>
  <c r="U61" i="2"/>
  <c r="S61" i="2"/>
  <c r="T61" i="2" s="1"/>
  <c r="J61" i="2"/>
  <c r="E61" i="2"/>
  <c r="G61" i="2" s="1"/>
  <c r="C61" i="2"/>
  <c r="D61" i="2" s="1"/>
  <c r="B61" i="2"/>
  <c r="A61" i="2"/>
  <c r="BB60" i="2"/>
  <c r="BA60" i="2"/>
  <c r="AV60" i="2"/>
  <c r="AF60" i="2"/>
  <c r="AE60" i="2"/>
  <c r="AD60" i="2"/>
  <c r="Z60" i="2"/>
  <c r="AA60" i="2" s="1"/>
  <c r="Y60" i="2"/>
  <c r="X60" i="2"/>
  <c r="T60" i="2"/>
  <c r="S60" i="2"/>
  <c r="G60" i="2"/>
  <c r="F60" i="2"/>
  <c r="E60" i="2"/>
  <c r="C60" i="2"/>
  <c r="B60" i="2"/>
  <c r="A60" i="2"/>
  <c r="BB59" i="2"/>
  <c r="BA59" i="2"/>
  <c r="AV59" i="2"/>
  <c r="AJ59" i="2"/>
  <c r="AG59" i="2"/>
  <c r="AF59" i="2"/>
  <c r="AE59" i="2"/>
  <c r="AD59" i="2"/>
  <c r="AA59" i="2"/>
  <c r="Z59" i="2"/>
  <c r="Y59" i="2"/>
  <c r="X59" i="2"/>
  <c r="V59" i="2"/>
  <c r="AK59" i="2" s="1"/>
  <c r="U59" i="2"/>
  <c r="T59" i="2"/>
  <c r="S59" i="2"/>
  <c r="L59" i="2"/>
  <c r="M59" i="2" s="1"/>
  <c r="G59" i="2"/>
  <c r="O59" i="2" s="1"/>
  <c r="Q59" i="2" s="1"/>
  <c r="F59" i="2"/>
  <c r="E59" i="2"/>
  <c r="C59" i="2"/>
  <c r="J59" i="2" s="1"/>
  <c r="K59" i="2" s="1"/>
  <c r="B59" i="2"/>
  <c r="A59" i="2"/>
  <c r="AI83" i="2" l="1"/>
  <c r="J83" i="6" s="1"/>
  <c r="I83" i="6"/>
  <c r="AI81" i="2"/>
  <c r="J81" i="6" s="1"/>
  <c r="I81" i="6"/>
  <c r="AI80" i="2"/>
  <c r="J80" i="6" s="1"/>
  <c r="I80" i="6"/>
  <c r="AI78" i="2"/>
  <c r="J78" i="6" s="1"/>
  <c r="I78" i="6"/>
  <c r="P81" i="2"/>
  <c r="Q81" i="2"/>
  <c r="L77" i="2"/>
  <c r="M77" i="2" s="1"/>
  <c r="K77" i="2"/>
  <c r="AK77" i="2"/>
  <c r="U80" i="2"/>
  <c r="V79" i="2"/>
  <c r="AJ79" i="2"/>
  <c r="Q77" i="2"/>
  <c r="P77" i="2"/>
  <c r="AA79" i="2"/>
  <c r="V82" i="2"/>
  <c r="AJ82" i="2"/>
  <c r="K81" i="2"/>
  <c r="L81" i="2"/>
  <c r="M81" i="2" s="1"/>
  <c r="R80" i="2"/>
  <c r="AS80" i="2"/>
  <c r="V78" i="2"/>
  <c r="AJ78" i="2"/>
  <c r="Q83" i="2"/>
  <c r="P83" i="2"/>
  <c r="Q78" i="2"/>
  <c r="P78" i="2"/>
  <c r="AK81" i="2"/>
  <c r="AL80" i="2"/>
  <c r="AI77" i="2"/>
  <c r="J77" i="6" s="1"/>
  <c r="AK83" i="2"/>
  <c r="AG79" i="2"/>
  <c r="AH79" i="2"/>
  <c r="I79" i="6" s="1"/>
  <c r="H79" i="2"/>
  <c r="O79" i="2"/>
  <c r="AI82" i="2"/>
  <c r="J82" i="6" s="1"/>
  <c r="Q82" i="2"/>
  <c r="P82" i="2"/>
  <c r="H70" i="2"/>
  <c r="O70" i="2"/>
  <c r="AS71" i="2"/>
  <c r="R71" i="2"/>
  <c r="O72" i="2"/>
  <c r="H72" i="2"/>
  <c r="AA72" i="2"/>
  <c r="G74" i="2"/>
  <c r="F74" i="2"/>
  <c r="Z74" i="2"/>
  <c r="Y74" i="2"/>
  <c r="F70" i="2"/>
  <c r="AS69" i="2"/>
  <c r="AL69" i="2"/>
  <c r="AM69" i="2" s="1"/>
  <c r="AH69" i="2"/>
  <c r="AI69" i="2" s="1"/>
  <c r="AN69" i="2"/>
  <c r="AG70" i="2"/>
  <c r="AH70" i="2"/>
  <c r="K72" i="2"/>
  <c r="L72" i="2"/>
  <c r="M72" i="2" s="1"/>
  <c r="T72" i="2"/>
  <c r="U72" i="2"/>
  <c r="AH72" i="2"/>
  <c r="AI72" i="2" s="1"/>
  <c r="V70" i="2"/>
  <c r="AA70" i="2"/>
  <c r="AJ70" i="2"/>
  <c r="L71" i="2"/>
  <c r="M71" i="2" s="1"/>
  <c r="K71" i="2"/>
  <c r="AF71" i="2"/>
  <c r="AE71" i="2"/>
  <c r="AT73" i="2"/>
  <c r="U74" i="2"/>
  <c r="AL73" i="2"/>
  <c r="AM73" i="2" s="1"/>
  <c r="AH73" i="2"/>
  <c r="L75" i="2"/>
  <c r="M75" i="2" s="1"/>
  <c r="K75" i="2"/>
  <c r="U75" i="2"/>
  <c r="T75" i="2"/>
  <c r="AF75" i="2"/>
  <c r="AE75" i="2"/>
  <c r="J70" i="2"/>
  <c r="F71" i="2"/>
  <c r="Y71" i="2"/>
  <c r="D72" i="2"/>
  <c r="V73" i="2"/>
  <c r="AA73" i="2"/>
  <c r="AG73" i="2"/>
  <c r="T74" i="2"/>
  <c r="AH74" i="2"/>
  <c r="AN73" i="2"/>
  <c r="J74" i="2"/>
  <c r="G75" i="2"/>
  <c r="F75" i="2"/>
  <c r="Z75" i="2"/>
  <c r="Y75" i="2"/>
  <c r="AN59" i="2"/>
  <c r="AS59" i="2"/>
  <c r="R59" i="2"/>
  <c r="T66" i="2"/>
  <c r="U66" i="2"/>
  <c r="J60" i="2"/>
  <c r="D60" i="2"/>
  <c r="O63" i="2"/>
  <c r="H63" i="2"/>
  <c r="K61" i="2"/>
  <c r="L61" i="2"/>
  <c r="M61" i="2" s="1"/>
  <c r="AA61" i="2"/>
  <c r="V64" i="2"/>
  <c r="D59" i="2"/>
  <c r="H59" i="2"/>
  <c r="P59" i="2"/>
  <c r="AE61" i="2"/>
  <c r="AF61" i="2"/>
  <c r="U62" i="2"/>
  <c r="T62" i="2"/>
  <c r="AA67" i="2"/>
  <c r="H61" i="2"/>
  <c r="O61" i="2"/>
  <c r="V61" i="2"/>
  <c r="AJ61" i="2"/>
  <c r="U60" i="2"/>
  <c r="AL59" i="2"/>
  <c r="AM59" i="2" s="1"/>
  <c r="AH59" i="2"/>
  <c r="AI59" i="2" s="1"/>
  <c r="O60" i="2"/>
  <c r="H60" i="2"/>
  <c r="K66" i="2"/>
  <c r="L66" i="2"/>
  <c r="M66" i="2" s="1"/>
  <c r="AH60" i="2"/>
  <c r="F61" i="2"/>
  <c r="Y61" i="2"/>
  <c r="D64" i="2"/>
  <c r="J64" i="2"/>
  <c r="AG64" i="2"/>
  <c r="AH64" i="2"/>
  <c r="AI64" i="2" s="1"/>
  <c r="F66" i="2"/>
  <c r="G66" i="2"/>
  <c r="AE66" i="2"/>
  <c r="AF66" i="2"/>
  <c r="AJ67" i="2"/>
  <c r="AH67" i="2"/>
  <c r="AI67" i="2" s="1"/>
  <c r="AG60" i="2"/>
  <c r="K62" i="2"/>
  <c r="R62" i="2"/>
  <c r="AM62" i="2" s="1"/>
  <c r="AE62" i="2"/>
  <c r="AJ63" i="2"/>
  <c r="AA64" i="2"/>
  <c r="O65" i="2"/>
  <c r="AA65" i="2"/>
  <c r="V67" i="2"/>
  <c r="AG67" i="2"/>
  <c r="AH63" i="2"/>
  <c r="AI63" i="2" s="1"/>
  <c r="H64" i="2"/>
  <c r="O64" i="2"/>
  <c r="AJ65" i="2"/>
  <c r="V65" i="2"/>
  <c r="AG65" i="2"/>
  <c r="AI65" i="2" s="1"/>
  <c r="Y66" i="2"/>
  <c r="Z66" i="2"/>
  <c r="Q67" i="2"/>
  <c r="R67" i="2" s="1"/>
  <c r="P67" i="2"/>
  <c r="F67" i="2"/>
  <c r="K67" i="2"/>
  <c r="T67" i="2"/>
  <c r="Y67" i="2"/>
  <c r="AE67" i="2"/>
  <c r="D25" i="9"/>
  <c r="C25" i="9"/>
  <c r="D24" i="9"/>
  <c r="D23" i="9"/>
  <c r="AW69" i="2"/>
  <c r="AW73" i="2"/>
  <c r="AP73" i="2"/>
  <c r="AP69" i="2"/>
  <c r="AP59" i="2"/>
  <c r="AW59" i="2"/>
  <c r="R78" i="2" l="1"/>
  <c r="AS78" i="2"/>
  <c r="AL78" i="2"/>
  <c r="AK78" i="2"/>
  <c r="R77" i="2"/>
  <c r="AL77" i="2"/>
  <c r="AM77" i="2" s="1"/>
  <c r="AS77" i="2"/>
  <c r="AN77" i="2"/>
  <c r="G77" i="6" s="1"/>
  <c r="AJ80" i="2"/>
  <c r="V80" i="2"/>
  <c r="R81" i="2"/>
  <c r="AN81" i="2"/>
  <c r="G81" i="6" s="1"/>
  <c r="AS81" i="2"/>
  <c r="AL81" i="2"/>
  <c r="Q79" i="2"/>
  <c r="P79" i="2"/>
  <c r="AM80" i="2"/>
  <c r="R83" i="2"/>
  <c r="AL83" i="2"/>
  <c r="AM83" i="2" s="1"/>
  <c r="AN83" i="2"/>
  <c r="G83" i="6" s="1"/>
  <c r="AS83" i="2"/>
  <c r="AT80" i="2"/>
  <c r="R82" i="2"/>
  <c r="AS82" i="2"/>
  <c r="AL82" i="2"/>
  <c r="AI79" i="2"/>
  <c r="J79" i="6" s="1"/>
  <c r="AK82" i="2"/>
  <c r="AK79" i="2"/>
  <c r="BE73" i="2"/>
  <c r="BC73" i="2"/>
  <c r="BE69" i="2"/>
  <c r="BC69" i="2"/>
  <c r="O75" i="2"/>
  <c r="H75" i="2"/>
  <c r="AK70" i="2"/>
  <c r="AO69" i="2"/>
  <c r="L74" i="2"/>
  <c r="M74" i="2" s="1"/>
  <c r="K74" i="2"/>
  <c r="AA75" i="2"/>
  <c r="AO73" i="2"/>
  <c r="V74" i="2"/>
  <c r="AJ74" i="2"/>
  <c r="AJ72" i="2"/>
  <c r="V72" i="2"/>
  <c r="AI70" i="2"/>
  <c r="AI74" i="2"/>
  <c r="AK73" i="2"/>
  <c r="K70" i="2"/>
  <c r="L70" i="2"/>
  <c r="M70" i="2" s="1"/>
  <c r="AJ75" i="2"/>
  <c r="V75" i="2"/>
  <c r="AI73" i="2"/>
  <c r="AT69" i="2"/>
  <c r="AA74" i="2"/>
  <c r="AT71" i="2"/>
  <c r="P70" i="2"/>
  <c r="Q70" i="2"/>
  <c r="AH75" i="2"/>
  <c r="AI75" i="2" s="1"/>
  <c r="AG75" i="2"/>
  <c r="AN71" i="2"/>
  <c r="AH71" i="2"/>
  <c r="AI71" i="2" s="1"/>
  <c r="AL71" i="2"/>
  <c r="AG71" i="2"/>
  <c r="H74" i="2"/>
  <c r="O74" i="2"/>
  <c r="P72" i="2"/>
  <c r="Q72" i="2"/>
  <c r="BE59" i="2"/>
  <c r="BC59" i="2"/>
  <c r="AA66" i="2"/>
  <c r="Q65" i="2"/>
  <c r="P65" i="2"/>
  <c r="H66" i="2"/>
  <c r="O66" i="2"/>
  <c r="AS67" i="2"/>
  <c r="AG61" i="2"/>
  <c r="AH61" i="2"/>
  <c r="AI61" i="2" s="1"/>
  <c r="AL61" i="2"/>
  <c r="V66" i="2"/>
  <c r="AJ66" i="2"/>
  <c r="AK65" i="2"/>
  <c r="AK67" i="2"/>
  <c r="AN67" i="2"/>
  <c r="L64" i="2"/>
  <c r="M64" i="2" s="1"/>
  <c r="K64" i="2"/>
  <c r="AI60" i="2"/>
  <c r="AK61" i="2"/>
  <c r="P63" i="2"/>
  <c r="Q63" i="2"/>
  <c r="P60" i="2"/>
  <c r="Q60" i="2"/>
  <c r="AJ60" i="2"/>
  <c r="V60" i="2"/>
  <c r="Q61" i="2"/>
  <c r="AN61" i="2" s="1"/>
  <c r="P61" i="2"/>
  <c r="AT59" i="2"/>
  <c r="AG66" i="2"/>
  <c r="AH66" i="2"/>
  <c r="Q64" i="2"/>
  <c r="P64" i="2"/>
  <c r="AL67" i="2"/>
  <c r="AM67" i="2" s="1"/>
  <c r="AJ62" i="2"/>
  <c r="V62" i="2"/>
  <c r="AK64" i="2"/>
  <c r="L60" i="2"/>
  <c r="M60" i="2" s="1"/>
  <c r="K60" i="2"/>
  <c r="AO59" i="2"/>
  <c r="S57" i="6"/>
  <c r="B57" i="6"/>
  <c r="A57" i="6"/>
  <c r="S56" i="6"/>
  <c r="B56" i="6"/>
  <c r="A56" i="6"/>
  <c r="S55" i="6"/>
  <c r="B55" i="6"/>
  <c r="A55" i="6"/>
  <c r="S54" i="6"/>
  <c r="B54" i="6"/>
  <c r="A54" i="6"/>
  <c r="S53" i="6"/>
  <c r="B53" i="6"/>
  <c r="A53" i="6"/>
  <c r="S52" i="6"/>
  <c r="B52" i="6"/>
  <c r="A52" i="6"/>
  <c r="S51" i="6"/>
  <c r="B51" i="6"/>
  <c r="A51" i="6"/>
  <c r="S50" i="6"/>
  <c r="B50" i="6"/>
  <c r="A50" i="6"/>
  <c r="S49" i="6"/>
  <c r="B49" i="6"/>
  <c r="A49" i="6"/>
  <c r="S48" i="6"/>
  <c r="B48" i="6"/>
  <c r="A48" i="6"/>
  <c r="S47" i="6"/>
  <c r="B47" i="6"/>
  <c r="A47" i="6"/>
  <c r="S46" i="6"/>
  <c r="B46" i="6"/>
  <c r="A46" i="6"/>
  <c r="S45" i="6"/>
  <c r="B45" i="6"/>
  <c r="A45" i="6"/>
  <c r="BB57" i="2"/>
  <c r="BA57" i="2"/>
  <c r="AV57" i="2"/>
  <c r="AD57" i="2"/>
  <c r="AF57" i="2" s="1"/>
  <c r="X57" i="2"/>
  <c r="Z57" i="2" s="1"/>
  <c r="S57" i="2"/>
  <c r="U57" i="2" s="1"/>
  <c r="E57" i="2"/>
  <c r="G57" i="2" s="1"/>
  <c r="C57" i="2"/>
  <c r="B57" i="2"/>
  <c r="A57" i="2"/>
  <c r="BB56" i="2"/>
  <c r="BA56" i="2"/>
  <c r="AV56" i="2"/>
  <c r="AD56" i="2"/>
  <c r="AE56" i="2" s="1"/>
  <c r="X56" i="2"/>
  <c r="Y56" i="2" s="1"/>
  <c r="F56" i="6" s="1"/>
  <c r="S56" i="2"/>
  <c r="T56" i="2" s="1"/>
  <c r="E56" i="2"/>
  <c r="F56" i="2" s="1"/>
  <c r="C56" i="2"/>
  <c r="D56" i="2" s="1"/>
  <c r="B56" i="2"/>
  <c r="A56" i="2"/>
  <c r="BB55" i="2"/>
  <c r="BA55" i="2"/>
  <c r="AV55" i="2"/>
  <c r="AD55" i="2"/>
  <c r="X55" i="2"/>
  <c r="E55" i="6" s="1"/>
  <c r="S55" i="2"/>
  <c r="E55" i="2"/>
  <c r="C55" i="2"/>
  <c r="D55" i="2" s="1"/>
  <c r="B55" i="2"/>
  <c r="A55" i="2"/>
  <c r="BB54" i="2"/>
  <c r="BA54" i="2"/>
  <c r="AV54" i="2"/>
  <c r="AD54" i="2"/>
  <c r="AE54" i="2" s="1"/>
  <c r="X54" i="2"/>
  <c r="E54" i="6" s="1"/>
  <c r="S54" i="2"/>
  <c r="T54" i="2" s="1"/>
  <c r="E54" i="2"/>
  <c r="F54" i="2" s="1"/>
  <c r="C54" i="2"/>
  <c r="J54" i="2" s="1"/>
  <c r="L54" i="2" s="1"/>
  <c r="M54" i="2" s="1"/>
  <c r="B54" i="2"/>
  <c r="A54" i="2"/>
  <c r="BB53" i="2"/>
  <c r="BA53" i="2"/>
  <c r="AV53" i="2"/>
  <c r="AD53" i="2"/>
  <c r="AF53" i="2" s="1"/>
  <c r="X53" i="2"/>
  <c r="E53" i="6" s="1"/>
  <c r="U53" i="2"/>
  <c r="AJ53" i="2" s="1"/>
  <c r="K53" i="6" s="1"/>
  <c r="S53" i="2"/>
  <c r="T53" i="2" s="1"/>
  <c r="E53" i="2"/>
  <c r="F53" i="2" s="1"/>
  <c r="C53" i="2"/>
  <c r="B53" i="2"/>
  <c r="A53" i="2"/>
  <c r="BB52" i="2"/>
  <c r="BA52" i="2"/>
  <c r="AV52" i="2"/>
  <c r="AD52" i="2"/>
  <c r="AF52" i="2" s="1"/>
  <c r="AG52" i="2" s="1"/>
  <c r="X52" i="2"/>
  <c r="Z52" i="2" s="1"/>
  <c r="AA52" i="2" s="1"/>
  <c r="S52" i="2"/>
  <c r="E52" i="2"/>
  <c r="G52" i="2" s="1"/>
  <c r="O52" i="2" s="1"/>
  <c r="C52" i="6" s="1"/>
  <c r="C52" i="2"/>
  <c r="D52" i="2" s="1"/>
  <c r="B52" i="2"/>
  <c r="A52" i="2"/>
  <c r="BB51" i="2"/>
  <c r="BA51" i="2"/>
  <c r="AV51" i="2"/>
  <c r="AD51" i="2"/>
  <c r="X51" i="2"/>
  <c r="E51" i="6" s="1"/>
  <c r="S51" i="2"/>
  <c r="E51" i="2"/>
  <c r="C51" i="2"/>
  <c r="D51" i="2" s="1"/>
  <c r="B51" i="2"/>
  <c r="A51" i="2"/>
  <c r="BB50" i="2"/>
  <c r="BA50" i="2"/>
  <c r="AV50" i="2"/>
  <c r="AD50" i="2"/>
  <c r="AE50" i="2" s="1"/>
  <c r="X50" i="2"/>
  <c r="E50" i="6" s="1"/>
  <c r="S50" i="2"/>
  <c r="T50" i="2" s="1"/>
  <c r="E50" i="2"/>
  <c r="F50" i="2" s="1"/>
  <c r="C50" i="2"/>
  <c r="J50" i="2" s="1"/>
  <c r="L50" i="2" s="1"/>
  <c r="M50" i="2" s="1"/>
  <c r="B50" i="2"/>
  <c r="A50" i="2"/>
  <c r="BB49" i="2"/>
  <c r="BA49" i="2"/>
  <c r="AV49" i="2"/>
  <c r="AD49" i="2"/>
  <c r="X49" i="2"/>
  <c r="Z49" i="2" s="1"/>
  <c r="S49" i="2"/>
  <c r="T49" i="2" s="1"/>
  <c r="E49" i="2"/>
  <c r="F49" i="2" s="1"/>
  <c r="C49" i="2"/>
  <c r="B49" i="2"/>
  <c r="A49" i="2"/>
  <c r="BB48" i="2"/>
  <c r="BA48" i="2"/>
  <c r="AV48" i="2"/>
  <c r="AD48" i="2"/>
  <c r="AF48" i="2" s="1"/>
  <c r="AG48" i="2" s="1"/>
  <c r="X48" i="2"/>
  <c r="E48" i="6" s="1"/>
  <c r="S48" i="2"/>
  <c r="E48" i="2"/>
  <c r="C48" i="2"/>
  <c r="J48" i="2" s="1"/>
  <c r="B48" i="2"/>
  <c r="A48" i="2"/>
  <c r="BB47" i="2"/>
  <c r="BA47" i="2"/>
  <c r="AV47" i="2"/>
  <c r="AD47" i="2"/>
  <c r="AE47" i="2" s="1"/>
  <c r="X47" i="2"/>
  <c r="Y47" i="2" s="1"/>
  <c r="F47" i="6" s="1"/>
  <c r="S47" i="2"/>
  <c r="T47" i="2" s="1"/>
  <c r="E47" i="2"/>
  <c r="F47" i="2" s="1"/>
  <c r="C47" i="2"/>
  <c r="B47" i="2"/>
  <c r="A47" i="2"/>
  <c r="BB46" i="2"/>
  <c r="BA46" i="2"/>
  <c r="AV46" i="2"/>
  <c r="AD46" i="2"/>
  <c r="X46" i="2"/>
  <c r="E46" i="6" s="1"/>
  <c r="S46" i="2"/>
  <c r="T46" i="2" s="1"/>
  <c r="E46" i="2"/>
  <c r="C46" i="2"/>
  <c r="J46" i="2" s="1"/>
  <c r="B46" i="2"/>
  <c r="A46" i="2"/>
  <c r="BB45" i="2"/>
  <c r="BA45" i="2"/>
  <c r="AV45" i="2"/>
  <c r="AD45" i="2"/>
  <c r="X45" i="2"/>
  <c r="Y45" i="2" s="1"/>
  <c r="F45" i="6" s="1"/>
  <c r="S45" i="2"/>
  <c r="E45" i="2"/>
  <c r="F45" i="2" s="1"/>
  <c r="C45" i="2"/>
  <c r="J45" i="2" s="1"/>
  <c r="B45" i="2"/>
  <c r="A45" i="2"/>
  <c r="AQ73" i="2"/>
  <c r="AX73" i="2"/>
  <c r="AX69" i="2"/>
  <c r="AW71" i="2"/>
  <c r="AP71" i="2"/>
  <c r="AQ69" i="2"/>
  <c r="AP67" i="2"/>
  <c r="AW67" i="2"/>
  <c r="AX59" i="2"/>
  <c r="AQ59" i="2"/>
  <c r="AP61" i="2"/>
  <c r="AW83" i="2"/>
  <c r="AP83" i="2"/>
  <c r="AW81" i="2"/>
  <c r="AP81" i="2"/>
  <c r="AP77" i="2"/>
  <c r="AW77" i="2"/>
  <c r="M83" i="6" l="1"/>
  <c r="O83" i="6"/>
  <c r="M81" i="6"/>
  <c r="O81" i="6"/>
  <c r="O77" i="6"/>
  <c r="M77" i="6"/>
  <c r="BE81" i="2"/>
  <c r="BC81" i="2"/>
  <c r="Q81" i="6" s="1"/>
  <c r="BE83" i="2"/>
  <c r="BC83" i="2"/>
  <c r="Q83" i="6" s="1"/>
  <c r="BE77" i="2"/>
  <c r="BC77" i="2"/>
  <c r="Q77" i="6" s="1"/>
  <c r="AT82" i="2"/>
  <c r="AO83" i="2"/>
  <c r="H83" i="6" s="1"/>
  <c r="AT81" i="2"/>
  <c r="AT78" i="2"/>
  <c r="AO81" i="2"/>
  <c r="H81" i="6" s="1"/>
  <c r="R79" i="2"/>
  <c r="AS79" i="2"/>
  <c r="AN79" i="2"/>
  <c r="G79" i="6" s="1"/>
  <c r="AL79" i="2"/>
  <c r="AM79" i="2" s="1"/>
  <c r="AO77" i="2"/>
  <c r="H77" i="6" s="1"/>
  <c r="AN82" i="2"/>
  <c r="G82" i="6" s="1"/>
  <c r="AM82" i="2"/>
  <c r="AT83" i="2"/>
  <c r="AM81" i="2"/>
  <c r="AK80" i="2"/>
  <c r="AT77" i="2"/>
  <c r="AM78" i="2"/>
  <c r="AR69" i="2"/>
  <c r="BE71" i="2"/>
  <c r="BC71" i="2"/>
  <c r="AY71" i="2"/>
  <c r="AZ69" i="2"/>
  <c r="AZ73" i="2"/>
  <c r="AR73" i="2"/>
  <c r="P74" i="2"/>
  <c r="Q74" i="2"/>
  <c r="AO71" i="2"/>
  <c r="AK75" i="2"/>
  <c r="R70" i="2"/>
  <c r="AL70" i="2"/>
  <c r="AS70" i="2"/>
  <c r="AK72" i="2"/>
  <c r="AK74" i="2"/>
  <c r="R72" i="2"/>
  <c r="AL72" i="2"/>
  <c r="AS72" i="2"/>
  <c r="AM71" i="2"/>
  <c r="Q75" i="2"/>
  <c r="P75" i="2"/>
  <c r="AY69" i="2"/>
  <c r="AY73" i="2"/>
  <c r="AR59" i="2"/>
  <c r="AZ59" i="2"/>
  <c r="BE67" i="2"/>
  <c r="BC67" i="2"/>
  <c r="AN62" i="2"/>
  <c r="P66" i="2"/>
  <c r="Q66" i="2"/>
  <c r="AI66" i="2"/>
  <c r="AK60" i="2"/>
  <c r="AK66" i="2"/>
  <c r="AK62" i="2"/>
  <c r="R64" i="2"/>
  <c r="AL64" i="2"/>
  <c r="AS64" i="2"/>
  <c r="R63" i="2"/>
  <c r="AS63" i="2"/>
  <c r="AL63" i="2"/>
  <c r="AM63" i="2" s="1"/>
  <c r="AN63" i="2"/>
  <c r="AT67" i="2"/>
  <c r="AY67" i="2" s="1"/>
  <c r="R65" i="2"/>
  <c r="AS65" i="2"/>
  <c r="AN65" i="2"/>
  <c r="AL65" i="2"/>
  <c r="AM65" i="2" s="1"/>
  <c r="AY59" i="2"/>
  <c r="AM61" i="2"/>
  <c r="R61" i="2"/>
  <c r="AO61" i="2" s="1"/>
  <c r="AS61" i="2"/>
  <c r="R60" i="2"/>
  <c r="AS60" i="2"/>
  <c r="AL60" i="2"/>
  <c r="AO67" i="2"/>
  <c r="G54" i="2"/>
  <c r="O54" i="2" s="1"/>
  <c r="Q54" i="2" s="1"/>
  <c r="Z54" i="2"/>
  <c r="AA54" i="2" s="1"/>
  <c r="Z50" i="2"/>
  <c r="AA50" i="2" s="1"/>
  <c r="Y54" i="2"/>
  <c r="F54" i="6" s="1"/>
  <c r="E56" i="6"/>
  <c r="E57" i="6"/>
  <c r="AF50" i="2"/>
  <c r="AH50" i="2" s="1"/>
  <c r="Z53" i="2"/>
  <c r="AH53" i="2" s="1"/>
  <c r="I53" i="6" s="1"/>
  <c r="AF54" i="2"/>
  <c r="J55" i="2"/>
  <c r="L55" i="2" s="1"/>
  <c r="M55" i="2" s="1"/>
  <c r="D48" i="2"/>
  <c r="J52" i="2"/>
  <c r="L52" i="2" s="1"/>
  <c r="M52" i="2" s="1"/>
  <c r="G45" i="2"/>
  <c r="H45" i="2" s="1"/>
  <c r="G50" i="2"/>
  <c r="O50" i="2" s="1"/>
  <c r="Q50" i="2" s="1"/>
  <c r="J51" i="2"/>
  <c r="Z45" i="2"/>
  <c r="AA45" i="2" s="1"/>
  <c r="Y50" i="2"/>
  <c r="F50" i="6" s="1"/>
  <c r="U49" i="2"/>
  <c r="AJ49" i="2" s="1"/>
  <c r="K49" i="6" s="1"/>
  <c r="G46" i="2"/>
  <c r="O46" i="2" s="1"/>
  <c r="C46" i="6" s="1"/>
  <c r="F46" i="2"/>
  <c r="AE46" i="2"/>
  <c r="AF46" i="2"/>
  <c r="AF49" i="2"/>
  <c r="AH49" i="2" s="1"/>
  <c r="I49" i="6" s="1"/>
  <c r="AE49" i="2"/>
  <c r="AE45" i="2"/>
  <c r="AF45" i="2"/>
  <c r="AG45" i="2" s="1"/>
  <c r="J57" i="2"/>
  <c r="L57" i="2" s="1"/>
  <c r="M57" i="2" s="1"/>
  <c r="D57" i="2"/>
  <c r="E47" i="6"/>
  <c r="T45" i="2"/>
  <c r="U45" i="2"/>
  <c r="AJ45" i="2" s="1"/>
  <c r="K45" i="6" s="1"/>
  <c r="D47" i="2"/>
  <c r="J47" i="2"/>
  <c r="K47" i="2" s="1"/>
  <c r="E49" i="6"/>
  <c r="Y46" i="2"/>
  <c r="F46" i="6" s="1"/>
  <c r="G49" i="2"/>
  <c r="Y49" i="2"/>
  <c r="F49" i="6" s="1"/>
  <c r="G53" i="2"/>
  <c r="O53" i="2" s="1"/>
  <c r="C53" i="6" s="1"/>
  <c r="AE53" i="2"/>
  <c r="E52" i="6"/>
  <c r="Z46" i="2"/>
  <c r="AA46" i="2" s="1"/>
  <c r="Y53" i="2"/>
  <c r="F53" i="6" s="1"/>
  <c r="J56" i="2"/>
  <c r="K56" i="2" s="1"/>
  <c r="AE57" i="2"/>
  <c r="E45" i="6"/>
  <c r="AA57" i="2"/>
  <c r="O57" i="2"/>
  <c r="C57" i="6" s="1"/>
  <c r="H57" i="2"/>
  <c r="AH57" i="2"/>
  <c r="I57" i="6" s="1"/>
  <c r="AG57" i="2"/>
  <c r="V57" i="2"/>
  <c r="AJ57" i="2"/>
  <c r="K57" i="6" s="1"/>
  <c r="G56" i="2"/>
  <c r="Z56" i="2"/>
  <c r="AF56" i="2"/>
  <c r="F57" i="2"/>
  <c r="T57" i="2"/>
  <c r="Y57" i="2"/>
  <c r="F57" i="6" s="1"/>
  <c r="L45" i="2"/>
  <c r="M45" i="2" s="1"/>
  <c r="K45" i="2"/>
  <c r="L46" i="2"/>
  <c r="M46" i="2" s="1"/>
  <c r="K46" i="2"/>
  <c r="D45" i="2"/>
  <c r="AH45" i="2"/>
  <c r="D46" i="2"/>
  <c r="G47" i="2"/>
  <c r="U47" i="2"/>
  <c r="Z47" i="2"/>
  <c r="AF47" i="2"/>
  <c r="K50" i="2"/>
  <c r="AG53" i="2"/>
  <c r="G55" i="2"/>
  <c r="F55" i="2"/>
  <c r="Z55" i="2"/>
  <c r="Y55" i="2"/>
  <c r="F55" i="6" s="1"/>
  <c r="L48" i="2"/>
  <c r="M48" i="2" s="1"/>
  <c r="K48" i="2"/>
  <c r="T48" i="2"/>
  <c r="J49" i="2"/>
  <c r="D49" i="2"/>
  <c r="P50" i="2"/>
  <c r="U51" i="2"/>
  <c r="U52" i="2" s="1"/>
  <c r="T51" i="2"/>
  <c r="AF55" i="2"/>
  <c r="AE55" i="2"/>
  <c r="AA49" i="2"/>
  <c r="G51" i="2"/>
  <c r="F51" i="2"/>
  <c r="Z51" i="2"/>
  <c r="Y51" i="2"/>
  <c r="F51" i="6" s="1"/>
  <c r="Q52" i="2"/>
  <c r="P52" i="2"/>
  <c r="D52" i="6" s="1"/>
  <c r="V53" i="2"/>
  <c r="G48" i="2"/>
  <c r="F48" i="2"/>
  <c r="Z48" i="2"/>
  <c r="AH48" i="2" s="1"/>
  <c r="I48" i="6" s="1"/>
  <c r="Y48" i="2"/>
  <c r="F48" i="6" s="1"/>
  <c r="O49" i="2"/>
  <c r="C49" i="6" s="1"/>
  <c r="H49" i="2"/>
  <c r="L51" i="2"/>
  <c r="M51" i="2" s="1"/>
  <c r="K51" i="2"/>
  <c r="AF51" i="2"/>
  <c r="AE51" i="2"/>
  <c r="H52" i="2"/>
  <c r="AL52" i="2"/>
  <c r="AH52" i="2"/>
  <c r="J53" i="2"/>
  <c r="D53" i="2"/>
  <c r="K54" i="2"/>
  <c r="U55" i="2"/>
  <c r="U54" i="2" s="1"/>
  <c r="T55" i="2"/>
  <c r="AE48" i="2"/>
  <c r="D50" i="2"/>
  <c r="F52" i="2"/>
  <c r="T52" i="2"/>
  <c r="Y52" i="2"/>
  <c r="F52" i="6" s="1"/>
  <c r="AE52" i="2"/>
  <c r="D54" i="2"/>
  <c r="H54" i="2"/>
  <c r="U43" i="6"/>
  <c r="S43" i="6"/>
  <c r="B43" i="6"/>
  <c r="A43" i="6"/>
  <c r="U42" i="6"/>
  <c r="S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B37" i="6"/>
  <c r="A37" i="6"/>
  <c r="U36" i="6"/>
  <c r="S36" i="6"/>
  <c r="B36" i="6"/>
  <c r="A36" i="6"/>
  <c r="U35" i="6"/>
  <c r="S35" i="6"/>
  <c r="B35" i="6"/>
  <c r="A35" i="6"/>
  <c r="U34" i="6"/>
  <c r="S34" i="6"/>
  <c r="B34" i="6"/>
  <c r="A34" i="6"/>
  <c r="U33" i="6"/>
  <c r="S33" i="6"/>
  <c r="B33" i="6"/>
  <c r="A33" i="6"/>
  <c r="BB43" i="2"/>
  <c r="BA43" i="2"/>
  <c r="AV43" i="2"/>
  <c r="AD43" i="2"/>
  <c r="X43" i="2"/>
  <c r="E43" i="6" s="1"/>
  <c r="S43" i="2"/>
  <c r="E43" i="2"/>
  <c r="C43" i="2"/>
  <c r="D43" i="2" s="1"/>
  <c r="B43" i="2"/>
  <c r="A43" i="2"/>
  <c r="BB42" i="2"/>
  <c r="BA42" i="2"/>
  <c r="AV42" i="2"/>
  <c r="AD42" i="2"/>
  <c r="X42" i="2"/>
  <c r="Z42" i="2" s="1"/>
  <c r="S42" i="2"/>
  <c r="T42" i="2" s="1"/>
  <c r="E42" i="2"/>
  <c r="C42" i="2"/>
  <c r="D42" i="2" s="1"/>
  <c r="B42" i="2"/>
  <c r="A42" i="2"/>
  <c r="BB41" i="2"/>
  <c r="BA41" i="2"/>
  <c r="AV41" i="2"/>
  <c r="AD41" i="2"/>
  <c r="AE41" i="2" s="1"/>
  <c r="X41" i="2"/>
  <c r="E41" i="6" s="1"/>
  <c r="S41" i="2"/>
  <c r="G41" i="2"/>
  <c r="E41" i="2"/>
  <c r="F41" i="2" s="1"/>
  <c r="C41" i="2"/>
  <c r="B41" i="2"/>
  <c r="A41" i="2"/>
  <c r="BB40" i="2"/>
  <c r="BA40" i="2"/>
  <c r="AV40" i="2"/>
  <c r="AD40" i="2"/>
  <c r="AF40" i="2" s="1"/>
  <c r="AG40" i="2" s="1"/>
  <c r="X40" i="2"/>
  <c r="S40" i="2"/>
  <c r="T40" i="2" s="1"/>
  <c r="E40" i="2"/>
  <c r="C40" i="2"/>
  <c r="J40" i="2" s="1"/>
  <c r="B40" i="2"/>
  <c r="A40" i="2"/>
  <c r="BB39" i="2"/>
  <c r="BA39" i="2"/>
  <c r="AV39" i="2"/>
  <c r="AD39" i="2"/>
  <c r="X39" i="2"/>
  <c r="E39" i="6" s="1"/>
  <c r="S39" i="2"/>
  <c r="E39" i="2"/>
  <c r="C39" i="2"/>
  <c r="D39" i="2" s="1"/>
  <c r="B39" i="2"/>
  <c r="A39" i="2"/>
  <c r="BB38" i="2"/>
  <c r="BA38" i="2"/>
  <c r="AV38" i="2"/>
  <c r="AD38" i="2"/>
  <c r="AF38" i="2" s="1"/>
  <c r="X38" i="2"/>
  <c r="Z38" i="2" s="1"/>
  <c r="T38" i="2"/>
  <c r="S38" i="2"/>
  <c r="F38" i="2"/>
  <c r="E38" i="2"/>
  <c r="G38" i="2" s="1"/>
  <c r="C38" i="2"/>
  <c r="D38" i="2" s="1"/>
  <c r="B38" i="2"/>
  <c r="A38" i="2"/>
  <c r="BB37" i="2"/>
  <c r="BA37" i="2"/>
  <c r="AV37" i="2"/>
  <c r="AJ37" i="2"/>
  <c r="K37" i="6" s="1"/>
  <c r="AA37" i="6" s="1"/>
  <c r="AE37" i="2"/>
  <c r="AD37" i="2"/>
  <c r="AF37" i="2" s="1"/>
  <c r="X37" i="2"/>
  <c r="E37" i="6" s="1"/>
  <c r="T37" i="2"/>
  <c r="S37" i="2"/>
  <c r="U37" i="2" s="1"/>
  <c r="E37" i="2"/>
  <c r="C37" i="2"/>
  <c r="B37" i="2"/>
  <c r="A37" i="2"/>
  <c r="BB36" i="2"/>
  <c r="BA36" i="2"/>
  <c r="AV36" i="2"/>
  <c r="AD36" i="2"/>
  <c r="AE36" i="2" s="1"/>
  <c r="X36" i="2"/>
  <c r="Z36" i="2" s="1"/>
  <c r="AA36" i="2" s="1"/>
  <c r="S36" i="2"/>
  <c r="E36" i="2"/>
  <c r="G36" i="2" s="1"/>
  <c r="O36" i="2" s="1"/>
  <c r="C36" i="6" s="1"/>
  <c r="C36" i="2"/>
  <c r="J36" i="2" s="1"/>
  <c r="B36" i="2"/>
  <c r="A36" i="2"/>
  <c r="BB35" i="2"/>
  <c r="BA35" i="2"/>
  <c r="AV35" i="2"/>
  <c r="AD35" i="2"/>
  <c r="AF35" i="2" s="1"/>
  <c r="X35" i="2"/>
  <c r="Z35" i="2" s="1"/>
  <c r="T35" i="2"/>
  <c r="S35" i="2"/>
  <c r="U35" i="2" s="1"/>
  <c r="F35" i="2"/>
  <c r="E35" i="2"/>
  <c r="G35" i="2" s="1"/>
  <c r="D35" i="2"/>
  <c r="C35" i="2"/>
  <c r="J35" i="2" s="1"/>
  <c r="B35" i="2"/>
  <c r="A35" i="2"/>
  <c r="BB34" i="2"/>
  <c r="BA34" i="2"/>
  <c r="AV34" i="2"/>
  <c r="AD34" i="2"/>
  <c r="AF34" i="2" s="1"/>
  <c r="Z34" i="2"/>
  <c r="X34" i="2"/>
  <c r="Y34" i="2" s="1"/>
  <c r="F34" i="6" s="1"/>
  <c r="S34" i="2"/>
  <c r="T34" i="2" s="1"/>
  <c r="E34" i="2"/>
  <c r="C34" i="2"/>
  <c r="J34" i="2" s="1"/>
  <c r="B34" i="2"/>
  <c r="A34" i="2"/>
  <c r="BB33" i="2"/>
  <c r="BA33" i="2"/>
  <c r="AV33" i="2"/>
  <c r="AD33" i="2"/>
  <c r="AE33" i="2" s="1"/>
  <c r="X33" i="2"/>
  <c r="E33" i="6" s="1"/>
  <c r="U33" i="2"/>
  <c r="S33" i="2"/>
  <c r="T33" i="2" s="1"/>
  <c r="G33" i="2"/>
  <c r="F33" i="2"/>
  <c r="E33" i="2"/>
  <c r="C33" i="2"/>
  <c r="B33" i="2"/>
  <c r="A33" i="2"/>
  <c r="AX71" i="2"/>
  <c r="AQ71" i="2"/>
  <c r="AP63" i="2"/>
  <c r="AP65" i="2"/>
  <c r="AX67" i="2"/>
  <c r="AW61" i="2"/>
  <c r="AQ67" i="2"/>
  <c r="AW63" i="2"/>
  <c r="AW62" i="2"/>
  <c r="AP62" i="2"/>
  <c r="AW65" i="2"/>
  <c r="AQ61" i="2"/>
  <c r="AQ83" i="2"/>
  <c r="AX83" i="2"/>
  <c r="AW82" i="2"/>
  <c r="AP82" i="2"/>
  <c r="AQ81" i="2"/>
  <c r="AX81" i="2"/>
  <c r="AP79" i="2"/>
  <c r="AW79" i="2"/>
  <c r="AQ77" i="2"/>
  <c r="AX77" i="2"/>
  <c r="P83" i="6" l="1"/>
  <c r="N83" i="6"/>
  <c r="AY83" i="2"/>
  <c r="BD83" i="2" s="1"/>
  <c r="R83" i="6" s="1"/>
  <c r="P81" i="6"/>
  <c r="N81" i="6"/>
  <c r="M82" i="6"/>
  <c r="O82" i="6"/>
  <c r="AY81" i="2"/>
  <c r="O79" i="6"/>
  <c r="M79" i="6"/>
  <c r="P77" i="6"/>
  <c r="N77" i="6"/>
  <c r="AZ77" i="2"/>
  <c r="AR77" i="2"/>
  <c r="AR83" i="2"/>
  <c r="BE82" i="2"/>
  <c r="BC82" i="2"/>
  <c r="Q82" i="6" s="1"/>
  <c r="BE79" i="2"/>
  <c r="BC79" i="2"/>
  <c r="Q79" i="6" s="1"/>
  <c r="AZ81" i="2"/>
  <c r="AZ83" i="2"/>
  <c r="AR81" i="2"/>
  <c r="BG81" i="2"/>
  <c r="BF81" i="2"/>
  <c r="BD81" i="2"/>
  <c r="R81" i="6" s="1"/>
  <c r="AO79" i="2"/>
  <c r="H79" i="6" s="1"/>
  <c r="AN80" i="2"/>
  <c r="G80" i="6" s="1"/>
  <c r="AO82" i="2"/>
  <c r="H82" i="6" s="1"/>
  <c r="AT79" i="2"/>
  <c r="BF83" i="2"/>
  <c r="BG83" i="2"/>
  <c r="AN78" i="2"/>
  <c r="G78" i="6" s="1"/>
  <c r="AY77" i="2"/>
  <c r="AR71" i="2"/>
  <c r="AZ71" i="2"/>
  <c r="BG71" i="2"/>
  <c r="BF71" i="2"/>
  <c r="AM72" i="2"/>
  <c r="AN72" i="2"/>
  <c r="AT70" i="2"/>
  <c r="AT72" i="2"/>
  <c r="R75" i="2"/>
  <c r="AL75" i="2"/>
  <c r="AM75" i="2" s="1"/>
  <c r="AN75" i="2"/>
  <c r="AS75" i="2"/>
  <c r="AN70" i="2"/>
  <c r="AM70" i="2"/>
  <c r="R74" i="2"/>
  <c r="AL74" i="2"/>
  <c r="AS74" i="2"/>
  <c r="BG69" i="2"/>
  <c r="BF69" i="2"/>
  <c r="BD69" i="2"/>
  <c r="BG73" i="2"/>
  <c r="BF73" i="2"/>
  <c r="BD73" i="2"/>
  <c r="BD71" i="2"/>
  <c r="AR61" i="2"/>
  <c r="BE65" i="2"/>
  <c r="BC65" i="2"/>
  <c r="BE62" i="2"/>
  <c r="AY62" i="2"/>
  <c r="BC62" i="2"/>
  <c r="AY63" i="2"/>
  <c r="BD63" i="2" s="1"/>
  <c r="BE63" i="2"/>
  <c r="BC63" i="2"/>
  <c r="AR67" i="2"/>
  <c r="BE61" i="2"/>
  <c r="BC61" i="2"/>
  <c r="AZ67" i="2"/>
  <c r="BG67" i="2"/>
  <c r="BF67" i="2"/>
  <c r="BD67" i="2"/>
  <c r="AT60" i="2"/>
  <c r="AT65" i="2"/>
  <c r="AY65" i="2" s="1"/>
  <c r="AM64" i="2"/>
  <c r="AN64" i="2"/>
  <c r="AO62" i="2"/>
  <c r="BG59" i="2"/>
  <c r="BF59" i="2"/>
  <c r="BD59" i="2"/>
  <c r="AT63" i="2"/>
  <c r="AT61" i="2"/>
  <c r="AY61" i="2" s="1"/>
  <c r="R66" i="2"/>
  <c r="AS66" i="2"/>
  <c r="AL66" i="2"/>
  <c r="AM60" i="2"/>
  <c r="AN60" i="2"/>
  <c r="AO65" i="2"/>
  <c r="AO63" i="2"/>
  <c r="AT64" i="2"/>
  <c r="AG50" i="2"/>
  <c r="AA53" i="2"/>
  <c r="AG49" i="2"/>
  <c r="Y33" i="2"/>
  <c r="F33" i="6" s="1"/>
  <c r="AE35" i="2"/>
  <c r="Y38" i="2"/>
  <c r="F38" i="6" s="1"/>
  <c r="AE34" i="2"/>
  <c r="Z37" i="2"/>
  <c r="AH37" i="2" s="1"/>
  <c r="I37" i="6" s="1"/>
  <c r="Y35" i="2"/>
  <c r="F35" i="6" s="1"/>
  <c r="AE38" i="2"/>
  <c r="R54" i="2"/>
  <c r="AS54" i="2"/>
  <c r="K57" i="2"/>
  <c r="AH54" i="2"/>
  <c r="I54" i="6" s="1"/>
  <c r="K55" i="2"/>
  <c r="C54" i="6"/>
  <c r="V45" i="2"/>
  <c r="L56" i="2"/>
  <c r="M56" i="2" s="1"/>
  <c r="C50" i="6"/>
  <c r="P54" i="2"/>
  <c r="D54" i="6" s="1"/>
  <c r="AG54" i="2"/>
  <c r="AH46" i="2"/>
  <c r="I46" i="6" s="1"/>
  <c r="O45" i="2"/>
  <c r="C45" i="6" s="1"/>
  <c r="H46" i="2"/>
  <c r="P46" i="2"/>
  <c r="D46" i="6" s="1"/>
  <c r="R50" i="2"/>
  <c r="AS50" i="2"/>
  <c r="K52" i="2"/>
  <c r="H50" i="2"/>
  <c r="AG46" i="2"/>
  <c r="L47" i="2"/>
  <c r="M47" i="2" s="1"/>
  <c r="V49" i="2"/>
  <c r="AL50" i="2"/>
  <c r="Q46" i="2"/>
  <c r="AS46" i="2" s="1"/>
  <c r="U50" i="2"/>
  <c r="V50" i="2" s="1"/>
  <c r="U48" i="2"/>
  <c r="AF33" i="2"/>
  <c r="AG33" i="2" s="1"/>
  <c r="Z33" i="2"/>
  <c r="AA33" i="2" s="1"/>
  <c r="AE40" i="2"/>
  <c r="Y41" i="2"/>
  <c r="F41" i="6" s="1"/>
  <c r="AF36" i="2"/>
  <c r="AG36" i="2" s="1"/>
  <c r="AF41" i="2"/>
  <c r="AH41" i="2" s="1"/>
  <c r="I41" i="6" s="1"/>
  <c r="J43" i="2"/>
  <c r="L43" i="2" s="1"/>
  <c r="M43" i="2" s="1"/>
  <c r="F40" i="2"/>
  <c r="G40" i="2"/>
  <c r="AF42" i="2"/>
  <c r="AH42" i="2" s="1"/>
  <c r="I42" i="6" s="1"/>
  <c r="AE42" i="2"/>
  <c r="AJ33" i="2"/>
  <c r="K33" i="6" s="1"/>
  <c r="AA33" i="6" s="1"/>
  <c r="V33" i="2"/>
  <c r="AK33" i="2" s="1"/>
  <c r="L33" i="6" s="1"/>
  <c r="G37" i="2"/>
  <c r="O37" i="2" s="1"/>
  <c r="C37" i="6" s="1"/>
  <c r="F37" i="2"/>
  <c r="G42" i="2"/>
  <c r="F42" i="2"/>
  <c r="J33" i="2"/>
  <c r="L33" i="2" s="1"/>
  <c r="M33" i="2" s="1"/>
  <c r="D33" i="2"/>
  <c r="O33" i="2"/>
  <c r="C33" i="6" s="1"/>
  <c r="H33" i="2"/>
  <c r="F34" i="2"/>
  <c r="G34" i="2"/>
  <c r="O34" i="2" s="1"/>
  <c r="C34" i="6" s="1"/>
  <c r="L35" i="2"/>
  <c r="M35" i="2" s="1"/>
  <c r="K35" i="2"/>
  <c r="Y40" i="2"/>
  <c r="F40" i="6" s="1"/>
  <c r="E40" i="6"/>
  <c r="Z40" i="2"/>
  <c r="AA40" i="2" s="1"/>
  <c r="U41" i="2"/>
  <c r="AJ41" i="2" s="1"/>
  <c r="K41" i="6" s="1"/>
  <c r="AA41" i="6" s="1"/>
  <c r="T41" i="2"/>
  <c r="J38" i="2"/>
  <c r="J39" i="2"/>
  <c r="Z41" i="2"/>
  <c r="AA41" i="2" s="1"/>
  <c r="E34" i="6"/>
  <c r="E42" i="6"/>
  <c r="J42" i="2"/>
  <c r="E35" i="6"/>
  <c r="E36" i="6"/>
  <c r="D36" i="2"/>
  <c r="Y37" i="2"/>
  <c r="F37" i="6" s="1"/>
  <c r="D40" i="2"/>
  <c r="Y42" i="2"/>
  <c r="F42" i="6" s="1"/>
  <c r="E38" i="6"/>
  <c r="AI52" i="2"/>
  <c r="J52" i="6" s="1"/>
  <c r="I52" i="6"/>
  <c r="AI46" i="2"/>
  <c r="J46" i="6" s="1"/>
  <c r="H53" i="2"/>
  <c r="AL54" i="2"/>
  <c r="AM54" i="2" s="1"/>
  <c r="U46" i="2"/>
  <c r="V46" i="2" s="1"/>
  <c r="D50" i="6"/>
  <c r="AI45" i="2"/>
  <c r="J45" i="6" s="1"/>
  <c r="I45" i="6"/>
  <c r="U56" i="2"/>
  <c r="AJ56" i="2" s="1"/>
  <c r="K56" i="6" s="1"/>
  <c r="AI50" i="2"/>
  <c r="J50" i="6" s="1"/>
  <c r="I50" i="6"/>
  <c r="O56" i="2"/>
  <c r="C56" i="6" s="1"/>
  <c r="H56" i="2"/>
  <c r="AA56" i="2"/>
  <c r="Q57" i="2"/>
  <c r="P57" i="2"/>
  <c r="D57" i="6" s="1"/>
  <c r="V56" i="2"/>
  <c r="AK57" i="2"/>
  <c r="L57" i="6" s="1"/>
  <c r="AI57" i="2"/>
  <c r="J57" i="6" s="1"/>
  <c r="AG56" i="2"/>
  <c r="AH56" i="2"/>
  <c r="I56" i="6" s="1"/>
  <c r="V54" i="2"/>
  <c r="AJ54" i="2"/>
  <c r="K54" i="6" s="1"/>
  <c r="AJ52" i="2"/>
  <c r="K52" i="6" s="1"/>
  <c r="V52" i="2"/>
  <c r="P49" i="2"/>
  <c r="D49" i="6" s="1"/>
  <c r="Q49" i="2"/>
  <c r="AH47" i="2"/>
  <c r="I47" i="6" s="1"/>
  <c r="AG47" i="2"/>
  <c r="O48" i="2"/>
  <c r="C48" i="6" s="1"/>
  <c r="H48" i="2"/>
  <c r="AJ46" i="2"/>
  <c r="K46" i="6" s="1"/>
  <c r="AG51" i="2"/>
  <c r="AH51" i="2"/>
  <c r="I51" i="6" s="1"/>
  <c r="AS52" i="2"/>
  <c r="R52" i="2"/>
  <c r="AM52" i="2" s="1"/>
  <c r="H55" i="2"/>
  <c r="O55" i="2"/>
  <c r="C55" i="6" s="1"/>
  <c r="AA47" i="2"/>
  <c r="AA48" i="2"/>
  <c r="AI48" i="2" s="1"/>
  <c r="J48" i="6" s="1"/>
  <c r="AG55" i="2"/>
  <c r="AH55" i="2"/>
  <c r="I55" i="6" s="1"/>
  <c r="K49" i="2"/>
  <c r="L49" i="2"/>
  <c r="M49" i="2" s="1"/>
  <c r="AJ48" i="2"/>
  <c r="K48" i="6" s="1"/>
  <c r="V48" i="2"/>
  <c r="V47" i="2"/>
  <c r="AJ47" i="2"/>
  <c r="K47" i="6" s="1"/>
  <c r="V55" i="2"/>
  <c r="AJ55" i="2"/>
  <c r="K55" i="6" s="1"/>
  <c r="AK49" i="2"/>
  <c r="L49" i="6" s="1"/>
  <c r="O47" i="2"/>
  <c r="C47" i="6" s="1"/>
  <c r="H47" i="2"/>
  <c r="AK53" i="2"/>
  <c r="L53" i="6" s="1"/>
  <c r="H51" i="2"/>
  <c r="O51" i="2"/>
  <c r="C51" i="6" s="1"/>
  <c r="P53" i="2"/>
  <c r="D53" i="6" s="1"/>
  <c r="Q53" i="2"/>
  <c r="AI53" i="2"/>
  <c r="J53" i="6" s="1"/>
  <c r="K53" i="2"/>
  <c r="L53" i="2"/>
  <c r="M53" i="2" s="1"/>
  <c r="AA51" i="2"/>
  <c r="V51" i="2"/>
  <c r="AJ51" i="2"/>
  <c r="K51" i="6" s="1"/>
  <c r="AI49" i="2"/>
  <c r="J49" i="6" s="1"/>
  <c r="AA55" i="2"/>
  <c r="P45" i="2"/>
  <c r="D45" i="6" s="1"/>
  <c r="Q45" i="2"/>
  <c r="AK45" i="2"/>
  <c r="L45" i="6" s="1"/>
  <c r="K34" i="2"/>
  <c r="L34" i="2"/>
  <c r="M34" i="2" s="1"/>
  <c r="O35" i="2"/>
  <c r="C35" i="6" s="1"/>
  <c r="H35" i="2"/>
  <c r="V35" i="2"/>
  <c r="AJ35" i="2"/>
  <c r="K35" i="6" s="1"/>
  <c r="AA35" i="6" s="1"/>
  <c r="U34" i="2"/>
  <c r="AH35" i="2"/>
  <c r="I35" i="6" s="1"/>
  <c r="AG35" i="2"/>
  <c r="Q33" i="2"/>
  <c r="AL33" i="2" s="1"/>
  <c r="P33" i="2"/>
  <c r="D33" i="6" s="1"/>
  <c r="Q34" i="2"/>
  <c r="R34" i="2" s="1"/>
  <c r="AA35" i="2"/>
  <c r="U36" i="2"/>
  <c r="AG41" i="2"/>
  <c r="G43" i="2"/>
  <c r="F43" i="2"/>
  <c r="Z43" i="2"/>
  <c r="Y43" i="2"/>
  <c r="F43" i="6" s="1"/>
  <c r="D34" i="2"/>
  <c r="AA34" i="2"/>
  <c r="AG34" i="2"/>
  <c r="H36" i="2"/>
  <c r="J37" i="2"/>
  <c r="D37" i="2"/>
  <c r="V37" i="2"/>
  <c r="U39" i="2"/>
  <c r="T39" i="2"/>
  <c r="O41" i="2"/>
  <c r="C41" i="6" s="1"/>
  <c r="H41" i="2"/>
  <c r="O42" i="2"/>
  <c r="C42" i="6" s="1"/>
  <c r="H42" i="2"/>
  <c r="K43" i="2"/>
  <c r="AF43" i="2"/>
  <c r="AE43" i="2"/>
  <c r="AH38" i="2"/>
  <c r="I38" i="6" s="1"/>
  <c r="AG38" i="2"/>
  <c r="L40" i="2"/>
  <c r="M40" i="2" s="1"/>
  <c r="K40" i="2"/>
  <c r="AA42" i="2"/>
  <c r="AH34" i="2"/>
  <c r="L36" i="2"/>
  <c r="M36" i="2" s="1"/>
  <c r="K36" i="2"/>
  <c r="AA38" i="2"/>
  <c r="G39" i="2"/>
  <c r="F39" i="2"/>
  <c r="Z39" i="2"/>
  <c r="Y39" i="2"/>
  <c r="F39" i="6" s="1"/>
  <c r="J41" i="2"/>
  <c r="D41" i="2"/>
  <c r="V41" i="2"/>
  <c r="Q36" i="2"/>
  <c r="R36" i="2" s="1"/>
  <c r="P36" i="2"/>
  <c r="D36" i="6" s="1"/>
  <c r="U38" i="2"/>
  <c r="AG37" i="2"/>
  <c r="O38" i="2"/>
  <c r="C38" i="6" s="1"/>
  <c r="H38" i="2"/>
  <c r="L39" i="2"/>
  <c r="M39" i="2" s="1"/>
  <c r="K39" i="2"/>
  <c r="AF39" i="2"/>
  <c r="AE39" i="2"/>
  <c r="U43" i="2"/>
  <c r="T43" i="2"/>
  <c r="F36" i="2"/>
  <c r="T36" i="2"/>
  <c r="Y36" i="2"/>
  <c r="F36" i="6" s="1"/>
  <c r="AW70" i="2"/>
  <c r="AP70" i="2"/>
  <c r="AW72" i="2"/>
  <c r="AP72" i="2"/>
  <c r="AP75" i="2"/>
  <c r="AW75" i="2"/>
  <c r="AW60" i="2"/>
  <c r="AP60" i="2"/>
  <c r="AQ65" i="2"/>
  <c r="AX65" i="2"/>
  <c r="AW64" i="2"/>
  <c r="AP64" i="2"/>
  <c r="AX61" i="2"/>
  <c r="AX62" i="2"/>
  <c r="AQ62" i="2"/>
  <c r="AX63" i="2"/>
  <c r="AQ63" i="2"/>
  <c r="AQ82" i="2"/>
  <c r="AX82" i="2"/>
  <c r="AQ79" i="2"/>
  <c r="AP80" i="2"/>
  <c r="AX79" i="2"/>
  <c r="AW80" i="2"/>
  <c r="AP78" i="2"/>
  <c r="AW78" i="2"/>
  <c r="N82" i="6" l="1"/>
  <c r="O80" i="6"/>
  <c r="P79" i="6"/>
  <c r="M80" i="6"/>
  <c r="N79" i="6"/>
  <c r="O78" i="6"/>
  <c r="M78" i="6"/>
  <c r="BE78" i="2"/>
  <c r="BC78" i="2"/>
  <c r="Q78" i="6" s="1"/>
  <c r="AR82" i="2"/>
  <c r="AZ82" i="2"/>
  <c r="BE80" i="2"/>
  <c r="AY80" i="2"/>
  <c r="BC80" i="2"/>
  <c r="Q80" i="6" s="1"/>
  <c r="AR79" i="2"/>
  <c r="AZ79" i="2"/>
  <c r="AO78" i="2"/>
  <c r="H78" i="6" s="1"/>
  <c r="AY82" i="2"/>
  <c r="P82" i="6" s="1"/>
  <c r="AO80" i="2"/>
  <c r="H80" i="6" s="1"/>
  <c r="AY79" i="2"/>
  <c r="BG77" i="2"/>
  <c r="BF77" i="2"/>
  <c r="BD77" i="2"/>
  <c r="R77" i="6" s="1"/>
  <c r="BE75" i="2"/>
  <c r="BC75" i="2"/>
  <c r="BE72" i="2"/>
  <c r="BC72" i="2"/>
  <c r="BE70" i="2"/>
  <c r="BC70" i="2"/>
  <c r="AN74" i="2"/>
  <c r="AM74" i="2"/>
  <c r="AT75" i="2"/>
  <c r="AO75" i="2"/>
  <c r="AO72" i="2"/>
  <c r="AY72" i="2" s="1"/>
  <c r="AT74" i="2"/>
  <c r="AO70" i="2"/>
  <c r="AR63" i="2"/>
  <c r="AZ63" i="2"/>
  <c r="AR62" i="2"/>
  <c r="AZ62" i="2"/>
  <c r="AZ61" i="2"/>
  <c r="BE64" i="2"/>
  <c r="BC64" i="2"/>
  <c r="AZ65" i="2"/>
  <c r="AR65" i="2"/>
  <c r="AY60" i="2"/>
  <c r="BE60" i="2"/>
  <c r="BC60" i="2"/>
  <c r="BF61" i="2"/>
  <c r="BG61" i="2"/>
  <c r="BD61" i="2"/>
  <c r="BF65" i="2"/>
  <c r="BG65" i="2"/>
  <c r="BD65" i="2"/>
  <c r="BF62" i="2"/>
  <c r="BG62" i="2"/>
  <c r="AM66" i="2"/>
  <c r="AN66" i="2"/>
  <c r="AO64" i="2"/>
  <c r="AY64" i="2" s="1"/>
  <c r="BG63" i="2"/>
  <c r="BF63" i="2"/>
  <c r="BD62" i="2"/>
  <c r="AT66" i="2"/>
  <c r="AO60" i="2"/>
  <c r="AH40" i="2"/>
  <c r="AA37" i="2"/>
  <c r="AI37" i="2" s="1"/>
  <c r="J37" i="6" s="1"/>
  <c r="AB37" i="6" s="1"/>
  <c r="AT54" i="2"/>
  <c r="AT50" i="2"/>
  <c r="AI54" i="2"/>
  <c r="J54" i="6" s="1"/>
  <c r="AM50" i="2"/>
  <c r="R46" i="2"/>
  <c r="AL46" i="2"/>
  <c r="AM46" i="2" s="1"/>
  <c r="AJ50" i="2"/>
  <c r="K50" i="6" s="1"/>
  <c r="AG42" i="2"/>
  <c r="H37" i="2"/>
  <c r="K33" i="2"/>
  <c r="AH36" i="2"/>
  <c r="AI36" i="2" s="1"/>
  <c r="J36" i="6" s="1"/>
  <c r="AB36" i="6" s="1"/>
  <c r="AH33" i="2"/>
  <c r="AN33" i="2"/>
  <c r="Y33" i="6" s="1"/>
  <c r="AI40" i="2"/>
  <c r="J40" i="6" s="1"/>
  <c r="AB40" i="6" s="1"/>
  <c r="I40" i="6"/>
  <c r="AI33" i="2"/>
  <c r="J33" i="6" s="1"/>
  <c r="AB33" i="6" s="1"/>
  <c r="I33" i="6"/>
  <c r="P34" i="2"/>
  <c r="D34" i="6" s="1"/>
  <c r="L38" i="2"/>
  <c r="M38" i="2" s="1"/>
  <c r="K38" i="2"/>
  <c r="AI34" i="2"/>
  <c r="J34" i="6" s="1"/>
  <c r="AB34" i="6" s="1"/>
  <c r="I34" i="6"/>
  <c r="AS36" i="2"/>
  <c r="W36" i="6" s="1"/>
  <c r="H34" i="2"/>
  <c r="AS34" i="2"/>
  <c r="W34" i="6" s="1"/>
  <c r="O40" i="2"/>
  <c r="H40" i="2"/>
  <c r="G33" i="6"/>
  <c r="AL34" i="2"/>
  <c r="AM34" i="2" s="1"/>
  <c r="L42" i="2"/>
  <c r="M42" i="2" s="1"/>
  <c r="K42" i="2"/>
  <c r="R57" i="2"/>
  <c r="AS57" i="2"/>
  <c r="AL57" i="2"/>
  <c r="AN57" i="2"/>
  <c r="P56" i="2"/>
  <c r="D56" i="6" s="1"/>
  <c r="Q56" i="2"/>
  <c r="AK56" i="2"/>
  <c r="L56" i="6" s="1"/>
  <c r="AI56" i="2"/>
  <c r="J56" i="6" s="1"/>
  <c r="R45" i="2"/>
  <c r="AS45" i="2"/>
  <c r="AL45" i="2"/>
  <c r="AM45" i="2" s="1"/>
  <c r="AN45" i="2"/>
  <c r="AK51" i="2"/>
  <c r="L51" i="6" s="1"/>
  <c r="AI47" i="2"/>
  <c r="J47" i="6" s="1"/>
  <c r="R49" i="2"/>
  <c r="AN49" i="2"/>
  <c r="AL49" i="2"/>
  <c r="AS49" i="2"/>
  <c r="R53" i="2"/>
  <c r="AN53" i="2"/>
  <c r="AS53" i="2"/>
  <c r="AL53" i="2"/>
  <c r="AK48" i="2"/>
  <c r="L48" i="6" s="1"/>
  <c r="P47" i="2"/>
  <c r="D47" i="6" s="1"/>
  <c r="Q47" i="2"/>
  <c r="AK55" i="2"/>
  <c r="L55" i="6" s="1"/>
  <c r="AK47" i="2"/>
  <c r="L47" i="6" s="1"/>
  <c r="AI55" i="2"/>
  <c r="J55" i="6" s="1"/>
  <c r="Q55" i="2"/>
  <c r="P55" i="2"/>
  <c r="D55" i="6" s="1"/>
  <c r="AT52" i="2"/>
  <c r="AK52" i="2"/>
  <c r="L52" i="6" s="1"/>
  <c r="AK54" i="2"/>
  <c r="L54" i="6" s="1"/>
  <c r="Q51" i="2"/>
  <c r="P51" i="2"/>
  <c r="D51" i="6" s="1"/>
  <c r="AK50" i="2"/>
  <c r="L50" i="6" s="1"/>
  <c r="AT46" i="2"/>
  <c r="AI51" i="2"/>
  <c r="J51" i="6" s="1"/>
  <c r="AK46" i="2"/>
  <c r="L46" i="6" s="1"/>
  <c r="Q48" i="2"/>
  <c r="P48" i="2"/>
  <c r="D48" i="6" s="1"/>
  <c r="AK37" i="2"/>
  <c r="L37" i="6" s="1"/>
  <c r="Q35" i="2"/>
  <c r="P35" i="2"/>
  <c r="D35" i="6" s="1"/>
  <c r="V43" i="2"/>
  <c r="AJ43" i="2"/>
  <c r="K43" i="6" s="1"/>
  <c r="AA43" i="6" s="1"/>
  <c r="AG39" i="2"/>
  <c r="AH39" i="2"/>
  <c r="AA39" i="2"/>
  <c r="Q42" i="2"/>
  <c r="P42" i="2"/>
  <c r="D42" i="6" s="1"/>
  <c r="H43" i="2"/>
  <c r="O43" i="2"/>
  <c r="C43" i="6" s="1"/>
  <c r="K41" i="2"/>
  <c r="L41" i="2"/>
  <c r="M41" i="2" s="1"/>
  <c r="AI38" i="2"/>
  <c r="J38" i="6" s="1"/>
  <c r="AB38" i="6" s="1"/>
  <c r="P37" i="2"/>
  <c r="D37" i="6" s="1"/>
  <c r="Q37" i="2"/>
  <c r="AK35" i="2"/>
  <c r="L35" i="6" s="1"/>
  <c r="AI35" i="2"/>
  <c r="J35" i="6" s="1"/>
  <c r="AB35" i="6" s="1"/>
  <c r="Q38" i="2"/>
  <c r="P38" i="2"/>
  <c r="D38" i="6" s="1"/>
  <c r="V38" i="2"/>
  <c r="AJ38" i="2"/>
  <c r="K38" i="6" s="1"/>
  <c r="AA38" i="6" s="1"/>
  <c r="U42" i="2"/>
  <c r="AG43" i="2"/>
  <c r="AH43" i="2"/>
  <c r="I43" i="6" s="1"/>
  <c r="P41" i="2"/>
  <c r="D41" i="6" s="1"/>
  <c r="Q41" i="2"/>
  <c r="AL36" i="2"/>
  <c r="AI42" i="2"/>
  <c r="J42" i="6" s="1"/>
  <c r="AB42" i="6" s="1"/>
  <c r="AK41" i="2"/>
  <c r="L41" i="6" s="1"/>
  <c r="H39" i="2"/>
  <c r="O39" i="2"/>
  <c r="C39" i="6" s="1"/>
  <c r="U40" i="2"/>
  <c r="V39" i="2"/>
  <c r="AJ39" i="2"/>
  <c r="K39" i="6" s="1"/>
  <c r="AA39" i="6" s="1"/>
  <c r="K37" i="2"/>
  <c r="L37" i="2"/>
  <c r="M37" i="2" s="1"/>
  <c r="AA43" i="2"/>
  <c r="AI41" i="2"/>
  <c r="J41" i="6" s="1"/>
  <c r="AB41" i="6" s="1"/>
  <c r="AJ36" i="2"/>
  <c r="K36" i="6" s="1"/>
  <c r="AA36" i="6" s="1"/>
  <c r="V36" i="2"/>
  <c r="R33" i="2"/>
  <c r="AO33" i="2" s="1"/>
  <c r="AS33" i="2"/>
  <c r="W33" i="6" s="1"/>
  <c r="AJ34" i="2"/>
  <c r="K34" i="6" s="1"/>
  <c r="AA34" i="6" s="1"/>
  <c r="V34" i="2"/>
  <c r="AP57" i="2"/>
  <c r="AP49" i="2"/>
  <c r="AQ33" i="2"/>
  <c r="AW53" i="2"/>
  <c r="AP45" i="2"/>
  <c r="AP53" i="2"/>
  <c r="AW45" i="2"/>
  <c r="AP33" i="2"/>
  <c r="AW57" i="2"/>
  <c r="AW49" i="2"/>
  <c r="AW33" i="2"/>
  <c r="AW74" i="2"/>
  <c r="AP74" i="2"/>
  <c r="AX72" i="2"/>
  <c r="AQ72" i="2"/>
  <c r="AX75" i="2"/>
  <c r="AX70" i="2"/>
  <c r="AQ70" i="2"/>
  <c r="AQ75" i="2"/>
  <c r="AW66" i="2"/>
  <c r="AP66" i="2"/>
  <c r="AX64" i="2"/>
  <c r="AQ64" i="2"/>
  <c r="AX60" i="2"/>
  <c r="AQ60" i="2"/>
  <c r="AX80" i="2"/>
  <c r="AQ80" i="2"/>
  <c r="AQ78" i="2"/>
  <c r="AX78" i="2"/>
  <c r="N80" i="6" l="1"/>
  <c r="BD80" i="2"/>
  <c r="R80" i="6" s="1"/>
  <c r="P80" i="6"/>
  <c r="N78" i="6"/>
  <c r="AR80" i="2"/>
  <c r="AZ80" i="2"/>
  <c r="AR78" i="2"/>
  <c r="AZ78" i="2"/>
  <c r="BF79" i="2"/>
  <c r="BG79" i="2"/>
  <c r="BD79" i="2"/>
  <c r="R79" i="6" s="1"/>
  <c r="BG82" i="2"/>
  <c r="BF82" i="2"/>
  <c r="BD82" i="2"/>
  <c r="R82" i="6" s="1"/>
  <c r="BG80" i="2"/>
  <c r="BF80" i="2"/>
  <c r="AY78" i="2"/>
  <c r="P78" i="6" s="1"/>
  <c r="AR75" i="2"/>
  <c r="AR70" i="2"/>
  <c r="AZ70" i="2"/>
  <c r="AZ75" i="2"/>
  <c r="AR72" i="2"/>
  <c r="AZ72" i="2"/>
  <c r="BE74" i="2"/>
  <c r="BC74" i="2"/>
  <c r="BF72" i="2"/>
  <c r="BG72" i="2"/>
  <c r="BD72" i="2"/>
  <c r="AY75" i="2"/>
  <c r="AY70" i="2"/>
  <c r="AO74" i="2"/>
  <c r="AR60" i="2"/>
  <c r="AZ60" i="2"/>
  <c r="AR64" i="2"/>
  <c r="AZ64" i="2"/>
  <c r="BE66" i="2"/>
  <c r="BC66" i="2"/>
  <c r="BF64" i="2"/>
  <c r="BG64" i="2"/>
  <c r="BD64" i="2"/>
  <c r="BG60" i="2"/>
  <c r="BF60" i="2"/>
  <c r="AO66" i="2"/>
  <c r="AY66" i="2" s="1"/>
  <c r="BD60" i="2"/>
  <c r="M33" i="6"/>
  <c r="I36" i="6"/>
  <c r="AT36" i="2"/>
  <c r="X36" i="6" s="1"/>
  <c r="N33" i="6"/>
  <c r="O33" i="6"/>
  <c r="C40" i="6"/>
  <c r="P40" i="2"/>
  <c r="D40" i="6" s="1"/>
  <c r="Q40" i="2"/>
  <c r="AT34" i="2"/>
  <c r="X34" i="6" s="1"/>
  <c r="AI39" i="2"/>
  <c r="J39" i="6" s="1"/>
  <c r="AB39" i="6" s="1"/>
  <c r="I39" i="6"/>
  <c r="Z33" i="6"/>
  <c r="H33" i="6"/>
  <c r="M45" i="6"/>
  <c r="M49" i="6"/>
  <c r="O49" i="6"/>
  <c r="O45" i="6"/>
  <c r="M53" i="6"/>
  <c r="O53" i="6"/>
  <c r="M57" i="6"/>
  <c r="O57" i="6"/>
  <c r="G49" i="6"/>
  <c r="G45" i="6"/>
  <c r="G57" i="6"/>
  <c r="G53" i="6"/>
  <c r="BE57" i="2"/>
  <c r="BC57" i="2"/>
  <c r="Q57" i="6" s="1"/>
  <c r="AO57" i="2"/>
  <c r="AM57" i="2"/>
  <c r="R56" i="2"/>
  <c r="AS56" i="2"/>
  <c r="AL56" i="2"/>
  <c r="AT57" i="2"/>
  <c r="BE49" i="2"/>
  <c r="BC49" i="2"/>
  <c r="Q49" i="6" s="1"/>
  <c r="BE45" i="2"/>
  <c r="BC45" i="2"/>
  <c r="Q45" i="6" s="1"/>
  <c r="BE53" i="2"/>
  <c r="BC53" i="2"/>
  <c r="Q53" i="6" s="1"/>
  <c r="AO45" i="2"/>
  <c r="R48" i="2"/>
  <c r="AL48" i="2"/>
  <c r="AS48" i="2"/>
  <c r="AO49" i="2"/>
  <c r="R51" i="2"/>
  <c r="AS51" i="2"/>
  <c r="AN51" i="2"/>
  <c r="AN50" i="2" s="1"/>
  <c r="AL51" i="2"/>
  <c r="AM53" i="2"/>
  <c r="AT49" i="2"/>
  <c r="AT45" i="2"/>
  <c r="AO53" i="2"/>
  <c r="R55" i="2"/>
  <c r="AL55" i="2"/>
  <c r="AS55" i="2"/>
  <c r="AN55" i="2"/>
  <c r="R47" i="2"/>
  <c r="AN47" i="2"/>
  <c r="AL47" i="2"/>
  <c r="AS47" i="2"/>
  <c r="AT53" i="2"/>
  <c r="AM49" i="2"/>
  <c r="AR33" i="2"/>
  <c r="BE33" i="2"/>
  <c r="BC33" i="2"/>
  <c r="Q33" i="6" s="1"/>
  <c r="AK38" i="2"/>
  <c r="L38" i="6" s="1"/>
  <c r="AT33" i="2"/>
  <c r="X33" i="6" s="1"/>
  <c r="AK39" i="2"/>
  <c r="L39" i="6" s="1"/>
  <c r="R35" i="2"/>
  <c r="AN35" i="2"/>
  <c r="AL35" i="2"/>
  <c r="AS35" i="2"/>
  <c r="W35" i="6" s="1"/>
  <c r="AK34" i="2"/>
  <c r="L34" i="6" s="1"/>
  <c r="AJ40" i="2"/>
  <c r="K40" i="6" s="1"/>
  <c r="AA40" i="6" s="1"/>
  <c r="V40" i="2"/>
  <c r="AI43" i="2"/>
  <c r="J43" i="6" s="1"/>
  <c r="AB43" i="6" s="1"/>
  <c r="V42" i="2"/>
  <c r="AJ42" i="2"/>
  <c r="K42" i="6" s="1"/>
  <c r="AA42" i="6" s="1"/>
  <c r="Q43" i="2"/>
  <c r="P43" i="2"/>
  <c r="D43" i="6" s="1"/>
  <c r="AK43" i="2"/>
  <c r="L43" i="6" s="1"/>
  <c r="R41" i="2"/>
  <c r="AS41" i="2"/>
  <c r="W41" i="6" s="1"/>
  <c r="AN41" i="2"/>
  <c r="AL41" i="2"/>
  <c r="AM33" i="2"/>
  <c r="R42" i="2"/>
  <c r="AS42" i="2"/>
  <c r="W42" i="6" s="1"/>
  <c r="AL42" i="2"/>
  <c r="AK36" i="2"/>
  <c r="L36" i="6" s="1"/>
  <c r="Q39" i="2"/>
  <c r="P39" i="2"/>
  <c r="D39" i="6" s="1"/>
  <c r="AM36" i="2"/>
  <c r="R38" i="2"/>
  <c r="AL38" i="2"/>
  <c r="AS38" i="2"/>
  <c r="W38" i="6" s="1"/>
  <c r="R37" i="2"/>
  <c r="AS37" i="2"/>
  <c r="W37" i="6" s="1"/>
  <c r="AL37" i="2"/>
  <c r="AN37" i="2"/>
  <c r="AQ57" i="2"/>
  <c r="AW47" i="2"/>
  <c r="AW51" i="2"/>
  <c r="AX45" i="2"/>
  <c r="AW41" i="2"/>
  <c r="AX53" i="2"/>
  <c r="AQ45" i="2"/>
  <c r="AP51" i="2"/>
  <c r="AP37" i="2"/>
  <c r="AQ53" i="2"/>
  <c r="AQ49" i="2"/>
  <c r="AX33" i="2"/>
  <c r="AP47" i="2"/>
  <c r="AX49" i="2"/>
  <c r="AX57" i="2"/>
  <c r="AP41" i="2"/>
  <c r="AP55" i="2"/>
  <c r="AW50" i="2"/>
  <c r="AW37" i="2"/>
  <c r="AW55" i="2"/>
  <c r="AP50" i="2"/>
  <c r="AP35" i="2"/>
  <c r="AW35" i="2"/>
  <c r="AX74" i="2"/>
  <c r="AQ74" i="2"/>
  <c r="AX66" i="2"/>
  <c r="AQ66" i="2"/>
  <c r="BG78" i="2" l="1"/>
  <c r="BF78" i="2"/>
  <c r="BD78" i="2"/>
  <c r="R78" i="6" s="1"/>
  <c r="AR74" i="2"/>
  <c r="AZ74" i="2"/>
  <c r="BF75" i="2"/>
  <c r="BG75" i="2"/>
  <c r="BD75" i="2"/>
  <c r="BF70" i="2"/>
  <c r="BG70" i="2"/>
  <c r="BD70" i="2"/>
  <c r="AY74" i="2"/>
  <c r="AR66" i="2"/>
  <c r="AZ66" i="2"/>
  <c r="BF66" i="2"/>
  <c r="BG66" i="2"/>
  <c r="BD66" i="2"/>
  <c r="AY33" i="2"/>
  <c r="BG33" i="2" s="1"/>
  <c r="AY57" i="2"/>
  <c r="BD57" i="2" s="1"/>
  <c r="R57" i="6" s="1"/>
  <c r="M35" i="6"/>
  <c r="O37" i="6"/>
  <c r="M41" i="6"/>
  <c r="O41" i="6"/>
  <c r="O35" i="6"/>
  <c r="P33" i="6"/>
  <c r="M37" i="6"/>
  <c r="AM41" i="2"/>
  <c r="Y37" i="6"/>
  <c r="G37" i="6"/>
  <c r="Y41" i="6"/>
  <c r="G41" i="6"/>
  <c r="Y35" i="6"/>
  <c r="G35" i="6"/>
  <c r="AM37" i="2"/>
  <c r="R40" i="2"/>
  <c r="AL40" i="2"/>
  <c r="AS40" i="2"/>
  <c r="M55" i="6"/>
  <c r="O55" i="6"/>
  <c r="O47" i="6"/>
  <c r="N53" i="6"/>
  <c r="O50" i="6"/>
  <c r="M50" i="6"/>
  <c r="M47" i="6"/>
  <c r="P45" i="6"/>
  <c r="M51" i="6"/>
  <c r="N49" i="6"/>
  <c r="P53" i="6"/>
  <c r="P49" i="6"/>
  <c r="O51" i="6"/>
  <c r="N45" i="6"/>
  <c r="N57" i="6"/>
  <c r="P57" i="6"/>
  <c r="G55" i="6"/>
  <c r="H53" i="6"/>
  <c r="G50" i="6"/>
  <c r="G51" i="6"/>
  <c r="AY45" i="2"/>
  <c r="BF45" i="2" s="1"/>
  <c r="H45" i="6"/>
  <c r="AY49" i="2"/>
  <c r="BF49" i="2" s="1"/>
  <c r="H49" i="6"/>
  <c r="H57" i="6"/>
  <c r="G47" i="6"/>
  <c r="AY53" i="2"/>
  <c r="BG53" i="2" s="1"/>
  <c r="AR57" i="2"/>
  <c r="AZ57" i="2"/>
  <c r="AM56" i="2"/>
  <c r="AN56" i="2"/>
  <c r="AT56" i="2"/>
  <c r="BE55" i="2"/>
  <c r="BC55" i="2"/>
  <c r="Q55" i="6" s="1"/>
  <c r="BE47" i="2"/>
  <c r="BC47" i="2"/>
  <c r="Q47" i="6" s="1"/>
  <c r="AR53" i="2"/>
  <c r="BE50" i="2"/>
  <c r="BC50" i="2"/>
  <c r="Q50" i="6" s="1"/>
  <c r="AZ45" i="2"/>
  <c r="AR49" i="2"/>
  <c r="AZ53" i="2"/>
  <c r="AZ49" i="2"/>
  <c r="BE51" i="2"/>
  <c r="BC51" i="2"/>
  <c r="Q51" i="6" s="1"/>
  <c r="AR45" i="2"/>
  <c r="AO55" i="2"/>
  <c r="AT55" i="2"/>
  <c r="AT47" i="2"/>
  <c r="AN48" i="2"/>
  <c r="AM48" i="2"/>
  <c r="AM47" i="2"/>
  <c r="AM51" i="2"/>
  <c r="AO50" i="2"/>
  <c r="AO47" i="2"/>
  <c r="AM55" i="2"/>
  <c r="AO51" i="2"/>
  <c r="AN52" i="2"/>
  <c r="AN46" i="2"/>
  <c r="AN54" i="2"/>
  <c r="AT51" i="2"/>
  <c r="AT48" i="2"/>
  <c r="AZ33" i="2"/>
  <c r="BE37" i="2"/>
  <c r="BC37" i="2"/>
  <c r="Q37" i="6" s="1"/>
  <c r="BE41" i="2"/>
  <c r="BC41" i="2"/>
  <c r="Q41" i="6" s="1"/>
  <c r="BE35" i="2"/>
  <c r="BC35" i="2"/>
  <c r="Q35" i="6" s="1"/>
  <c r="BF33" i="2"/>
  <c r="AM35" i="2"/>
  <c r="BD33" i="2"/>
  <c r="R33" i="6" s="1"/>
  <c r="AT37" i="2"/>
  <c r="X37" i="6" s="1"/>
  <c r="AT41" i="2"/>
  <c r="X41" i="6" s="1"/>
  <c r="AK42" i="2"/>
  <c r="L42" i="6" s="1"/>
  <c r="AT35" i="2"/>
  <c r="X35" i="6" s="1"/>
  <c r="AO37" i="2"/>
  <c r="AT38" i="2"/>
  <c r="X38" i="6" s="1"/>
  <c r="AN36" i="2"/>
  <c r="AM42" i="2"/>
  <c r="R43" i="2"/>
  <c r="AL43" i="2"/>
  <c r="AS43" i="2"/>
  <c r="W43" i="6" s="1"/>
  <c r="AN43" i="2"/>
  <c r="AN42" i="2" s="1"/>
  <c r="AO35" i="2"/>
  <c r="AN34" i="2"/>
  <c r="R39" i="2"/>
  <c r="AS39" i="2"/>
  <c r="W39" i="6" s="1"/>
  <c r="AL39" i="2"/>
  <c r="AN39" i="2"/>
  <c r="AK40" i="2"/>
  <c r="L40" i="6" s="1"/>
  <c r="AM38" i="2"/>
  <c r="AT42" i="2"/>
  <c r="X42" i="6" s="1"/>
  <c r="AO41" i="2"/>
  <c r="AW54" i="2"/>
  <c r="AP39" i="2"/>
  <c r="AX50" i="2"/>
  <c r="AW52" i="2"/>
  <c r="AQ55" i="2"/>
  <c r="AQ47" i="2"/>
  <c r="AP48" i="2"/>
  <c r="AX51" i="2"/>
  <c r="AW43" i="2"/>
  <c r="AP36" i="2"/>
  <c r="AW39" i="2"/>
  <c r="AP34" i="2"/>
  <c r="AW56" i="2"/>
  <c r="AQ50" i="2"/>
  <c r="AQ51" i="2"/>
  <c r="AX35" i="2"/>
  <c r="AX37" i="2"/>
  <c r="AP54" i="2"/>
  <c r="AW46" i="2"/>
  <c r="AQ41" i="2"/>
  <c r="AW36" i="2"/>
  <c r="AX55" i="2"/>
  <c r="AP43" i="2"/>
  <c r="AQ35" i="2"/>
  <c r="AP56" i="2"/>
  <c r="AW48" i="2"/>
  <c r="AW42" i="2"/>
  <c r="AP42" i="2"/>
  <c r="AP46" i="2"/>
  <c r="AP52" i="2"/>
  <c r="AX41" i="2"/>
  <c r="AX47" i="2"/>
  <c r="AQ37" i="2"/>
  <c r="AW34" i="2"/>
  <c r="BF74" i="2" l="1"/>
  <c r="BG74" i="2"/>
  <c r="BD74" i="2"/>
  <c r="BF57" i="2"/>
  <c r="BG57" i="2"/>
  <c r="BD53" i="2"/>
  <c r="R53" i="6" s="1"/>
  <c r="BD45" i="2"/>
  <c r="R45" i="6" s="1"/>
  <c r="BG45" i="2"/>
  <c r="AY35" i="2"/>
  <c r="AM39" i="2"/>
  <c r="O43" i="6"/>
  <c r="M43" i="6"/>
  <c r="AM43" i="2"/>
  <c r="Y43" i="6"/>
  <c r="G43" i="6"/>
  <c r="O36" i="6"/>
  <c r="M42" i="6"/>
  <c r="M34" i="6"/>
  <c r="O34" i="6"/>
  <c r="M39" i="6"/>
  <c r="P37" i="6"/>
  <c r="O39" i="6"/>
  <c r="N35" i="6"/>
  <c r="P41" i="6"/>
  <c r="O42" i="6"/>
  <c r="M36" i="6"/>
  <c r="N37" i="6"/>
  <c r="N41" i="6"/>
  <c r="P35" i="6"/>
  <c r="H41" i="6"/>
  <c r="Z41" i="6"/>
  <c r="Y34" i="6"/>
  <c r="G34" i="6"/>
  <c r="Z37" i="6"/>
  <c r="H37" i="6"/>
  <c r="Y39" i="6"/>
  <c r="G39" i="6"/>
  <c r="Y36" i="6"/>
  <c r="G36" i="6"/>
  <c r="Z35" i="6"/>
  <c r="H35" i="6"/>
  <c r="AY37" i="2"/>
  <c r="BG37" i="2" s="1"/>
  <c r="W40" i="6"/>
  <c r="AT40" i="2"/>
  <c r="X40" i="6" s="1"/>
  <c r="Y42" i="6"/>
  <c r="G42" i="6"/>
  <c r="AM40" i="2"/>
  <c r="M52" i="6"/>
  <c r="O52" i="6"/>
  <c r="N50" i="6"/>
  <c r="M48" i="6"/>
  <c r="O48" i="6"/>
  <c r="O54" i="6"/>
  <c r="M54" i="6"/>
  <c r="P55" i="6"/>
  <c r="M46" i="6"/>
  <c r="O46" i="6"/>
  <c r="N47" i="6"/>
  <c r="N55" i="6"/>
  <c r="P51" i="6"/>
  <c r="N51" i="6"/>
  <c r="P47" i="6"/>
  <c r="M56" i="6"/>
  <c r="O56" i="6"/>
  <c r="AY47" i="2"/>
  <c r="BD47" i="2" s="1"/>
  <c r="R47" i="6" s="1"/>
  <c r="BF53" i="2"/>
  <c r="H50" i="6"/>
  <c r="G48" i="6"/>
  <c r="BG49" i="2"/>
  <c r="G54" i="6"/>
  <c r="BD49" i="2"/>
  <c r="R49" i="6" s="1"/>
  <c r="G52" i="6"/>
  <c r="H51" i="6"/>
  <c r="AY55" i="2"/>
  <c r="BF55" i="2" s="1"/>
  <c r="G46" i="6"/>
  <c r="H47" i="6"/>
  <c r="H55" i="6"/>
  <c r="AY51" i="2"/>
  <c r="BF51" i="2" s="1"/>
  <c r="G56" i="6"/>
  <c r="BE56" i="2"/>
  <c r="BC56" i="2"/>
  <c r="Q56" i="6" s="1"/>
  <c r="AO56" i="2"/>
  <c r="BE52" i="2"/>
  <c r="BC52" i="2"/>
  <c r="Q52" i="6" s="1"/>
  <c r="AZ50" i="2"/>
  <c r="AR50" i="2"/>
  <c r="BE48" i="2"/>
  <c r="BC48" i="2"/>
  <c r="Q48" i="6" s="1"/>
  <c r="BE54" i="2"/>
  <c r="BC54" i="2"/>
  <c r="Q54" i="6" s="1"/>
  <c r="AZ55" i="2"/>
  <c r="BE46" i="2"/>
  <c r="BC46" i="2"/>
  <c r="Q46" i="6" s="1"/>
  <c r="AR47" i="2"/>
  <c r="AR55" i="2"/>
  <c r="AZ51" i="2"/>
  <c r="AR51" i="2"/>
  <c r="AZ47" i="2"/>
  <c r="AO52" i="2"/>
  <c r="AY52" i="2" s="1"/>
  <c r="P52" i="6" s="1"/>
  <c r="AO48" i="2"/>
  <c r="AO54" i="2"/>
  <c r="AO46" i="2"/>
  <c r="AY50" i="2"/>
  <c r="P50" i="6" s="1"/>
  <c r="BE34" i="2"/>
  <c r="BC34" i="2"/>
  <c r="Q34" i="6" s="1"/>
  <c r="BE36" i="2"/>
  <c r="BC36" i="2"/>
  <c r="Q36" i="6" s="1"/>
  <c r="BE39" i="2"/>
  <c r="BC39" i="2"/>
  <c r="Q39" i="6" s="1"/>
  <c r="AR37" i="2"/>
  <c r="AZ37" i="2"/>
  <c r="AR35" i="2"/>
  <c r="AZ41" i="2"/>
  <c r="AR41" i="2"/>
  <c r="BE43" i="2"/>
  <c r="BC43" i="2"/>
  <c r="Q43" i="6" s="1"/>
  <c r="BE42" i="2"/>
  <c r="BC42" i="2"/>
  <c r="Q42" i="6" s="1"/>
  <c r="AZ35" i="2"/>
  <c r="AO39" i="2"/>
  <c r="AN40" i="2"/>
  <c r="AO34" i="2"/>
  <c r="AO36" i="2"/>
  <c r="AN38" i="2"/>
  <c r="AT39" i="2"/>
  <c r="X39" i="6" s="1"/>
  <c r="AO43" i="2"/>
  <c r="BF35" i="2"/>
  <c r="BG35" i="2"/>
  <c r="BD35" i="2"/>
  <c r="R35" i="6" s="1"/>
  <c r="AY41" i="2"/>
  <c r="AT43" i="2"/>
  <c r="X43" i="6" s="1"/>
  <c r="AO42" i="2"/>
  <c r="AX54" i="2"/>
  <c r="AX46" i="2"/>
  <c r="AX48" i="2"/>
  <c r="AQ34" i="2"/>
  <c r="AQ36" i="2"/>
  <c r="AX39" i="2"/>
  <c r="AQ52" i="2"/>
  <c r="AX34" i="2"/>
  <c r="AW38" i="2"/>
  <c r="AQ43" i="2"/>
  <c r="AX36" i="2"/>
  <c r="AQ54" i="2"/>
  <c r="AQ46" i="2"/>
  <c r="AQ48" i="2"/>
  <c r="AP40" i="2"/>
  <c r="AW40" i="2"/>
  <c r="AP38" i="2"/>
  <c r="AX43" i="2"/>
  <c r="AQ42" i="2"/>
  <c r="AQ56" i="2"/>
  <c r="AX42" i="2"/>
  <c r="AX56" i="2"/>
  <c r="AX52" i="2"/>
  <c r="AQ39" i="2"/>
  <c r="BD55" i="2" l="1"/>
  <c r="R55" i="6" s="1"/>
  <c r="BF47" i="2"/>
  <c r="BG55" i="2"/>
  <c r="BG47" i="2"/>
  <c r="BG51" i="2"/>
  <c r="N43" i="6"/>
  <c r="P43" i="6"/>
  <c r="AY43" i="2"/>
  <c r="BD43" i="2" s="1"/>
  <c r="R43" i="6" s="1"/>
  <c r="Z43" i="6"/>
  <c r="H43" i="6"/>
  <c r="N39" i="6"/>
  <c r="O38" i="6"/>
  <c r="M38" i="6"/>
  <c r="P39" i="6"/>
  <c r="N42" i="6"/>
  <c r="O40" i="6"/>
  <c r="N36" i="6"/>
  <c r="M40" i="6"/>
  <c r="N34" i="6"/>
  <c r="Y38" i="6"/>
  <c r="G38" i="6"/>
  <c r="AY34" i="2"/>
  <c r="P34" i="6" s="1"/>
  <c r="Z34" i="6"/>
  <c r="H34" i="6"/>
  <c r="Z36" i="6"/>
  <c r="H36" i="6"/>
  <c r="BD37" i="2"/>
  <c r="R37" i="6" s="1"/>
  <c r="BF37" i="2"/>
  <c r="Y40" i="6"/>
  <c r="G40" i="6"/>
  <c r="AY36" i="2"/>
  <c r="P36" i="6" s="1"/>
  <c r="AY42" i="2"/>
  <c r="P42" i="6" s="1"/>
  <c r="Z42" i="6"/>
  <c r="H42" i="6"/>
  <c r="Z39" i="6"/>
  <c r="H39" i="6"/>
  <c r="N54" i="6"/>
  <c r="N48" i="6"/>
  <c r="N46" i="6"/>
  <c r="N52" i="6"/>
  <c r="N56" i="6"/>
  <c r="H46" i="6"/>
  <c r="H54" i="6"/>
  <c r="BD51" i="2"/>
  <c r="R51" i="6" s="1"/>
  <c r="H56" i="6"/>
  <c r="H52" i="6"/>
  <c r="H48" i="6"/>
  <c r="AR56" i="2"/>
  <c r="AZ56" i="2"/>
  <c r="AY56" i="2"/>
  <c r="P56" i="6" s="1"/>
  <c r="AR54" i="2"/>
  <c r="AZ54" i="2"/>
  <c r="AR48" i="2"/>
  <c r="AZ48" i="2"/>
  <c r="AR46" i="2"/>
  <c r="AZ46" i="2"/>
  <c r="AR52" i="2"/>
  <c r="AZ52" i="2"/>
  <c r="BG52" i="2"/>
  <c r="BF52" i="2"/>
  <c r="BD52" i="2"/>
  <c r="R52" i="6" s="1"/>
  <c r="AY54" i="2"/>
  <c r="P54" i="6" s="1"/>
  <c r="BG50" i="2"/>
  <c r="BF50" i="2"/>
  <c r="BD50" i="2"/>
  <c r="R50" i="6" s="1"/>
  <c r="AY46" i="2"/>
  <c r="P46" i="6" s="1"/>
  <c r="AY48" i="2"/>
  <c r="P48" i="6" s="1"/>
  <c r="BE40" i="2"/>
  <c r="BC40" i="2"/>
  <c r="Q40" i="6" s="1"/>
  <c r="AZ39" i="2"/>
  <c r="AZ36" i="2"/>
  <c r="AR36" i="2"/>
  <c r="AR43" i="2"/>
  <c r="AR39" i="2"/>
  <c r="AR42" i="2"/>
  <c r="AZ42" i="2"/>
  <c r="AZ43" i="2"/>
  <c r="BE38" i="2"/>
  <c r="BC38" i="2"/>
  <c r="Q38" i="6" s="1"/>
  <c r="AZ34" i="2"/>
  <c r="AR34" i="2"/>
  <c r="BG41" i="2"/>
  <c r="BF41" i="2"/>
  <c r="BD41" i="2"/>
  <c r="R41" i="6" s="1"/>
  <c r="AO40" i="2"/>
  <c r="BG36" i="2"/>
  <c r="BF36" i="2"/>
  <c r="BD36" i="2"/>
  <c r="R36" i="6" s="1"/>
  <c r="AY39" i="2"/>
  <c r="AO38" i="2"/>
  <c r="AQ40" i="2"/>
  <c r="AX40" i="2"/>
  <c r="AQ38" i="2"/>
  <c r="AX38" i="2"/>
  <c r="BD42" i="2" l="1"/>
  <c r="R42" i="6" s="1"/>
  <c r="BF42" i="2"/>
  <c r="BG43" i="2"/>
  <c r="BF43" i="2"/>
  <c r="N38" i="6"/>
  <c r="N40" i="6"/>
  <c r="Z38" i="6"/>
  <c r="H38" i="6"/>
  <c r="AY40" i="2"/>
  <c r="P40" i="6" s="1"/>
  <c r="Z40" i="6"/>
  <c r="H40" i="6"/>
  <c r="BD34" i="2"/>
  <c r="R34" i="6" s="1"/>
  <c r="BG34" i="2"/>
  <c r="BF34" i="2"/>
  <c r="BG42" i="2"/>
  <c r="BF56" i="2"/>
  <c r="BG56" i="2"/>
  <c r="BD56" i="2"/>
  <c r="R56" i="6" s="1"/>
  <c r="BG46" i="2"/>
  <c r="BF46" i="2"/>
  <c r="BD46" i="2"/>
  <c r="R46" i="6" s="1"/>
  <c r="BG54" i="2"/>
  <c r="BF54" i="2"/>
  <c r="BD54" i="2"/>
  <c r="R54" i="6" s="1"/>
  <c r="BG48" i="2"/>
  <c r="BF48" i="2"/>
  <c r="BD48" i="2"/>
  <c r="R48" i="6" s="1"/>
  <c r="AR38" i="2"/>
  <c r="AZ38" i="2"/>
  <c r="AZ40" i="2"/>
  <c r="AR40" i="2"/>
  <c r="BG40" i="2"/>
  <c r="BF40" i="2"/>
  <c r="BF39" i="2"/>
  <c r="BG39" i="2"/>
  <c r="BD39" i="2"/>
  <c r="R39" i="6" s="1"/>
  <c r="AY38" i="2"/>
  <c r="P38" i="6" s="1"/>
  <c r="BD40" i="2" l="1"/>
  <c r="R40" i="6" s="1"/>
  <c r="BG38" i="2"/>
  <c r="BF38" i="2"/>
  <c r="BD38" i="2"/>
  <c r="R38" i="6" s="1"/>
  <c r="U31" i="6" l="1"/>
  <c r="S31" i="6"/>
  <c r="B31" i="6"/>
  <c r="A31" i="6"/>
  <c r="U30" i="6"/>
  <c r="S30" i="6"/>
  <c r="B30" i="6"/>
  <c r="A30" i="6"/>
  <c r="U29" i="6"/>
  <c r="S29" i="6"/>
  <c r="B29" i="6"/>
  <c r="A29" i="6"/>
  <c r="U28" i="6"/>
  <c r="S28" i="6"/>
  <c r="B28" i="6"/>
  <c r="A28" i="6"/>
  <c r="U27" i="6"/>
  <c r="S27" i="6"/>
  <c r="B27" i="6"/>
  <c r="A27" i="6"/>
  <c r="U26" i="6"/>
  <c r="S26" i="6"/>
  <c r="B26" i="6"/>
  <c r="A26" i="6"/>
  <c r="U25" i="6"/>
  <c r="S25" i="6"/>
  <c r="B25" i="6"/>
  <c r="A25" i="6"/>
  <c r="U24" i="6"/>
  <c r="S24" i="6"/>
  <c r="B24" i="6"/>
  <c r="A24" i="6"/>
  <c r="U23" i="6"/>
  <c r="S23" i="6"/>
  <c r="B23" i="6"/>
  <c r="A23" i="6"/>
  <c r="U22" i="6"/>
  <c r="S22" i="6"/>
  <c r="B22" i="6"/>
  <c r="A22" i="6"/>
  <c r="U21" i="6"/>
  <c r="S21" i="6"/>
  <c r="B21" i="6"/>
  <c r="A21" i="6"/>
  <c r="BB31" i="2"/>
  <c r="BA31" i="2"/>
  <c r="AV31" i="2"/>
  <c r="AD31" i="2"/>
  <c r="AF31" i="2" s="1"/>
  <c r="X31" i="2"/>
  <c r="E31" i="6" s="1"/>
  <c r="U31" i="2"/>
  <c r="S31" i="2"/>
  <c r="T31" i="2" s="1"/>
  <c r="E31" i="2"/>
  <c r="G31" i="2" s="1"/>
  <c r="O31" i="2" s="1"/>
  <c r="C31" i="6" s="1"/>
  <c r="C31" i="2"/>
  <c r="J31" i="2" s="1"/>
  <c r="B31" i="2"/>
  <c r="A31" i="2"/>
  <c r="BB30" i="2"/>
  <c r="BA30" i="2"/>
  <c r="AV30" i="2"/>
  <c r="AD30" i="2"/>
  <c r="AE30" i="2" s="1"/>
  <c r="X30" i="2"/>
  <c r="Y30" i="2" s="1"/>
  <c r="F30" i="6" s="1"/>
  <c r="S30" i="2"/>
  <c r="T30" i="2" s="1"/>
  <c r="E30" i="2"/>
  <c r="F30" i="2" s="1"/>
  <c r="C30" i="2"/>
  <c r="J30" i="2" s="1"/>
  <c r="B30" i="2"/>
  <c r="A30" i="2"/>
  <c r="BB29" i="2"/>
  <c r="BA29" i="2"/>
  <c r="AV29" i="2"/>
  <c r="AD29" i="2"/>
  <c r="X29" i="2"/>
  <c r="E29" i="6" s="1"/>
  <c r="S29" i="2"/>
  <c r="E29" i="2"/>
  <c r="D29" i="2"/>
  <c r="C29" i="2"/>
  <c r="J29" i="2" s="1"/>
  <c r="B29" i="2"/>
  <c r="A29" i="2"/>
  <c r="BB28" i="2"/>
  <c r="BA28" i="2"/>
  <c r="AV28" i="2"/>
  <c r="AD28" i="2"/>
  <c r="AF28" i="2" s="1"/>
  <c r="X28" i="2"/>
  <c r="Z28" i="2" s="1"/>
  <c r="S28" i="2"/>
  <c r="T28" i="2" s="1"/>
  <c r="E28" i="2"/>
  <c r="G28" i="2" s="1"/>
  <c r="C28" i="2"/>
  <c r="D28" i="2" s="1"/>
  <c r="B28" i="2"/>
  <c r="A28" i="2"/>
  <c r="BB27" i="2"/>
  <c r="BA27" i="2"/>
  <c r="AV27" i="2"/>
  <c r="AD27" i="2"/>
  <c r="AE27" i="2" s="1"/>
  <c r="X27" i="2"/>
  <c r="Z27" i="2" s="1"/>
  <c r="S27" i="2"/>
  <c r="U27" i="2" s="1"/>
  <c r="G27" i="2"/>
  <c r="E27" i="2"/>
  <c r="F27" i="2" s="1"/>
  <c r="C27" i="2"/>
  <c r="B27" i="2"/>
  <c r="A27" i="2"/>
  <c r="BB26" i="2"/>
  <c r="BA26" i="2"/>
  <c r="AV26" i="2"/>
  <c r="AD26" i="2"/>
  <c r="AF26" i="2" s="1"/>
  <c r="AG26" i="2" s="1"/>
  <c r="X26" i="2"/>
  <c r="E26" i="6" s="1"/>
  <c r="S26" i="2"/>
  <c r="T26" i="2" s="1"/>
  <c r="F26" i="2"/>
  <c r="E26" i="2"/>
  <c r="G26" i="2" s="1"/>
  <c r="D26" i="2"/>
  <c r="C26" i="2"/>
  <c r="J26" i="2" s="1"/>
  <c r="B26" i="2"/>
  <c r="A26" i="2"/>
  <c r="BB25" i="2"/>
  <c r="BA25" i="2"/>
  <c r="AV25" i="2"/>
  <c r="AD25" i="2"/>
  <c r="X25" i="2"/>
  <c r="E25" i="6" s="1"/>
  <c r="S25" i="2"/>
  <c r="E25" i="2"/>
  <c r="C25" i="2"/>
  <c r="J25" i="2" s="1"/>
  <c r="B25" i="2"/>
  <c r="A25" i="2"/>
  <c r="BB24" i="2"/>
  <c r="BA24" i="2"/>
  <c r="AV24" i="2"/>
  <c r="AD24" i="2"/>
  <c r="AF24" i="2" s="1"/>
  <c r="AG24" i="2" s="1"/>
  <c r="X24" i="2"/>
  <c r="E24" i="6" s="1"/>
  <c r="S24" i="2"/>
  <c r="E24" i="2"/>
  <c r="D24" i="2"/>
  <c r="C24" i="2"/>
  <c r="J24" i="2" s="1"/>
  <c r="L24" i="2" s="1"/>
  <c r="M24" i="2" s="1"/>
  <c r="B24" i="2"/>
  <c r="A24" i="2"/>
  <c r="BB23" i="2"/>
  <c r="BA23" i="2"/>
  <c r="AV23" i="2"/>
  <c r="AD23" i="2"/>
  <c r="AF23" i="2" s="1"/>
  <c r="Z23" i="2"/>
  <c r="X23" i="2"/>
  <c r="Y23" i="2" s="1"/>
  <c r="F23" i="6" s="1"/>
  <c r="S23" i="2"/>
  <c r="U23" i="2" s="1"/>
  <c r="V23" i="2" s="1"/>
  <c r="AK23" i="2" s="1"/>
  <c r="L23" i="6" s="1"/>
  <c r="E23" i="2"/>
  <c r="F23" i="2" s="1"/>
  <c r="C23" i="2"/>
  <c r="D23" i="2" s="1"/>
  <c r="B23" i="2"/>
  <c r="A23" i="2"/>
  <c r="BB22" i="2"/>
  <c r="BA22" i="2"/>
  <c r="AV22" i="2"/>
  <c r="AD22" i="2"/>
  <c r="AF22" i="2" s="1"/>
  <c r="AG22" i="2" s="1"/>
  <c r="Y22" i="2"/>
  <c r="F22" i="6" s="1"/>
  <c r="X22" i="2"/>
  <c r="E22" i="6" s="1"/>
  <c r="S22" i="2"/>
  <c r="T22" i="2" s="1"/>
  <c r="E22" i="2"/>
  <c r="G22" i="2" s="1"/>
  <c r="O22" i="2" s="1"/>
  <c r="C22" i="2"/>
  <c r="J22" i="2" s="1"/>
  <c r="K22" i="2" s="1"/>
  <c r="B22" i="2"/>
  <c r="A22" i="2"/>
  <c r="BB21" i="2"/>
  <c r="BA21" i="2"/>
  <c r="AV21" i="2"/>
  <c r="AD21" i="2"/>
  <c r="X21" i="2"/>
  <c r="E21" i="6" s="1"/>
  <c r="S21" i="2"/>
  <c r="E21" i="2"/>
  <c r="C21" i="2"/>
  <c r="D21" i="2" s="1"/>
  <c r="B21" i="2"/>
  <c r="A21" i="2"/>
  <c r="U19" i="6"/>
  <c r="S19" i="6"/>
  <c r="B19" i="6"/>
  <c r="A19" i="6"/>
  <c r="U18" i="6"/>
  <c r="S18" i="6"/>
  <c r="B18" i="6"/>
  <c r="A18" i="6"/>
  <c r="U17" i="6"/>
  <c r="S17" i="6"/>
  <c r="B17" i="6"/>
  <c r="A17" i="6"/>
  <c r="U16" i="6"/>
  <c r="S16" i="6"/>
  <c r="B16" i="6"/>
  <c r="A16" i="6"/>
  <c r="U15" i="6"/>
  <c r="S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BB19" i="2"/>
  <c r="BA19" i="2"/>
  <c r="AV19" i="2"/>
  <c r="AD19" i="2"/>
  <c r="AF19" i="2" s="1"/>
  <c r="X19" i="2"/>
  <c r="Z19" i="2" s="1"/>
  <c r="S19" i="2"/>
  <c r="U19" i="2" s="1"/>
  <c r="E19" i="2"/>
  <c r="G19" i="2" s="1"/>
  <c r="C19" i="2"/>
  <c r="D19" i="2" s="1"/>
  <c r="B19" i="2"/>
  <c r="A19" i="2"/>
  <c r="BB18" i="2"/>
  <c r="BA18" i="2"/>
  <c r="AV18" i="2"/>
  <c r="AD18" i="2"/>
  <c r="AE18" i="2" s="1"/>
  <c r="X18" i="2"/>
  <c r="Y18" i="2" s="1"/>
  <c r="F18" i="6" s="1"/>
  <c r="S18" i="2"/>
  <c r="T18" i="2" s="1"/>
  <c r="E18" i="2"/>
  <c r="F18" i="2" s="1"/>
  <c r="C18" i="2"/>
  <c r="D18" i="2" s="1"/>
  <c r="B18" i="2"/>
  <c r="A18" i="2"/>
  <c r="BB17" i="2"/>
  <c r="BA17" i="2"/>
  <c r="AV17" i="2"/>
  <c r="AD17" i="2"/>
  <c r="AF17" i="2" s="1"/>
  <c r="AG17" i="2" s="1"/>
  <c r="X17" i="2"/>
  <c r="E17" i="6" s="1"/>
  <c r="S17" i="2"/>
  <c r="U17" i="2" s="1"/>
  <c r="E17" i="2"/>
  <c r="G17" i="2" s="1"/>
  <c r="C17" i="2"/>
  <c r="J17" i="2" s="1"/>
  <c r="B17" i="2"/>
  <c r="A17" i="2"/>
  <c r="BB16" i="2"/>
  <c r="BA16" i="2"/>
  <c r="AV16" i="2"/>
  <c r="AD16" i="2"/>
  <c r="AE16" i="2" s="1"/>
  <c r="X16" i="2"/>
  <c r="Y16" i="2" s="1"/>
  <c r="F16" i="6" s="1"/>
  <c r="S16" i="2"/>
  <c r="T16" i="2" s="1"/>
  <c r="E16" i="2"/>
  <c r="F16" i="2" s="1"/>
  <c r="C16" i="2"/>
  <c r="D16" i="2" s="1"/>
  <c r="B16" i="2"/>
  <c r="A16" i="2"/>
  <c r="BB15" i="2"/>
  <c r="BA15" i="2"/>
  <c r="AV15" i="2"/>
  <c r="AD15" i="2"/>
  <c r="AF15" i="2" s="1"/>
  <c r="X15" i="2"/>
  <c r="Z15" i="2" s="1"/>
  <c r="S15" i="2"/>
  <c r="U15" i="2" s="1"/>
  <c r="E15" i="2"/>
  <c r="G15" i="2" s="1"/>
  <c r="D15" i="2"/>
  <c r="C15" i="2"/>
  <c r="J15" i="2" s="1"/>
  <c r="L15" i="2" s="1"/>
  <c r="M15" i="2" s="1"/>
  <c r="B15" i="2"/>
  <c r="A15" i="2"/>
  <c r="BB14" i="2"/>
  <c r="BA14" i="2"/>
  <c r="AV14" i="2"/>
  <c r="AD14" i="2"/>
  <c r="AE14" i="2" s="1"/>
  <c r="X14" i="2"/>
  <c r="Z14" i="2" s="1"/>
  <c r="S14" i="2"/>
  <c r="T14" i="2" s="1"/>
  <c r="E14" i="2"/>
  <c r="G14" i="2" s="1"/>
  <c r="C14" i="2"/>
  <c r="D14" i="2" s="1"/>
  <c r="B14" i="2"/>
  <c r="A14" i="2"/>
  <c r="BB13" i="2"/>
  <c r="BA13" i="2"/>
  <c r="AV13" i="2"/>
  <c r="AD13" i="2"/>
  <c r="AE13" i="2" s="1"/>
  <c r="X13" i="2"/>
  <c r="Y13" i="2" s="1"/>
  <c r="F13" i="6" s="1"/>
  <c r="S13" i="2"/>
  <c r="T13" i="2" s="1"/>
  <c r="E13" i="2"/>
  <c r="F13" i="2" s="1"/>
  <c r="C13" i="2"/>
  <c r="J13" i="2" s="1"/>
  <c r="B13" i="2"/>
  <c r="A13" i="2"/>
  <c r="BB12" i="2"/>
  <c r="BA12" i="2"/>
  <c r="AV12" i="2"/>
  <c r="AD12" i="2"/>
  <c r="AF12" i="2" s="1"/>
  <c r="X12" i="2"/>
  <c r="Y12" i="2" s="1"/>
  <c r="F12" i="6" s="1"/>
  <c r="S12" i="2"/>
  <c r="T12" i="2" s="1"/>
  <c r="J12" i="2"/>
  <c r="K12" i="2" s="1"/>
  <c r="E12" i="2"/>
  <c r="F12" i="2" s="1"/>
  <c r="D12" i="2"/>
  <c r="C12" i="2"/>
  <c r="B12" i="2"/>
  <c r="A12" i="2"/>
  <c r="BB11" i="2"/>
  <c r="BA11" i="2"/>
  <c r="AV11" i="2"/>
  <c r="AD11" i="2"/>
  <c r="AF11" i="2" s="1"/>
  <c r="X11" i="2"/>
  <c r="Y11" i="2" s="1"/>
  <c r="F11" i="6" s="1"/>
  <c r="S11" i="2"/>
  <c r="T11" i="2" s="1"/>
  <c r="J11" i="2"/>
  <c r="L11" i="2" s="1"/>
  <c r="M11" i="2" s="1"/>
  <c r="E11" i="2"/>
  <c r="F11" i="2" s="1"/>
  <c r="C11" i="2"/>
  <c r="D11" i="2" s="1"/>
  <c r="B11" i="2"/>
  <c r="A11" i="2"/>
  <c r="AE22" i="2" l="1"/>
  <c r="O26" i="2"/>
  <c r="C26" i="6" s="1"/>
  <c r="H26" i="2"/>
  <c r="Y26" i="2"/>
  <c r="F26" i="6" s="1"/>
  <c r="AF27" i="2"/>
  <c r="AG27" i="2" s="1"/>
  <c r="AF30" i="2"/>
  <c r="AG30" i="2" s="1"/>
  <c r="F31" i="2"/>
  <c r="E27" i="6"/>
  <c r="D25" i="2"/>
  <c r="AE26" i="2"/>
  <c r="Y27" i="2"/>
  <c r="F27" i="6" s="1"/>
  <c r="AE31" i="2"/>
  <c r="Q22" i="2"/>
  <c r="AL22" i="2" s="1"/>
  <c r="C22" i="6"/>
  <c r="F22" i="2"/>
  <c r="Z22" i="2"/>
  <c r="AA22" i="2" s="1"/>
  <c r="T23" i="2"/>
  <c r="Z26" i="2"/>
  <c r="AA26" i="2" s="1"/>
  <c r="T27" i="2"/>
  <c r="F28" i="2"/>
  <c r="AE28" i="2"/>
  <c r="G30" i="2"/>
  <c r="O30" i="2" s="1"/>
  <c r="C30" i="6" s="1"/>
  <c r="Z30" i="2"/>
  <c r="Y31" i="2"/>
  <c r="F31" i="6" s="1"/>
  <c r="J21" i="2"/>
  <c r="K21" i="2" s="1"/>
  <c r="G23" i="2"/>
  <c r="J28" i="2"/>
  <c r="Z31" i="2"/>
  <c r="AS31" i="2" s="1"/>
  <c r="W31" i="6" s="1"/>
  <c r="E23" i="6"/>
  <c r="E28" i="6"/>
  <c r="L22" i="2"/>
  <c r="M22" i="2" s="1"/>
  <c r="Y28" i="2"/>
  <c r="F28" i="6" s="1"/>
  <c r="E30" i="6"/>
  <c r="F19" i="2"/>
  <c r="AE12" i="2"/>
  <c r="G13" i="2"/>
  <c r="O13" i="2" s="1"/>
  <c r="C13" i="6" s="1"/>
  <c r="Z13" i="2"/>
  <c r="U16" i="2"/>
  <c r="V16" i="2" s="1"/>
  <c r="AK16" i="2" s="1"/>
  <c r="L16" i="6" s="1"/>
  <c r="D17" i="2"/>
  <c r="J18" i="2"/>
  <c r="K18" i="2" s="1"/>
  <c r="AE19" i="2"/>
  <c r="U13" i="2"/>
  <c r="AF13" i="2"/>
  <c r="AH13" i="2" s="1"/>
  <c r="AF16" i="2"/>
  <c r="AG16" i="2" s="1"/>
  <c r="T19" i="2"/>
  <c r="O17" i="2"/>
  <c r="C17" i="6" s="1"/>
  <c r="H17" i="2"/>
  <c r="AJ17" i="2"/>
  <c r="K17" i="6" s="1"/>
  <c r="AA17" i="6" s="1"/>
  <c r="V17" i="2"/>
  <c r="AK17" i="2" s="1"/>
  <c r="L17" i="6" s="1"/>
  <c r="J19" i="2"/>
  <c r="E13" i="6"/>
  <c r="E16" i="6"/>
  <c r="Y19" i="2"/>
  <c r="F19" i="6" s="1"/>
  <c r="E18" i="6"/>
  <c r="F17" i="2"/>
  <c r="T17" i="2"/>
  <c r="Y17" i="2"/>
  <c r="F17" i="6" s="1"/>
  <c r="AE17" i="2"/>
  <c r="G16" i="2"/>
  <c r="H16" i="2" s="1"/>
  <c r="Z16" i="2"/>
  <c r="Z17" i="2"/>
  <c r="AA17" i="2" s="1"/>
  <c r="E12" i="6"/>
  <c r="E15" i="6"/>
  <c r="J14" i="2"/>
  <c r="K14" i="2" s="1"/>
  <c r="E11" i="6"/>
  <c r="E14" i="6"/>
  <c r="E19" i="6"/>
  <c r="K30" i="2"/>
  <c r="L30" i="2"/>
  <c r="M30" i="2" s="1"/>
  <c r="Q31" i="2"/>
  <c r="R31" i="2" s="1"/>
  <c r="P31" i="2"/>
  <c r="D31" i="6" s="1"/>
  <c r="P30" i="2"/>
  <c r="D30" i="6" s="1"/>
  <c r="Q30" i="2"/>
  <c r="R30" i="2" s="1"/>
  <c r="L31" i="2"/>
  <c r="M31" i="2" s="1"/>
  <c r="K31" i="2"/>
  <c r="D30" i="2"/>
  <c r="D31" i="2"/>
  <c r="H31" i="2"/>
  <c r="V31" i="2"/>
  <c r="AA31" i="2"/>
  <c r="AG31" i="2"/>
  <c r="H30" i="2"/>
  <c r="AA30" i="2"/>
  <c r="AJ31" i="2"/>
  <c r="K31" i="6" s="1"/>
  <c r="AA31" i="6" s="1"/>
  <c r="F21" i="2"/>
  <c r="G21" i="2"/>
  <c r="U21" i="2"/>
  <c r="T21" i="2"/>
  <c r="AA23" i="2"/>
  <c r="Y21" i="2"/>
  <c r="F21" i="6" s="1"/>
  <c r="Z21" i="2"/>
  <c r="AG23" i="2"/>
  <c r="AE21" i="2"/>
  <c r="AF21" i="2"/>
  <c r="AH23" i="2"/>
  <c r="I23" i="6" s="1"/>
  <c r="G24" i="2"/>
  <c r="F24" i="2"/>
  <c r="Z24" i="2"/>
  <c r="Y24" i="2"/>
  <c r="F24" i="6" s="1"/>
  <c r="AL26" i="2"/>
  <c r="J27" i="2"/>
  <c r="D27" i="2"/>
  <c r="V27" i="2"/>
  <c r="D22" i="2"/>
  <c r="H22" i="2"/>
  <c r="P22" i="2"/>
  <c r="AE23" i="2"/>
  <c r="AJ23" i="2"/>
  <c r="K23" i="6" s="1"/>
  <c r="AA23" i="6" s="1"/>
  <c r="AH27" i="2"/>
  <c r="I27" i="6" s="1"/>
  <c r="AA28" i="2"/>
  <c r="G29" i="2"/>
  <c r="F29" i="2"/>
  <c r="Z29" i="2"/>
  <c r="Y29" i="2"/>
  <c r="F29" i="6" s="1"/>
  <c r="K24" i="2"/>
  <c r="T24" i="2"/>
  <c r="AE24" i="2"/>
  <c r="G25" i="2"/>
  <c r="F25" i="2"/>
  <c r="Z25" i="2"/>
  <c r="Y25" i="2"/>
  <c r="F25" i="6" s="1"/>
  <c r="L26" i="2"/>
  <c r="M26" i="2" s="1"/>
  <c r="K26" i="2"/>
  <c r="Q26" i="2"/>
  <c r="P26" i="2"/>
  <c r="D26" i="6" s="1"/>
  <c r="O27" i="2"/>
  <c r="C27" i="6" s="1"/>
  <c r="H27" i="2"/>
  <c r="AA27" i="2"/>
  <c r="AJ27" i="2"/>
  <c r="K27" i="6" s="1"/>
  <c r="AA27" i="6" s="1"/>
  <c r="O28" i="2"/>
  <c r="C28" i="6" s="1"/>
  <c r="H28" i="2"/>
  <c r="L29" i="2"/>
  <c r="M29" i="2" s="1"/>
  <c r="K29" i="2"/>
  <c r="AF29" i="2"/>
  <c r="AE29" i="2"/>
  <c r="AH28" i="2"/>
  <c r="I28" i="6" s="1"/>
  <c r="AG28" i="2"/>
  <c r="J23" i="2"/>
  <c r="L25" i="2"/>
  <c r="M25" i="2" s="1"/>
  <c r="K25" i="2"/>
  <c r="U25" i="2"/>
  <c r="U24" i="2" s="1"/>
  <c r="T25" i="2"/>
  <c r="AF25" i="2"/>
  <c r="AE25" i="2"/>
  <c r="U29" i="2"/>
  <c r="U30" i="2" s="1"/>
  <c r="T29" i="2"/>
  <c r="AH26" i="2"/>
  <c r="L17" i="2"/>
  <c r="M17" i="2" s="1"/>
  <c r="K17" i="2"/>
  <c r="P17" i="2"/>
  <c r="D17" i="6" s="1"/>
  <c r="O19" i="2"/>
  <c r="C19" i="6" s="1"/>
  <c r="H19" i="2"/>
  <c r="V19" i="2"/>
  <c r="AJ19" i="2"/>
  <c r="K19" i="6" s="1"/>
  <c r="AA19" i="6" s="1"/>
  <c r="AH19" i="2"/>
  <c r="I19" i="6" s="1"/>
  <c r="AG19" i="2"/>
  <c r="AA19" i="2"/>
  <c r="AJ16" i="2"/>
  <c r="K16" i="6" s="1"/>
  <c r="AA16" i="6" s="1"/>
  <c r="J16" i="2"/>
  <c r="AH16" i="2"/>
  <c r="I16" i="6" s="1"/>
  <c r="G18" i="2"/>
  <c r="L18" i="2"/>
  <c r="M18" i="2" s="1"/>
  <c r="U18" i="2"/>
  <c r="Z18" i="2"/>
  <c r="AF18" i="2"/>
  <c r="AH17" i="2"/>
  <c r="AA16" i="2"/>
  <c r="AJ15" i="2"/>
  <c r="K15" i="6" s="1"/>
  <c r="AA15" i="6" s="1"/>
  <c r="V15" i="2"/>
  <c r="AA14" i="2"/>
  <c r="AA15" i="2"/>
  <c r="O14" i="2"/>
  <c r="C14" i="6" s="1"/>
  <c r="H14" i="2"/>
  <c r="O15" i="2"/>
  <c r="C15" i="6" s="1"/>
  <c r="H15" i="2"/>
  <c r="AH15" i="2"/>
  <c r="I15" i="6" s="1"/>
  <c r="AG15" i="2"/>
  <c r="F14" i="2"/>
  <c r="Y14" i="2"/>
  <c r="F14" i="6" s="1"/>
  <c r="L14" i="2"/>
  <c r="M14" i="2" s="1"/>
  <c r="U14" i="2"/>
  <c r="AF14" i="2"/>
  <c r="F15" i="2"/>
  <c r="K15" i="2"/>
  <c r="T15" i="2"/>
  <c r="Y15" i="2"/>
  <c r="F15" i="6" s="1"/>
  <c r="AE15" i="2"/>
  <c r="K13" i="2"/>
  <c r="L13" i="2"/>
  <c r="M13" i="2" s="1"/>
  <c r="AG11" i="2"/>
  <c r="AG12" i="2"/>
  <c r="Q13" i="2"/>
  <c r="R13" i="2" s="1"/>
  <c r="P13" i="2"/>
  <c r="D13" i="6" s="1"/>
  <c r="G11" i="2"/>
  <c r="U11" i="2"/>
  <c r="Z11" i="2"/>
  <c r="G12" i="2"/>
  <c r="L12" i="2"/>
  <c r="M12" i="2" s="1"/>
  <c r="U12" i="2"/>
  <c r="Z12" i="2"/>
  <c r="AH12" i="2" s="1"/>
  <c r="I12" i="6" s="1"/>
  <c r="AE11" i="2"/>
  <c r="D13" i="2"/>
  <c r="H13" i="2"/>
  <c r="V13" i="2"/>
  <c r="AA13" i="2"/>
  <c r="AJ13" i="2"/>
  <c r="K13" i="6" s="1"/>
  <c r="AA13" i="6" s="1"/>
  <c r="K11" i="2"/>
  <c r="AH30" i="2" l="1"/>
  <c r="I30" i="6" s="1"/>
  <c r="L21" i="2"/>
  <c r="M21" i="2" s="1"/>
  <c r="AL30" i="2"/>
  <c r="AS30" i="2"/>
  <c r="W30" i="6" s="1"/>
  <c r="V30" i="2"/>
  <c r="AK30" i="2" s="1"/>
  <c r="L30" i="6" s="1"/>
  <c r="AJ30" i="2"/>
  <c r="K30" i="6" s="1"/>
  <c r="AA30" i="6" s="1"/>
  <c r="AI26" i="2"/>
  <c r="J26" i="6" s="1"/>
  <c r="AB26" i="6" s="1"/>
  <c r="I26" i="6"/>
  <c r="D22" i="6"/>
  <c r="AH31" i="2"/>
  <c r="I31" i="6" s="1"/>
  <c r="L28" i="2"/>
  <c r="M28" i="2" s="1"/>
  <c r="K28" i="2"/>
  <c r="AH22" i="2"/>
  <c r="H23" i="2"/>
  <c r="O23" i="2"/>
  <c r="AS22" i="2"/>
  <c r="W22" i="6" s="1"/>
  <c r="R22" i="2"/>
  <c r="AG13" i="2"/>
  <c r="AI13" i="2" s="1"/>
  <c r="J13" i="6" s="1"/>
  <c r="AB13" i="6" s="1"/>
  <c r="AI17" i="2"/>
  <c r="J17" i="6" s="1"/>
  <c r="AB17" i="6" s="1"/>
  <c r="I17" i="6"/>
  <c r="I13" i="6"/>
  <c r="Q17" i="2"/>
  <c r="AS17" i="2" s="1"/>
  <c r="W17" i="6" s="1"/>
  <c r="O16" i="2"/>
  <c r="C16" i="6" s="1"/>
  <c r="L19" i="2"/>
  <c r="M19" i="2" s="1"/>
  <c r="K19" i="2"/>
  <c r="AT31" i="2"/>
  <c r="X31" i="6" s="1"/>
  <c r="AT30" i="2"/>
  <c r="X30" i="6" s="1"/>
  <c r="AK31" i="2"/>
  <c r="L31" i="6" s="1"/>
  <c r="AM30" i="2"/>
  <c r="AL31" i="2"/>
  <c r="AM31" i="2" s="1"/>
  <c r="AN31" i="2"/>
  <c r="AI30" i="2"/>
  <c r="J30" i="6" s="1"/>
  <c r="AB30" i="6" s="1"/>
  <c r="V24" i="2"/>
  <c r="AJ24" i="2"/>
  <c r="K24" i="6" s="1"/>
  <c r="AA24" i="6" s="1"/>
  <c r="P27" i="2"/>
  <c r="D27" i="6" s="1"/>
  <c r="Q27" i="2"/>
  <c r="O25" i="2"/>
  <c r="C25" i="6" s="1"/>
  <c r="H25" i="2"/>
  <c r="AH25" i="2"/>
  <c r="I25" i="6" s="1"/>
  <c r="AG25" i="2"/>
  <c r="AM22" i="2"/>
  <c r="H29" i="2"/>
  <c r="O29" i="2"/>
  <c r="C29" i="6" s="1"/>
  <c r="AI27" i="2"/>
  <c r="J27" i="6" s="1"/>
  <c r="AB27" i="6" s="1"/>
  <c r="AA24" i="2"/>
  <c r="AH24" i="2"/>
  <c r="AG21" i="2"/>
  <c r="AH21" i="2"/>
  <c r="I21" i="6" s="1"/>
  <c r="AA21" i="2"/>
  <c r="V29" i="2"/>
  <c r="AJ29" i="2"/>
  <c r="K29" i="6" s="1"/>
  <c r="AA29" i="6" s="1"/>
  <c r="U26" i="2"/>
  <c r="AJ25" i="2"/>
  <c r="K25" i="6" s="1"/>
  <c r="AA25" i="6" s="1"/>
  <c r="V25" i="2"/>
  <c r="AG29" i="2"/>
  <c r="AH29" i="2"/>
  <c r="I29" i="6" s="1"/>
  <c r="Q28" i="2"/>
  <c r="P28" i="2"/>
  <c r="D28" i="6" s="1"/>
  <c r="AA29" i="2"/>
  <c r="AK27" i="2"/>
  <c r="L27" i="6" s="1"/>
  <c r="AM26" i="2"/>
  <c r="H24" i="2"/>
  <c r="O24" i="2"/>
  <c r="C24" i="6" s="1"/>
  <c r="H21" i="2"/>
  <c r="O21" i="2"/>
  <c r="C21" i="6" s="1"/>
  <c r="AI28" i="2"/>
  <c r="J28" i="6" s="1"/>
  <c r="AB28" i="6" s="1"/>
  <c r="AI23" i="2"/>
  <c r="J23" i="6" s="1"/>
  <c r="AB23" i="6" s="1"/>
  <c r="L23" i="2"/>
  <c r="M23" i="2" s="1"/>
  <c r="K23" i="2"/>
  <c r="R26" i="2"/>
  <c r="AS26" i="2"/>
  <c r="W26" i="6" s="1"/>
  <c r="AA25" i="2"/>
  <c r="U28" i="2"/>
  <c r="K27" i="2"/>
  <c r="L27" i="2"/>
  <c r="M27" i="2" s="1"/>
  <c r="U22" i="2"/>
  <c r="V21" i="2"/>
  <c r="AJ21" i="2"/>
  <c r="K21" i="6" s="1"/>
  <c r="AA21" i="6" s="1"/>
  <c r="AH18" i="2"/>
  <c r="I18" i="6" s="1"/>
  <c r="AG18" i="2"/>
  <c r="H18" i="2"/>
  <c r="O18" i="2"/>
  <c r="C18" i="6" s="1"/>
  <c r="AA18" i="2"/>
  <c r="K16" i="2"/>
  <c r="L16" i="2"/>
  <c r="M16" i="2" s="1"/>
  <c r="Q19" i="2"/>
  <c r="P19" i="2"/>
  <c r="D19" i="6" s="1"/>
  <c r="V18" i="2"/>
  <c r="AJ18" i="2"/>
  <c r="K18" i="6" s="1"/>
  <c r="AA18" i="6" s="1"/>
  <c r="AK19" i="2"/>
  <c r="L19" i="6" s="1"/>
  <c r="P16" i="2"/>
  <c r="D16" i="6" s="1"/>
  <c r="Q16" i="2"/>
  <c r="AI16" i="2"/>
  <c r="J16" i="6" s="1"/>
  <c r="AB16" i="6" s="1"/>
  <c r="AI19" i="2"/>
  <c r="J19" i="6" s="1"/>
  <c r="AB19" i="6" s="1"/>
  <c r="AH14" i="2"/>
  <c r="I14" i="6" s="1"/>
  <c r="AG14" i="2"/>
  <c r="Q15" i="2"/>
  <c r="P15" i="2"/>
  <c r="D15" i="6" s="1"/>
  <c r="Q14" i="2"/>
  <c r="AL14" i="2" s="1"/>
  <c r="P14" i="2"/>
  <c r="D14" i="6" s="1"/>
  <c r="V14" i="2"/>
  <c r="AJ14" i="2"/>
  <c r="K14" i="6" s="1"/>
  <c r="AA14" i="6" s="1"/>
  <c r="AK15" i="2"/>
  <c r="L15" i="6" s="1"/>
  <c r="AI15" i="2"/>
  <c r="J15" i="6" s="1"/>
  <c r="AB15" i="6" s="1"/>
  <c r="V11" i="2"/>
  <c r="AJ11" i="2"/>
  <c r="K11" i="6" s="1"/>
  <c r="AA11" i="6" s="1"/>
  <c r="V12" i="2"/>
  <c r="AJ12" i="2"/>
  <c r="K12" i="6" s="1"/>
  <c r="AA12" i="6" s="1"/>
  <c r="AL13" i="2"/>
  <c r="H12" i="2"/>
  <c r="O12" i="2"/>
  <c r="C12" i="6" s="1"/>
  <c r="AS13" i="2"/>
  <c r="W13" i="6" s="1"/>
  <c r="O11" i="2"/>
  <c r="C11" i="6" s="1"/>
  <c r="H11" i="2"/>
  <c r="AN13" i="2"/>
  <c r="AK13" i="2"/>
  <c r="L13" i="6" s="1"/>
  <c r="AA12" i="2"/>
  <c r="AI12" i="2" s="1"/>
  <c r="J12" i="6" s="1"/>
  <c r="AB12" i="6" s="1"/>
  <c r="AA11" i="2"/>
  <c r="AH11" i="2"/>
  <c r="AP31" i="2"/>
  <c r="AP13" i="2"/>
  <c r="AW13" i="2"/>
  <c r="AW31" i="2"/>
  <c r="AI24" i="2" l="1"/>
  <c r="J24" i="6" s="1"/>
  <c r="AB24" i="6" s="1"/>
  <c r="I24" i="6"/>
  <c r="C23" i="6"/>
  <c r="P23" i="2"/>
  <c r="D23" i="6" s="1"/>
  <c r="Q23" i="2"/>
  <c r="AI22" i="2"/>
  <c r="J22" i="6" s="1"/>
  <c r="AB22" i="6" s="1"/>
  <c r="I22" i="6"/>
  <c r="Y31" i="6"/>
  <c r="G31" i="6"/>
  <c r="AI31" i="2"/>
  <c r="J31" i="6" s="1"/>
  <c r="AB31" i="6" s="1"/>
  <c r="AT22" i="2"/>
  <c r="X22" i="6" s="1"/>
  <c r="AL17" i="2"/>
  <c r="AM13" i="2"/>
  <c r="AN17" i="2"/>
  <c r="Y17" i="6" s="1"/>
  <c r="R17" i="2"/>
  <c r="AI11" i="2"/>
  <c r="J11" i="6" s="1"/>
  <c r="AB11" i="6" s="1"/>
  <c r="I11" i="6"/>
  <c r="G13" i="6"/>
  <c r="Y13" i="6"/>
  <c r="O31" i="6"/>
  <c r="O13" i="6"/>
  <c r="M13" i="6"/>
  <c r="M31" i="6"/>
  <c r="BE31" i="2"/>
  <c r="BC31" i="2"/>
  <c r="Q31" i="6" s="1"/>
  <c r="AO31" i="2"/>
  <c r="P21" i="2"/>
  <c r="D21" i="6" s="1"/>
  <c r="Q21" i="2"/>
  <c r="AT26" i="2"/>
  <c r="X26" i="6" s="1"/>
  <c r="AI21" i="2"/>
  <c r="J21" i="6" s="1"/>
  <c r="AB21" i="6" s="1"/>
  <c r="Q29" i="2"/>
  <c r="P29" i="2"/>
  <c r="D29" i="6" s="1"/>
  <c r="AJ22" i="2"/>
  <c r="K22" i="6" s="1"/>
  <c r="AA22" i="6" s="1"/>
  <c r="V22" i="2"/>
  <c r="V28" i="2"/>
  <c r="AJ28" i="2"/>
  <c r="K28" i="6" s="1"/>
  <c r="AA28" i="6" s="1"/>
  <c r="Q24" i="2"/>
  <c r="P24" i="2"/>
  <c r="D24" i="6" s="1"/>
  <c r="R28" i="2"/>
  <c r="AS28" i="2"/>
  <c r="W28" i="6" s="1"/>
  <c r="AL28" i="2"/>
  <c r="AJ26" i="2"/>
  <c r="K26" i="6" s="1"/>
  <c r="AA26" i="6" s="1"/>
  <c r="V26" i="2"/>
  <c r="AI25" i="2"/>
  <c r="J25" i="6" s="1"/>
  <c r="AB25" i="6" s="1"/>
  <c r="Q25" i="2"/>
  <c r="P25" i="2"/>
  <c r="D25" i="6" s="1"/>
  <c r="AK21" i="2"/>
  <c r="L21" i="6" s="1"/>
  <c r="AK29" i="2"/>
  <c r="L29" i="6" s="1"/>
  <c r="AI29" i="2"/>
  <c r="J29" i="6" s="1"/>
  <c r="AB29" i="6" s="1"/>
  <c r="AK25" i="2"/>
  <c r="L25" i="6" s="1"/>
  <c r="R27" i="2"/>
  <c r="AN27" i="2"/>
  <c r="AL27" i="2"/>
  <c r="AS27" i="2"/>
  <c r="W27" i="6" s="1"/>
  <c r="AK24" i="2"/>
  <c r="L24" i="6" s="1"/>
  <c r="R16" i="2"/>
  <c r="AS16" i="2"/>
  <c r="W16" i="6" s="1"/>
  <c r="AL16" i="2"/>
  <c r="P18" i="2"/>
  <c r="D18" i="6" s="1"/>
  <c r="Q18" i="2"/>
  <c r="AK18" i="2"/>
  <c r="L18" i="6" s="1"/>
  <c r="R19" i="2"/>
  <c r="AS19" i="2"/>
  <c r="W19" i="6" s="1"/>
  <c r="AN19" i="2"/>
  <c r="AL19" i="2"/>
  <c r="AM17" i="2"/>
  <c r="AT17" i="2"/>
  <c r="X17" i="6" s="1"/>
  <c r="AI18" i="2"/>
  <c r="J18" i="6" s="1"/>
  <c r="AB18" i="6" s="1"/>
  <c r="R15" i="2"/>
  <c r="AS15" i="2"/>
  <c r="W15" i="6" s="1"/>
  <c r="AN15" i="2"/>
  <c r="AN14" i="2" s="1"/>
  <c r="AL15" i="2"/>
  <c r="R14" i="2"/>
  <c r="AM14" i="2" s="1"/>
  <c r="AS14" i="2"/>
  <c r="W14" i="6" s="1"/>
  <c r="AK14" i="2"/>
  <c r="L14" i="6" s="1"/>
  <c r="AI14" i="2"/>
  <c r="J14" i="6" s="1"/>
  <c r="AB14" i="6" s="1"/>
  <c r="BE13" i="2"/>
  <c r="BC13" i="2"/>
  <c r="Q13" i="6" s="1"/>
  <c r="AO13" i="2"/>
  <c r="Q11" i="2"/>
  <c r="P11" i="2"/>
  <c r="D11" i="6" s="1"/>
  <c r="AT13" i="2"/>
  <c r="X13" i="6" s="1"/>
  <c r="AK11" i="2"/>
  <c r="L11" i="6" s="1"/>
  <c r="P12" i="2"/>
  <c r="D12" i="6" s="1"/>
  <c r="Q12" i="2"/>
  <c r="AK12" i="2"/>
  <c r="L12" i="6" s="1"/>
  <c r="AW15" i="2"/>
  <c r="AW27" i="2"/>
  <c r="AQ31" i="2"/>
  <c r="AW17" i="2"/>
  <c r="AW14" i="2"/>
  <c r="AX13" i="2"/>
  <c r="AP27" i="2"/>
  <c r="AP19" i="2"/>
  <c r="AP15" i="2"/>
  <c r="AP14" i="2"/>
  <c r="AX31" i="2"/>
  <c r="AW19" i="2"/>
  <c r="AP17" i="2"/>
  <c r="AQ13" i="2"/>
  <c r="G17" i="6" l="1"/>
  <c r="AO17" i="2"/>
  <c r="Y27" i="6"/>
  <c r="G27" i="6"/>
  <c r="R23" i="2"/>
  <c r="AS23" i="2"/>
  <c r="AL23" i="2"/>
  <c r="AM23" i="2" s="1"/>
  <c r="AN23" i="2"/>
  <c r="AM27" i="2"/>
  <c r="Z31" i="6"/>
  <c r="H31" i="6"/>
  <c r="BC17" i="2"/>
  <c r="Q17" i="6" s="1"/>
  <c r="O17" i="6"/>
  <c r="BE17" i="2"/>
  <c r="M17" i="6"/>
  <c r="Y14" i="6"/>
  <c r="G14" i="6"/>
  <c r="Z17" i="6"/>
  <c r="H17" i="6"/>
  <c r="H13" i="6"/>
  <c r="Z13" i="6"/>
  <c r="AM15" i="2"/>
  <c r="Y15" i="6"/>
  <c r="G15" i="6"/>
  <c r="Y19" i="6"/>
  <c r="G19" i="6"/>
  <c r="M14" i="6"/>
  <c r="O19" i="6"/>
  <c r="P13" i="6"/>
  <c r="M15" i="6"/>
  <c r="N31" i="6"/>
  <c r="O14" i="6"/>
  <c r="M27" i="6"/>
  <c r="N13" i="6"/>
  <c r="O15" i="6"/>
  <c r="M19" i="6"/>
  <c r="O27" i="6"/>
  <c r="P31" i="6"/>
  <c r="AR31" i="2"/>
  <c r="AZ31" i="2"/>
  <c r="AY31" i="2"/>
  <c r="BE27" i="2"/>
  <c r="BC27" i="2"/>
  <c r="Q27" i="6" s="1"/>
  <c r="AO27" i="2"/>
  <c r="R25" i="2"/>
  <c r="AL25" i="2"/>
  <c r="AS25" i="2"/>
  <c r="W25" i="6" s="1"/>
  <c r="AN25" i="2"/>
  <c r="R21" i="2"/>
  <c r="AN21" i="2"/>
  <c r="AS21" i="2"/>
  <c r="W21" i="6" s="1"/>
  <c r="AL21" i="2"/>
  <c r="AT27" i="2"/>
  <c r="X27" i="6" s="1"/>
  <c r="AK26" i="2"/>
  <c r="L26" i="6" s="1"/>
  <c r="AT28" i="2"/>
  <c r="X28" i="6" s="1"/>
  <c r="AK28" i="2"/>
  <c r="L28" i="6" s="1"/>
  <c r="AM28" i="2"/>
  <c r="R24" i="2"/>
  <c r="AL24" i="2"/>
  <c r="AS24" i="2"/>
  <c r="W24" i="6" s="1"/>
  <c r="AK22" i="2"/>
  <c r="L22" i="6" s="1"/>
  <c r="R29" i="2"/>
  <c r="AN29" i="2"/>
  <c r="AS29" i="2"/>
  <c r="W29" i="6" s="1"/>
  <c r="AL29" i="2"/>
  <c r="BE19" i="2"/>
  <c r="BC19" i="2"/>
  <c r="Q19" i="6" s="1"/>
  <c r="R18" i="2"/>
  <c r="AS18" i="2"/>
  <c r="W18" i="6" s="1"/>
  <c r="AL18" i="2"/>
  <c r="AT19" i="2"/>
  <c r="X19" i="6" s="1"/>
  <c r="AN16" i="2"/>
  <c r="AM16" i="2"/>
  <c r="AY17" i="2"/>
  <c r="AO19" i="2"/>
  <c r="AM19" i="2"/>
  <c r="AT16" i="2"/>
  <c r="X16" i="6" s="1"/>
  <c r="BE14" i="2"/>
  <c r="BC14" i="2"/>
  <c r="Q14" i="6" s="1"/>
  <c r="BE15" i="2"/>
  <c r="BC15" i="2"/>
  <c r="Q15" i="6" s="1"/>
  <c r="AT14" i="2"/>
  <c r="X14" i="6" s="1"/>
  <c r="AO14" i="2"/>
  <c r="AO15" i="2"/>
  <c r="AT15" i="2"/>
  <c r="X15" i="6" s="1"/>
  <c r="AZ13" i="2"/>
  <c r="AR13" i="2"/>
  <c r="R11" i="2"/>
  <c r="AN11" i="2"/>
  <c r="AL11" i="2"/>
  <c r="AS11" i="2"/>
  <c r="W11" i="6" s="1"/>
  <c r="R12" i="2"/>
  <c r="AL12" i="2"/>
  <c r="AS12" i="2"/>
  <c r="W12" i="6" s="1"/>
  <c r="AY13" i="2"/>
  <c r="AX27" i="2"/>
  <c r="AP29" i="2"/>
  <c r="AW21" i="2"/>
  <c r="AW11" i="2"/>
  <c r="AP16" i="2"/>
  <c r="AP23" i="2"/>
  <c r="AP25" i="2"/>
  <c r="AQ15" i="2"/>
  <c r="AX14" i="2"/>
  <c r="AQ19" i="2"/>
  <c r="AX17" i="2"/>
  <c r="AQ17" i="2"/>
  <c r="AW16" i="2"/>
  <c r="AP21" i="2"/>
  <c r="AX15" i="2"/>
  <c r="AP11" i="2"/>
  <c r="AW25" i="2"/>
  <c r="AW23" i="2"/>
  <c r="AQ14" i="2"/>
  <c r="AW29" i="2"/>
  <c r="AQ27" i="2"/>
  <c r="AX19" i="2"/>
  <c r="AR17" i="2" l="1"/>
  <c r="N17" i="6"/>
  <c r="AZ17" i="2"/>
  <c r="P17" i="6"/>
  <c r="O23" i="6"/>
  <c r="BC23" i="2"/>
  <c r="Q23" i="6" s="1"/>
  <c r="BE23" i="2"/>
  <c r="M23" i="6"/>
  <c r="G21" i="6"/>
  <c r="Y21" i="6"/>
  <c r="W23" i="6"/>
  <c r="AT23" i="2"/>
  <c r="AY23" i="2" s="1"/>
  <c r="AN28" i="2"/>
  <c r="AO28" i="2" s="1"/>
  <c r="G29" i="6"/>
  <c r="Y29" i="6"/>
  <c r="AN30" i="2"/>
  <c r="Y23" i="6"/>
  <c r="G23" i="6"/>
  <c r="AO23" i="2"/>
  <c r="Y25" i="6"/>
  <c r="G25" i="6"/>
  <c r="H27" i="6"/>
  <c r="Z27" i="6"/>
  <c r="Y11" i="6"/>
  <c r="G11" i="6"/>
  <c r="Z15" i="6"/>
  <c r="H15" i="6"/>
  <c r="H19" i="6"/>
  <c r="Z19" i="6"/>
  <c r="H14" i="6"/>
  <c r="Z14" i="6"/>
  <c r="AY15" i="2"/>
  <c r="BG15" i="2" s="1"/>
  <c r="G16" i="6"/>
  <c r="Y16" i="6"/>
  <c r="P27" i="6"/>
  <c r="O25" i="6"/>
  <c r="O11" i="6"/>
  <c r="N14" i="6"/>
  <c r="P19" i="6"/>
  <c r="M25" i="6"/>
  <c r="N27" i="6"/>
  <c r="M11" i="6"/>
  <c r="N19" i="6"/>
  <c r="M16" i="6"/>
  <c r="M29" i="6"/>
  <c r="P15" i="6"/>
  <c r="O29" i="6"/>
  <c r="N15" i="6"/>
  <c r="O16" i="6"/>
  <c r="O21" i="6"/>
  <c r="M21" i="6"/>
  <c r="BG31" i="2"/>
  <c r="BF31" i="2"/>
  <c r="BD31" i="2"/>
  <c r="R31" i="6" s="1"/>
  <c r="AZ27" i="2"/>
  <c r="BE29" i="2"/>
  <c r="BC29" i="2"/>
  <c r="Q29" i="6" s="1"/>
  <c r="BE21" i="2"/>
  <c r="BC21" i="2"/>
  <c r="Q21" i="6" s="1"/>
  <c r="BE25" i="2"/>
  <c r="BC25" i="2"/>
  <c r="Q25" i="6" s="1"/>
  <c r="AR27" i="2"/>
  <c r="AY27" i="2"/>
  <c r="AM21" i="2"/>
  <c r="AO25" i="2"/>
  <c r="AN26" i="2"/>
  <c r="AT29" i="2"/>
  <c r="AT24" i="2"/>
  <c r="X24" i="6" s="1"/>
  <c r="AT21" i="2"/>
  <c r="X21" i="6" s="1"/>
  <c r="AT25" i="2"/>
  <c r="X25" i="6" s="1"/>
  <c r="AM29" i="2"/>
  <c r="AO29" i="2"/>
  <c r="AN24" i="2"/>
  <c r="AM24" i="2"/>
  <c r="AO21" i="2"/>
  <c r="AN22" i="2"/>
  <c r="AM25" i="2"/>
  <c r="BE16" i="2"/>
  <c r="BC16" i="2"/>
  <c r="Q16" i="6" s="1"/>
  <c r="AR19" i="2"/>
  <c r="AZ19" i="2"/>
  <c r="BG17" i="2"/>
  <c r="BF17" i="2"/>
  <c r="BD17" i="2"/>
  <c r="R17" i="6" s="1"/>
  <c r="AM18" i="2"/>
  <c r="AN18" i="2"/>
  <c r="AT18" i="2"/>
  <c r="X18" i="6" s="1"/>
  <c r="AO16" i="2"/>
  <c r="AY19" i="2"/>
  <c r="AZ15" i="2"/>
  <c r="AR15" i="2"/>
  <c r="AZ14" i="2"/>
  <c r="AR14" i="2"/>
  <c r="AY14" i="2"/>
  <c r="P14" i="6" s="1"/>
  <c r="BE11" i="2"/>
  <c r="BC11" i="2"/>
  <c r="Q11" i="6" s="1"/>
  <c r="AO11" i="2"/>
  <c r="BG13" i="2"/>
  <c r="BF13" i="2"/>
  <c r="BD13" i="2"/>
  <c r="R13" i="6" s="1"/>
  <c r="AT11" i="2"/>
  <c r="X11" i="6" s="1"/>
  <c r="AM12" i="2"/>
  <c r="AN12" i="2"/>
  <c r="AT12" i="2"/>
  <c r="X12" i="6" s="1"/>
  <c r="AM11" i="2"/>
  <c r="AP22" i="2"/>
  <c r="AP30" i="2"/>
  <c r="AQ21" i="2"/>
  <c r="AQ28" i="2"/>
  <c r="AW26" i="2"/>
  <c r="AW12" i="2"/>
  <c r="AX16" i="2"/>
  <c r="AW18" i="2"/>
  <c r="AQ16" i="2"/>
  <c r="AW22" i="2"/>
  <c r="AW30" i="2"/>
  <c r="AP26" i="2"/>
  <c r="AP24" i="2"/>
  <c r="AQ11" i="2"/>
  <c r="AQ23" i="2"/>
  <c r="AW24" i="2"/>
  <c r="AX28" i="2"/>
  <c r="AX25" i="2"/>
  <c r="AW28" i="2"/>
  <c r="AP12" i="2"/>
  <c r="AX23" i="2"/>
  <c r="AX29" i="2"/>
  <c r="AP28" i="2"/>
  <c r="AX11" i="2"/>
  <c r="AQ25" i="2"/>
  <c r="AP18" i="2"/>
  <c r="AQ29" i="2"/>
  <c r="AX21" i="2"/>
  <c r="M28" i="6" l="1"/>
  <c r="O28" i="6"/>
  <c r="BC28" i="2"/>
  <c r="Q28" i="6" s="1"/>
  <c r="BE28" i="2"/>
  <c r="M30" i="6"/>
  <c r="O30" i="6"/>
  <c r="BC30" i="2"/>
  <c r="Q30" i="6" s="1"/>
  <c r="BE30" i="2"/>
  <c r="P23" i="6"/>
  <c r="AZ23" i="2"/>
  <c r="AR23" i="2"/>
  <c r="N23" i="6"/>
  <c r="BF23" i="2"/>
  <c r="BG23" i="2"/>
  <c r="BD23" i="2"/>
  <c r="R23" i="6" s="1"/>
  <c r="H29" i="6"/>
  <c r="Z29" i="6"/>
  <c r="AY25" i="2"/>
  <c r="BF25" i="2" s="1"/>
  <c r="G28" i="6"/>
  <c r="Y28" i="6"/>
  <c r="Z21" i="6"/>
  <c r="H21" i="6"/>
  <c r="AY29" i="2"/>
  <c r="BD29" i="2" s="1"/>
  <c r="R29" i="6" s="1"/>
  <c r="X29" i="6"/>
  <c r="G26" i="6"/>
  <c r="Y26" i="6"/>
  <c r="Z28" i="6"/>
  <c r="H28" i="6"/>
  <c r="Y30" i="6"/>
  <c r="G30" i="6"/>
  <c r="AO30" i="2"/>
  <c r="X23" i="6"/>
  <c r="Y22" i="6"/>
  <c r="G22" i="6"/>
  <c r="Y24" i="6"/>
  <c r="G24" i="6"/>
  <c r="Z25" i="6"/>
  <c r="H25" i="6"/>
  <c r="Z23" i="6"/>
  <c r="H23" i="6"/>
  <c r="H11" i="6"/>
  <c r="Z11" i="6"/>
  <c r="BF15" i="2"/>
  <c r="BD15" i="2"/>
  <c r="R15" i="6" s="1"/>
  <c r="H16" i="6"/>
  <c r="Z16" i="6"/>
  <c r="Y12" i="6"/>
  <c r="G12" i="6"/>
  <c r="G18" i="6"/>
  <c r="Y18" i="6"/>
  <c r="AY16" i="2"/>
  <c r="P16" i="6" s="1"/>
  <c r="N25" i="6"/>
  <c r="N21" i="6"/>
  <c r="M22" i="6"/>
  <c r="N28" i="6"/>
  <c r="N11" i="6"/>
  <c r="P21" i="6"/>
  <c r="M26" i="6"/>
  <c r="O22" i="6"/>
  <c r="P11" i="6"/>
  <c r="M18" i="6"/>
  <c r="O26" i="6"/>
  <c r="M12" i="6"/>
  <c r="O18" i="6"/>
  <c r="M24" i="6"/>
  <c r="P29" i="6"/>
  <c r="N29" i="6"/>
  <c r="O12" i="6"/>
  <c r="N16" i="6"/>
  <c r="O24" i="6"/>
  <c r="P25" i="6"/>
  <c r="BD16" i="2"/>
  <c r="R16" i="6" s="1"/>
  <c r="AR21" i="2"/>
  <c r="BE24" i="2"/>
  <c r="AY24" i="2"/>
  <c r="P24" i="6" s="1"/>
  <c r="BC24" i="2"/>
  <c r="Q24" i="6" s="1"/>
  <c r="AZ21" i="2"/>
  <c r="AR25" i="2"/>
  <c r="AZ29" i="2"/>
  <c r="AZ25" i="2"/>
  <c r="BE26" i="2"/>
  <c r="BC26" i="2"/>
  <c r="Q26" i="6" s="1"/>
  <c r="AR28" i="2"/>
  <c r="AZ28" i="2"/>
  <c r="BE22" i="2"/>
  <c r="BC22" i="2"/>
  <c r="Q22" i="6" s="1"/>
  <c r="AR29" i="2"/>
  <c r="AY21" i="2"/>
  <c r="AO24" i="2"/>
  <c r="BG27" i="2"/>
  <c r="BF27" i="2"/>
  <c r="BD27" i="2"/>
  <c r="R27" i="6" s="1"/>
  <c r="AO26" i="2"/>
  <c r="AY26" i="2" s="1"/>
  <c r="AO22" i="2"/>
  <c r="AY22" i="2" s="1"/>
  <c r="P22" i="6" s="1"/>
  <c r="AY28" i="2"/>
  <c r="P28" i="6" s="1"/>
  <c r="BE18" i="2"/>
  <c r="BC18" i="2"/>
  <c r="Q18" i="6" s="1"/>
  <c r="AR16" i="2"/>
  <c r="AZ16" i="2"/>
  <c r="BG19" i="2"/>
  <c r="BF19" i="2"/>
  <c r="BD19" i="2"/>
  <c r="R19" i="6" s="1"/>
  <c r="AO18" i="2"/>
  <c r="BG14" i="2"/>
  <c r="BF14" i="2"/>
  <c r="BD14" i="2"/>
  <c r="R14" i="6" s="1"/>
  <c r="AZ11" i="2"/>
  <c r="BE12" i="2"/>
  <c r="BC12" i="2"/>
  <c r="Q12" i="6" s="1"/>
  <c r="AR11" i="2"/>
  <c r="AY11" i="2"/>
  <c r="AO12" i="2"/>
  <c r="AQ26" i="2"/>
  <c r="AQ30" i="2"/>
  <c r="AX12" i="2"/>
  <c r="AX22" i="2"/>
  <c r="AX30" i="2"/>
  <c r="AX18" i="2"/>
  <c r="AQ24" i="2"/>
  <c r="AX24" i="2"/>
  <c r="AQ18" i="2"/>
  <c r="AQ22" i="2"/>
  <c r="AQ12" i="2"/>
  <c r="AX26" i="2"/>
  <c r="BG16" i="2" l="1"/>
  <c r="BF16" i="2"/>
  <c r="BG25" i="2"/>
  <c r="AZ30" i="2"/>
  <c r="AR30" i="2"/>
  <c r="N30" i="6"/>
  <c r="H30" i="6"/>
  <c r="Z30" i="6"/>
  <c r="H22" i="6"/>
  <c r="Z22" i="6"/>
  <c r="BF29" i="2"/>
  <c r="BD25" i="2"/>
  <c r="R25" i="6" s="1"/>
  <c r="BG29" i="2"/>
  <c r="H26" i="6"/>
  <c r="Z26" i="6"/>
  <c r="H24" i="6"/>
  <c r="Z24" i="6"/>
  <c r="AY30" i="2"/>
  <c r="Z18" i="6"/>
  <c r="H18" i="6"/>
  <c r="Z12" i="6"/>
  <c r="H12" i="6"/>
  <c r="N26" i="6"/>
  <c r="N18" i="6"/>
  <c r="N24" i="6"/>
  <c r="N22" i="6"/>
  <c r="N12" i="6"/>
  <c r="BD26" i="2"/>
  <c r="R26" i="6" s="1"/>
  <c r="P26" i="6"/>
  <c r="AZ26" i="2"/>
  <c r="AR26" i="2"/>
  <c r="AR24" i="2"/>
  <c r="AZ24" i="2"/>
  <c r="AZ22" i="2"/>
  <c r="AR22" i="2"/>
  <c r="BG22" i="2"/>
  <c r="BF22" i="2"/>
  <c r="BF24" i="2"/>
  <c r="BG24" i="2"/>
  <c r="BD24" i="2"/>
  <c r="R24" i="6" s="1"/>
  <c r="BD22" i="2"/>
  <c r="R22" i="6" s="1"/>
  <c r="BG26" i="2"/>
  <c r="BF26" i="2"/>
  <c r="BG28" i="2"/>
  <c r="BF28" i="2"/>
  <c r="BD28" i="2"/>
  <c r="R28" i="6" s="1"/>
  <c r="BF21" i="2"/>
  <c r="BG21" i="2"/>
  <c r="BD21" i="2"/>
  <c r="R21" i="6" s="1"/>
  <c r="AR18" i="2"/>
  <c r="AZ18" i="2"/>
  <c r="AY18" i="2"/>
  <c r="P18" i="6" s="1"/>
  <c r="AR12" i="2"/>
  <c r="AZ12" i="2"/>
  <c r="BG11" i="2"/>
  <c r="BF11" i="2"/>
  <c r="BD11" i="2"/>
  <c r="R11" i="6" s="1"/>
  <c r="AY12" i="2"/>
  <c r="P12" i="6" s="1"/>
  <c r="P30" i="6" l="1"/>
  <c r="BD30" i="2"/>
  <c r="R30" i="6" s="1"/>
  <c r="BG30" i="2"/>
  <c r="BF30" i="2"/>
  <c r="BG18" i="2"/>
  <c r="BF18" i="2"/>
  <c r="BD18" i="2"/>
  <c r="R18" i="6" s="1"/>
  <c r="BG12" i="2"/>
  <c r="BF12" i="2"/>
  <c r="BD12" i="2"/>
  <c r="R12" i="6" s="1"/>
  <c r="AV7" i="2" l="1"/>
  <c r="AV8" i="2"/>
  <c r="AV9" i="2"/>
  <c r="S9" i="6" l="1"/>
  <c r="B9" i="6"/>
  <c r="A9" i="6"/>
  <c r="S8" i="6"/>
  <c r="B8" i="6"/>
  <c r="A8" i="6"/>
  <c r="S7" i="6"/>
  <c r="U9" i="6"/>
  <c r="U7" i="6"/>
  <c r="B7" i="6"/>
  <c r="A7" i="6"/>
  <c r="AD8" i="2" l="1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C9" i="6" s="1"/>
  <c r="BB8" i="2"/>
  <c r="BA8" i="2"/>
  <c r="C8" i="2"/>
  <c r="J8" i="2" s="1"/>
  <c r="B8" i="2"/>
  <c r="A8" i="2"/>
  <c r="X7" i="2"/>
  <c r="BB7" i="2"/>
  <c r="BA7" i="2"/>
  <c r="C7" i="2"/>
  <c r="D7" i="2" s="1"/>
  <c r="B7" i="2"/>
  <c r="A7" i="2"/>
  <c r="X9" i="2"/>
  <c r="BB9" i="2"/>
  <c r="BA9" i="2"/>
  <c r="C9" i="2"/>
  <c r="J9" i="2" s="1"/>
  <c r="L9" i="2" s="1"/>
  <c r="M9" i="2" s="1"/>
  <c r="B9" i="2"/>
  <c r="A9" i="2"/>
  <c r="E9" i="6" l="1"/>
  <c r="AE9" i="2"/>
  <c r="F9" i="2"/>
  <c r="Y8" i="2"/>
  <c r="F8" i="6" s="1"/>
  <c r="E8" i="6"/>
  <c r="Z7" i="2"/>
  <c r="E7" i="6"/>
  <c r="Q9" i="2"/>
  <c r="R9" i="2" s="1"/>
  <c r="H9" i="2"/>
  <c r="L8" i="2"/>
  <c r="M8" i="2" s="1"/>
  <c r="P9" i="2"/>
  <c r="D9" i="6" s="1"/>
  <c r="T7" i="2"/>
  <c r="Y7" i="2"/>
  <c r="F7" i="6" s="1"/>
  <c r="Z8" i="2"/>
  <c r="AS8" i="2" s="1"/>
  <c r="AT8" i="2" s="1"/>
  <c r="U9" i="2"/>
  <c r="U8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AF7" i="2"/>
  <c r="K8" i="2"/>
  <c r="T8" i="2"/>
  <c r="AA7" i="2" l="1"/>
  <c r="AS9" i="2"/>
  <c r="AL9" i="2"/>
  <c r="AM9" i="2" s="1"/>
  <c r="AN9" i="2"/>
  <c r="L7" i="2"/>
  <c r="M7" i="2" s="1"/>
  <c r="AA8" i="2"/>
  <c r="AH8" i="2"/>
  <c r="I8" i="6" s="1"/>
  <c r="V9" i="2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V8" i="2"/>
  <c r="AJ8" i="2"/>
  <c r="AH7" i="2"/>
  <c r="I7" i="6" s="1"/>
  <c r="AG7" i="2"/>
  <c r="AP9" i="2"/>
  <c r="AT9" i="2" l="1"/>
  <c r="W9" i="6"/>
  <c r="AK9" i="2"/>
  <c r="L9" i="6" s="1"/>
  <c r="G9" i="6"/>
  <c r="AI8" i="2"/>
  <c r="J8" i="6" s="1"/>
  <c r="AB8" i="6" s="1"/>
  <c r="M9" i="6"/>
  <c r="AO9" i="2"/>
  <c r="Y9" i="6"/>
  <c r="K8" i="6"/>
  <c r="AA8" i="6" s="1"/>
  <c r="AI9" i="2"/>
  <c r="J9" i="6" s="1"/>
  <c r="AB9" i="6" s="1"/>
  <c r="P7" i="2"/>
  <c r="D7" i="6" s="1"/>
  <c r="Q7" i="2"/>
  <c r="AS7" i="2" s="1"/>
  <c r="P8" i="2"/>
  <c r="D8" i="6" s="1"/>
  <c r="Q8" i="2"/>
  <c r="AI7" i="2"/>
  <c r="J7" i="6" s="1"/>
  <c r="AB7" i="6" s="1"/>
  <c r="X9" i="6"/>
  <c r="AK8" i="2"/>
  <c r="L8" i="6" s="1"/>
  <c r="AW9" i="2"/>
  <c r="AQ9" i="2"/>
  <c r="H9" i="6" l="1"/>
  <c r="AT7" i="2"/>
  <c r="Z9" i="6"/>
  <c r="BE9" i="2"/>
  <c r="BC9" i="2"/>
  <c r="Q9" i="6" s="1"/>
  <c r="O9" i="6"/>
  <c r="AX9" i="2"/>
  <c r="N9" i="6" l="1"/>
  <c r="AR9" i="2"/>
  <c r="P9" i="6"/>
  <c r="R8" i="2"/>
  <c r="AL8" i="2"/>
  <c r="R7" i="2"/>
  <c r="AN7" i="2"/>
  <c r="AL7" i="2"/>
  <c r="AZ9" i="2"/>
  <c r="AY9" i="2"/>
  <c r="BD9" i="2" s="1"/>
  <c r="R9" i="6" s="1"/>
  <c r="AW7" i="2"/>
  <c r="AP7" i="2"/>
  <c r="W7" i="6" l="1"/>
  <c r="W8" i="6"/>
  <c r="Y7" i="6"/>
  <c r="G7" i="6"/>
  <c r="M7" i="6"/>
  <c r="O7" i="6"/>
  <c r="BC7" i="2"/>
  <c r="Q7" i="6" s="1"/>
  <c r="AM7" i="2"/>
  <c r="BE7" i="2"/>
  <c r="AM8" i="2"/>
  <c r="AN8" i="2"/>
  <c r="AO7" i="2"/>
  <c r="X7" i="6"/>
  <c r="BG9" i="2"/>
  <c r="BF9" i="2"/>
  <c r="AP8" i="2"/>
  <c r="AQ7" i="2"/>
  <c r="AX7" i="2"/>
  <c r="G8" i="6" l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X8" i="2"/>
  <c r="O8" i="6" l="1"/>
  <c r="BE8" i="2"/>
  <c r="BC8" i="2"/>
  <c r="Q8" i="6" s="1"/>
  <c r="AQ8" i="2"/>
  <c r="AY8" i="2" l="1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<sst xmlns="http://schemas.openxmlformats.org/spreadsheetml/2006/main" count="1034" uniqueCount="415">
  <si>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</si>
  <si>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</si>
  <si>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</si>
  <si>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</si>
  <si>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</si>
  <si>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</si>
  <si>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</si>
  <si>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</si>
  <si>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</si>
  <si>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</si>
  <si>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</si>
  <si>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</si>
  <si>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</si>
  <si>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</si>
  <si>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</si>
  <si>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</si>
  <si>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</si>
  <si>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</si>
  <si>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</si>
  <si>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</si>
  <si>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</si>
  <si>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</si>
  <si>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</si>
  <si>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</si>
  <si>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</si>
  <si>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</si>
  <si>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</si>
  <si>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</si>
  <si>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</si>
  <si>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</si>
  <si>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</si>
  <si>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</si>
  <si>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</si>
  <si>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</si>
  <si>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</si>
  <si>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</si>
  <si>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</si>
  <si>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</si>
  <si>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</si>
  <si>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</si>
  <si>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</si>
  <si>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</si>
  <si>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</si>
  <si>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</si>
  <si>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</si>
  <si>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</si>
  <si>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</si>
  <si>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</si>
  <si>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</si>
  <si>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</si>
  <si>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</si>
  <si>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</si>
  <si>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</si>
  <si>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</si>
  <si>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</si>
  <si>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</si>
  <si>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</si>
  <si>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</si>
  <si>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</si>
  <si>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</si>
  <si>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</si>
  <si>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</si>
  <si>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</si>
  <si>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</si>
  <si>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</si>
  <si>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</si>
  <si>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</si>
  <si>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</si>
  <si>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</si>
  <si>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</si>
  <si>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</si>
  <si>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</si>
  <si>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</si>
  <si>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</si>
  <si>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</si>
  <si>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</si>
  <si>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</si>
  <si>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</si>
  <si>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</si>
  <si>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</si>
  <si>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</si>
  <si>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</si>
  <si>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</si>
  <si>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</si>
  <si>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</si>
  <si>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</si>
  <si>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</si>
  <si>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</si>
  <si>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</si>
  <si>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</si>
  <si>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</si>
  <si>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</si>
  <si>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</si>
  <si>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</si>
  <si>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</si>
  <si>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</si>
  <si>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</si>
  <si>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</si>
  <si>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</si>
  <si>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</si>
  <si>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</si>
  <si>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</si>
  <si>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</si>
  <si>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</si>
  <si>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</si>
  <si>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</si>
  <si>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</si>
  <si>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</si>
  <si>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</si>
  <si>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</si>
  <si>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</si>
  <si>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</si>
  <si>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</si>
  <si>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</si>
  <si>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</si>
  <si>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</si>
  <si>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</si>
  <si>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</si>
  <si>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</si>
  <si>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</si>
  <si>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</si>
  <si>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</si>
  <si>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</si>
  <si>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</si>
  <si>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</si>
  <si>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</si>
  <si>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025m10815.exp</t>
  </si>
  <si>
    <t>028m10889.exp</t>
  </si>
  <si>
    <t>M5-14-44B_322</t>
  </si>
  <si>
    <t>Stalagmite</t>
  </si>
  <si>
    <t xml:space="preserve">   (ng/g)</t>
  </si>
  <si>
    <t>007m10815.exp</t>
  </si>
  <si>
    <t>010m10890.exp</t>
  </si>
  <si>
    <t>013m10815.exp</t>
  </si>
  <si>
    <t>016m10891.exp</t>
  </si>
  <si>
    <t>019m10815.exp</t>
  </si>
  <si>
    <t>022m10892.exp</t>
  </si>
  <si>
    <t>028m10893.exp</t>
  </si>
  <si>
    <t>031m10815.exp</t>
  </si>
  <si>
    <t>M5-14-44B_331,25</t>
  </si>
  <si>
    <t>M5-14-44B_346,5</t>
  </si>
  <si>
    <t>M5-14-44B_618,75</t>
  </si>
  <si>
    <t>M5-14-44B_653</t>
  </si>
  <si>
    <t>M5-14-42_58,75</t>
  </si>
  <si>
    <t>M5-14-42_162,75</t>
  </si>
  <si>
    <t>M5-14-42_211,25</t>
  </si>
  <si>
    <t>M5-14-42_224</t>
  </si>
  <si>
    <t>M5-14-42_277,5</t>
  </si>
  <si>
    <t>007j10815.exp</t>
  </si>
  <si>
    <t>010j10894.exp</t>
  </si>
  <si>
    <t>013j10815.exp</t>
  </si>
  <si>
    <t>016j10895.exp</t>
  </si>
  <si>
    <t>019j10815.exp</t>
  </si>
  <si>
    <t>022j10896.exp</t>
  </si>
  <si>
    <t>025j10815.exp</t>
  </si>
  <si>
    <t>028j10897.exp</t>
  </si>
  <si>
    <t>031j10815.exp</t>
  </si>
  <si>
    <t>034j10898.exp</t>
  </si>
  <si>
    <t>037j10815.exp</t>
  </si>
  <si>
    <t>010j10903.exp</t>
  </si>
  <si>
    <t>016j10904.exp</t>
  </si>
  <si>
    <t>022j10905.exp</t>
  </si>
  <si>
    <t>028j10906.exp</t>
  </si>
  <si>
    <t>034j10899.exp</t>
  </si>
  <si>
    <t>RuWa51_3_20</t>
  </si>
  <si>
    <t>M43_401_14_44</t>
  </si>
  <si>
    <t>M43_401_14_119</t>
  </si>
  <si>
    <t>M43_401_14_122.5</t>
  </si>
  <si>
    <t>M43_401_14_337.5</t>
  </si>
  <si>
    <t>M43_401_14_341.5</t>
  </si>
  <si>
    <t>M43_401_14_544.5</t>
  </si>
  <si>
    <t>M43_401_14_5B_Base</t>
  </si>
  <si>
    <t>M43_401_14_15_E</t>
  </si>
  <si>
    <t>M43_401_14_15_F</t>
  </si>
  <si>
    <t>M43_401_14_15_G</t>
  </si>
  <si>
    <t>010j10909.exp</t>
  </si>
  <si>
    <t>016j10910.exp</t>
  </si>
  <si>
    <t>022j10911.exp</t>
  </si>
  <si>
    <t>028j10912.exp</t>
  </si>
  <si>
    <t>034j10907.exp</t>
  </si>
  <si>
    <t>040j10908.exp</t>
  </si>
  <si>
    <t>043j10815.exp</t>
  </si>
  <si>
    <t>010j10969.exp</t>
  </si>
  <si>
    <t>016j10970.exp</t>
  </si>
  <si>
    <t>022j10971.exp</t>
  </si>
  <si>
    <t>028j10972.exp</t>
  </si>
  <si>
    <t>M43_401_5A-2</t>
  </si>
  <si>
    <t>M43_401_5A-3</t>
  </si>
  <si>
    <t>M43_401_5A-4</t>
  </si>
  <si>
    <t>M43_401_5A-5</t>
  </si>
  <si>
    <t>RuWa51_3_34</t>
  </si>
  <si>
    <t>RuWa51_3_87</t>
  </si>
  <si>
    <t>RuWa51_3_98</t>
  </si>
  <si>
    <t>010j10900.exp</t>
  </si>
  <si>
    <t>016j10901.exp</t>
  </si>
  <si>
    <t>022j10902.exp</t>
  </si>
  <si>
    <t>007N10815.exp</t>
  </si>
  <si>
    <t>010N10982.exp</t>
  </si>
  <si>
    <t>013N10815.exp</t>
  </si>
  <si>
    <t>016N10983.exp</t>
  </si>
  <si>
    <t>019N10815.exp</t>
  </si>
  <si>
    <t>022N10984.exp</t>
  </si>
  <si>
    <t>E4-18</t>
  </si>
  <si>
    <t>E4-28</t>
  </si>
  <si>
    <t>E8-Top</t>
  </si>
  <si>
    <t>Top</t>
  </si>
  <si>
    <t>010N10973.exp</t>
  </si>
  <si>
    <t>016N10974.exp</t>
  </si>
  <si>
    <t>022N10975.exp</t>
  </si>
  <si>
    <t>025N10815.exp</t>
  </si>
  <si>
    <t>028N10976.exp</t>
  </si>
  <si>
    <t>031N10815.exp</t>
  </si>
  <si>
    <t>034N10977.exp</t>
  </si>
  <si>
    <t>037N10815.exp</t>
  </si>
  <si>
    <t>040N10978.exp</t>
  </si>
  <si>
    <t>043N10815.exp</t>
  </si>
  <si>
    <t>046N10979.exp</t>
  </si>
  <si>
    <t>EO-C-19</t>
  </si>
  <si>
    <t>EO-C-52</t>
  </si>
  <si>
    <t>EO-C-69</t>
  </si>
  <si>
    <t>EO-C-105,5</t>
  </si>
  <si>
    <t>EO-C-117</t>
  </si>
  <si>
    <t>EO-C-162,5</t>
  </si>
  <si>
    <t>E1-Top</t>
  </si>
  <si>
    <t>E1-59,5</t>
  </si>
  <si>
    <t>E1-92</t>
  </si>
  <si>
    <t>E8-48</t>
  </si>
  <si>
    <t>EO-B-85,5</t>
  </si>
  <si>
    <t>EO-B-177</t>
  </si>
  <si>
    <t>010N10980.exp</t>
  </si>
  <si>
    <t>016N10981.exp</t>
  </si>
  <si>
    <t>022N10985.exp</t>
  </si>
  <si>
    <t>028N10986.exp</t>
  </si>
  <si>
    <t>034N10987.exp</t>
  </si>
  <si>
    <t>007K10815.exp</t>
  </si>
  <si>
    <t>010K11019.exp</t>
  </si>
  <si>
    <t>013K10815.exp</t>
  </si>
  <si>
    <t>016K11020.exp</t>
  </si>
  <si>
    <t>019K10815.exp</t>
  </si>
  <si>
    <t>022K11021.exp</t>
  </si>
  <si>
    <t>025K10815.exp</t>
  </si>
  <si>
    <t>028K11022.exp</t>
  </si>
  <si>
    <t>031K10815.exp</t>
  </si>
  <si>
    <t>034K11023.exp</t>
  </si>
  <si>
    <t>037K10815.exp</t>
  </si>
  <si>
    <t>040K11024.exp</t>
  </si>
  <si>
    <t>043K10815.exp</t>
  </si>
  <si>
    <t>046K11025.exp</t>
  </si>
  <si>
    <t>049K10815.exp</t>
  </si>
  <si>
    <t>052K11026.exp</t>
  </si>
  <si>
    <t>055K10815.exp</t>
  </si>
  <si>
    <t>KMS6-7,3cm-a</t>
  </si>
  <si>
    <t>KMS6-7,3cm-b</t>
  </si>
  <si>
    <t>KMS6-7,3cm-c</t>
  </si>
  <si>
    <t>KMS6-7,3cm-d</t>
  </si>
  <si>
    <t>KMS6-7,3cm-e</t>
  </si>
  <si>
    <t>KMS6-19,9cm-a</t>
  </si>
  <si>
    <t>KMS6-19,9cm-b</t>
  </si>
  <si>
    <t>KMS6-19,9cm-c</t>
  </si>
  <si>
    <t>KMS6-15,8cm-a</t>
  </si>
  <si>
    <t>KMS6-15,8cm-b</t>
  </si>
  <si>
    <t>KMS6-15,8cm-c</t>
  </si>
  <si>
    <t>KMS6-15,8cm-d</t>
  </si>
  <si>
    <t>KMS6-15,8cm-e</t>
  </si>
  <si>
    <t>KMS6-0,7cm-a</t>
  </si>
  <si>
    <t>KMS6-0,7cm-b</t>
  </si>
  <si>
    <t>KMS6-0,7cm-c</t>
  </si>
  <si>
    <t>010K11027.exp</t>
  </si>
  <si>
    <t>016K11028.exp</t>
  </si>
  <si>
    <t>022K11029.exp</t>
  </si>
  <si>
    <t>028K11030.exp</t>
  </si>
  <si>
    <t>034K11031.exp</t>
  </si>
  <si>
    <t>040K11032.exp</t>
  </si>
  <si>
    <t>046K11033.exp</t>
  </si>
  <si>
    <t>052K11034.exp</t>
  </si>
  <si>
    <t>007Y10815.exp</t>
  </si>
  <si>
    <t>010Y11065.exp</t>
  </si>
  <si>
    <t>013Y10815.exp</t>
  </si>
  <si>
    <t>NAH14-103</t>
  </si>
  <si>
    <t>010N11051.exp</t>
  </si>
  <si>
    <t>016N11052.exp</t>
  </si>
  <si>
    <t>022N11053.exp</t>
  </si>
  <si>
    <t>028N11054.exp</t>
  </si>
  <si>
    <t>034N11055.exp</t>
  </si>
  <si>
    <t>040N11056.exp</t>
  </si>
  <si>
    <t>E4-Top</t>
  </si>
  <si>
    <t>Stalag</t>
  </si>
  <si>
    <t>E4-10</t>
  </si>
  <si>
    <t>E4-37</t>
  </si>
  <si>
    <t>E4-40</t>
  </si>
  <si>
    <t>E8-26</t>
  </si>
  <si>
    <t>E8-29</t>
  </si>
  <si>
    <t>010N11057.exp</t>
  </si>
  <si>
    <t>016N11058.exp</t>
  </si>
  <si>
    <t>022N11059.exp</t>
  </si>
  <si>
    <t>028N11060.exp</t>
  </si>
  <si>
    <t>034N11061.exp</t>
  </si>
  <si>
    <t>E8-60,5</t>
  </si>
  <si>
    <t>E1-35</t>
  </si>
  <si>
    <t>E1-62</t>
  </si>
  <si>
    <t>E1-75</t>
  </si>
  <si>
    <t>E1-78,5</t>
  </si>
  <si>
    <t>010N11062.exp</t>
  </si>
  <si>
    <t>016N11063.exp</t>
  </si>
  <si>
    <t>022N11064.exp</t>
  </si>
  <si>
    <t>028N11091.exp</t>
  </si>
  <si>
    <t>034N11092.exp</t>
  </si>
  <si>
    <t>040N11093.exp</t>
  </si>
  <si>
    <t>E0-C-75</t>
  </si>
  <si>
    <t>E0-C-99,5</t>
  </si>
  <si>
    <t>E0-C-166</t>
  </si>
  <si>
    <t>M514-44B-605,0</t>
  </si>
  <si>
    <t>M514-44B-629,25</t>
  </si>
  <si>
    <t>M514-44B-651,5</t>
  </si>
  <si>
    <t>007J10815.exp</t>
  </si>
  <si>
    <t>010J11094.exp</t>
  </si>
  <si>
    <t>013J10815.exp</t>
  </si>
  <si>
    <t>016J11095.exp</t>
  </si>
  <si>
    <t>019J10815.exp</t>
  </si>
  <si>
    <t>022J11096.exp</t>
  </si>
  <si>
    <t>025J10815.exp</t>
  </si>
  <si>
    <t>028J11097.exp</t>
  </si>
  <si>
    <t>031J10815.exp</t>
  </si>
  <si>
    <t>034J11098.exp</t>
  </si>
  <si>
    <t>037J10815.exp</t>
  </si>
  <si>
    <t>040J11099.exp</t>
  </si>
  <si>
    <t>043J10815.exp</t>
  </si>
  <si>
    <t>M43-401-14-68</t>
  </si>
  <si>
    <t>M43-401-14-152</t>
  </si>
  <si>
    <t>M43-401-14-154</t>
  </si>
  <si>
    <t>M43-401-14-186,5</t>
  </si>
  <si>
    <t>M43-401-14-196,75</t>
  </si>
  <si>
    <t>M43-401-14-200,75</t>
  </si>
  <si>
    <t>M43-401-14-215,75</t>
  </si>
  <si>
    <t>M43-401-14-296,75</t>
  </si>
  <si>
    <t>M43-401-14-334,75</t>
  </si>
  <si>
    <t>M43-401-14-436,25</t>
  </si>
  <si>
    <t>M5-14-42-49</t>
  </si>
  <si>
    <t>M5-14-42-64,5</t>
  </si>
  <si>
    <t>010J11100.exp</t>
  </si>
  <si>
    <t>016J11101.exp</t>
  </si>
  <si>
    <t>022J11102.exp</t>
  </si>
  <si>
    <t>028J11103.exp</t>
  </si>
  <si>
    <t>034J11104.exp</t>
  </si>
  <si>
    <t>040J11105.exp</t>
  </si>
  <si>
    <t>007H10815.exp</t>
  </si>
  <si>
    <t>010H11108.exp</t>
  </si>
  <si>
    <t>013H10815.exp</t>
  </si>
  <si>
    <t>016H11109.exp</t>
  </si>
  <si>
    <t>019H10815.exp</t>
  </si>
  <si>
    <t>022H11111.exp</t>
  </si>
  <si>
    <t>025H10815.exp</t>
  </si>
  <si>
    <t>028H11112.exp</t>
  </si>
  <si>
    <t>031H10815.exp</t>
  </si>
  <si>
    <t>034H11113.exp</t>
  </si>
  <si>
    <t>037H10815.exp</t>
  </si>
  <si>
    <t>040H11114.exp</t>
  </si>
  <si>
    <t>043H10815.exp</t>
  </si>
  <si>
    <t>EH-S-2-4,5</t>
  </si>
  <si>
    <t>EH-S-2-31</t>
  </si>
  <si>
    <t>EH-S-1-17,5</t>
  </si>
  <si>
    <t>EH-S-1-21,5</t>
  </si>
  <si>
    <t>EH-S-1-31,5</t>
  </si>
  <si>
    <t>EH-S-1-35</t>
  </si>
  <si>
    <t>EH-S-1-41</t>
  </si>
  <si>
    <t>EH-S-1-64</t>
  </si>
  <si>
    <t>C09-2-69,1</t>
  </si>
  <si>
    <t>C09-2-67,7</t>
  </si>
  <si>
    <t>010H11115.exp</t>
  </si>
  <si>
    <t>016H11116.exp</t>
  </si>
  <si>
    <t>007c10815.exp</t>
  </si>
  <si>
    <t>010c11106.exp</t>
  </si>
  <si>
    <t>013c10815.exp</t>
  </si>
  <si>
    <t>016c11107.exp</t>
  </si>
  <si>
    <t>019c10815.exp</t>
  </si>
  <si>
    <t>E4-4,5</t>
  </si>
  <si>
    <t>E4-7,5</t>
  </si>
  <si>
    <t>E4-9</t>
  </si>
  <si>
    <t>E4-11,5</t>
  </si>
  <si>
    <t>E4-13</t>
  </si>
  <si>
    <t>010N11141.exp</t>
  </si>
  <si>
    <t>016N11142.exp</t>
  </si>
  <si>
    <t>022N11143.exp</t>
  </si>
  <si>
    <t>028N11144.exp</t>
  </si>
  <si>
    <t>034N11145.exp</t>
  </si>
  <si>
    <t>E4-15</t>
  </si>
  <si>
    <t>E4-16</t>
  </si>
  <si>
    <t>E4-42</t>
  </si>
  <si>
    <t>E4-43,5</t>
  </si>
  <si>
    <t>E4-44,5</t>
  </si>
  <si>
    <t>010N11146.exp</t>
  </si>
  <si>
    <t>016N11147.exp</t>
  </si>
  <si>
    <t>022N11148.exp</t>
  </si>
  <si>
    <t>028N11149.exp</t>
  </si>
  <si>
    <t>034N11150.exp</t>
  </si>
  <si>
    <t>E4-19,5</t>
  </si>
  <si>
    <t>E4-20,5</t>
  </si>
  <si>
    <t>E4-21,5</t>
  </si>
  <si>
    <t>E4-23</t>
  </si>
  <si>
    <t>E4-24,5</t>
  </si>
  <si>
    <t>E4-25,5</t>
  </si>
  <si>
    <t>E4-29,5</t>
  </si>
  <si>
    <t>E4-49</t>
  </si>
  <si>
    <t>E4-47,5</t>
  </si>
  <si>
    <t>E4-46</t>
  </si>
  <si>
    <t>010N11152.exp</t>
  </si>
  <si>
    <t>016N11153.exp</t>
  </si>
  <si>
    <t>022N11154.exp</t>
  </si>
  <si>
    <t>028N11155.exp</t>
  </si>
  <si>
    <t>034N11156.exp</t>
  </si>
  <si>
    <t>040N11157.exp</t>
  </si>
  <si>
    <t>010N11158.exp</t>
  </si>
  <si>
    <t>016N11159.exp</t>
  </si>
  <si>
    <t>022N11160.exp</t>
  </si>
  <si>
    <t>028N11161.exp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</si>
</sst>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5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77" fontId="0" fillId="0" borderId="0" xfId="0" applyNumberFormat="1"/>
    <xf numFmtId="177" fontId="0" fillId="12" borderId="0" xfId="0" applyNumberFormat="1" applyFill="1"/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293"/>
  <sheetViews>
    <sheetView zoomScaleNormal="100" workbookViewId="0">
      <pane ySplit="2" topLeftCell="A267" activePane="bottomLeft" state="frozen"/>
      <selection activeCell="B1" sqref="B1"/>
      <selection pane="bottomLeft" activeCell="D292" activeCellId="3" sqref="D286 D288 D290 D292"/>
    </sheetView>
  </sheetViews>
  <sheetFormatPr baseColWidth="10" defaultRowHeight="14.25" x14ac:dyDescent="0.2"/>
  <cols>
    <col min="1" max="1" width="18" style="17" customWidth="1"/>
    <col min="2" max="2" width="22.85546875" style="17" bestFit="1" customWidth="1"/>
    <col min="3" max="3" width="16.85546875" style="17" customWidth="1"/>
    <col min="4" max="4" width="13.28515625" style="73" customWidth="1"/>
    <col min="5" max="5" width="13" style="74" bestFit="1" customWidth="1"/>
    <col min="6" max="6" width="11.5703125" style="17" bestFit="1" customWidth="1"/>
    <col min="7" max="7" width="11.5703125" style="75" bestFit="1" customWidth="1"/>
    <col min="8" max="8" width="18.42578125" style="75" bestFit="1" customWidth="1"/>
    <col min="9" max="9" width="11.5703125" style="75" customWidth="1"/>
    <col min="10" max="10" width="11.42578125" style="76"/>
    <col min="11" max="11" width="11.7109375" style="75" bestFit="1" customWidth="1"/>
    <col min="12" max="12" width="10.7109375" style="77" bestFit="1" customWidth="1"/>
    <col min="13" max="14" width="10.7109375" style="77" customWidth="1"/>
    <col min="15" max="15" width="12.7109375" style="75" bestFit="1" customWidth="1"/>
    <col min="16" max="16" width="13.140625" style="76" customWidth="1"/>
    <col min="17" max="17" width="13.140625" style="78" customWidth="1"/>
    <col min="18" max="18" width="13.140625" style="79" customWidth="1"/>
    <col min="19" max="19" width="13.140625" style="80" customWidth="1"/>
    <col min="20" max="20" width="11.42578125" style="17"/>
    <col min="21" max="21" width="15" style="75" customWidth="1"/>
    <col min="22" max="22" width="13.85546875" style="76" customWidth="1"/>
    <col min="23" max="23" width="16.85546875" style="75" customWidth="1"/>
    <col min="24" max="24" width="13.7109375" style="76" customWidth="1"/>
    <col min="25" max="25" width="14.28515625" style="78" customWidth="1"/>
    <col min="26" max="26" width="14" style="76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44195</v>
      </c>
      <c r="E7" s="15"/>
      <c r="F7" s="16">
        <v>1.10995</v>
      </c>
      <c r="G7" s="16">
        <v>10.349080000000001</v>
      </c>
      <c r="H7" t="s">
        <v>126</v>
      </c>
      <c r="I7">
        <v>9.8356382736360069E-3</v>
      </c>
      <c r="J7">
        <v>0.75439327327370787</v>
      </c>
      <c r="K7">
        <v>7.1278391944295787E-3</v>
      </c>
      <c r="L7">
        <v>6.2079410818670685E-3</v>
      </c>
      <c r="M7">
        <v>2.7323519718371032</v>
      </c>
      <c r="N7">
        <v>8.0412040997953453E-3</v>
      </c>
      <c r="O7">
        <v>2.1028684657038115</v>
      </c>
      <c r="P7">
        <v>0.74641089475734557</v>
      </c>
      <c r="Q7">
        <v>7.5643801683052863E-3</v>
      </c>
      <c r="R7">
        <v>0.13066236149032748</v>
      </c>
      <c r="S7">
        <v>5.4861657286393961E-5</v>
      </c>
      <c r="T7">
        <v>0.13066236149032659</v>
      </c>
      <c r="U7">
        <v>1.3285551486488876</v>
      </c>
      <c r="V7">
        <v>0.23029201549899639</v>
      </c>
      <c r="W7">
        <v>0.1931468554977312</v>
      </c>
      <c r="X7">
        <v>0.49737511192219969</v>
      </c>
      <c r="Y7">
        <v>0.25663933096295927</v>
      </c>
      <c r="Z7">
        <v>0.36558216224111079</v>
      </c>
    </row>
    <row r="8" spans="1:28" x14ac:dyDescent="0.2">
      <c r="A8" s="18">
        <v>10889</v>
      </c>
      <c r="B8" s="18" t="s">
        <v>128</v>
      </c>
      <c r="C8" s="18" t="s">
        <v>129</v>
      </c>
      <c r="D8" s="19"/>
      <c r="E8" s="192">
        <v>322</v>
      </c>
      <c r="F8" s="21">
        <v>0.21459</v>
      </c>
      <c r="G8" s="21">
        <v>0.10362000000000116</v>
      </c>
      <c r="H8" t="s">
        <v>127</v>
      </c>
      <c r="I8">
        <v>9.9834876314203007E-3</v>
      </c>
      <c r="J8">
        <v>0.34037244705671654</v>
      </c>
      <c r="K8">
        <v>7.1340449797128698E-3</v>
      </c>
      <c r="L8">
        <v>8.6389126820198177E-3</v>
      </c>
      <c r="M8">
        <v>0.56704782120086461</v>
      </c>
      <c r="N8">
        <v>1.0841768704557855E-2</v>
      </c>
      <c r="O8">
        <v>0.92227185164142511</v>
      </c>
      <c r="P8">
        <v>0.35506448966330562</v>
      </c>
      <c r="Q8">
        <v>1.6244660236773303E-2</v>
      </c>
      <c r="R8">
        <v>0.14179788525535816</v>
      </c>
      <c r="S8">
        <v>1.1781652466092724E-4</v>
      </c>
      <c r="T8">
        <v>0.141797885255358</v>
      </c>
      <c r="U8">
        <v>0.62458013995244321</v>
      </c>
      <c r="V8">
        <v>0.27804731738995409</v>
      </c>
      <c r="W8">
        <v>1.7947232744949505E-2</v>
      </c>
      <c r="X8">
        <v>0.24789436670836282</v>
      </c>
      <c r="Y8">
        <v>1.1214035123207487E-2</v>
      </c>
      <c r="Z8">
        <v>0.20256253777247549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44195</v>
      </c>
      <c r="E9" s="15"/>
      <c r="F9" s="16">
        <v>1.10995</v>
      </c>
      <c r="G9" s="16">
        <v>10.349080000000001</v>
      </c>
      <c r="H9" t="s">
        <v>126</v>
      </c>
      <c r="I9">
        <v>9.8356382736360069E-3</v>
      </c>
      <c r="J9">
        <v>0.75439327327370787</v>
      </c>
      <c r="K9">
        <v>7.1278391944295787E-3</v>
      </c>
      <c r="L9">
        <v>6.2079410818670685E-3</v>
      </c>
      <c r="M9">
        <v>2.7323519718371032</v>
      </c>
      <c r="N9">
        <v>8.0412040997953453E-3</v>
      </c>
      <c r="O9">
        <v>2.1028684657038115</v>
      </c>
      <c r="P9">
        <v>0.74641089475734557</v>
      </c>
      <c r="Q9">
        <v>7.5643801683052863E-3</v>
      </c>
      <c r="R9">
        <v>0.13066236149032748</v>
      </c>
      <c r="S9">
        <v>5.4861657286393961E-5</v>
      </c>
      <c r="T9">
        <v>0.13066236149032659</v>
      </c>
      <c r="U9">
        <v>1.3285551486488876</v>
      </c>
      <c r="V9">
        <v>0.23029201549899639</v>
      </c>
      <c r="W9">
        <v>0.1931468554977312</v>
      </c>
      <c r="X9">
        <v>0.49737511192219969</v>
      </c>
      <c r="Y9">
        <v>0.25663933096295927</v>
      </c>
      <c r="Z9">
        <v>0.36558216224111079</v>
      </c>
    </row>
    <row r="10" spans="1:28" s="68" customFormat="1" x14ac:dyDescent="0.2">
      <c r="D10" s="69"/>
      <c r="E10" s="70"/>
      <c r="G10" s="71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44200</v>
      </c>
      <c r="E11" s="15"/>
      <c r="F11" s="16">
        <v>1.10995</v>
      </c>
      <c r="G11" s="16">
        <v>10.349080000000001</v>
      </c>
      <c r="H11" t="s">
        <v>131</v>
      </c>
      <c r="I11">
        <v>1.0088509799639175E-2</v>
      </c>
      <c r="J11">
        <v>1.5691130915610318</v>
      </c>
      <c r="K11">
        <v>7.1521020256389758E-3</v>
      </c>
      <c r="L11">
        <v>8.7670961841195359E-3</v>
      </c>
      <c r="M11">
        <v>2.731518292888488</v>
      </c>
      <c r="N11">
        <v>1.8530270650817006E-2</v>
      </c>
      <c r="O11">
        <v>2.0601169265556885</v>
      </c>
      <c r="P11">
        <v>1.5816587716466803</v>
      </c>
      <c r="Q11">
        <v>7.5785468601289492E-3</v>
      </c>
      <c r="R11">
        <v>0.25130507142757413</v>
      </c>
      <c r="S11">
        <v>5.4964403073149657E-5</v>
      </c>
      <c r="T11">
        <v>0.25130507142757535</v>
      </c>
      <c r="U11">
        <v>1.3173488483539102</v>
      </c>
      <c r="V11">
        <v>0.39506778090601258</v>
      </c>
      <c r="W11">
        <v>0.19325362000157253</v>
      </c>
      <c r="X11">
        <v>0.88745261428539879</v>
      </c>
      <c r="Y11">
        <v>0.25505068320613455</v>
      </c>
      <c r="Z11">
        <v>0.80936459347503531</v>
      </c>
    </row>
    <row r="12" spans="1:28" s="68" customFormat="1" x14ac:dyDescent="0.2">
      <c r="A12" s="68">
        <v>10890</v>
      </c>
      <c r="B12" s="68" t="s">
        <v>139</v>
      </c>
      <c r="C12" s="68" t="s">
        <v>129</v>
      </c>
      <c r="D12" s="69">
        <v>44200</v>
      </c>
      <c r="E12" s="70">
        <v>331.25</v>
      </c>
      <c r="F12" s="68">
        <v>0.19327</v>
      </c>
      <c r="G12" s="71">
        <v>0.10333999999999932</v>
      </c>
      <c r="H12" t="s">
        <v>132</v>
      </c>
      <c r="I12">
        <v>9.9087692071378776E-3</v>
      </c>
      <c r="J12">
        <v>0.37699111419320658</v>
      </c>
      <c r="K12">
        <v>7.1543551584463509E-3</v>
      </c>
      <c r="L12">
        <v>8.0937891009088755E-3</v>
      </c>
      <c r="M12">
        <v>0.6928006764895519</v>
      </c>
      <c r="N12">
        <v>6.2454089054266382E-3</v>
      </c>
      <c r="O12">
        <v>1.1299253726780181</v>
      </c>
      <c r="P12">
        <v>0.39086865803093079</v>
      </c>
      <c r="Q12">
        <v>1.6143418902726293E-2</v>
      </c>
      <c r="R12">
        <v>0.11833271979323641</v>
      </c>
      <c r="S12">
        <v>1.1708225863408512E-4</v>
      </c>
      <c r="T12">
        <v>0.11833271979323681</v>
      </c>
      <c r="U12">
        <v>0.75580685864610375</v>
      </c>
      <c r="V12">
        <v>0.18786675034374425</v>
      </c>
      <c r="W12">
        <v>4.5394185242316538E-2</v>
      </c>
      <c r="X12">
        <v>0.2080769890651504</v>
      </c>
      <c r="Y12">
        <v>3.435361654747944E-2</v>
      </c>
      <c r="Z12">
        <v>0.14337144279146286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44200</v>
      </c>
      <c r="E13" s="15"/>
      <c r="F13" s="16">
        <v>1.10995</v>
      </c>
      <c r="G13" s="16">
        <v>10.349080000000001</v>
      </c>
      <c r="H13" t="s">
        <v>133</v>
      </c>
      <c r="I13">
        <v>9.7846554085535171E-3</v>
      </c>
      <c r="J13">
        <v>1.2356544517941932</v>
      </c>
      <c r="K13">
        <v>7.1473712880570301E-3</v>
      </c>
      <c r="L13">
        <v>6.8738163014536021E-3</v>
      </c>
      <c r="M13">
        <v>2.7320150246880202</v>
      </c>
      <c r="N13">
        <v>1.8899589398423639E-2</v>
      </c>
      <c r="O13">
        <v>2.1226440275725471</v>
      </c>
      <c r="P13">
        <v>1.2778922973954725</v>
      </c>
      <c r="Q13">
        <v>7.570985669427161E-3</v>
      </c>
      <c r="R13">
        <v>0.23311719482691581</v>
      </c>
      <c r="S13">
        <v>5.4909564547886648E-5</v>
      </c>
      <c r="T13">
        <v>0.23311719482691512</v>
      </c>
      <c r="U13">
        <v>1.3203684171653327</v>
      </c>
      <c r="V13">
        <v>0.35768112672870273</v>
      </c>
      <c r="W13">
        <v>0.18857584228301755</v>
      </c>
      <c r="X13">
        <v>1.0065279065434118</v>
      </c>
      <c r="Y13">
        <v>0.24967626334307583</v>
      </c>
      <c r="Z13">
        <v>0.71939321185109029</v>
      </c>
    </row>
    <row r="14" spans="1:28" s="68" customFormat="1" x14ac:dyDescent="0.2">
      <c r="A14" s="68">
        <v>10891</v>
      </c>
      <c r="B14" s="68" t="s">
        <v>140</v>
      </c>
      <c r="C14" s="68" t="s">
        <v>129</v>
      </c>
      <c r="D14" s="69">
        <v>44200</v>
      </c>
      <c r="E14" s="70">
        <v>346.5</v>
      </c>
      <c r="F14" s="68">
        <v>0.20466999999999999</v>
      </c>
      <c r="G14" s="71">
        <v>0.1020500000000002</v>
      </c>
      <c r="H14" t="s">
        <v>134</v>
      </c>
      <c r="I14">
        <v>1.0056471129318057E-2</v>
      </c>
      <c r="J14">
        <v>0.40245542169860199</v>
      </c>
      <c r="K14">
        <v>7.1478863493836106E-3</v>
      </c>
      <c r="L14">
        <v>1.0823788885880498E-2</v>
      </c>
      <c r="M14">
        <v>1.0454594005205213</v>
      </c>
      <c r="N14">
        <v>8.681896192570919E-3</v>
      </c>
      <c r="O14">
        <v>1.6357885275493418</v>
      </c>
      <c r="P14">
        <v>0.41671062747242854</v>
      </c>
      <c r="Q14">
        <v>1.5718570899914262E-2</v>
      </c>
      <c r="R14">
        <v>9.9056340802665968E-2</v>
      </c>
      <c r="S14">
        <v>1.1400099288454729E-4</v>
      </c>
      <c r="T14">
        <v>9.9056340802666745E-2</v>
      </c>
      <c r="U14">
        <v>1.1069539338293313</v>
      </c>
      <c r="V14">
        <v>0.18237533554480709</v>
      </c>
      <c r="W14">
        <v>5.6361927564377294E-2</v>
      </c>
      <c r="X14">
        <v>0.26605783279370127</v>
      </c>
      <c r="Y14">
        <v>6.2452470492813432E-2</v>
      </c>
      <c r="Z14">
        <v>0.26588418982174916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44200</v>
      </c>
      <c r="E15" s="15"/>
      <c r="F15" s="16">
        <v>1.10995</v>
      </c>
      <c r="G15" s="16">
        <v>10.349080000000001</v>
      </c>
      <c r="H15" t="s">
        <v>135</v>
      </c>
      <c r="I15">
        <v>9.8954827965409449E-3</v>
      </c>
      <c r="J15">
        <v>1.3975720603956219</v>
      </c>
      <c r="K15">
        <v>7.1331348142090857E-3</v>
      </c>
      <c r="L15">
        <v>1.0233180718623905E-2</v>
      </c>
      <c r="M15">
        <v>2.7321504269533112</v>
      </c>
      <c r="N15">
        <v>1.8179358836608591E-2</v>
      </c>
      <c r="O15">
        <v>2.1012460877423864</v>
      </c>
      <c r="P15">
        <v>1.4712426283611517</v>
      </c>
      <c r="Q15">
        <v>7.5897989370202965E-3</v>
      </c>
      <c r="R15">
        <v>0.19823744171474089</v>
      </c>
      <c r="S15">
        <v>5.5046010233609398E-5</v>
      </c>
      <c r="T15">
        <v>0.19823744171473981</v>
      </c>
      <c r="U15">
        <v>1.3266151031860816</v>
      </c>
      <c r="V15">
        <v>0.31095961418736351</v>
      </c>
      <c r="W15">
        <v>0.19324563003731157</v>
      </c>
      <c r="X15">
        <v>0.91827339928365126</v>
      </c>
      <c r="Y15">
        <v>0.25592894198487376</v>
      </c>
      <c r="Z15">
        <v>0.87917934977149503</v>
      </c>
    </row>
    <row r="16" spans="1:28" s="68" customFormat="1" x14ac:dyDescent="0.2">
      <c r="A16" s="68">
        <v>10892</v>
      </c>
      <c r="B16" s="68" t="s">
        <v>141</v>
      </c>
      <c r="C16" s="68" t="s">
        <v>129</v>
      </c>
      <c r="D16" s="69">
        <v>44200</v>
      </c>
      <c r="E16" s="70">
        <v>618.75</v>
      </c>
      <c r="F16" s="68">
        <v>0.1827</v>
      </c>
      <c r="G16" s="71">
        <v>0.10262999999999955</v>
      </c>
      <c r="H16" t="s">
        <v>136</v>
      </c>
      <c r="I16">
        <v>9.9922502037831616E-3</v>
      </c>
      <c r="J16">
        <v>0.22788557634471074</v>
      </c>
      <c r="K16">
        <v>7.137523244743431E-3</v>
      </c>
      <c r="L16">
        <v>5.5164959698003413E-3</v>
      </c>
      <c r="M16">
        <v>0.94553343810614687</v>
      </c>
      <c r="N16">
        <v>6.5985863535441272E-3</v>
      </c>
      <c r="O16">
        <v>1.424586566060468</v>
      </c>
      <c r="P16">
        <v>0.26458131213052732</v>
      </c>
      <c r="Q16">
        <v>1.5050888507188793E-2</v>
      </c>
      <c r="R16">
        <v>8.2353623982271223E-2</v>
      </c>
      <c r="S16">
        <v>1.0915853893711819E-4</v>
      </c>
      <c r="T16">
        <v>8.2353623982271196E-2</v>
      </c>
      <c r="U16">
        <v>0.96398220440865223</v>
      </c>
      <c r="V16">
        <v>0.22863951925800544</v>
      </c>
      <c r="W16">
        <v>0.12034257137793376</v>
      </c>
      <c r="X16">
        <v>0.24775250826677936</v>
      </c>
      <c r="Y16">
        <v>0.1161590450792134</v>
      </c>
      <c r="Z16">
        <v>0.15922439820028952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44200</v>
      </c>
      <c r="E17" s="15"/>
      <c r="F17" s="16">
        <v>1.10995</v>
      </c>
      <c r="G17" s="16">
        <v>10.349080000000001</v>
      </c>
      <c r="H17" t="s">
        <v>126</v>
      </c>
      <c r="I17">
        <v>9.9882682286581165E-3</v>
      </c>
      <c r="J17">
        <v>1.8245242244707354</v>
      </c>
      <c r="K17">
        <v>7.1302621723482963E-3</v>
      </c>
      <c r="L17">
        <v>8.8794606483296075E-3</v>
      </c>
      <c r="M17">
        <v>2.7324770614458891</v>
      </c>
      <c r="N17">
        <v>1.7400116524860662E-2</v>
      </c>
      <c r="O17">
        <v>2.0760227557221653</v>
      </c>
      <c r="P17">
        <v>1.8904219070217203</v>
      </c>
      <c r="Q17">
        <v>7.5736473020188155E-3</v>
      </c>
      <c r="R17">
        <v>0.30506732526676233</v>
      </c>
      <c r="S17">
        <v>5.4928868386643674E-5</v>
      </c>
      <c r="T17">
        <v>0.30506732526676139</v>
      </c>
      <c r="U17">
        <v>1.3250849922502073</v>
      </c>
      <c r="V17">
        <v>0.30976058030010578</v>
      </c>
      <c r="W17">
        <v>0.19643224165587658</v>
      </c>
      <c r="X17">
        <v>0.67001349249817532</v>
      </c>
      <c r="Y17">
        <v>0.25974775284032753</v>
      </c>
      <c r="Z17">
        <v>0.71981291707839912</v>
      </c>
    </row>
    <row r="18" spans="1:26" s="68" customFormat="1" x14ac:dyDescent="0.2">
      <c r="A18" s="68">
        <v>10893</v>
      </c>
      <c r="B18" s="68" t="s">
        <v>142</v>
      </c>
      <c r="C18" s="68" t="s">
        <v>129</v>
      </c>
      <c r="D18" s="69">
        <v>44200</v>
      </c>
      <c r="E18" s="70">
        <v>653</v>
      </c>
      <c r="F18" s="68">
        <v>0.22381000000000001</v>
      </c>
      <c r="G18" s="71">
        <v>0.10609999999999964</v>
      </c>
      <c r="H18" t="s">
        <v>137</v>
      </c>
      <c r="I18">
        <v>1.366159487676012E-2</v>
      </c>
      <c r="J18">
        <v>1.261721334822332</v>
      </c>
      <c r="K18">
        <v>7.1587793870285452E-3</v>
      </c>
      <c r="L18">
        <v>1.7983640117246298E-2</v>
      </c>
      <c r="M18">
        <v>1.1869524799582147</v>
      </c>
      <c r="N18">
        <v>9.4141188234768032E-3</v>
      </c>
      <c r="O18">
        <v>2.6187460828839311</v>
      </c>
      <c r="P18">
        <v>1.1250792080132213</v>
      </c>
      <c r="Q18">
        <v>3.0166445401971206E-2</v>
      </c>
      <c r="R18">
        <v>0.30267429006179492</v>
      </c>
      <c r="S18">
        <v>2.1878609381982436E-4</v>
      </c>
      <c r="T18">
        <v>0.30267429006179547</v>
      </c>
      <c r="U18">
        <v>6.6074412381094962</v>
      </c>
      <c r="V18">
        <v>0.53095986811821194</v>
      </c>
      <c r="W18">
        <v>5.0027105670458073E-2</v>
      </c>
      <c r="X18">
        <v>0.44453670745501017</v>
      </c>
      <c r="Y18">
        <v>0.33021447182179303</v>
      </c>
      <c r="Z18">
        <v>0.22212251366527297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44200</v>
      </c>
      <c r="E19" s="15"/>
      <c r="F19" s="16">
        <v>1.10995</v>
      </c>
      <c r="G19" s="16">
        <v>10.349080000000001</v>
      </c>
      <c r="H19" t="s">
        <v>138</v>
      </c>
      <c r="I19">
        <v>9.9706118152747009E-3</v>
      </c>
      <c r="J19">
        <v>1.5532939403468591</v>
      </c>
      <c r="K19">
        <v>7.1236781443474182E-3</v>
      </c>
      <c r="L19">
        <v>9.5085671597289062E-3</v>
      </c>
      <c r="M19">
        <v>2.7317441200579529</v>
      </c>
      <c r="N19">
        <v>2.0171552320133204E-2</v>
      </c>
      <c r="O19">
        <v>2.0794397205165724</v>
      </c>
      <c r="P19">
        <v>1.5150876999473981</v>
      </c>
      <c r="Q19">
        <v>7.5843834337440234E-3</v>
      </c>
      <c r="R19">
        <v>0.32643880577034479</v>
      </c>
      <c r="S19">
        <v>5.5006733587252964E-5</v>
      </c>
      <c r="T19">
        <v>0.32643880577034451</v>
      </c>
      <c r="U19">
        <v>1.3272173130115028</v>
      </c>
      <c r="V19">
        <v>0.40434978836793206</v>
      </c>
      <c r="W19">
        <v>0.19711588489680126</v>
      </c>
      <c r="X19">
        <v>0.91222422123992608</v>
      </c>
      <c r="Y19">
        <v>0.26002480265002059</v>
      </c>
      <c r="Z19">
        <v>0.75801669085666534</v>
      </c>
    </row>
    <row r="20" spans="1:26" s="68" customFormat="1" x14ac:dyDescent="0.2">
      <c r="D20" s="69"/>
      <c r="E20" s="70"/>
      <c r="G20" s="71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44201</v>
      </c>
      <c r="E21" s="15"/>
      <c r="F21" s="16">
        <v>1.10995</v>
      </c>
      <c r="G21" s="16">
        <v>10.349080000000001</v>
      </c>
      <c r="H21" t="s">
        <v>148</v>
      </c>
      <c r="I21">
        <v>9.8594020236670576E-3</v>
      </c>
      <c r="J21">
        <v>0.76395811886872966</v>
      </c>
      <c r="K21">
        <v>7.1422341560600996E-3</v>
      </c>
      <c r="L21">
        <v>7.0558447112462732E-3</v>
      </c>
      <c r="M21">
        <v>2.7325043048976134</v>
      </c>
      <c r="N21">
        <v>1.0940949678820458E-2</v>
      </c>
      <c r="O21">
        <v>2.0993143637999063</v>
      </c>
      <c r="P21">
        <v>0.75858929565716648</v>
      </c>
      <c r="Q21">
        <v>7.5722958503308402E-3</v>
      </c>
      <c r="R21">
        <v>0.15837717480792207</v>
      </c>
      <c r="S21">
        <v>5.4919066806382577E-5</v>
      </c>
      <c r="T21">
        <v>0.15837717480792268</v>
      </c>
      <c r="U21">
        <v>1.3189113802451786</v>
      </c>
      <c r="V21">
        <v>0.258701238171407</v>
      </c>
      <c r="W21">
        <v>0.19178994956834999</v>
      </c>
      <c r="X21">
        <v>0.38438625605245152</v>
      </c>
      <c r="Y21">
        <v>0.25289968853051342</v>
      </c>
      <c r="Z21">
        <v>0.32149610804698614</v>
      </c>
    </row>
    <row r="22" spans="1:26" s="68" customFormat="1" x14ac:dyDescent="0.2">
      <c r="A22" s="68">
        <v>10894</v>
      </c>
      <c r="B22" s="68" t="s">
        <v>143</v>
      </c>
      <c r="C22" s="68" t="s">
        <v>129</v>
      </c>
      <c r="D22" s="69">
        <v>44201</v>
      </c>
      <c r="E22" s="70">
        <v>58.75</v>
      </c>
      <c r="F22" s="68">
        <v>0.15754000000000001</v>
      </c>
      <c r="G22" s="71">
        <v>0.10246000000000066</v>
      </c>
      <c r="H22" t="s">
        <v>149</v>
      </c>
      <c r="I22">
        <v>1.0004480673152981E-2</v>
      </c>
      <c r="J22">
        <v>0.28897007086117188</v>
      </c>
      <c r="K22">
        <v>7.1443989744335327E-3</v>
      </c>
      <c r="L22">
        <v>3.5134889559604227E-3</v>
      </c>
      <c r="M22">
        <v>3.8826169707872489</v>
      </c>
      <c r="N22">
        <v>4.8911887785517373E-3</v>
      </c>
      <c r="O22">
        <v>3.4185908119520003</v>
      </c>
      <c r="P22">
        <v>0.28024757343255802</v>
      </c>
      <c r="Q22">
        <v>8.8070679513621766E-3</v>
      </c>
      <c r="R22">
        <v>4.5046030890657528E-2</v>
      </c>
      <c r="S22">
        <v>6.3874413090724447E-5</v>
      </c>
      <c r="T22">
        <v>4.504603089065664E-2</v>
      </c>
      <c r="U22">
        <v>1.9210674678887609</v>
      </c>
      <c r="V22">
        <v>0.20162980400220926</v>
      </c>
      <c r="W22">
        <v>0.1216027017948593</v>
      </c>
      <c r="X22">
        <v>0.19383047873446202</v>
      </c>
      <c r="Y22">
        <v>0.2337360887354232</v>
      </c>
      <c r="Z22">
        <v>0.14360581876019921</v>
      </c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44201</v>
      </c>
      <c r="E23" s="15"/>
      <c r="F23" s="16">
        <v>1.10995</v>
      </c>
      <c r="G23" s="16">
        <v>10.349080000000001</v>
      </c>
      <c r="H23" t="s">
        <v>150</v>
      </c>
      <c r="I23">
        <v>9.8861700893548704E-3</v>
      </c>
      <c r="J23">
        <v>0.49225496164835891</v>
      </c>
      <c r="K23">
        <v>7.1395446009696051E-3</v>
      </c>
      <c r="L23">
        <v>6.000604733982169E-3</v>
      </c>
      <c r="M23">
        <v>2.7323229913201557</v>
      </c>
      <c r="N23">
        <v>9.7305264078952052E-3</v>
      </c>
      <c r="O23">
        <v>2.0987350025684437</v>
      </c>
      <c r="P23">
        <v>0.52382442685695862</v>
      </c>
      <c r="Q23">
        <v>7.5823869564315199E-3</v>
      </c>
      <c r="R23">
        <v>0.14059856986150349</v>
      </c>
      <c r="S23">
        <v>5.4992253874221407E-5</v>
      </c>
      <c r="T23">
        <v>0.14059856986150446</v>
      </c>
      <c r="U23">
        <v>1.3189566882642019</v>
      </c>
      <c r="V23">
        <v>0.31765957902042125</v>
      </c>
      <c r="W23">
        <v>0.1917818206137262</v>
      </c>
      <c r="X23">
        <v>0.44190208013804899</v>
      </c>
      <c r="Y23">
        <v>0.25280031293683569</v>
      </c>
      <c r="Z23">
        <v>0.34831560677640827</v>
      </c>
    </row>
    <row r="24" spans="1:26" x14ac:dyDescent="0.2">
      <c r="A24" s="17">
        <v>10895</v>
      </c>
      <c r="B24" s="17" t="s">
        <v>144</v>
      </c>
      <c r="C24" s="17" t="s">
        <v>129</v>
      </c>
      <c r="D24" s="69">
        <v>44201</v>
      </c>
      <c r="E24" s="74">
        <v>162.75</v>
      </c>
      <c r="F24" s="17">
        <v>0.19141</v>
      </c>
      <c r="G24" s="75">
        <v>0.10177000000000014</v>
      </c>
      <c r="H24" t="s">
        <v>151</v>
      </c>
      <c r="I24">
        <v>1.0022796837380837E-2</v>
      </c>
      <c r="J24">
        <v>0.27361082211951149</v>
      </c>
      <c r="K24">
        <v>7.1428212293925741E-3</v>
      </c>
      <c r="L24">
        <v>3.9619786586525168E-3</v>
      </c>
      <c r="M24">
        <v>2.3130105872338826</v>
      </c>
      <c r="N24">
        <v>4.2765600470539298E-3</v>
      </c>
      <c r="O24">
        <v>2.0746528389363728</v>
      </c>
      <c r="P24">
        <v>0.26379588329428766</v>
      </c>
      <c r="Q24">
        <v>8.9868271798626762E-3</v>
      </c>
      <c r="R24">
        <v>5.5420519074567638E-2</v>
      </c>
      <c r="S24">
        <v>6.5178140424443387E-5</v>
      </c>
      <c r="T24">
        <v>5.5420519074568235E-2</v>
      </c>
      <c r="U24">
        <v>1.2149507419011136</v>
      </c>
      <c r="V24">
        <v>0.19861145619571802</v>
      </c>
      <c r="W24">
        <v>3.9412635063585544E-3</v>
      </c>
      <c r="X24">
        <v>0.16260391369893026</v>
      </c>
      <c r="Y24">
        <v>4.7920227783346371E-3</v>
      </c>
      <c r="Z24">
        <v>0.10930238412540086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44201</v>
      </c>
      <c r="E25" s="15"/>
      <c r="F25" s="16">
        <v>1.10995</v>
      </c>
      <c r="G25" s="16">
        <v>10.349080000000001</v>
      </c>
      <c r="H25" t="s">
        <v>152</v>
      </c>
      <c r="I25">
        <v>9.7565493713023133E-3</v>
      </c>
      <c r="J25">
        <v>0.73632405595512163</v>
      </c>
      <c r="K25">
        <v>7.1365322746616304E-3</v>
      </c>
      <c r="L25">
        <v>4.8337366130899529E-3</v>
      </c>
      <c r="M25">
        <v>2.7319277749369086</v>
      </c>
      <c r="N25">
        <v>8.6333048643123071E-3</v>
      </c>
      <c r="O25">
        <v>2.1230518705204551</v>
      </c>
      <c r="P25">
        <v>0.72456403779567102</v>
      </c>
      <c r="Q25">
        <v>7.5776042598524997E-3</v>
      </c>
      <c r="R25">
        <v>0.13291677258567527</v>
      </c>
      <c r="S25">
        <v>5.4957566741265994E-5</v>
      </c>
      <c r="T25">
        <v>0.13291677258567547</v>
      </c>
      <c r="U25">
        <v>1.3249840760706382</v>
      </c>
      <c r="V25">
        <v>0.2216668719257073</v>
      </c>
      <c r="W25">
        <v>0.19193777957332048</v>
      </c>
      <c r="X25">
        <v>0.31072742654649388</v>
      </c>
      <c r="Y25">
        <v>0.2536403290847325</v>
      </c>
      <c r="Z25">
        <v>0.28415816221154722</v>
      </c>
    </row>
    <row r="26" spans="1:26" x14ac:dyDescent="0.2">
      <c r="A26" s="17">
        <v>10896</v>
      </c>
      <c r="B26" s="17" t="s">
        <v>145</v>
      </c>
      <c r="C26" s="17" t="s">
        <v>129</v>
      </c>
      <c r="D26" s="69">
        <v>44201</v>
      </c>
      <c r="E26" s="74">
        <v>211.25</v>
      </c>
      <c r="F26" s="17">
        <v>0.18881000000000001</v>
      </c>
      <c r="G26" s="75">
        <v>0.1059999999999981</v>
      </c>
      <c r="H26" t="s">
        <v>153</v>
      </c>
      <c r="I26">
        <v>1.0035005738609321E-2</v>
      </c>
      <c r="J26">
        <v>0.25830683591882553</v>
      </c>
      <c r="K26">
        <v>7.1395446197963413E-3</v>
      </c>
      <c r="L26">
        <v>2.8952656332698187E-3</v>
      </c>
      <c r="M26">
        <v>3.0085213849925703</v>
      </c>
      <c r="N26">
        <v>4.8987378043251059E-3</v>
      </c>
      <c r="O26">
        <v>2.7360748016819167</v>
      </c>
      <c r="P26">
        <v>0.2618223068498261</v>
      </c>
      <c r="Q26">
        <v>9.1232959727786059E-3</v>
      </c>
      <c r="R26">
        <v>4.9737589496319776E-2</v>
      </c>
      <c r="S26">
        <v>6.6167898207719755E-5</v>
      </c>
      <c r="T26">
        <v>4.9737589496320823E-2</v>
      </c>
      <c r="U26">
        <v>1.6476980229457179</v>
      </c>
      <c r="V26">
        <v>0.18713911937143576</v>
      </c>
      <c r="W26">
        <v>6.3316513712285943E-2</v>
      </c>
      <c r="X26">
        <v>0.18311983696401204</v>
      </c>
      <c r="Y26">
        <v>0.10426860954408715</v>
      </c>
      <c r="Z26">
        <v>0.11888126507345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44201</v>
      </c>
      <c r="E27" s="15"/>
      <c r="F27" s="16">
        <v>1.10995</v>
      </c>
      <c r="G27" s="16">
        <v>10.349080000000001</v>
      </c>
      <c r="H27" t="s">
        <v>154</v>
      </c>
      <c r="I27">
        <v>9.753959422466027E-3</v>
      </c>
      <c r="J27">
        <v>0.56347395368879361</v>
      </c>
      <c r="K27">
        <v>7.1357571864571635E-3</v>
      </c>
      <c r="L27">
        <v>8.1250940484786718E-3</v>
      </c>
      <c r="M27">
        <v>2.7321375264986796</v>
      </c>
      <c r="N27">
        <v>8.7577005244114572E-3</v>
      </c>
      <c r="O27">
        <v>2.12215626267268</v>
      </c>
      <c r="P27">
        <v>0.61402578129604257</v>
      </c>
      <c r="Q27">
        <v>7.5723108542074674E-3</v>
      </c>
      <c r="R27">
        <v>0.15034383626538622</v>
      </c>
      <c r="S27">
        <v>5.4919175623961717E-5</v>
      </c>
      <c r="T27">
        <v>0.15034383626538639</v>
      </c>
      <c r="U27">
        <v>1.3206530381192316</v>
      </c>
      <c r="V27">
        <v>0.23784668816866322</v>
      </c>
      <c r="W27">
        <v>0.19212624995556205</v>
      </c>
      <c r="X27">
        <v>0.51828887829846948</v>
      </c>
      <c r="Y27">
        <v>0.25403497234050204</v>
      </c>
      <c r="Z27">
        <v>0.3432070002399587</v>
      </c>
    </row>
    <row r="28" spans="1:26" x14ac:dyDescent="0.2">
      <c r="A28" s="17">
        <v>10897</v>
      </c>
      <c r="B28" s="17" t="s">
        <v>146</v>
      </c>
      <c r="C28" s="17" t="s">
        <v>129</v>
      </c>
      <c r="D28" s="69">
        <v>44201</v>
      </c>
      <c r="E28" s="74">
        <v>224</v>
      </c>
      <c r="F28" s="17">
        <v>0.17977000000000001</v>
      </c>
      <c r="G28" s="75">
        <v>0.10402000000000022</v>
      </c>
      <c r="H28" t="s">
        <v>155</v>
      </c>
      <c r="I28">
        <v>1.0013198053154541E-2</v>
      </c>
      <c r="J28">
        <v>0.27847995111898466</v>
      </c>
      <c r="K28">
        <v>7.1408033665607846E-3</v>
      </c>
      <c r="L28">
        <v>4.5380021418026124E-3</v>
      </c>
      <c r="M28">
        <v>2.606509883702854</v>
      </c>
      <c r="N28">
        <v>4.4873045261507784E-3</v>
      </c>
      <c r="O28">
        <v>2.2570621178145567</v>
      </c>
      <c r="P28">
        <v>0.28809194001892252</v>
      </c>
      <c r="Q28">
        <v>8.672329035139887E-3</v>
      </c>
      <c r="R28">
        <v>6.0498710324696801E-2</v>
      </c>
      <c r="S28">
        <v>6.2897201464595472E-5</v>
      </c>
      <c r="T28">
        <v>6.0498710324696357E-2</v>
      </c>
      <c r="U28">
        <v>1.3267581006005615</v>
      </c>
      <c r="V28">
        <v>0.16558906335546114</v>
      </c>
      <c r="W28">
        <v>7.1253721076510748E-2</v>
      </c>
      <c r="X28">
        <v>0.1571848527484474</v>
      </c>
      <c r="Y28">
        <v>9.4508909006814634E-2</v>
      </c>
      <c r="Z28">
        <v>0.13849047621299462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44201</v>
      </c>
      <c r="E29" s="15"/>
      <c r="F29" s="16">
        <v>1.10995</v>
      </c>
      <c r="G29" s="16">
        <v>10.349080000000001</v>
      </c>
      <c r="H29" t="s">
        <v>156</v>
      </c>
      <c r="I29">
        <v>9.9137909873708834E-3</v>
      </c>
      <c r="J29">
        <v>0.79309725506877515</v>
      </c>
      <c r="K29">
        <v>7.1313618294102758E-3</v>
      </c>
      <c r="L29">
        <v>5.29590682898447E-3</v>
      </c>
      <c r="M29">
        <v>2.732158440230716</v>
      </c>
      <c r="N29">
        <v>8.0614282246770589E-3</v>
      </c>
      <c r="O29">
        <v>2.0869337228332987</v>
      </c>
      <c r="P29">
        <v>0.79229445506139284</v>
      </c>
      <c r="Q29">
        <v>7.5779247335162987E-3</v>
      </c>
      <c r="R29">
        <v>0.12777333373565922</v>
      </c>
      <c r="S29">
        <v>5.4959891018460118E-5</v>
      </c>
      <c r="T29">
        <v>0.12777333373565869</v>
      </c>
      <c r="U29">
        <v>1.3220608546223966</v>
      </c>
      <c r="V29">
        <v>0.2711327797364339</v>
      </c>
      <c r="W29">
        <v>0.19303668749721356</v>
      </c>
      <c r="X29">
        <v>0.31082609339585948</v>
      </c>
      <c r="Y29">
        <v>0.25533198594549633</v>
      </c>
      <c r="Z29">
        <v>0.31512458963778428</v>
      </c>
    </row>
    <row r="30" spans="1:26" x14ac:dyDescent="0.2">
      <c r="A30" s="17">
        <v>10898</v>
      </c>
      <c r="B30" s="17" t="s">
        <v>147</v>
      </c>
      <c r="C30" s="17" t="s">
        <v>129</v>
      </c>
      <c r="D30" s="69">
        <v>44201</v>
      </c>
      <c r="E30" s="74">
        <v>277.5</v>
      </c>
      <c r="F30" s="17">
        <v>0.20651</v>
      </c>
      <c r="G30" s="75">
        <v>0.10224000000000011</v>
      </c>
      <c r="H30" t="s">
        <v>157</v>
      </c>
      <c r="I30">
        <v>9.98355010987006E-3</v>
      </c>
      <c r="J30">
        <v>0.25333381916618025</v>
      </c>
      <c r="K30">
        <v>7.1377850579739943E-3</v>
      </c>
      <c r="L30">
        <v>5.7803924358101584E-3</v>
      </c>
      <c r="M30">
        <v>5.3180729343904929</v>
      </c>
      <c r="N30">
        <v>5.9678174211139556E-3</v>
      </c>
      <c r="O30">
        <v>5.0379674086473889</v>
      </c>
      <c r="P30">
        <v>0.25854315117832782</v>
      </c>
      <c r="Q30">
        <v>9.4547702746746697E-3</v>
      </c>
      <c r="R30">
        <v>3.4020692567978184E-2</v>
      </c>
      <c r="S30">
        <v>6.8571958969507554E-5</v>
      </c>
      <c r="T30">
        <v>3.4020692567978239E-2</v>
      </c>
      <c r="U30">
        <v>3.1381989021490075</v>
      </c>
      <c r="V30">
        <v>0.18865130056012888</v>
      </c>
      <c r="W30">
        <v>4.1151151956821931E-2</v>
      </c>
      <c r="X30">
        <v>0.2067627640375686</v>
      </c>
      <c r="Y30">
        <v>0.1290951021031583</v>
      </c>
      <c r="Z30">
        <v>0.12202886938892543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44201</v>
      </c>
      <c r="E31" s="15"/>
      <c r="F31" s="16">
        <v>1.10995</v>
      </c>
      <c r="G31" s="16">
        <v>10.349080000000001</v>
      </c>
      <c r="H31" t="s">
        <v>158</v>
      </c>
      <c r="I31">
        <v>9.9666232938619252E-3</v>
      </c>
      <c r="J31">
        <v>0.66049877859013795</v>
      </c>
      <c r="K31">
        <v>7.1233602575446293E-3</v>
      </c>
      <c r="L31">
        <v>6.6427470990827377E-3</v>
      </c>
      <c r="M31">
        <v>2.7318999672329238</v>
      </c>
      <c r="N31">
        <v>1.2465894328446636E-2</v>
      </c>
      <c r="O31">
        <v>2.0813538064676367</v>
      </c>
      <c r="P31">
        <v>0.65194955412057509</v>
      </c>
      <c r="Q31">
        <v>7.5917946555112024E-3</v>
      </c>
      <c r="R31">
        <v>0.14375737713362954</v>
      </c>
      <c r="S31">
        <v>5.5060484443187976E-5</v>
      </c>
      <c r="T31">
        <v>0.14375737713362954</v>
      </c>
      <c r="U31">
        <v>1.3219854196107961</v>
      </c>
      <c r="V31">
        <v>0.24643527732386697</v>
      </c>
      <c r="W31">
        <v>0.19640203865414382</v>
      </c>
      <c r="X31">
        <v>0.57347972925756585</v>
      </c>
      <c r="Y31">
        <v>0.25980551750567726</v>
      </c>
      <c r="Z31">
        <v>0.46180643990185577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44204</v>
      </c>
      <c r="E33" s="15"/>
      <c r="F33" s="16">
        <v>1.10995</v>
      </c>
      <c r="G33" s="16">
        <v>10.349080000000001</v>
      </c>
      <c r="H33" t="s">
        <v>148</v>
      </c>
      <c r="I33">
        <v>9.9056008804341983E-3</v>
      </c>
      <c r="J33">
        <v>1.1944939788165116</v>
      </c>
      <c r="K33">
        <v>7.1294664320751691E-3</v>
      </c>
      <c r="L33">
        <v>6.7911850176581717E-3</v>
      </c>
      <c r="M33">
        <v>2.7314993472187838</v>
      </c>
      <c r="N33">
        <v>1.2773116422660005E-2</v>
      </c>
      <c r="O33">
        <v>2.1031024018513023</v>
      </c>
      <c r="P33">
        <v>1.2500043466099189</v>
      </c>
      <c r="Q33">
        <v>7.5909898398069655E-3</v>
      </c>
      <c r="R33">
        <v>0.26437181700974322</v>
      </c>
      <c r="S33">
        <v>5.505464741194919E-5</v>
      </c>
      <c r="T33">
        <v>0.26437181700974344</v>
      </c>
      <c r="U33">
        <v>1.3224964542017568</v>
      </c>
      <c r="V33">
        <v>0.39320119400548353</v>
      </c>
      <c r="W33">
        <v>0.19368952272869672</v>
      </c>
      <c r="X33">
        <v>0.67383016432281773</v>
      </c>
      <c r="Y33">
        <v>0.25600417487088595</v>
      </c>
      <c r="Z33">
        <v>0.60441553903675371</v>
      </c>
    </row>
    <row r="34" spans="1:26" x14ac:dyDescent="0.2">
      <c r="A34" s="17">
        <v>10903</v>
      </c>
      <c r="B34" s="17" t="s">
        <v>165</v>
      </c>
      <c r="C34" s="17" t="s">
        <v>129</v>
      </c>
      <c r="D34" s="73">
        <v>44204</v>
      </c>
      <c r="E34" s="74">
        <v>44</v>
      </c>
      <c r="F34" s="17">
        <v>0.19997999999999999</v>
      </c>
      <c r="G34" s="75">
        <v>0.10280999999999985</v>
      </c>
      <c r="H34" t="s">
        <v>159</v>
      </c>
      <c r="I34">
        <v>9.9771249848784865E-3</v>
      </c>
      <c r="J34">
        <v>0.4377628281175226</v>
      </c>
      <c r="K34">
        <v>7.1365154128865127E-3</v>
      </c>
      <c r="L34">
        <v>6.7611361149005665E-3</v>
      </c>
      <c r="M34">
        <v>1.623172941423183</v>
      </c>
      <c r="N34">
        <v>7.7099547542564323E-3</v>
      </c>
      <c r="O34">
        <v>2.4883386951097366</v>
      </c>
      <c r="P34">
        <v>0.4401984404743382</v>
      </c>
      <c r="Q34">
        <v>1.5287434379034612E-2</v>
      </c>
      <c r="R34">
        <v>5.8978348186754077E-2</v>
      </c>
      <c r="S34">
        <v>1.1087411883460818E-4</v>
      </c>
      <c r="T34">
        <v>5.8978348186753557E-2</v>
      </c>
      <c r="U34">
        <v>1.5432223281952715</v>
      </c>
      <c r="V34">
        <v>0.21543714254718643</v>
      </c>
      <c r="W34">
        <v>1.0894560874117191E-2</v>
      </c>
      <c r="X34">
        <v>0.18626434956469506</v>
      </c>
      <c r="Y34">
        <v>1.6812808317567207E-2</v>
      </c>
      <c r="Z34">
        <v>0.13452507929628721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44204</v>
      </c>
      <c r="E35" s="15"/>
      <c r="F35" s="16">
        <v>1.10995</v>
      </c>
      <c r="G35" s="16">
        <v>10.349080000000001</v>
      </c>
      <c r="H35" t="s">
        <v>150</v>
      </c>
      <c r="I35">
        <v>9.730350083786924E-3</v>
      </c>
      <c r="J35">
        <v>1.3094403719333507</v>
      </c>
      <c r="K35">
        <v>7.1269880330882881E-3</v>
      </c>
      <c r="L35">
        <v>9.9336115824596068E-3</v>
      </c>
      <c r="M35">
        <v>2.7315917722475391</v>
      </c>
      <c r="N35">
        <v>1.2180162148429574E-2</v>
      </c>
      <c r="O35">
        <v>2.1336746937140298</v>
      </c>
      <c r="P35">
        <v>1.2795572632660743</v>
      </c>
      <c r="Q35">
        <v>7.5844035358942734E-3</v>
      </c>
      <c r="R35">
        <v>0.18355702916987149</v>
      </c>
      <c r="S35">
        <v>5.5006879380728841E-5</v>
      </c>
      <c r="T35">
        <v>0.18355702916987299</v>
      </c>
      <c r="U35">
        <v>1.3232785560940246</v>
      </c>
      <c r="V35">
        <v>0.31265658400785135</v>
      </c>
      <c r="W35">
        <v>0.18857832549408304</v>
      </c>
      <c r="X35">
        <v>0.59979039770818943</v>
      </c>
      <c r="Y35">
        <v>0.24967805060694467</v>
      </c>
      <c r="Z35">
        <v>0.63324389222250421</v>
      </c>
    </row>
    <row r="36" spans="1:26" x14ac:dyDescent="0.2">
      <c r="A36" s="17">
        <v>10904</v>
      </c>
      <c r="B36" s="17" t="s">
        <v>166</v>
      </c>
      <c r="C36" s="17" t="s">
        <v>129</v>
      </c>
      <c r="D36" s="73">
        <v>44204</v>
      </c>
      <c r="E36" s="74">
        <v>119</v>
      </c>
      <c r="F36" s="17">
        <v>0.20280000000000001</v>
      </c>
      <c r="G36" s="75">
        <v>0.10429000000000066</v>
      </c>
      <c r="H36" t="s">
        <v>160</v>
      </c>
      <c r="I36">
        <v>9.9642863815557585E-3</v>
      </c>
      <c r="J36">
        <v>0.46756843126158859</v>
      </c>
      <c r="K36">
        <v>7.126285986838711E-3</v>
      </c>
      <c r="L36">
        <v>6.2969865695679649E-3</v>
      </c>
      <c r="M36">
        <v>1.232444690852716</v>
      </c>
      <c r="N36">
        <v>8.7618550273731079E-3</v>
      </c>
      <c r="O36">
        <v>2.1802064018628582</v>
      </c>
      <c r="P36">
        <v>0.48170999114625435</v>
      </c>
      <c r="Q36">
        <v>1.7620022913544781E-2</v>
      </c>
      <c r="R36">
        <v>0.11038523382109076</v>
      </c>
      <c r="S36">
        <v>1.2779152249798581E-4</v>
      </c>
      <c r="T36">
        <v>0.11038523382109154</v>
      </c>
      <c r="U36">
        <v>1.4071730115806185</v>
      </c>
      <c r="V36">
        <v>0.31252789238282391</v>
      </c>
      <c r="W36">
        <v>5.8927771019239947E-2</v>
      </c>
      <c r="X36">
        <v>0.37665870978973542</v>
      </c>
      <c r="Y36">
        <v>8.2773850470852853E-2</v>
      </c>
      <c r="Z36">
        <v>0.28878351869269842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44204</v>
      </c>
      <c r="E37" s="15"/>
      <c r="F37" s="16">
        <v>1.10995</v>
      </c>
      <c r="G37" s="16">
        <v>10.349080000000001</v>
      </c>
      <c r="H37" t="s">
        <v>152</v>
      </c>
      <c r="I37">
        <v>9.8623568343576707E-3</v>
      </c>
      <c r="J37">
        <v>0.99369505257870316</v>
      </c>
      <c r="K37">
        <v>7.1212358233307196E-3</v>
      </c>
      <c r="L37">
        <v>9.2386313810726185E-3</v>
      </c>
      <c r="M37">
        <v>2.7323086588773227</v>
      </c>
      <c r="N37">
        <v>1.592533348048366E-2</v>
      </c>
      <c r="O37">
        <v>2.101187521141064</v>
      </c>
      <c r="P37">
        <v>0.99153188992625252</v>
      </c>
      <c r="Q37">
        <v>7.5690920025887716E-3</v>
      </c>
      <c r="R37">
        <v>0.22395470705138198</v>
      </c>
      <c r="S37">
        <v>5.4895830481275677E-5</v>
      </c>
      <c r="T37">
        <v>0.22395470705138185</v>
      </c>
      <c r="U37">
        <v>1.3199764071169251</v>
      </c>
      <c r="V37">
        <v>0.29861929443374174</v>
      </c>
      <c r="W37">
        <v>0.18979029201053293</v>
      </c>
      <c r="X37">
        <v>0.66682177369844653</v>
      </c>
      <c r="Y37">
        <v>0.25111281095624349</v>
      </c>
      <c r="Z37">
        <v>0.65505187378163865</v>
      </c>
    </row>
    <row r="38" spans="1:26" x14ac:dyDescent="0.2">
      <c r="A38" s="17">
        <v>10905</v>
      </c>
      <c r="B38" s="17" t="s">
        <v>167</v>
      </c>
      <c r="C38" s="17" t="s">
        <v>129</v>
      </c>
      <c r="D38" s="73">
        <v>44204</v>
      </c>
      <c r="E38" s="74">
        <v>122.5</v>
      </c>
      <c r="F38" s="17">
        <v>0.17899999999999999</v>
      </c>
      <c r="G38" s="75">
        <v>0.10221000000000124</v>
      </c>
      <c r="H38" t="s">
        <v>161</v>
      </c>
      <c r="I38">
        <v>9.9230873559814792E-3</v>
      </c>
      <c r="J38">
        <v>0.27447624733715376</v>
      </c>
      <c r="K38">
        <v>7.1256290744916503E-3</v>
      </c>
      <c r="L38">
        <v>8.0003651953118315E-3</v>
      </c>
      <c r="M38">
        <v>1.6452519110912152</v>
      </c>
      <c r="N38">
        <v>5.6516183420393263E-3</v>
      </c>
      <c r="O38">
        <v>2.5450149821163546</v>
      </c>
      <c r="P38">
        <v>0.29124490207837544</v>
      </c>
      <c r="Q38">
        <v>1.5350834086657822E-2</v>
      </c>
      <c r="R38">
        <v>5.8705582259999688E-2</v>
      </c>
      <c r="S38">
        <v>1.1133393351265093E-4</v>
      </c>
      <c r="T38">
        <v>5.8705582259999591E-2</v>
      </c>
      <c r="U38">
        <v>1.6363104673227438</v>
      </c>
      <c r="V38">
        <v>0.17217722298478044</v>
      </c>
      <c r="W38">
        <v>2.4186432913747094E-3</v>
      </c>
      <c r="X38">
        <v>0.16245245852478166</v>
      </c>
      <c r="Y38">
        <v>3.9594750114500931E-3</v>
      </c>
      <c r="Z38">
        <v>9.7919390705396098E-2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44204</v>
      </c>
      <c r="E39" s="15"/>
      <c r="F39" s="16">
        <v>1.10995</v>
      </c>
      <c r="G39" s="16">
        <v>10.349080000000001</v>
      </c>
      <c r="H39" t="s">
        <v>154</v>
      </c>
      <c r="I39">
        <v>9.8172094395572625E-3</v>
      </c>
      <c r="J39">
        <v>1.2402159648657216</v>
      </c>
      <c r="K39">
        <v>7.1119770286346617E-3</v>
      </c>
      <c r="L39">
        <v>7.6372582829256465E-3</v>
      </c>
      <c r="M39">
        <v>2.7323730131842292</v>
      </c>
      <c r="N39">
        <v>1.4425643437286376E-2</v>
      </c>
      <c r="O39">
        <v>2.1224722741997253</v>
      </c>
      <c r="P39">
        <v>1.3405921550872266</v>
      </c>
      <c r="Q39">
        <v>7.5927584564045468E-3</v>
      </c>
      <c r="R39">
        <v>0.2645702560662212</v>
      </c>
      <c r="S39">
        <v>5.5067474535320638E-5</v>
      </c>
      <c r="T39">
        <v>0.26457025606622098</v>
      </c>
      <c r="U39">
        <v>1.322896550837007</v>
      </c>
      <c r="V39">
        <v>0.340968405276732</v>
      </c>
      <c r="W39">
        <v>0.19024291473580304</v>
      </c>
      <c r="X39">
        <v>0.56639231228378273</v>
      </c>
      <c r="Y39">
        <v>0.25160314063550754</v>
      </c>
      <c r="Z39">
        <v>0.53841952531703841</v>
      </c>
    </row>
    <row r="40" spans="1:26" x14ac:dyDescent="0.2">
      <c r="A40" s="17">
        <v>10906</v>
      </c>
      <c r="B40" s="17" t="s">
        <v>168</v>
      </c>
      <c r="C40" s="17" t="s">
        <v>129</v>
      </c>
      <c r="D40" s="73">
        <v>44204</v>
      </c>
      <c r="E40" s="74">
        <v>337.5</v>
      </c>
      <c r="F40" s="17">
        <v>0.24376999999999999</v>
      </c>
      <c r="G40" s="75">
        <v>0.10571999999999981</v>
      </c>
      <c r="H40" t="s">
        <v>162</v>
      </c>
      <c r="I40">
        <v>1.005830143935367E-2</v>
      </c>
      <c r="J40">
        <v>0.42963150245867704</v>
      </c>
      <c r="K40">
        <v>7.1209405489180873E-3</v>
      </c>
      <c r="L40">
        <v>6.0379298811678297E-3</v>
      </c>
      <c r="M40">
        <v>1.8949460829145937</v>
      </c>
      <c r="N40">
        <v>7.0742954745005885E-3</v>
      </c>
      <c r="O40">
        <v>2.1673783380226554</v>
      </c>
      <c r="P40">
        <v>0.44942304563095153</v>
      </c>
      <c r="Q40">
        <v>1.1499814175743233E-2</v>
      </c>
      <c r="R40">
        <v>8.1900866144578921E-2</v>
      </c>
      <c r="S40">
        <v>8.3403907541599164E-5</v>
      </c>
      <c r="T40">
        <v>8.1900866144578532E-2</v>
      </c>
      <c r="U40">
        <v>1.4254279533220209</v>
      </c>
      <c r="V40">
        <v>0.20437393227658671</v>
      </c>
      <c r="W40">
        <v>6.3980612124054939E-2</v>
      </c>
      <c r="X40">
        <v>0.2310815022265538</v>
      </c>
      <c r="Y40">
        <v>9.1250087244073241E-2</v>
      </c>
      <c r="Z40">
        <v>0.15957002065550072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44204</v>
      </c>
      <c r="E41" s="15"/>
      <c r="F41" s="16">
        <v>1.10995</v>
      </c>
      <c r="G41" s="16">
        <v>10.349080000000001</v>
      </c>
      <c r="H41" t="s">
        <v>156</v>
      </c>
      <c r="I41">
        <v>9.7724043324646723E-3</v>
      </c>
      <c r="J41">
        <v>1.2656706293354085</v>
      </c>
      <c r="K41">
        <v>7.1085868835183592E-3</v>
      </c>
      <c r="L41">
        <v>7.7942610228766288E-3</v>
      </c>
      <c r="M41">
        <v>2.7315001443604054</v>
      </c>
      <c r="N41">
        <v>1.4960747974727441E-2</v>
      </c>
      <c r="O41">
        <v>2.1169717081969126</v>
      </c>
      <c r="P41">
        <v>1.2438947548268993</v>
      </c>
      <c r="Q41">
        <v>7.5692548809306011E-3</v>
      </c>
      <c r="R41">
        <v>0.21478269349276877</v>
      </c>
      <c r="S41">
        <v>5.489701177776923E-5</v>
      </c>
      <c r="T41">
        <v>0.21478269349276888</v>
      </c>
      <c r="U41">
        <v>1.3259317106879742</v>
      </c>
      <c r="V41">
        <v>0.34711818612195988</v>
      </c>
      <c r="W41">
        <v>0.19149666708975563</v>
      </c>
      <c r="X41">
        <v>0.40598297749974266</v>
      </c>
      <c r="Y41">
        <v>0.25385332910777969</v>
      </c>
      <c r="Z41">
        <v>0.47636298848470049</v>
      </c>
    </row>
    <row r="42" spans="1:26" x14ac:dyDescent="0.2">
      <c r="A42" s="17">
        <v>10899</v>
      </c>
      <c r="B42" s="17" t="s">
        <v>164</v>
      </c>
      <c r="C42" s="17" t="s">
        <v>129</v>
      </c>
      <c r="D42" s="73">
        <v>44204</v>
      </c>
      <c r="E42" s="74">
        <v>20</v>
      </c>
      <c r="F42" s="17">
        <v>0.10059999999999999</v>
      </c>
      <c r="G42" s="75">
        <v>0.10264000000000095</v>
      </c>
      <c r="H42" t="s">
        <v>163</v>
      </c>
      <c r="I42">
        <v>9.790229239431656E-3</v>
      </c>
      <c r="J42">
        <v>0.66101669072578828</v>
      </c>
      <c r="K42">
        <v>7.1077936730022384E-3</v>
      </c>
      <c r="L42">
        <v>8.3618502721877885E-3</v>
      </c>
      <c r="M42">
        <v>6.7815980342498765</v>
      </c>
      <c r="N42">
        <v>9.0161883216936783E-3</v>
      </c>
      <c r="O42">
        <v>5.0474092907712782</v>
      </c>
      <c r="P42">
        <v>0.66739967821038515</v>
      </c>
      <c r="Q42">
        <v>7.2817324143845865E-3</v>
      </c>
      <c r="R42">
        <v>7.6004299656788912E-2</v>
      </c>
      <c r="S42">
        <v>5.2811717454794969E-5</v>
      </c>
      <c r="T42">
        <v>7.6004299656789481E-2</v>
      </c>
      <c r="U42">
        <v>2.9883573195899711</v>
      </c>
      <c r="V42">
        <v>0.28897243408994444</v>
      </c>
      <c r="W42">
        <v>3.7692275343583465E-2</v>
      </c>
      <c r="X42">
        <v>0.27585083217888318</v>
      </c>
      <c r="Y42">
        <v>0.11261657623095012</v>
      </c>
      <c r="Z42">
        <v>0.15340842580795044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44204</v>
      </c>
      <c r="E43" s="15"/>
      <c r="F43" s="16">
        <v>1.10995</v>
      </c>
      <c r="G43" s="16">
        <v>10.349080000000001</v>
      </c>
      <c r="H43" t="s">
        <v>156</v>
      </c>
      <c r="I43">
        <v>9.7724043324646723E-3</v>
      </c>
      <c r="J43">
        <v>1.2656706293354085</v>
      </c>
      <c r="K43">
        <v>7.1085868835183592E-3</v>
      </c>
      <c r="L43">
        <v>7.7942610228766288E-3</v>
      </c>
      <c r="M43">
        <v>2.7315001443604054</v>
      </c>
      <c r="N43">
        <v>1.4960747974727441E-2</v>
      </c>
      <c r="O43">
        <v>2.1169717081969126</v>
      </c>
      <c r="P43">
        <v>1.2438947548268993</v>
      </c>
      <c r="Q43">
        <v>7.5692548809306011E-3</v>
      </c>
      <c r="R43">
        <v>0.21478269349276877</v>
      </c>
      <c r="S43">
        <v>5.489701177776923E-5</v>
      </c>
      <c r="T43">
        <v>0.21478269349276888</v>
      </c>
      <c r="U43">
        <v>1.3259317106879742</v>
      </c>
      <c r="V43">
        <v>0.34711818612195988</v>
      </c>
      <c r="W43">
        <v>0.19149666708975563</v>
      </c>
      <c r="X43">
        <v>0.40598297749974266</v>
      </c>
      <c r="Y43">
        <v>0.25385332910777969</v>
      </c>
      <c r="Z43">
        <v>0.47636298848470049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44207</v>
      </c>
      <c r="E45" s="15"/>
      <c r="F45" s="16">
        <v>1.10995</v>
      </c>
      <c r="G45" s="16">
        <v>10.349080000000001</v>
      </c>
      <c r="H45" t="s">
        <v>148</v>
      </c>
      <c r="I45">
        <v>9.8942039168223271E-3</v>
      </c>
      <c r="J45">
        <v>1.1574241621799164</v>
      </c>
      <c r="K45">
        <v>7.1392041522908055E-3</v>
      </c>
      <c r="L45">
        <v>6.9600895599029287E-3</v>
      </c>
      <c r="M45">
        <v>2.7319896290707808</v>
      </c>
      <c r="N45">
        <v>1.2333825311798989E-2</v>
      </c>
      <c r="O45">
        <v>2.0969058031035059</v>
      </c>
      <c r="P45">
        <v>1.1317827173967874</v>
      </c>
      <c r="Q45">
        <v>7.5797712479978912E-3</v>
      </c>
      <c r="R45">
        <v>0.16712737534401564</v>
      </c>
      <c r="S45">
        <v>5.4973283106431538E-5</v>
      </c>
      <c r="T45">
        <v>0.16712737534401625</v>
      </c>
      <c r="U45">
        <v>1.3203361128825968</v>
      </c>
      <c r="V45">
        <v>0.23433382692432539</v>
      </c>
      <c r="W45">
        <v>0.19534574383330242</v>
      </c>
      <c r="X45">
        <v>0.54457215482265464</v>
      </c>
      <c r="Y45">
        <v>0.25779705098581263</v>
      </c>
      <c r="Z45">
        <v>0.54501347718625714</v>
      </c>
    </row>
    <row r="46" spans="1:26" x14ac:dyDescent="0.2">
      <c r="A46" s="17">
        <v>10909</v>
      </c>
      <c r="B46" s="17" t="s">
        <v>171</v>
      </c>
      <c r="C46" s="17" t="s">
        <v>129</v>
      </c>
      <c r="D46" s="73">
        <v>44207</v>
      </c>
      <c r="F46" s="17">
        <v>0.1071</v>
      </c>
      <c r="G46" s="75">
        <v>9.8240000000000549E-2</v>
      </c>
      <c r="H46" t="s">
        <v>175</v>
      </c>
      <c r="I46">
        <v>1.0071265366263031E-2</v>
      </c>
      <c r="J46">
        <v>0.5980804694592915</v>
      </c>
      <c r="K46">
        <v>7.1290117788476073E-3</v>
      </c>
      <c r="L46">
        <v>2.100840787862393E-2</v>
      </c>
      <c r="M46">
        <v>0.72103688330087556</v>
      </c>
      <c r="N46">
        <v>1.2157620956812219E-2</v>
      </c>
      <c r="O46">
        <v>1.1801257510234429</v>
      </c>
      <c r="P46">
        <v>0.6397380004169485</v>
      </c>
      <c r="Q46">
        <v>1.6475142745940467E-2</v>
      </c>
      <c r="R46">
        <v>0.18785619153148522</v>
      </c>
      <c r="S46">
        <v>1.1948812922694545E-4</v>
      </c>
      <c r="T46">
        <v>0.18785619153148536</v>
      </c>
      <c r="U46">
        <v>0.43431087109031941</v>
      </c>
      <c r="V46">
        <v>0.34444948769010103</v>
      </c>
      <c r="W46">
        <v>0.12953838429060063</v>
      </c>
      <c r="X46">
        <v>0.7406213649406137</v>
      </c>
      <c r="Y46">
        <v>5.6339841067100577E-2</v>
      </c>
      <c r="Z46">
        <v>0.81747532782603483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44207</v>
      </c>
      <c r="E47" s="15"/>
      <c r="F47" s="16">
        <v>1.10995</v>
      </c>
      <c r="G47" s="16">
        <v>10.349080000000001</v>
      </c>
      <c r="H47" t="s">
        <v>150</v>
      </c>
      <c r="I47">
        <v>9.8209626364194752E-3</v>
      </c>
      <c r="J47">
        <v>0.95318353920694054</v>
      </c>
      <c r="K47">
        <v>7.1168442957553644E-3</v>
      </c>
      <c r="L47">
        <v>6.3154733281143936E-3</v>
      </c>
      <c r="M47">
        <v>2.7326245378589227</v>
      </c>
      <c r="N47">
        <v>1.3976050538767486E-2</v>
      </c>
      <c r="O47">
        <v>2.1076453659297796</v>
      </c>
      <c r="P47">
        <v>1.047557621675447</v>
      </c>
      <c r="Q47">
        <v>7.5695971286335378E-3</v>
      </c>
      <c r="R47">
        <v>0.16309567795012531</v>
      </c>
      <c r="S47">
        <v>5.4899493974032208E-5</v>
      </c>
      <c r="T47">
        <v>0.16309567795012417</v>
      </c>
      <c r="U47">
        <v>1.3282034368486073</v>
      </c>
      <c r="V47">
        <v>0.28809387817651133</v>
      </c>
      <c r="W47">
        <v>0.19638603939192248</v>
      </c>
      <c r="X47">
        <v>0.64254945503149197</v>
      </c>
      <c r="Y47">
        <v>0.26148747757655261</v>
      </c>
      <c r="Z47">
        <v>0.53389382080797987</v>
      </c>
    </row>
    <row r="48" spans="1:26" x14ac:dyDescent="0.2">
      <c r="A48" s="17">
        <v>10910</v>
      </c>
      <c r="B48" s="17" t="s">
        <v>172</v>
      </c>
      <c r="C48" s="17" t="s">
        <v>129</v>
      </c>
      <c r="D48" s="73">
        <v>44207</v>
      </c>
      <c r="F48" s="17">
        <v>7.7299999999999994E-2</v>
      </c>
      <c r="G48" s="75">
        <v>0.10397000000000034</v>
      </c>
      <c r="H48" t="s">
        <v>176</v>
      </c>
      <c r="I48">
        <v>1.0051875970916639E-2</v>
      </c>
      <c r="J48">
        <v>0.31337604376100775</v>
      </c>
      <c r="K48">
        <v>7.1187318329750211E-3</v>
      </c>
      <c r="L48">
        <v>7.7191685115640231E-3</v>
      </c>
      <c r="M48">
        <v>0.72032329374937076</v>
      </c>
      <c r="N48">
        <v>8.3718155119079981E-3</v>
      </c>
      <c r="O48">
        <v>1.4519934666578802</v>
      </c>
      <c r="P48">
        <v>0.37595120582223046</v>
      </c>
      <c r="Q48">
        <v>2.0264210953055136E-2</v>
      </c>
      <c r="R48">
        <v>9.3792562134217078E-2</v>
      </c>
      <c r="S48">
        <v>1.469688423572148E-4</v>
      </c>
      <c r="T48">
        <v>9.3792562134217786E-2</v>
      </c>
      <c r="U48">
        <v>0.88321741523206054</v>
      </c>
      <c r="V48">
        <v>0.21056466466375959</v>
      </c>
      <c r="W48">
        <v>2.6764432640985606E-2</v>
      </c>
      <c r="X48">
        <v>0.20974705201119748</v>
      </c>
      <c r="Y48">
        <v>2.3657681568994133E-2</v>
      </c>
      <c r="Z48">
        <v>0.14752039070626072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44207</v>
      </c>
      <c r="E49" s="15"/>
      <c r="F49" s="16">
        <v>1.10995</v>
      </c>
      <c r="G49" s="16">
        <v>10.349080000000001</v>
      </c>
      <c r="H49" t="s">
        <v>152</v>
      </c>
      <c r="I49">
        <v>9.8497979289852121E-3</v>
      </c>
      <c r="J49">
        <v>1.1267897694763001</v>
      </c>
      <c r="K49">
        <v>7.118700735378008E-3</v>
      </c>
      <c r="L49">
        <v>7.6725068269822812E-3</v>
      </c>
      <c r="M49">
        <v>2.7323087004185846</v>
      </c>
      <c r="N49">
        <v>1.3180984337717055E-2</v>
      </c>
      <c r="O49">
        <v>2.11181250829897</v>
      </c>
      <c r="P49">
        <v>1.0321433428684026</v>
      </c>
      <c r="Q49">
        <v>7.5814519423235398E-3</v>
      </c>
      <c r="R49">
        <v>0.20339319701944489</v>
      </c>
      <c r="S49">
        <v>5.4985472562017515E-5</v>
      </c>
      <c r="T49">
        <v>0.20339319701944444</v>
      </c>
      <c r="U49">
        <v>1.3294214402068714</v>
      </c>
      <c r="V49">
        <v>0.319825459125681</v>
      </c>
      <c r="W49">
        <v>0.19576667095725844</v>
      </c>
      <c r="X49">
        <v>0.51105473044127558</v>
      </c>
      <c r="Y49">
        <v>0.26033641109595373</v>
      </c>
      <c r="Z49">
        <v>0.51925589691591179</v>
      </c>
    </row>
    <row r="50" spans="1:26" x14ac:dyDescent="0.2">
      <c r="A50" s="17">
        <v>10911</v>
      </c>
      <c r="B50" s="17" t="s">
        <v>173</v>
      </c>
      <c r="C50" s="17" t="s">
        <v>129</v>
      </c>
      <c r="D50" s="73">
        <v>44207</v>
      </c>
      <c r="F50" s="17">
        <v>8.5379999999999998E-2</v>
      </c>
      <c r="G50" s="75">
        <v>0.10314999999999941</v>
      </c>
      <c r="H50" t="s">
        <v>177</v>
      </c>
      <c r="I50">
        <v>1.003270115150216E-2</v>
      </c>
      <c r="J50">
        <v>0.2961773121564939</v>
      </c>
      <c r="K50">
        <v>7.1166767567616088E-3</v>
      </c>
      <c r="L50">
        <v>9.5318114742070463E-3</v>
      </c>
      <c r="M50">
        <v>0.48620135046352908</v>
      </c>
      <c r="N50">
        <v>8.6418401976497E-3</v>
      </c>
      <c r="O50">
        <v>0.86943488006914293</v>
      </c>
      <c r="P50">
        <v>0.33390153296486635</v>
      </c>
      <c r="Q50">
        <v>1.793076144732857E-2</v>
      </c>
      <c r="R50">
        <v>0.14863029811815898</v>
      </c>
      <c r="S50">
        <v>1.3004519438739617E-4</v>
      </c>
      <c r="T50">
        <v>0.14863029811815809</v>
      </c>
      <c r="U50">
        <v>0.36412377007172125</v>
      </c>
      <c r="V50">
        <v>0.2828095855625084</v>
      </c>
      <c r="W50">
        <v>4.4148279652214649E-2</v>
      </c>
      <c r="X50">
        <v>0.20697716650129178</v>
      </c>
      <c r="Y50">
        <v>1.6071893922426271E-2</v>
      </c>
      <c r="Z50">
        <v>0.29604085782925244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44207</v>
      </c>
      <c r="E51" s="15"/>
      <c r="F51" s="16">
        <v>1.10995</v>
      </c>
      <c r="G51" s="16">
        <v>10.349080000000001</v>
      </c>
      <c r="H51" t="s">
        <v>154</v>
      </c>
      <c r="I51">
        <v>9.8462046576242943E-3</v>
      </c>
      <c r="J51">
        <v>1.0220777755824237</v>
      </c>
      <c r="K51">
        <v>7.1378169392464523E-3</v>
      </c>
      <c r="L51">
        <v>9.9976670462009025E-3</v>
      </c>
      <c r="M51">
        <v>2.7319416350816663</v>
      </c>
      <c r="N51">
        <v>1.4118462633135384E-2</v>
      </c>
      <c r="O51">
        <v>2.1049155531095369</v>
      </c>
      <c r="P51">
        <v>0.98793636462845813</v>
      </c>
      <c r="Q51">
        <v>7.5734589600227834E-3</v>
      </c>
      <c r="R51">
        <v>0.21550506738927988</v>
      </c>
      <c r="S51">
        <v>5.492750241166501E-5</v>
      </c>
      <c r="T51">
        <v>0.2155050673892783</v>
      </c>
      <c r="U51">
        <v>1.3179089943419364</v>
      </c>
      <c r="V51">
        <v>0.23596545865112931</v>
      </c>
      <c r="W51">
        <v>0.19078486473033243</v>
      </c>
      <c r="X51">
        <v>0.54548439767849954</v>
      </c>
      <c r="Y51">
        <v>0.25195843151986808</v>
      </c>
      <c r="Z51">
        <v>0.3770430352778269</v>
      </c>
    </row>
    <row r="52" spans="1:26" x14ac:dyDescent="0.2">
      <c r="A52" s="17">
        <v>10912</v>
      </c>
      <c r="B52" s="17" t="s">
        <v>174</v>
      </c>
      <c r="C52" s="17" t="s">
        <v>129</v>
      </c>
      <c r="D52" s="73">
        <v>44207</v>
      </c>
      <c r="F52" s="17">
        <v>9.1130000000000003E-2</v>
      </c>
      <c r="G52" s="75">
        <v>9.9479999999999791E-2</v>
      </c>
      <c r="H52" t="s">
        <v>178</v>
      </c>
      <c r="I52">
        <v>1.0005521390507709E-2</v>
      </c>
      <c r="J52">
        <v>0.31880386501463642</v>
      </c>
      <c r="K52">
        <v>7.1443233419530112E-3</v>
      </c>
      <c r="L52">
        <v>4.783108023899499E-3</v>
      </c>
      <c r="M52">
        <v>1.2408081809683831</v>
      </c>
      <c r="N52">
        <v>6.4561710363257195E-3</v>
      </c>
      <c r="O52">
        <v>2.2727046986865691</v>
      </c>
      <c r="P52">
        <v>0.32710733715259926</v>
      </c>
      <c r="Q52">
        <v>1.8324890059231942E-2</v>
      </c>
      <c r="R52">
        <v>5.9958274939778934E-2</v>
      </c>
      <c r="S52">
        <v>1.329036637334509E-4</v>
      </c>
      <c r="T52">
        <v>5.9958274939778199E-2</v>
      </c>
      <c r="U52">
        <v>0.83362533217324009</v>
      </c>
      <c r="V52">
        <v>0.22028048848809187</v>
      </c>
      <c r="W52">
        <v>7.9308429680053819E-2</v>
      </c>
      <c r="X52">
        <v>0.20260223361463423</v>
      </c>
      <c r="Y52">
        <v>6.6099835976386981E-2</v>
      </c>
      <c r="Z52">
        <v>0.17207746845441124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44207</v>
      </c>
      <c r="E53" s="15"/>
      <c r="F53" s="16">
        <v>1.10995</v>
      </c>
      <c r="G53" s="16">
        <v>10.349080000000001</v>
      </c>
      <c r="H53" t="s">
        <v>156</v>
      </c>
      <c r="I53">
        <v>1.0046841722993763E-2</v>
      </c>
      <c r="J53">
        <v>0.9482338934903255</v>
      </c>
      <c r="K53">
        <v>7.1433472923645115E-3</v>
      </c>
      <c r="L53">
        <v>6.8498267400978535E-3</v>
      </c>
      <c r="M53">
        <v>2.7316318251220677</v>
      </c>
      <c r="N53">
        <v>1.0405856561065394E-2</v>
      </c>
      <c r="O53">
        <v>2.0658705400429418</v>
      </c>
      <c r="P53">
        <v>0.93751294934021523</v>
      </c>
      <c r="Q53">
        <v>7.5930180996856451E-3</v>
      </c>
      <c r="R53">
        <v>0.14849370385757005</v>
      </c>
      <c r="S53">
        <v>5.5069357632202001E-5</v>
      </c>
      <c r="T53">
        <v>0.14849370385757021</v>
      </c>
      <c r="U53">
        <v>1.3202982017203977</v>
      </c>
      <c r="V53">
        <v>0.33237839116216966</v>
      </c>
      <c r="W53">
        <v>0.18715740046737728</v>
      </c>
      <c r="X53">
        <v>0.55107882149858478</v>
      </c>
      <c r="Y53">
        <v>0.24744129234151355</v>
      </c>
      <c r="Z53">
        <v>0.51695824273254853</v>
      </c>
    </row>
    <row r="54" spans="1:26" x14ac:dyDescent="0.2">
      <c r="A54" s="17">
        <v>10907</v>
      </c>
      <c r="B54" s="17" t="s">
        <v>169</v>
      </c>
      <c r="C54" s="17" t="s">
        <v>129</v>
      </c>
      <c r="D54" s="73">
        <v>44207</v>
      </c>
      <c r="E54" s="74">
        <v>341.5</v>
      </c>
      <c r="F54" s="17">
        <v>0.18321999999999999</v>
      </c>
      <c r="G54" s="75">
        <v>0.10273999999999894</v>
      </c>
      <c r="H54" t="s">
        <v>179</v>
      </c>
      <c r="I54">
        <v>1.003524990702233E-2</v>
      </c>
      <c r="J54">
        <v>0.30531695899626754</v>
      </c>
      <c r="K54">
        <v>7.1453705918887419E-3</v>
      </c>
      <c r="L54">
        <v>8.6557438458100024E-3</v>
      </c>
      <c r="M54">
        <v>1.5650344633044013</v>
      </c>
      <c r="N54">
        <v>5.7632996353276433E-3</v>
      </c>
      <c r="O54">
        <v>1.789135645707927</v>
      </c>
      <c r="P54">
        <v>0.31311457091422928</v>
      </c>
      <c r="Q54">
        <v>1.147270105032918E-2</v>
      </c>
      <c r="R54">
        <v>7.7558089281477186E-2</v>
      </c>
      <c r="S54">
        <v>8.3207266050646444E-5</v>
      </c>
      <c r="T54">
        <v>7.7558089281476617E-2</v>
      </c>
      <c r="U54">
        <v>1.1727947715642935</v>
      </c>
      <c r="V54">
        <v>0.18282971129831341</v>
      </c>
      <c r="W54">
        <v>6.4972073653869644E-2</v>
      </c>
      <c r="X54">
        <v>0.1962591340149154</v>
      </c>
      <c r="Y54">
        <v>7.6242260295838665E-2</v>
      </c>
      <c r="Z54">
        <v>0.17833250611907656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44207</v>
      </c>
      <c r="E55" s="15"/>
      <c r="F55" s="16">
        <v>1.10995</v>
      </c>
      <c r="G55" s="16">
        <v>10.349080000000001</v>
      </c>
      <c r="H55" t="s">
        <v>158</v>
      </c>
      <c r="I55">
        <v>9.9835458150703688E-3</v>
      </c>
      <c r="J55">
        <v>0.73844681606339857</v>
      </c>
      <c r="K55">
        <v>7.1406841362536052E-3</v>
      </c>
      <c r="L55">
        <v>7.1138650987501899E-3</v>
      </c>
      <c r="M55">
        <v>2.7314952735760283</v>
      </c>
      <c r="N55">
        <v>1.6341497910732378E-2</v>
      </c>
      <c r="O55">
        <v>2.0794013132445568</v>
      </c>
      <c r="P55">
        <v>0.8020246860496022</v>
      </c>
      <c r="Q55">
        <v>7.5803898724265961E-3</v>
      </c>
      <c r="R55">
        <v>0.16646841443678545</v>
      </c>
      <c r="S55">
        <v>5.4977769761073648E-5</v>
      </c>
      <c r="T55">
        <v>0.16646841443678531</v>
      </c>
      <c r="U55">
        <v>1.3169725761559046</v>
      </c>
      <c r="V55">
        <v>0.30420399257916669</v>
      </c>
      <c r="W55">
        <v>0.18806539758523852</v>
      </c>
      <c r="X55">
        <v>0.60187275999661871</v>
      </c>
      <c r="Y55">
        <v>0.24792060052537152</v>
      </c>
      <c r="Z55">
        <v>0.57341477508064942</v>
      </c>
    </row>
    <row r="56" spans="1:26" x14ac:dyDescent="0.2">
      <c r="A56" s="17">
        <v>10908</v>
      </c>
      <c r="B56" s="17" t="s">
        <v>170</v>
      </c>
      <c r="C56" s="17" t="s">
        <v>129</v>
      </c>
      <c r="D56" s="73">
        <v>44207</v>
      </c>
      <c r="E56" s="74">
        <v>544.5</v>
      </c>
      <c r="F56" s="17">
        <v>0.1943</v>
      </c>
      <c r="G56" s="75">
        <v>0.10337999999999958</v>
      </c>
      <c r="H56" t="s">
        <v>180</v>
      </c>
      <c r="I56">
        <v>9.982060504342246E-3</v>
      </c>
      <c r="J56">
        <v>0.32172147135139378</v>
      </c>
      <c r="K56">
        <v>7.1387711008899608E-3</v>
      </c>
      <c r="L56">
        <v>4.8546622905104551E-3</v>
      </c>
      <c r="M56">
        <v>2.4605315563181431</v>
      </c>
      <c r="N56">
        <v>6.3268134882415094E-3</v>
      </c>
      <c r="O56">
        <v>3.2267866542918422</v>
      </c>
      <c r="P56">
        <v>0.30239232419577561</v>
      </c>
      <c r="Q56">
        <v>1.3086230478489403E-2</v>
      </c>
      <c r="R56">
        <v>5.1670866211341995E-2</v>
      </c>
      <c r="S56">
        <v>9.4909599426240085E-5</v>
      </c>
      <c r="T56">
        <v>5.1670866211341038E-2</v>
      </c>
      <c r="U56">
        <v>2.1657012823755677</v>
      </c>
      <c r="V56">
        <v>0.1863882030810444</v>
      </c>
      <c r="W56">
        <v>3.337060275443629E-2</v>
      </c>
      <c r="X56">
        <v>0.18484465243586853</v>
      </c>
      <c r="Y56">
        <v>7.2247734631869093E-2</v>
      </c>
      <c r="Z56">
        <v>9.6033367953149651E-2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44207</v>
      </c>
      <c r="E57" s="15"/>
      <c r="F57" s="16">
        <v>1.10995</v>
      </c>
      <c r="G57" s="16">
        <v>10.349080000000001</v>
      </c>
      <c r="H57" t="s">
        <v>181</v>
      </c>
      <c r="I57">
        <v>9.9783655139698783E-3</v>
      </c>
      <c r="J57">
        <v>0.54180662545578728</v>
      </c>
      <c r="K57">
        <v>7.1335792162675353E-3</v>
      </c>
      <c r="L57">
        <v>4.4697111628453998E-3</v>
      </c>
      <c r="M57">
        <v>2.7323654959515951</v>
      </c>
      <c r="N57">
        <v>7.5838000212099278E-3</v>
      </c>
      <c r="O57">
        <v>2.0771433094205509</v>
      </c>
      <c r="P57">
        <v>0.56595916753975606</v>
      </c>
      <c r="Q57">
        <v>7.5737365147607568E-3</v>
      </c>
      <c r="R57">
        <v>0.10237799206959017</v>
      </c>
      <c r="S57">
        <v>5.4929515413731804E-5</v>
      </c>
      <c r="T57">
        <v>0.10237799206958978</v>
      </c>
      <c r="U57">
        <v>1.3228134116212948</v>
      </c>
      <c r="V57">
        <v>0.22853590288364156</v>
      </c>
      <c r="W57">
        <v>0.19301071497194658</v>
      </c>
      <c r="X57">
        <v>0.31800290580782742</v>
      </c>
      <c r="Y57">
        <v>0.2548409524865119</v>
      </c>
      <c r="Z57">
        <v>0.28101072712864722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44232</v>
      </c>
      <c r="E59" s="15"/>
      <c r="F59" s="16">
        <v>1.10995</v>
      </c>
      <c r="G59" s="16">
        <v>10.349080000000001</v>
      </c>
      <c r="H59" t="s">
        <v>148</v>
      </c>
      <c r="I59">
        <v>9.9153353226879605E-3</v>
      </c>
      <c r="J59">
        <v>0.92344999835124797</v>
      </c>
      <c r="K59">
        <v>7.1441848409495683E-3</v>
      </c>
      <c r="L59">
        <v>6.1388001602868487E-3</v>
      </c>
      <c r="M59">
        <v>2.7322124121781779</v>
      </c>
      <c r="N59">
        <v>1.5993502984570945E-2</v>
      </c>
      <c r="O59">
        <v>2.0930766771954303</v>
      </c>
      <c r="P59">
        <v>0.87650107972643798</v>
      </c>
      <c r="Q59">
        <v>7.5803860179609337E-3</v>
      </c>
      <c r="R59">
        <v>0.15932427231808419</v>
      </c>
      <c r="S59">
        <v>5.4977741806056942E-5</v>
      </c>
      <c r="T59">
        <v>0.15932427231808421</v>
      </c>
      <c r="U59">
        <v>1.319073819069486</v>
      </c>
      <c r="V59">
        <v>0.33629877929366825</v>
      </c>
      <c r="W59">
        <v>0.17862683018034331</v>
      </c>
      <c r="X59">
        <v>0.61142510053205423</v>
      </c>
      <c r="Y59">
        <v>0.23528518822234715</v>
      </c>
      <c r="Z59">
        <v>0.49970672282269574</v>
      </c>
    </row>
    <row r="60" spans="1:26" x14ac:dyDescent="0.2">
      <c r="A60" s="17">
        <v>10969</v>
      </c>
      <c r="B60" s="17" t="s">
        <v>186</v>
      </c>
      <c r="C60" s="17" t="s">
        <v>129</v>
      </c>
      <c r="D60" s="73">
        <v>44232</v>
      </c>
      <c r="F60" s="17">
        <v>6.4769999999999994E-2</v>
      </c>
      <c r="G60" s="75">
        <v>0.10281000000000162</v>
      </c>
      <c r="H60" t="s">
        <v>182</v>
      </c>
      <c r="I60">
        <v>1.0026902668305941E-2</v>
      </c>
      <c r="J60">
        <v>0.19893003207847879</v>
      </c>
      <c r="K60">
        <v>7.1380757793887053E-3</v>
      </c>
      <c r="L60">
        <v>1.3640503075738032E-2</v>
      </c>
      <c r="M60">
        <v>0.23922774704080635</v>
      </c>
      <c r="N60">
        <v>1.1116892553240647E-2</v>
      </c>
      <c r="O60">
        <v>0.2067105606216971</v>
      </c>
      <c r="P60">
        <v>0.52262212505219008</v>
      </c>
      <c r="Q60">
        <v>8.6473229158442796E-3</v>
      </c>
      <c r="R60">
        <v>0.44027039805243423</v>
      </c>
      <c r="S60">
        <v>6.2715841311306738E-5</v>
      </c>
      <c r="T60">
        <v>0.4402703980524344</v>
      </c>
      <c r="U60">
        <v>0.14183124319293647</v>
      </c>
      <c r="V60">
        <v>0.22961507596748917</v>
      </c>
      <c r="W60">
        <v>2.1837084046998703E-3</v>
      </c>
      <c r="X60">
        <v>0.1088186908322963</v>
      </c>
      <c r="Y60">
        <v>3.097331581406029E-4</v>
      </c>
      <c r="Z60">
        <v>0.20770371943110696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44232</v>
      </c>
      <c r="E61" s="15"/>
      <c r="F61" s="16">
        <v>1.10995</v>
      </c>
      <c r="G61" s="16">
        <v>10.349080000000001</v>
      </c>
      <c r="H61" t="s">
        <v>150</v>
      </c>
      <c r="I61">
        <v>9.8271429110711045E-3</v>
      </c>
      <c r="J61">
        <v>0.92241349979018727</v>
      </c>
      <c r="K61">
        <v>7.1409550525761353E-3</v>
      </c>
      <c r="L61">
        <v>6.8014121555878826E-3</v>
      </c>
      <c r="M61">
        <v>2.732052831016492</v>
      </c>
      <c r="N61">
        <v>1.2249837630321281E-2</v>
      </c>
      <c r="O61">
        <v>2.1034782654186004</v>
      </c>
      <c r="P61">
        <v>0.94239587835445116</v>
      </c>
      <c r="Q61">
        <v>7.590044232096734E-3</v>
      </c>
      <c r="R61">
        <v>0.17291331250162933</v>
      </c>
      <c r="S61">
        <v>5.5047789268258365E-5</v>
      </c>
      <c r="T61">
        <v>0.17291331250162956</v>
      </c>
      <c r="U61">
        <v>1.3237033399020586</v>
      </c>
      <c r="V61">
        <v>0.22667513348118726</v>
      </c>
      <c r="W61">
        <v>0.17989493192165876</v>
      </c>
      <c r="X61">
        <v>0.47929517626214696</v>
      </c>
      <c r="Y61">
        <v>0.23783936268905462</v>
      </c>
      <c r="Z61">
        <v>0.49918335071505759</v>
      </c>
    </row>
    <row r="62" spans="1:26" x14ac:dyDescent="0.2">
      <c r="A62" s="17">
        <v>10970</v>
      </c>
      <c r="B62" s="17" t="s">
        <v>187</v>
      </c>
      <c r="C62" s="17" t="s">
        <v>129</v>
      </c>
      <c r="D62" s="73">
        <v>44232</v>
      </c>
      <c r="F62" s="17">
        <v>8.3640000000000006E-2</v>
      </c>
      <c r="G62" s="75">
        <v>0.10409999999999897</v>
      </c>
      <c r="H62" t="s">
        <v>183</v>
      </c>
      <c r="I62">
        <v>1.0073021113867837E-2</v>
      </c>
      <c r="J62">
        <v>0.20836953359718025</v>
      </c>
      <c r="K62">
        <v>7.1331225888160224E-3</v>
      </c>
      <c r="L62">
        <v>8.6349314299462073E-3</v>
      </c>
      <c r="M62">
        <v>0.47594446957694264</v>
      </c>
      <c r="N62">
        <v>6.8340271597097171E-3</v>
      </c>
      <c r="O62">
        <v>0.40178350270334173</v>
      </c>
      <c r="P62">
        <v>0.27250748689440968</v>
      </c>
      <c r="Q62">
        <v>8.5097792408848766E-3</v>
      </c>
      <c r="R62">
        <v>0.22606722952017647</v>
      </c>
      <c r="S62">
        <v>6.1718287805316723E-5</v>
      </c>
      <c r="T62">
        <v>0.22606722952017563</v>
      </c>
      <c r="U62">
        <v>0.27285138432870332</v>
      </c>
      <c r="V62">
        <v>0.19447882320768889</v>
      </c>
      <c r="W62">
        <v>5.3094520103655427E-3</v>
      </c>
      <c r="X62">
        <v>0.1574681190836536</v>
      </c>
      <c r="Y62">
        <v>1.4493044298553683E-3</v>
      </c>
      <c r="Z62">
        <v>0.13777832901180595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44232</v>
      </c>
      <c r="E63" s="15"/>
      <c r="F63" s="16">
        <v>1.10995</v>
      </c>
      <c r="G63" s="16">
        <v>10.349080000000001</v>
      </c>
      <c r="H63" t="s">
        <v>152</v>
      </c>
      <c r="I63">
        <v>9.763992489936325E-3</v>
      </c>
      <c r="J63">
        <v>0.98305369140455101</v>
      </c>
      <c r="K63">
        <v>7.1414372046309186E-3</v>
      </c>
      <c r="L63">
        <v>6.4024623225081255E-3</v>
      </c>
      <c r="M63">
        <v>2.7327140207669545</v>
      </c>
      <c r="N63">
        <v>1.2714894433835132E-2</v>
      </c>
      <c r="O63">
        <v>2.1204891252405393</v>
      </c>
      <c r="P63">
        <v>1.0940459375311415</v>
      </c>
      <c r="Q63">
        <v>7.5750802067173486E-3</v>
      </c>
      <c r="R63">
        <v>0.11429595842907421</v>
      </c>
      <c r="S63">
        <v>5.4939260715525324E-5</v>
      </c>
      <c r="T63">
        <v>0.11429595842907321</v>
      </c>
      <c r="U63">
        <v>1.3179371946143204</v>
      </c>
      <c r="V63">
        <v>0.33271724115592149</v>
      </c>
      <c r="W63">
        <v>0.18058437827990403</v>
      </c>
      <c r="X63">
        <v>0.6420911264419874</v>
      </c>
      <c r="Y63">
        <v>0.23761879759318186</v>
      </c>
      <c r="Z63">
        <v>0.60990024053972125</v>
      </c>
    </row>
    <row r="64" spans="1:26" x14ac:dyDescent="0.2">
      <c r="A64" s="17">
        <v>10971</v>
      </c>
      <c r="B64" s="17" t="s">
        <v>188</v>
      </c>
      <c r="C64" s="17" t="s">
        <v>129</v>
      </c>
      <c r="D64" s="73">
        <v>44232</v>
      </c>
      <c r="F64" s="17">
        <v>9.3329999999999996E-2</v>
      </c>
      <c r="G64" s="75">
        <v>0.10335999999999856</v>
      </c>
      <c r="H64" t="s">
        <v>184</v>
      </c>
      <c r="I64">
        <v>1.0057741561397045E-2</v>
      </c>
      <c r="J64">
        <v>0.24921670320678813</v>
      </c>
      <c r="K64">
        <v>7.134223978024332E-3</v>
      </c>
      <c r="L64">
        <v>5.3763530793766818E-3</v>
      </c>
      <c r="M64">
        <v>0.96240556800817989</v>
      </c>
      <c r="N64">
        <v>4.7826005715693818E-3</v>
      </c>
      <c r="O64">
        <v>1.7218626608325953</v>
      </c>
      <c r="P64">
        <v>0.24764466066060695</v>
      </c>
      <c r="Q64">
        <v>1.798342143171754E-2</v>
      </c>
      <c r="R64">
        <v>6.1571338974497701E-2</v>
      </c>
      <c r="S64">
        <v>1.3042711781694025E-4</v>
      </c>
      <c r="T64">
        <v>6.1571338974498589E-2</v>
      </c>
      <c r="U64">
        <v>0.63364417454597066</v>
      </c>
      <c r="V64">
        <v>0.19611978321560181</v>
      </c>
      <c r="W64">
        <v>1.2180243409964242E-2</v>
      </c>
      <c r="X64">
        <v>0.15527943995061202</v>
      </c>
      <c r="Y64">
        <v>7.7231479035881562E-3</v>
      </c>
      <c r="Z64">
        <v>0.11784680486618285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44232</v>
      </c>
      <c r="E65" s="15"/>
      <c r="F65" s="16">
        <v>1.10995</v>
      </c>
      <c r="G65" s="16">
        <v>10.349080000000001</v>
      </c>
      <c r="H65" t="s">
        <v>154</v>
      </c>
      <c r="I65">
        <v>9.86138232574881E-3</v>
      </c>
      <c r="J65">
        <v>0.83574906100061741</v>
      </c>
      <c r="K65">
        <v>7.1400514332914502E-3</v>
      </c>
      <c r="L65">
        <v>6.6786880629525012E-3</v>
      </c>
      <c r="M65">
        <v>2.7322376580906198</v>
      </c>
      <c r="N65">
        <v>1.3707827344469048E-2</v>
      </c>
      <c r="O65">
        <v>2.1000867679359798</v>
      </c>
      <c r="P65">
        <v>0.88788169442682985</v>
      </c>
      <c r="Q65">
        <v>7.5819834989171372E-3</v>
      </c>
      <c r="R65">
        <v>0.14165972748005715</v>
      </c>
      <c r="S65">
        <v>5.4989327745789036E-5</v>
      </c>
      <c r="T65">
        <v>0.14165972748005792</v>
      </c>
      <c r="U65">
        <v>1.3208911163129446</v>
      </c>
      <c r="V65">
        <v>0.32670178968661606</v>
      </c>
      <c r="W65">
        <v>0.18040563357188844</v>
      </c>
      <c r="X65">
        <v>0.65928633855018537</v>
      </c>
      <c r="Y65">
        <v>0.23822904699519851</v>
      </c>
      <c r="Z65">
        <v>0.59788528842713584</v>
      </c>
    </row>
    <row r="66" spans="1:26" x14ac:dyDescent="0.2">
      <c r="A66" s="17">
        <v>10972</v>
      </c>
      <c r="B66" s="17" t="s">
        <v>189</v>
      </c>
      <c r="C66" s="17" t="s">
        <v>129</v>
      </c>
      <c r="D66" s="73">
        <v>44232</v>
      </c>
      <c r="F66" s="17">
        <v>9.6390000000000003E-2</v>
      </c>
      <c r="G66" s="75">
        <v>0.10272000000000148</v>
      </c>
      <c r="H66" t="s">
        <v>185</v>
      </c>
      <c r="I66">
        <v>1.0755979727995961E-2</v>
      </c>
      <c r="J66">
        <v>0.46794253097747068</v>
      </c>
      <c r="K66">
        <v>7.1205412640970378E-3</v>
      </c>
      <c r="L66">
        <v>1.0205371100068202E-2</v>
      </c>
      <c r="M66">
        <v>1.010714020190064</v>
      </c>
      <c r="N66">
        <v>8.4502964015115752E-3</v>
      </c>
      <c r="O66">
        <v>0.74604294564291984</v>
      </c>
      <c r="P66">
        <v>0.53836516253448707</v>
      </c>
      <c r="Q66">
        <v>7.9371526282792041E-3</v>
      </c>
      <c r="R66">
        <v>0.22521812184089821</v>
      </c>
      <c r="S66">
        <v>5.7565238345233959E-5</v>
      </c>
      <c r="T66">
        <v>0.22521812184089768</v>
      </c>
      <c r="U66">
        <v>0.53246257388008023</v>
      </c>
      <c r="V66">
        <v>0.25395723330567888</v>
      </c>
      <c r="W66">
        <v>3.4388028126801644E-4</v>
      </c>
      <c r="X66">
        <v>0.16263730498924722</v>
      </c>
      <c r="Y66">
        <v>1.8320076667625439E-4</v>
      </c>
      <c r="Z66">
        <v>0.20673289612721146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44232</v>
      </c>
      <c r="E67" s="15"/>
      <c r="F67" s="16">
        <v>1.10995</v>
      </c>
      <c r="G67" s="16">
        <v>10.349080000000001</v>
      </c>
      <c r="H67" t="s">
        <v>154</v>
      </c>
      <c r="I67">
        <v>9.86138232574881E-3</v>
      </c>
      <c r="J67">
        <v>0.83574906100061741</v>
      </c>
      <c r="K67">
        <v>7.1400514332914502E-3</v>
      </c>
      <c r="L67">
        <v>6.6786880629525012E-3</v>
      </c>
      <c r="M67">
        <v>2.7322376580906198</v>
      </c>
      <c r="N67">
        <v>1.3707827344469048E-2</v>
      </c>
      <c r="O67">
        <v>2.1000867679359798</v>
      </c>
      <c r="P67">
        <v>0.88788169442682985</v>
      </c>
      <c r="Q67">
        <v>7.5819834989171372E-3</v>
      </c>
      <c r="R67">
        <v>0.14165972748005715</v>
      </c>
      <c r="S67">
        <v>5.4989327745789036E-5</v>
      </c>
      <c r="T67">
        <v>0.14165972748005792</v>
      </c>
      <c r="U67">
        <v>1.3208911163129446</v>
      </c>
      <c r="V67">
        <v>0.32670178968661606</v>
      </c>
      <c r="W67">
        <v>0.18040563357188844</v>
      </c>
      <c r="X67">
        <v>0.65928633855018537</v>
      </c>
      <c r="Y67">
        <v>0.23822904699519851</v>
      </c>
      <c r="Z67">
        <v>0.59788528842713584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44235</v>
      </c>
      <c r="E69" s="15"/>
      <c r="F69" s="16">
        <v>1.10995</v>
      </c>
      <c r="G69" s="16">
        <v>10.349080000000001</v>
      </c>
      <c r="H69" t="s">
        <v>148</v>
      </c>
      <c r="I69">
        <v>9.9152228129835186E-3</v>
      </c>
      <c r="J69">
        <v>0.52862250657224186</v>
      </c>
      <c r="K69">
        <v>7.1480200942273626E-3</v>
      </c>
      <c r="L69">
        <v>5.9603834066839475E-3</v>
      </c>
      <c r="M69">
        <v>2.7320521600045615</v>
      </c>
      <c r="N69">
        <v>8.4727937598682978E-3</v>
      </c>
      <c r="O69">
        <v>2.0861647882786394</v>
      </c>
      <c r="P69">
        <v>0.54109185051071385</v>
      </c>
      <c r="Q69">
        <v>7.5692005918141254E-3</v>
      </c>
      <c r="R69">
        <v>9.2136069180152824E-2</v>
      </c>
      <c r="S69">
        <v>5.4896618038846017E-5</v>
      </c>
      <c r="T69">
        <v>9.2136069180153352E-2</v>
      </c>
      <c r="U69">
        <v>1.3244220250629559</v>
      </c>
      <c r="V69">
        <v>0.19095609723729751</v>
      </c>
      <c r="W69">
        <v>0.1832864684351144</v>
      </c>
      <c r="X69">
        <v>0.26009362063283614</v>
      </c>
      <c r="Y69">
        <v>0.24250319528394329</v>
      </c>
      <c r="Z69">
        <v>0.24657493927475763</v>
      </c>
    </row>
    <row r="70" spans="1:26" x14ac:dyDescent="0.2">
      <c r="A70" s="17">
        <v>10900</v>
      </c>
      <c r="B70" s="17" t="s">
        <v>190</v>
      </c>
      <c r="C70" s="17" t="s">
        <v>129</v>
      </c>
      <c r="D70" s="73">
        <v>44235</v>
      </c>
      <c r="F70" s="17">
        <v>9.5549999999999996E-2</v>
      </c>
      <c r="G70" s="75">
        <v>0.1049900000000008</v>
      </c>
      <c r="H70" t="s">
        <v>193</v>
      </c>
      <c r="I70">
        <v>9.9595930991974811E-3</v>
      </c>
      <c r="J70">
        <v>0.37397764747500978</v>
      </c>
      <c r="K70">
        <v>7.1377379667071101E-3</v>
      </c>
      <c r="L70">
        <v>2.4362093395318535E-3</v>
      </c>
      <c r="M70">
        <v>7.9635882863128744</v>
      </c>
      <c r="N70">
        <v>5.4328898327901205E-3</v>
      </c>
      <c r="O70">
        <v>5.8108288673975057</v>
      </c>
      <c r="P70">
        <v>0.35976762127143713</v>
      </c>
      <c r="Q70">
        <v>7.2634067039782629E-3</v>
      </c>
      <c r="R70">
        <v>3.1452778756215792E-2</v>
      </c>
      <c r="S70">
        <v>5.267880784138685E-5</v>
      </c>
      <c r="T70">
        <v>3.1452778756216222E-2</v>
      </c>
      <c r="U70">
        <v>3.4388882138786991</v>
      </c>
      <c r="V70">
        <v>0.1551420923640395</v>
      </c>
      <c r="W70">
        <v>6.4032094001764794E-2</v>
      </c>
      <c r="X70">
        <v>0.2188150645981132</v>
      </c>
      <c r="Y70">
        <v>0.22009396921018112</v>
      </c>
      <c r="Z70">
        <v>0.14252818065588641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44235</v>
      </c>
      <c r="E71" s="15"/>
      <c r="F71" s="16">
        <v>1.10995</v>
      </c>
      <c r="G71" s="16">
        <v>10.349080000000001</v>
      </c>
      <c r="H71" t="s">
        <v>150</v>
      </c>
      <c r="I71">
        <v>9.8653626122594939E-3</v>
      </c>
      <c r="J71">
        <v>0.43045242439888498</v>
      </c>
      <c r="K71">
        <v>7.1441342559514977E-3</v>
      </c>
      <c r="L71">
        <v>5.2462368736337786E-3</v>
      </c>
      <c r="M71">
        <v>2.7322361973048124</v>
      </c>
      <c r="N71">
        <v>7.5745824461977964E-3</v>
      </c>
      <c r="O71">
        <v>2.0973681572101399</v>
      </c>
      <c r="P71">
        <v>0.45767154633439183</v>
      </c>
      <c r="Q71">
        <v>7.5790101724949712E-3</v>
      </c>
      <c r="R71">
        <v>0.10685373217453034</v>
      </c>
      <c r="S71">
        <v>5.496776330672805E-5</v>
      </c>
      <c r="T71">
        <v>0.10685373217452911</v>
      </c>
      <c r="U71">
        <v>1.3219772881056278</v>
      </c>
      <c r="V71">
        <v>0.26833720168885644</v>
      </c>
      <c r="W71">
        <v>0.18412105508266138</v>
      </c>
      <c r="X71">
        <v>0.37873686506478388</v>
      </c>
      <c r="Y71">
        <v>0.24332899700290575</v>
      </c>
      <c r="Z71">
        <v>0.3042467425887071</v>
      </c>
    </row>
    <row r="72" spans="1:26" x14ac:dyDescent="0.2">
      <c r="A72" s="17">
        <v>10901</v>
      </c>
      <c r="B72" s="17" t="s">
        <v>191</v>
      </c>
      <c r="C72" s="17" t="s">
        <v>129</v>
      </c>
      <c r="D72" s="73">
        <v>44235</v>
      </c>
      <c r="F72" s="17">
        <v>9.6240000000000006E-2</v>
      </c>
      <c r="G72" s="75">
        <v>0.10162000000000049</v>
      </c>
      <c r="H72" t="s">
        <v>194</v>
      </c>
      <c r="I72">
        <v>9.9738835004255077E-3</v>
      </c>
      <c r="J72">
        <v>0.23844925385479382</v>
      </c>
      <c r="K72">
        <v>7.142574236078717E-3</v>
      </c>
      <c r="L72">
        <v>2.3347182867053283E-3</v>
      </c>
      <c r="M72">
        <v>6.2687908749422352</v>
      </c>
      <c r="N72">
        <v>4.2531962058940352E-3</v>
      </c>
      <c r="O72">
        <v>4.5987605766392248</v>
      </c>
      <c r="P72">
        <v>0.23482069650448034</v>
      </c>
      <c r="Q72">
        <v>7.3189360345794078E-3</v>
      </c>
      <c r="R72">
        <v>4.0506198318782938E-2</v>
      </c>
      <c r="S72">
        <v>5.3081541579908844E-5</v>
      </c>
      <c r="T72">
        <v>4.0506198318782737E-2</v>
      </c>
      <c r="U72">
        <v>2.5946445112501397</v>
      </c>
      <c r="V72">
        <v>0.16653359865232151</v>
      </c>
      <c r="W72">
        <v>1.6757751801057801E-2</v>
      </c>
      <c r="X72">
        <v>0.16244687709366606</v>
      </c>
      <c r="Y72">
        <v>4.3479803426175738E-2</v>
      </c>
      <c r="Z72">
        <v>7.4041145199341865E-2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44235</v>
      </c>
      <c r="E73" s="15"/>
      <c r="F73" s="16">
        <v>1.10995</v>
      </c>
      <c r="G73" s="16">
        <v>10.349080000000001</v>
      </c>
      <c r="H73" t="s">
        <v>152</v>
      </c>
      <c r="I73">
        <v>9.8513811563840439E-3</v>
      </c>
      <c r="J73">
        <v>0.60296912327790519</v>
      </c>
      <c r="K73">
        <v>7.1440071478217739E-3</v>
      </c>
      <c r="L73">
        <v>5.4397496701663866E-3</v>
      </c>
      <c r="M73">
        <v>2.7320794723225816</v>
      </c>
      <c r="N73">
        <v>1.0229897638392403E-2</v>
      </c>
      <c r="O73">
        <v>2.1046318230856182</v>
      </c>
      <c r="P73">
        <v>0.54434866186304254</v>
      </c>
      <c r="Q73">
        <v>7.5737333050881891E-3</v>
      </c>
      <c r="R73">
        <v>0.11334086062604336</v>
      </c>
      <c r="S73">
        <v>5.4929492135161388E-5</v>
      </c>
      <c r="T73">
        <v>0.11334086062604354</v>
      </c>
      <c r="U73">
        <v>1.3229604160942396</v>
      </c>
      <c r="V73">
        <v>0.23426434281270614</v>
      </c>
      <c r="W73">
        <v>0.18378317875426436</v>
      </c>
      <c r="X73">
        <v>0.36777656898615729</v>
      </c>
      <c r="Y73">
        <v>0.24335368326991388</v>
      </c>
      <c r="Z73">
        <v>0.22614442195519127</v>
      </c>
    </row>
    <row r="74" spans="1:26" x14ac:dyDescent="0.2">
      <c r="A74" s="17">
        <v>10902</v>
      </c>
      <c r="B74" s="17" t="s">
        <v>192</v>
      </c>
      <c r="C74" s="17" t="s">
        <v>129</v>
      </c>
      <c r="D74" s="73">
        <v>44235</v>
      </c>
      <c r="F74" s="17">
        <v>9.3340000000000006E-2</v>
      </c>
      <c r="G74" s="75">
        <v>0.10313000000000017</v>
      </c>
      <c r="H74" t="s">
        <v>195</v>
      </c>
      <c r="I74">
        <v>9.9537587145678355E-3</v>
      </c>
      <c r="J74">
        <v>0.25449632317649645</v>
      </c>
      <c r="K74">
        <v>7.1427974158991608E-3</v>
      </c>
      <c r="L74">
        <v>2.110237499041507E-3</v>
      </c>
      <c r="M74">
        <v>7.0531241234451167</v>
      </c>
      <c r="N74">
        <v>5.1526030352327164E-3</v>
      </c>
      <c r="O74">
        <v>5.1819039707833809</v>
      </c>
      <c r="P74">
        <v>0.26201702032132135</v>
      </c>
      <c r="Q74">
        <v>7.3157499959289685E-3</v>
      </c>
      <c r="R74">
        <v>4.1919314662995394E-2</v>
      </c>
      <c r="S74">
        <v>5.3058434417569963E-5</v>
      </c>
      <c r="T74">
        <v>4.1919314662995588E-2</v>
      </c>
      <c r="U74">
        <v>3.1200212867773578</v>
      </c>
      <c r="V74">
        <v>0.13072021311291748</v>
      </c>
      <c r="W74">
        <v>7.1937263857313194E-2</v>
      </c>
      <c r="X74">
        <v>0.16211507238740602</v>
      </c>
      <c r="Y74">
        <v>0.22450426110509883</v>
      </c>
      <c r="Z74">
        <v>7.4342581823688372E-2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44235</v>
      </c>
      <c r="E75" s="15"/>
      <c r="F75" s="16">
        <v>1.10995</v>
      </c>
      <c r="G75" s="16">
        <v>10.349080000000001</v>
      </c>
      <c r="H75" t="s">
        <v>154</v>
      </c>
      <c r="I75">
        <v>9.9282948033389672E-3</v>
      </c>
      <c r="J75">
        <v>0.5481533215950396</v>
      </c>
      <c r="K75">
        <v>7.1446307137397582E-3</v>
      </c>
      <c r="L75">
        <v>4.4942426713686003E-3</v>
      </c>
      <c r="M75">
        <v>2.7318319345904993</v>
      </c>
      <c r="N75">
        <v>1.0106282359422514E-2</v>
      </c>
      <c r="O75">
        <v>2.0874530748287166</v>
      </c>
      <c r="P75">
        <v>0.5339886891657919</v>
      </c>
      <c r="Q75">
        <v>7.5841713123822353E-3</v>
      </c>
      <c r="R75">
        <v>0.10850398231691188</v>
      </c>
      <c r="S75">
        <v>5.5005195149311613E-5</v>
      </c>
      <c r="T75">
        <v>0.10850398231691114</v>
      </c>
      <c r="U75">
        <v>1.3246469915875583</v>
      </c>
      <c r="V75">
        <v>0.20347981082415018</v>
      </c>
      <c r="W75">
        <v>0.18342541795364739</v>
      </c>
      <c r="X75">
        <v>0.29327259609760808</v>
      </c>
      <c r="Y75">
        <v>0.24314066673033266</v>
      </c>
      <c r="Z75">
        <v>0.30585437495238338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44251</v>
      </c>
      <c r="E77" s="15"/>
      <c r="F77" s="16">
        <v>1.10995</v>
      </c>
      <c r="G77" s="16">
        <v>10.349080000000001</v>
      </c>
      <c r="H77" t="s">
        <v>196</v>
      </c>
      <c r="I77">
        <v>9.9783357387725081E-3</v>
      </c>
      <c r="J77">
        <v>1.0438431872082075</v>
      </c>
      <c r="K77">
        <v>7.1413728544321891E-3</v>
      </c>
      <c r="L77">
        <v>7.5490358967925664E-3</v>
      </c>
      <c r="M77">
        <v>2.732139864506657</v>
      </c>
      <c r="N77">
        <v>1.3293798867192511E-2</v>
      </c>
      <c r="O77">
        <v>2.0689831391662437</v>
      </c>
      <c r="P77">
        <v>1.124297978347536</v>
      </c>
      <c r="Q77">
        <v>7.5773954542696339E-3</v>
      </c>
      <c r="R77">
        <v>0.17614400852032353</v>
      </c>
      <c r="S77">
        <v>5.495605235144535E-5</v>
      </c>
      <c r="T77">
        <v>0.17614400852032361</v>
      </c>
      <c r="U77">
        <v>1.3233120855897855</v>
      </c>
      <c r="V77">
        <v>0.37160417764776205</v>
      </c>
      <c r="W77">
        <v>0.17532963633984902</v>
      </c>
      <c r="X77">
        <v>0.50635781025638016</v>
      </c>
      <c r="Y77">
        <v>0.23196466373891239</v>
      </c>
      <c r="Z77">
        <v>0.45185985087254382</v>
      </c>
    </row>
    <row r="78" spans="1:26" x14ac:dyDescent="0.2">
      <c r="A78" s="17">
        <v>10982</v>
      </c>
      <c r="B78" s="17" t="s">
        <v>202</v>
      </c>
      <c r="C78" s="17" t="s">
        <v>129</v>
      </c>
      <c r="D78" s="73">
        <v>44251</v>
      </c>
      <c r="E78" s="74">
        <v>18</v>
      </c>
      <c r="F78" s="17">
        <v>0.14013999999999999</v>
      </c>
      <c r="G78" s="75">
        <v>0.10125000000000028</v>
      </c>
      <c r="H78" t="s">
        <v>197</v>
      </c>
      <c r="I78">
        <v>9.9992855756897668E-3</v>
      </c>
      <c r="J78">
        <v>0.38192847161910598</v>
      </c>
      <c r="K78">
        <v>7.1247070372459573E-3</v>
      </c>
      <c r="L78">
        <v>7.7609533149569487E-3</v>
      </c>
      <c r="M78">
        <v>4.4784551615035451</v>
      </c>
      <c r="N78">
        <v>6.1693322075032668E-3</v>
      </c>
      <c r="O78">
        <v>3.4148381356439894</v>
      </c>
      <c r="P78">
        <v>0.37971939856887582</v>
      </c>
      <c r="Q78">
        <v>7.6279299889253534E-3</v>
      </c>
      <c r="R78">
        <v>6.2202957336351415E-2</v>
      </c>
      <c r="S78">
        <v>5.5322560678594959E-5</v>
      </c>
      <c r="T78">
        <v>6.2202957336351603E-2</v>
      </c>
      <c r="U78">
        <v>2.042010352436497E-2</v>
      </c>
      <c r="V78">
        <v>1.0144802352020754</v>
      </c>
      <c r="W78">
        <v>3.9068143235913774E-2</v>
      </c>
      <c r="X78">
        <v>0.21006210046945864</v>
      </c>
      <c r="Y78">
        <v>7.9608049627092551E-4</v>
      </c>
      <c r="Z78">
        <v>1.0152766865961349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44251</v>
      </c>
      <c r="E79" s="15"/>
      <c r="F79" s="16">
        <v>1.10995</v>
      </c>
      <c r="G79" s="16">
        <v>10.349080000000001</v>
      </c>
      <c r="H79" t="s">
        <v>198</v>
      </c>
      <c r="I79">
        <v>9.8470063239223388E-3</v>
      </c>
      <c r="J79">
        <v>0.87686414553443881</v>
      </c>
      <c r="K79">
        <v>7.1335285325544468E-3</v>
      </c>
      <c r="L79">
        <v>6.9372917151782404E-3</v>
      </c>
      <c r="M79">
        <v>2.7324317617422818</v>
      </c>
      <c r="N79">
        <v>1.1947183311699836E-2</v>
      </c>
      <c r="O79">
        <v>2.1049407809619209</v>
      </c>
      <c r="P79">
        <v>0.79461953925661388</v>
      </c>
      <c r="Q79">
        <v>7.5715981132429208E-3</v>
      </c>
      <c r="R79">
        <v>0.18298369398498182</v>
      </c>
      <c r="S79">
        <v>5.4914006376824351E-5</v>
      </c>
      <c r="T79">
        <v>0.18298369398498054</v>
      </c>
      <c r="U79">
        <v>1.3243197510448919</v>
      </c>
      <c r="V79">
        <v>0.3275696868086469</v>
      </c>
      <c r="W79">
        <v>0.17832536514778108</v>
      </c>
      <c r="X79">
        <v>0.62142866524205953</v>
      </c>
      <c r="Y79">
        <v>0.23607761200007871</v>
      </c>
      <c r="Z79">
        <v>0.52900873239527202</v>
      </c>
    </row>
    <row r="80" spans="1:26" x14ac:dyDescent="0.2">
      <c r="A80" s="17">
        <v>10983</v>
      </c>
      <c r="B80" s="17" t="s">
        <v>203</v>
      </c>
      <c r="C80" s="17" t="s">
        <v>129</v>
      </c>
      <c r="D80" s="73">
        <v>44251</v>
      </c>
      <c r="E80" s="74">
        <v>28</v>
      </c>
      <c r="F80" s="17">
        <v>9.2520000000000005E-2</v>
      </c>
      <c r="G80" s="75">
        <v>0.10293000000000063</v>
      </c>
      <c r="H80" t="s">
        <v>199</v>
      </c>
      <c r="I80">
        <v>1.0031588875496105E-2</v>
      </c>
      <c r="J80">
        <v>0.34798165819937682</v>
      </c>
      <c r="K80">
        <v>7.1257504952672119E-3</v>
      </c>
      <c r="L80">
        <v>4.6592756480228013E-3</v>
      </c>
      <c r="M80">
        <v>1.4261232664768839</v>
      </c>
      <c r="N80">
        <v>6.4820745607697032E-3</v>
      </c>
      <c r="O80">
        <v>1.0875454753697258</v>
      </c>
      <c r="P80">
        <v>0.37416451492830588</v>
      </c>
      <c r="Q80">
        <v>7.641099409494743E-3</v>
      </c>
      <c r="R80">
        <v>0.12351398031144192</v>
      </c>
      <c r="S80">
        <v>5.5418073625044385E-5</v>
      </c>
      <c r="T80">
        <v>0.12351398031144126</v>
      </c>
      <c r="U80">
        <v>9.0881997372774491E-3</v>
      </c>
      <c r="V80">
        <v>1.0579052316011024</v>
      </c>
      <c r="W80">
        <v>1.4391763773691418E-2</v>
      </c>
      <c r="X80">
        <v>0.15683454714828438</v>
      </c>
      <c r="Y80">
        <v>1.3054853820918501E-4</v>
      </c>
      <c r="Z80">
        <v>1.0814643699285027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44251</v>
      </c>
      <c r="E81" s="15"/>
      <c r="F81" s="16">
        <v>1.10995</v>
      </c>
      <c r="G81" s="16">
        <v>10.349080000000001</v>
      </c>
      <c r="H81" t="s">
        <v>200</v>
      </c>
      <c r="I81">
        <v>9.9621828602061424E-3</v>
      </c>
      <c r="J81">
        <v>0.86673417863847335</v>
      </c>
      <c r="K81">
        <v>7.1320541595441172E-3</v>
      </c>
      <c r="L81">
        <v>7.4838065114566088E-3</v>
      </c>
      <c r="M81">
        <v>2.7318365941546885</v>
      </c>
      <c r="N81">
        <v>1.5139091391427724E-2</v>
      </c>
      <c r="O81">
        <v>2.0833253204151454</v>
      </c>
      <c r="P81">
        <v>0.93438188819543</v>
      </c>
      <c r="Q81">
        <v>7.5828564708036832E-3</v>
      </c>
      <c r="R81">
        <v>0.20097966750650784</v>
      </c>
      <c r="S81">
        <v>5.4995659088661101E-5</v>
      </c>
      <c r="T81">
        <v>0.20097966750650781</v>
      </c>
      <c r="U81">
        <v>1.3242608478256424</v>
      </c>
      <c r="V81">
        <v>0.27567764604139278</v>
      </c>
      <c r="W81">
        <v>0.17810147590491793</v>
      </c>
      <c r="X81">
        <v>0.51816547064176088</v>
      </c>
      <c r="Y81">
        <v>0.23588805261799162</v>
      </c>
      <c r="Z81">
        <v>0.4628660165397035</v>
      </c>
    </row>
    <row r="82" spans="1:26" x14ac:dyDescent="0.2">
      <c r="A82" s="17">
        <v>10984</v>
      </c>
      <c r="B82" s="17" t="s">
        <v>204</v>
      </c>
      <c r="C82" s="17" t="s">
        <v>129</v>
      </c>
      <c r="D82" s="73">
        <v>44251</v>
      </c>
      <c r="E82" s="74" t="s">
        <v>205</v>
      </c>
      <c r="F82" s="17">
        <v>8.3909999999999998E-2</v>
      </c>
      <c r="G82" s="75">
        <v>0.10150000000000001</v>
      </c>
      <c r="H82" t="s">
        <v>201</v>
      </c>
      <c r="I82">
        <v>1.003200531446676E-2</v>
      </c>
      <c r="J82">
        <v>0.29561401432246565</v>
      </c>
      <c r="K82">
        <v>7.1287489543775595E-3</v>
      </c>
      <c r="L82">
        <v>3.6229996217255851E-3</v>
      </c>
      <c r="M82">
        <v>1.8769965924514647</v>
      </c>
      <c r="N82">
        <v>5.7513738568480783E-3</v>
      </c>
      <c r="O82">
        <v>1.4312467151161776</v>
      </c>
      <c r="P82">
        <v>0.31723094615001535</v>
      </c>
      <c r="Q82">
        <v>7.6489987553990868E-3</v>
      </c>
      <c r="R82">
        <v>9.0499628097825233E-2</v>
      </c>
      <c r="S82">
        <v>5.5475364665175667E-5</v>
      </c>
      <c r="T82">
        <v>9.0499628097825052E-2</v>
      </c>
      <c r="U82">
        <v>2.1148968522469645E-2</v>
      </c>
      <c r="V82">
        <v>0.79855120386371303</v>
      </c>
      <c r="W82">
        <v>8.9073816143770308E-3</v>
      </c>
      <c r="X82">
        <v>0.18746463032751498</v>
      </c>
      <c r="Y82">
        <v>1.880803660097958E-4</v>
      </c>
      <c r="Z82">
        <v>0.73754763708348325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44251</v>
      </c>
      <c r="E83" s="15"/>
      <c r="F83" s="16">
        <v>1.10995</v>
      </c>
      <c r="G83" s="16">
        <v>10.349080000000001</v>
      </c>
      <c r="H83" t="s">
        <v>200</v>
      </c>
      <c r="I83">
        <v>9.9621828602061424E-3</v>
      </c>
      <c r="J83">
        <v>0.86673417863847335</v>
      </c>
      <c r="K83">
        <v>7.1320541595441172E-3</v>
      </c>
      <c r="L83">
        <v>7.4838065114566088E-3</v>
      </c>
      <c r="M83">
        <v>2.7318365941546885</v>
      </c>
      <c r="N83">
        <v>1.5139091391427724E-2</v>
      </c>
      <c r="O83">
        <v>2.0833253204151454</v>
      </c>
      <c r="P83">
        <v>0.93438188819543</v>
      </c>
      <c r="Q83">
        <v>7.5828564708036832E-3</v>
      </c>
      <c r="R83">
        <v>0.20097966750650784</v>
      </c>
      <c r="S83">
        <v>5.4995659088661101E-5</v>
      </c>
      <c r="T83">
        <v>0.20097966750650781</v>
      </c>
      <c r="U83">
        <v>1.3242608478256424</v>
      </c>
      <c r="V83">
        <v>0.27567764604139278</v>
      </c>
      <c r="W83">
        <v>0.17810147590491793</v>
      </c>
      <c r="X83">
        <v>0.51816547064176088</v>
      </c>
      <c r="Y83">
        <v>0.23588805261799162</v>
      </c>
      <c r="Z83">
        <v>0.4628660165397035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44252</v>
      </c>
      <c r="E85" s="15"/>
      <c r="F85" s="16">
        <v>1.10995</v>
      </c>
      <c r="G85" s="16">
        <v>10.349080000000001</v>
      </c>
      <c r="H85" t="s">
        <v>196</v>
      </c>
      <c r="I85">
        <v>9.9615350047145106E-3</v>
      </c>
      <c r="J85">
        <v>0.87475833113775248</v>
      </c>
      <c r="K85">
        <v>7.1357168131298511E-3</v>
      </c>
      <c r="L85">
        <v>5.1072892602806704E-3</v>
      </c>
      <c r="M85">
        <v>2.7322223572366382</v>
      </c>
      <c r="N85">
        <v>1.0580419907706145E-2</v>
      </c>
      <c r="O85">
        <v>2.0805476862180652</v>
      </c>
      <c r="P85">
        <v>0.85942343476148464</v>
      </c>
      <c r="Q85">
        <v>7.5736574093856011E-3</v>
      </c>
      <c r="R85">
        <v>0.15082357114597705</v>
      </c>
      <c r="S85">
        <v>5.4928941691644259E-5</v>
      </c>
      <c r="T85">
        <v>0.15082357114597683</v>
      </c>
      <c r="U85">
        <v>1.3212152460970041</v>
      </c>
      <c r="V85">
        <v>0.30594543676490049</v>
      </c>
      <c r="W85">
        <v>0.17748951963493348</v>
      </c>
      <c r="X85">
        <v>0.52157711253231664</v>
      </c>
      <c r="Y85">
        <v>0.23432556841658242</v>
      </c>
      <c r="Z85">
        <v>0.51886177945716427</v>
      </c>
    </row>
    <row r="86" spans="1:26" x14ac:dyDescent="0.2">
      <c r="A86" s="17">
        <v>10973</v>
      </c>
      <c r="B86" s="17" t="s">
        <v>217</v>
      </c>
      <c r="C86" s="17" t="s">
        <v>129</v>
      </c>
      <c r="D86" s="73">
        <v>44252</v>
      </c>
      <c r="E86" s="74">
        <v>19</v>
      </c>
      <c r="F86" s="17">
        <v>9.3140000000000001E-2</v>
      </c>
      <c r="G86" s="75">
        <v>0.10533000000000037</v>
      </c>
      <c r="H86" t="s">
        <v>206</v>
      </c>
      <c r="I86">
        <v>1.0047005659482256E-2</v>
      </c>
      <c r="J86">
        <v>0.21077444968089701</v>
      </c>
      <c r="K86">
        <v>7.1301696169311255E-3</v>
      </c>
      <c r="L86">
        <v>3.7609198117273803E-3</v>
      </c>
      <c r="M86">
        <v>1.9506100286470975</v>
      </c>
      <c r="N86">
        <v>4.0250589699187518E-3</v>
      </c>
      <c r="O86">
        <v>1.4885936629198424</v>
      </c>
      <c r="P86">
        <v>0.23226041235805173</v>
      </c>
      <c r="Q86">
        <v>7.6686940050686107E-3</v>
      </c>
      <c r="R86">
        <v>6.5876692532239975E-2</v>
      </c>
      <c r="S86">
        <v>5.5618207041351689E-5</v>
      </c>
      <c r="T86">
        <v>6.5876692532239475E-2</v>
      </c>
      <c r="U86">
        <v>3.7873014641726663E-3</v>
      </c>
      <c r="V86">
        <v>1.6108382377819614</v>
      </c>
      <c r="W86">
        <v>0.39030218040009623</v>
      </c>
      <c r="X86">
        <v>0.48497772031138248</v>
      </c>
      <c r="Y86">
        <v>1.478495386609883E-3</v>
      </c>
      <c r="Z86">
        <v>1.7541892603403317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44252</v>
      </c>
      <c r="E87" s="15"/>
      <c r="F87" s="16">
        <v>1.10995</v>
      </c>
      <c r="G87" s="16">
        <v>10.349080000000001</v>
      </c>
      <c r="H87" t="s">
        <v>198</v>
      </c>
      <c r="I87">
        <v>9.956406450995681E-3</v>
      </c>
      <c r="J87">
        <v>1.0174848871927789</v>
      </c>
      <c r="K87">
        <v>7.1330817398706373E-3</v>
      </c>
      <c r="L87">
        <v>6.2241214673954383E-3</v>
      </c>
      <c r="M87">
        <v>2.731821509510151</v>
      </c>
      <c r="N87">
        <v>1.0388357606570614E-2</v>
      </c>
      <c r="O87">
        <v>2.0735014593464181</v>
      </c>
      <c r="P87">
        <v>1.0645539182073889</v>
      </c>
      <c r="Q87">
        <v>7.5601018339307305E-3</v>
      </c>
      <c r="R87">
        <v>0.15374150046651144</v>
      </c>
      <c r="S87">
        <v>5.4830628106343394E-5</v>
      </c>
      <c r="T87">
        <v>0.15374150046651092</v>
      </c>
      <c r="U87">
        <v>1.3229042400435049</v>
      </c>
      <c r="V87">
        <v>0.29625857556394686</v>
      </c>
      <c r="W87">
        <v>0.17851867281868841</v>
      </c>
      <c r="X87">
        <v>0.38101387097390677</v>
      </c>
      <c r="Y87">
        <v>0.23585189659219874</v>
      </c>
      <c r="Z87">
        <v>0.37916941196824894</v>
      </c>
    </row>
    <row r="88" spans="1:26" x14ac:dyDescent="0.2">
      <c r="A88" s="17">
        <v>10974</v>
      </c>
      <c r="B88" s="17" t="s">
        <v>218</v>
      </c>
      <c r="C88" s="17" t="s">
        <v>129</v>
      </c>
      <c r="D88" s="73">
        <v>44252</v>
      </c>
      <c r="E88" s="74">
        <v>52</v>
      </c>
      <c r="F88" s="17">
        <v>0.12002</v>
      </c>
      <c r="G88" s="75">
        <v>0.10131000000000157</v>
      </c>
      <c r="H88" t="s">
        <v>207</v>
      </c>
      <c r="I88">
        <v>1.0038362781450334E-2</v>
      </c>
      <c r="J88">
        <v>0.26827389578990668</v>
      </c>
      <c r="K88">
        <v>7.1294147825146925E-3</v>
      </c>
      <c r="L88">
        <v>2.6236277553485137E-3</v>
      </c>
      <c r="M88">
        <v>2.1590690336961664</v>
      </c>
      <c r="N88">
        <v>4.9717707084579923E-3</v>
      </c>
      <c r="O88">
        <v>1.6473468005037861</v>
      </c>
      <c r="P88">
        <v>0.29436005861304176</v>
      </c>
      <c r="Q88">
        <v>7.6590149810970148E-3</v>
      </c>
      <c r="R88">
        <v>8.4135203910756809E-2</v>
      </c>
      <c r="S88">
        <v>5.5548008653092251E-5</v>
      </c>
      <c r="T88">
        <v>8.413520391075667E-2</v>
      </c>
      <c r="U88">
        <v>7.9512830023876647E-3</v>
      </c>
      <c r="V88">
        <v>0.97109217028231098</v>
      </c>
      <c r="W88">
        <v>0.19274450903727808</v>
      </c>
      <c r="X88">
        <v>0.29256981835487111</v>
      </c>
      <c r="Y88">
        <v>1.5285249673888013E-3</v>
      </c>
      <c r="Z88">
        <v>1.0198922622912054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44252</v>
      </c>
      <c r="E89" s="15"/>
      <c r="F89" s="16">
        <v>1.10995</v>
      </c>
      <c r="G89" s="16">
        <v>10.349080000000001</v>
      </c>
      <c r="H89" t="s">
        <v>200</v>
      </c>
      <c r="I89">
        <v>9.7780532161328027E-3</v>
      </c>
      <c r="J89">
        <v>0.96135343939404116</v>
      </c>
      <c r="K89">
        <v>7.1327039201444344E-3</v>
      </c>
      <c r="L89">
        <v>6.0834815919617001E-3</v>
      </c>
      <c r="M89">
        <v>2.7316378613512997</v>
      </c>
      <c r="N89">
        <v>1.178402758572473E-2</v>
      </c>
      <c r="O89">
        <v>2.1198429614448568</v>
      </c>
      <c r="P89">
        <v>0.98745823739109884</v>
      </c>
      <c r="Q89">
        <v>7.5833447175090735E-3</v>
      </c>
      <c r="R89">
        <v>0.14926433222564847</v>
      </c>
      <c r="S89">
        <v>5.4999200161799482E-5</v>
      </c>
      <c r="T89">
        <v>0.14926433222564781</v>
      </c>
      <c r="U89">
        <v>1.3212718660293099</v>
      </c>
      <c r="V89">
        <v>0.28519416042222778</v>
      </c>
      <c r="W89">
        <v>0.17802909918034268</v>
      </c>
      <c r="X89">
        <v>0.50342236541177254</v>
      </c>
      <c r="Y89">
        <v>0.23468203373973456</v>
      </c>
      <c r="Z89">
        <v>0.43578796866982383</v>
      </c>
    </row>
    <row r="90" spans="1:26" x14ac:dyDescent="0.2">
      <c r="A90" s="17">
        <v>10975</v>
      </c>
      <c r="B90" s="17" t="s">
        <v>219</v>
      </c>
      <c r="C90" s="17" t="s">
        <v>129</v>
      </c>
      <c r="D90" s="73">
        <v>44252</v>
      </c>
      <c r="E90" s="74">
        <v>69</v>
      </c>
      <c r="F90" s="17">
        <v>0.11812</v>
      </c>
      <c r="G90" s="75">
        <v>0.10441999999999929</v>
      </c>
      <c r="H90" t="s">
        <v>208</v>
      </c>
      <c r="I90">
        <v>1.0069048775263848E-2</v>
      </c>
      <c r="J90">
        <v>0.26015093956128449</v>
      </c>
      <c r="K90">
        <v>7.1305675057183977E-3</v>
      </c>
      <c r="L90">
        <v>3.1174736342187309E-3</v>
      </c>
      <c r="M90">
        <v>2.2093651405425705</v>
      </c>
      <c r="N90">
        <v>5.6653465980029787E-3</v>
      </c>
      <c r="O90">
        <v>1.6824084844101703</v>
      </c>
      <c r="P90">
        <v>0.26458960281691474</v>
      </c>
      <c r="Q90">
        <v>7.6661941969814506E-3</v>
      </c>
      <c r="R90">
        <v>6.5321054513123866E-2</v>
      </c>
      <c r="S90">
        <v>5.5600076855995028E-5</v>
      </c>
      <c r="T90">
        <v>6.5321054513123478E-2</v>
      </c>
      <c r="U90">
        <v>8.776441438506177E-3</v>
      </c>
      <c r="V90">
        <v>1.0050458897192036</v>
      </c>
      <c r="W90">
        <v>0.18855260508456814</v>
      </c>
      <c r="X90">
        <v>0.26300728565984116</v>
      </c>
      <c r="Y90">
        <v>1.6499973448904904E-3</v>
      </c>
      <c r="Z90">
        <v>1.0847425452400072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44252</v>
      </c>
      <c r="E91" s="15"/>
      <c r="F91" s="16">
        <v>1.10995</v>
      </c>
      <c r="G91" s="16">
        <v>10.349080000000001</v>
      </c>
      <c r="H91" t="s">
        <v>209</v>
      </c>
      <c r="I91">
        <v>9.8666027635368591E-3</v>
      </c>
      <c r="J91">
        <v>1.1140490763165676</v>
      </c>
      <c r="K91">
        <v>7.13252661400868E-3</v>
      </c>
      <c r="L91">
        <v>5.3674311186443797E-3</v>
      </c>
      <c r="M91">
        <v>2.7316369034936909</v>
      </c>
      <c r="N91">
        <v>1.2938504898743177E-2</v>
      </c>
      <c r="O91">
        <v>2.1111553963969691</v>
      </c>
      <c r="P91">
        <v>1.0130045032145529</v>
      </c>
      <c r="Q91">
        <v>7.5824266549754894E-3</v>
      </c>
      <c r="R91">
        <v>0.2002865353300185</v>
      </c>
      <c r="S91">
        <v>5.4992541793107738E-5</v>
      </c>
      <c r="T91">
        <v>0.20028653533001936</v>
      </c>
      <c r="U91">
        <v>1.322095405426742</v>
      </c>
      <c r="V91">
        <v>0.32896573208189611</v>
      </c>
      <c r="W91">
        <v>0.17900212599573534</v>
      </c>
      <c r="X91">
        <v>0.71757084262339599</v>
      </c>
      <c r="Y91">
        <v>0.23640531569191792</v>
      </c>
      <c r="Z91">
        <v>0.67569695884422953</v>
      </c>
    </row>
    <row r="92" spans="1:26" x14ac:dyDescent="0.2">
      <c r="A92" s="17">
        <v>10976</v>
      </c>
      <c r="B92" s="17" t="s">
        <v>220</v>
      </c>
      <c r="C92" s="17" t="s">
        <v>129</v>
      </c>
      <c r="D92" s="73">
        <v>44252</v>
      </c>
      <c r="E92" s="74">
        <v>105.5</v>
      </c>
      <c r="F92" s="17">
        <v>0.11655</v>
      </c>
      <c r="G92" s="75">
        <v>0.10609999999999964</v>
      </c>
      <c r="H92" t="s">
        <v>210</v>
      </c>
      <c r="I92">
        <v>1.0055905644996461E-2</v>
      </c>
      <c r="J92">
        <v>0.25287572861183688</v>
      </c>
      <c r="K92">
        <v>7.1294796925732047E-3</v>
      </c>
      <c r="L92">
        <v>3.4412091480199992E-3</v>
      </c>
      <c r="M92">
        <v>2.3119375273997975</v>
      </c>
      <c r="N92">
        <v>5.0074979426308975E-3</v>
      </c>
      <c r="O92">
        <v>1.7636902623846278</v>
      </c>
      <c r="P92">
        <v>0.23757530314823591</v>
      </c>
      <c r="Q92">
        <v>7.6755982037396853E-3</v>
      </c>
      <c r="R92">
        <v>6.1780802842247927E-2</v>
      </c>
      <c r="S92">
        <v>5.5668280645917011E-5</v>
      </c>
      <c r="T92">
        <v>6.1780802842248753E-2</v>
      </c>
      <c r="U92">
        <v>1.1148394852762389E-2</v>
      </c>
      <c r="V92">
        <v>0.79445677523384572</v>
      </c>
      <c r="W92">
        <v>0.29401080650900735</v>
      </c>
      <c r="X92">
        <v>0.33568758879965416</v>
      </c>
      <c r="Y92">
        <v>3.2704231328316157E-3</v>
      </c>
      <c r="Z92">
        <v>0.76691807983460225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44252</v>
      </c>
      <c r="E93" s="15"/>
      <c r="F93" s="16">
        <v>1.10995</v>
      </c>
      <c r="G93" s="16">
        <v>10.349080000000001</v>
      </c>
      <c r="H93" t="s">
        <v>211</v>
      </c>
      <c r="I93">
        <v>1.0009449920650644E-2</v>
      </c>
      <c r="J93">
        <v>1.0028899782591587</v>
      </c>
      <c r="K93">
        <v>7.1332897245514164E-3</v>
      </c>
      <c r="L93">
        <v>7.6840188133423882E-3</v>
      </c>
      <c r="M93">
        <v>2.7317765604839144</v>
      </c>
      <c r="N93">
        <v>1.6065958372534689E-2</v>
      </c>
      <c r="O93">
        <v>2.0670439891529506</v>
      </c>
      <c r="P93">
        <v>1.0430850120929367</v>
      </c>
      <c r="Q93">
        <v>7.5787838089935436E-3</v>
      </c>
      <c r="R93">
        <v>0.17123826603966641</v>
      </c>
      <c r="S93">
        <v>5.4966121575804811E-5</v>
      </c>
      <c r="T93">
        <v>0.17123826603966633</v>
      </c>
      <c r="U93">
        <v>1.3232408440679757</v>
      </c>
      <c r="V93">
        <v>0.28667519919605261</v>
      </c>
      <c r="W93">
        <v>0.1780954233854341</v>
      </c>
      <c r="X93">
        <v>0.6036917073761392</v>
      </c>
      <c r="Y93">
        <v>0.23522785681653507</v>
      </c>
      <c r="Z93">
        <v>0.53973022616686017</v>
      </c>
    </row>
    <row r="94" spans="1:26" x14ac:dyDescent="0.2">
      <c r="A94" s="17">
        <v>10977</v>
      </c>
      <c r="B94" s="17" t="s">
        <v>221</v>
      </c>
      <c r="C94" s="17" t="s">
        <v>129</v>
      </c>
      <c r="D94" s="73">
        <v>44252</v>
      </c>
      <c r="E94" s="74">
        <v>117</v>
      </c>
      <c r="F94" s="17">
        <v>9.8159999999999997E-2</v>
      </c>
      <c r="G94" s="75">
        <v>0.10843000000000025</v>
      </c>
      <c r="H94" t="s">
        <v>212</v>
      </c>
      <c r="I94">
        <v>1.0072102994126827E-2</v>
      </c>
      <c r="J94">
        <v>0.29865638760470586</v>
      </c>
      <c r="K94">
        <v>7.1248849534765761E-3</v>
      </c>
      <c r="L94">
        <v>5.5937520279155011E-3</v>
      </c>
      <c r="M94">
        <v>0.8868778427996451</v>
      </c>
      <c r="N94">
        <v>6.5200541252721294E-3</v>
      </c>
      <c r="O94">
        <v>0.67905900983874856</v>
      </c>
      <c r="P94">
        <v>0.35105265167627941</v>
      </c>
      <c r="Q94">
        <v>7.6957045348130951E-3</v>
      </c>
      <c r="R94">
        <v>0.16835187454313233</v>
      </c>
      <c r="S94">
        <v>5.5814104443781916E-5</v>
      </c>
      <c r="T94">
        <v>0.1683518745431318</v>
      </c>
      <c r="U94">
        <v>6.6966233123163191E-3</v>
      </c>
      <c r="V94">
        <v>2.0962750873526814</v>
      </c>
      <c r="W94">
        <v>2.142866593678899E-2</v>
      </c>
      <c r="X94">
        <v>0.26539379539294733</v>
      </c>
      <c r="Y94">
        <v>1.438234355826683E-4</v>
      </c>
      <c r="Z94">
        <v>1.9632304137577852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44252</v>
      </c>
      <c r="E95" s="15"/>
      <c r="F95" s="16">
        <v>1.10995</v>
      </c>
      <c r="G95" s="16">
        <v>10.349080000000001</v>
      </c>
      <c r="H95" t="s">
        <v>213</v>
      </c>
      <c r="I95">
        <v>9.8238458061312931E-3</v>
      </c>
      <c r="J95">
        <v>1.2609846198966659</v>
      </c>
      <c r="K95">
        <v>7.1358963745515053E-3</v>
      </c>
      <c r="L95">
        <v>6.668249258445301E-3</v>
      </c>
      <c r="M95">
        <v>2.7315507089613664</v>
      </c>
      <c r="N95">
        <v>9.697815249210916E-3</v>
      </c>
      <c r="O95">
        <v>2.1101255070833997</v>
      </c>
      <c r="P95">
        <v>1.253571609652449</v>
      </c>
      <c r="Q95">
        <v>7.5756951131670889E-3</v>
      </c>
      <c r="R95">
        <v>0.19829569225707075</v>
      </c>
      <c r="S95">
        <v>5.4943720405038316E-5</v>
      </c>
      <c r="T95">
        <v>0.19829569225707039</v>
      </c>
      <c r="U95">
        <v>1.322671504006607</v>
      </c>
      <c r="V95">
        <v>0.24459525441853733</v>
      </c>
      <c r="W95">
        <v>0.17806615902633038</v>
      </c>
      <c r="X95">
        <v>0.66321435679750296</v>
      </c>
      <c r="Y95">
        <v>0.23562811081231727</v>
      </c>
      <c r="Z95">
        <v>0.63148910897880173</v>
      </c>
    </row>
    <row r="96" spans="1:26" x14ac:dyDescent="0.2">
      <c r="A96" s="17">
        <v>10978</v>
      </c>
      <c r="B96" s="17" t="s">
        <v>222</v>
      </c>
      <c r="C96" s="17" t="s">
        <v>129</v>
      </c>
      <c r="D96" s="73">
        <v>44252</v>
      </c>
      <c r="E96" s="74">
        <v>162.5</v>
      </c>
      <c r="F96" s="17">
        <v>0.10231999999999999</v>
      </c>
      <c r="G96" s="75">
        <v>9.8319999999999297E-2</v>
      </c>
      <c r="H96" t="s">
        <v>214</v>
      </c>
      <c r="I96">
        <v>1.003113739924448E-2</v>
      </c>
      <c r="J96">
        <v>0.27121638632077383</v>
      </c>
      <c r="K96">
        <v>7.1316851208097021E-3</v>
      </c>
      <c r="L96">
        <v>4.5149573593554438E-3</v>
      </c>
      <c r="M96">
        <v>1.2237815586222553</v>
      </c>
      <c r="N96">
        <v>4.9968848273015433E-3</v>
      </c>
      <c r="O96">
        <v>0.93933548074877193</v>
      </c>
      <c r="P96">
        <v>0.33571761613562745</v>
      </c>
      <c r="Q96">
        <v>7.7016502255594747E-3</v>
      </c>
      <c r="R96">
        <v>0.1161431290827093</v>
      </c>
      <c r="S96">
        <v>5.5857226344162553E-5</v>
      </c>
      <c r="T96">
        <v>0.11614312908271021</v>
      </c>
      <c r="U96">
        <v>8.3215593298109989E-3</v>
      </c>
      <c r="V96">
        <v>1.1860037487214798</v>
      </c>
      <c r="W96">
        <v>0.25339619894082849</v>
      </c>
      <c r="X96">
        <v>0.28446296839428048</v>
      </c>
      <c r="Y96">
        <v>2.1071771758656831E-3</v>
      </c>
      <c r="Z96">
        <v>1.0474437848280223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44252</v>
      </c>
      <c r="E97" s="15"/>
      <c r="F97" s="16">
        <v>1.10995</v>
      </c>
      <c r="G97" s="16">
        <v>10.349080000000001</v>
      </c>
      <c r="H97" t="s">
        <v>215</v>
      </c>
      <c r="I97">
        <v>9.8000862918346671E-3</v>
      </c>
      <c r="J97">
        <v>0.8901834152343564</v>
      </c>
      <c r="K97">
        <v>7.1360631789598112E-3</v>
      </c>
      <c r="L97">
        <v>6.416079205074695E-3</v>
      </c>
      <c r="M97">
        <v>2.7315295776223261</v>
      </c>
      <c r="N97">
        <v>1.0892128682612606E-2</v>
      </c>
      <c r="O97">
        <v>2.1176817292903585</v>
      </c>
      <c r="P97">
        <v>0.88029861112421148</v>
      </c>
      <c r="Q97">
        <v>7.5847589402383234E-3</v>
      </c>
      <c r="R97">
        <v>0.13580195124453237</v>
      </c>
      <c r="S97">
        <v>5.5009456997253578E-5</v>
      </c>
      <c r="T97">
        <v>0.13580195124453165</v>
      </c>
      <c r="U97">
        <v>1.3230317335065784</v>
      </c>
      <c r="V97">
        <v>0.30314361557733105</v>
      </c>
      <c r="W97">
        <v>0.17753859227541194</v>
      </c>
      <c r="X97">
        <v>0.59298036014121513</v>
      </c>
      <c r="Y97">
        <v>0.23508699564954552</v>
      </c>
      <c r="Z97">
        <v>0.6444636918290777</v>
      </c>
    </row>
    <row r="98" spans="1:26" x14ac:dyDescent="0.2">
      <c r="A98" s="17">
        <v>10979</v>
      </c>
      <c r="B98" s="17" t="s">
        <v>223</v>
      </c>
      <c r="C98" s="17" t="s">
        <v>129</v>
      </c>
      <c r="D98" s="73">
        <v>44252</v>
      </c>
      <c r="E98" s="74" t="s">
        <v>205</v>
      </c>
      <c r="F98" s="17">
        <v>0.10319</v>
      </c>
      <c r="G98" s="75">
        <v>0.10293000000000063</v>
      </c>
      <c r="H98" t="s">
        <v>216</v>
      </c>
      <c r="I98">
        <v>1.0054171159448705E-2</v>
      </c>
      <c r="J98">
        <v>0.23117691369711155</v>
      </c>
      <c r="K98">
        <v>7.1337066948256051E-3</v>
      </c>
      <c r="L98">
        <v>3.4935675368948393E-3</v>
      </c>
      <c r="M98">
        <v>3.3019775836894092</v>
      </c>
      <c r="N98">
        <v>5.0317250641069618E-3</v>
      </c>
      <c r="O98">
        <v>2.5139252448995255</v>
      </c>
      <c r="P98">
        <v>0.23405593167423566</v>
      </c>
      <c r="Q98">
        <v>7.6525035056580499E-3</v>
      </c>
      <c r="R98">
        <v>6.2166927305580329E-2</v>
      </c>
      <c r="S98">
        <v>5.5500783325172109E-5</v>
      </c>
      <c r="T98">
        <v>6.2166927305579947E-2</v>
      </c>
      <c r="U98">
        <v>9.7663071397169517E-3</v>
      </c>
      <c r="V98">
        <v>0.94759348712746327</v>
      </c>
      <c r="W98">
        <v>3.3790689454592522E-2</v>
      </c>
      <c r="X98">
        <v>0.18227413370693146</v>
      </c>
      <c r="Y98">
        <v>3.2991630403240746E-4</v>
      </c>
      <c r="Z98">
        <v>0.91461734525105509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44252</v>
      </c>
      <c r="E99" s="15"/>
      <c r="F99" s="16">
        <v>1.10995</v>
      </c>
      <c r="G99" s="16">
        <v>10.349080000000001</v>
      </c>
      <c r="H99" t="s">
        <v>215</v>
      </c>
      <c r="I99">
        <v>9.8000862918346671E-3</v>
      </c>
      <c r="J99">
        <v>0.8901834152343564</v>
      </c>
      <c r="K99">
        <v>7.1360631789598112E-3</v>
      </c>
      <c r="L99">
        <v>6.416079205074695E-3</v>
      </c>
      <c r="M99">
        <v>2.7315295776223261</v>
      </c>
      <c r="N99">
        <v>1.0892128682612606E-2</v>
      </c>
      <c r="O99">
        <v>2.1176817292903585</v>
      </c>
      <c r="P99">
        <v>0.88029861112421148</v>
      </c>
      <c r="Q99">
        <v>7.5847589402383234E-3</v>
      </c>
      <c r="R99">
        <v>0.13580195124453237</v>
      </c>
      <c r="S99">
        <v>5.5009456997253578E-5</v>
      </c>
      <c r="T99">
        <v>0.13580195124453165</v>
      </c>
      <c r="U99">
        <v>1.3230317335065784</v>
      </c>
      <c r="V99">
        <v>0.30314361557733105</v>
      </c>
      <c r="W99">
        <v>0.17753859227541194</v>
      </c>
      <c r="X99">
        <v>0.59298036014121513</v>
      </c>
      <c r="Y99">
        <v>0.23508699564954552</v>
      </c>
      <c r="Z99">
        <v>0.6444636918290777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44253</v>
      </c>
      <c r="E101" s="15"/>
      <c r="F101" s="16">
        <v>1.10995</v>
      </c>
      <c r="G101" s="16">
        <v>10.349080000000001</v>
      </c>
      <c r="H101" t="s">
        <v>196</v>
      </c>
      <c r="I101">
        <v>9.8470092485207442E-3</v>
      </c>
      <c r="J101">
        <v>1.2794215814753336</v>
      </c>
      <c r="K101">
        <v>7.1345415364198689E-3</v>
      </c>
      <c r="L101">
        <v>8.5293873387940981E-3</v>
      </c>
      <c r="M101">
        <v>2.7320952971418051</v>
      </c>
      <c r="N101">
        <v>1.2968916332628842E-2</v>
      </c>
      <c r="O101">
        <v>2.0944607493512666</v>
      </c>
      <c r="P101">
        <v>1.3648983742285885</v>
      </c>
      <c r="Q101">
        <v>7.5678161855014907E-3</v>
      </c>
      <c r="R101">
        <v>0.20453328384096728</v>
      </c>
      <c r="S101">
        <v>5.4886577450856103E-5</v>
      </c>
      <c r="T101">
        <v>0.20453328384096867</v>
      </c>
      <c r="U101">
        <v>1.3228001755850747</v>
      </c>
      <c r="V101">
        <v>0.33159618187784201</v>
      </c>
      <c r="W101">
        <v>0.17997498491252076</v>
      </c>
      <c r="X101">
        <v>0.57453182450335605</v>
      </c>
      <c r="Y101">
        <v>0.23805809052470592</v>
      </c>
      <c r="Z101">
        <v>0.41873861043180693</v>
      </c>
    </row>
    <row r="102" spans="1:26" x14ac:dyDescent="0.2">
      <c r="A102" s="17">
        <v>10980</v>
      </c>
      <c r="B102" s="17" t="s">
        <v>224</v>
      </c>
      <c r="C102" s="17" t="s">
        <v>129</v>
      </c>
      <c r="D102" s="73">
        <v>44253</v>
      </c>
      <c r="E102" s="74">
        <v>59.5</v>
      </c>
      <c r="F102" s="17">
        <v>0.11343</v>
      </c>
      <c r="G102" s="75">
        <v>0.10153000000000034</v>
      </c>
      <c r="H102" t="s">
        <v>229</v>
      </c>
      <c r="I102">
        <v>9.999799763856081E-3</v>
      </c>
      <c r="J102">
        <v>0.20177725534828431</v>
      </c>
      <c r="K102">
        <v>7.1316900620809085E-3</v>
      </c>
      <c r="L102">
        <v>2.9593075508216847E-3</v>
      </c>
      <c r="M102">
        <v>3.1641826272085374</v>
      </c>
      <c r="N102">
        <v>5.374095896963289E-3</v>
      </c>
      <c r="O102">
        <v>2.4358882416489895</v>
      </c>
      <c r="P102">
        <v>0.21431331008448379</v>
      </c>
      <c r="Q102">
        <v>7.6984989993131364E-3</v>
      </c>
      <c r="R102">
        <v>4.8605665394066369E-2</v>
      </c>
      <c r="S102">
        <v>5.5834371663341068E-5</v>
      </c>
      <c r="T102">
        <v>4.8605665394066765E-2</v>
      </c>
      <c r="U102">
        <v>6.9207270010349887E-3</v>
      </c>
      <c r="V102">
        <v>0.94098828257300449</v>
      </c>
      <c r="W102">
        <v>0.19801502908043547</v>
      </c>
      <c r="X102">
        <v>0.23812747015784622</v>
      </c>
      <c r="Y102">
        <v>1.3724297959205505E-3</v>
      </c>
      <c r="Z102">
        <v>0.95998807596849811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44253</v>
      </c>
      <c r="E103" s="15"/>
      <c r="F103" s="16">
        <v>1.10995</v>
      </c>
      <c r="G103" s="16">
        <v>10.349080000000001</v>
      </c>
      <c r="H103" t="s">
        <v>198</v>
      </c>
      <c r="I103">
        <v>9.8584015283303301E-3</v>
      </c>
      <c r="J103">
        <v>1.1800276274202448</v>
      </c>
      <c r="K103">
        <v>7.1336637569702254E-3</v>
      </c>
      <c r="L103">
        <v>7.2999004054437201E-3</v>
      </c>
      <c r="M103">
        <v>2.7320087963297319</v>
      </c>
      <c r="N103">
        <v>1.4435255955988472E-2</v>
      </c>
      <c r="O103">
        <v>2.1038939432563128</v>
      </c>
      <c r="P103">
        <v>1.1580616299817565</v>
      </c>
      <c r="Q103">
        <v>7.5790822852153765E-3</v>
      </c>
      <c r="R103">
        <v>0.16834368699038707</v>
      </c>
      <c r="S103">
        <v>5.4968286313671766E-5</v>
      </c>
      <c r="T103">
        <v>0.16834368699038785</v>
      </c>
      <c r="U103">
        <v>1.3229332864635743</v>
      </c>
      <c r="V103">
        <v>0.34052739289965306</v>
      </c>
      <c r="W103">
        <v>0.18117169112851086</v>
      </c>
      <c r="X103">
        <v>0.4823932949577443</v>
      </c>
      <c r="Y103">
        <v>0.23941646922411922</v>
      </c>
      <c r="Z103">
        <v>0.43884186297837208</v>
      </c>
    </row>
    <row r="104" spans="1:26" x14ac:dyDescent="0.2">
      <c r="A104" s="17">
        <v>10981</v>
      </c>
      <c r="B104" s="17" t="s">
        <v>225</v>
      </c>
      <c r="C104" s="17" t="s">
        <v>129</v>
      </c>
      <c r="D104" s="73">
        <v>44253</v>
      </c>
      <c r="E104" s="74">
        <v>92</v>
      </c>
      <c r="F104" s="17">
        <v>8.5610000000000006E-2</v>
      </c>
      <c r="G104" s="75">
        <v>0.10258000000000145</v>
      </c>
      <c r="H104" t="s">
        <v>230</v>
      </c>
      <c r="I104">
        <v>1.0013227192291327E-2</v>
      </c>
      <c r="J104">
        <v>0.24854700994695225</v>
      </c>
      <c r="K104">
        <v>7.1306321226714577E-3</v>
      </c>
      <c r="L104">
        <v>3.2289081561022782E-3</v>
      </c>
      <c r="M104">
        <v>2.6309594080379197</v>
      </c>
      <c r="N104">
        <v>5.8718374741908164E-3</v>
      </c>
      <c r="O104">
        <v>2.027007897312739</v>
      </c>
      <c r="P104">
        <v>0.25019762625283609</v>
      </c>
      <c r="Q104">
        <v>7.7184245801881681E-3</v>
      </c>
      <c r="R104">
        <v>5.6912179836115302E-2</v>
      </c>
      <c r="S104">
        <v>5.5978884546733547E-5</v>
      </c>
      <c r="T104">
        <v>5.6912179836114726E-2</v>
      </c>
      <c r="U104">
        <v>7.8978181419976749E-3</v>
      </c>
      <c r="V104">
        <v>0.9965298910128324</v>
      </c>
      <c r="W104">
        <v>0.30434550827110002</v>
      </c>
      <c r="X104">
        <v>0.32685223242052081</v>
      </c>
      <c r="Y104">
        <v>2.3961016011433186E-3</v>
      </c>
      <c r="Z104">
        <v>0.98913677041942705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44253</v>
      </c>
      <c r="E105" s="15"/>
      <c r="F105" s="16">
        <v>1.10995</v>
      </c>
      <c r="G105" s="16">
        <v>10.349080000000001</v>
      </c>
      <c r="H105" t="s">
        <v>200</v>
      </c>
      <c r="I105">
        <v>9.8592898687251719E-3</v>
      </c>
      <c r="J105">
        <v>1.0574249722669609</v>
      </c>
      <c r="K105">
        <v>7.1344687407579391E-3</v>
      </c>
      <c r="L105">
        <v>6.7252307629320131E-3</v>
      </c>
      <c r="M105">
        <v>2.7317895964822472</v>
      </c>
      <c r="N105">
        <v>1.430984849348366E-2</v>
      </c>
      <c r="O105">
        <v>2.1085598087238773</v>
      </c>
      <c r="P105">
        <v>0.98295288206519982</v>
      </c>
      <c r="Q105">
        <v>7.5833480241389297E-3</v>
      </c>
      <c r="R105">
        <v>0.1704134892188543</v>
      </c>
      <c r="S105">
        <v>5.4999224143565321E-5</v>
      </c>
      <c r="T105">
        <v>0.17041348921885469</v>
      </c>
      <c r="U105">
        <v>1.3223760213175746</v>
      </c>
      <c r="V105">
        <v>0.24303599807874499</v>
      </c>
      <c r="W105">
        <v>0.18021634598330066</v>
      </c>
      <c r="X105">
        <v>0.82987241757604868</v>
      </c>
      <c r="Y105">
        <v>0.23837038755991322</v>
      </c>
      <c r="Z105">
        <v>0.74270696692050364</v>
      </c>
    </row>
    <row r="106" spans="1:26" x14ac:dyDescent="0.2">
      <c r="A106" s="17">
        <v>10985</v>
      </c>
      <c r="B106" s="17" t="s">
        <v>226</v>
      </c>
      <c r="C106" s="17" t="s">
        <v>129</v>
      </c>
      <c r="D106" s="73">
        <v>44253</v>
      </c>
      <c r="E106" s="74">
        <v>48</v>
      </c>
      <c r="F106" s="17">
        <v>9.7239999999999993E-2</v>
      </c>
      <c r="G106" s="75">
        <v>9.8919999999999994E-2</v>
      </c>
      <c r="H106" t="s">
        <v>231</v>
      </c>
      <c r="I106">
        <v>1.0011732354362674E-2</v>
      </c>
      <c r="J106">
        <v>0.34791202571262497</v>
      </c>
      <c r="K106">
        <v>7.1316640508249452E-3</v>
      </c>
      <c r="L106">
        <v>3.6642524481235021E-3</v>
      </c>
      <c r="M106">
        <v>2.3947955646790535</v>
      </c>
      <c r="N106">
        <v>5.8429515097253235E-3</v>
      </c>
      <c r="O106">
        <v>1.8419857125718044</v>
      </c>
      <c r="P106">
        <v>0.34133308665558854</v>
      </c>
      <c r="Q106">
        <v>7.7043819894064575E-3</v>
      </c>
      <c r="R106">
        <v>9.3331554618464638E-2</v>
      </c>
      <c r="S106">
        <v>5.5877038819028416E-5</v>
      </c>
      <c r="T106">
        <v>9.3331554618463944E-2</v>
      </c>
      <c r="U106">
        <v>6.266999579890721E-3</v>
      </c>
      <c r="V106">
        <v>1.5300025081683541</v>
      </c>
      <c r="W106">
        <v>0.16769929055706892</v>
      </c>
      <c r="X106">
        <v>0.34915662600020214</v>
      </c>
      <c r="Y106">
        <v>1.052155044835379E-3</v>
      </c>
      <c r="Z106">
        <v>1.4735098445730221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44253</v>
      </c>
      <c r="E107" s="15"/>
      <c r="F107" s="16">
        <v>1.10995</v>
      </c>
      <c r="G107" s="16">
        <v>10.349080000000001</v>
      </c>
      <c r="H107" t="s">
        <v>209</v>
      </c>
      <c r="I107">
        <v>9.7783655038832639E-3</v>
      </c>
      <c r="J107">
        <v>1.2210788792213232</v>
      </c>
      <c r="K107">
        <v>7.1345896556284693E-3</v>
      </c>
      <c r="L107">
        <v>6.0846549380546072E-3</v>
      </c>
      <c r="M107">
        <v>2.7324420880837752</v>
      </c>
      <c r="N107">
        <v>1.4101425346773727E-2</v>
      </c>
      <c r="O107">
        <v>2.122476870502485</v>
      </c>
      <c r="P107">
        <v>1.2632869352614557</v>
      </c>
      <c r="Q107">
        <v>7.5871749918351387E-3</v>
      </c>
      <c r="R107">
        <v>0.21553635068939722</v>
      </c>
      <c r="S107">
        <v>5.5026979727700997E-5</v>
      </c>
      <c r="T107">
        <v>0.21553635068939708</v>
      </c>
      <c r="U107">
        <v>1.3226232336349379</v>
      </c>
      <c r="V107">
        <v>0.34978355628334618</v>
      </c>
      <c r="W107">
        <v>0.18207824145256368</v>
      </c>
      <c r="X107">
        <v>0.50804673524763078</v>
      </c>
      <c r="Y107">
        <v>0.24107100241734988</v>
      </c>
      <c r="Z107">
        <v>0.52011186175678159</v>
      </c>
    </row>
    <row r="108" spans="1:26" x14ac:dyDescent="0.2">
      <c r="A108" s="17">
        <v>10986</v>
      </c>
      <c r="B108" s="17" t="s">
        <v>227</v>
      </c>
      <c r="C108" s="17" t="s">
        <v>129</v>
      </c>
      <c r="D108" s="73">
        <v>44253</v>
      </c>
      <c r="E108" s="74">
        <v>85.5</v>
      </c>
      <c r="F108" s="17">
        <v>0.1002</v>
      </c>
      <c r="G108" s="75">
        <v>0.10284</v>
      </c>
      <c r="H108" t="s">
        <v>232</v>
      </c>
      <c r="I108">
        <v>1.0010783358232257E-2</v>
      </c>
      <c r="J108">
        <v>0.35499477510201949</v>
      </c>
      <c r="K108">
        <v>7.1334877822994535E-3</v>
      </c>
      <c r="L108">
        <v>6.1170345148815926E-3</v>
      </c>
      <c r="M108">
        <v>1.0162012839634218</v>
      </c>
      <c r="N108">
        <v>7.4416719068659031E-3</v>
      </c>
      <c r="O108">
        <v>0.78355142863349991</v>
      </c>
      <c r="P108">
        <v>0.38972423678806584</v>
      </c>
      <c r="Q108">
        <v>7.7115221323004789E-3</v>
      </c>
      <c r="R108">
        <v>0.16985494237786145</v>
      </c>
      <c r="S108">
        <v>5.5928823639953844E-5</v>
      </c>
      <c r="T108">
        <v>0.16985494237786189</v>
      </c>
      <c r="U108">
        <v>1.0315789664331144E-2</v>
      </c>
      <c r="V108">
        <v>1.4047746386259943</v>
      </c>
      <c r="W108">
        <v>7.8564677901909769E-2</v>
      </c>
      <c r="X108">
        <v>0.37248847602232421</v>
      </c>
      <c r="Y108">
        <v>8.1043498562309406E-4</v>
      </c>
      <c r="Z108">
        <v>1.4361502731788525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44253</v>
      </c>
      <c r="E109" s="15"/>
      <c r="F109" s="16">
        <v>1.10995</v>
      </c>
      <c r="G109" s="16">
        <v>10.349080000000001</v>
      </c>
      <c r="H109" t="s">
        <v>211</v>
      </c>
      <c r="I109">
        <v>9.8196712027163961E-3</v>
      </c>
      <c r="J109">
        <v>0.88542054128422987</v>
      </c>
      <c r="K109">
        <v>7.1364586912619774E-3</v>
      </c>
      <c r="L109">
        <v>6.6272716539492243E-3</v>
      </c>
      <c r="M109">
        <v>2.7330540443187208</v>
      </c>
      <c r="N109">
        <v>1.8279114395924796E-2</v>
      </c>
      <c r="O109">
        <v>2.1129445929274548</v>
      </c>
      <c r="P109">
        <v>0.89582287903212399</v>
      </c>
      <c r="Q109">
        <v>7.5818959374918237E-3</v>
      </c>
      <c r="R109">
        <v>0.17617065513203317</v>
      </c>
      <c r="S109">
        <v>5.4988692695090845E-5</v>
      </c>
      <c r="T109">
        <v>0.17617065513203323</v>
      </c>
      <c r="U109">
        <v>1.3195750868840708</v>
      </c>
      <c r="V109">
        <v>0.30773703573107902</v>
      </c>
      <c r="W109">
        <v>0.17900121091744919</v>
      </c>
      <c r="X109">
        <v>0.60731855230738196</v>
      </c>
      <c r="Y109">
        <v>0.23689603757218855</v>
      </c>
      <c r="Z109">
        <v>0.47552016953735576</v>
      </c>
    </row>
    <row r="110" spans="1:26" x14ac:dyDescent="0.2">
      <c r="A110" s="17">
        <v>10987</v>
      </c>
      <c r="B110" s="17" t="s">
        <v>228</v>
      </c>
      <c r="C110" s="17" t="s">
        <v>129</v>
      </c>
      <c r="D110" s="73">
        <v>44253</v>
      </c>
      <c r="E110" s="74">
        <v>177</v>
      </c>
      <c r="F110" s="17">
        <v>0.10843</v>
      </c>
      <c r="G110" s="75">
        <v>0.10303</v>
      </c>
      <c r="H110" t="s">
        <v>233</v>
      </c>
      <c r="I110">
        <v>9.9827353050997141E-3</v>
      </c>
      <c r="J110">
        <v>0.35300676295675792</v>
      </c>
      <c r="K110">
        <v>7.1334672271485735E-3</v>
      </c>
      <c r="L110">
        <v>5.3798730550550641E-3</v>
      </c>
      <c r="M110">
        <v>1.1768566969317371</v>
      </c>
      <c r="N110">
        <v>7.5694925005883387E-3</v>
      </c>
      <c r="O110">
        <v>0.91072390935696046</v>
      </c>
      <c r="P110">
        <v>0.37921600169514186</v>
      </c>
      <c r="Q110">
        <v>7.7265390812424964E-3</v>
      </c>
      <c r="R110">
        <v>0.13394032815490592</v>
      </c>
      <c r="S110">
        <v>5.6037736027752159E-5</v>
      </c>
      <c r="T110">
        <v>0.13394032815490617</v>
      </c>
      <c r="U110">
        <v>1.2739774119104439E-2</v>
      </c>
      <c r="V110">
        <v>1.2273085279901401</v>
      </c>
      <c r="W110">
        <v>7.7659208703268132E-2</v>
      </c>
      <c r="X110">
        <v>0.30564857192254119</v>
      </c>
      <c r="Y110">
        <v>9.8798109205719496E-4</v>
      </c>
      <c r="Z110">
        <v>1.2857217653086539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44253</v>
      </c>
      <c r="E111" s="15"/>
      <c r="F111" s="16">
        <v>1.10995</v>
      </c>
      <c r="G111" s="16">
        <v>10.349080000000001</v>
      </c>
      <c r="H111" t="s">
        <v>211</v>
      </c>
      <c r="I111">
        <v>9.8196712027163961E-3</v>
      </c>
      <c r="J111">
        <v>0.88542054128422987</v>
      </c>
      <c r="K111">
        <v>7.1364586912619774E-3</v>
      </c>
      <c r="L111">
        <v>6.6272716539492243E-3</v>
      </c>
      <c r="M111">
        <v>2.7330540443187208</v>
      </c>
      <c r="N111">
        <v>1.8279114395924796E-2</v>
      </c>
      <c r="O111">
        <v>2.1129445929274548</v>
      </c>
      <c r="P111">
        <v>0.89582287903212399</v>
      </c>
      <c r="Q111">
        <v>7.5818959374918237E-3</v>
      </c>
      <c r="R111">
        <v>0.17617065513203317</v>
      </c>
      <c r="S111">
        <v>5.4988692695090845E-5</v>
      </c>
      <c r="T111">
        <v>0.17617065513203323</v>
      </c>
      <c r="U111">
        <v>1.3195750868840708</v>
      </c>
      <c r="V111">
        <v>0.30773703573107902</v>
      </c>
      <c r="W111">
        <v>0.17900121091744919</v>
      </c>
      <c r="X111">
        <v>0.60731855230738196</v>
      </c>
      <c r="Y111">
        <v>0.23689603757218855</v>
      </c>
      <c r="Z111">
        <v>0.47552016953735576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44256</v>
      </c>
      <c r="E113" s="15"/>
      <c r="F113" s="16">
        <v>1.10995</v>
      </c>
      <c r="G113" s="16">
        <v>10.349080000000001</v>
      </c>
      <c r="H113" t="s">
        <v>234</v>
      </c>
      <c r="I113">
        <v>1.0026195998167967E-2</v>
      </c>
      <c r="J113">
        <v>2.0445490226928227</v>
      </c>
      <c r="K113">
        <v>7.1297994779578331E-3</v>
      </c>
      <c r="L113">
        <v>1.1705546781525968E-2</v>
      </c>
      <c r="M113">
        <v>2.7324426853901573</v>
      </c>
      <c r="N113">
        <v>2.5754560637253288E-2</v>
      </c>
      <c r="O113">
        <v>2.0683572937270798</v>
      </c>
      <c r="P113">
        <v>1.9629850734545236</v>
      </c>
      <c r="Q113">
        <v>7.5999669437852978E-3</v>
      </c>
      <c r="R113">
        <v>0.10644901025289878</v>
      </c>
      <c r="S113">
        <v>5.5119755033581852E-5</v>
      </c>
      <c r="T113">
        <v>0.10644901025289896</v>
      </c>
      <c r="U113">
        <v>1.3212246086403197</v>
      </c>
      <c r="V113">
        <v>0.62871124685535629</v>
      </c>
      <c r="W113">
        <v>0.17785802583644533</v>
      </c>
      <c r="X113">
        <v>1.1839326831341355</v>
      </c>
      <c r="Y113">
        <v>0.23429275146708267</v>
      </c>
      <c r="Z113">
        <v>0.89266806046637859</v>
      </c>
    </row>
    <row r="114" spans="1:26" x14ac:dyDescent="0.2">
      <c r="A114" s="17">
        <v>11019</v>
      </c>
      <c r="B114" s="17" t="s">
        <v>251</v>
      </c>
      <c r="C114" s="17" t="s">
        <v>129</v>
      </c>
      <c r="D114" s="73">
        <v>44256</v>
      </c>
      <c r="E114" s="74">
        <v>7.3</v>
      </c>
      <c r="F114" s="17">
        <v>0.29571999999999998</v>
      </c>
      <c r="G114" s="75">
        <v>4.7449999999997772E-2</v>
      </c>
      <c r="H114" t="s">
        <v>235</v>
      </c>
      <c r="I114">
        <v>1.0082488541015877E-2</v>
      </c>
      <c r="J114">
        <v>0.45962499067332374</v>
      </c>
      <c r="K114">
        <v>7.1276137743074546E-3</v>
      </c>
      <c r="L114">
        <v>1.1908897488567336E-2</v>
      </c>
      <c r="M114">
        <v>0.76352235396653989</v>
      </c>
      <c r="N114">
        <v>1.2258690172890524E-2</v>
      </c>
      <c r="O114">
        <v>0.52301295169144779</v>
      </c>
      <c r="P114">
        <v>0.46797514175869714</v>
      </c>
      <c r="Q114">
        <v>6.8957366762901163E-3</v>
      </c>
      <c r="R114">
        <v>0.1010508724362679</v>
      </c>
      <c r="S114">
        <v>5.001223284056626E-5</v>
      </c>
      <c r="T114">
        <v>0.10105087243626835</v>
      </c>
      <c r="U114">
        <v>4.5987221629745362E-3</v>
      </c>
      <c r="V114">
        <v>2.5906839976613307</v>
      </c>
      <c r="W114">
        <v>2.0652079846051664E-3</v>
      </c>
      <c r="X114">
        <v>0.23492914529892336</v>
      </c>
      <c r="Y114">
        <v>9.4971297853712529E-6</v>
      </c>
      <c r="Z114">
        <v>2.6347670226904882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44256</v>
      </c>
      <c r="E115" s="15"/>
      <c r="F115" s="16">
        <v>1.10995</v>
      </c>
      <c r="G115" s="16">
        <v>10.349080000000001</v>
      </c>
      <c r="H115" t="s">
        <v>236</v>
      </c>
      <c r="I115">
        <v>1.0255294190770158E-2</v>
      </c>
      <c r="J115">
        <v>1.8942840012571256</v>
      </c>
      <c r="K115">
        <v>7.130827194452914E-3</v>
      </c>
      <c r="L115">
        <v>1.0172798673816619E-2</v>
      </c>
      <c r="M115">
        <v>2.7316820477873596</v>
      </c>
      <c r="N115">
        <v>2.2222594380041809E-2</v>
      </c>
      <c r="O115">
        <v>2.0215620245421517</v>
      </c>
      <c r="P115">
        <v>1.8760457821341527</v>
      </c>
      <c r="Q115">
        <v>7.569202434939558E-3</v>
      </c>
      <c r="R115">
        <v>0.15358602475334465</v>
      </c>
      <c r="S115">
        <v>5.4896631406354451E-5</v>
      </c>
      <c r="T115">
        <v>0.15358602475334654</v>
      </c>
      <c r="U115">
        <v>1.3232467773964069</v>
      </c>
      <c r="V115">
        <v>0.49483246866474001</v>
      </c>
      <c r="W115">
        <v>0.17864464486776399</v>
      </c>
      <c r="X115">
        <v>1.047282751593589</v>
      </c>
      <c r="Y115">
        <v>0.23605186300951264</v>
      </c>
      <c r="Z115">
        <v>1.0374973697331629</v>
      </c>
    </row>
    <row r="116" spans="1:26" x14ac:dyDescent="0.2">
      <c r="A116" s="17">
        <v>11020</v>
      </c>
      <c r="B116" s="17" t="s">
        <v>252</v>
      </c>
      <c r="C116" s="17" t="s">
        <v>129</v>
      </c>
      <c r="D116" s="73">
        <v>44256</v>
      </c>
      <c r="E116" s="74">
        <v>7.3</v>
      </c>
      <c r="F116" s="17">
        <v>0.29271000000000003</v>
      </c>
      <c r="G116" s="75">
        <v>4.8700000000000188E-2</v>
      </c>
      <c r="H116" t="s">
        <v>237</v>
      </c>
      <c r="I116">
        <v>1.0029882945395129E-2</v>
      </c>
      <c r="J116">
        <v>0.55170285091636651</v>
      </c>
      <c r="K116">
        <v>7.1264967981061467E-3</v>
      </c>
      <c r="L116">
        <v>1.0698762192692213E-2</v>
      </c>
      <c r="M116">
        <v>0.75984951462756656</v>
      </c>
      <c r="N116">
        <v>1.3915437860231741E-2</v>
      </c>
      <c r="O116">
        <v>0.52187274870579914</v>
      </c>
      <c r="P116">
        <v>0.56093719899224936</v>
      </c>
      <c r="Q116">
        <v>6.8853871708131559E-3</v>
      </c>
      <c r="R116">
        <v>0.12214573711794648</v>
      </c>
      <c r="S116">
        <v>4.9937171697428634E-5</v>
      </c>
      <c r="T116">
        <v>0.12214573711794748</v>
      </c>
      <c r="U116">
        <v>4.4062734759326419E-3</v>
      </c>
      <c r="V116">
        <v>4.1912501005474789</v>
      </c>
      <c r="W116">
        <v>3.3017712932130886E-3</v>
      </c>
      <c r="X116">
        <v>0.2611782975474361</v>
      </c>
      <c r="Y116">
        <v>1.4542484643167671E-5</v>
      </c>
      <c r="Z116">
        <v>4.1908032138403177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44256</v>
      </c>
      <c r="E117" s="15"/>
      <c r="F117" s="16">
        <v>1.10995</v>
      </c>
      <c r="G117" s="16">
        <v>10.349080000000001</v>
      </c>
      <c r="H117" t="s">
        <v>238</v>
      </c>
      <c r="I117">
        <v>9.9421710846255805E-3</v>
      </c>
      <c r="J117">
        <v>2.4370157013625162</v>
      </c>
      <c r="K117">
        <v>7.1301577591558049E-3</v>
      </c>
      <c r="L117">
        <v>1.3973844428147707E-2</v>
      </c>
      <c r="M117">
        <v>2.7323936413339078</v>
      </c>
      <c r="N117">
        <v>2.6912197702819031E-2</v>
      </c>
      <c r="O117">
        <v>2.0999126067550171</v>
      </c>
      <c r="P117">
        <v>2.4479935565285498</v>
      </c>
      <c r="Q117">
        <v>7.6074212397313065E-3</v>
      </c>
      <c r="R117">
        <v>0.1052252098490411</v>
      </c>
      <c r="S117">
        <v>5.5173818290636906E-5</v>
      </c>
      <c r="T117">
        <v>0.10522520984904134</v>
      </c>
      <c r="U117">
        <v>1.3293089559849784</v>
      </c>
      <c r="V117">
        <v>0.56069196191028148</v>
      </c>
      <c r="W117">
        <v>0.17827393983101186</v>
      </c>
      <c r="X117">
        <v>1.2820507551317959</v>
      </c>
      <c r="Y117">
        <v>0.23812702584054812</v>
      </c>
      <c r="Z117">
        <v>1.1921080763860883</v>
      </c>
    </row>
    <row r="118" spans="1:26" x14ac:dyDescent="0.2">
      <c r="A118" s="17">
        <v>11021</v>
      </c>
      <c r="B118" s="17" t="s">
        <v>253</v>
      </c>
      <c r="C118" s="17" t="s">
        <v>129</v>
      </c>
      <c r="D118" s="73">
        <v>44256</v>
      </c>
      <c r="E118" s="74">
        <v>7.3</v>
      </c>
      <c r="F118" s="17">
        <v>0.24990999999999999</v>
      </c>
      <c r="G118" s="75">
        <v>4.4639999999997571E-2</v>
      </c>
      <c r="H118" t="s">
        <v>239</v>
      </c>
      <c r="I118">
        <v>1.0052892068106721E-2</v>
      </c>
      <c r="J118">
        <v>0.63007120184034215</v>
      </c>
      <c r="K118">
        <v>7.125815013881022E-3</v>
      </c>
      <c r="L118">
        <v>1.125850921028327E-2</v>
      </c>
      <c r="M118">
        <v>0.76860044030155739</v>
      </c>
      <c r="N118">
        <v>1.2947664176287337E-2</v>
      </c>
      <c r="O118">
        <v>0.52511298732848477</v>
      </c>
      <c r="P118">
        <v>0.67112179607756628</v>
      </c>
      <c r="Q118">
        <v>6.8673051401021449E-3</v>
      </c>
      <c r="R118">
        <v>0.1734840345784594</v>
      </c>
      <c r="S118">
        <v>4.9806029402906451E-5</v>
      </c>
      <c r="T118">
        <v>0.17348403457845843</v>
      </c>
      <c r="U118">
        <v>1.0739136480287305E-2</v>
      </c>
      <c r="V118">
        <v>1.6795586015239832</v>
      </c>
      <c r="W118">
        <v>6.8592136419014455E-4</v>
      </c>
      <c r="X118">
        <v>0.21042993770423232</v>
      </c>
      <c r="Y118">
        <v>7.3740286969588565E-6</v>
      </c>
      <c r="Z118">
        <v>1.6603524989273204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44256</v>
      </c>
      <c r="E119" s="15"/>
      <c r="F119" s="16">
        <v>1.10995</v>
      </c>
      <c r="G119" s="16">
        <v>10.349080000000001</v>
      </c>
      <c r="H119" t="s">
        <v>240</v>
      </c>
      <c r="I119">
        <v>1.0096159537487888E-2</v>
      </c>
      <c r="J119">
        <v>1.6931963507580978</v>
      </c>
      <c r="K119">
        <v>7.1306415174525418E-3</v>
      </c>
      <c r="L119">
        <v>1.2194668183489746E-2</v>
      </c>
      <c r="M119">
        <v>2.7321664668852979</v>
      </c>
      <c r="N119">
        <v>3.2112112133324149E-2</v>
      </c>
      <c r="O119">
        <v>2.0455969959653908</v>
      </c>
      <c r="P119">
        <v>1.8168302477786773</v>
      </c>
      <c r="Q119">
        <v>7.5722092383457302E-3</v>
      </c>
      <c r="R119">
        <v>0.10789712614393825</v>
      </c>
      <c r="S119">
        <v>5.4918438641623774E-5</v>
      </c>
      <c r="T119">
        <v>0.10789712614393898</v>
      </c>
      <c r="U119">
        <v>1.3274719730827149</v>
      </c>
      <c r="V119">
        <v>0.49427859213526504</v>
      </c>
      <c r="W119">
        <v>0.18172523730458712</v>
      </c>
      <c r="X119">
        <v>1.4550062940439843</v>
      </c>
      <c r="Y119">
        <v>0.24086017145277849</v>
      </c>
      <c r="Z119">
        <v>1.339983217257062</v>
      </c>
    </row>
    <row r="120" spans="1:26" x14ac:dyDescent="0.2">
      <c r="A120" s="17">
        <v>11022</v>
      </c>
      <c r="B120" s="17" t="s">
        <v>254</v>
      </c>
      <c r="C120" s="17" t="s">
        <v>129</v>
      </c>
      <c r="D120" s="73">
        <v>44256</v>
      </c>
      <c r="E120" s="74">
        <v>7.3</v>
      </c>
      <c r="F120" s="17">
        <v>0.18507999999999999</v>
      </c>
      <c r="G120" s="75">
        <v>5.0180000000001002E-2</v>
      </c>
      <c r="H120" t="s">
        <v>241</v>
      </c>
      <c r="I120">
        <v>1.0048234880824626E-2</v>
      </c>
      <c r="J120">
        <v>0.67006724213195068</v>
      </c>
      <c r="K120">
        <v>7.1252769673524575E-3</v>
      </c>
      <c r="L120">
        <v>1.5186089676842257E-2</v>
      </c>
      <c r="M120">
        <v>0.51275688910192629</v>
      </c>
      <c r="N120">
        <v>1.3626915374834707E-2</v>
      </c>
      <c r="O120">
        <v>0.35025056043404196</v>
      </c>
      <c r="P120">
        <v>0.6498694457244415</v>
      </c>
      <c r="Q120">
        <v>6.8571793333185201E-3</v>
      </c>
      <c r="R120">
        <v>0.16993009984911975</v>
      </c>
      <c r="S120">
        <v>4.9732590663822578E-5</v>
      </c>
      <c r="T120">
        <v>0.169930099849119</v>
      </c>
      <c r="U120">
        <v>6.5939839728135973E-3</v>
      </c>
      <c r="V120">
        <v>3.0481356116830214</v>
      </c>
      <c r="W120">
        <v>4.186504931453264E-4</v>
      </c>
      <c r="X120">
        <v>0.24046659337494378</v>
      </c>
      <c r="Y120">
        <v>2.7464614530175761E-6</v>
      </c>
      <c r="Z120">
        <v>2.8477987141682268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44256</v>
      </c>
      <c r="E121" s="15"/>
      <c r="F121" s="16">
        <v>1.10995</v>
      </c>
      <c r="G121" s="16">
        <v>10.349080000000001</v>
      </c>
      <c r="H121" t="s">
        <v>242</v>
      </c>
      <c r="I121">
        <v>1.0157779851119158E-2</v>
      </c>
      <c r="J121">
        <v>2.1086206723467971</v>
      </c>
      <c r="K121">
        <v>7.1303188713188531E-3</v>
      </c>
      <c r="L121">
        <v>1.2746805332150137E-2</v>
      </c>
      <c r="M121">
        <v>2.7325096168098462</v>
      </c>
      <c r="N121">
        <v>3.0690423825754765E-2</v>
      </c>
      <c r="O121">
        <v>2.0500101305743312</v>
      </c>
      <c r="P121">
        <v>2.2029918312449168</v>
      </c>
      <c r="Q121">
        <v>7.5944017242036794E-3</v>
      </c>
      <c r="R121">
        <v>0.14390122419748722</v>
      </c>
      <c r="S121">
        <v>5.5079392550124241E-5</v>
      </c>
      <c r="T121">
        <v>0.14390122419748616</v>
      </c>
      <c r="U121">
        <v>1.3254260899767087</v>
      </c>
      <c r="V121">
        <v>0.52618905485889456</v>
      </c>
      <c r="W121">
        <v>0.17783350554395502</v>
      </c>
      <c r="X121">
        <v>1.2208620806337416</v>
      </c>
      <c r="Y121">
        <v>0.23600083249683529</v>
      </c>
      <c r="Z121">
        <v>1.1051749100208881</v>
      </c>
    </row>
    <row r="122" spans="1:26" x14ac:dyDescent="0.2">
      <c r="A122" s="17">
        <v>11023</v>
      </c>
      <c r="B122" s="17" t="s">
        <v>255</v>
      </c>
      <c r="C122" s="17" t="s">
        <v>129</v>
      </c>
      <c r="D122" s="73">
        <v>44256</v>
      </c>
      <c r="E122" s="74">
        <v>7.3</v>
      </c>
      <c r="F122" s="17">
        <v>7.2010000000000005E-2</v>
      </c>
      <c r="G122" s="75">
        <v>5.3119999999999834E-2</v>
      </c>
      <c r="H122" t="s">
        <v>243</v>
      </c>
      <c r="I122">
        <v>9.9323729881321317E-3</v>
      </c>
      <c r="J122">
        <v>0.54759718971939242</v>
      </c>
      <c r="K122">
        <v>7.1255659178863905E-3</v>
      </c>
      <c r="L122">
        <v>1.9631463185004076E-2</v>
      </c>
      <c r="M122">
        <v>0.26288704125611789</v>
      </c>
      <c r="N122">
        <v>1.5811616799780021E-2</v>
      </c>
      <c r="O122">
        <v>0.18075867501666484</v>
      </c>
      <c r="P122">
        <v>0.63073400948580427</v>
      </c>
      <c r="Q122">
        <v>6.8413514065465584E-3</v>
      </c>
      <c r="R122">
        <v>0.17955531662867427</v>
      </c>
      <c r="S122">
        <v>4.9617796553162205E-5</v>
      </c>
      <c r="T122">
        <v>0.1795553166286751</v>
      </c>
      <c r="U122">
        <v>7.0944409125296452E-3</v>
      </c>
      <c r="V122">
        <v>2.0817632873459382</v>
      </c>
      <c r="W122">
        <v>9.3433273856743969E-4</v>
      </c>
      <c r="X122">
        <v>0.2787042704958016</v>
      </c>
      <c r="Y122">
        <v>6.6174999879248946E-6</v>
      </c>
      <c r="Z122">
        <v>2.0208532137086488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44256</v>
      </c>
      <c r="E123" s="15"/>
      <c r="F123" s="16">
        <v>1.10995</v>
      </c>
      <c r="G123" s="16">
        <v>10.349080000000001</v>
      </c>
      <c r="H123" t="s">
        <v>244</v>
      </c>
      <c r="I123">
        <v>9.9408977540588871E-3</v>
      </c>
      <c r="J123">
        <v>2.294140530358177</v>
      </c>
      <c r="K123">
        <v>7.1295651290503937E-3</v>
      </c>
      <c r="L123">
        <v>1.009614378977918E-2</v>
      </c>
      <c r="M123">
        <v>2.7330467554246773</v>
      </c>
      <c r="N123">
        <v>2.4761315475542396E-2</v>
      </c>
      <c r="O123">
        <v>2.094340347831984</v>
      </c>
      <c r="P123">
        <v>2.330634889768961</v>
      </c>
      <c r="Q123">
        <v>7.5864913151804927E-3</v>
      </c>
      <c r="R123">
        <v>0.1299093945166058</v>
      </c>
      <c r="S123">
        <v>5.5022021273275475E-5</v>
      </c>
      <c r="T123">
        <v>0.12990939451660466</v>
      </c>
      <c r="U123">
        <v>1.3250433653239244</v>
      </c>
      <c r="V123">
        <v>0.45522120413712736</v>
      </c>
      <c r="W123">
        <v>0.17697961866062062</v>
      </c>
      <c r="X123">
        <v>0.80358675708351923</v>
      </c>
      <c r="Y123">
        <v>0.23414527848438615</v>
      </c>
      <c r="Z123">
        <v>0.78071248267502935</v>
      </c>
    </row>
    <row r="124" spans="1:26" x14ac:dyDescent="0.2">
      <c r="A124" s="17">
        <v>11024</v>
      </c>
      <c r="B124" s="17" t="s">
        <v>256</v>
      </c>
      <c r="C124" s="17" t="s">
        <v>129</v>
      </c>
      <c r="D124" s="73">
        <v>44256</v>
      </c>
      <c r="E124" s="74">
        <v>19.899999999999999</v>
      </c>
      <c r="F124" s="17">
        <v>0.31441000000000002</v>
      </c>
      <c r="G124" s="75">
        <v>4.8909999999999343E-2</v>
      </c>
      <c r="H124" t="s">
        <v>245</v>
      </c>
      <c r="I124">
        <v>1.0011267878337112E-2</v>
      </c>
      <c r="J124">
        <v>0.60836812274316143</v>
      </c>
      <c r="K124">
        <v>7.1227643854234321E-3</v>
      </c>
      <c r="L124">
        <v>7.7566361358306123E-3</v>
      </c>
      <c r="M124">
        <v>0.97610907341097164</v>
      </c>
      <c r="N124">
        <v>1.0738577128328548E-2</v>
      </c>
      <c r="O124">
        <v>0.67247471296534678</v>
      </c>
      <c r="P124">
        <v>0.69110510757032206</v>
      </c>
      <c r="Q124">
        <v>6.8944311730977648E-3</v>
      </c>
      <c r="R124">
        <v>0.11938354196211864</v>
      </c>
      <c r="S124">
        <v>5.0002764507783997E-5</v>
      </c>
      <c r="T124">
        <v>0.11938354196211801</v>
      </c>
      <c r="U124">
        <v>4.1833889101901597E-2</v>
      </c>
      <c r="V124">
        <v>0.78954432142522102</v>
      </c>
      <c r="W124">
        <v>7.8689198764201839E-5</v>
      </c>
      <c r="X124">
        <v>0.24668741853598794</v>
      </c>
      <c r="Y124">
        <v>3.2871470932499419E-6</v>
      </c>
      <c r="Z124">
        <v>0.68429961954213303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44256</v>
      </c>
      <c r="E125" s="15"/>
      <c r="F125" s="16">
        <v>1.10995</v>
      </c>
      <c r="G125" s="16">
        <v>10.349080000000001</v>
      </c>
      <c r="H125" t="s">
        <v>246</v>
      </c>
      <c r="I125">
        <v>9.756145259959003E-3</v>
      </c>
      <c r="J125">
        <v>1.8558928412891313</v>
      </c>
      <c r="K125">
        <v>7.1302512079738029E-3</v>
      </c>
      <c r="L125">
        <v>8.9977664670280785E-3</v>
      </c>
      <c r="M125">
        <v>2.7338655904241493</v>
      </c>
      <c r="N125">
        <v>3.9440426601183021E-2</v>
      </c>
      <c r="O125">
        <v>2.1252192867376656</v>
      </c>
      <c r="P125">
        <v>1.980602381742107</v>
      </c>
      <c r="Q125">
        <v>7.5944975742809262E-3</v>
      </c>
      <c r="R125">
        <v>0.13699952958413777</v>
      </c>
      <c r="S125">
        <v>5.5080087715355474E-5</v>
      </c>
      <c r="T125">
        <v>0.13699952958413847</v>
      </c>
      <c r="U125">
        <v>1.320078538041515</v>
      </c>
      <c r="V125">
        <v>0.46500198884225441</v>
      </c>
      <c r="W125">
        <v>0.18119148696086648</v>
      </c>
      <c r="X125">
        <v>1.2389571669253008</v>
      </c>
      <c r="Y125">
        <v>0.23973932166621617</v>
      </c>
      <c r="Z125">
        <v>1.2579959767328421</v>
      </c>
    </row>
    <row r="126" spans="1:26" x14ac:dyDescent="0.2">
      <c r="A126" s="17">
        <v>11025</v>
      </c>
      <c r="B126" s="17" t="s">
        <v>257</v>
      </c>
      <c r="C126" s="17" t="s">
        <v>129</v>
      </c>
      <c r="D126" s="73">
        <v>44256</v>
      </c>
      <c r="E126" s="74">
        <v>19.899999999999999</v>
      </c>
      <c r="F126" s="17">
        <v>0.16433</v>
      </c>
      <c r="G126" s="75">
        <v>5.0719999999998322E-2</v>
      </c>
      <c r="H126" t="s">
        <v>247</v>
      </c>
      <c r="I126">
        <v>9.9467698170797592E-3</v>
      </c>
      <c r="J126">
        <v>0.67641196361056777</v>
      </c>
      <c r="K126">
        <v>7.1222748651044825E-3</v>
      </c>
      <c r="L126">
        <v>1.3335185532040715E-2</v>
      </c>
      <c r="M126">
        <v>0.55976982123737862</v>
      </c>
      <c r="N126">
        <v>1.5511931374423242E-2</v>
      </c>
      <c r="O126">
        <v>0.39118183189537165</v>
      </c>
      <c r="P126">
        <v>0.74612061465631718</v>
      </c>
      <c r="Q126">
        <v>6.946167958941451E-3</v>
      </c>
      <c r="R126">
        <v>0.15410368528681762</v>
      </c>
      <c r="S126">
        <v>5.0377992319039231E-5</v>
      </c>
      <c r="T126">
        <v>0.1541036852868177</v>
      </c>
      <c r="U126">
        <v>2.7202653639312912E-2</v>
      </c>
      <c r="V126">
        <v>0.75153931348509484</v>
      </c>
      <c r="W126">
        <v>2.3169840152111512E-4</v>
      </c>
      <c r="X126">
        <v>0.20318233714291747</v>
      </c>
      <c r="Y126">
        <v>6.29465191808999E-6</v>
      </c>
      <c r="Z126">
        <v>0.74228302211699637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44256</v>
      </c>
      <c r="E127" s="15"/>
      <c r="F127" s="16">
        <v>1.10995</v>
      </c>
      <c r="G127" s="16">
        <v>10.349080000000001</v>
      </c>
      <c r="H127" t="s">
        <v>248</v>
      </c>
      <c r="I127">
        <v>1.0012290326785141E-2</v>
      </c>
      <c r="J127">
        <v>2.6555230122344669</v>
      </c>
      <c r="K127">
        <v>7.1306476045064453E-3</v>
      </c>
      <c r="L127">
        <v>1.0062611411924917E-2</v>
      </c>
      <c r="M127">
        <v>2.733281881911227</v>
      </c>
      <c r="N127">
        <v>3.6778919543032133E-2</v>
      </c>
      <c r="O127">
        <v>2.0744092067549293</v>
      </c>
      <c r="P127">
        <v>2.7725880900512871</v>
      </c>
      <c r="Q127">
        <v>7.5967326144027294E-3</v>
      </c>
      <c r="R127">
        <v>0.13259707650098165</v>
      </c>
      <c r="S127">
        <v>5.5096297636387388E-5</v>
      </c>
      <c r="T127">
        <v>0.13259707650098257</v>
      </c>
      <c r="U127">
        <v>1.3195892754953849</v>
      </c>
      <c r="V127">
        <v>0.55500122314477407</v>
      </c>
      <c r="W127">
        <v>0.17712219496100967</v>
      </c>
      <c r="X127">
        <v>1.0733182306007858</v>
      </c>
      <c r="Y127">
        <v>0.23354215467682754</v>
      </c>
      <c r="Z127">
        <v>1.2199258452581463</v>
      </c>
    </row>
    <row r="128" spans="1:26" x14ac:dyDescent="0.2">
      <c r="A128" s="17">
        <v>11026</v>
      </c>
      <c r="B128" s="17" t="s">
        <v>258</v>
      </c>
      <c r="C128" s="17" t="s">
        <v>129</v>
      </c>
      <c r="D128" s="73">
        <v>44256</v>
      </c>
      <c r="E128" s="74">
        <v>19.899999999999999</v>
      </c>
      <c r="F128" s="17">
        <v>0.27372999999999997</v>
      </c>
      <c r="G128" s="75">
        <v>4.4350000000001444E-2</v>
      </c>
      <c r="H128" t="s">
        <v>249</v>
      </c>
      <c r="I128">
        <v>9.8577652119739949E-3</v>
      </c>
      <c r="J128">
        <v>1.1030476152729392</v>
      </c>
      <c r="K128">
        <v>7.1147633989529415E-3</v>
      </c>
      <c r="L128">
        <v>1.3460704196647166E-2</v>
      </c>
      <c r="M128">
        <v>0.97608281326369473</v>
      </c>
      <c r="N128">
        <v>1.693510450722549E-2</v>
      </c>
      <c r="O128">
        <v>0.66741031634904235</v>
      </c>
      <c r="P128">
        <v>1.0693546414184367</v>
      </c>
      <c r="Q128">
        <v>6.7438387504591135E-3</v>
      </c>
      <c r="R128">
        <v>0.12599413646566388</v>
      </c>
      <c r="S128">
        <v>4.891057325127548E-5</v>
      </c>
      <c r="T128">
        <v>0.12599413646566437</v>
      </c>
      <c r="U128">
        <v>7.39455214732581E-2</v>
      </c>
      <c r="V128">
        <v>1.2501872576974185</v>
      </c>
      <c r="W128">
        <v>6.2809508204504061E-5</v>
      </c>
      <c r="X128">
        <v>0.30578549474513833</v>
      </c>
      <c r="Y128">
        <v>4.6615510320429655E-6</v>
      </c>
      <c r="Z128">
        <v>1.2687963896475711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44256</v>
      </c>
      <c r="E129" s="15"/>
      <c r="F129" s="16">
        <v>1.10995</v>
      </c>
      <c r="G129" s="16">
        <v>10.349080000000001</v>
      </c>
      <c r="H129" t="s">
        <v>250</v>
      </c>
      <c r="I129">
        <v>1.0024382824350369E-2</v>
      </c>
      <c r="J129">
        <v>3.0541101854298938</v>
      </c>
      <c r="K129">
        <v>7.1353375059046214E-3</v>
      </c>
      <c r="L129">
        <v>1.08259515708537E-2</v>
      </c>
      <c r="M129">
        <v>2.7312855986339231</v>
      </c>
      <c r="N129">
        <v>3.8345633904264174E-2</v>
      </c>
      <c r="O129">
        <v>2.0457586176977727</v>
      </c>
      <c r="P129">
        <v>3.1410828730487084</v>
      </c>
      <c r="Q129">
        <v>7.4758831892463877E-3</v>
      </c>
      <c r="R129">
        <v>0.14572171558309782</v>
      </c>
      <c r="S129">
        <v>5.4219821362235472E-5</v>
      </c>
      <c r="T129">
        <v>0.14572171558309654</v>
      </c>
      <c r="U129">
        <v>1.3233581910902783</v>
      </c>
      <c r="V129">
        <v>0.48585058116202284</v>
      </c>
      <c r="W129">
        <v>0.17659611505720571</v>
      </c>
      <c r="X129">
        <v>1.107005712277459</v>
      </c>
      <c r="Y129">
        <v>0.23203716157215548</v>
      </c>
      <c r="Z129">
        <v>1.3759233291203699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44257</v>
      </c>
      <c r="E131" s="15"/>
      <c r="F131" s="16">
        <v>1.10995</v>
      </c>
      <c r="G131" s="16">
        <v>10.349080000000001</v>
      </c>
      <c r="H131" t="s">
        <v>234</v>
      </c>
      <c r="I131">
        <v>9.4461666219193725E-3</v>
      </c>
      <c r="J131">
        <v>2.8043104953534543</v>
      </c>
      <c r="K131">
        <v>7.1369003621495185E-3</v>
      </c>
      <c r="L131">
        <v>1.7692470486073808E-2</v>
      </c>
      <c r="M131">
        <v>2.7329020348522368</v>
      </c>
      <c r="N131">
        <v>2.2330159193986628E-2</v>
      </c>
      <c r="O131">
        <v>2.1773485139737994</v>
      </c>
      <c r="P131">
        <v>2.9773025839357459</v>
      </c>
      <c r="Q131">
        <v>7.5402529124971264E-3</v>
      </c>
      <c r="R131">
        <v>0.17650301532037257</v>
      </c>
      <c r="S131">
        <v>5.468667120558397E-5</v>
      </c>
      <c r="T131">
        <v>0.17650301532037158</v>
      </c>
      <c r="U131">
        <v>1.3156763166420717</v>
      </c>
      <c r="V131">
        <v>0.57633058655358038</v>
      </c>
      <c r="W131">
        <v>0.17668845421175164</v>
      </c>
      <c r="X131">
        <v>1.5287899002841103</v>
      </c>
      <c r="Y131">
        <v>0.2329159742642519</v>
      </c>
      <c r="Z131">
        <v>1.4583218900419661</v>
      </c>
    </row>
    <row r="132" spans="1:26" x14ac:dyDescent="0.2">
      <c r="A132" s="17">
        <v>11027</v>
      </c>
      <c r="B132" s="17" t="s">
        <v>259</v>
      </c>
      <c r="C132" s="17" t="s">
        <v>129</v>
      </c>
      <c r="D132" s="73">
        <v>44257</v>
      </c>
      <c r="E132" s="74">
        <v>15.8</v>
      </c>
      <c r="F132" s="17">
        <v>0.20596999999999999</v>
      </c>
      <c r="G132" s="75">
        <v>5.076000000000036E-2</v>
      </c>
      <c r="H132" t="s">
        <v>267</v>
      </c>
      <c r="I132">
        <v>1.0039188443681842E-2</v>
      </c>
      <c r="J132">
        <v>0.43025013837457143</v>
      </c>
      <c r="K132">
        <v>7.125998852086559E-3</v>
      </c>
      <c r="L132">
        <v>1.5254024684612255E-2</v>
      </c>
      <c r="M132">
        <v>0.64564230451434201</v>
      </c>
      <c r="N132">
        <v>1.3860516861242976E-2</v>
      </c>
      <c r="O132">
        <v>0.4406796857729221</v>
      </c>
      <c r="P132">
        <v>0.42631690732122185</v>
      </c>
      <c r="Q132">
        <v>6.8574171447591233E-3</v>
      </c>
      <c r="R132">
        <v>0.14812635791801462</v>
      </c>
      <c r="S132">
        <v>4.9734315422423114E-5</v>
      </c>
      <c r="T132">
        <v>0.14812635791801573</v>
      </c>
      <c r="U132">
        <v>1.6482117845063874E-2</v>
      </c>
      <c r="V132">
        <v>1.2672764195828154</v>
      </c>
      <c r="W132">
        <v>4.3455570673955147E-4</v>
      </c>
      <c r="X132">
        <v>0.29905112381384802</v>
      </c>
      <c r="Y132">
        <v>7.1642924039478102E-6</v>
      </c>
      <c r="Z132">
        <v>1.2662866294641852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44257</v>
      </c>
      <c r="E133" s="15"/>
      <c r="F133" s="16">
        <v>1.10995</v>
      </c>
      <c r="G133" s="16">
        <v>10.349080000000001</v>
      </c>
      <c r="H133" t="s">
        <v>236</v>
      </c>
      <c r="I133">
        <v>9.7908618698878593E-3</v>
      </c>
      <c r="J133">
        <v>2.0461633979055498</v>
      </c>
      <c r="K133">
        <v>7.126792444479624E-3</v>
      </c>
      <c r="L133">
        <v>9.4657228346824007E-3</v>
      </c>
      <c r="M133">
        <v>2.7308765459010829</v>
      </c>
      <c r="N133">
        <v>2.8113954491520862E-2</v>
      </c>
      <c r="O133">
        <v>2.1214213042328738</v>
      </c>
      <c r="P133">
        <v>2.0095777687557335</v>
      </c>
      <c r="Q133">
        <v>7.5841712511677227E-3</v>
      </c>
      <c r="R133">
        <v>0.19782567995387429</v>
      </c>
      <c r="S133">
        <v>5.5005194705345352E-5</v>
      </c>
      <c r="T133">
        <v>0.19782567995387471</v>
      </c>
      <c r="U133">
        <v>1.3281481107849533</v>
      </c>
      <c r="V133">
        <v>0.53772299678075319</v>
      </c>
      <c r="W133">
        <v>0.1756271375125095</v>
      </c>
      <c r="X133">
        <v>1.3504892674189468</v>
      </c>
      <c r="Y133">
        <v>0.23297795942846741</v>
      </c>
      <c r="Z133">
        <v>1.1076696385162996</v>
      </c>
    </row>
    <row r="134" spans="1:26" x14ac:dyDescent="0.2">
      <c r="A134" s="17">
        <v>11028</v>
      </c>
      <c r="B134" s="17" t="s">
        <v>260</v>
      </c>
      <c r="C134" s="17" t="s">
        <v>129</v>
      </c>
      <c r="D134" s="73">
        <v>44257</v>
      </c>
      <c r="E134" s="74">
        <v>15.8</v>
      </c>
      <c r="F134" s="17">
        <v>0.16420000000000001</v>
      </c>
      <c r="G134" s="75">
        <v>4.8939999999998207E-2</v>
      </c>
      <c r="H134" t="s">
        <v>268</v>
      </c>
      <c r="I134">
        <v>1.0123989464274348E-2</v>
      </c>
      <c r="J134">
        <v>0.88688553811152226</v>
      </c>
      <c r="K134">
        <v>7.1263060744770814E-3</v>
      </c>
      <c r="L134">
        <v>1.9625546268108772E-2</v>
      </c>
      <c r="M134">
        <v>0.46492576558914833</v>
      </c>
      <c r="N134">
        <v>1.7628990579662111E-2</v>
      </c>
      <c r="O134">
        <v>0.31516328620442374</v>
      </c>
      <c r="P134">
        <v>1.1578272032850978</v>
      </c>
      <c r="Q134">
        <v>6.8691349083294315E-3</v>
      </c>
      <c r="R134">
        <v>0.22662674067605795</v>
      </c>
      <c r="S134">
        <v>4.9819300036476612E-5</v>
      </c>
      <c r="T134">
        <v>0.22662674067605729</v>
      </c>
      <c r="U134">
        <v>9.1329961932875587E-3</v>
      </c>
      <c r="V134">
        <v>2.3898201380541098</v>
      </c>
      <c r="W134">
        <v>1.9917915740328943E-3</v>
      </c>
      <c r="X134">
        <v>0.31619663235061479</v>
      </c>
      <c r="Y134">
        <v>1.8189768417564037E-5</v>
      </c>
      <c r="Z134">
        <v>2.376870812019888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44257</v>
      </c>
      <c r="E135" s="15"/>
      <c r="F135" s="16">
        <v>1.10995</v>
      </c>
      <c r="G135" s="16">
        <v>10.349080000000001</v>
      </c>
      <c r="H135" t="s">
        <v>238</v>
      </c>
      <c r="I135">
        <v>9.9763530111624671E-3</v>
      </c>
      <c r="J135">
        <v>2.4964791081653055</v>
      </c>
      <c r="K135">
        <v>7.1285739312588739E-3</v>
      </c>
      <c r="L135">
        <v>1.342230223896698E-2</v>
      </c>
      <c r="M135">
        <v>2.7312708986349192</v>
      </c>
      <c r="N135">
        <v>3.3869516803301199E-2</v>
      </c>
      <c r="O135">
        <v>2.0846878475194006</v>
      </c>
      <c r="P135">
        <v>2.5217450405032671</v>
      </c>
      <c r="Q135">
        <v>7.5916818252395706E-3</v>
      </c>
      <c r="R135">
        <v>0.14248577133510856</v>
      </c>
      <c r="S135">
        <v>5.5059666126874413E-5</v>
      </c>
      <c r="T135">
        <v>0.14248577133510834</v>
      </c>
      <c r="U135">
        <v>1.3259298510912676</v>
      </c>
      <c r="V135">
        <v>0.55294814047987106</v>
      </c>
      <c r="W135">
        <v>0.17856547910437823</v>
      </c>
      <c r="X135">
        <v>1.1480619128615206</v>
      </c>
      <c r="Y135">
        <v>0.23711777096748438</v>
      </c>
      <c r="Z135">
        <v>1.1382895955003733</v>
      </c>
    </row>
    <row r="136" spans="1:26" x14ac:dyDescent="0.2">
      <c r="A136" s="17">
        <v>11029</v>
      </c>
      <c r="B136" s="17" t="s">
        <v>261</v>
      </c>
      <c r="C136" s="17" t="s">
        <v>129</v>
      </c>
      <c r="D136" s="73">
        <v>44257</v>
      </c>
      <c r="E136" s="74">
        <v>15.8</v>
      </c>
      <c r="F136" s="17">
        <v>0.1472</v>
      </c>
      <c r="G136" s="75">
        <v>5.0250000000000128E-2</v>
      </c>
      <c r="H136" t="s">
        <v>269</v>
      </c>
      <c r="I136">
        <v>1.0039902775205844E-2</v>
      </c>
      <c r="J136">
        <v>0.73525638195144394</v>
      </c>
      <c r="K136">
        <v>7.1223655542445299E-3</v>
      </c>
      <c r="L136">
        <v>1.4286145907791578E-2</v>
      </c>
      <c r="M136">
        <v>0.50856782200987938</v>
      </c>
      <c r="N136">
        <v>1.7300462334713766E-2</v>
      </c>
      <c r="O136">
        <v>0.3534705964772436</v>
      </c>
      <c r="P136">
        <v>0.73438455654339352</v>
      </c>
      <c r="Q136">
        <v>6.9845840199933831E-3</v>
      </c>
      <c r="R136">
        <v>0.14160625382205705</v>
      </c>
      <c r="S136">
        <v>5.0656609830167922E-5</v>
      </c>
      <c r="T136">
        <v>0.14160625382205783</v>
      </c>
      <c r="U136">
        <v>2.2334259486023505E-2</v>
      </c>
      <c r="V136">
        <v>1.0634237545674905</v>
      </c>
      <c r="W136">
        <v>3.1699520873679601E-4</v>
      </c>
      <c r="X136">
        <v>0.21405326035327538</v>
      </c>
      <c r="Y136">
        <v>7.0851281559652981E-6</v>
      </c>
      <c r="Z136">
        <v>1.0561396937864014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44257</v>
      </c>
      <c r="E137" s="15"/>
      <c r="F137" s="16">
        <v>1.10995</v>
      </c>
      <c r="G137" s="16">
        <v>10.349080000000001</v>
      </c>
      <c r="H137" t="s">
        <v>240</v>
      </c>
      <c r="I137">
        <v>9.8365569072404145E-3</v>
      </c>
      <c r="J137">
        <v>3.4009488319878911</v>
      </c>
      <c r="K137">
        <v>7.1309511538153224E-3</v>
      </c>
      <c r="L137">
        <v>1.5522725533275971E-2</v>
      </c>
      <c r="M137">
        <v>2.732887258325289</v>
      </c>
      <c r="N137">
        <v>3.8703260748673557E-2</v>
      </c>
      <c r="O137">
        <v>2.1099678827112829</v>
      </c>
      <c r="P137">
        <v>3.6339930472687874</v>
      </c>
      <c r="Q137">
        <v>7.6037938751254766E-3</v>
      </c>
      <c r="R137">
        <v>0.1843043814462286</v>
      </c>
      <c r="S137">
        <v>5.5147510354040643E-5</v>
      </c>
      <c r="T137">
        <v>0.18430438144622766</v>
      </c>
      <c r="U137">
        <v>1.3223558598246603</v>
      </c>
      <c r="V137">
        <v>0.62892564831946474</v>
      </c>
      <c r="W137">
        <v>0.17841646013758578</v>
      </c>
      <c r="X137">
        <v>1.5562448179783217</v>
      </c>
      <c r="Y137">
        <v>0.23620388817552523</v>
      </c>
      <c r="Z137">
        <v>1.3341627092365242</v>
      </c>
    </row>
    <row r="138" spans="1:26" x14ac:dyDescent="0.2">
      <c r="A138" s="17">
        <v>11030</v>
      </c>
      <c r="B138" s="17" t="s">
        <v>262</v>
      </c>
      <c r="C138" s="17" t="s">
        <v>129</v>
      </c>
      <c r="D138" s="73">
        <v>44257</v>
      </c>
      <c r="E138" s="74">
        <v>15.8</v>
      </c>
      <c r="F138" s="17">
        <v>0.13485</v>
      </c>
      <c r="G138" s="75">
        <v>5.0689999999999999E-2</v>
      </c>
      <c r="H138" t="s">
        <v>270</v>
      </c>
      <c r="I138">
        <v>9.9855024192664274E-3</v>
      </c>
      <c r="J138">
        <v>0.58550430125636599</v>
      </c>
      <c r="K138">
        <v>7.123520097863472E-3</v>
      </c>
      <c r="L138">
        <v>1.9761885444755142E-2</v>
      </c>
      <c r="M138">
        <v>0.4046473673175589</v>
      </c>
      <c r="N138">
        <v>1.9676376521581093E-2</v>
      </c>
      <c r="O138">
        <v>0.27823361165914862</v>
      </c>
      <c r="P138">
        <v>0.60297669770896367</v>
      </c>
      <c r="Q138">
        <v>6.8697521615283651E-3</v>
      </c>
      <c r="R138">
        <v>0.15987112493120159</v>
      </c>
      <c r="S138">
        <v>4.9823776746095294E-5</v>
      </c>
      <c r="T138">
        <v>0.15987112493120259</v>
      </c>
      <c r="U138">
        <v>8.0633115405927894E-3</v>
      </c>
      <c r="V138">
        <v>1.682164838251059</v>
      </c>
      <c r="W138">
        <v>1.2590932158702617E-3</v>
      </c>
      <c r="X138">
        <v>0.29776935320172504</v>
      </c>
      <c r="Y138">
        <v>1.0159515225827131E-5</v>
      </c>
      <c r="Z138">
        <v>1.6745761872315124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44257</v>
      </c>
      <c r="E139" s="15"/>
      <c r="F139" s="16">
        <v>1.10995</v>
      </c>
      <c r="G139" s="16">
        <v>10.349080000000001</v>
      </c>
      <c r="H139" t="s">
        <v>242</v>
      </c>
      <c r="I139">
        <v>1.0303020901302617E-2</v>
      </c>
      <c r="J139">
        <v>2.0542319256956354</v>
      </c>
      <c r="K139">
        <v>7.1294000082437773E-3</v>
      </c>
      <c r="L139">
        <v>1.3944455013814637E-2</v>
      </c>
      <c r="M139">
        <v>2.732068159986254</v>
      </c>
      <c r="N139">
        <v>3.6456203709133543E-2</v>
      </c>
      <c r="O139">
        <v>2.0058356892098357</v>
      </c>
      <c r="P139">
        <v>2.2342748921281346</v>
      </c>
      <c r="Q139">
        <v>7.5817814020678028E-3</v>
      </c>
      <c r="R139">
        <v>0.11973826430212338</v>
      </c>
      <c r="S139">
        <v>5.4987862011936414E-5</v>
      </c>
      <c r="T139">
        <v>0.11973826430212504</v>
      </c>
      <c r="U139">
        <v>1.3167786167579019</v>
      </c>
      <c r="V139">
        <v>0.64052343547804502</v>
      </c>
      <c r="W139">
        <v>0.17756536675337264</v>
      </c>
      <c r="X139">
        <v>1.4206892230320634</v>
      </c>
      <c r="Y139">
        <v>0.23351557913994392</v>
      </c>
      <c r="Z139">
        <v>1.0711764256482976</v>
      </c>
    </row>
    <row r="140" spans="1:26" x14ac:dyDescent="0.2">
      <c r="A140" s="17">
        <v>11031</v>
      </c>
      <c r="B140" s="17" t="s">
        <v>263</v>
      </c>
      <c r="C140" s="17" t="s">
        <v>129</v>
      </c>
      <c r="D140" s="73">
        <v>44257</v>
      </c>
      <c r="E140" s="74">
        <v>15.8</v>
      </c>
      <c r="F140" s="17">
        <v>0.18953</v>
      </c>
      <c r="G140" s="75">
        <v>4.4850000000000001E-2</v>
      </c>
      <c r="H140" t="s">
        <v>271</v>
      </c>
      <c r="I140">
        <v>1.0065595737872045E-2</v>
      </c>
      <c r="J140">
        <v>0.57061823363400366</v>
      </c>
      <c r="K140">
        <v>7.1248834373977719E-3</v>
      </c>
      <c r="L140">
        <v>1.2549368735576162E-2</v>
      </c>
      <c r="M140">
        <v>0.64863747822727102</v>
      </c>
      <c r="N140">
        <v>1.4058717746554423E-2</v>
      </c>
      <c r="O140">
        <v>0.44098877211892662</v>
      </c>
      <c r="P140">
        <v>0.61314660316573533</v>
      </c>
      <c r="Q140">
        <v>6.852583225181846E-3</v>
      </c>
      <c r="R140">
        <v>0.11181448341509079</v>
      </c>
      <c r="S140">
        <v>4.9699256787968215E-5</v>
      </c>
      <c r="T140">
        <v>0.11181448341509026</v>
      </c>
      <c r="U140">
        <v>2.2820212515218957E-2</v>
      </c>
      <c r="V140">
        <v>1.4833469751725779</v>
      </c>
      <c r="W140">
        <v>2.6061294406763133E-4</v>
      </c>
      <c r="X140">
        <v>0.33095668410528656</v>
      </c>
      <c r="Y140">
        <v>5.946647646166731E-6</v>
      </c>
      <c r="Z140">
        <v>1.4412092182189939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44257</v>
      </c>
      <c r="E141" s="15"/>
      <c r="F141" s="16">
        <v>1.10995</v>
      </c>
      <c r="G141" s="16">
        <v>10.349080000000001</v>
      </c>
      <c r="H141" t="s">
        <v>244</v>
      </c>
      <c r="I141">
        <v>1.0171835021871281E-2</v>
      </c>
      <c r="J141">
        <v>2.8858907905259041</v>
      </c>
      <c r="K141">
        <v>7.1274539955607855E-3</v>
      </c>
      <c r="L141">
        <v>1.2449809495176567E-2</v>
      </c>
      <c r="M141">
        <v>2.7309200279546122</v>
      </c>
      <c r="N141">
        <v>3.871848696543323E-2</v>
      </c>
      <c r="O141">
        <v>2.0463075991354045</v>
      </c>
      <c r="P141">
        <v>2.9135057425143658</v>
      </c>
      <c r="Q141">
        <v>7.580207876389823E-3</v>
      </c>
      <c r="R141">
        <v>0.14140274681747944</v>
      </c>
      <c r="S141">
        <v>5.497644981099515E-5</v>
      </c>
      <c r="T141">
        <v>0.14140274681748022</v>
      </c>
      <c r="U141">
        <v>1.3259652034505187</v>
      </c>
      <c r="V141">
        <v>0.56763902234605002</v>
      </c>
      <c r="W141">
        <v>0.17780223217357025</v>
      </c>
      <c r="X141">
        <v>1.5140566784188449</v>
      </c>
      <c r="Y141">
        <v>0.23486989534996638</v>
      </c>
      <c r="Z141">
        <v>1.2500796628393618</v>
      </c>
    </row>
    <row r="142" spans="1:26" x14ac:dyDescent="0.2">
      <c r="A142" s="17">
        <v>11032</v>
      </c>
      <c r="B142" s="17" t="s">
        <v>264</v>
      </c>
      <c r="C142" s="17" t="s">
        <v>129</v>
      </c>
      <c r="D142" s="73">
        <v>44257</v>
      </c>
      <c r="E142" s="74">
        <v>0.7</v>
      </c>
      <c r="F142" s="17">
        <v>0.23541000000000001</v>
      </c>
      <c r="G142" s="75">
        <v>4.3319999999999997E-2</v>
      </c>
      <c r="H142" t="s">
        <v>272</v>
      </c>
      <c r="I142">
        <v>1.0053650373684005E-2</v>
      </c>
      <c r="J142">
        <v>0.84509777893796456</v>
      </c>
      <c r="K142">
        <v>7.1218426266817028E-3</v>
      </c>
      <c r="L142">
        <v>1.4039265680845781E-2</v>
      </c>
      <c r="M142">
        <v>0.82209273956545714</v>
      </c>
      <c r="N142">
        <v>1.194644663687639E-2</v>
      </c>
      <c r="O142">
        <v>0.55656388835923876</v>
      </c>
      <c r="P142">
        <v>0.87385694254522406</v>
      </c>
      <c r="Q142">
        <v>6.8008679276739823E-3</v>
      </c>
      <c r="R142">
        <v>0.11980520981054105</v>
      </c>
      <c r="S142">
        <v>4.9324184823681158E-5</v>
      </c>
      <c r="T142">
        <v>0.11980520981053969</v>
      </c>
      <c r="U142">
        <v>4.4718100270529894E-2</v>
      </c>
      <c r="V142">
        <v>0.84880954147400312</v>
      </c>
      <c r="W142">
        <v>4.9496523259688849E-5</v>
      </c>
      <c r="X142">
        <v>0.21038365252464469</v>
      </c>
      <c r="Y142">
        <v>2.2115143486601905E-6</v>
      </c>
      <c r="Z142">
        <v>0.91024957891497871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44257</v>
      </c>
      <c r="E143" s="15"/>
      <c r="F143" s="16">
        <v>1.10995</v>
      </c>
      <c r="G143" s="16">
        <v>10.349080000000001</v>
      </c>
      <c r="H143" t="s">
        <v>246</v>
      </c>
      <c r="I143">
        <v>9.8903000001721603E-3</v>
      </c>
      <c r="J143">
        <v>2.7705191576568011</v>
      </c>
      <c r="K143">
        <v>7.127781260777552E-3</v>
      </c>
      <c r="L143">
        <v>1.3589347057832532E-2</v>
      </c>
      <c r="M143">
        <v>2.7326859093918561</v>
      </c>
      <c r="N143">
        <v>4.7079140904664175E-2</v>
      </c>
      <c r="O143">
        <v>2.0814004934958894</v>
      </c>
      <c r="P143">
        <v>2.9695019195770009</v>
      </c>
      <c r="Q143">
        <v>7.543359421384576E-3</v>
      </c>
      <c r="R143">
        <v>0.10930617368478587</v>
      </c>
      <c r="S143">
        <v>5.4709201567906932E-5</v>
      </c>
      <c r="T143">
        <v>0.10930617368478486</v>
      </c>
      <c r="U143">
        <v>1.3280328910366965</v>
      </c>
      <c r="V143">
        <v>0.41505731620160791</v>
      </c>
      <c r="W143">
        <v>0.1770733417366164</v>
      </c>
      <c r="X143">
        <v>1.3917827282876343</v>
      </c>
      <c r="Y143">
        <v>0.23479679267077147</v>
      </c>
      <c r="Z143">
        <v>1.2332471856040905</v>
      </c>
    </row>
    <row r="144" spans="1:26" x14ac:dyDescent="0.2">
      <c r="A144" s="17">
        <v>11033</v>
      </c>
      <c r="B144" s="17" t="s">
        <v>265</v>
      </c>
      <c r="C144" s="17" t="s">
        <v>129</v>
      </c>
      <c r="D144" s="73">
        <v>44257</v>
      </c>
      <c r="E144" s="74">
        <v>0.7</v>
      </c>
      <c r="F144" s="17">
        <v>0.31689000000000001</v>
      </c>
      <c r="G144" s="75">
        <v>5.024E-2</v>
      </c>
      <c r="H144" t="s">
        <v>273</v>
      </c>
      <c r="I144">
        <v>1.0018080585596872E-2</v>
      </c>
      <c r="J144">
        <v>0.92350848255591689</v>
      </c>
      <c r="K144">
        <v>7.1250939764758627E-3</v>
      </c>
      <c r="L144">
        <v>7.9335090591852817E-3</v>
      </c>
      <c r="M144">
        <v>1.0386800701718042</v>
      </c>
      <c r="N144">
        <v>1.0643950461769035E-2</v>
      </c>
      <c r="O144">
        <v>0.70082239963835058</v>
      </c>
      <c r="P144">
        <v>0.84260691527060805</v>
      </c>
      <c r="Q144">
        <v>6.7673789004814812E-3</v>
      </c>
      <c r="R144">
        <v>9.7285544646355707E-2</v>
      </c>
      <c r="S144">
        <v>4.9081301270526619E-5</v>
      </c>
      <c r="T144">
        <v>9.7285544646353347E-2</v>
      </c>
      <c r="U144">
        <v>8.2356749743499446E-3</v>
      </c>
      <c r="V144">
        <v>1.5659118784288655</v>
      </c>
      <c r="W144">
        <v>6.5902504144706002E-4</v>
      </c>
      <c r="X144">
        <v>0.26115291862659357</v>
      </c>
      <c r="Y144">
        <v>5.4245320937384083E-6</v>
      </c>
      <c r="Z144">
        <v>1.5597079684957746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44257</v>
      </c>
      <c r="E145" s="15"/>
      <c r="F145" s="16">
        <v>1.10995</v>
      </c>
      <c r="G145" s="16">
        <v>10.349080000000001</v>
      </c>
      <c r="H145" t="s">
        <v>248</v>
      </c>
      <c r="I145">
        <v>9.8701843780434253E-3</v>
      </c>
      <c r="J145">
        <v>1.8812359414820794</v>
      </c>
      <c r="K145">
        <v>7.1282909949023912E-3</v>
      </c>
      <c r="L145">
        <v>1.2564095768234624E-2</v>
      </c>
      <c r="M145">
        <v>2.7308814421781755</v>
      </c>
      <c r="N145">
        <v>3.7428813642170461E-2</v>
      </c>
      <c r="O145">
        <v>2.1003576924973575</v>
      </c>
      <c r="P145">
        <v>1.818133419367133</v>
      </c>
      <c r="Q145">
        <v>7.5713215193799191E-3</v>
      </c>
      <c r="R145">
        <v>0.13144050093532167</v>
      </c>
      <c r="S145">
        <v>5.4912000343629068E-5</v>
      </c>
      <c r="T145">
        <v>0.13144050093532206</v>
      </c>
      <c r="U145">
        <v>1.322288302811214</v>
      </c>
      <c r="V145">
        <v>0.51299048429209915</v>
      </c>
      <c r="W145">
        <v>0.18011725012729263</v>
      </c>
      <c r="X145">
        <v>1.8711733624932485</v>
      </c>
      <c r="Y145">
        <v>0.23865007581824482</v>
      </c>
      <c r="Z145">
        <v>1.6293583726676126</v>
      </c>
    </row>
    <row r="146" spans="1:26" x14ac:dyDescent="0.2">
      <c r="A146" s="17">
        <v>11034</v>
      </c>
      <c r="B146" s="17" t="s">
        <v>266</v>
      </c>
      <c r="C146" s="17" t="s">
        <v>129</v>
      </c>
      <c r="D146" s="73">
        <v>44257</v>
      </c>
      <c r="E146" s="74">
        <v>0.7</v>
      </c>
      <c r="F146" s="17">
        <v>0.33979999999999999</v>
      </c>
      <c r="G146" s="75">
        <v>4.8000000000000001E-2</v>
      </c>
      <c r="H146" t="s">
        <v>274</v>
      </c>
      <c r="I146">
        <v>1.00623212518469E-2</v>
      </c>
      <c r="J146">
        <v>0.60390813559918644</v>
      </c>
      <c r="K146">
        <v>7.1230414920616467E-3</v>
      </c>
      <c r="L146">
        <v>9.6556227973296754E-3</v>
      </c>
      <c r="M146">
        <v>1.2395570539176062</v>
      </c>
      <c r="N146">
        <v>1.0089450948866914E-2</v>
      </c>
      <c r="O146">
        <v>0.83382289341818716</v>
      </c>
      <c r="P146">
        <v>0.69573432251534717</v>
      </c>
      <c r="Q146">
        <v>6.7603857125888202E-3</v>
      </c>
      <c r="R146">
        <v>0.13498945107321111</v>
      </c>
      <c r="S146">
        <v>4.9030582259983748E-5</v>
      </c>
      <c r="T146">
        <v>0.13498945107321153</v>
      </c>
      <c r="U146">
        <v>8.3100531701752137E-3</v>
      </c>
      <c r="V146">
        <v>2.0958984470828321</v>
      </c>
      <c r="W146">
        <v>9.1986413595035899E-4</v>
      </c>
      <c r="X146">
        <v>0.23281369230141566</v>
      </c>
      <c r="Y146">
        <v>7.6424602975402524E-6</v>
      </c>
      <c r="Z146">
        <v>2.1468833182829945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44257</v>
      </c>
      <c r="E147" s="15"/>
      <c r="F147" s="16">
        <v>1.10995</v>
      </c>
      <c r="G147" s="16">
        <v>10.349080000000001</v>
      </c>
      <c r="H147" t="s">
        <v>250</v>
      </c>
      <c r="I147">
        <v>9.8379714999824626E-3</v>
      </c>
      <c r="J147">
        <v>2.7672413846253536</v>
      </c>
      <c r="K147">
        <v>7.1287539197223597E-3</v>
      </c>
      <c r="L147">
        <v>1.5666950934556112E-2</v>
      </c>
      <c r="M147">
        <v>2.7322717343345477</v>
      </c>
      <c r="N147">
        <v>3.3578799358886073E-2</v>
      </c>
      <c r="O147">
        <v>2.1064013086366269</v>
      </c>
      <c r="P147">
        <v>2.7276256902587197</v>
      </c>
      <c r="Q147">
        <v>7.5946299165750627E-3</v>
      </c>
      <c r="R147">
        <v>0.17959100722619323</v>
      </c>
      <c r="S147">
        <v>5.5081047545166219E-5</v>
      </c>
      <c r="T147">
        <v>0.1795910072261942</v>
      </c>
      <c r="U147">
        <v>1.3138061857937924</v>
      </c>
      <c r="V147">
        <v>0.63922434499607295</v>
      </c>
      <c r="W147">
        <v>0.17932522565981754</v>
      </c>
      <c r="X147">
        <v>1.1451788801486222</v>
      </c>
      <c r="Y147">
        <v>0.23595679987109255</v>
      </c>
      <c r="Z147">
        <v>1.1311247291446476</v>
      </c>
    </row>
    <row r="149" spans="1:26" x14ac:dyDescent="0.2">
      <c r="A149" s="13">
        <v>10815</v>
      </c>
      <c r="B149" s="13" t="s">
        <v>79</v>
      </c>
      <c r="C149" s="13" t="s">
        <v>72</v>
      </c>
      <c r="D149" s="14">
        <v>44280</v>
      </c>
      <c r="E149" s="15"/>
      <c r="F149" s="16">
        <v>1.10995</v>
      </c>
      <c r="G149" s="16">
        <v>10.349080000000001</v>
      </c>
      <c r="H149" t="s">
        <v>275</v>
      </c>
      <c r="I149">
        <v>9.9276799305832025E-3</v>
      </c>
      <c r="J149">
        <v>0.53736845981136272</v>
      </c>
      <c r="K149">
        <v>7.1576145332682643E-3</v>
      </c>
      <c r="L149">
        <v>6.8478617882587346E-3</v>
      </c>
      <c r="M149">
        <v>2.7324085575737813</v>
      </c>
      <c r="N149">
        <v>1.4889572544573446E-2</v>
      </c>
      <c r="O149">
        <v>2.0828997591435825</v>
      </c>
      <c r="P149">
        <v>0.61217723300879923</v>
      </c>
      <c r="Q149">
        <v>7.5700866313648356E-3</v>
      </c>
      <c r="R149">
        <v>0.12513216122071547</v>
      </c>
      <c r="S149">
        <v>5.490304415666289E-5</v>
      </c>
      <c r="T149">
        <v>0.12513216122071488</v>
      </c>
      <c r="U149">
        <v>1.3166407259006547</v>
      </c>
      <c r="V149">
        <v>0.26857804660548784</v>
      </c>
      <c r="W149">
        <v>0.17402050924411136</v>
      </c>
      <c r="X149">
        <v>0.39422368405952679</v>
      </c>
      <c r="Y149">
        <v>0.22885633023506438</v>
      </c>
      <c r="Z149">
        <v>0.31844046868046227</v>
      </c>
    </row>
    <row r="150" spans="1:26" x14ac:dyDescent="0.2">
      <c r="A150" s="17">
        <v>11065</v>
      </c>
      <c r="B150" s="17" t="s">
        <v>278</v>
      </c>
      <c r="C150" s="17" t="s">
        <v>129</v>
      </c>
      <c r="D150" s="73">
        <v>44280</v>
      </c>
      <c r="E150" s="74">
        <v>103</v>
      </c>
      <c r="F150" s="17">
        <v>9.01E-2</v>
      </c>
      <c r="G150" s="75">
        <v>9.77800000000002E-2</v>
      </c>
      <c r="H150" t="s">
        <v>276</v>
      </c>
      <c r="I150">
        <v>1.0046432678985811E-2</v>
      </c>
      <c r="J150">
        <v>0.37829664181546097</v>
      </c>
      <c r="K150">
        <v>7.1543722831323405E-3</v>
      </c>
      <c r="L150">
        <v>3.1892383621598816E-3</v>
      </c>
      <c r="M150">
        <v>2.7451756854962199</v>
      </c>
      <c r="N150">
        <v>6.2608856808401307E-3</v>
      </c>
      <c r="O150">
        <v>2.1027878908068534</v>
      </c>
      <c r="P150">
        <v>0.3955175215759224</v>
      </c>
      <c r="Q150">
        <v>7.7026352938515752E-3</v>
      </c>
      <c r="R150">
        <v>5.9639222997112544E-2</v>
      </c>
      <c r="S150">
        <v>5.5864370680888395E-5</v>
      </c>
      <c r="T150">
        <v>5.9639222997112509E-2</v>
      </c>
      <c r="U150">
        <v>0.12963287423815342</v>
      </c>
      <c r="V150">
        <v>0.40283322525813614</v>
      </c>
      <c r="W150">
        <v>0.25073179056659528</v>
      </c>
      <c r="X150">
        <v>0.41775270880915372</v>
      </c>
      <c r="Y150">
        <v>3.2478030855154494E-2</v>
      </c>
      <c r="Z150">
        <v>0.50646178246678752</v>
      </c>
    </row>
    <row r="151" spans="1:26" x14ac:dyDescent="0.2">
      <c r="A151" s="13">
        <v>10815</v>
      </c>
      <c r="B151" s="13" t="s">
        <v>79</v>
      </c>
      <c r="C151" s="13" t="s">
        <v>72</v>
      </c>
      <c r="D151" s="14">
        <v>44280</v>
      </c>
      <c r="E151" s="15"/>
      <c r="F151" s="16">
        <v>1.10995</v>
      </c>
      <c r="G151" s="16">
        <v>10.349080000000001</v>
      </c>
      <c r="H151" t="s">
        <v>277</v>
      </c>
      <c r="I151">
        <v>9.7455815463689636E-3</v>
      </c>
      <c r="J151">
        <v>1.2545752637215704</v>
      </c>
      <c r="K151">
        <v>7.1542001055623543E-3</v>
      </c>
      <c r="L151">
        <v>8.9953285721091555E-3</v>
      </c>
      <c r="M151">
        <v>2.7315917439794979</v>
      </c>
      <c r="N151">
        <v>1.4120826705767449E-2</v>
      </c>
      <c r="O151">
        <v>2.1248711908418585</v>
      </c>
      <c r="P151">
        <v>1.1288464160458864</v>
      </c>
      <c r="Q151">
        <v>7.5854849582878319E-3</v>
      </c>
      <c r="R151">
        <v>0.13107213207331367</v>
      </c>
      <c r="S151">
        <v>5.5014722538187503E-5</v>
      </c>
      <c r="T151">
        <v>0.13107213207331331</v>
      </c>
      <c r="U151">
        <v>1.3147974473677004</v>
      </c>
      <c r="V151">
        <v>0.29363209528107381</v>
      </c>
      <c r="W151">
        <v>0.17139795843906344</v>
      </c>
      <c r="X151">
        <v>0.57158645577208056</v>
      </c>
      <c r="Y151">
        <v>0.22502643829747937</v>
      </c>
      <c r="Z151">
        <v>0.50251357224196436</v>
      </c>
    </row>
    <row r="153" spans="1:26" x14ac:dyDescent="0.2">
      <c r="A153" s="13">
        <v>10815</v>
      </c>
      <c r="B153" s="13" t="s">
        <v>79</v>
      </c>
      <c r="C153" s="13" t="s">
        <v>72</v>
      </c>
      <c r="D153" s="14">
        <v>44313</v>
      </c>
      <c r="E153" s="15"/>
      <c r="F153" s="16">
        <v>1.10995</v>
      </c>
      <c r="G153" s="16">
        <v>10.349080000000001</v>
      </c>
      <c r="H153" t="s">
        <v>196</v>
      </c>
      <c r="I153">
        <v>9.9406727989319894E-3</v>
      </c>
      <c r="J153">
        <v>0.99653362757083053</v>
      </c>
      <c r="K153">
        <v>7.1566420721436179E-3</v>
      </c>
      <c r="L153">
        <v>7.9479299026261069E-3</v>
      </c>
      <c r="M153">
        <v>2.7320611540064972</v>
      </c>
      <c r="N153">
        <v>1.2991088006033571E-2</v>
      </c>
      <c r="O153">
        <v>2.0782336718392362</v>
      </c>
      <c r="P153">
        <v>0.96795625869273272</v>
      </c>
      <c r="Q153">
        <v>7.5785099547432842E-3</v>
      </c>
      <c r="R153">
        <v>0.21796114473347558</v>
      </c>
      <c r="S153">
        <v>5.4964135412009545E-5</v>
      </c>
      <c r="T153">
        <v>0.21796114473347553</v>
      </c>
      <c r="U153">
        <v>1.3224825286356543</v>
      </c>
      <c r="V153">
        <v>0.41720596236973512</v>
      </c>
      <c r="W153">
        <v>0.17025989139083586</v>
      </c>
      <c r="X153">
        <v>0.56241538640922883</v>
      </c>
      <c r="Y153">
        <v>0.22449089700107713</v>
      </c>
      <c r="Z153">
        <v>0.37798012320678226</v>
      </c>
    </row>
    <row r="154" spans="1:26" x14ac:dyDescent="0.2">
      <c r="A154" s="17">
        <v>11051</v>
      </c>
      <c r="B154" s="17" t="s">
        <v>285</v>
      </c>
      <c r="C154" s="17" t="s">
        <v>286</v>
      </c>
      <c r="D154" s="73">
        <v>44313</v>
      </c>
      <c r="E154" s="74" t="s">
        <v>205</v>
      </c>
      <c r="F154" s="17">
        <v>5.5590000000000001E-2</v>
      </c>
      <c r="G154" s="75">
        <v>9.8950000000000315E-2</v>
      </c>
      <c r="H154" t="s">
        <v>279</v>
      </c>
      <c r="I154">
        <v>1.0045726473497925E-2</v>
      </c>
      <c r="J154">
        <v>0.22770045495731456</v>
      </c>
      <c r="K154">
        <v>7.1526172770367616E-3</v>
      </c>
      <c r="L154">
        <v>5.6772693057190069E-3</v>
      </c>
      <c r="M154">
        <v>1.176448753920829</v>
      </c>
      <c r="N154">
        <v>5.377469143934172E-3</v>
      </c>
      <c r="O154">
        <v>0.89514720418947968</v>
      </c>
      <c r="P154">
        <v>0.2403375047262474</v>
      </c>
      <c r="Q154">
        <v>7.6403652429691288E-3</v>
      </c>
      <c r="R154">
        <v>0.10704940174452522</v>
      </c>
      <c r="S154">
        <v>5.5412748986220942E-5</v>
      </c>
      <c r="T154">
        <v>0.10704940174452481</v>
      </c>
      <c r="U154">
        <v>1.2579670835896855E-2</v>
      </c>
      <c r="V154">
        <v>0.7895541939638494</v>
      </c>
      <c r="W154">
        <v>3.7449993033668106E-3</v>
      </c>
      <c r="X154">
        <v>0.2050853355362221</v>
      </c>
      <c r="Y154">
        <v>4.7063932596141798E-5</v>
      </c>
      <c r="Z154">
        <v>0.70435546511814551</v>
      </c>
    </row>
    <row r="155" spans="1:26" x14ac:dyDescent="0.2">
      <c r="A155" s="13">
        <v>10815</v>
      </c>
      <c r="B155" s="13" t="s">
        <v>79</v>
      </c>
      <c r="C155" s="13" t="s">
        <v>72</v>
      </c>
      <c r="D155" s="14">
        <v>44313</v>
      </c>
      <c r="E155" s="15"/>
      <c r="F155" s="16">
        <v>1.10995</v>
      </c>
      <c r="G155" s="16">
        <v>10.349080000000001</v>
      </c>
      <c r="H155" t="s">
        <v>198</v>
      </c>
      <c r="I155">
        <v>9.9463393620124567E-3</v>
      </c>
      <c r="J155">
        <v>1.1569788271897483</v>
      </c>
      <c r="K155">
        <v>7.1561872160859951E-3</v>
      </c>
      <c r="L155">
        <v>7.5184878612261077E-3</v>
      </c>
      <c r="M155">
        <v>2.7315263416882076</v>
      </c>
      <c r="N155">
        <v>1.1516605796810738E-2</v>
      </c>
      <c r="O155">
        <v>2.0844667047667018</v>
      </c>
      <c r="P155">
        <v>1.1943094208659752</v>
      </c>
      <c r="Q155">
        <v>7.5749019648781776E-3</v>
      </c>
      <c r="R155">
        <v>0.16059133547709364</v>
      </c>
      <c r="S155">
        <v>5.4937967993256331E-5</v>
      </c>
      <c r="T155">
        <v>0.16059133547709339</v>
      </c>
      <c r="U155">
        <v>1.320892109994638</v>
      </c>
      <c r="V155">
        <v>0.36095737772612008</v>
      </c>
      <c r="W155">
        <v>0.16847225541247327</v>
      </c>
      <c r="X155">
        <v>0.50329536740111946</v>
      </c>
      <c r="Y155">
        <v>0.22279576959441399</v>
      </c>
      <c r="Z155">
        <v>0.40796571364994016</v>
      </c>
    </row>
    <row r="156" spans="1:26" x14ac:dyDescent="0.2">
      <c r="A156" s="17">
        <v>11052</v>
      </c>
      <c r="B156" s="17" t="s">
        <v>287</v>
      </c>
      <c r="C156" s="17" t="s">
        <v>286</v>
      </c>
      <c r="D156" s="73">
        <v>44313</v>
      </c>
      <c r="E156" s="74">
        <v>10</v>
      </c>
      <c r="F156" s="17">
        <v>8.1939999999999999E-2</v>
      </c>
      <c r="G156" s="75">
        <v>9.1469999999999274E-2</v>
      </c>
      <c r="H156" t="s">
        <v>280</v>
      </c>
      <c r="I156">
        <v>1.0028317991115223E-2</v>
      </c>
      <c r="J156">
        <v>0.27911751008976282</v>
      </c>
      <c r="K156">
        <v>7.1522081632707278E-3</v>
      </c>
      <c r="L156">
        <v>4.7159976053413166E-3</v>
      </c>
      <c r="M156">
        <v>1.9209735371407597</v>
      </c>
      <c r="N156">
        <v>6.5538277646614886E-3</v>
      </c>
      <c r="O156">
        <v>1.4636410179915931</v>
      </c>
      <c r="P156">
        <v>0.32454959924081417</v>
      </c>
      <c r="Q156">
        <v>7.6408967977378752E-3</v>
      </c>
      <c r="R156">
        <v>8.85275340349303E-2</v>
      </c>
      <c r="S156">
        <v>5.5416604156757472E-5</v>
      </c>
      <c r="T156">
        <v>8.8527534034929356E-2</v>
      </c>
      <c r="U156">
        <v>1.098044713003116E-2</v>
      </c>
      <c r="V156">
        <v>0.98523084144360507</v>
      </c>
      <c r="W156">
        <v>8.7774270159462677E-3</v>
      </c>
      <c r="X156">
        <v>0.17994496313488989</v>
      </c>
      <c r="Y156">
        <v>9.6414181169012262E-5</v>
      </c>
      <c r="Z156">
        <v>0.92635119662136334</v>
      </c>
    </row>
    <row r="157" spans="1:26" x14ac:dyDescent="0.2">
      <c r="A157" s="13">
        <v>10815</v>
      </c>
      <c r="B157" s="13" t="s">
        <v>79</v>
      </c>
      <c r="C157" s="13" t="s">
        <v>72</v>
      </c>
      <c r="D157" s="14">
        <v>44313</v>
      </c>
      <c r="E157" s="15"/>
      <c r="F157" s="16">
        <v>1.10995</v>
      </c>
      <c r="G157" s="16">
        <v>10.349080000000001</v>
      </c>
      <c r="H157" t="s">
        <v>200</v>
      </c>
      <c r="I157">
        <v>9.7680730462331687E-3</v>
      </c>
      <c r="J157">
        <v>0.84746329096157136</v>
      </c>
      <c r="K157">
        <v>7.1534645038952545E-3</v>
      </c>
      <c r="L157">
        <v>8.109607703856752E-3</v>
      </c>
      <c r="M157">
        <v>2.7321921895168897</v>
      </c>
      <c r="N157">
        <v>1.3709947744744331E-2</v>
      </c>
      <c r="O157">
        <v>2.120905043560803</v>
      </c>
      <c r="P157">
        <v>0.79115782351331276</v>
      </c>
      <c r="Q157">
        <v>7.584451720343631E-3</v>
      </c>
      <c r="R157">
        <v>0.15557083960780349</v>
      </c>
      <c r="S157">
        <v>5.5007228844754741E-5</v>
      </c>
      <c r="T157">
        <v>0.15557083960780457</v>
      </c>
      <c r="U157">
        <v>1.3211408439767407</v>
      </c>
      <c r="V157">
        <v>0.34933270723574328</v>
      </c>
      <c r="W157">
        <v>0.17020790685910367</v>
      </c>
      <c r="X157">
        <v>0.51389077654086668</v>
      </c>
      <c r="Y157">
        <v>0.22463097939637228</v>
      </c>
      <c r="Z157">
        <v>0.36593736516038472</v>
      </c>
    </row>
    <row r="158" spans="1:26" x14ac:dyDescent="0.2">
      <c r="A158" s="17">
        <v>11053</v>
      </c>
      <c r="B158" s="17" t="s">
        <v>288</v>
      </c>
      <c r="C158" s="17" t="s">
        <v>286</v>
      </c>
      <c r="D158" s="73">
        <v>44313</v>
      </c>
      <c r="E158" s="74">
        <v>37</v>
      </c>
      <c r="F158" s="17">
        <v>0.124</v>
      </c>
      <c r="G158" s="75">
        <v>9.3930000000000291E-2</v>
      </c>
      <c r="H158" t="s">
        <v>281</v>
      </c>
      <c r="I158">
        <v>1.0017533891239791E-2</v>
      </c>
      <c r="J158">
        <v>0.23809061180136387</v>
      </c>
      <c r="K158">
        <v>7.1508138520735391E-3</v>
      </c>
      <c r="L158">
        <v>5.7900069370530041E-3</v>
      </c>
      <c r="M158">
        <v>1.8279617895844618</v>
      </c>
      <c r="N158">
        <v>4.2619996403271791E-3</v>
      </c>
      <c r="O158">
        <v>1.3934932150467656</v>
      </c>
      <c r="P158">
        <v>0.23731137513050374</v>
      </c>
      <c r="Q158">
        <v>7.6389149143752848E-3</v>
      </c>
      <c r="R158">
        <v>9.1709336173262865E-2</v>
      </c>
      <c r="S158">
        <v>5.540223028825786E-5</v>
      </c>
      <c r="T158">
        <v>9.1709336173262795E-2</v>
      </c>
      <c r="U158">
        <v>1.3987777701123647E-2</v>
      </c>
      <c r="V158">
        <v>0.96935279653137185</v>
      </c>
      <c r="W158">
        <v>1.1452878514563919E-2</v>
      </c>
      <c r="X158">
        <v>0.26122780818843927</v>
      </c>
      <c r="Y158">
        <v>1.6046301797185982E-4</v>
      </c>
      <c r="Z158">
        <v>0.91252408881660652</v>
      </c>
    </row>
    <row r="159" spans="1:26" x14ac:dyDescent="0.2">
      <c r="A159" s="13">
        <v>10815</v>
      </c>
      <c r="B159" s="13" t="s">
        <v>79</v>
      </c>
      <c r="C159" s="13" t="s">
        <v>72</v>
      </c>
      <c r="D159" s="14">
        <v>44313</v>
      </c>
      <c r="E159" s="15"/>
      <c r="F159" s="16">
        <v>1.10995</v>
      </c>
      <c r="G159" s="16">
        <v>10.349080000000001</v>
      </c>
      <c r="H159" t="s">
        <v>209</v>
      </c>
      <c r="I159">
        <v>9.9184439444936958E-3</v>
      </c>
      <c r="J159">
        <v>0.8482391215393893</v>
      </c>
      <c r="K159">
        <v>7.1501253349646465E-3</v>
      </c>
      <c r="L159">
        <v>5.9323467461288078E-3</v>
      </c>
      <c r="M159">
        <v>2.7312807073389962</v>
      </c>
      <c r="N159">
        <v>1.1395950880772042E-2</v>
      </c>
      <c r="O159">
        <v>2.0946026472365094</v>
      </c>
      <c r="P159">
        <v>0.85103297121744559</v>
      </c>
      <c r="Q159">
        <v>7.594341187602353E-3</v>
      </c>
      <c r="R159">
        <v>0.15905879507719536</v>
      </c>
      <c r="S159">
        <v>5.5078953500499331E-5</v>
      </c>
      <c r="T159">
        <v>0.15905879507719642</v>
      </c>
      <c r="U159">
        <v>1.3190373535396762</v>
      </c>
      <c r="V159">
        <v>0.40335470461316819</v>
      </c>
      <c r="W159">
        <v>0.16964692591069341</v>
      </c>
      <c r="X159">
        <v>0.56624717411102765</v>
      </c>
      <c r="Y159">
        <v>0.22397680585528978</v>
      </c>
      <c r="Z159">
        <v>0.37638506540509425</v>
      </c>
    </row>
    <row r="160" spans="1:26" x14ac:dyDescent="0.2">
      <c r="A160" s="17">
        <v>11054</v>
      </c>
      <c r="B160" s="17" t="s">
        <v>289</v>
      </c>
      <c r="C160" s="17" t="s">
        <v>286</v>
      </c>
      <c r="D160" s="73">
        <v>44313</v>
      </c>
      <c r="E160" s="74">
        <v>40</v>
      </c>
      <c r="F160" s="17">
        <v>0.1028</v>
      </c>
      <c r="G160" s="75">
        <v>0.1009600000000006</v>
      </c>
      <c r="H160" t="s">
        <v>282</v>
      </c>
      <c r="I160">
        <v>1.0066089881224892E-2</v>
      </c>
      <c r="J160">
        <v>0.21627600077648848</v>
      </c>
      <c r="K160">
        <v>7.1486852714258637E-3</v>
      </c>
      <c r="L160">
        <v>4.5953256092829539E-3</v>
      </c>
      <c r="M160">
        <v>1.2477379500929082</v>
      </c>
      <c r="N160">
        <v>5.4656568566409684E-3</v>
      </c>
      <c r="O160">
        <v>0.94741185054513266</v>
      </c>
      <c r="P160">
        <v>0.21989836670915766</v>
      </c>
      <c r="Q160">
        <v>7.6408505129141099E-3</v>
      </c>
      <c r="R160">
        <v>9.6970287632990204E-2</v>
      </c>
      <c r="S160">
        <v>5.5416268470014794E-5</v>
      </c>
      <c r="T160">
        <v>9.6970287632990038E-2</v>
      </c>
      <c r="U160">
        <v>1.0755282830535194E-2</v>
      </c>
      <c r="V160">
        <v>0.81344357315452087</v>
      </c>
      <c r="W160">
        <v>1.4871604589961543E-2</v>
      </c>
      <c r="X160">
        <v>0.19065449143118418</v>
      </c>
      <c r="Y160">
        <v>1.6030357755525589E-4</v>
      </c>
      <c r="Z160">
        <v>0.7573032559452717</v>
      </c>
    </row>
    <row r="161" spans="1:26" x14ac:dyDescent="0.2">
      <c r="A161" s="13">
        <v>10815</v>
      </c>
      <c r="B161" s="13" t="s">
        <v>79</v>
      </c>
      <c r="C161" s="13" t="s">
        <v>72</v>
      </c>
      <c r="D161" s="14">
        <v>44313</v>
      </c>
      <c r="E161" s="15"/>
      <c r="F161" s="16">
        <v>1.10995</v>
      </c>
      <c r="G161" s="16">
        <v>10.349080000000001</v>
      </c>
      <c r="H161" t="s">
        <v>211</v>
      </c>
      <c r="I161">
        <v>1.0039576594669024E-2</v>
      </c>
      <c r="J161">
        <v>0.76107608740735044</v>
      </c>
      <c r="K161">
        <v>7.1517668713304925E-3</v>
      </c>
      <c r="L161">
        <v>8.6974179761892794E-3</v>
      </c>
      <c r="M161">
        <v>2.7320450690653231</v>
      </c>
      <c r="N161">
        <v>1.1964529244197008E-2</v>
      </c>
      <c r="O161">
        <v>2.0625450452540401</v>
      </c>
      <c r="P161">
        <v>0.7509728456786009</v>
      </c>
      <c r="Q161">
        <v>7.5728648106181363E-3</v>
      </c>
      <c r="R161">
        <v>0.13946668124423245</v>
      </c>
      <c r="S161">
        <v>5.4923193265338516E-5</v>
      </c>
      <c r="T161">
        <v>0.139466681244232</v>
      </c>
      <c r="U161">
        <v>1.3214185393240323</v>
      </c>
      <c r="V161">
        <v>0.38845212799650652</v>
      </c>
      <c r="W161">
        <v>0.16862688164798542</v>
      </c>
      <c r="X161">
        <v>0.58501044421442039</v>
      </c>
      <c r="Y161">
        <v>0.22273566115402102</v>
      </c>
      <c r="Z161">
        <v>0.42137727724622487</v>
      </c>
    </row>
    <row r="162" spans="1:26" x14ac:dyDescent="0.2">
      <c r="A162" s="17">
        <v>11055</v>
      </c>
      <c r="B162" s="17" t="s">
        <v>290</v>
      </c>
      <c r="C162" s="17" t="s">
        <v>286</v>
      </c>
      <c r="D162" s="73">
        <v>44313</v>
      </c>
      <c r="E162" s="74">
        <v>26</v>
      </c>
      <c r="F162" s="17">
        <v>0.10788</v>
      </c>
      <c r="G162" s="75">
        <v>0.1001499999999993</v>
      </c>
      <c r="H162" t="s">
        <v>283</v>
      </c>
      <c r="I162">
        <v>9.9962849205085125E-3</v>
      </c>
      <c r="J162">
        <v>0.29803496810434771</v>
      </c>
      <c r="K162">
        <v>7.1435091146434043E-3</v>
      </c>
      <c r="L162">
        <v>6.5483435185969829E-3</v>
      </c>
      <c r="M162">
        <v>1.767520694757571</v>
      </c>
      <c r="N162">
        <v>6.0632376868669175E-3</v>
      </c>
      <c r="O162">
        <v>1.3581270125806622</v>
      </c>
      <c r="P162">
        <v>0.32856292386587188</v>
      </c>
      <c r="Q162">
        <v>7.6762205006143348E-3</v>
      </c>
      <c r="R162">
        <v>8.9549358810184942E-2</v>
      </c>
      <c r="S162">
        <v>5.5672793935453979E-5</v>
      </c>
      <c r="T162">
        <v>8.9549358810184942E-2</v>
      </c>
      <c r="U162">
        <v>4.0634697654322932E-3</v>
      </c>
      <c r="V162">
        <v>1.8768988371930246</v>
      </c>
      <c r="W162">
        <v>0.21440535770082969</v>
      </c>
      <c r="X162">
        <v>0.34854072155570237</v>
      </c>
      <c r="Y162">
        <v>8.7622085711013074E-4</v>
      </c>
      <c r="Z162">
        <v>1.8761693693782384</v>
      </c>
    </row>
    <row r="163" spans="1:26" x14ac:dyDescent="0.2">
      <c r="A163" s="13">
        <v>10815</v>
      </c>
      <c r="B163" s="13" t="s">
        <v>79</v>
      </c>
      <c r="C163" s="13" t="s">
        <v>72</v>
      </c>
      <c r="D163" s="14">
        <v>44313</v>
      </c>
      <c r="E163" s="15"/>
      <c r="F163" s="16">
        <v>1.10995</v>
      </c>
      <c r="G163" s="16">
        <v>10.349080000000001</v>
      </c>
      <c r="H163" t="s">
        <v>213</v>
      </c>
      <c r="I163">
        <v>9.8881365875700018E-3</v>
      </c>
      <c r="J163">
        <v>0.91522023240422978</v>
      </c>
      <c r="K163">
        <v>7.1434249941872956E-3</v>
      </c>
      <c r="L163">
        <v>2.5825641927543275E-2</v>
      </c>
      <c r="M163">
        <v>2.7322574395233308</v>
      </c>
      <c r="N163">
        <v>1.1546800770643531E-2</v>
      </c>
      <c r="O163">
        <v>2.0944495607165274</v>
      </c>
      <c r="P163">
        <v>0.80724026455347364</v>
      </c>
      <c r="Q163">
        <v>7.5724551543606862E-3</v>
      </c>
      <c r="R163">
        <v>0.14299536563688184</v>
      </c>
      <c r="S163">
        <v>5.4920222179710681E-5</v>
      </c>
      <c r="T163">
        <v>0.14299536563688389</v>
      </c>
      <c r="U163">
        <v>1.3171853506617259</v>
      </c>
      <c r="V163">
        <v>0.48916884037630393</v>
      </c>
      <c r="W163">
        <v>0.17136180472079496</v>
      </c>
      <c r="X163">
        <v>0.71218126669022941</v>
      </c>
      <c r="Y163">
        <v>0.22548271405645268</v>
      </c>
      <c r="Z163">
        <v>0.43000485255536031</v>
      </c>
    </row>
    <row r="164" spans="1:26" x14ac:dyDescent="0.2">
      <c r="A164" s="17">
        <v>11056</v>
      </c>
      <c r="B164" s="17" t="s">
        <v>291</v>
      </c>
      <c r="C164" s="17" t="s">
        <v>286</v>
      </c>
      <c r="D164" s="73">
        <v>44313</v>
      </c>
      <c r="E164" s="74">
        <v>29</v>
      </c>
      <c r="F164" s="17">
        <v>9.74E-2</v>
      </c>
      <c r="G164" s="75">
        <v>0.1033299999999997</v>
      </c>
      <c r="H164" t="s">
        <v>284</v>
      </c>
      <c r="I164">
        <v>1.0000792344474135E-2</v>
      </c>
      <c r="J164">
        <v>0.30557343364548806</v>
      </c>
      <c r="K164">
        <v>7.1416058582384192E-3</v>
      </c>
      <c r="L164">
        <v>4.4160560406537744E-3</v>
      </c>
      <c r="M164">
        <v>1.799889091364397</v>
      </c>
      <c r="N164">
        <v>5.12582331777864E-3</v>
      </c>
      <c r="O164">
        <v>1.3838567360229601</v>
      </c>
      <c r="P164">
        <v>0.31498724900768643</v>
      </c>
      <c r="Q164">
        <v>7.6911639938424111E-3</v>
      </c>
      <c r="R164">
        <v>9.6283845098736928E-2</v>
      </c>
      <c r="S164">
        <v>5.5781173576072203E-5</v>
      </c>
      <c r="T164">
        <v>9.6283845098738302E-2</v>
      </c>
      <c r="U164">
        <v>4.5271059833612813E-3</v>
      </c>
      <c r="V164">
        <v>1.4828154125824349</v>
      </c>
      <c r="W164">
        <v>0.29322229669464728</v>
      </c>
      <c r="X164">
        <v>0.3152813972795615</v>
      </c>
      <c r="Y164">
        <v>1.3192059182606714E-3</v>
      </c>
      <c r="Z164">
        <v>1.4672218791988862</v>
      </c>
    </row>
    <row r="165" spans="1:26" x14ac:dyDescent="0.2">
      <c r="A165" s="13">
        <v>10815</v>
      </c>
      <c r="B165" s="13" t="s">
        <v>79</v>
      </c>
      <c r="C165" s="13" t="s">
        <v>72</v>
      </c>
      <c r="D165" s="14">
        <v>44313</v>
      </c>
      <c r="E165" s="15"/>
      <c r="F165" s="16">
        <v>1.10995</v>
      </c>
      <c r="G165" s="16">
        <v>10.349080000000001</v>
      </c>
      <c r="H165" t="s">
        <v>215</v>
      </c>
      <c r="I165">
        <v>9.9231750643646761E-3</v>
      </c>
      <c r="J165">
        <v>0.98602602117813731</v>
      </c>
      <c r="K165">
        <v>7.143034129528842E-3</v>
      </c>
      <c r="L165">
        <v>6.2746530350800802E-3</v>
      </c>
      <c r="M165">
        <v>2.7321617323482275</v>
      </c>
      <c r="N165">
        <v>1.2263272380419809E-2</v>
      </c>
      <c r="O165">
        <v>2.0865293671159817</v>
      </c>
      <c r="P165">
        <v>0.90499206866192605</v>
      </c>
      <c r="Q165">
        <v>7.5854497385001831E-3</v>
      </c>
      <c r="R165">
        <v>0.13627884351351222</v>
      </c>
      <c r="S165">
        <v>5.5014467102067595E-5</v>
      </c>
      <c r="T165">
        <v>0.13627884351351224</v>
      </c>
      <c r="U165">
        <v>1.3209701710941313</v>
      </c>
      <c r="V165">
        <v>0.37625542684054947</v>
      </c>
      <c r="W165">
        <v>0.17081549050177966</v>
      </c>
      <c r="X165">
        <v>0.48829671696381016</v>
      </c>
      <c r="Y165">
        <v>0.22533329324704265</v>
      </c>
      <c r="Z165">
        <v>0.40015130107924163</v>
      </c>
    </row>
    <row r="167" spans="1:26" x14ac:dyDescent="0.2">
      <c r="A167" s="13">
        <v>10815</v>
      </c>
      <c r="B167" s="13" t="s">
        <v>79</v>
      </c>
      <c r="C167" s="13" t="s">
        <v>72</v>
      </c>
      <c r="D167" s="14">
        <v>44314</v>
      </c>
      <c r="E167" s="15"/>
      <c r="F167" s="16">
        <v>1.10995</v>
      </c>
      <c r="G167" s="16">
        <v>10.349080000000001</v>
      </c>
      <c r="H167" t="s">
        <v>196</v>
      </c>
      <c r="I167">
        <v>9.8848221058620133E-3</v>
      </c>
      <c r="J167">
        <v>0.82479139376366029</v>
      </c>
      <c r="K167">
        <v>7.1550188907977324E-3</v>
      </c>
      <c r="L167">
        <v>6.5724785179205056E-3</v>
      </c>
      <c r="M167">
        <v>2.7318882762138914</v>
      </c>
      <c r="N167">
        <v>1.3958460375748988E-2</v>
      </c>
      <c r="O167">
        <v>2.0939713828117559</v>
      </c>
      <c r="P167">
        <v>0.86516010253004827</v>
      </c>
      <c r="Q167">
        <v>7.5689851849818088E-3</v>
      </c>
      <c r="R167">
        <v>0.14296176276082564</v>
      </c>
      <c r="S167">
        <v>5.4895055772599608E-5</v>
      </c>
      <c r="T167">
        <v>0.14296176276082587</v>
      </c>
      <c r="U167">
        <v>1.3238766494372003</v>
      </c>
      <c r="V167">
        <v>0.45684184567470199</v>
      </c>
      <c r="W167">
        <v>0.16689804134824632</v>
      </c>
      <c r="X167">
        <v>0.59191204532712116</v>
      </c>
      <c r="Y167">
        <v>0.2208693307568815</v>
      </c>
      <c r="Z167">
        <v>0.42152838043896373</v>
      </c>
    </row>
    <row r="168" spans="1:26" x14ac:dyDescent="0.2">
      <c r="A168" s="17">
        <v>11057</v>
      </c>
      <c r="B168" s="17" t="s">
        <v>297</v>
      </c>
      <c r="C168" s="17" t="s">
        <v>286</v>
      </c>
      <c r="D168" s="73">
        <v>44314</v>
      </c>
      <c r="E168" s="74">
        <v>60.5</v>
      </c>
      <c r="F168" s="17">
        <v>0.10038</v>
      </c>
      <c r="G168" s="75">
        <v>9.8670000000000258E-2</v>
      </c>
      <c r="H168" t="s">
        <v>292</v>
      </c>
      <c r="I168">
        <v>1.0079855175948104E-2</v>
      </c>
      <c r="J168">
        <v>0.23198514186869115</v>
      </c>
      <c r="K168">
        <v>7.1531546727387329E-3</v>
      </c>
      <c r="L168">
        <v>5.8163315147063592E-3</v>
      </c>
      <c r="M168">
        <v>0.99049640511685255</v>
      </c>
      <c r="N168">
        <v>7.6126685392013064E-3</v>
      </c>
      <c r="O168">
        <v>0.75155352828619681</v>
      </c>
      <c r="P168">
        <v>0.2369409409144734</v>
      </c>
      <c r="Q168">
        <v>7.6371647188984461E-3</v>
      </c>
      <c r="R168">
        <v>0.14595353500809477</v>
      </c>
      <c r="S168">
        <v>5.5389536766475757E-5</v>
      </c>
      <c r="T168">
        <v>0.1459535350080943</v>
      </c>
      <c r="U168">
        <v>6.8015746368882178E-3</v>
      </c>
      <c r="V168">
        <v>1.4745484453781925</v>
      </c>
      <c r="W168">
        <v>0.18032150813421341</v>
      </c>
      <c r="X168">
        <v>0.41117460182205062</v>
      </c>
      <c r="Y168">
        <v>1.2240546817533179E-3</v>
      </c>
      <c r="Z168">
        <v>1.5212473890180016</v>
      </c>
    </row>
    <row r="169" spans="1:26" x14ac:dyDescent="0.2">
      <c r="A169" s="13">
        <v>10815</v>
      </c>
      <c r="B169" s="13" t="s">
        <v>79</v>
      </c>
      <c r="C169" s="13" t="s">
        <v>72</v>
      </c>
      <c r="D169" s="14">
        <v>44314</v>
      </c>
      <c r="E169" s="15"/>
      <c r="F169" s="16">
        <v>1.10995</v>
      </c>
      <c r="G169" s="16">
        <v>10.349080000000001</v>
      </c>
      <c r="H169" t="s">
        <v>198</v>
      </c>
      <c r="I169">
        <v>9.8931471412249273E-3</v>
      </c>
      <c r="J169">
        <v>0.59369134253305444</v>
      </c>
      <c r="K169">
        <v>7.1529011636144012E-3</v>
      </c>
      <c r="L169">
        <v>7.0388948906158627E-3</v>
      </c>
      <c r="M169">
        <v>2.7316471618040996</v>
      </c>
      <c r="N169">
        <v>1.2239553850513955E-2</v>
      </c>
      <c r="O169">
        <v>2.0977374780746136</v>
      </c>
      <c r="P169">
        <v>0.60129637542061143</v>
      </c>
      <c r="Q169">
        <v>7.5861922320280611E-3</v>
      </c>
      <c r="R169">
        <v>0.17238647599013379</v>
      </c>
      <c r="S169">
        <v>5.5019852133564865E-5</v>
      </c>
      <c r="T169">
        <v>0.17238647599013313</v>
      </c>
      <c r="U169">
        <v>1.3229549620957493</v>
      </c>
      <c r="V169">
        <v>0.37451173659526732</v>
      </c>
      <c r="W169">
        <v>0.16679257005664166</v>
      </c>
      <c r="X169">
        <v>0.62316002923724945</v>
      </c>
      <c r="Y169">
        <v>0.22021168373565486</v>
      </c>
      <c r="Z169">
        <v>0.5238727771321473</v>
      </c>
    </row>
    <row r="170" spans="1:26" x14ac:dyDescent="0.2">
      <c r="A170" s="17">
        <v>11058</v>
      </c>
      <c r="B170" s="17" t="s">
        <v>298</v>
      </c>
      <c r="C170" s="17" t="s">
        <v>286</v>
      </c>
      <c r="D170" s="73">
        <v>44314</v>
      </c>
      <c r="E170" s="74">
        <v>35</v>
      </c>
      <c r="F170" s="17">
        <v>9.4500000000000001E-2</v>
      </c>
      <c r="G170" s="75">
        <v>9.7730000000000317E-2</v>
      </c>
      <c r="H170" t="s">
        <v>293</v>
      </c>
      <c r="I170">
        <v>1.0049113214614994E-2</v>
      </c>
      <c r="J170">
        <v>0.14543782420763834</v>
      </c>
      <c r="K170">
        <v>7.1477622788669575E-3</v>
      </c>
      <c r="L170">
        <v>5.8640897982299659E-3</v>
      </c>
      <c r="M170">
        <v>2.6488144405417882</v>
      </c>
      <c r="N170">
        <v>5.1118426199080035E-3</v>
      </c>
      <c r="O170">
        <v>2.022027858593249</v>
      </c>
      <c r="P170">
        <v>0.15716364846436087</v>
      </c>
      <c r="Q170">
        <v>7.6762351175695322E-3</v>
      </c>
      <c r="R170">
        <v>6.5970313473609266E-2</v>
      </c>
      <c r="S170">
        <v>5.5672899946834832E-5</v>
      </c>
      <c r="T170">
        <v>6.5970313473608724E-2</v>
      </c>
      <c r="U170">
        <v>4.305443952835236E-3</v>
      </c>
      <c r="V170">
        <v>1.3831479759239067</v>
      </c>
      <c r="W170">
        <v>0.38374256163004072</v>
      </c>
      <c r="X170">
        <v>0.42576956758154205</v>
      </c>
      <c r="Y170">
        <v>1.6505021881746953E-3</v>
      </c>
      <c r="Z170">
        <v>1.2336453524797544</v>
      </c>
    </row>
    <row r="171" spans="1:26" x14ac:dyDescent="0.2">
      <c r="A171" s="13">
        <v>10815</v>
      </c>
      <c r="B171" s="13" t="s">
        <v>79</v>
      </c>
      <c r="C171" s="13" t="s">
        <v>72</v>
      </c>
      <c r="D171" s="14">
        <v>44314</v>
      </c>
      <c r="E171" s="15"/>
      <c r="F171" s="16">
        <v>1.10995</v>
      </c>
      <c r="G171" s="16">
        <v>10.349080000000001</v>
      </c>
      <c r="H171" t="s">
        <v>200</v>
      </c>
      <c r="I171">
        <v>1.0012579698262605E-2</v>
      </c>
      <c r="J171">
        <v>0.75002249472259974</v>
      </c>
      <c r="K171">
        <v>7.1504843978041329E-3</v>
      </c>
      <c r="L171">
        <v>6.6815119759361177E-3</v>
      </c>
      <c r="M171">
        <v>2.7324356567121284</v>
      </c>
      <c r="N171">
        <v>1.0609291068875225E-2</v>
      </c>
      <c r="O171">
        <v>2.0706971171680282</v>
      </c>
      <c r="P171">
        <v>0.77320670966507821</v>
      </c>
      <c r="Q171">
        <v>7.5789231395538264E-3</v>
      </c>
      <c r="R171">
        <v>0.1366171637155553</v>
      </c>
      <c r="S171">
        <v>5.4967132088930516E-5</v>
      </c>
      <c r="T171">
        <v>0.13661716371555491</v>
      </c>
      <c r="U171">
        <v>1.3223147101106054</v>
      </c>
      <c r="V171">
        <v>0.28691251628986097</v>
      </c>
      <c r="W171">
        <v>0.16910513975934496</v>
      </c>
      <c r="X171">
        <v>0.54760706916322499</v>
      </c>
      <c r="Y171">
        <v>0.22366866834029664</v>
      </c>
      <c r="Z171">
        <v>0.46051778236537505</v>
      </c>
    </row>
    <row r="172" spans="1:26" x14ac:dyDescent="0.2">
      <c r="A172" s="17">
        <v>11059</v>
      </c>
      <c r="B172" s="17" t="s">
        <v>299</v>
      </c>
      <c r="C172" s="17" t="s">
        <v>286</v>
      </c>
      <c r="D172" s="73">
        <v>44314</v>
      </c>
      <c r="E172" s="74">
        <v>62</v>
      </c>
      <c r="F172" s="17">
        <v>7.6689999999999994E-2</v>
      </c>
      <c r="G172" s="75">
        <v>0.10068000000000055</v>
      </c>
      <c r="H172" t="s">
        <v>294</v>
      </c>
      <c r="I172">
        <v>1.0036607196224798E-2</v>
      </c>
      <c r="J172">
        <v>0.31850325260905854</v>
      </c>
      <c r="K172">
        <v>7.1140944319182352E-3</v>
      </c>
      <c r="L172">
        <v>3.2958131694667728E-2</v>
      </c>
      <c r="M172">
        <v>1.8607111307553206</v>
      </c>
      <c r="N172">
        <v>4.4167012287289364E-2</v>
      </c>
      <c r="O172">
        <v>1.4265252681391838</v>
      </c>
      <c r="P172">
        <v>0.31882217645564159</v>
      </c>
      <c r="Q172">
        <v>7.7011565304507109E-3</v>
      </c>
      <c r="R172">
        <v>9.3286439299079732E-2</v>
      </c>
      <c r="S172">
        <v>5.5853645755765594E-5</v>
      </c>
      <c r="T172">
        <v>9.3286439299079038E-2</v>
      </c>
      <c r="U172">
        <v>6.0236418563312175E-3</v>
      </c>
      <c r="V172">
        <v>2.2654401150560193</v>
      </c>
      <c r="W172">
        <v>8.906093798370765E-2</v>
      </c>
      <c r="X172">
        <v>0.94466327831289398</v>
      </c>
      <c r="Y172">
        <v>5.3618035555795919E-4</v>
      </c>
      <c r="Z172">
        <v>1.8167744442576184</v>
      </c>
    </row>
    <row r="173" spans="1:26" x14ac:dyDescent="0.2">
      <c r="A173" s="13">
        <v>10815</v>
      </c>
      <c r="B173" s="13" t="s">
        <v>79</v>
      </c>
      <c r="C173" s="13" t="s">
        <v>72</v>
      </c>
      <c r="D173" s="14">
        <v>44314</v>
      </c>
      <c r="E173" s="15"/>
      <c r="F173" s="16">
        <v>1.10995</v>
      </c>
      <c r="G173" s="16">
        <v>10.349080000000001</v>
      </c>
      <c r="H173" t="s">
        <v>209</v>
      </c>
      <c r="I173">
        <v>9.9030469274937628E-3</v>
      </c>
      <c r="J173">
        <v>1.2354132047064279</v>
      </c>
      <c r="K173">
        <v>7.10094432261718E-3</v>
      </c>
      <c r="L173">
        <v>6.4126008249674071E-2</v>
      </c>
      <c r="M173">
        <v>2.7327028932228314</v>
      </c>
      <c r="N173">
        <v>4.0222435962602845E-2</v>
      </c>
      <c r="O173">
        <v>2.0867017893257618</v>
      </c>
      <c r="P173">
        <v>1.3153650481627965</v>
      </c>
      <c r="Q173">
        <v>7.5711464779844541E-3</v>
      </c>
      <c r="R173">
        <v>0.17968393044706546</v>
      </c>
      <c r="S173">
        <v>5.4910730832996952E-5</v>
      </c>
      <c r="T173">
        <v>0.17968393044706629</v>
      </c>
      <c r="U173">
        <v>1.3231286042633772</v>
      </c>
      <c r="V173">
        <v>0.68230375110436492</v>
      </c>
      <c r="W173">
        <v>0.17638598356295337</v>
      </c>
      <c r="X173">
        <v>1.3340427624966151</v>
      </c>
      <c r="Y173">
        <v>0.23375761971864617</v>
      </c>
      <c r="Z173">
        <v>0.75754368441222708</v>
      </c>
    </row>
    <row r="174" spans="1:26" x14ac:dyDescent="0.2">
      <c r="A174" s="17">
        <v>11060</v>
      </c>
      <c r="B174" s="17" t="s">
        <v>300</v>
      </c>
      <c r="C174" s="17" t="s">
        <v>286</v>
      </c>
      <c r="D174" s="73">
        <v>44314</v>
      </c>
      <c r="E174" s="74">
        <v>75</v>
      </c>
      <c r="F174" s="17">
        <v>8.5900000000000004E-2</v>
      </c>
      <c r="G174" s="75">
        <v>9.9600000000000577E-2</v>
      </c>
      <c r="H174" t="s">
        <v>295</v>
      </c>
      <c r="I174">
        <v>1.0053470288771259E-2</v>
      </c>
      <c r="J174">
        <v>0.25164779521232472</v>
      </c>
      <c r="K174">
        <v>7.1066493849415635E-3</v>
      </c>
      <c r="L174">
        <v>1.2553201406192673E-2</v>
      </c>
      <c r="M174">
        <v>1.9279460621728324</v>
      </c>
      <c r="N174">
        <v>5.0932467333701754E-3</v>
      </c>
      <c r="O174">
        <v>1.4751735913158517</v>
      </c>
      <c r="P174">
        <v>0.27689302663153015</v>
      </c>
      <c r="Q174">
        <v>7.6947020818264782E-3</v>
      </c>
      <c r="R174">
        <v>9.1145146371920463E-2</v>
      </c>
      <c r="S174">
        <v>5.5806834022283569E-5</v>
      </c>
      <c r="T174">
        <v>9.1145146371919811E-2</v>
      </c>
      <c r="U174">
        <v>7.8100979974717027E-3</v>
      </c>
      <c r="V174">
        <v>1.0640903322184525</v>
      </c>
      <c r="W174">
        <v>0.120715423123365</v>
      </c>
      <c r="X174">
        <v>0.28389700379587879</v>
      </c>
      <c r="Y174">
        <v>9.3910478096626449E-4</v>
      </c>
      <c r="Z174">
        <v>1.0165543602767551</v>
      </c>
    </row>
    <row r="175" spans="1:26" x14ac:dyDescent="0.2">
      <c r="A175" s="13">
        <v>10815</v>
      </c>
      <c r="B175" s="13" t="s">
        <v>79</v>
      </c>
      <c r="C175" s="13" t="s">
        <v>72</v>
      </c>
      <c r="D175" s="14">
        <v>44314</v>
      </c>
      <c r="E175" s="15"/>
      <c r="F175" s="16">
        <v>1.10995</v>
      </c>
      <c r="G175" s="16">
        <v>10.349080000000001</v>
      </c>
      <c r="H175" t="s">
        <v>211</v>
      </c>
      <c r="I175">
        <v>9.9844587132823306E-3</v>
      </c>
      <c r="J175">
        <v>1.5103958057351989</v>
      </c>
      <c r="K175">
        <v>7.1000251755062131E-3</v>
      </c>
      <c r="L175">
        <v>2.1652559371591232E-2</v>
      </c>
      <c r="M175">
        <v>2.7325129761678273</v>
      </c>
      <c r="N175">
        <v>1.8578624970970643E-2</v>
      </c>
      <c r="O175">
        <v>2.0820871517552582</v>
      </c>
      <c r="P175">
        <v>1.6089214269316359</v>
      </c>
      <c r="Q175">
        <v>7.5827300800389158E-3</v>
      </c>
      <c r="R175">
        <v>0.26440359757333259</v>
      </c>
      <c r="S175">
        <v>5.4994742423096127E-5</v>
      </c>
      <c r="T175">
        <v>0.26440359757333221</v>
      </c>
      <c r="U175">
        <v>1.3267420062603115</v>
      </c>
      <c r="V175">
        <v>0.52723647670147378</v>
      </c>
      <c r="W175">
        <v>0.17796918605652037</v>
      </c>
      <c r="X175">
        <v>0.64877351824418095</v>
      </c>
      <c r="Y175">
        <v>0.23652286693460117</v>
      </c>
      <c r="Z175">
        <v>0.70622037541920024</v>
      </c>
    </row>
    <row r="176" spans="1:26" x14ac:dyDescent="0.2">
      <c r="A176" s="17">
        <v>11061</v>
      </c>
      <c r="B176" s="17" t="s">
        <v>301</v>
      </c>
      <c r="C176" s="17" t="s">
        <v>286</v>
      </c>
      <c r="D176" s="73">
        <v>44314</v>
      </c>
      <c r="E176" s="74">
        <v>78.5</v>
      </c>
      <c r="F176" s="17">
        <v>8.0439999999999998E-2</v>
      </c>
      <c r="G176" s="75">
        <v>0.10260999999999854</v>
      </c>
      <c r="H176" t="s">
        <v>296</v>
      </c>
      <c r="I176">
        <v>1.0018673481102889E-2</v>
      </c>
      <c r="J176">
        <v>0.34918833160042828</v>
      </c>
      <c r="K176">
        <v>7.0968070955742353E-3</v>
      </c>
      <c r="L176">
        <v>2.1024600339163989E-2</v>
      </c>
      <c r="M176">
        <v>2.2043033829929231</v>
      </c>
      <c r="N176">
        <v>6.2670488716259649E-3</v>
      </c>
      <c r="O176">
        <v>1.6906502727256609</v>
      </c>
      <c r="P176">
        <v>0.38523132418425077</v>
      </c>
      <c r="Q176">
        <v>7.6902234604643953E-3</v>
      </c>
      <c r="R176">
        <v>0.11511040165760557</v>
      </c>
      <c r="S176">
        <v>5.5774352234639966E-5</v>
      </c>
      <c r="T176">
        <v>0.11511040165760553</v>
      </c>
      <c r="U176">
        <v>9.0836929950049924E-3</v>
      </c>
      <c r="V176">
        <v>2.302531546667685</v>
      </c>
      <c r="W176">
        <v>7.1267988317093134E-2</v>
      </c>
      <c r="X176">
        <v>0.37686435777531602</v>
      </c>
      <c r="Y176">
        <v>6.4621166695197579E-4</v>
      </c>
      <c r="Z176">
        <v>2.297007256079842</v>
      </c>
    </row>
    <row r="177" spans="1:26" x14ac:dyDescent="0.2">
      <c r="A177" s="13">
        <v>10815</v>
      </c>
      <c r="B177" s="13" t="s">
        <v>79</v>
      </c>
      <c r="C177" s="13" t="s">
        <v>72</v>
      </c>
      <c r="D177" s="14">
        <v>44314</v>
      </c>
      <c r="E177" s="15"/>
      <c r="F177" s="16">
        <v>1.10995</v>
      </c>
      <c r="G177" s="16">
        <v>10.349080000000001</v>
      </c>
      <c r="H177" t="s">
        <v>213</v>
      </c>
      <c r="I177">
        <v>1.0080793085742727E-2</v>
      </c>
      <c r="J177">
        <v>1.192425527171133</v>
      </c>
      <c r="K177">
        <v>7.1303646606042052E-3</v>
      </c>
      <c r="L177">
        <v>0.11332034599664058</v>
      </c>
      <c r="M177">
        <v>2.7319989038831407</v>
      </c>
      <c r="N177">
        <v>1.4269035147319911E-2</v>
      </c>
      <c r="O177">
        <v>2.0588518707125378</v>
      </c>
      <c r="P177">
        <v>1.2254681728294019</v>
      </c>
      <c r="Q177">
        <v>7.5865928854930197E-3</v>
      </c>
      <c r="R177">
        <v>0.21870380171150214</v>
      </c>
      <c r="S177">
        <v>5.502275792526178E-5</v>
      </c>
      <c r="T177">
        <v>0.21870380171150247</v>
      </c>
      <c r="U177">
        <v>1.2968270390622771</v>
      </c>
      <c r="V177">
        <v>4.3569639364313861</v>
      </c>
      <c r="W177">
        <v>0.16928768649821585</v>
      </c>
      <c r="X177">
        <v>4.7262050908333642</v>
      </c>
      <c r="Y177">
        <v>0.22845190704082169</v>
      </c>
      <c r="Z177">
        <v>0.89489992352978709</v>
      </c>
    </row>
    <row r="179" spans="1:26" x14ac:dyDescent="0.2">
      <c r="A179" s="13">
        <v>10815</v>
      </c>
      <c r="B179" s="13" t="s">
        <v>79</v>
      </c>
      <c r="C179" s="13" t="s">
        <v>72</v>
      </c>
      <c r="D179" s="14">
        <v>44316</v>
      </c>
      <c r="E179" s="15"/>
      <c r="F179" s="16">
        <v>1.10995</v>
      </c>
      <c r="G179" s="16">
        <v>10.349080000000001</v>
      </c>
      <c r="H179" t="s">
        <v>196</v>
      </c>
      <c r="I179">
        <v>9.9706072508947974E-3</v>
      </c>
      <c r="J179">
        <v>0.91123213365096789</v>
      </c>
      <c r="K179">
        <v>7.1479642229419754E-3</v>
      </c>
      <c r="L179">
        <v>6.8688938740646948E-3</v>
      </c>
      <c r="M179">
        <v>2.7321027102974265</v>
      </c>
      <c r="N179">
        <v>1.2868399790031177E-2</v>
      </c>
      <c r="O179">
        <v>2.0810868185827194</v>
      </c>
      <c r="P179">
        <v>0.85558277359946733</v>
      </c>
      <c r="Q179">
        <v>7.5685470116075874E-3</v>
      </c>
      <c r="R179">
        <v>0.1663113962101003</v>
      </c>
      <c r="S179">
        <v>5.4891877862849776E-5</v>
      </c>
      <c r="T179">
        <v>0.16631139621009916</v>
      </c>
      <c r="U179">
        <v>1.3178304493993671</v>
      </c>
      <c r="V179">
        <v>0.41317262304816688</v>
      </c>
      <c r="W179">
        <v>0.16943422973774608</v>
      </c>
      <c r="X179">
        <v>0.55840301730866482</v>
      </c>
      <c r="Y179">
        <v>0.22366660269849928</v>
      </c>
      <c r="Z179">
        <v>0.45227585751686816</v>
      </c>
    </row>
    <row r="180" spans="1:26" x14ac:dyDescent="0.2">
      <c r="A180" s="17">
        <v>11062</v>
      </c>
      <c r="B180" s="17" t="s">
        <v>308</v>
      </c>
      <c r="C180" s="17" t="s">
        <v>286</v>
      </c>
      <c r="D180" s="73">
        <v>44316</v>
      </c>
      <c r="E180" s="74">
        <v>75</v>
      </c>
      <c r="F180" s="17">
        <v>8.3449999999999996E-2</v>
      </c>
      <c r="G180" s="75">
        <v>0.10090999999999894</v>
      </c>
      <c r="H180" t="s">
        <v>302</v>
      </c>
      <c r="I180">
        <v>1.0031721834745143E-2</v>
      </c>
      <c r="J180">
        <v>0.29899527523875763</v>
      </c>
      <c r="K180">
        <v>7.145919779161106E-3</v>
      </c>
      <c r="L180">
        <v>4.9763706127404321E-3</v>
      </c>
      <c r="M180">
        <v>1.4183713550928259</v>
      </c>
      <c r="N180">
        <v>5.2817807532428481E-3</v>
      </c>
      <c r="O180">
        <v>1.084691185057657</v>
      </c>
      <c r="P180">
        <v>0.31449878098657208</v>
      </c>
      <c r="Q180">
        <v>7.6664521715670243E-3</v>
      </c>
      <c r="R180">
        <v>8.8263924676741823E-2</v>
      </c>
      <c r="S180">
        <v>5.5601947850443667E-5</v>
      </c>
      <c r="T180">
        <v>8.8263924676742572E-2</v>
      </c>
      <c r="U180">
        <v>6.2462212578632478E-3</v>
      </c>
      <c r="V180">
        <v>1.1623039306334397</v>
      </c>
      <c r="W180">
        <v>0.22412045237818945</v>
      </c>
      <c r="X180">
        <v>0.42776974563652909</v>
      </c>
      <c r="Y180">
        <v>1.3973557277736704E-3</v>
      </c>
      <c r="Z180">
        <v>1.2103927209387877</v>
      </c>
    </row>
    <row r="181" spans="1:26" x14ac:dyDescent="0.2">
      <c r="A181" s="13">
        <v>10815</v>
      </c>
      <c r="B181" s="13" t="s">
        <v>79</v>
      </c>
      <c r="C181" s="13" t="s">
        <v>72</v>
      </c>
      <c r="D181" s="14">
        <v>44316</v>
      </c>
      <c r="E181" s="15"/>
      <c r="F181" s="16">
        <v>1.10995</v>
      </c>
      <c r="G181" s="16">
        <v>10.349080000000001</v>
      </c>
      <c r="H181" t="s">
        <v>198</v>
      </c>
      <c r="I181">
        <v>1.0027601453890762E-2</v>
      </c>
      <c r="J181">
        <v>0.88693285232919716</v>
      </c>
      <c r="K181">
        <v>7.1442581269322196E-3</v>
      </c>
      <c r="L181">
        <v>8.18152747236503E-3</v>
      </c>
      <c r="M181">
        <v>2.7319082776957542</v>
      </c>
      <c r="N181">
        <v>1.4207003878895345E-2</v>
      </c>
      <c r="O181">
        <v>2.0670104019960922</v>
      </c>
      <c r="P181">
        <v>0.86730121062061838</v>
      </c>
      <c r="Q181">
        <v>7.5772948411244791E-3</v>
      </c>
      <c r="R181">
        <v>0.15314193276402543</v>
      </c>
      <c r="S181">
        <v>5.4955322641440655E-5</v>
      </c>
      <c r="T181">
        <v>0.15314193276402591</v>
      </c>
      <c r="U181">
        <v>1.3193817024081029</v>
      </c>
      <c r="V181">
        <v>0.52142019279066765</v>
      </c>
      <c r="W181">
        <v>0.17163161211721267</v>
      </c>
      <c r="X181">
        <v>0.70957376196859423</v>
      </c>
      <c r="Y181">
        <v>0.22640168348065742</v>
      </c>
      <c r="Z181">
        <v>0.53736555222788174</v>
      </c>
    </row>
    <row r="182" spans="1:26" x14ac:dyDescent="0.2">
      <c r="A182" s="17">
        <v>11063</v>
      </c>
      <c r="B182" s="17" t="s">
        <v>309</v>
      </c>
      <c r="C182" s="17" t="s">
        <v>286</v>
      </c>
      <c r="D182" s="73">
        <v>44316</v>
      </c>
      <c r="E182" s="74">
        <v>99.5</v>
      </c>
      <c r="F182" s="17">
        <v>0.10247000000000001</v>
      </c>
      <c r="G182" s="75">
        <v>9.9489999999999412E-2</v>
      </c>
      <c r="H182" t="s">
        <v>303</v>
      </c>
      <c r="I182">
        <v>1.0007226505775763E-2</v>
      </c>
      <c r="J182">
        <v>0.3142735346934214</v>
      </c>
      <c r="K182">
        <v>7.1435817120303674E-3</v>
      </c>
      <c r="L182">
        <v>5.4947458507697616E-3</v>
      </c>
      <c r="M182">
        <v>2.2707625835762175</v>
      </c>
      <c r="N182">
        <v>5.3070786359889687E-3</v>
      </c>
      <c r="O182">
        <v>1.7403755742653422</v>
      </c>
      <c r="P182">
        <v>0.32472251089476506</v>
      </c>
      <c r="Q182">
        <v>7.6747653219138342E-3</v>
      </c>
      <c r="R182">
        <v>0.10562130052836709</v>
      </c>
      <c r="S182">
        <v>5.5662240061457593E-5</v>
      </c>
      <c r="T182">
        <v>0.10562130052836681</v>
      </c>
      <c r="U182">
        <v>1.1116713375219446E-2</v>
      </c>
      <c r="V182">
        <v>1.0544042071365747</v>
      </c>
      <c r="W182">
        <v>0.15454476620500959</v>
      </c>
      <c r="X182">
        <v>0.34189080180884257</v>
      </c>
      <c r="Y182">
        <v>1.7168246130931447E-3</v>
      </c>
      <c r="Z182">
        <v>0.91569789657363043</v>
      </c>
    </row>
    <row r="183" spans="1:26" x14ac:dyDescent="0.2">
      <c r="A183" s="13">
        <v>10815</v>
      </c>
      <c r="B183" s="13" t="s">
        <v>79</v>
      </c>
      <c r="C183" s="13" t="s">
        <v>72</v>
      </c>
      <c r="D183" s="14">
        <v>44316</v>
      </c>
      <c r="E183" s="15"/>
      <c r="F183" s="16">
        <v>1.10995</v>
      </c>
      <c r="G183" s="16">
        <v>10.349080000000001</v>
      </c>
      <c r="H183" t="s">
        <v>200</v>
      </c>
      <c r="I183">
        <v>9.8839608262825049E-3</v>
      </c>
      <c r="J183">
        <v>0.74701798687566479</v>
      </c>
      <c r="K183">
        <v>7.1486602540673412E-3</v>
      </c>
      <c r="L183">
        <v>5.2182862608123031E-3</v>
      </c>
      <c r="M183">
        <v>2.731803334998959</v>
      </c>
      <c r="N183">
        <v>1.1984885405060828E-2</v>
      </c>
      <c r="O183">
        <v>2.0949056135520117</v>
      </c>
      <c r="P183">
        <v>0.86482955485304436</v>
      </c>
      <c r="Q183">
        <v>7.5862632764339879E-3</v>
      </c>
      <c r="R183">
        <v>0.17801721151831842</v>
      </c>
      <c r="S183">
        <v>5.5020367392418027E-5</v>
      </c>
      <c r="T183">
        <v>0.17801721151831884</v>
      </c>
      <c r="U183">
        <v>1.3143725121279088</v>
      </c>
      <c r="V183">
        <v>0.34581257045320107</v>
      </c>
      <c r="W183">
        <v>0.17084314757804014</v>
      </c>
      <c r="X183">
        <v>0.54535509357780776</v>
      </c>
      <c r="Y183">
        <v>0.22439907184235863</v>
      </c>
      <c r="Z183">
        <v>0.41267010605777649</v>
      </c>
    </row>
    <row r="184" spans="1:26" x14ac:dyDescent="0.2">
      <c r="A184" s="17">
        <v>11064</v>
      </c>
      <c r="B184" s="17" t="s">
        <v>310</v>
      </c>
      <c r="C184" s="17" t="s">
        <v>286</v>
      </c>
      <c r="D184" s="73">
        <v>44316</v>
      </c>
      <c r="E184" s="74">
        <v>166</v>
      </c>
      <c r="F184" s="17">
        <v>8.5900000000000004E-2</v>
      </c>
      <c r="G184" s="75">
        <v>0.10155999999999921</v>
      </c>
      <c r="H184" t="s">
        <v>304</v>
      </c>
      <c r="I184">
        <v>1.0075369216079785E-2</v>
      </c>
      <c r="J184">
        <v>0.22337033717949495</v>
      </c>
      <c r="K184">
        <v>7.1455012349493146E-3</v>
      </c>
      <c r="L184">
        <v>6.8795553087614113E-3</v>
      </c>
      <c r="M184">
        <v>0.58430693987941773</v>
      </c>
      <c r="N184">
        <v>5.5249335951222094E-3</v>
      </c>
      <c r="O184">
        <v>0.44844264836345249</v>
      </c>
      <c r="P184">
        <v>0.27776694794646434</v>
      </c>
      <c r="Q184">
        <v>7.721231538501799E-3</v>
      </c>
      <c r="R184">
        <v>0.20375972964939254</v>
      </c>
      <c r="S184">
        <v>5.5999242379311124E-5</v>
      </c>
      <c r="T184">
        <v>0.20375972964939332</v>
      </c>
      <c r="U184">
        <v>4.513785683881672E-3</v>
      </c>
      <c r="V184">
        <v>1.4578690492739959</v>
      </c>
      <c r="W184">
        <v>0.24357791573871343</v>
      </c>
      <c r="X184">
        <v>0.36356937594479732</v>
      </c>
      <c r="Y184">
        <v>1.0970573879835552E-3</v>
      </c>
      <c r="Z184">
        <v>1.4308219280673919</v>
      </c>
    </row>
    <row r="185" spans="1:26" x14ac:dyDescent="0.2">
      <c r="A185" s="13">
        <v>10815</v>
      </c>
      <c r="B185" s="13" t="s">
        <v>79</v>
      </c>
      <c r="C185" s="13" t="s">
        <v>72</v>
      </c>
      <c r="D185" s="14">
        <v>44316</v>
      </c>
      <c r="E185" s="15"/>
      <c r="F185" s="16">
        <v>1.10995</v>
      </c>
      <c r="G185" s="16">
        <v>10.349080000000001</v>
      </c>
      <c r="H185" t="s">
        <v>209</v>
      </c>
      <c r="I185">
        <v>9.9276104487468556E-3</v>
      </c>
      <c r="J185">
        <v>0.8641923258807418</v>
      </c>
      <c r="K185">
        <v>7.1480596340731143E-3</v>
      </c>
      <c r="L185">
        <v>6.6865393197463509E-3</v>
      </c>
      <c r="M185">
        <v>2.731716626479475</v>
      </c>
      <c r="N185">
        <v>1.0928110051615038E-2</v>
      </c>
      <c r="O185">
        <v>2.0893545660846491</v>
      </c>
      <c r="P185">
        <v>0.9123920743610977</v>
      </c>
      <c r="Q185">
        <v>7.5720428097699093E-3</v>
      </c>
      <c r="R185">
        <v>0.15671993977396786</v>
      </c>
      <c r="S185">
        <v>5.4917231596593502E-5</v>
      </c>
      <c r="T185">
        <v>0.15671993977396803</v>
      </c>
      <c r="U185">
        <v>1.3209331187609055</v>
      </c>
      <c r="V185">
        <v>0.41304592473823631</v>
      </c>
      <c r="W185">
        <v>0.17014577576125944</v>
      </c>
      <c r="X185">
        <v>0.55396204321362064</v>
      </c>
      <c r="Y185">
        <v>0.2246745108899266</v>
      </c>
      <c r="Z185">
        <v>0.42889593766542256</v>
      </c>
    </row>
    <row r="186" spans="1:26" x14ac:dyDescent="0.2">
      <c r="A186" s="17">
        <v>11091</v>
      </c>
      <c r="B186" s="17" t="s">
        <v>311</v>
      </c>
      <c r="C186" s="17" t="s">
        <v>286</v>
      </c>
      <c r="D186" s="73">
        <v>44316</v>
      </c>
      <c r="E186" s="74">
        <v>605</v>
      </c>
      <c r="F186" s="17">
        <v>0.22495000000000001</v>
      </c>
      <c r="G186" s="75">
        <v>0.10060636363636406</v>
      </c>
      <c r="H186" t="s">
        <v>305</v>
      </c>
      <c r="I186">
        <v>1.007195675321889E-2</v>
      </c>
      <c r="J186">
        <v>0.24187808861474433</v>
      </c>
      <c r="K186">
        <v>7.1505656738716974E-3</v>
      </c>
      <c r="L186">
        <v>4.5002493884163126E-3</v>
      </c>
      <c r="M186">
        <v>1.3797228288708074</v>
      </c>
      <c r="N186">
        <v>4.9058156777519093E-3</v>
      </c>
      <c r="O186">
        <v>1.9979024803677017</v>
      </c>
      <c r="P186">
        <v>0.26603645714328433</v>
      </c>
      <c r="Q186">
        <v>1.4578487553279436E-2</v>
      </c>
      <c r="R186">
        <v>6.3480863057100143E-2</v>
      </c>
      <c r="S186">
        <v>1.0573238918545285E-4</v>
      </c>
      <c r="T186">
        <v>6.3480863057100448E-2</v>
      </c>
      <c r="U186">
        <v>1.3525441844622126</v>
      </c>
      <c r="V186">
        <v>0.19165626608111794</v>
      </c>
      <c r="W186">
        <v>9.7005362380019125E-2</v>
      </c>
      <c r="X186">
        <v>0.29610840695052504</v>
      </c>
      <c r="Y186">
        <v>0.13146476528223644</v>
      </c>
      <c r="Z186">
        <v>0.14819621242820191</v>
      </c>
    </row>
    <row r="187" spans="1:26" x14ac:dyDescent="0.2">
      <c r="A187" s="13">
        <v>10815</v>
      </c>
      <c r="B187" s="13" t="s">
        <v>79</v>
      </c>
      <c r="C187" s="13" t="s">
        <v>72</v>
      </c>
      <c r="D187" s="14">
        <v>44316</v>
      </c>
      <c r="E187" s="15"/>
      <c r="F187" s="16">
        <v>1.10995</v>
      </c>
      <c r="G187" s="16">
        <v>10.349080000000001</v>
      </c>
      <c r="H187" t="s">
        <v>211</v>
      </c>
      <c r="I187">
        <v>9.8616748096769409E-3</v>
      </c>
      <c r="J187">
        <v>0.70423945968220536</v>
      </c>
      <c r="K187">
        <v>7.1493170934586814E-3</v>
      </c>
      <c r="L187">
        <v>7.6708541393384023E-3</v>
      </c>
      <c r="M187">
        <v>2.7324255231757868</v>
      </c>
      <c r="N187">
        <v>1.2857411739207767E-2</v>
      </c>
      <c r="O187">
        <v>2.1047830954644988</v>
      </c>
      <c r="P187">
        <v>0.81450166352935349</v>
      </c>
      <c r="Q187">
        <v>7.5851406925907666E-3</v>
      </c>
      <c r="R187">
        <v>0.16265258670583235</v>
      </c>
      <c r="S187">
        <v>5.5012225706157934E-5</v>
      </c>
      <c r="T187">
        <v>0.16265258670583185</v>
      </c>
      <c r="U187">
        <v>1.3148251824560548</v>
      </c>
      <c r="V187">
        <v>0.37114504321409936</v>
      </c>
      <c r="W187">
        <v>0.17068021815361534</v>
      </c>
      <c r="X187">
        <v>0.61651489021293238</v>
      </c>
      <c r="Y187">
        <v>0.22434609359885357</v>
      </c>
      <c r="Z187">
        <v>0.38234747949447112</v>
      </c>
    </row>
    <row r="188" spans="1:26" x14ac:dyDescent="0.2">
      <c r="A188" s="17">
        <v>11092</v>
      </c>
      <c r="B188" s="17" t="s">
        <v>312</v>
      </c>
      <c r="C188" s="17" t="s">
        <v>286</v>
      </c>
      <c r="D188" s="73">
        <v>44316</v>
      </c>
      <c r="E188" s="74">
        <v>629.25</v>
      </c>
      <c r="F188" s="17">
        <v>0.22103</v>
      </c>
      <c r="G188" s="75">
        <v>0.10060636363636406</v>
      </c>
      <c r="H188" t="s">
        <v>306</v>
      </c>
      <c r="I188">
        <v>1.0034665272295696E-2</v>
      </c>
      <c r="J188">
        <v>0.38505467282097117</v>
      </c>
      <c r="K188">
        <v>7.1451797418731651E-3</v>
      </c>
      <c r="L188">
        <v>6.271844253568944E-3</v>
      </c>
      <c r="M188">
        <v>1.1984764455153132</v>
      </c>
      <c r="N188">
        <v>7.1901173774302999E-3</v>
      </c>
      <c r="O188">
        <v>1.8255165053506808</v>
      </c>
      <c r="P188">
        <v>0.43224229612741361</v>
      </c>
      <c r="Q188">
        <v>1.5276779698210221E-2</v>
      </c>
      <c r="R188">
        <v>9.556360885883837E-2</v>
      </c>
      <c r="S188">
        <v>1.107968443673184E-4</v>
      </c>
      <c r="T188">
        <v>9.556360885883862E-2</v>
      </c>
      <c r="U188">
        <v>1.2396128936946269</v>
      </c>
      <c r="V188">
        <v>0.23568169675941228</v>
      </c>
      <c r="W188">
        <v>9.6266031886829334E-2</v>
      </c>
      <c r="X188">
        <v>0.22447308725955264</v>
      </c>
      <c r="Y188">
        <v>0.11918385190191839</v>
      </c>
      <c r="Z188">
        <v>0.18792881566671749</v>
      </c>
    </row>
    <row r="189" spans="1:26" x14ac:dyDescent="0.2">
      <c r="A189" s="13">
        <v>10815</v>
      </c>
      <c r="B189" s="13" t="s">
        <v>79</v>
      </c>
      <c r="C189" s="13" t="s">
        <v>72</v>
      </c>
      <c r="D189" s="14">
        <v>44316</v>
      </c>
      <c r="E189" s="15"/>
      <c r="F189" s="16">
        <v>1.10995</v>
      </c>
      <c r="G189" s="16">
        <v>10.349080000000001</v>
      </c>
      <c r="H189" t="s">
        <v>213</v>
      </c>
      <c r="I189">
        <v>9.8910489584321699E-3</v>
      </c>
      <c r="J189">
        <v>0.76439435227604335</v>
      </c>
      <c r="K189">
        <v>7.1425585927140101E-3</v>
      </c>
      <c r="L189">
        <v>7.5742039468492351E-3</v>
      </c>
      <c r="M189">
        <v>2.7325222830302236</v>
      </c>
      <c r="N189">
        <v>1.1463509611868289E-2</v>
      </c>
      <c r="O189">
        <v>2.0944504408713631</v>
      </c>
      <c r="P189">
        <v>0.78727268825675467</v>
      </c>
      <c r="Q189">
        <v>7.5854602525122277E-3</v>
      </c>
      <c r="R189">
        <v>0.1505970518487717</v>
      </c>
      <c r="S189">
        <v>5.5014543356316123E-5</v>
      </c>
      <c r="T189">
        <v>0.15059705184877129</v>
      </c>
      <c r="U189">
        <v>1.3193443117344321</v>
      </c>
      <c r="V189">
        <v>0.35971351978352334</v>
      </c>
      <c r="W189">
        <v>0.17104178688890836</v>
      </c>
      <c r="X189">
        <v>0.36751996742459592</v>
      </c>
      <c r="Y189">
        <v>0.22595941755016138</v>
      </c>
      <c r="Z189">
        <v>0.28784807479341368</v>
      </c>
    </row>
    <row r="190" spans="1:26" x14ac:dyDescent="0.2">
      <c r="A190" s="17">
        <v>11093</v>
      </c>
      <c r="B190" s="17" t="s">
        <v>313</v>
      </c>
      <c r="C190" s="17" t="s">
        <v>286</v>
      </c>
      <c r="D190" s="73">
        <v>44316</v>
      </c>
      <c r="E190" s="74">
        <v>651.5</v>
      </c>
      <c r="F190" s="17">
        <v>0.22836999999999999</v>
      </c>
      <c r="G190" s="75">
        <v>0.10060636363636406</v>
      </c>
      <c r="H190" t="s">
        <v>307</v>
      </c>
      <c r="I190">
        <v>1.0056536206828641E-2</v>
      </c>
      <c r="J190">
        <v>0.27940862217168294</v>
      </c>
      <c r="K190">
        <v>7.1463881652934162E-3</v>
      </c>
      <c r="L190">
        <v>6.194836254950784E-3</v>
      </c>
      <c r="M190">
        <v>1.21240744600232</v>
      </c>
      <c r="N190">
        <v>5.676854229178659E-3</v>
      </c>
      <c r="O190">
        <v>1.8512779675906528</v>
      </c>
      <c r="P190">
        <v>0.30236950463169604</v>
      </c>
      <c r="Q190">
        <v>1.5352982967189113E-2</v>
      </c>
      <c r="R190">
        <v>6.5080463113109832E-2</v>
      </c>
      <c r="S190">
        <v>1.1134951854997513E-4</v>
      </c>
      <c r="T190">
        <v>6.5080463113109874E-2</v>
      </c>
      <c r="U190">
        <v>1.2625196509357792</v>
      </c>
      <c r="V190">
        <v>0.16768690998717628</v>
      </c>
      <c r="W190">
        <v>7.9840715846904414E-2</v>
      </c>
      <c r="X190">
        <v>0.20216244898437963</v>
      </c>
      <c r="Y190">
        <v>0.10081085707814028</v>
      </c>
      <c r="Z190">
        <v>0.12219176640837685</v>
      </c>
    </row>
    <row r="191" spans="1:26" x14ac:dyDescent="0.2">
      <c r="A191" s="13">
        <v>10815</v>
      </c>
      <c r="B191" s="13" t="s">
        <v>79</v>
      </c>
      <c r="C191" s="13" t="s">
        <v>72</v>
      </c>
      <c r="D191" s="14">
        <v>44316</v>
      </c>
      <c r="E191" s="15"/>
      <c r="F191" s="16">
        <v>1.10995</v>
      </c>
      <c r="G191" s="16">
        <v>10.349080000000001</v>
      </c>
      <c r="H191" t="s">
        <v>213</v>
      </c>
      <c r="I191">
        <v>9.8910489584321699E-3</v>
      </c>
      <c r="J191">
        <v>0.76439435227604335</v>
      </c>
      <c r="K191">
        <v>7.1425585927140101E-3</v>
      </c>
      <c r="L191">
        <v>7.5742039468492351E-3</v>
      </c>
      <c r="M191">
        <v>2.7325222830302236</v>
      </c>
      <c r="N191">
        <v>1.1463509611868289E-2</v>
      </c>
      <c r="O191">
        <v>2.0944504408713631</v>
      </c>
      <c r="P191">
        <v>0.78727268825675467</v>
      </c>
      <c r="Q191">
        <v>7.5854602525122277E-3</v>
      </c>
      <c r="R191">
        <v>0.1505970518487717</v>
      </c>
      <c r="S191">
        <v>5.5014543356316123E-5</v>
      </c>
      <c r="T191">
        <v>0.15059705184877129</v>
      </c>
      <c r="U191">
        <v>1.3193443117344321</v>
      </c>
      <c r="V191">
        <v>0.35971351978352334</v>
      </c>
      <c r="W191">
        <v>0.17104178688890836</v>
      </c>
      <c r="X191">
        <v>0.36751996742459592</v>
      </c>
      <c r="Y191">
        <v>0.22595941755016138</v>
      </c>
      <c r="Z191">
        <v>0.28784807479341368</v>
      </c>
    </row>
    <row r="193" spans="1:26" x14ac:dyDescent="0.2">
      <c r="A193" s="13">
        <v>10815</v>
      </c>
      <c r="B193" s="13" t="s">
        <v>79</v>
      </c>
      <c r="C193" s="13" t="s">
        <v>72</v>
      </c>
      <c r="D193" s="14">
        <v>44319</v>
      </c>
      <c r="E193" s="15"/>
      <c r="F193" s="16">
        <v>1.10995</v>
      </c>
      <c r="G193" s="16">
        <v>10.349080000000001</v>
      </c>
      <c r="H193" t="s">
        <v>314</v>
      </c>
      <c r="I193">
        <v>1.0012186323512898E-2</v>
      </c>
      <c r="J193">
        <v>1.0806535289430244</v>
      </c>
      <c r="K193">
        <v>7.1270505581490255E-3</v>
      </c>
      <c r="L193">
        <v>3.3039146998344628E-2</v>
      </c>
      <c r="M193">
        <v>2.7316334114941512</v>
      </c>
      <c r="N193">
        <v>1.7466838266948781E-2</v>
      </c>
      <c r="O193">
        <v>2.072008777125685</v>
      </c>
      <c r="P193">
        <v>1.1893072442683881</v>
      </c>
      <c r="Q193">
        <v>7.5715079717488722E-3</v>
      </c>
      <c r="R193">
        <v>0.24600054530997126</v>
      </c>
      <c r="S193">
        <v>5.4913352613840003E-5</v>
      </c>
      <c r="T193">
        <v>0.24600054530997031</v>
      </c>
      <c r="U193">
        <v>1.3117041747901104</v>
      </c>
      <c r="V193">
        <v>0.83720086860793808</v>
      </c>
      <c r="W193">
        <v>0.17131477300008913</v>
      </c>
      <c r="X193">
        <v>1.1581152574617846</v>
      </c>
      <c r="Y193">
        <v>0.22501146648883238</v>
      </c>
      <c r="Z193">
        <v>0.73128689703526761</v>
      </c>
    </row>
    <row r="194" spans="1:26" x14ac:dyDescent="0.2">
      <c r="A194" s="17">
        <v>11094</v>
      </c>
      <c r="B194" s="17" t="s">
        <v>327</v>
      </c>
      <c r="C194" s="17" t="s">
        <v>286</v>
      </c>
      <c r="D194" s="73">
        <v>44319</v>
      </c>
      <c r="E194" s="74">
        <v>68</v>
      </c>
      <c r="F194" s="17">
        <v>0.22595999999999999</v>
      </c>
      <c r="G194" s="75">
        <v>0.10060636363636406</v>
      </c>
      <c r="H194" t="s">
        <v>315</v>
      </c>
      <c r="I194">
        <v>9.9490418274395722E-3</v>
      </c>
      <c r="J194">
        <v>0.30436042121544238</v>
      </c>
      <c r="K194">
        <v>7.1332049747798902E-3</v>
      </c>
      <c r="L194">
        <v>1.268773271806773E-2</v>
      </c>
      <c r="M194">
        <v>3.1628266352702399</v>
      </c>
      <c r="N194">
        <v>5.5292501824582355E-3</v>
      </c>
      <c r="O194">
        <v>4.6519849680344398</v>
      </c>
      <c r="P194">
        <v>0.31896366664833964</v>
      </c>
      <c r="Q194">
        <v>1.4635819825189574E-2</v>
      </c>
      <c r="R194">
        <v>4.7966372724809213E-2</v>
      </c>
      <c r="S194">
        <v>1.0614819899180871E-4</v>
      </c>
      <c r="T194">
        <v>4.7966372724808026E-2</v>
      </c>
      <c r="U194">
        <v>2.8742107654166071</v>
      </c>
      <c r="V194">
        <v>0.15669679045781432</v>
      </c>
      <c r="W194">
        <v>0.10893958076416443</v>
      </c>
      <c r="X194">
        <v>0.25430294523211727</v>
      </c>
      <c r="Y194">
        <v>0.31288955082911823</v>
      </c>
      <c r="Z194">
        <v>0.1967931711153437</v>
      </c>
    </row>
    <row r="195" spans="1:26" x14ac:dyDescent="0.2">
      <c r="A195" s="13">
        <v>10815</v>
      </c>
      <c r="B195" s="13" t="s">
        <v>79</v>
      </c>
      <c r="C195" s="13" t="s">
        <v>72</v>
      </c>
      <c r="D195" s="14">
        <v>44319</v>
      </c>
      <c r="E195" s="15"/>
      <c r="F195" s="16">
        <v>1.10995</v>
      </c>
      <c r="G195" s="16">
        <v>10.349080000000001</v>
      </c>
      <c r="H195" t="s">
        <v>316</v>
      </c>
      <c r="I195">
        <v>9.8776915151171634E-3</v>
      </c>
      <c r="J195">
        <v>0.97742372222666318</v>
      </c>
      <c r="K195">
        <v>7.1273909233369338E-3</v>
      </c>
      <c r="L195">
        <v>1.7827728183712001E-2</v>
      </c>
      <c r="M195">
        <v>2.7320451164163324</v>
      </c>
      <c r="N195">
        <v>1.5656386755502297E-2</v>
      </c>
      <c r="O195">
        <v>2.0903831173641962</v>
      </c>
      <c r="P195">
        <v>0.93898608047871746</v>
      </c>
      <c r="Q195">
        <v>7.5718999154400831E-3</v>
      </c>
      <c r="R195">
        <v>0.20126220438100875</v>
      </c>
      <c r="S195">
        <v>5.4916195236762765E-5</v>
      </c>
      <c r="T195">
        <v>0.20126220438100745</v>
      </c>
      <c r="U195">
        <v>1.3245181688177365</v>
      </c>
      <c r="V195">
        <v>0.3983751761688934</v>
      </c>
      <c r="W195">
        <v>0.17132442691821412</v>
      </c>
      <c r="X195">
        <v>0.83412726733183462</v>
      </c>
      <c r="Y195">
        <v>0.226442984260918</v>
      </c>
      <c r="Z195">
        <v>0.74734408014761855</v>
      </c>
    </row>
    <row r="196" spans="1:26" x14ac:dyDescent="0.2">
      <c r="A196" s="17">
        <v>11095</v>
      </c>
      <c r="B196" s="17" t="s">
        <v>328</v>
      </c>
      <c r="C196" s="17" t="s">
        <v>286</v>
      </c>
      <c r="D196" s="73">
        <v>44319</v>
      </c>
      <c r="E196" s="74">
        <v>152</v>
      </c>
      <c r="F196" s="17">
        <v>0.24432999999999999</v>
      </c>
      <c r="G196" s="75">
        <v>0.10117999999999938</v>
      </c>
      <c r="H196" t="s">
        <v>317</v>
      </c>
      <c r="I196">
        <v>1.0041530936031698E-2</v>
      </c>
      <c r="J196">
        <v>0.33450086556719139</v>
      </c>
      <c r="K196">
        <v>7.1314052214425374E-3</v>
      </c>
      <c r="L196">
        <v>8.7408229018892201E-3</v>
      </c>
      <c r="M196">
        <v>2.9792591365349468</v>
      </c>
      <c r="N196">
        <v>5.6125156572039937E-3</v>
      </c>
      <c r="O196">
        <v>4.4839299157472743</v>
      </c>
      <c r="P196">
        <v>0.32700407307416618</v>
      </c>
      <c r="Q196">
        <v>1.5111892380737056E-2</v>
      </c>
      <c r="R196">
        <v>5.7650972842799415E-2</v>
      </c>
      <c r="S196">
        <v>1.0960097751493717E-4</v>
      </c>
      <c r="T196">
        <v>5.7650972842799741E-2</v>
      </c>
      <c r="U196">
        <v>2.9192442998928763</v>
      </c>
      <c r="V196">
        <v>0.20827925686674764</v>
      </c>
      <c r="W196">
        <v>1.3514680006283059E-2</v>
      </c>
      <c r="X196">
        <v>0.22319379262426778</v>
      </c>
      <c r="Y196">
        <v>3.9490370741585963E-2</v>
      </c>
      <c r="Z196">
        <v>0.12505272076781423</v>
      </c>
    </row>
    <row r="197" spans="1:26" x14ac:dyDescent="0.2">
      <c r="A197" s="13">
        <v>10815</v>
      </c>
      <c r="B197" s="13" t="s">
        <v>79</v>
      </c>
      <c r="C197" s="13" t="s">
        <v>72</v>
      </c>
      <c r="D197" s="14">
        <v>44319</v>
      </c>
      <c r="E197" s="15"/>
      <c r="F197" s="16">
        <v>1.10995</v>
      </c>
      <c r="G197" s="16">
        <v>10.349080000000001</v>
      </c>
      <c r="H197" t="s">
        <v>318</v>
      </c>
      <c r="I197">
        <v>9.8381384856337292E-3</v>
      </c>
      <c r="J197">
        <v>1.0001757955234569</v>
      </c>
      <c r="K197">
        <v>7.125935474812016E-3</v>
      </c>
      <c r="L197">
        <v>8.3699349323379801E-3</v>
      </c>
      <c r="M197">
        <v>2.7319899501752039</v>
      </c>
      <c r="N197">
        <v>1.2254824246639434E-2</v>
      </c>
      <c r="O197">
        <v>2.1070521688418657</v>
      </c>
      <c r="P197">
        <v>0.96909841945244235</v>
      </c>
      <c r="Q197">
        <v>7.5834912916221903E-3</v>
      </c>
      <c r="R197">
        <v>0.19244207782212022</v>
      </c>
      <c r="S197">
        <v>5.500026320974024E-5</v>
      </c>
      <c r="T197">
        <v>0.19244207782212031</v>
      </c>
      <c r="U197">
        <v>1.3229972067602127</v>
      </c>
      <c r="V197">
        <v>0.2918369337249323</v>
      </c>
      <c r="W197">
        <v>0.17203560061041268</v>
      </c>
      <c r="X197">
        <v>0.57736508872830805</v>
      </c>
      <c r="Y197">
        <v>0.22760645669441784</v>
      </c>
      <c r="Z197">
        <v>0.47241932961839062</v>
      </c>
    </row>
    <row r="198" spans="1:26" x14ac:dyDescent="0.2">
      <c r="A198" s="17">
        <v>11096</v>
      </c>
      <c r="B198" s="17" t="s">
        <v>329</v>
      </c>
      <c r="C198" s="17" t="s">
        <v>286</v>
      </c>
      <c r="D198" s="73">
        <v>44319</v>
      </c>
      <c r="E198" s="74">
        <v>154</v>
      </c>
      <c r="F198" s="17">
        <v>0.20296</v>
      </c>
      <c r="G198" s="75">
        <v>0.10125000000000028</v>
      </c>
      <c r="H198" t="s">
        <v>319</v>
      </c>
      <c r="I198">
        <v>9.9445612188028797E-3</v>
      </c>
      <c r="J198">
        <v>0.31927488438409746</v>
      </c>
      <c r="K198">
        <v>7.1270213705544793E-3</v>
      </c>
      <c r="L198">
        <v>8.3898956542360886E-3</v>
      </c>
      <c r="M198">
        <v>2.3494106610748493</v>
      </c>
      <c r="N198">
        <v>6.5095669207775432E-3</v>
      </c>
      <c r="O198">
        <v>3.6257387872174429</v>
      </c>
      <c r="P198">
        <v>0.31361545915196382</v>
      </c>
      <c r="Q198">
        <v>1.5338200322912079E-2</v>
      </c>
      <c r="R198">
        <v>4.6317640404231711E-2</v>
      </c>
      <c r="S198">
        <v>1.1124230548742808E-4</v>
      </c>
      <c r="T198">
        <v>4.6317640404231433E-2</v>
      </c>
      <c r="U198">
        <v>2.3727658512142402</v>
      </c>
      <c r="V198">
        <v>0.20257784274888663</v>
      </c>
      <c r="W198">
        <v>8.5478542341396097E-2</v>
      </c>
      <c r="X198">
        <v>0.25234326544707131</v>
      </c>
      <c r="Y198">
        <v>0.20284349124095838</v>
      </c>
      <c r="Z198">
        <v>0.18546857977702896</v>
      </c>
    </row>
    <row r="199" spans="1:26" x14ac:dyDescent="0.2">
      <c r="A199" s="13">
        <v>10815</v>
      </c>
      <c r="B199" s="13" t="s">
        <v>79</v>
      </c>
      <c r="C199" s="13" t="s">
        <v>72</v>
      </c>
      <c r="D199" s="14">
        <v>44319</v>
      </c>
      <c r="E199" s="15"/>
      <c r="F199" s="16">
        <v>1.10995</v>
      </c>
      <c r="G199" s="16">
        <v>10.349080000000001</v>
      </c>
      <c r="H199" t="s">
        <v>320</v>
      </c>
      <c r="I199">
        <v>9.9483297938284289E-3</v>
      </c>
      <c r="J199">
        <v>0.88995460263836756</v>
      </c>
      <c r="K199">
        <v>7.1181954787454928E-3</v>
      </c>
      <c r="L199">
        <v>1.3597340796776526E-2</v>
      </c>
      <c r="M199">
        <v>2.7324438311208126</v>
      </c>
      <c r="N199">
        <v>1.3533004755605845E-2</v>
      </c>
      <c r="O199">
        <v>2.0834319207252237</v>
      </c>
      <c r="P199">
        <v>0.81571711100301458</v>
      </c>
      <c r="Q199">
        <v>7.5762152262671602E-3</v>
      </c>
      <c r="R199">
        <v>0.18342449008944675</v>
      </c>
      <c r="S199">
        <v>5.4947492593375162E-5</v>
      </c>
      <c r="T199">
        <v>0.18342449008944656</v>
      </c>
      <c r="U199">
        <v>1.3188957830240224</v>
      </c>
      <c r="V199">
        <v>0.28007174431074727</v>
      </c>
      <c r="W199">
        <v>0.17491725414631229</v>
      </c>
      <c r="X199">
        <v>0.65616729285065578</v>
      </c>
      <c r="Y199">
        <v>0.23060079135025249</v>
      </c>
      <c r="Z199">
        <v>0.64160735426342985</v>
      </c>
    </row>
    <row r="200" spans="1:26" x14ac:dyDescent="0.2">
      <c r="A200" s="17">
        <v>11097</v>
      </c>
      <c r="B200" s="17" t="s">
        <v>330</v>
      </c>
      <c r="C200" s="17" t="s">
        <v>286</v>
      </c>
      <c r="D200" s="73">
        <v>44319</v>
      </c>
      <c r="E200" s="74">
        <v>186.5</v>
      </c>
      <c r="F200" s="17">
        <v>0.21870999999999999</v>
      </c>
      <c r="G200" s="75">
        <v>9.5100000000000406E-2</v>
      </c>
      <c r="H200" t="s">
        <v>321</v>
      </c>
      <c r="I200">
        <v>1.0040376938372933E-2</v>
      </c>
      <c r="J200">
        <v>0.35929895565615921</v>
      </c>
      <c r="K200">
        <v>7.1220228535346583E-3</v>
      </c>
      <c r="L200">
        <v>7.7674060939912585E-3</v>
      </c>
      <c r="M200">
        <v>2.0549198164512705</v>
      </c>
      <c r="N200">
        <v>6.2469614738156756E-3</v>
      </c>
      <c r="O200">
        <v>2.7951304906186265</v>
      </c>
      <c r="P200">
        <v>0.37839022338760719</v>
      </c>
      <c r="Q200">
        <v>1.3655093601998637E-2</v>
      </c>
      <c r="R200">
        <v>5.8120318654961187E-2</v>
      </c>
      <c r="S200">
        <v>9.90353536890408E-5</v>
      </c>
      <c r="T200">
        <v>5.8120318654960638E-2</v>
      </c>
      <c r="U200">
        <v>1.8356115259406875</v>
      </c>
      <c r="V200">
        <v>0.17901722710825596</v>
      </c>
      <c r="W200">
        <v>8.5544479879763186E-2</v>
      </c>
      <c r="X200">
        <v>0.19619062217228322</v>
      </c>
      <c r="Y200">
        <v>0.15684307111868612</v>
      </c>
      <c r="Z200">
        <v>0.11953481803657845</v>
      </c>
    </row>
    <row r="201" spans="1:26" x14ac:dyDescent="0.2">
      <c r="A201" s="13">
        <v>10815</v>
      </c>
      <c r="B201" s="13" t="s">
        <v>79</v>
      </c>
      <c r="C201" s="13" t="s">
        <v>72</v>
      </c>
      <c r="D201" s="14">
        <v>44319</v>
      </c>
      <c r="E201" s="15"/>
      <c r="F201" s="16">
        <v>1.10995</v>
      </c>
      <c r="G201" s="16">
        <v>10.349080000000001</v>
      </c>
      <c r="H201" t="s">
        <v>322</v>
      </c>
      <c r="I201">
        <v>9.9605184804205226E-3</v>
      </c>
      <c r="J201">
        <v>0.73580168612515051</v>
      </c>
      <c r="K201">
        <v>7.122787438884233E-3</v>
      </c>
      <c r="L201">
        <v>1.1279792918848144E-2</v>
      </c>
      <c r="M201">
        <v>2.7313712452040209</v>
      </c>
      <c r="N201">
        <v>1.1555839021961277E-2</v>
      </c>
      <c r="O201">
        <v>2.0860091736217616</v>
      </c>
      <c r="P201">
        <v>0.81100265191068188</v>
      </c>
      <c r="Q201">
        <v>7.5803723029127029E-3</v>
      </c>
      <c r="R201">
        <v>0.19754013674857504</v>
      </c>
      <c r="S201">
        <v>5.4977642335874451E-5</v>
      </c>
      <c r="T201">
        <v>0.19754013674857493</v>
      </c>
      <c r="U201">
        <v>1.3172010563127208</v>
      </c>
      <c r="V201">
        <v>0.35105795584928901</v>
      </c>
      <c r="W201">
        <v>0.17509341779137308</v>
      </c>
      <c r="X201">
        <v>0.58773471527486421</v>
      </c>
      <c r="Y201">
        <v>0.23114150353700216</v>
      </c>
      <c r="Z201">
        <v>0.62600939161378977</v>
      </c>
    </row>
    <row r="202" spans="1:26" x14ac:dyDescent="0.2">
      <c r="A202" s="17">
        <v>11098</v>
      </c>
      <c r="B202" s="17" t="s">
        <v>331</v>
      </c>
      <c r="C202" s="17" t="s">
        <v>286</v>
      </c>
      <c r="D202" s="73">
        <v>44319</v>
      </c>
      <c r="E202" s="74">
        <v>196.75</v>
      </c>
      <c r="F202" s="17">
        <v>0.27350000000000002</v>
      </c>
      <c r="G202" s="75">
        <v>9.2350000000001486E-2</v>
      </c>
      <c r="H202" t="s">
        <v>323</v>
      </c>
      <c r="I202">
        <v>1.0011497006582245E-2</v>
      </c>
      <c r="J202">
        <v>0.33216811917888683</v>
      </c>
      <c r="K202">
        <v>7.1229377102157657E-3</v>
      </c>
      <c r="L202">
        <v>6.945318744181978E-3</v>
      </c>
      <c r="M202">
        <v>4.0749548345748838</v>
      </c>
      <c r="N202">
        <v>5.6545899227927647E-3</v>
      </c>
      <c r="O202">
        <v>5.9134976849127723</v>
      </c>
      <c r="P202">
        <v>0.34662440695031477</v>
      </c>
      <c r="Q202">
        <v>1.4532130468386457E-2</v>
      </c>
      <c r="R202">
        <v>3.7159526647590028E-2</v>
      </c>
      <c r="S202">
        <v>1.0539617835950167E-4</v>
      </c>
      <c r="T202">
        <v>3.7159526647591173E-2</v>
      </c>
      <c r="U202">
        <v>3.9280579572913994</v>
      </c>
      <c r="V202">
        <v>0.19154686991089354</v>
      </c>
      <c r="W202">
        <v>4.3005597755389487E-2</v>
      </c>
      <c r="X202">
        <v>0.24482866046060983</v>
      </c>
      <c r="Y202">
        <v>0.16904917517487147</v>
      </c>
      <c r="Z202">
        <v>0.11495328776566008</v>
      </c>
    </row>
    <row r="203" spans="1:26" x14ac:dyDescent="0.2">
      <c r="A203" s="13">
        <v>10815</v>
      </c>
      <c r="B203" s="13" t="s">
        <v>79</v>
      </c>
      <c r="C203" s="13" t="s">
        <v>72</v>
      </c>
      <c r="D203" s="14">
        <v>44319</v>
      </c>
      <c r="E203" s="15"/>
      <c r="F203" s="16">
        <v>1.10995</v>
      </c>
      <c r="G203" s="16">
        <v>10.349080000000001</v>
      </c>
      <c r="H203" t="s">
        <v>324</v>
      </c>
      <c r="I203">
        <v>9.8580545131167815E-3</v>
      </c>
      <c r="J203">
        <v>0.8301661852522273</v>
      </c>
      <c r="K203">
        <v>7.1120781494749905E-3</v>
      </c>
      <c r="L203">
        <v>1.0844873067815191E-2</v>
      </c>
      <c r="M203">
        <v>2.7315959618724555</v>
      </c>
      <c r="N203">
        <v>1.3816344470221066E-2</v>
      </c>
      <c r="O203">
        <v>2.1009701816565998</v>
      </c>
      <c r="P203">
        <v>0.88296088821149443</v>
      </c>
      <c r="Q203">
        <v>7.5744658811091447E-3</v>
      </c>
      <c r="R203">
        <v>0.17931802956462181</v>
      </c>
      <c r="S203">
        <v>5.4934805238641628E-5</v>
      </c>
      <c r="T203">
        <v>0.17931802956462059</v>
      </c>
      <c r="U203">
        <v>1.3260895124688215</v>
      </c>
      <c r="V203">
        <v>0.27051648740412448</v>
      </c>
      <c r="W203">
        <v>0.17639607743258859</v>
      </c>
      <c r="X203">
        <v>0.66520721168597097</v>
      </c>
      <c r="Y203">
        <v>0.23385693844216737</v>
      </c>
      <c r="Z203">
        <v>0.6183082145482901</v>
      </c>
    </row>
    <row r="204" spans="1:26" x14ac:dyDescent="0.2">
      <c r="A204" s="17">
        <v>11099</v>
      </c>
      <c r="B204" s="17" t="s">
        <v>332</v>
      </c>
      <c r="C204" s="17" t="s">
        <v>286</v>
      </c>
      <c r="D204" s="73">
        <v>44319</v>
      </c>
      <c r="E204" s="74">
        <v>200.75</v>
      </c>
      <c r="F204" s="17">
        <v>0.20215</v>
      </c>
      <c r="G204" s="75">
        <v>0.10484000000000115</v>
      </c>
      <c r="H204" t="s">
        <v>325</v>
      </c>
      <c r="I204">
        <v>1.0042444759583992E-2</v>
      </c>
      <c r="J204">
        <v>0.33856482665212845</v>
      </c>
      <c r="K204">
        <v>7.11879967310827E-3</v>
      </c>
      <c r="L204">
        <v>8.0548893448706849E-3</v>
      </c>
      <c r="M204">
        <v>1.4373804915084587</v>
      </c>
      <c r="N204">
        <v>8.1723962446245864E-3</v>
      </c>
      <c r="O204">
        <v>2.1226495549467836</v>
      </c>
      <c r="P204">
        <v>0.34378315246259938</v>
      </c>
      <c r="Q204">
        <v>1.4845474179983333E-2</v>
      </c>
      <c r="R204">
        <v>8.5807422062626218E-2</v>
      </c>
      <c r="S204">
        <v>1.0766874464199805E-4</v>
      </c>
      <c r="T204">
        <v>8.5807422062625732E-2</v>
      </c>
      <c r="U204">
        <v>1.4390414584628599</v>
      </c>
      <c r="V204">
        <v>0.21035993323696589</v>
      </c>
      <c r="W204">
        <v>3.1769910048039793E-2</v>
      </c>
      <c r="X204">
        <v>0.20823590031807554</v>
      </c>
      <c r="Y204">
        <v>4.5715748596399076E-2</v>
      </c>
      <c r="Z204">
        <v>0.1166347151666771</v>
      </c>
    </row>
    <row r="205" spans="1:26" x14ac:dyDescent="0.2">
      <c r="A205" s="13">
        <v>10815</v>
      </c>
      <c r="B205" s="13" t="s">
        <v>79</v>
      </c>
      <c r="C205" s="13" t="s">
        <v>72</v>
      </c>
      <c r="D205" s="14">
        <v>44319</v>
      </c>
      <c r="E205" s="15"/>
      <c r="F205" s="16">
        <v>1.10995</v>
      </c>
      <c r="G205" s="16">
        <v>10.349080000000001</v>
      </c>
      <c r="H205" t="s">
        <v>326</v>
      </c>
      <c r="I205">
        <v>9.9025605694556436E-3</v>
      </c>
      <c r="J205">
        <v>0.80086310964453267</v>
      </c>
      <c r="K205">
        <v>7.110268500471118E-3</v>
      </c>
      <c r="L205">
        <v>9.1831820360115373E-3</v>
      </c>
      <c r="M205">
        <v>2.7315562418956829</v>
      </c>
      <c r="N205">
        <v>1.5535789171603673E-2</v>
      </c>
      <c r="O205">
        <v>2.0957850019627515</v>
      </c>
      <c r="P205">
        <v>0.78140446449925116</v>
      </c>
      <c r="Q205">
        <v>7.5945255033463988E-3</v>
      </c>
      <c r="R205">
        <v>0.23023608459645703</v>
      </c>
      <c r="S205">
        <v>5.508029027455846E-5</v>
      </c>
      <c r="T205">
        <v>0.23023608459645695</v>
      </c>
      <c r="U205">
        <v>1.3244378368520158</v>
      </c>
      <c r="V205">
        <v>0.24202963545919409</v>
      </c>
      <c r="W205">
        <v>0.17769562998736388</v>
      </c>
      <c r="X205">
        <v>0.60986468235321789</v>
      </c>
      <c r="Y205">
        <v>0.2352319906711422</v>
      </c>
      <c r="Z205">
        <v>0.55033713882183521</v>
      </c>
    </row>
    <row r="207" spans="1:26" x14ac:dyDescent="0.2">
      <c r="A207" s="13">
        <v>10815</v>
      </c>
      <c r="B207" s="13" t="s">
        <v>79</v>
      </c>
      <c r="C207" s="13" t="s">
        <v>72</v>
      </c>
      <c r="D207" s="14">
        <v>44321</v>
      </c>
      <c r="E207" s="15"/>
      <c r="F207" s="16">
        <v>1.10995</v>
      </c>
      <c r="G207" s="16">
        <v>10.349080000000001</v>
      </c>
      <c r="H207" t="s">
        <v>314</v>
      </c>
      <c r="I207">
        <v>9.859321709727099E-3</v>
      </c>
      <c r="J207">
        <v>0.77322734903020662</v>
      </c>
      <c r="K207">
        <v>7.1360266612067328E-3</v>
      </c>
      <c r="L207">
        <v>2.4838899571091914E-2</v>
      </c>
      <c r="M207">
        <v>2.7326228771660284</v>
      </c>
      <c r="N207">
        <v>1.2727648805322499E-2</v>
      </c>
      <c r="O207">
        <v>2.0992469468751249</v>
      </c>
      <c r="P207">
        <v>0.77613442832771029</v>
      </c>
      <c r="Q207">
        <v>7.5657114291585639E-3</v>
      </c>
      <c r="R207">
        <v>0.14318856025002574</v>
      </c>
      <c r="S207">
        <v>5.4871312429983554E-5</v>
      </c>
      <c r="T207">
        <v>0.14318856025002527</v>
      </c>
      <c r="U207">
        <v>1.3202853195455408</v>
      </c>
      <c r="V207">
        <v>0.40201800178859992</v>
      </c>
      <c r="W207">
        <v>0.17171312735230596</v>
      </c>
      <c r="X207">
        <v>0.68746761499431353</v>
      </c>
      <c r="Y207">
        <v>0.22668924618102643</v>
      </c>
      <c r="Z207">
        <v>0.48248816808994771</v>
      </c>
    </row>
    <row r="208" spans="1:26" x14ac:dyDescent="0.2">
      <c r="A208" s="17">
        <v>11100</v>
      </c>
      <c r="B208" s="17" t="s">
        <v>333</v>
      </c>
      <c r="C208" s="17" t="s">
        <v>286</v>
      </c>
      <c r="D208" s="73">
        <v>44321</v>
      </c>
      <c r="E208" s="74">
        <v>215.75</v>
      </c>
      <c r="F208" s="17">
        <v>0.23666999999999999</v>
      </c>
      <c r="G208" s="75">
        <v>9.9140000000000228E-2</v>
      </c>
      <c r="H208" t="s">
        <v>339</v>
      </c>
      <c r="I208">
        <v>9.9809252504364371E-3</v>
      </c>
      <c r="J208">
        <v>0.45329511732857974</v>
      </c>
      <c r="K208">
        <v>7.1375446022468167E-3</v>
      </c>
      <c r="L208">
        <v>3.8299345655512947E-3</v>
      </c>
      <c r="M208">
        <v>3.285515317836472</v>
      </c>
      <c r="N208">
        <v>7.2025023541687546E-3</v>
      </c>
      <c r="O208">
        <v>4.3993221047074096</v>
      </c>
      <c r="P208">
        <v>0.45554033415392808</v>
      </c>
      <c r="Q208">
        <v>1.3362825121557944E-2</v>
      </c>
      <c r="R208">
        <v>4.5651942318863985E-2</v>
      </c>
      <c r="S208">
        <v>9.6915638279080783E-5</v>
      </c>
      <c r="T208">
        <v>4.5651942318864505E-2</v>
      </c>
      <c r="U208">
        <v>2.9148577204943895</v>
      </c>
      <c r="V208">
        <v>0.21228554154410512</v>
      </c>
      <c r="W208">
        <v>0.17116113808625139</v>
      </c>
      <c r="X208">
        <v>0.37338425713270257</v>
      </c>
      <c r="Y208">
        <v>0.49961653240344783</v>
      </c>
      <c r="Z208">
        <v>0.37562935313585316</v>
      </c>
    </row>
    <row r="209" spans="1:26" x14ac:dyDescent="0.2">
      <c r="A209" s="13">
        <v>10815</v>
      </c>
      <c r="B209" s="13" t="s">
        <v>79</v>
      </c>
      <c r="C209" s="13" t="s">
        <v>72</v>
      </c>
      <c r="D209" s="14">
        <v>44321</v>
      </c>
      <c r="E209" s="15"/>
      <c r="F209" s="16">
        <v>1.10995</v>
      </c>
      <c r="G209" s="16">
        <v>10.349080000000001</v>
      </c>
      <c r="H209" t="s">
        <v>316</v>
      </c>
      <c r="I209">
        <v>9.9350218706553608E-3</v>
      </c>
      <c r="J209">
        <v>1.1187609633222979</v>
      </c>
      <c r="K209">
        <v>7.1446181049948264E-3</v>
      </c>
      <c r="L209">
        <v>6.9172314195141494E-3</v>
      </c>
      <c r="M209">
        <v>2.7320954837147284</v>
      </c>
      <c r="N209">
        <v>1.3665187650901847E-2</v>
      </c>
      <c r="O209">
        <v>2.087671955153048</v>
      </c>
      <c r="P209">
        <v>1.058226320839454</v>
      </c>
      <c r="Q209">
        <v>7.5755579918795699E-3</v>
      </c>
      <c r="R209">
        <v>0.20387110887829543</v>
      </c>
      <c r="S209">
        <v>5.4942725914952542E-5</v>
      </c>
      <c r="T209">
        <v>0.20387110887829427</v>
      </c>
      <c r="U209">
        <v>1.3174466787445671</v>
      </c>
      <c r="V209">
        <v>0.3845045025380664</v>
      </c>
      <c r="W209">
        <v>0.16943296599726135</v>
      </c>
      <c r="X209">
        <v>0.41969797529016734</v>
      </c>
      <c r="Y209">
        <v>0.22282201747168637</v>
      </c>
      <c r="Z209">
        <v>0.37468106767893755</v>
      </c>
    </row>
    <row r="210" spans="1:26" x14ac:dyDescent="0.2">
      <c r="A210" s="17">
        <v>11101</v>
      </c>
      <c r="B210" s="17" t="s">
        <v>334</v>
      </c>
      <c r="C210" s="17" t="s">
        <v>286</v>
      </c>
      <c r="D210" s="73">
        <v>44321</v>
      </c>
      <c r="E210" s="74">
        <v>296.75</v>
      </c>
      <c r="F210" s="17">
        <v>0.18318000000000001</v>
      </c>
      <c r="G210" s="75">
        <v>9.9510000000000431E-2</v>
      </c>
      <c r="H210" t="s">
        <v>340</v>
      </c>
      <c r="I210">
        <v>1.0007043063984781E-2</v>
      </c>
      <c r="J210">
        <v>0.26296252494270289</v>
      </c>
      <c r="K210">
        <v>7.1391521738644317E-3</v>
      </c>
      <c r="L210">
        <v>7.4818878431055936E-3</v>
      </c>
      <c r="M210">
        <v>1.3114627829018366</v>
      </c>
      <c r="N210">
        <v>6.0885556428356014E-3</v>
      </c>
      <c r="O210">
        <v>1.7086260630042003</v>
      </c>
      <c r="P210">
        <v>0.30190928231961667</v>
      </c>
      <c r="Q210">
        <v>1.3037901175020589E-2</v>
      </c>
      <c r="R210">
        <v>8.6111191459884162E-2</v>
      </c>
      <c r="S210">
        <v>9.4559084826920255E-5</v>
      </c>
      <c r="T210">
        <v>8.6111191459884648E-2</v>
      </c>
      <c r="U210">
        <v>1.1455620926618921</v>
      </c>
      <c r="V210">
        <v>0.20836750402758361</v>
      </c>
      <c r="W210">
        <v>2.2860524194702858E-2</v>
      </c>
      <c r="X210">
        <v>0.19296679682510903</v>
      </c>
      <c r="Y210">
        <v>2.6201728483070112E-2</v>
      </c>
      <c r="Z210">
        <v>0.12667384446909966</v>
      </c>
    </row>
    <row r="211" spans="1:26" x14ac:dyDescent="0.2">
      <c r="A211" s="13">
        <v>10815</v>
      </c>
      <c r="B211" s="13" t="s">
        <v>79</v>
      </c>
      <c r="C211" s="13" t="s">
        <v>72</v>
      </c>
      <c r="D211" s="14">
        <v>44321</v>
      </c>
      <c r="E211" s="15"/>
      <c r="F211" s="16">
        <v>1.10995</v>
      </c>
      <c r="G211" s="16">
        <v>10.349080000000001</v>
      </c>
      <c r="H211" t="s">
        <v>318</v>
      </c>
      <c r="I211">
        <v>9.8376539419583603E-3</v>
      </c>
      <c r="J211">
        <v>0.68972097313306069</v>
      </c>
      <c r="K211">
        <v>7.1382830573962219E-3</v>
      </c>
      <c r="L211">
        <v>6.9239821660408395E-3</v>
      </c>
      <c r="M211">
        <v>2.7314379880973041</v>
      </c>
      <c r="N211">
        <v>1.350769571641963E-2</v>
      </c>
      <c r="O211">
        <v>2.101521361737126</v>
      </c>
      <c r="P211">
        <v>0.71002885997045562</v>
      </c>
      <c r="Q211">
        <v>7.5788126721861027E-3</v>
      </c>
      <c r="R211">
        <v>0.1636947254643254</v>
      </c>
      <c r="S211">
        <v>5.4966330909886795E-5</v>
      </c>
      <c r="T211">
        <v>0.1636947254643247</v>
      </c>
      <c r="U211">
        <v>1.3178645949438716</v>
      </c>
      <c r="V211">
        <v>0.23488112106071066</v>
      </c>
      <c r="W211">
        <v>0.17024869228382958</v>
      </c>
      <c r="X211">
        <v>0.47366120009201862</v>
      </c>
      <c r="Y211">
        <v>0.22413432183382115</v>
      </c>
      <c r="Z211">
        <v>0.38705115784653343</v>
      </c>
    </row>
    <row r="212" spans="1:26" x14ac:dyDescent="0.2">
      <c r="A212" s="17">
        <v>11102</v>
      </c>
      <c r="B212" s="17" t="s">
        <v>335</v>
      </c>
      <c r="C212" s="17" t="s">
        <v>286</v>
      </c>
      <c r="D212" s="73">
        <v>44321</v>
      </c>
      <c r="E212" s="74">
        <v>334.75</v>
      </c>
      <c r="F212" s="17">
        <v>0.20371</v>
      </c>
      <c r="G212" s="75">
        <v>0.10153999999999996</v>
      </c>
      <c r="H212" t="s">
        <v>341</v>
      </c>
      <c r="I212">
        <v>1.0027936286906495E-2</v>
      </c>
      <c r="J212">
        <v>0.24113409431961624</v>
      </c>
      <c r="K212">
        <v>7.1378969824883957E-3</v>
      </c>
      <c r="L212">
        <v>6.0589889440595514E-3</v>
      </c>
      <c r="M212">
        <v>1.55822595550524</v>
      </c>
      <c r="N212">
        <v>4.2070062624268217E-3</v>
      </c>
      <c r="O212">
        <v>1.9508403717961924</v>
      </c>
      <c r="P212">
        <v>0.24624885010199968</v>
      </c>
      <c r="Q212">
        <v>1.2536283421641098E-2</v>
      </c>
      <c r="R212">
        <v>5.6198178879703159E-2</v>
      </c>
      <c r="S212">
        <v>9.0921036412856744E-5</v>
      </c>
      <c r="T212">
        <v>5.6198178879704332E-2</v>
      </c>
      <c r="U212">
        <v>1.2996735679002982</v>
      </c>
      <c r="V212">
        <v>0.19151554463567311</v>
      </c>
      <c r="W212">
        <v>7.1504952282123516E-2</v>
      </c>
      <c r="X212">
        <v>0.24136122449114117</v>
      </c>
      <c r="Y212">
        <v>9.2863756205554468E-2</v>
      </c>
      <c r="Z212">
        <v>0.12717795942679691</v>
      </c>
    </row>
    <row r="213" spans="1:26" x14ac:dyDescent="0.2">
      <c r="A213" s="13">
        <v>10815</v>
      </c>
      <c r="B213" s="13" t="s">
        <v>79</v>
      </c>
      <c r="C213" s="13" t="s">
        <v>72</v>
      </c>
      <c r="D213" s="14">
        <v>44321</v>
      </c>
      <c r="E213" s="15"/>
      <c r="F213" s="16">
        <v>1.10995</v>
      </c>
      <c r="G213" s="16">
        <v>10.349080000000001</v>
      </c>
      <c r="H213" t="s">
        <v>320</v>
      </c>
      <c r="I213">
        <v>9.8251660267908627E-3</v>
      </c>
      <c r="J213">
        <v>0.96768841079105072</v>
      </c>
      <c r="K213">
        <v>7.1402654993751608E-3</v>
      </c>
      <c r="L213">
        <v>6.8595512463166227E-3</v>
      </c>
      <c r="M213">
        <v>2.7314381137190993</v>
      </c>
      <c r="N213">
        <v>1.3114534993011502E-2</v>
      </c>
      <c r="O213">
        <v>2.1085116132528223</v>
      </c>
      <c r="P213">
        <v>1.0023790681785694</v>
      </c>
      <c r="Q213">
        <v>7.5953921298971714E-3</v>
      </c>
      <c r="R213">
        <v>0.23242577747708015</v>
      </c>
      <c r="S213">
        <v>5.5086575597052308E-5</v>
      </c>
      <c r="T213">
        <v>0.23242577747708054</v>
      </c>
      <c r="U213">
        <v>1.3213577988791563</v>
      </c>
      <c r="V213">
        <v>0.44766080768088562</v>
      </c>
      <c r="W213">
        <v>0.17168176292539605</v>
      </c>
      <c r="X213">
        <v>0.61058575762628908</v>
      </c>
      <c r="Y213">
        <v>0.2262040885514173</v>
      </c>
      <c r="Z213">
        <v>0.4195240847374021</v>
      </c>
    </row>
    <row r="214" spans="1:26" x14ac:dyDescent="0.2">
      <c r="A214" s="17">
        <v>11103</v>
      </c>
      <c r="B214" s="17" t="s">
        <v>336</v>
      </c>
      <c r="C214" s="17" t="s">
        <v>286</v>
      </c>
      <c r="D214" s="73">
        <v>44321</v>
      </c>
      <c r="E214" s="74">
        <v>436.24</v>
      </c>
      <c r="F214" s="17">
        <v>0.21535000000000001</v>
      </c>
      <c r="G214" s="75">
        <v>0.10424000000000078</v>
      </c>
      <c r="H214" t="s">
        <v>342</v>
      </c>
      <c r="I214">
        <v>1.0000074573618126E-2</v>
      </c>
      <c r="J214">
        <v>0.23194787690195809</v>
      </c>
      <c r="K214">
        <v>7.1395902657967738E-3</v>
      </c>
      <c r="L214">
        <v>5.8241231799096111E-3</v>
      </c>
      <c r="M214">
        <v>2.6658385272786704</v>
      </c>
      <c r="N214">
        <v>4.9432570443908334E-3</v>
      </c>
      <c r="O214">
        <v>3.2953214834400026</v>
      </c>
      <c r="P214">
        <v>0.24176192317898951</v>
      </c>
      <c r="Q214">
        <v>1.2363092885829876E-2</v>
      </c>
      <c r="R214">
        <v>5.5632345649812204E-2</v>
      </c>
      <c r="S214">
        <v>8.966494938265516E-5</v>
      </c>
      <c r="T214">
        <v>5.5632345649812433E-2</v>
      </c>
      <c r="U214">
        <v>2.1858460112288771</v>
      </c>
      <c r="V214">
        <v>0.2184040417221787</v>
      </c>
      <c r="W214">
        <v>0.1344469401852495</v>
      </c>
      <c r="X214">
        <v>0.25828876057479105</v>
      </c>
      <c r="Y214">
        <v>0.29398524428859052</v>
      </c>
      <c r="Z214">
        <v>0.17665481631440011</v>
      </c>
    </row>
    <row r="215" spans="1:26" x14ac:dyDescent="0.2">
      <c r="A215" s="13">
        <v>10815</v>
      </c>
      <c r="B215" s="13" t="s">
        <v>79</v>
      </c>
      <c r="C215" s="13" t="s">
        <v>72</v>
      </c>
      <c r="D215" s="14">
        <v>44321</v>
      </c>
      <c r="E215" s="15"/>
      <c r="F215" s="16">
        <v>1.10995</v>
      </c>
      <c r="G215" s="16">
        <v>10.349080000000001</v>
      </c>
      <c r="H215" t="s">
        <v>322</v>
      </c>
      <c r="I215">
        <v>9.9231903347691847E-3</v>
      </c>
      <c r="J215">
        <v>1.0475241796030228</v>
      </c>
      <c r="K215">
        <v>7.1385243168223369E-3</v>
      </c>
      <c r="L215">
        <v>8.2196945852007798E-3</v>
      </c>
      <c r="M215">
        <v>2.7319571076565059</v>
      </c>
      <c r="N215">
        <v>1.2529912194044751E-2</v>
      </c>
      <c r="O215">
        <v>2.0857360903228299</v>
      </c>
      <c r="P215">
        <v>1.1087822597471901</v>
      </c>
      <c r="Q215">
        <v>7.5814858118353184E-3</v>
      </c>
      <c r="R215">
        <v>0.16293351091655933</v>
      </c>
      <c r="S215">
        <v>5.4985718205084966E-5</v>
      </c>
      <c r="T215">
        <v>0.16293351091655972</v>
      </c>
      <c r="U215">
        <v>1.3227136620132149</v>
      </c>
      <c r="V215">
        <v>0.3453047442734164</v>
      </c>
      <c r="W215">
        <v>0.17004398109473531</v>
      </c>
      <c r="X215">
        <v>0.60023971105707696</v>
      </c>
      <c r="Y215">
        <v>0.22519760881542714</v>
      </c>
      <c r="Z215">
        <v>0.48824887812123169</v>
      </c>
    </row>
    <row r="216" spans="1:26" x14ac:dyDescent="0.2">
      <c r="A216" s="17">
        <v>11104</v>
      </c>
      <c r="B216" s="17" t="s">
        <v>337</v>
      </c>
      <c r="C216" s="17" t="s">
        <v>286</v>
      </c>
      <c r="D216" s="73">
        <v>44321</v>
      </c>
      <c r="E216" s="74">
        <v>49</v>
      </c>
      <c r="F216" s="17">
        <v>0.21931999999999999</v>
      </c>
      <c r="G216" s="75">
        <v>0.10437000000000118</v>
      </c>
      <c r="H216" t="s">
        <v>343</v>
      </c>
      <c r="I216">
        <v>9.9751823554298565E-3</v>
      </c>
      <c r="J216">
        <v>0.36470638501237918</v>
      </c>
      <c r="K216">
        <v>7.1416723401634468E-3</v>
      </c>
      <c r="L216">
        <v>5.3666258483653405E-3</v>
      </c>
      <c r="M216">
        <v>5.6684387396971392</v>
      </c>
      <c r="N216">
        <v>5.8054708674755299E-3</v>
      </c>
      <c r="O216">
        <v>4.9332931817350065</v>
      </c>
      <c r="P216">
        <v>0.37674984563546349</v>
      </c>
      <c r="Q216">
        <v>8.6779228567744303E-3</v>
      </c>
      <c r="R216">
        <v>5.8377345540789272E-2</v>
      </c>
      <c r="S216">
        <v>6.2937771388185679E-5</v>
      </c>
      <c r="T216">
        <v>5.8377345540788855E-2</v>
      </c>
      <c r="U216">
        <v>2.7536027600432589</v>
      </c>
      <c r="V216">
        <v>0.38546213124161094</v>
      </c>
      <c r="W216">
        <v>5.3407074031421232E-2</v>
      </c>
      <c r="X216">
        <v>0.38086525052785897</v>
      </c>
      <c r="Y216">
        <v>0.14710592483349455</v>
      </c>
      <c r="Z216">
        <v>0.121540543336743</v>
      </c>
    </row>
    <row r="217" spans="1:26" x14ac:dyDescent="0.2">
      <c r="A217" s="13">
        <v>10815</v>
      </c>
      <c r="B217" s="13" t="s">
        <v>79</v>
      </c>
      <c r="C217" s="13" t="s">
        <v>72</v>
      </c>
      <c r="D217" s="14">
        <v>44321</v>
      </c>
      <c r="E217" s="15"/>
      <c r="F217" s="16">
        <v>1.10995</v>
      </c>
      <c r="G217" s="16">
        <v>10.349080000000001</v>
      </c>
      <c r="H217" t="s">
        <v>324</v>
      </c>
      <c r="I217">
        <v>9.8013543996360118E-3</v>
      </c>
      <c r="J217">
        <v>0.93615030999313953</v>
      </c>
      <c r="K217">
        <v>7.1316239887147179E-3</v>
      </c>
      <c r="L217">
        <v>6.9609976453894528E-3</v>
      </c>
      <c r="M217">
        <v>2.7317158484238857</v>
      </c>
      <c r="N217">
        <v>1.3864051080200175E-2</v>
      </c>
      <c r="O217">
        <v>2.1153513364005119</v>
      </c>
      <c r="P217">
        <v>0.95770198920850391</v>
      </c>
      <c r="Q217">
        <v>7.5868050087911643E-3</v>
      </c>
      <c r="R217">
        <v>0.20963122950706661</v>
      </c>
      <c r="S217">
        <v>5.5024296377246781E-5</v>
      </c>
      <c r="T217">
        <v>0.20963122950706545</v>
      </c>
      <c r="U217">
        <v>1.3211110842624805</v>
      </c>
      <c r="V217">
        <v>0.27405692601084319</v>
      </c>
      <c r="W217">
        <v>0.17264161813432904</v>
      </c>
      <c r="X217">
        <v>0.41670349981721766</v>
      </c>
      <c r="Y217">
        <v>0.22840397983242761</v>
      </c>
      <c r="Z217">
        <v>0.36130251566178861</v>
      </c>
    </row>
    <row r="218" spans="1:26" x14ac:dyDescent="0.2">
      <c r="A218" s="17">
        <v>11105</v>
      </c>
      <c r="B218" s="17" t="s">
        <v>338</v>
      </c>
      <c r="C218" s="17" t="s">
        <v>286</v>
      </c>
      <c r="D218" s="73">
        <v>44321</v>
      </c>
      <c r="E218" s="74">
        <v>64.5</v>
      </c>
      <c r="F218" s="17">
        <v>0.20544999999999999</v>
      </c>
      <c r="G218" s="75">
        <v>0.10314999999999941</v>
      </c>
      <c r="H218" t="s">
        <v>344</v>
      </c>
      <c r="I218">
        <v>9.971150019204459E-3</v>
      </c>
      <c r="J218">
        <v>0.2705534366179585</v>
      </c>
      <c r="K218">
        <v>7.1373441951803583E-3</v>
      </c>
      <c r="L218">
        <v>8.0810470214166021E-3</v>
      </c>
      <c r="M218">
        <v>4.9840370188844343</v>
      </c>
      <c r="N218">
        <v>5.1084019297167093E-3</v>
      </c>
      <c r="O218">
        <v>4.3998658695986466</v>
      </c>
      <c r="P218">
        <v>0.26391045145479147</v>
      </c>
      <c r="Q218">
        <v>8.800996965077754E-3</v>
      </c>
      <c r="R218">
        <v>4.6686630797960448E-2</v>
      </c>
      <c r="S218">
        <v>6.3830382468054017E-5</v>
      </c>
      <c r="T218">
        <v>4.668663079796085E-2</v>
      </c>
      <c r="U218">
        <v>2.4786410604031111</v>
      </c>
      <c r="V218">
        <v>0.1545801176951648</v>
      </c>
      <c r="W218">
        <v>4.4111347592799548E-2</v>
      </c>
      <c r="X218">
        <v>0.2164917945022809</v>
      </c>
      <c r="Y218">
        <v>0.10935836956788672</v>
      </c>
      <c r="Z218">
        <v>0.11208967168112509</v>
      </c>
    </row>
    <row r="219" spans="1:26" x14ac:dyDescent="0.2">
      <c r="A219" s="13">
        <v>10815</v>
      </c>
      <c r="B219" s="13" t="s">
        <v>79</v>
      </c>
      <c r="C219" s="13" t="s">
        <v>72</v>
      </c>
      <c r="D219" s="14">
        <v>44321</v>
      </c>
      <c r="E219" s="15"/>
      <c r="F219" s="16">
        <v>1.10995</v>
      </c>
      <c r="G219" s="16">
        <v>10.349080000000001</v>
      </c>
      <c r="H219" t="s">
        <v>326</v>
      </c>
      <c r="I219">
        <v>9.8699830056852619E-3</v>
      </c>
      <c r="J219">
        <v>1.0089557005511856</v>
      </c>
      <c r="K219">
        <v>7.1322772239585308E-3</v>
      </c>
      <c r="L219">
        <v>6.5856990190051512E-3</v>
      </c>
      <c r="M219">
        <v>2.7320494911092519</v>
      </c>
      <c r="N219">
        <v>1.7616589317182782E-2</v>
      </c>
      <c r="O219">
        <v>2.0983065046672511</v>
      </c>
      <c r="P219">
        <v>0.95530830569472391</v>
      </c>
      <c r="Q219">
        <v>7.5701479371146308E-3</v>
      </c>
      <c r="R219">
        <v>0.15313401829675377</v>
      </c>
      <c r="S219">
        <v>5.4903488784637696E-5</v>
      </c>
      <c r="T219">
        <v>0.15313401829675508</v>
      </c>
      <c r="U219">
        <v>1.318497493388378</v>
      </c>
      <c r="V219">
        <v>0.35388317429301142</v>
      </c>
      <c r="W219">
        <v>0.17313003550552994</v>
      </c>
      <c r="X219">
        <v>0.48242977868827958</v>
      </c>
      <c r="Y219">
        <v>0.22908487175940051</v>
      </c>
      <c r="Z219">
        <v>0.50705674832895098</v>
      </c>
    </row>
    <row r="221" spans="1:26" x14ac:dyDescent="0.2">
      <c r="A221" s="13">
        <v>10815</v>
      </c>
      <c r="B221" s="13" t="s">
        <v>79</v>
      </c>
      <c r="C221" s="13" t="s">
        <v>72</v>
      </c>
      <c r="D221" s="14">
        <v>44326</v>
      </c>
      <c r="E221" s="15"/>
      <c r="F221" s="16">
        <v>1.10995</v>
      </c>
      <c r="G221" s="16">
        <v>10.349080000000001</v>
      </c>
      <c r="H221" t="s">
        <v>345</v>
      </c>
      <c r="I221">
        <v>9.8814309403384877E-3</v>
      </c>
      <c r="J221">
        <v>1.0420456702456087</v>
      </c>
      <c r="K221">
        <v>7.1466785559848684E-3</v>
      </c>
      <c r="L221">
        <v>1.0169304490197153E-2</v>
      </c>
      <c r="M221">
        <v>2.7319123933279648</v>
      </c>
      <c r="N221">
        <v>1.7776467087584246E-2</v>
      </c>
      <c r="O221">
        <v>2.1023979661134624</v>
      </c>
      <c r="P221">
        <v>1.0885660014921537</v>
      </c>
      <c r="Q221">
        <v>7.5712474567041048E-3</v>
      </c>
      <c r="R221">
        <v>0.19505921776129889</v>
      </c>
      <c r="S221">
        <v>5.4911463194378506E-5</v>
      </c>
      <c r="T221">
        <v>0.19505921776129764</v>
      </c>
      <c r="U221">
        <v>1.3206283127446294</v>
      </c>
      <c r="V221">
        <v>0.30840035129107157</v>
      </c>
      <c r="W221">
        <v>0.19272892433139077</v>
      </c>
      <c r="X221">
        <v>0.65589753233448356</v>
      </c>
      <c r="Y221">
        <v>0.25472060921772827</v>
      </c>
      <c r="Z221">
        <v>0.57661436167764557</v>
      </c>
    </row>
    <row r="222" spans="1:26" x14ac:dyDescent="0.2">
      <c r="A222" s="17">
        <v>11108</v>
      </c>
      <c r="B222" s="17" t="s">
        <v>358</v>
      </c>
      <c r="C222" s="17" t="s">
        <v>286</v>
      </c>
      <c r="D222" s="73">
        <v>44326</v>
      </c>
      <c r="E222" s="74">
        <v>4.5</v>
      </c>
      <c r="F222" s="17">
        <v>5.1619999999999999E-2</v>
      </c>
      <c r="G222" s="75">
        <v>0.10152000000000072</v>
      </c>
      <c r="H222" t="s">
        <v>346</v>
      </c>
      <c r="I222">
        <v>1.0061567799139529E-2</v>
      </c>
      <c r="J222">
        <v>0.17689885516305492</v>
      </c>
      <c r="K222">
        <v>7.1467967442301788E-3</v>
      </c>
      <c r="L222">
        <v>1.19780641358025E-2</v>
      </c>
      <c r="M222">
        <v>0.30080340028715302</v>
      </c>
      <c r="N222">
        <v>8.6938154147630439E-3</v>
      </c>
      <c r="O222">
        <v>0.36625203435992931</v>
      </c>
      <c r="P222">
        <v>0.28734830318600924</v>
      </c>
      <c r="Q222">
        <v>1.2245098570258302E-2</v>
      </c>
      <c r="R222">
        <v>0.20299329833382518</v>
      </c>
      <c r="S222">
        <v>8.8809180164477327E-5</v>
      </c>
      <c r="T222">
        <v>0.20299329833382487</v>
      </c>
      <c r="U222">
        <v>3.0060100969319121E-2</v>
      </c>
      <c r="V222">
        <v>0.51323755905220947</v>
      </c>
      <c r="W222">
        <v>2.5465304110965491E-3</v>
      </c>
      <c r="X222">
        <v>0.24244636344620238</v>
      </c>
      <c r="Y222">
        <v>7.6283378428014959E-5</v>
      </c>
      <c r="Z222">
        <v>0.41151522353941028</v>
      </c>
    </row>
    <row r="223" spans="1:26" x14ac:dyDescent="0.2">
      <c r="A223" s="13">
        <v>10815</v>
      </c>
      <c r="B223" s="13" t="s">
        <v>79</v>
      </c>
      <c r="C223" s="13" t="s">
        <v>72</v>
      </c>
      <c r="D223" s="14">
        <v>44326</v>
      </c>
      <c r="E223" s="15"/>
      <c r="F223" s="16">
        <v>1.10995</v>
      </c>
      <c r="G223" s="16">
        <v>10.349080000000001</v>
      </c>
      <c r="H223" t="s">
        <v>347</v>
      </c>
      <c r="I223">
        <v>1.0004473000611535E-2</v>
      </c>
      <c r="J223">
        <v>1.3152362312181407</v>
      </c>
      <c r="K223">
        <v>7.1471604247352561E-3</v>
      </c>
      <c r="L223">
        <v>2.1854630554588687E-2</v>
      </c>
      <c r="M223">
        <v>2.7317499599192652</v>
      </c>
      <c r="N223">
        <v>1.6835917422090681E-2</v>
      </c>
      <c r="O223">
        <v>2.0739449837377784</v>
      </c>
      <c r="P223">
        <v>1.3362644043625673</v>
      </c>
      <c r="Q223">
        <v>7.5709484911718281E-3</v>
      </c>
      <c r="R223">
        <v>0.28383557343332605</v>
      </c>
      <c r="S223">
        <v>5.4909294907723546E-5</v>
      </c>
      <c r="T223">
        <v>0.28383557343332733</v>
      </c>
      <c r="U223">
        <v>1.3210252474130768</v>
      </c>
      <c r="V223">
        <v>0.52844083512002127</v>
      </c>
      <c r="W223">
        <v>0.19288768150791591</v>
      </c>
      <c r="X223">
        <v>0.93758764853941567</v>
      </c>
      <c r="Y223">
        <v>0.2532964888542561</v>
      </c>
      <c r="Z223">
        <v>0.83816274203075358</v>
      </c>
    </row>
    <row r="224" spans="1:26" x14ac:dyDescent="0.2">
      <c r="A224" s="17">
        <v>11109</v>
      </c>
      <c r="B224" s="17" t="s">
        <v>359</v>
      </c>
      <c r="C224" s="17" t="s">
        <v>286</v>
      </c>
      <c r="D224" s="73">
        <v>44326</v>
      </c>
      <c r="E224" s="74">
        <v>31</v>
      </c>
      <c r="F224" s="17">
        <v>8.3220000000000002E-2</v>
      </c>
      <c r="G224" s="75">
        <v>0.10116999999999976</v>
      </c>
      <c r="H224" t="s">
        <v>348</v>
      </c>
      <c r="I224">
        <v>1.0050689455453836E-2</v>
      </c>
      <c r="J224">
        <v>0.20916211103272175</v>
      </c>
      <c r="K224">
        <v>7.1438127802075629E-3</v>
      </c>
      <c r="L224">
        <v>6.3961484257241191E-3</v>
      </c>
      <c r="M224">
        <v>0.8644551089958854</v>
      </c>
      <c r="N224">
        <v>6.1290978315556056E-3</v>
      </c>
      <c r="O224">
        <v>1.3024131377376997</v>
      </c>
      <c r="P224">
        <v>0.22799367940341358</v>
      </c>
      <c r="Q224">
        <v>1.5126789382432353E-2</v>
      </c>
      <c r="R224">
        <v>8.9086312378102203E-2</v>
      </c>
      <c r="S224">
        <v>1.0970901996962855E-4</v>
      </c>
      <c r="T224">
        <v>8.9086312378103202E-2</v>
      </c>
      <c r="U224">
        <v>0.10689248583614296</v>
      </c>
      <c r="V224">
        <v>0.50879637384890775</v>
      </c>
      <c r="W224">
        <v>6.0464973773376625E-3</v>
      </c>
      <c r="X224">
        <v>0.40620368447407251</v>
      </c>
      <c r="Y224">
        <v>6.462725580182162E-4</v>
      </c>
      <c r="Z224">
        <v>0.3066236254775096</v>
      </c>
    </row>
    <row r="225" spans="1:26" x14ac:dyDescent="0.2">
      <c r="A225" s="13">
        <v>10815</v>
      </c>
      <c r="B225" s="13" t="s">
        <v>79</v>
      </c>
      <c r="C225" s="13" t="s">
        <v>72</v>
      </c>
      <c r="D225" s="14">
        <v>44326</v>
      </c>
      <c r="E225" s="15"/>
      <c r="F225" s="16">
        <v>1.10995</v>
      </c>
      <c r="G225" s="16">
        <v>10.349080000000001</v>
      </c>
      <c r="H225" t="s">
        <v>349</v>
      </c>
      <c r="I225">
        <v>9.923098013211902E-3</v>
      </c>
      <c r="J225">
        <v>1.2226915013536022</v>
      </c>
      <c r="K225">
        <v>7.1425907948725427E-3</v>
      </c>
      <c r="L225">
        <v>8.6180769974824045E-3</v>
      </c>
      <c r="M225">
        <v>2.7326934250724761</v>
      </c>
      <c r="N225">
        <v>1.753327285408263E-2</v>
      </c>
      <c r="O225">
        <v>2.0843585937439464</v>
      </c>
      <c r="P225">
        <v>1.3303940866724755</v>
      </c>
      <c r="Q225">
        <v>7.5829401801722702E-3</v>
      </c>
      <c r="R225">
        <v>0.33127599135949937</v>
      </c>
      <c r="S225">
        <v>5.4996266201813671E-5</v>
      </c>
      <c r="T225">
        <v>0.33127599135949909</v>
      </c>
      <c r="U225">
        <v>1.3241449611911842</v>
      </c>
      <c r="V225">
        <v>0.31314555567614705</v>
      </c>
      <c r="W225">
        <v>0.19188669520202345</v>
      </c>
      <c r="X225">
        <v>0.64617179918965328</v>
      </c>
      <c r="Y225">
        <v>0.25377674071986916</v>
      </c>
      <c r="Z225">
        <v>0.53272900574215776</v>
      </c>
    </row>
    <row r="226" spans="1:26" x14ac:dyDescent="0.2">
      <c r="A226" s="17">
        <v>11111</v>
      </c>
      <c r="B226" s="17" t="s">
        <v>360</v>
      </c>
      <c r="C226" s="17" t="s">
        <v>286</v>
      </c>
      <c r="D226" s="73">
        <v>44326</v>
      </c>
      <c r="E226" s="74">
        <v>17.5</v>
      </c>
      <c r="F226" s="17">
        <v>4.1700000000000001E-2</v>
      </c>
      <c r="G226" s="75">
        <v>9.7820000000000462E-2</v>
      </c>
      <c r="H226" t="s">
        <v>350</v>
      </c>
      <c r="I226">
        <v>1.0076317682041256E-2</v>
      </c>
      <c r="J226">
        <v>0.17601368708885248</v>
      </c>
      <c r="K226">
        <v>7.138503883948189E-3</v>
      </c>
      <c r="L226">
        <v>9.5260635188783478E-3</v>
      </c>
      <c r="M226">
        <v>0.26857214362969123</v>
      </c>
      <c r="N226">
        <v>9.1212068439160202E-3</v>
      </c>
      <c r="O226">
        <v>0.35197049693689714</v>
      </c>
      <c r="P226">
        <v>0.2263244740389686</v>
      </c>
      <c r="Q226">
        <v>1.3214634471705646E-2</v>
      </c>
      <c r="R226">
        <v>0.16855559545276302</v>
      </c>
      <c r="S226">
        <v>9.5840866194077853E-5</v>
      </c>
      <c r="T226">
        <v>0.16855559545276305</v>
      </c>
      <c r="U226">
        <v>1.0425106633167024E-2</v>
      </c>
      <c r="V226">
        <v>0.75039615828781425</v>
      </c>
      <c r="W226">
        <v>0.13875414923364701</v>
      </c>
      <c r="X226">
        <v>0.22659243353731923</v>
      </c>
      <c r="Y226">
        <v>1.4468426304786884E-3</v>
      </c>
      <c r="Z226">
        <v>0.68425074407332442</v>
      </c>
    </row>
    <row r="227" spans="1:26" x14ac:dyDescent="0.2">
      <c r="A227" s="13">
        <v>10815</v>
      </c>
      <c r="B227" s="13" t="s">
        <v>79</v>
      </c>
      <c r="C227" s="13" t="s">
        <v>72</v>
      </c>
      <c r="D227" s="14">
        <v>44326</v>
      </c>
      <c r="E227" s="15"/>
      <c r="F227" s="16">
        <v>1.10995</v>
      </c>
      <c r="G227" s="16">
        <v>10.349080000000001</v>
      </c>
      <c r="H227" t="s">
        <v>351</v>
      </c>
      <c r="I227">
        <v>9.8199408168443275E-3</v>
      </c>
      <c r="J227">
        <v>1.0535432761843853</v>
      </c>
      <c r="K227">
        <v>7.1452450269592904E-3</v>
      </c>
      <c r="L227">
        <v>7.5138518595416308E-3</v>
      </c>
      <c r="M227">
        <v>2.7322379322543742</v>
      </c>
      <c r="N227">
        <v>1.6397235960728864E-2</v>
      </c>
      <c r="O227">
        <v>2.1052187625696672</v>
      </c>
      <c r="P227">
        <v>1.1069456255789416</v>
      </c>
      <c r="Q227">
        <v>7.5846662565436807E-3</v>
      </c>
      <c r="R227">
        <v>0.2254074860326917</v>
      </c>
      <c r="S227">
        <v>5.5008784796626657E-5</v>
      </c>
      <c r="T227">
        <v>0.22540748603269273</v>
      </c>
      <c r="U227">
        <v>1.3206896153708954</v>
      </c>
      <c r="V227">
        <v>0.33648715955052194</v>
      </c>
      <c r="W227">
        <v>0.19027214897949515</v>
      </c>
      <c r="X227">
        <v>0.69300031034491394</v>
      </c>
      <c r="Y227">
        <v>0.25070952284663983</v>
      </c>
      <c r="Z227">
        <v>0.51971453709698334</v>
      </c>
    </row>
    <row r="228" spans="1:26" x14ac:dyDescent="0.2">
      <c r="A228" s="17">
        <v>11112</v>
      </c>
      <c r="B228" s="17" t="s">
        <v>361</v>
      </c>
      <c r="C228" s="17" t="s">
        <v>286</v>
      </c>
      <c r="D228" s="73">
        <v>44326</v>
      </c>
      <c r="E228" s="74">
        <v>21.5</v>
      </c>
      <c r="F228" s="17">
        <v>8.1670000000000006E-2</v>
      </c>
      <c r="G228" s="75">
        <v>9.8230000000000928E-2</v>
      </c>
      <c r="H228" t="s">
        <v>352</v>
      </c>
      <c r="I228">
        <v>1.0064510589115184E-2</v>
      </c>
      <c r="J228">
        <v>0.17713801915178801</v>
      </c>
      <c r="K228">
        <v>7.1390927320094805E-3</v>
      </c>
      <c r="L228">
        <v>1.0151166204395193E-2</v>
      </c>
      <c r="M228">
        <v>0.39276691390025026</v>
      </c>
      <c r="N228">
        <v>9.1961881882426169E-3</v>
      </c>
      <c r="O228">
        <v>0.53655346254527725</v>
      </c>
      <c r="P228">
        <v>0.28764112593263402</v>
      </c>
      <c r="Q228">
        <v>1.3748412417430135E-2</v>
      </c>
      <c r="R228">
        <v>0.18678666453744849</v>
      </c>
      <c r="S228">
        <v>9.9712160612630709E-5</v>
      </c>
      <c r="T228">
        <v>0.18678666453744885</v>
      </c>
      <c r="U228">
        <v>2.059043487826346E-2</v>
      </c>
      <c r="V228">
        <v>0.62218311718664709</v>
      </c>
      <c r="W228">
        <v>0.48854082365884788</v>
      </c>
      <c r="X228">
        <v>0.55703930322039064</v>
      </c>
      <c r="Y228">
        <v>1.0023117277133991E-2</v>
      </c>
      <c r="Z228">
        <v>0.71870142015910587</v>
      </c>
    </row>
    <row r="229" spans="1:26" x14ac:dyDescent="0.2">
      <c r="A229" s="13">
        <v>10815</v>
      </c>
      <c r="B229" s="13" t="s">
        <v>79</v>
      </c>
      <c r="C229" s="13" t="s">
        <v>72</v>
      </c>
      <c r="D229" s="14">
        <v>44326</v>
      </c>
      <c r="E229" s="15"/>
      <c r="F229" s="16">
        <v>1.10995</v>
      </c>
      <c r="G229" s="16">
        <v>10.349080000000001</v>
      </c>
      <c r="H229" t="s">
        <v>353</v>
      </c>
      <c r="I229">
        <v>9.8575642138113689E-3</v>
      </c>
      <c r="J229">
        <v>1.2373878403275991</v>
      </c>
      <c r="K229">
        <v>7.1332988662910178E-3</v>
      </c>
      <c r="L229">
        <v>7.1834134289044003E-3</v>
      </c>
      <c r="M229">
        <v>2.7315928861489556</v>
      </c>
      <c r="N229">
        <v>1.4127678998764982E-2</v>
      </c>
      <c r="O229">
        <v>2.1044195583409464</v>
      </c>
      <c r="P229">
        <v>1.1853851897603733</v>
      </c>
      <c r="Q229">
        <v>7.5739730641300887E-3</v>
      </c>
      <c r="R229">
        <v>0.24858571236361926</v>
      </c>
      <c r="S229">
        <v>5.4931231018995329E-5</v>
      </c>
      <c r="T229">
        <v>0.2485857123636187</v>
      </c>
      <c r="U229">
        <v>1.3305398543261662</v>
      </c>
      <c r="V229">
        <v>0.48054943294301894</v>
      </c>
      <c r="W229">
        <v>0.19265844511700811</v>
      </c>
      <c r="X229">
        <v>0.78573028865145644</v>
      </c>
      <c r="Y229">
        <v>0.25545763829594087</v>
      </c>
      <c r="Z229">
        <v>0.63989167044376905</v>
      </c>
    </row>
    <row r="230" spans="1:26" x14ac:dyDescent="0.2">
      <c r="A230" s="17">
        <v>11113</v>
      </c>
      <c r="B230" s="17" t="s">
        <v>362</v>
      </c>
      <c r="C230" s="17" t="s">
        <v>286</v>
      </c>
      <c r="D230" s="73">
        <v>44326</v>
      </c>
      <c r="E230" s="74">
        <v>31.5</v>
      </c>
      <c r="F230" s="17">
        <v>5.1330000000000001E-2</v>
      </c>
      <c r="G230" s="75">
        <v>9.8829999999999529E-2</v>
      </c>
      <c r="H230" t="s">
        <v>354</v>
      </c>
      <c r="I230">
        <v>1.0065932889660475E-2</v>
      </c>
      <c r="J230">
        <v>0.21110278241318667</v>
      </c>
      <c r="K230">
        <v>7.1357903360909731E-3</v>
      </c>
      <c r="L230">
        <v>8.3755887974679769E-3</v>
      </c>
      <c r="M230">
        <v>0.32618535849765451</v>
      </c>
      <c r="N230">
        <v>7.0601123531765448E-3</v>
      </c>
      <c r="O230">
        <v>0.45688239071014808</v>
      </c>
      <c r="P230">
        <v>0.24798342536221399</v>
      </c>
      <c r="Q230">
        <v>1.4108635188238279E-2</v>
      </c>
      <c r="R230">
        <v>0.20451966472432057</v>
      </c>
      <c r="S230">
        <v>1.0232472340814382E-4</v>
      </c>
      <c r="T230">
        <v>0.20451966472431973</v>
      </c>
      <c r="U230">
        <v>1.8573992791841576E-2</v>
      </c>
      <c r="V230">
        <v>0.63251953266146377</v>
      </c>
      <c r="W230">
        <v>0.21399872804326905</v>
      </c>
      <c r="X230">
        <v>0.27242757398214196</v>
      </c>
      <c r="Y230">
        <v>3.9735694689310907E-3</v>
      </c>
      <c r="Z230">
        <v>0.60413977997899315</v>
      </c>
    </row>
    <row r="231" spans="1:26" x14ac:dyDescent="0.2">
      <c r="A231" s="13">
        <v>10815</v>
      </c>
      <c r="B231" s="13" t="s">
        <v>79</v>
      </c>
      <c r="C231" s="13" t="s">
        <v>72</v>
      </c>
      <c r="D231" s="14">
        <v>44326</v>
      </c>
      <c r="E231" s="15"/>
      <c r="F231" s="16">
        <v>1.10995</v>
      </c>
      <c r="G231" s="16">
        <v>10.349080000000001</v>
      </c>
      <c r="H231" t="s">
        <v>355</v>
      </c>
      <c r="I231">
        <v>1.0044914742584473E-2</v>
      </c>
      <c r="J231">
        <v>1.2407228926935971</v>
      </c>
      <c r="K231">
        <v>7.1338319981955689E-3</v>
      </c>
      <c r="L231">
        <v>7.7993704617742021E-3</v>
      </c>
      <c r="M231">
        <v>2.7322271683744002</v>
      </c>
      <c r="N231">
        <v>1.5893910200207119E-2</v>
      </c>
      <c r="O231">
        <v>2.0663972241421908</v>
      </c>
      <c r="P231">
        <v>1.2417897552222261</v>
      </c>
      <c r="Q231">
        <v>7.5919557228906623E-3</v>
      </c>
      <c r="R231">
        <v>0.21340069891868835</v>
      </c>
      <c r="S231">
        <v>5.5061652605439944E-5</v>
      </c>
      <c r="T231">
        <v>0.21340069891868838</v>
      </c>
      <c r="U231">
        <v>1.3285330888416844</v>
      </c>
      <c r="V231">
        <v>0.47562204400257763</v>
      </c>
      <c r="W231">
        <v>0.19231120319435421</v>
      </c>
      <c r="X231">
        <v>0.91169115158302916</v>
      </c>
      <c r="Y231">
        <v>0.25398367609524675</v>
      </c>
      <c r="Z231">
        <v>0.7357389209047126</v>
      </c>
    </row>
    <row r="232" spans="1:26" x14ac:dyDescent="0.2">
      <c r="A232" s="17">
        <v>11114</v>
      </c>
      <c r="B232" s="17" t="s">
        <v>363</v>
      </c>
      <c r="C232" s="17" t="s">
        <v>286</v>
      </c>
      <c r="D232" s="73">
        <v>44326</v>
      </c>
      <c r="E232" s="74">
        <v>35</v>
      </c>
      <c r="F232" s="17">
        <v>4.1759999999999999E-2</v>
      </c>
      <c r="G232" s="75">
        <v>9.9920000000000897E-2</v>
      </c>
      <c r="H232" t="s">
        <v>356</v>
      </c>
      <c r="I232">
        <v>1.0060796136203648E-2</v>
      </c>
      <c r="J232">
        <v>0.17336778811889472</v>
      </c>
      <c r="K232">
        <v>7.1279936405729792E-3</v>
      </c>
      <c r="L232">
        <v>1.1200852980995187E-2</v>
      </c>
      <c r="M232">
        <v>0.28798925139325737</v>
      </c>
      <c r="N232">
        <v>7.8765000821774903E-3</v>
      </c>
      <c r="O232">
        <v>0.39583248090294926</v>
      </c>
      <c r="P232">
        <v>0.32580350962468524</v>
      </c>
      <c r="Q232">
        <v>1.3834297557365583E-2</v>
      </c>
      <c r="R232">
        <v>0.21599205645434333</v>
      </c>
      <c r="S232">
        <v>1.0033505383167792E-4</v>
      </c>
      <c r="T232">
        <v>0.21599205645434455</v>
      </c>
      <c r="U232">
        <v>1.6747348000681745E-2</v>
      </c>
      <c r="V232">
        <v>0.86771030704987073</v>
      </c>
      <c r="W232">
        <v>0.19926414355500058</v>
      </c>
      <c r="X232">
        <v>0.44865791277860906</v>
      </c>
      <c r="Y232">
        <v>3.3411821332648842E-3</v>
      </c>
      <c r="Z232">
        <v>0.82824998610548617</v>
      </c>
    </row>
    <row r="233" spans="1:26" x14ac:dyDescent="0.2">
      <c r="A233" s="13">
        <v>10815</v>
      </c>
      <c r="B233" s="13" t="s">
        <v>79</v>
      </c>
      <c r="C233" s="13" t="s">
        <v>72</v>
      </c>
      <c r="D233" s="14">
        <v>44326</v>
      </c>
      <c r="E233" s="15"/>
      <c r="F233" s="16">
        <v>1.10995</v>
      </c>
      <c r="G233" s="16">
        <v>10.349080000000001</v>
      </c>
      <c r="H233" t="s">
        <v>357</v>
      </c>
      <c r="I233">
        <v>9.7411138856455717E-3</v>
      </c>
      <c r="J233">
        <v>1.3303715777556318</v>
      </c>
      <c r="K233">
        <v>7.1272730503430326E-3</v>
      </c>
      <c r="L233">
        <v>8.1148901157131401E-3</v>
      </c>
      <c r="M233">
        <v>2.7319309665011087</v>
      </c>
      <c r="N233">
        <v>1.3953324650698038E-2</v>
      </c>
      <c r="O233">
        <v>2.1279599065936341</v>
      </c>
      <c r="P233">
        <v>1.4115910361568456</v>
      </c>
      <c r="Q233">
        <v>7.5869885383936719E-3</v>
      </c>
      <c r="R233">
        <v>0.26653152397183272</v>
      </c>
      <c r="S233">
        <v>5.5025627449711521E-5</v>
      </c>
      <c r="T233">
        <v>0.26653152397183155</v>
      </c>
      <c r="U233">
        <v>1.3312445289473032</v>
      </c>
      <c r="V233">
        <v>0.38348718848701135</v>
      </c>
      <c r="W233">
        <v>0.19373554796173167</v>
      </c>
      <c r="X233">
        <v>0.94132081284602387</v>
      </c>
      <c r="Y233">
        <v>0.25754916252675619</v>
      </c>
      <c r="Z233">
        <v>0.91780983920882364</v>
      </c>
    </row>
    <row r="235" spans="1:26" x14ac:dyDescent="0.2">
      <c r="A235" s="13">
        <v>10815</v>
      </c>
      <c r="B235" s="13" t="s">
        <v>79</v>
      </c>
      <c r="C235" s="13" t="s">
        <v>72</v>
      </c>
      <c r="D235" s="14">
        <v>44327</v>
      </c>
      <c r="E235" s="15"/>
      <c r="F235" s="16">
        <v>1.10995</v>
      </c>
      <c r="G235" s="16">
        <v>10.349080000000001</v>
      </c>
      <c r="H235" t="s">
        <v>345</v>
      </c>
      <c r="I235">
        <v>1.0075679434783874E-2</v>
      </c>
      <c r="J235">
        <v>1.4897978707671493</v>
      </c>
      <c r="K235">
        <v>7.1431128928262132E-3</v>
      </c>
      <c r="L235">
        <v>7.83569525043574E-3</v>
      </c>
      <c r="M235">
        <v>2.7325632967467874</v>
      </c>
      <c r="N235">
        <v>1.8435214039566935E-2</v>
      </c>
      <c r="O235">
        <v>2.0615431354522764</v>
      </c>
      <c r="P235">
        <v>1.4623332445558124</v>
      </c>
      <c r="Q235">
        <v>7.5816776614197681E-3</v>
      </c>
      <c r="R235">
        <v>0.22631153824236744</v>
      </c>
      <c r="S235">
        <v>5.4987109619307711E-5</v>
      </c>
      <c r="T235">
        <v>0.22631153824236661</v>
      </c>
      <c r="U235">
        <v>1.3200718949642998</v>
      </c>
      <c r="V235">
        <v>0.28891913649711093</v>
      </c>
      <c r="W235">
        <v>0.19227521260098487</v>
      </c>
      <c r="X235">
        <v>0.80954469046855237</v>
      </c>
      <c r="Y235">
        <v>0.25342189181530383</v>
      </c>
      <c r="Z235">
        <v>0.65832887629641701</v>
      </c>
    </row>
    <row r="236" spans="1:26" x14ac:dyDescent="0.2">
      <c r="A236" s="17">
        <v>11115</v>
      </c>
      <c r="B236" s="17" t="s">
        <v>364</v>
      </c>
      <c r="C236" s="17" t="s">
        <v>286</v>
      </c>
      <c r="D236" s="73">
        <v>44327</v>
      </c>
      <c r="E236" s="74">
        <v>41</v>
      </c>
      <c r="F236" s="17">
        <v>4.2349999999999999E-2</v>
      </c>
      <c r="G236" s="75">
        <v>9.8570000000000491E-2</v>
      </c>
      <c r="H236" t="s">
        <v>368</v>
      </c>
      <c r="I236">
        <v>1.0093041119681649E-2</v>
      </c>
      <c r="J236">
        <v>0.17422343805241619</v>
      </c>
      <c r="K236">
        <v>7.1393316487126492E-3</v>
      </c>
      <c r="L236">
        <v>1.2661161776865744E-2</v>
      </c>
      <c r="M236">
        <v>0.23453084838165553</v>
      </c>
      <c r="N236">
        <v>1.0474992011091548E-2</v>
      </c>
      <c r="O236">
        <v>0.32987462415506602</v>
      </c>
      <c r="P236">
        <v>0.32044431679303287</v>
      </c>
      <c r="Q236">
        <v>1.419422119494196E-2</v>
      </c>
      <c r="R236">
        <v>0.25229894749402193</v>
      </c>
      <c r="S236">
        <v>1.0294544712427356E-4</v>
      </c>
      <c r="T236">
        <v>0.25229894749402204</v>
      </c>
      <c r="U236">
        <v>1.4642432543010746E-2</v>
      </c>
      <c r="V236">
        <v>0.96543032431195019</v>
      </c>
      <c r="W236">
        <v>7.8009035627961604E-2</v>
      </c>
      <c r="X236">
        <v>0.23544642638526608</v>
      </c>
      <c r="Y236">
        <v>1.1391557903923026E-3</v>
      </c>
      <c r="Z236">
        <v>0.90253115960727526</v>
      </c>
    </row>
    <row r="237" spans="1:26" x14ac:dyDescent="0.2">
      <c r="A237" s="13">
        <v>10815</v>
      </c>
      <c r="B237" s="13" t="s">
        <v>79</v>
      </c>
      <c r="C237" s="13" t="s">
        <v>72</v>
      </c>
      <c r="D237" s="14">
        <v>44327</v>
      </c>
      <c r="E237" s="15"/>
      <c r="F237" s="16">
        <v>1.10995</v>
      </c>
      <c r="G237" s="16">
        <v>10.349080000000001</v>
      </c>
      <c r="H237" t="s">
        <v>347</v>
      </c>
      <c r="I237">
        <v>1.0154232214797847E-2</v>
      </c>
      <c r="J237">
        <v>1.0781632276301782</v>
      </c>
      <c r="K237">
        <v>7.1401976011703158E-3</v>
      </c>
      <c r="L237">
        <v>8.0215258330088059E-3</v>
      </c>
      <c r="M237">
        <v>2.7319628261465692</v>
      </c>
      <c r="N237">
        <v>1.4801609737869686E-2</v>
      </c>
      <c r="O237">
        <v>2.0435463105553238</v>
      </c>
      <c r="P237">
        <v>1.1218919926231725</v>
      </c>
      <c r="Q237">
        <v>7.5815237241271573E-3</v>
      </c>
      <c r="R237">
        <v>0.20445880067103198</v>
      </c>
      <c r="S237">
        <v>5.4985993168943912E-5</v>
      </c>
      <c r="T237">
        <v>0.2044588006710325</v>
      </c>
      <c r="U237">
        <v>1.3194796878141457</v>
      </c>
      <c r="V237">
        <v>0.46314243691847123</v>
      </c>
      <c r="W237">
        <v>0.19214729077082685</v>
      </c>
      <c r="X237">
        <v>0.72376885710701377</v>
      </c>
      <c r="Y237">
        <v>0.2538388030245306</v>
      </c>
      <c r="Z237">
        <v>0.7137980182690995</v>
      </c>
    </row>
    <row r="238" spans="1:26" x14ac:dyDescent="0.2">
      <c r="A238" s="17">
        <v>11116</v>
      </c>
      <c r="B238" s="17" t="s">
        <v>365</v>
      </c>
      <c r="C238" s="17" t="s">
        <v>286</v>
      </c>
      <c r="D238" s="73">
        <v>44327</v>
      </c>
      <c r="E238" s="74">
        <v>64</v>
      </c>
      <c r="F238" s="17">
        <v>3.8449999999999998E-2</v>
      </c>
      <c r="G238" s="75">
        <v>9.8950000000000315E-2</v>
      </c>
      <c r="H238" t="s">
        <v>369</v>
      </c>
      <c r="I238">
        <v>1.0043208479168711E-2</v>
      </c>
      <c r="J238">
        <v>0.15482205186900291</v>
      </c>
      <c r="K238">
        <v>7.1332980788704975E-3</v>
      </c>
      <c r="L238">
        <v>1.1404141086394684E-2</v>
      </c>
      <c r="M238">
        <v>0.20416577295925531</v>
      </c>
      <c r="N238">
        <v>1.0787044439845487E-2</v>
      </c>
      <c r="O238">
        <v>0.28954128090605569</v>
      </c>
      <c r="P238">
        <v>0.35072610648210023</v>
      </c>
      <c r="Q238">
        <v>1.4224876349522799E-2</v>
      </c>
      <c r="R238">
        <v>0.26614627265898855</v>
      </c>
      <c r="S238">
        <v>1.0316777764538115E-4</v>
      </c>
      <c r="T238">
        <v>0.26614627265898833</v>
      </c>
      <c r="U238">
        <v>1.3359995907518787E-2</v>
      </c>
      <c r="V238">
        <v>0.94128484796367351</v>
      </c>
      <c r="W238">
        <v>0.58991905165897585</v>
      </c>
      <c r="X238">
        <v>0.69308264857918844</v>
      </c>
      <c r="Y238">
        <v>7.8563705473622004E-3</v>
      </c>
      <c r="Z238">
        <v>0.98023746831286518</v>
      </c>
    </row>
    <row r="239" spans="1:26" x14ac:dyDescent="0.2">
      <c r="A239" s="13">
        <v>10815</v>
      </c>
      <c r="B239" s="13" t="s">
        <v>79</v>
      </c>
      <c r="C239" s="13" t="s">
        <v>72</v>
      </c>
      <c r="D239" s="14">
        <v>44327</v>
      </c>
      <c r="E239" s="15"/>
      <c r="F239" s="16">
        <v>1.10995</v>
      </c>
      <c r="G239" s="16">
        <v>10.349080000000001</v>
      </c>
      <c r="H239" t="s">
        <v>349</v>
      </c>
      <c r="I239">
        <v>9.9027134916727724E-3</v>
      </c>
      <c r="J239">
        <v>1.3297851021688694</v>
      </c>
      <c r="K239">
        <v>7.1372877793413675E-3</v>
      </c>
      <c r="L239">
        <v>1.330993754255997E-2</v>
      </c>
      <c r="M239">
        <v>2.7321531440991658</v>
      </c>
      <c r="N239">
        <v>1.6026255007854807E-2</v>
      </c>
      <c r="O239">
        <v>2.0834699769980829</v>
      </c>
      <c r="P239">
        <v>1.2067901215224035</v>
      </c>
      <c r="Q239">
        <v>7.5794872034696528E-3</v>
      </c>
      <c r="R239">
        <v>0.20357787640241953</v>
      </c>
      <c r="S239">
        <v>5.4971223036311411E-5</v>
      </c>
      <c r="T239">
        <v>0.20357787640241962</v>
      </c>
      <c r="U239">
        <v>1.3248321896006627</v>
      </c>
      <c r="V239">
        <v>0.44301373293895763</v>
      </c>
      <c r="W239">
        <v>0.19290656970877637</v>
      </c>
      <c r="X239">
        <v>0.7726437103156667</v>
      </c>
      <c r="Y239">
        <v>0.25532205420380533</v>
      </c>
      <c r="Z239">
        <v>0.65692071293714605</v>
      </c>
    </row>
    <row r="241" spans="1:26" x14ac:dyDescent="0.2">
      <c r="A241" s="13">
        <v>10815</v>
      </c>
      <c r="B241" s="13" t="s">
        <v>79</v>
      </c>
      <c r="C241" s="13" t="s">
        <v>72</v>
      </c>
      <c r="D241" s="14">
        <v>44327</v>
      </c>
      <c r="E241" s="15"/>
      <c r="F241" s="16">
        <v>1.10995</v>
      </c>
      <c r="G241" s="16">
        <v>10.349080000000001</v>
      </c>
      <c r="H241" t="s">
        <v>370</v>
      </c>
      <c r="I241">
        <v>1.0029548260812971E-2</v>
      </c>
      <c r="J241">
        <v>6.6266500845818417</v>
      </c>
      <c r="K241">
        <v>7.1433929352191332E-3</v>
      </c>
      <c r="L241">
        <v>1.904415008272551E-2</v>
      </c>
      <c r="M241">
        <v>2.7297731364481486</v>
      </c>
      <c r="N241">
        <v>8.5912636902612916E-2</v>
      </c>
      <c r="O241">
        <v>2.0610788555164241</v>
      </c>
      <c r="P241">
        <v>6.6239833090146707</v>
      </c>
      <c r="Q241">
        <v>7.4926071881517026E-3</v>
      </c>
      <c r="R241">
        <v>0.17887729056268165</v>
      </c>
      <c r="S241">
        <v>5.4341114353331512E-5</v>
      </c>
      <c r="T241">
        <v>0.17887729056268303</v>
      </c>
      <c r="U241">
        <v>1.3161016031945232</v>
      </c>
      <c r="V241">
        <v>0.67508436744306499</v>
      </c>
      <c r="W241">
        <v>0.19172575481696438</v>
      </c>
      <c r="X241">
        <v>3.0705917918530496</v>
      </c>
      <c r="Y241">
        <v>0.25197650176608316</v>
      </c>
      <c r="Z241">
        <v>2.9648756266949015</v>
      </c>
    </row>
    <row r="242" spans="1:26" x14ac:dyDescent="0.2">
      <c r="A242" s="17">
        <v>11106</v>
      </c>
      <c r="B242" s="17" t="s">
        <v>366</v>
      </c>
      <c r="C242" s="17" t="s">
        <v>286</v>
      </c>
      <c r="D242" s="73">
        <v>44327</v>
      </c>
      <c r="E242" s="74">
        <v>69.099999999999994</v>
      </c>
      <c r="F242" s="17">
        <v>0.1464</v>
      </c>
      <c r="G242" s="75">
        <v>9.6710000000001628E-2</v>
      </c>
      <c r="H242" t="s">
        <v>371</v>
      </c>
      <c r="I242">
        <v>1.0064779231480719E-2</v>
      </c>
      <c r="J242">
        <v>0.27279971586559182</v>
      </c>
      <c r="K242">
        <v>7.1442363862063074E-3</v>
      </c>
      <c r="L242">
        <v>7.8871472087196789E-2</v>
      </c>
      <c r="M242">
        <v>3.9133133822018391E-2</v>
      </c>
      <c r="N242">
        <v>5.4215556730507729E-2</v>
      </c>
      <c r="O242">
        <v>4.2991664964412993E-2</v>
      </c>
      <c r="P242">
        <v>0.43849887840792418</v>
      </c>
      <c r="Q242">
        <v>1.1053431638530028E-2</v>
      </c>
      <c r="R242">
        <v>0.26246926042419433</v>
      </c>
      <c r="S242">
        <v>8.0166459762621574E-5</v>
      </c>
      <c r="T242">
        <v>0.26246926042419472</v>
      </c>
      <c r="U242">
        <v>1.2030682201908822E-2</v>
      </c>
      <c r="V242">
        <v>1.1051783293438777</v>
      </c>
      <c r="W242">
        <v>0.2835106525894161</v>
      </c>
      <c r="X242">
        <v>0.53105068090306573</v>
      </c>
      <c r="Y242">
        <v>3.4104854546183417E-3</v>
      </c>
      <c r="Z242">
        <v>1.1571348818296747</v>
      </c>
    </row>
    <row r="243" spans="1:26" x14ac:dyDescent="0.2">
      <c r="A243" s="13">
        <v>10815</v>
      </c>
      <c r="B243" s="13" t="s">
        <v>79</v>
      </c>
      <c r="C243" s="13" t="s">
        <v>72</v>
      </c>
      <c r="D243" s="14">
        <v>44327</v>
      </c>
      <c r="E243" s="15"/>
      <c r="F243" s="16">
        <v>1.10995</v>
      </c>
      <c r="G243" s="16">
        <v>10.349080000000001</v>
      </c>
      <c r="H243" t="s">
        <v>372</v>
      </c>
      <c r="I243">
        <v>9.2655625197754412E-3</v>
      </c>
      <c r="J243">
        <v>4.3768893335847219</v>
      </c>
      <c r="K243">
        <v>7.1355106244835303E-3</v>
      </c>
      <c r="L243">
        <v>3.1355081073960143E-2</v>
      </c>
      <c r="M243">
        <v>2.7315313772137189</v>
      </c>
      <c r="N243">
        <v>7.2143096032904488E-2</v>
      </c>
      <c r="O243">
        <v>2.2482756666041688</v>
      </c>
      <c r="P243">
        <v>4.1350973853240163</v>
      </c>
      <c r="Q243">
        <v>7.5801419399349227E-3</v>
      </c>
      <c r="R243">
        <v>0.21918596256158537</v>
      </c>
      <c r="S243">
        <v>5.4975971598225446E-5</v>
      </c>
      <c r="T243">
        <v>0.21918596256158598</v>
      </c>
      <c r="U243">
        <v>1.32671856133401</v>
      </c>
      <c r="V243">
        <v>0.85437009677899167</v>
      </c>
      <c r="W243">
        <v>0.19198570268848231</v>
      </c>
      <c r="X243">
        <v>3.7066880379584597</v>
      </c>
      <c r="Y243">
        <v>0.25435546694373484</v>
      </c>
      <c r="Z243">
        <v>3.5026321946240868</v>
      </c>
    </row>
    <row r="244" spans="1:26" x14ac:dyDescent="0.2">
      <c r="A244" s="17">
        <v>11107</v>
      </c>
      <c r="B244" s="17" t="s">
        <v>367</v>
      </c>
      <c r="C244" s="17" t="s">
        <v>286</v>
      </c>
      <c r="D244" s="73">
        <v>44327</v>
      </c>
      <c r="E244" s="74">
        <v>67.7</v>
      </c>
      <c r="F244" s="17">
        <v>0.16442999999999999</v>
      </c>
      <c r="G244" s="75">
        <v>0.10010999999999903</v>
      </c>
      <c r="H244" t="s">
        <v>373</v>
      </c>
      <c r="I244">
        <v>1.0108499741216961E-2</v>
      </c>
      <c r="J244">
        <v>0.43170431639693385</v>
      </c>
      <c r="K244">
        <v>7.135613713279333E-3</v>
      </c>
      <c r="L244">
        <v>5.8702615918468183E-2</v>
      </c>
      <c r="M244">
        <v>7.1588029869421102E-2</v>
      </c>
      <c r="N244">
        <v>4.9632971515541614E-2</v>
      </c>
      <c r="O244">
        <v>7.3052057072348284E-2</v>
      </c>
      <c r="P244">
        <v>0.46933745498045398</v>
      </c>
      <c r="Q244">
        <v>1.0308747999580292E-2</v>
      </c>
      <c r="R244">
        <v>0.30310325337167388</v>
      </c>
      <c r="S244">
        <v>7.4765544198115004E-5</v>
      </c>
      <c r="T244">
        <v>0.30310325337167399</v>
      </c>
      <c r="U244">
        <v>1.9842470831849274E-2</v>
      </c>
      <c r="V244">
        <v>1.2069913890343653</v>
      </c>
      <c r="W244">
        <v>0.23493088589385355</v>
      </c>
      <c r="X244">
        <v>0.8168179700371585</v>
      </c>
      <c r="Y244">
        <v>4.678844177498755E-3</v>
      </c>
      <c r="Z244">
        <v>1.6728982862006481</v>
      </c>
    </row>
    <row r="245" spans="1:26" x14ac:dyDescent="0.2">
      <c r="A245" s="13">
        <v>10815</v>
      </c>
      <c r="B245" s="13" t="s">
        <v>79</v>
      </c>
      <c r="C245" s="13" t="s">
        <v>72</v>
      </c>
      <c r="D245" s="14">
        <v>44327</v>
      </c>
      <c r="E245" s="15"/>
      <c r="F245" s="16">
        <v>1.10995</v>
      </c>
      <c r="G245" s="16">
        <v>10.349080000000001</v>
      </c>
      <c r="H245" t="s">
        <v>374</v>
      </c>
      <c r="I245">
        <v>9.6213827940058796E-3</v>
      </c>
      <c r="J245">
        <v>7.2527963512295042</v>
      </c>
      <c r="K245">
        <v>7.1324829349172355E-3</v>
      </c>
      <c r="L245">
        <v>2.5190814945655744E-2</v>
      </c>
      <c r="M245">
        <v>2.7320721684324294</v>
      </c>
      <c r="N245">
        <v>7.951801442072029E-2</v>
      </c>
      <c r="O245">
        <v>2.154005994045038</v>
      </c>
      <c r="P245">
        <v>6.9699188453644174</v>
      </c>
      <c r="Q245">
        <v>7.6066742846914821E-3</v>
      </c>
      <c r="R245">
        <v>0.1972209299782042</v>
      </c>
      <c r="S245">
        <v>5.5168400901440223E-5</v>
      </c>
      <c r="T245">
        <v>0.19722092997820545</v>
      </c>
      <c r="U245">
        <v>1.3325893422673831</v>
      </c>
      <c r="V245">
        <v>0.86931805792783234</v>
      </c>
      <c r="W245">
        <v>0.19463445396208412</v>
      </c>
      <c r="X245">
        <v>2.8534847941694794</v>
      </c>
      <c r="Y245">
        <v>0.25865556924615601</v>
      </c>
      <c r="Z245">
        <v>2.7401991977269757</v>
      </c>
    </row>
    <row r="247" spans="1:26" x14ac:dyDescent="0.2">
      <c r="A247" s="13">
        <v>10815</v>
      </c>
      <c r="B247" s="13" t="s">
        <v>79</v>
      </c>
      <c r="C247" s="13" t="s">
        <v>72</v>
      </c>
      <c r="D247" s="14">
        <v>44358</v>
      </c>
      <c r="E247" s="15"/>
      <c r="F247" s="16">
        <v>1.10995</v>
      </c>
      <c r="G247" s="16">
        <v>10.349080000000001</v>
      </c>
      <c r="H247" t="s">
        <v>196</v>
      </c>
      <c r="I247">
        <v>9.8783556521371326E-3</v>
      </c>
      <c r="J247">
        <v>1.3395747926287676</v>
      </c>
      <c r="K247">
        <v>7.1207747187169417E-3</v>
      </c>
      <c r="L247">
        <v>8.5303117385979958E-3</v>
      </c>
      <c r="M247">
        <v>2.732585913768363</v>
      </c>
      <c r="N247">
        <v>1.3030459149381416E-2</v>
      </c>
      <c r="O247">
        <v>2.0987723931777023</v>
      </c>
      <c r="P247">
        <v>1.350704640108888</v>
      </c>
      <c r="Q247">
        <v>7.5732720713588431E-3</v>
      </c>
      <c r="R247">
        <v>0.28041809194552852</v>
      </c>
      <c r="S247">
        <v>5.4926146977167567E-5</v>
      </c>
      <c r="T247">
        <v>0.28041809194552803</v>
      </c>
      <c r="U247">
        <v>1.3200315475188451</v>
      </c>
      <c r="V247">
        <v>0.49786201136574876</v>
      </c>
      <c r="W247">
        <v>0.20424004106072244</v>
      </c>
      <c r="X247">
        <v>0.82884350062983025</v>
      </c>
      <c r="Y247">
        <v>0.26927438507107571</v>
      </c>
      <c r="Z247">
        <v>0.67542997479409528</v>
      </c>
    </row>
    <row r="248" spans="1:26" x14ac:dyDescent="0.2">
      <c r="A248" s="17">
        <v>11141</v>
      </c>
      <c r="B248" s="17" t="s">
        <v>375</v>
      </c>
      <c r="C248" s="17" t="s">
        <v>129</v>
      </c>
      <c r="D248" s="73">
        <v>44358</v>
      </c>
      <c r="E248" s="74">
        <v>4.5</v>
      </c>
      <c r="F248" s="17">
        <v>0.1081</v>
      </c>
      <c r="G248" s="75">
        <v>0.10492999999999952</v>
      </c>
      <c r="H248" t="s">
        <v>380</v>
      </c>
      <c r="I248">
        <v>1.0067708176369284E-2</v>
      </c>
      <c r="J248">
        <v>0.37013416827008111</v>
      </c>
      <c r="K248">
        <v>7.1122399984125777E-3</v>
      </c>
      <c r="L248">
        <v>6.4915962132876147E-3</v>
      </c>
      <c r="M248">
        <v>2.0407609091861398</v>
      </c>
      <c r="N248">
        <v>6.9462801216154529E-3</v>
      </c>
      <c r="O248">
        <v>1.5494835437640797</v>
      </c>
      <c r="P248">
        <v>0.3669800047090605</v>
      </c>
      <c r="Q248">
        <v>7.648250625326908E-3</v>
      </c>
      <c r="R248">
        <v>0.10206135269959396</v>
      </c>
      <c r="S248">
        <v>5.546993875390305E-5</v>
      </c>
      <c r="T248">
        <v>0.10206135269959309</v>
      </c>
      <c r="U248">
        <v>7.7006557469996642E-3</v>
      </c>
      <c r="V248">
        <v>1.1320113625027219</v>
      </c>
      <c r="W248">
        <v>2.0263235889312285E-2</v>
      </c>
      <c r="X248">
        <v>0.300088829655763</v>
      </c>
      <c r="Y248">
        <v>1.561764502547569E-4</v>
      </c>
      <c r="Z248">
        <v>1.1267319981338944</v>
      </c>
    </row>
    <row r="249" spans="1:26" x14ac:dyDescent="0.2">
      <c r="A249" s="13">
        <v>10815</v>
      </c>
      <c r="B249" s="13" t="s">
        <v>79</v>
      </c>
      <c r="C249" s="13" t="s">
        <v>72</v>
      </c>
      <c r="D249" s="14">
        <v>44358</v>
      </c>
      <c r="E249" s="15"/>
      <c r="F249" s="16">
        <v>1.10995</v>
      </c>
      <c r="G249" s="16">
        <v>10.349080000000001</v>
      </c>
      <c r="H249" t="s">
        <v>198</v>
      </c>
      <c r="I249">
        <v>9.9784791026554052E-3</v>
      </c>
      <c r="J249">
        <v>0.93038883846146003</v>
      </c>
      <c r="K249">
        <v>7.1159943976529631E-3</v>
      </c>
      <c r="L249">
        <v>8.4935233662789475E-3</v>
      </c>
      <c r="M249">
        <v>2.7325145703233473</v>
      </c>
      <c r="N249">
        <v>1.5079770169662077E-2</v>
      </c>
      <c r="O249">
        <v>2.0787519121767892</v>
      </c>
      <c r="P249">
        <v>0.91796363837571215</v>
      </c>
      <c r="Q249">
        <v>7.577571822473185E-3</v>
      </c>
      <c r="R249">
        <v>0.2538462117137909</v>
      </c>
      <c r="S249">
        <v>5.4957331484926743E-5</v>
      </c>
      <c r="T249">
        <v>0.25384621171379113</v>
      </c>
      <c r="U249">
        <v>1.3273770524348814</v>
      </c>
      <c r="V249">
        <v>0.47170787845533046</v>
      </c>
      <c r="W249">
        <v>0.20170116608332511</v>
      </c>
      <c r="X249">
        <v>0.77540252120852116</v>
      </c>
      <c r="Y249">
        <v>0.26791145259006921</v>
      </c>
      <c r="Z249">
        <v>0.6460811282666149</v>
      </c>
    </row>
    <row r="250" spans="1:26" x14ac:dyDescent="0.2">
      <c r="A250" s="17">
        <v>11142</v>
      </c>
      <c r="B250" s="17" t="s">
        <v>376</v>
      </c>
      <c r="C250" s="17" t="s">
        <v>129</v>
      </c>
      <c r="D250" s="73">
        <v>44358</v>
      </c>
      <c r="E250" s="74">
        <v>7.5</v>
      </c>
      <c r="F250" s="17">
        <v>8.2659999999999997E-2</v>
      </c>
      <c r="G250" s="75">
        <v>0.10254000000000119</v>
      </c>
      <c r="H250" t="s">
        <v>381</v>
      </c>
      <c r="I250">
        <v>1.0048091196062807E-2</v>
      </c>
      <c r="J250">
        <v>0.29293761408565394</v>
      </c>
      <c r="K250">
        <v>7.1102243426501028E-3</v>
      </c>
      <c r="L250">
        <v>4.4438312026986405E-3</v>
      </c>
      <c r="M250">
        <v>1.8547828558302557</v>
      </c>
      <c r="N250">
        <v>5.7995383467791869E-3</v>
      </c>
      <c r="O250">
        <v>1.4133892390251013</v>
      </c>
      <c r="P250">
        <v>0.29409116027074195</v>
      </c>
      <c r="Q250">
        <v>7.6501163975874467E-3</v>
      </c>
      <c r="R250">
        <v>7.9585145722118847E-2</v>
      </c>
      <c r="S250">
        <v>5.5483470511436992E-5</v>
      </c>
      <c r="T250">
        <v>7.9585145722119333E-2</v>
      </c>
      <c r="U250">
        <v>5.9497856258445255E-3</v>
      </c>
      <c r="V250">
        <v>0.98693502358518304</v>
      </c>
      <c r="W250">
        <v>0.17159714204257528</v>
      </c>
      <c r="X250">
        <v>0.23169681130661671</v>
      </c>
      <c r="Y250">
        <v>1.020847422860071E-3</v>
      </c>
      <c r="Z250">
        <v>1.0424160672852907</v>
      </c>
    </row>
    <row r="251" spans="1:26" x14ac:dyDescent="0.2">
      <c r="A251" s="13">
        <v>10815</v>
      </c>
      <c r="B251" s="13" t="s">
        <v>79</v>
      </c>
      <c r="C251" s="13" t="s">
        <v>72</v>
      </c>
      <c r="D251" s="14">
        <v>44358</v>
      </c>
      <c r="E251" s="15"/>
      <c r="F251" s="16">
        <v>1.10995</v>
      </c>
      <c r="G251" s="16">
        <v>10.349080000000001</v>
      </c>
      <c r="H251" t="s">
        <v>200</v>
      </c>
      <c r="I251">
        <v>9.8135180056518508E-3</v>
      </c>
      <c r="J251">
        <v>1.1863268845712578</v>
      </c>
      <c r="K251">
        <v>7.111569869938634E-3</v>
      </c>
      <c r="L251">
        <v>6.8886204663818965E-3</v>
      </c>
      <c r="M251">
        <v>2.7327667689795523</v>
      </c>
      <c r="N251">
        <v>1.3909882363001254E-2</v>
      </c>
      <c r="O251">
        <v>2.1175461644025413</v>
      </c>
      <c r="P251">
        <v>1.1819821932669978</v>
      </c>
      <c r="Q251">
        <v>7.5942639256095365E-3</v>
      </c>
      <c r="R251">
        <v>0.21227248001077995</v>
      </c>
      <c r="S251">
        <v>5.5078393147783483E-5</v>
      </c>
      <c r="T251">
        <v>0.21227248001078103</v>
      </c>
      <c r="U251">
        <v>1.3225309577136779</v>
      </c>
      <c r="V251">
        <v>0.37366527750749456</v>
      </c>
      <c r="W251">
        <v>0.20620318778504723</v>
      </c>
      <c r="X251">
        <v>0.75269210658245655</v>
      </c>
      <c r="Y251">
        <v>0.2718138240671083</v>
      </c>
      <c r="Z251">
        <v>0.76485851387902493</v>
      </c>
    </row>
    <row r="252" spans="1:26" x14ac:dyDescent="0.2">
      <c r="A252" s="17">
        <v>11143</v>
      </c>
      <c r="B252" s="17" t="s">
        <v>377</v>
      </c>
      <c r="C252" s="17" t="s">
        <v>129</v>
      </c>
      <c r="D252" s="73">
        <v>44358</v>
      </c>
      <c r="E252" s="74">
        <v>9</v>
      </c>
      <c r="F252" s="17">
        <v>0.10094</v>
      </c>
      <c r="G252" s="75">
        <v>0.10276999999999958</v>
      </c>
      <c r="H252" t="s">
        <v>382</v>
      </c>
      <c r="I252">
        <v>1.0050124470463986E-2</v>
      </c>
      <c r="J252">
        <v>0.30922361078629929</v>
      </c>
      <c r="K252">
        <v>7.1067406713169242E-3</v>
      </c>
      <c r="L252">
        <v>4.4404812336610632E-3</v>
      </c>
      <c r="M252">
        <v>2.2912480796673069</v>
      </c>
      <c r="N252">
        <v>4.7972849486641028E-3</v>
      </c>
      <c r="O252">
        <v>1.7455381023924854</v>
      </c>
      <c r="P252">
        <v>0.31776564111094591</v>
      </c>
      <c r="Q252">
        <v>7.6513145028342302E-3</v>
      </c>
      <c r="R252">
        <v>9.512562203596911E-2</v>
      </c>
      <c r="S252">
        <v>5.5492159926561499E-5</v>
      </c>
      <c r="T252">
        <v>9.5125622035969068E-2</v>
      </c>
      <c r="U252">
        <v>7.5886279589344871E-3</v>
      </c>
      <c r="V252">
        <v>1.2040817708871778</v>
      </c>
      <c r="W252">
        <v>0.12509517797181649</v>
      </c>
      <c r="X252">
        <v>0.22140032590580899</v>
      </c>
      <c r="Y252">
        <v>9.4871861001844708E-4</v>
      </c>
      <c r="Z252">
        <v>1.1469885877369639</v>
      </c>
    </row>
    <row r="253" spans="1:26" x14ac:dyDescent="0.2">
      <c r="A253" s="13">
        <v>10815</v>
      </c>
      <c r="B253" s="13" t="s">
        <v>79</v>
      </c>
      <c r="C253" s="13" t="s">
        <v>72</v>
      </c>
      <c r="D253" s="14">
        <v>44358</v>
      </c>
      <c r="E253" s="15"/>
      <c r="F253" s="16">
        <v>1.10995</v>
      </c>
      <c r="G253" s="16">
        <v>10.349080000000001</v>
      </c>
      <c r="H253" t="s">
        <v>209</v>
      </c>
      <c r="I253">
        <v>9.9710576415445243E-3</v>
      </c>
      <c r="J253">
        <v>1.4201449840273652</v>
      </c>
      <c r="K253">
        <v>7.1081321889611008E-3</v>
      </c>
      <c r="L253">
        <v>9.469238608319613E-3</v>
      </c>
      <c r="M253">
        <v>2.7320342333808654</v>
      </c>
      <c r="N253">
        <v>1.8005599451563034E-2</v>
      </c>
      <c r="O253">
        <v>2.0825044322859796</v>
      </c>
      <c r="P253">
        <v>1.4923698123674767</v>
      </c>
      <c r="Q253">
        <v>7.5856998692386711E-3</v>
      </c>
      <c r="R253">
        <v>0.20688873302207911</v>
      </c>
      <c r="S253">
        <v>5.5016281207988552E-5</v>
      </c>
      <c r="T253">
        <v>0.20688873302207833</v>
      </c>
      <c r="U253">
        <v>1.3246476966765475</v>
      </c>
      <c r="V253">
        <v>0.35456902904719317</v>
      </c>
      <c r="W253">
        <v>0.20537586281645778</v>
      </c>
      <c r="X253">
        <v>1.3607514715860554</v>
      </c>
      <c r="Y253">
        <v>0.27222713393904396</v>
      </c>
      <c r="Z253">
        <v>1.3450442714810456</v>
      </c>
    </row>
    <row r="254" spans="1:26" x14ac:dyDescent="0.2">
      <c r="A254" s="17">
        <v>11144</v>
      </c>
      <c r="B254" s="17" t="s">
        <v>378</v>
      </c>
      <c r="C254" s="17" t="s">
        <v>129</v>
      </c>
      <c r="D254" s="73">
        <v>44358</v>
      </c>
      <c r="E254" s="74">
        <v>11.5</v>
      </c>
      <c r="F254" s="17">
        <v>0.11265</v>
      </c>
      <c r="G254" s="75">
        <v>9.6490000000001075E-2</v>
      </c>
      <c r="H254" t="s">
        <v>383</v>
      </c>
      <c r="I254">
        <v>9.9901653974530207E-3</v>
      </c>
      <c r="J254">
        <v>0.3964418545266124</v>
      </c>
      <c r="K254">
        <v>7.1035282620128728E-3</v>
      </c>
      <c r="L254">
        <v>6.3288380054994861E-3</v>
      </c>
      <c r="M254">
        <v>2.4536346476333453</v>
      </c>
      <c r="N254">
        <v>6.0337431230335888E-3</v>
      </c>
      <c r="O254">
        <v>1.8831560498377475</v>
      </c>
      <c r="P254">
        <v>0.42316648352033315</v>
      </c>
      <c r="Q254">
        <v>7.6559292903174139E-3</v>
      </c>
      <c r="R254">
        <v>0.10318236589848463</v>
      </c>
      <c r="S254">
        <v>5.5525629276821414E-5</v>
      </c>
      <c r="T254">
        <v>0.10318236589848408</v>
      </c>
      <c r="U254">
        <v>1.7515271137361756E-2</v>
      </c>
      <c r="V254">
        <v>1.0779054266955521</v>
      </c>
      <c r="W254">
        <v>3.5071410063284422E-3</v>
      </c>
      <c r="X254">
        <v>0.27392129591782938</v>
      </c>
      <c r="Y254">
        <v>6.158657051220565E-5</v>
      </c>
      <c r="Z254">
        <v>1.1629952014976317</v>
      </c>
    </row>
    <row r="255" spans="1:26" x14ac:dyDescent="0.2">
      <c r="A255" s="13">
        <v>10815</v>
      </c>
      <c r="B255" s="13" t="s">
        <v>79</v>
      </c>
      <c r="C255" s="13" t="s">
        <v>72</v>
      </c>
      <c r="D255" s="14">
        <v>44358</v>
      </c>
      <c r="E255" s="15"/>
      <c r="F255" s="16">
        <v>1.10995</v>
      </c>
      <c r="G255" s="16">
        <v>10.349080000000001</v>
      </c>
      <c r="H255" t="s">
        <v>211</v>
      </c>
      <c r="I255">
        <v>9.8926087933011667E-3</v>
      </c>
      <c r="J255">
        <v>1.1871995448181329</v>
      </c>
      <c r="K255">
        <v>7.1062489214018081E-3</v>
      </c>
      <c r="L255">
        <v>9.4766028415361678E-3</v>
      </c>
      <c r="M255">
        <v>2.7325223739993838</v>
      </c>
      <c r="N255">
        <v>1.4030493387829133E-2</v>
      </c>
      <c r="O255">
        <v>2.0830455407762956</v>
      </c>
      <c r="P255">
        <v>1.2588598517340681</v>
      </c>
      <c r="Q255">
        <v>7.5631858060748128E-3</v>
      </c>
      <c r="R255">
        <v>0.2448043238325584</v>
      </c>
      <c r="S255">
        <v>5.485299501798515E-5</v>
      </c>
      <c r="T255">
        <v>0.24480432383255879</v>
      </c>
      <c r="U255">
        <v>1.3247237684298465</v>
      </c>
      <c r="V255">
        <v>0.30987535196031291</v>
      </c>
      <c r="W255">
        <v>0.20725403851902113</v>
      </c>
      <c r="X255">
        <v>0.73549226603008255</v>
      </c>
      <c r="Y255">
        <v>0.27433663179465023</v>
      </c>
      <c r="Z255">
        <v>0.65130953399084135</v>
      </c>
    </row>
    <row r="256" spans="1:26" x14ac:dyDescent="0.2">
      <c r="A256" s="17">
        <v>11145</v>
      </c>
      <c r="B256" s="17" t="s">
        <v>379</v>
      </c>
      <c r="C256" s="17" t="s">
        <v>129</v>
      </c>
      <c r="D256" s="73">
        <v>44358</v>
      </c>
      <c r="E256" s="74">
        <v>13</v>
      </c>
      <c r="F256" s="17">
        <v>8.4349999999999994E-2</v>
      </c>
      <c r="G256" s="75">
        <v>0.10292000000000101</v>
      </c>
      <c r="H256" t="s">
        <v>384</v>
      </c>
      <c r="I256">
        <v>1.0025543496295374E-2</v>
      </c>
      <c r="J256">
        <v>0.3950493806267335</v>
      </c>
      <c r="K256">
        <v>7.1013241529825693E-3</v>
      </c>
      <c r="L256">
        <v>5.1334460128819627E-3</v>
      </c>
      <c r="M256">
        <v>1.8320788625253974</v>
      </c>
      <c r="N256">
        <v>8.0845479788517124E-3</v>
      </c>
      <c r="O256">
        <v>1.4013397510312893</v>
      </c>
      <c r="P256">
        <v>0.44809870055686513</v>
      </c>
      <c r="Q256">
        <v>7.6586446605783325E-3</v>
      </c>
      <c r="R256">
        <v>0.14728458237193912</v>
      </c>
      <c r="S256">
        <v>5.554532285505859E-5</v>
      </c>
      <c r="T256">
        <v>0.14728458237193942</v>
      </c>
      <c r="U256">
        <v>8.1139193009010183E-3</v>
      </c>
      <c r="V256">
        <v>1.368606439212722</v>
      </c>
      <c r="W256">
        <v>2.0755763803125778E-2</v>
      </c>
      <c r="X256">
        <v>0.24512390479884483</v>
      </c>
      <c r="Y256">
        <v>1.683531122596513E-4</v>
      </c>
      <c r="Z256">
        <v>1.3706294750173447</v>
      </c>
    </row>
    <row r="257" spans="1:26" x14ac:dyDescent="0.2">
      <c r="A257" s="13">
        <v>10815</v>
      </c>
      <c r="B257" s="13" t="s">
        <v>79</v>
      </c>
      <c r="C257" s="13" t="s">
        <v>72</v>
      </c>
      <c r="D257" s="14">
        <v>44358</v>
      </c>
      <c r="E257" s="15"/>
      <c r="F257" s="16">
        <v>1.10995</v>
      </c>
      <c r="G257" s="16">
        <v>10.349080000000001</v>
      </c>
      <c r="H257" t="s">
        <v>211</v>
      </c>
      <c r="I257">
        <v>9.8926087933011667E-3</v>
      </c>
      <c r="J257">
        <v>1.1871995448181329</v>
      </c>
      <c r="K257">
        <v>7.1062489214018081E-3</v>
      </c>
      <c r="L257">
        <v>9.4766028415361678E-3</v>
      </c>
      <c r="M257">
        <v>2.7325223739993838</v>
      </c>
      <c r="N257">
        <v>1.4030493387829133E-2</v>
      </c>
      <c r="O257">
        <v>2.0830455407762956</v>
      </c>
      <c r="P257">
        <v>1.2588598517340681</v>
      </c>
      <c r="Q257">
        <v>7.5631858060748128E-3</v>
      </c>
      <c r="R257">
        <v>0.2448043238325584</v>
      </c>
      <c r="S257">
        <v>5.485299501798515E-5</v>
      </c>
      <c r="T257">
        <v>0.24480432383255879</v>
      </c>
      <c r="U257">
        <v>1.3247237684298465</v>
      </c>
      <c r="V257">
        <v>0.30987535196031291</v>
      </c>
      <c r="W257">
        <v>0.20725403851902113</v>
      </c>
      <c r="X257">
        <v>0.73549226603008255</v>
      </c>
      <c r="Y257">
        <v>0.27433663179465023</v>
      </c>
      <c r="Z257">
        <v>0.65130953399084135</v>
      </c>
    </row>
    <row r="258" spans="1:26" x14ac:dyDescent="0.2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">
      <c r="A259" s="13">
        <v>10815</v>
      </c>
      <c r="B259" s="13" t="s">
        <v>79</v>
      </c>
      <c r="C259" s="13" t="s">
        <v>72</v>
      </c>
      <c r="D259" s="14">
        <v>44361</v>
      </c>
      <c r="E259" s="15"/>
      <c r="F259" s="16">
        <v>1.10995</v>
      </c>
      <c r="G259" s="16">
        <v>10.349080000000001</v>
      </c>
      <c r="H259" t="s">
        <v>196</v>
      </c>
      <c r="I259">
        <v>9.9106614398090341E-3</v>
      </c>
      <c r="J259">
        <v>0.99284235181145086</v>
      </c>
      <c r="K259">
        <v>7.1252212692662614E-3</v>
      </c>
      <c r="L259">
        <v>9.6648904444414929E-3</v>
      </c>
      <c r="M259">
        <v>2.7316450780471198</v>
      </c>
      <c r="N259">
        <v>1.2844597771929117E-2</v>
      </c>
      <c r="O259">
        <v>2.0938701341522576</v>
      </c>
      <c r="P259">
        <v>1.058973176750043</v>
      </c>
      <c r="Q259">
        <v>7.5608916159731841E-3</v>
      </c>
      <c r="R259">
        <v>0.23421664357276706</v>
      </c>
      <c r="S259">
        <v>5.4836356103982302E-5</v>
      </c>
      <c r="T259">
        <v>0.23421664357276675</v>
      </c>
      <c r="U259">
        <v>1.3245506125591742</v>
      </c>
      <c r="V259">
        <v>0.42774904847674539</v>
      </c>
      <c r="W259">
        <v>0.20249803090813245</v>
      </c>
      <c r="X259">
        <v>0.73275137929429213</v>
      </c>
      <c r="Y259">
        <v>0.26728729613858698</v>
      </c>
      <c r="Z259">
        <v>0.56163530556183827</v>
      </c>
    </row>
    <row r="260" spans="1:26" x14ac:dyDescent="0.2">
      <c r="A260" s="17">
        <v>11146</v>
      </c>
      <c r="B260" s="17" t="s">
        <v>385</v>
      </c>
      <c r="C260" s="17" t="s">
        <v>129</v>
      </c>
      <c r="D260" s="73">
        <v>44361</v>
      </c>
      <c r="E260" s="74">
        <v>15</v>
      </c>
      <c r="F260" s="17">
        <v>0.10228</v>
      </c>
      <c r="G260" s="75">
        <v>9.7770000000000579E-2</v>
      </c>
      <c r="H260" t="s">
        <v>390</v>
      </c>
      <c r="I260">
        <v>1.00291524349543E-2</v>
      </c>
      <c r="J260">
        <v>0.30998067475747559</v>
      </c>
      <c r="K260">
        <v>7.1174561000198746E-3</v>
      </c>
      <c r="L260">
        <v>5.8974351020993953E-3</v>
      </c>
      <c r="M260">
        <v>2.6555498928707952</v>
      </c>
      <c r="N260">
        <v>5.8049258980919869E-3</v>
      </c>
      <c r="O260">
        <v>2.0252858097771154</v>
      </c>
      <c r="P260">
        <v>0.30260045335720676</v>
      </c>
      <c r="Q260">
        <v>7.6497536994458801E-3</v>
      </c>
      <c r="R260">
        <v>8.0046625435290036E-2</v>
      </c>
      <c r="S260">
        <v>5.5480839995691084E-5</v>
      </c>
      <c r="T260">
        <v>8.0046625435290578E-2</v>
      </c>
      <c r="U260">
        <v>6.6520649959036338E-2</v>
      </c>
      <c r="V260">
        <v>0.4664276867683218</v>
      </c>
      <c r="W260">
        <v>6.6179451765645833E-4</v>
      </c>
      <c r="X260">
        <v>0.22403300250556044</v>
      </c>
      <c r="Y260">
        <v>4.3894163684538576E-5</v>
      </c>
      <c r="Z260">
        <v>0.34202615528595998</v>
      </c>
    </row>
    <row r="261" spans="1:26" x14ac:dyDescent="0.2">
      <c r="A261" s="13">
        <v>10815</v>
      </c>
      <c r="B261" s="13" t="s">
        <v>79</v>
      </c>
      <c r="C261" s="13" t="s">
        <v>72</v>
      </c>
      <c r="D261" s="14">
        <v>44361</v>
      </c>
      <c r="E261" s="15"/>
      <c r="F261" s="16">
        <v>1.10995</v>
      </c>
      <c r="G261" s="16">
        <v>10.349080000000001</v>
      </c>
      <c r="H261" t="s">
        <v>198</v>
      </c>
      <c r="I261">
        <v>9.9430303435254531E-3</v>
      </c>
      <c r="J261">
        <v>1.210249439254631</v>
      </c>
      <c r="K261">
        <v>7.1165595005174892E-3</v>
      </c>
      <c r="L261">
        <v>8.9966226599019743E-3</v>
      </c>
      <c r="M261">
        <v>2.7319186585856783</v>
      </c>
      <c r="N261">
        <v>1.5886126424477776E-2</v>
      </c>
      <c r="O261">
        <v>2.0776866412113626</v>
      </c>
      <c r="P261">
        <v>1.170871892074473</v>
      </c>
      <c r="Q261">
        <v>7.5760385835479324E-3</v>
      </c>
      <c r="R261">
        <v>0.19325179569407239</v>
      </c>
      <c r="S261">
        <v>5.4946211468932858E-5</v>
      </c>
      <c r="T261">
        <v>0.19325179569407258</v>
      </c>
      <c r="U261">
        <v>1.3287280185122798</v>
      </c>
      <c r="V261">
        <v>0.34307886393062637</v>
      </c>
      <c r="W261">
        <v>0.20855242634854246</v>
      </c>
      <c r="X261">
        <v>0.49112604718416586</v>
      </c>
      <c r="Y261">
        <v>0.27709332868765091</v>
      </c>
      <c r="Z261">
        <v>0.48187705886271082</v>
      </c>
    </row>
    <row r="262" spans="1:26" x14ac:dyDescent="0.2">
      <c r="A262" s="17">
        <v>11147</v>
      </c>
      <c r="B262" s="17" t="s">
        <v>386</v>
      </c>
      <c r="C262" s="17" t="s">
        <v>129</v>
      </c>
      <c r="D262" s="73">
        <v>44361</v>
      </c>
      <c r="E262" s="74">
        <v>16</v>
      </c>
      <c r="F262" s="17">
        <v>0.10088</v>
      </c>
      <c r="G262" s="75">
        <v>0.10099000000000125</v>
      </c>
      <c r="H262" t="s">
        <v>391</v>
      </c>
      <c r="I262">
        <v>1.0018549516769792E-2</v>
      </c>
      <c r="J262">
        <v>0.25455044217858519</v>
      </c>
      <c r="K262">
        <v>7.1131118386653048E-3</v>
      </c>
      <c r="L262">
        <v>7.1427778294043788E-3</v>
      </c>
      <c r="M262">
        <v>2.7377120710599812</v>
      </c>
      <c r="N262">
        <v>5.5935737417840171E-3</v>
      </c>
      <c r="O262">
        <v>2.0880623229346011</v>
      </c>
      <c r="P262">
        <v>0.27698745109340989</v>
      </c>
      <c r="Q262">
        <v>7.6367139496983901E-3</v>
      </c>
      <c r="R262">
        <v>6.7403664961123072E-2</v>
      </c>
      <c r="S262">
        <v>5.538626750385031E-5</v>
      </c>
      <c r="T262">
        <v>6.7403664961122559E-2</v>
      </c>
      <c r="U262">
        <v>1.7232292297756368E-2</v>
      </c>
      <c r="V262">
        <v>0.75153915951665284</v>
      </c>
      <c r="W262">
        <v>6.520685211534193E-3</v>
      </c>
      <c r="X262">
        <v>0.20714106631914636</v>
      </c>
      <c r="Y262">
        <v>1.1252224941828837E-4</v>
      </c>
      <c r="Z262">
        <v>0.73188202259030088</v>
      </c>
    </row>
    <row r="263" spans="1:26" x14ac:dyDescent="0.2">
      <c r="A263" s="13">
        <v>10815</v>
      </c>
      <c r="B263" s="13" t="s">
        <v>79</v>
      </c>
      <c r="C263" s="13" t="s">
        <v>72</v>
      </c>
      <c r="D263" s="14">
        <v>44361</v>
      </c>
      <c r="E263" s="15"/>
      <c r="F263" s="16">
        <v>1.10995</v>
      </c>
      <c r="G263" s="16">
        <v>10.349080000000001</v>
      </c>
      <c r="H263" t="s">
        <v>200</v>
      </c>
      <c r="I263">
        <v>9.8838831950731672E-3</v>
      </c>
      <c r="J263">
        <v>1.0675823562604947</v>
      </c>
      <c r="K263">
        <v>7.1172014965175581E-3</v>
      </c>
      <c r="L263">
        <v>7.5823171514652126E-3</v>
      </c>
      <c r="M263">
        <v>2.7319797365320566</v>
      </c>
      <c r="N263">
        <v>1.5025883937267701E-2</v>
      </c>
      <c r="O263">
        <v>2.1008772378434477</v>
      </c>
      <c r="P263">
        <v>1.0743624584375209</v>
      </c>
      <c r="Q263">
        <v>7.5909577045278837E-3</v>
      </c>
      <c r="R263">
        <v>0.27593169359432484</v>
      </c>
      <c r="S263">
        <v>5.5054414346631399E-5</v>
      </c>
      <c r="T263">
        <v>0.27593169359432501</v>
      </c>
      <c r="U263">
        <v>1.3261753714294302</v>
      </c>
      <c r="V263">
        <v>0.40005735265121944</v>
      </c>
      <c r="W263">
        <v>0.20546362087124681</v>
      </c>
      <c r="X263">
        <v>0.72032906017339993</v>
      </c>
      <c r="Y263">
        <v>0.27352897985434443</v>
      </c>
      <c r="Z263">
        <v>0.57136732003000645</v>
      </c>
    </row>
    <row r="264" spans="1:26" x14ac:dyDescent="0.2">
      <c r="A264" s="17">
        <v>11148</v>
      </c>
      <c r="B264" s="17" t="s">
        <v>387</v>
      </c>
      <c r="C264" s="17" t="s">
        <v>129</v>
      </c>
      <c r="D264" s="73">
        <v>44361</v>
      </c>
      <c r="E264" s="74">
        <v>42</v>
      </c>
      <c r="F264" s="17">
        <v>9.2710000000000001E-2</v>
      </c>
      <c r="G264" s="75">
        <v>0.10152999999999857</v>
      </c>
      <c r="H264" t="s">
        <v>392</v>
      </c>
      <c r="I264">
        <v>1.007322126375264E-2</v>
      </c>
      <c r="J264">
        <v>0.2252376561531004</v>
      </c>
      <c r="K264">
        <v>7.1090603835337746E-3</v>
      </c>
      <c r="L264">
        <v>5.4570915809656105E-3</v>
      </c>
      <c r="M264">
        <v>1.0589221345880671</v>
      </c>
      <c r="N264">
        <v>5.2445145617745353E-3</v>
      </c>
      <c r="O264">
        <v>0.80480916316783679</v>
      </c>
      <c r="P264">
        <v>0.28594038871327665</v>
      </c>
      <c r="Q264">
        <v>7.6483385418836458E-3</v>
      </c>
      <c r="R264">
        <v>0.12581700921267278</v>
      </c>
      <c r="S264">
        <v>5.5470576380238367E-5</v>
      </c>
      <c r="T264">
        <v>0.12581700921267269</v>
      </c>
      <c r="U264">
        <v>1.0655232292941496E-2</v>
      </c>
      <c r="V264">
        <v>0.8490283406233794</v>
      </c>
      <c r="W264">
        <v>1.4305721324851417E-2</v>
      </c>
      <c r="X264">
        <v>0.18654367765809143</v>
      </c>
      <c r="Y264">
        <v>1.5252881430048934E-4</v>
      </c>
      <c r="Z264">
        <v>0.80246613267929545</v>
      </c>
    </row>
    <row r="265" spans="1:26" x14ac:dyDescent="0.2">
      <c r="A265" s="13">
        <v>10815</v>
      </c>
      <c r="B265" s="13" t="s">
        <v>79</v>
      </c>
      <c r="C265" s="13" t="s">
        <v>72</v>
      </c>
      <c r="D265" s="14">
        <v>44361</v>
      </c>
      <c r="E265" s="15"/>
      <c r="F265" s="16">
        <v>1.10995</v>
      </c>
      <c r="G265" s="16">
        <v>10.349080000000001</v>
      </c>
      <c r="H265" t="s">
        <v>209</v>
      </c>
      <c r="I265">
        <v>9.9885639155091396E-3</v>
      </c>
      <c r="J265">
        <v>0.8906897518506407</v>
      </c>
      <c r="K265">
        <v>7.1129544379725136E-3</v>
      </c>
      <c r="L265">
        <v>8.2686901907436817E-3</v>
      </c>
      <c r="M265">
        <v>2.7324920164252062</v>
      </c>
      <c r="N265">
        <v>1.157837764541397E-2</v>
      </c>
      <c r="O265">
        <v>2.0776377845899501</v>
      </c>
      <c r="P265">
        <v>0.86630789665047803</v>
      </c>
      <c r="Q265">
        <v>7.5921669294613196E-3</v>
      </c>
      <c r="R265">
        <v>0.23929468126595294</v>
      </c>
      <c r="S265">
        <v>5.506318440873884E-5</v>
      </c>
      <c r="T265">
        <v>0.23929468126595374</v>
      </c>
      <c r="U265">
        <v>1.3244070591663739</v>
      </c>
      <c r="V265">
        <v>0.29173355573837934</v>
      </c>
      <c r="W265">
        <v>0.20690055551538905</v>
      </c>
      <c r="X265">
        <v>0.6117753498354509</v>
      </c>
      <c r="Y265">
        <v>0.27318558135085241</v>
      </c>
      <c r="Z265">
        <v>0.57033019683264607</v>
      </c>
    </row>
    <row r="266" spans="1:26" x14ac:dyDescent="0.2">
      <c r="A266" s="17">
        <v>11149</v>
      </c>
      <c r="B266" s="17" t="s">
        <v>388</v>
      </c>
      <c r="C266" s="17" t="s">
        <v>129</v>
      </c>
      <c r="D266" s="73">
        <v>44361</v>
      </c>
      <c r="E266" s="74">
        <v>43.5</v>
      </c>
      <c r="F266" s="17">
        <v>8.5029999999999994E-2</v>
      </c>
      <c r="G266" s="75">
        <v>0.10426000000000002</v>
      </c>
      <c r="H266" t="s">
        <v>393</v>
      </c>
      <c r="I266">
        <v>1.0055132020227902E-2</v>
      </c>
      <c r="J266">
        <v>0.26610571457850918</v>
      </c>
      <c r="K266">
        <v>7.109674619006196E-3</v>
      </c>
      <c r="L266">
        <v>6.2122356766337828E-3</v>
      </c>
      <c r="M266">
        <v>1.0107396193835883</v>
      </c>
      <c r="N266">
        <v>5.9401270207202709E-3</v>
      </c>
      <c r="O266">
        <v>0.76867866100932014</v>
      </c>
      <c r="P266">
        <v>0.28274986883293296</v>
      </c>
      <c r="Q266">
        <v>7.6443131649397639E-3</v>
      </c>
      <c r="R266">
        <v>0.12678525914301705</v>
      </c>
      <c r="S266">
        <v>5.5441381807063775E-5</v>
      </c>
      <c r="T266">
        <v>0.12678525914301741</v>
      </c>
      <c r="U266">
        <v>7.2317662442464761E-3</v>
      </c>
      <c r="V266">
        <v>0.94989065053598509</v>
      </c>
      <c r="W266">
        <v>4.7957089920457663E-2</v>
      </c>
      <c r="X266">
        <v>0.25730306735057584</v>
      </c>
      <c r="Y266">
        <v>3.4582389073547197E-4</v>
      </c>
      <c r="Z266">
        <v>0.90570495726418199</v>
      </c>
    </row>
    <row r="267" spans="1:26" x14ac:dyDescent="0.2">
      <c r="A267" s="13">
        <v>10815</v>
      </c>
      <c r="B267" s="13" t="s">
        <v>79</v>
      </c>
      <c r="C267" s="13" t="s">
        <v>72</v>
      </c>
      <c r="D267" s="14">
        <v>44361</v>
      </c>
      <c r="E267" s="15"/>
      <c r="F267" s="16">
        <v>1.10995</v>
      </c>
      <c r="G267" s="16">
        <v>10.349080000000001</v>
      </c>
      <c r="H267" t="s">
        <v>211</v>
      </c>
      <c r="I267">
        <v>9.8575238215172639E-3</v>
      </c>
      <c r="J267">
        <v>1.1020490567849781</v>
      </c>
      <c r="K267">
        <v>7.1125728040064874E-3</v>
      </c>
      <c r="L267">
        <v>9.4517359685754448E-3</v>
      </c>
      <c r="M267">
        <v>2.7329054799040393</v>
      </c>
      <c r="N267">
        <v>1.8393099606052413E-2</v>
      </c>
      <c r="O267">
        <v>2.1040358877315155</v>
      </c>
      <c r="P267">
        <v>1.1130694810308326</v>
      </c>
      <c r="Q267">
        <v>7.5762484232835513E-3</v>
      </c>
      <c r="R267">
        <v>0.21143938049328118</v>
      </c>
      <c r="S267">
        <v>5.4947733359081742E-5</v>
      </c>
      <c r="T267">
        <v>0.21143938049328148</v>
      </c>
      <c r="U267">
        <v>1.3290058912719358</v>
      </c>
      <c r="V267">
        <v>0.3546538461041186</v>
      </c>
      <c r="W267">
        <v>0.20544979206313713</v>
      </c>
      <c r="X267">
        <v>0.55461725115206817</v>
      </c>
      <c r="Y267">
        <v>0.27408026531464302</v>
      </c>
      <c r="Z267">
        <v>0.51450887665776679</v>
      </c>
    </row>
    <row r="268" spans="1:26" x14ac:dyDescent="0.2">
      <c r="A268" s="17">
        <v>11150</v>
      </c>
      <c r="B268" s="17" t="s">
        <v>389</v>
      </c>
      <c r="C268" s="17" t="s">
        <v>129</v>
      </c>
      <c r="D268" s="73">
        <v>44361</v>
      </c>
      <c r="E268" s="74">
        <v>44.5</v>
      </c>
      <c r="F268" s="17">
        <v>0.10774</v>
      </c>
      <c r="G268" s="75">
        <v>0.10309999999999953</v>
      </c>
      <c r="H268" t="s">
        <v>394</v>
      </c>
      <c r="I268">
        <v>1.0051166007803989E-2</v>
      </c>
      <c r="J268">
        <v>0.29049818949651202</v>
      </c>
      <c r="K268">
        <v>7.1060741306750762E-3</v>
      </c>
      <c r="L268">
        <v>4.5254613437069758E-3</v>
      </c>
      <c r="M268">
        <v>1.1736841788437864</v>
      </c>
      <c r="N268">
        <v>6.4213667575035594E-3</v>
      </c>
      <c r="O268">
        <v>0.89157635232572463</v>
      </c>
      <c r="P268">
        <v>0.3315252696221706</v>
      </c>
      <c r="Q268">
        <v>7.6268473908866225E-3</v>
      </c>
      <c r="R268">
        <v>0.1380374030632999</v>
      </c>
      <c r="S268">
        <v>5.5314708994615783E-5</v>
      </c>
      <c r="T268">
        <v>0.13803740306330037</v>
      </c>
      <c r="U268">
        <v>7.7668577055103405E-3</v>
      </c>
      <c r="V268">
        <v>0.84866760169793609</v>
      </c>
      <c r="W268">
        <v>0.11296075434883746</v>
      </c>
      <c r="X268">
        <v>0.22638435068172719</v>
      </c>
      <c r="Y268">
        <v>8.748096950903549E-4</v>
      </c>
      <c r="Z268">
        <v>0.76511451809311115</v>
      </c>
    </row>
    <row r="269" spans="1:26" x14ac:dyDescent="0.2">
      <c r="A269" s="13">
        <v>10815</v>
      </c>
      <c r="B269" s="13" t="s">
        <v>79</v>
      </c>
      <c r="C269" s="13" t="s">
        <v>72</v>
      </c>
      <c r="D269" s="14">
        <v>44361</v>
      </c>
      <c r="E269" s="15"/>
      <c r="F269" s="16">
        <v>1.10995</v>
      </c>
      <c r="G269" s="16">
        <v>10.349080000000001</v>
      </c>
      <c r="H269" t="s">
        <v>211</v>
      </c>
      <c r="I269">
        <v>9.8575238215172639E-3</v>
      </c>
      <c r="J269">
        <v>1.1020490567849781</v>
      </c>
      <c r="K269">
        <v>7.1125728040064874E-3</v>
      </c>
      <c r="L269">
        <v>9.4517359685754448E-3</v>
      </c>
      <c r="M269">
        <v>2.7329054799040393</v>
      </c>
      <c r="N269">
        <v>1.8393099606052413E-2</v>
      </c>
      <c r="O269">
        <v>2.1040358877315155</v>
      </c>
      <c r="P269">
        <v>1.1130694810308326</v>
      </c>
      <c r="Q269">
        <v>7.5762484232835513E-3</v>
      </c>
      <c r="R269">
        <v>0.21143938049328118</v>
      </c>
      <c r="S269">
        <v>5.4947733359081742E-5</v>
      </c>
      <c r="T269">
        <v>0.21143938049328148</v>
      </c>
      <c r="U269">
        <v>1.3290058912719358</v>
      </c>
      <c r="V269">
        <v>0.3546538461041186</v>
      </c>
      <c r="W269">
        <v>0.20544979206313713</v>
      </c>
      <c r="X269">
        <v>0.55461725115206817</v>
      </c>
      <c r="Y269">
        <v>0.27408026531464302</v>
      </c>
      <c r="Z269">
        <v>0.51450887665776679</v>
      </c>
    </row>
    <row r="271" spans="1:26" x14ac:dyDescent="0.2">
      <c r="A271" s="13">
        <v>10815</v>
      </c>
      <c r="B271" s="13" t="s">
        <v>79</v>
      </c>
      <c r="C271" s="13" t="s">
        <v>72</v>
      </c>
      <c r="D271" s="14">
        <v>44362</v>
      </c>
      <c r="E271" s="15"/>
      <c r="F271" s="16">
        <v>1.10995</v>
      </c>
      <c r="G271" s="16">
        <v>10.349080000000001</v>
      </c>
      <c r="H271" t="s">
        <v>196</v>
      </c>
      <c r="I271">
        <v>9.9121554482598934E-3</v>
      </c>
      <c r="J271">
        <v>1.1097273096065725</v>
      </c>
      <c r="K271">
        <v>7.1225364127500525E-3</v>
      </c>
      <c r="L271">
        <v>1.2163357987432096E-2</v>
      </c>
      <c r="M271">
        <v>2.7327436270729448</v>
      </c>
      <c r="N271">
        <v>1.7373504417901749E-2</v>
      </c>
      <c r="O271">
        <v>2.0931130778717724</v>
      </c>
      <c r="P271">
        <v>1.0162233019740969</v>
      </c>
      <c r="Q271">
        <v>7.564779092487442E-3</v>
      </c>
      <c r="R271">
        <v>0.24516753456161147</v>
      </c>
      <c r="S271">
        <v>5.486455053624098E-5</v>
      </c>
      <c r="T271">
        <v>0.24516753456161011</v>
      </c>
      <c r="U271">
        <v>1.3198252036692264</v>
      </c>
      <c r="V271">
        <v>0.43074944631963963</v>
      </c>
      <c r="W271">
        <v>0.20497184710285923</v>
      </c>
      <c r="X271">
        <v>0.67354307736322094</v>
      </c>
      <c r="Y271">
        <v>0.27078787961854239</v>
      </c>
      <c r="Z271">
        <v>0.53363508962870121</v>
      </c>
    </row>
    <row r="272" spans="1:26" x14ac:dyDescent="0.2">
      <c r="A272" s="17">
        <v>11152</v>
      </c>
      <c r="B272" s="17" t="s">
        <v>395</v>
      </c>
      <c r="C272" s="17" t="s">
        <v>129</v>
      </c>
      <c r="D272" s="73">
        <v>44362</v>
      </c>
      <c r="E272" s="74">
        <v>19.5</v>
      </c>
      <c r="F272" s="17">
        <v>0.12614</v>
      </c>
      <c r="G272" s="75">
        <v>0.10463000000000022</v>
      </c>
      <c r="H272" t="s">
        <v>405</v>
      </c>
      <c r="I272">
        <v>9.997121904024367E-3</v>
      </c>
      <c r="J272">
        <v>0.33376587157033721</v>
      </c>
      <c r="K272">
        <v>7.1103353899121605E-3</v>
      </c>
      <c r="L272">
        <v>1.8485158104036593E-2</v>
      </c>
      <c r="M272">
        <v>3.6892895893125619</v>
      </c>
      <c r="N272">
        <v>6.1855312407692537E-3</v>
      </c>
      <c r="O272">
        <v>2.8187796345650136</v>
      </c>
      <c r="P272">
        <v>0.34591745805508162</v>
      </c>
      <c r="Q272">
        <v>7.6397826630857707E-3</v>
      </c>
      <c r="R272">
        <v>8.0486983314680169E-2</v>
      </c>
      <c r="S272">
        <v>5.5408523749361923E-5</v>
      </c>
      <c r="T272">
        <v>8.0486983314678989E-2</v>
      </c>
      <c r="U272">
        <v>5.6735111363289924E-2</v>
      </c>
      <c r="V272">
        <v>0.58655791027709736</v>
      </c>
      <c r="W272">
        <v>9.7450498908394382E-4</v>
      </c>
      <c r="X272">
        <v>0.29278038515493959</v>
      </c>
      <c r="Y272">
        <v>5.5235901329450341E-5</v>
      </c>
      <c r="Z272">
        <v>0.54049062188933994</v>
      </c>
    </row>
    <row r="273" spans="1:26" x14ac:dyDescent="0.2">
      <c r="A273" s="13">
        <v>10815</v>
      </c>
      <c r="B273" s="13" t="s">
        <v>79</v>
      </c>
      <c r="C273" s="13" t="s">
        <v>72</v>
      </c>
      <c r="D273" s="14">
        <v>44362</v>
      </c>
      <c r="E273" s="15"/>
      <c r="F273" s="16">
        <v>1.10995</v>
      </c>
      <c r="G273" s="16">
        <v>10.349080000000001</v>
      </c>
      <c r="H273" t="s">
        <v>198</v>
      </c>
      <c r="I273">
        <v>9.8233609160536615E-3</v>
      </c>
      <c r="J273">
        <v>1.2309640138509348</v>
      </c>
      <c r="K273">
        <v>7.112032234062135E-3</v>
      </c>
      <c r="L273">
        <v>2.6067323856716097E-2</v>
      </c>
      <c r="M273">
        <v>2.7324103751352045</v>
      </c>
      <c r="N273">
        <v>1.4227936324191517E-2</v>
      </c>
      <c r="O273">
        <v>2.1104041674738463</v>
      </c>
      <c r="P273">
        <v>1.3447237432531718</v>
      </c>
      <c r="Q273">
        <v>7.5848956057964359E-3</v>
      </c>
      <c r="R273">
        <v>0.25100319330153759</v>
      </c>
      <c r="S273">
        <v>5.5010448182102199E-5</v>
      </c>
      <c r="T273">
        <v>0.25100319330153664</v>
      </c>
      <c r="U273">
        <v>1.3247974730105052</v>
      </c>
      <c r="V273">
        <v>0.47474365037379262</v>
      </c>
      <c r="W273">
        <v>0.20630896996841869</v>
      </c>
      <c r="X273">
        <v>1.0892415663414019</v>
      </c>
      <c r="Y273">
        <v>0.27287852158578563</v>
      </c>
      <c r="Z273">
        <v>0.90903394113758129</v>
      </c>
    </row>
    <row r="274" spans="1:26" x14ac:dyDescent="0.2">
      <c r="A274" s="17">
        <v>11153</v>
      </c>
      <c r="B274" s="17" t="s">
        <v>396</v>
      </c>
      <c r="C274" s="17" t="s">
        <v>129</v>
      </c>
      <c r="D274" s="73">
        <v>44362</v>
      </c>
      <c r="E274" s="74">
        <v>20.5</v>
      </c>
      <c r="F274" s="17">
        <v>9.5100000000000004E-2</v>
      </c>
      <c r="G274" s="75">
        <v>0.10416999999999987</v>
      </c>
      <c r="H274" t="s">
        <v>406</v>
      </c>
      <c r="I274">
        <v>1.0048163520384042E-2</v>
      </c>
      <c r="J274">
        <v>0.27305268895436446</v>
      </c>
      <c r="K274">
        <v>7.1152033173285676E-3</v>
      </c>
      <c r="L274">
        <v>5.4587600263190476E-3</v>
      </c>
      <c r="M274">
        <v>2.2511752047532343</v>
      </c>
      <c r="N274">
        <v>4.6656614038090962E-3</v>
      </c>
      <c r="O274">
        <v>1.7116448336116867</v>
      </c>
      <c r="P274">
        <v>0.26458519933496299</v>
      </c>
      <c r="Q274">
        <v>7.6335735932417824E-3</v>
      </c>
      <c r="R274">
        <v>8.011476454734856E-2</v>
      </c>
      <c r="S274">
        <v>5.5363491657601714E-5</v>
      </c>
      <c r="T274">
        <v>8.0114764547348352E-2</v>
      </c>
      <c r="U274">
        <v>1.7175847409640004E-2</v>
      </c>
      <c r="V274">
        <v>0.63798639651926148</v>
      </c>
      <c r="W274">
        <v>5.5717630840246349E-3</v>
      </c>
      <c r="X274">
        <v>0.24511550785421701</v>
      </c>
      <c r="Y274">
        <v>9.5794460993534929E-5</v>
      </c>
      <c r="Z274">
        <v>0.61862252225277548</v>
      </c>
    </row>
    <row r="275" spans="1:26" x14ac:dyDescent="0.2">
      <c r="A275" s="13">
        <v>10815</v>
      </c>
      <c r="B275" s="13" t="s">
        <v>79</v>
      </c>
      <c r="C275" s="13" t="s">
        <v>72</v>
      </c>
      <c r="D275" s="14">
        <v>44362</v>
      </c>
      <c r="E275" s="15"/>
      <c r="F275" s="16">
        <v>1.10995</v>
      </c>
      <c r="G275" s="16">
        <v>10.349080000000001</v>
      </c>
      <c r="H275" t="s">
        <v>200</v>
      </c>
      <c r="I275">
        <v>1.000126038820575E-2</v>
      </c>
      <c r="J275">
        <v>0.69998485983769865</v>
      </c>
      <c r="K275">
        <v>7.1231711308007341E-3</v>
      </c>
      <c r="L275">
        <v>5.7856470250343128E-3</v>
      </c>
      <c r="M275">
        <v>2.7325600726613328</v>
      </c>
      <c r="N275">
        <v>1.7893826716102974E-2</v>
      </c>
      <c r="O275">
        <v>2.0642645867568361</v>
      </c>
      <c r="P275">
        <v>0.70383830547848925</v>
      </c>
      <c r="Q275">
        <v>7.5617310400770332E-3</v>
      </c>
      <c r="R275">
        <v>0.20273291190720499</v>
      </c>
      <c r="S275">
        <v>5.484244413716925E-5</v>
      </c>
      <c r="T275">
        <v>0.20273291190720527</v>
      </c>
      <c r="U275">
        <v>1.3197384269329642</v>
      </c>
      <c r="V275">
        <v>0.35491760433625724</v>
      </c>
      <c r="W275">
        <v>0.20489069609350108</v>
      </c>
      <c r="X275">
        <v>0.58760761972726805</v>
      </c>
      <c r="Y275">
        <v>0.27032008546648412</v>
      </c>
      <c r="Z275">
        <v>0.53597070861622542</v>
      </c>
    </row>
    <row r="276" spans="1:26" x14ac:dyDescent="0.2">
      <c r="A276" s="17">
        <v>11154</v>
      </c>
      <c r="B276" s="17" t="s">
        <v>397</v>
      </c>
      <c r="C276" s="17" t="s">
        <v>129</v>
      </c>
      <c r="D276" s="73">
        <v>44362</v>
      </c>
      <c r="E276" s="74">
        <v>21.5</v>
      </c>
      <c r="F276" s="17">
        <v>0.10145999999999999</v>
      </c>
      <c r="G276" s="75">
        <v>0.10118000000000116</v>
      </c>
      <c r="H276" t="s">
        <v>407</v>
      </c>
      <c r="I276">
        <v>1.0038233739075395E-2</v>
      </c>
      <c r="J276">
        <v>0.31196572778187043</v>
      </c>
      <c r="K276">
        <v>7.1174517491198975E-3</v>
      </c>
      <c r="L276">
        <v>4.9886043836022236E-3</v>
      </c>
      <c r="M276">
        <v>1.8592397228854949</v>
      </c>
      <c r="N276">
        <v>5.6876863211450766E-3</v>
      </c>
      <c r="O276">
        <v>1.4138152875606078</v>
      </c>
      <c r="P276">
        <v>0.30085372771170232</v>
      </c>
      <c r="Q276">
        <v>7.6325455063250098E-3</v>
      </c>
      <c r="R276">
        <v>7.6160599051666944E-2</v>
      </c>
      <c r="S276">
        <v>5.5356035322669618E-5</v>
      </c>
      <c r="T276">
        <v>7.6160599051667693E-2</v>
      </c>
      <c r="U276">
        <v>2.9052469381478256E-2</v>
      </c>
      <c r="V276">
        <v>0.51106351864155763</v>
      </c>
      <c r="W276">
        <v>1.9470567102748456E-3</v>
      </c>
      <c r="X276">
        <v>0.23920221167367653</v>
      </c>
      <c r="Y276">
        <v>5.6447062994798495E-5</v>
      </c>
      <c r="Z276">
        <v>0.50469263613820603</v>
      </c>
    </row>
    <row r="277" spans="1:26" x14ac:dyDescent="0.2">
      <c r="A277" s="13">
        <v>10815</v>
      </c>
      <c r="B277" s="13" t="s">
        <v>79</v>
      </c>
      <c r="C277" s="13" t="s">
        <v>72</v>
      </c>
      <c r="D277" s="14">
        <v>44362</v>
      </c>
      <c r="E277" s="15"/>
      <c r="F277" s="16">
        <v>1.10995</v>
      </c>
      <c r="G277" s="16">
        <v>10.349080000000001</v>
      </c>
      <c r="H277" t="s">
        <v>209</v>
      </c>
      <c r="I277">
        <v>9.8303385537284529E-3</v>
      </c>
      <c r="J277">
        <v>1.3373900209988927</v>
      </c>
      <c r="K277">
        <v>7.1147038398362604E-3</v>
      </c>
      <c r="L277">
        <v>8.6978546646768028E-3</v>
      </c>
      <c r="M277">
        <v>2.7324543850866925</v>
      </c>
      <c r="N277">
        <v>1.5198565878400667E-2</v>
      </c>
      <c r="O277">
        <v>2.1030065250519239</v>
      </c>
      <c r="P277">
        <v>1.4832354322055441</v>
      </c>
      <c r="Q277">
        <v>7.5918598119248878E-3</v>
      </c>
      <c r="R277">
        <v>0.24472229620936428</v>
      </c>
      <c r="S277">
        <v>5.5060956998606667E-5</v>
      </c>
      <c r="T277">
        <v>0.24472229620936381</v>
      </c>
      <c r="U277">
        <v>1.3229989028941376</v>
      </c>
      <c r="V277">
        <v>0.36607649344247462</v>
      </c>
      <c r="W277">
        <v>0.20799540196750832</v>
      </c>
      <c r="X277">
        <v>0.75638428867763674</v>
      </c>
      <c r="Y277">
        <v>0.27504096330548561</v>
      </c>
      <c r="Z277">
        <v>0.72351666636079315</v>
      </c>
    </row>
    <row r="278" spans="1:26" x14ac:dyDescent="0.2">
      <c r="A278" s="17">
        <v>11155</v>
      </c>
      <c r="B278" s="17" t="s">
        <v>398</v>
      </c>
      <c r="C278" s="17" t="s">
        <v>129</v>
      </c>
      <c r="D278" s="73">
        <v>44362</v>
      </c>
      <c r="E278" s="74">
        <v>23</v>
      </c>
      <c r="F278" s="17">
        <v>9.9659999999999999E-2</v>
      </c>
      <c r="G278" s="75">
        <v>0.103019999999999</v>
      </c>
      <c r="H278" t="s">
        <v>408</v>
      </c>
      <c r="I278">
        <v>1.0027121976949544E-2</v>
      </c>
      <c r="J278">
        <v>0.29774436621184414</v>
      </c>
      <c r="K278">
        <v>7.1177769646963516E-3</v>
      </c>
      <c r="L278">
        <v>5.3248673034862496E-3</v>
      </c>
      <c r="M278">
        <v>1.5648305074771056</v>
      </c>
      <c r="N278">
        <v>4.7023500295607307E-3</v>
      </c>
      <c r="O278">
        <v>1.1937943246827765</v>
      </c>
      <c r="P278">
        <v>0.30228471243460292</v>
      </c>
      <c r="Q278">
        <v>7.6405189859802053E-3</v>
      </c>
      <c r="R278">
        <v>0.10996482001944716</v>
      </c>
      <c r="S278">
        <v>5.5413864027532477E-5</v>
      </c>
      <c r="T278">
        <v>0.1099648200194466</v>
      </c>
      <c r="U278">
        <v>1.3626076831465489E-2</v>
      </c>
      <c r="V278">
        <v>0.80262753868589387</v>
      </c>
      <c r="W278">
        <v>5.0458457930345297E-3</v>
      </c>
      <c r="X278">
        <v>0.24745582738596866</v>
      </c>
      <c r="Y278">
        <v>6.876503458856542E-5</v>
      </c>
      <c r="Z278">
        <v>0.70383217242167539</v>
      </c>
    </row>
    <row r="279" spans="1:26" x14ac:dyDescent="0.2">
      <c r="A279" s="13">
        <v>10815</v>
      </c>
      <c r="B279" s="13" t="s">
        <v>79</v>
      </c>
      <c r="C279" s="13" t="s">
        <v>72</v>
      </c>
      <c r="D279" s="14">
        <v>44362</v>
      </c>
      <c r="E279" s="15"/>
      <c r="F279" s="16">
        <v>1.10995</v>
      </c>
      <c r="G279" s="16">
        <v>10.349080000000001</v>
      </c>
      <c r="H279" t="s">
        <v>211</v>
      </c>
      <c r="I279">
        <v>9.872123991853771E-3</v>
      </c>
      <c r="J279">
        <v>1.1966584045993145</v>
      </c>
      <c r="K279">
        <v>7.1178494738482938E-3</v>
      </c>
      <c r="L279">
        <v>8.0499589821478659E-3</v>
      </c>
      <c r="M279">
        <v>2.7321661158004056</v>
      </c>
      <c r="N279">
        <v>1.5815765522954384E-2</v>
      </c>
      <c r="O279">
        <v>2.0959692346855499</v>
      </c>
      <c r="P279">
        <v>1.2332162463881473</v>
      </c>
      <c r="Q279">
        <v>7.5785239683789788E-3</v>
      </c>
      <c r="R279">
        <v>0.20982510612318192</v>
      </c>
      <c r="S279">
        <v>5.4964237047736669E-5</v>
      </c>
      <c r="T279">
        <v>0.20982510612318228</v>
      </c>
      <c r="U279">
        <v>1.3287938142080811</v>
      </c>
      <c r="V279">
        <v>0.2747370004250374</v>
      </c>
      <c r="W279">
        <v>0.20613842775581373</v>
      </c>
      <c r="X279">
        <v>0.52128073765557703</v>
      </c>
      <c r="Y279">
        <v>0.27346975551044611</v>
      </c>
      <c r="Z279">
        <v>0.52587937002107643</v>
      </c>
    </row>
    <row r="280" spans="1:26" x14ac:dyDescent="0.2">
      <c r="A280" s="17">
        <v>11156</v>
      </c>
      <c r="B280" s="17" t="s">
        <v>399</v>
      </c>
      <c r="C280" s="17" t="s">
        <v>129</v>
      </c>
      <c r="D280" s="73">
        <v>44362</v>
      </c>
      <c r="E280" s="74">
        <v>24.5</v>
      </c>
      <c r="F280" s="17">
        <v>9.5780000000000004E-2</v>
      </c>
      <c r="G280" s="75">
        <v>0.1039399999999997</v>
      </c>
      <c r="H280" t="s">
        <v>409</v>
      </c>
      <c r="I280">
        <v>1.0047494591673886E-2</v>
      </c>
      <c r="J280">
        <v>0.29738880577701682</v>
      </c>
      <c r="K280">
        <v>7.1143882236777587E-3</v>
      </c>
      <c r="L280">
        <v>4.7290390723807854E-3</v>
      </c>
      <c r="M280">
        <v>1.5170265308141724</v>
      </c>
      <c r="N280">
        <v>5.8387310557883694E-3</v>
      </c>
      <c r="O280">
        <v>1.1546139291999977</v>
      </c>
      <c r="P280">
        <v>0.32859939420965401</v>
      </c>
      <c r="Q280">
        <v>7.6393067440667164E-3</v>
      </c>
      <c r="R280">
        <v>0.10629305441106154</v>
      </c>
      <c r="S280">
        <v>5.5405072084382309E-5</v>
      </c>
      <c r="T280">
        <v>0.10629305441106152</v>
      </c>
      <c r="U280">
        <v>2.9254938273069811E-2</v>
      </c>
      <c r="V280">
        <v>0.60384778313534226</v>
      </c>
      <c r="W280">
        <v>2.6056773978182812E-3</v>
      </c>
      <c r="X280">
        <v>0.256818803008031</v>
      </c>
      <c r="Y280">
        <v>7.6177251841833682E-5</v>
      </c>
      <c r="Z280">
        <v>0.55924660693109696</v>
      </c>
    </row>
    <row r="281" spans="1:26" x14ac:dyDescent="0.2">
      <c r="A281" s="13">
        <v>10815</v>
      </c>
      <c r="B281" s="13" t="s">
        <v>79</v>
      </c>
      <c r="C281" s="13" t="s">
        <v>72</v>
      </c>
      <c r="D281" s="14">
        <v>44362</v>
      </c>
      <c r="E281" s="15"/>
      <c r="F281" s="16">
        <v>1.10995</v>
      </c>
      <c r="G281" s="16">
        <v>10.349080000000001</v>
      </c>
      <c r="H281" t="s">
        <v>213</v>
      </c>
      <c r="I281">
        <v>9.9007915646571448E-3</v>
      </c>
      <c r="J281">
        <v>0.87968600179677592</v>
      </c>
      <c r="K281">
        <v>7.113447540373641E-3</v>
      </c>
      <c r="L281">
        <v>8.953355996665668E-3</v>
      </c>
      <c r="M281">
        <v>2.7328040028732263</v>
      </c>
      <c r="N281">
        <v>1.8273460584755822E-2</v>
      </c>
      <c r="O281">
        <v>2.0911978355147269</v>
      </c>
      <c r="P281">
        <v>0.8915356143639761</v>
      </c>
      <c r="Q281">
        <v>7.5779015955835119E-3</v>
      </c>
      <c r="R281">
        <v>0.27094222769322024</v>
      </c>
      <c r="S281">
        <v>5.4959723207574E-5</v>
      </c>
      <c r="T281">
        <v>0.27094222769321974</v>
      </c>
      <c r="U281">
        <v>1.3196716363710181</v>
      </c>
      <c r="V281">
        <v>0.3499698858994672</v>
      </c>
      <c r="W281">
        <v>0.20799255299759115</v>
      </c>
      <c r="X281">
        <v>0.62346261753718979</v>
      </c>
      <c r="Y281">
        <v>0.27470239875136293</v>
      </c>
      <c r="Z281">
        <v>0.50723398315894319</v>
      </c>
    </row>
    <row r="282" spans="1:26" x14ac:dyDescent="0.2">
      <c r="A282" s="17">
        <v>11157</v>
      </c>
      <c r="B282" s="17" t="s">
        <v>400</v>
      </c>
      <c r="C282" s="17" t="s">
        <v>129</v>
      </c>
      <c r="D282" s="73">
        <v>44362</v>
      </c>
      <c r="E282" s="74">
        <v>25.5</v>
      </c>
      <c r="F282" s="17">
        <v>0.10241</v>
      </c>
      <c r="G282" s="75">
        <v>0.10426000000000002</v>
      </c>
      <c r="H282" t="s">
        <v>410</v>
      </c>
      <c r="I282">
        <v>1.0040773548990132E-2</v>
      </c>
      <c r="J282">
        <v>0.29131612847398647</v>
      </c>
      <c r="K282">
        <v>7.1129627502688267E-3</v>
      </c>
      <c r="L282">
        <v>4.5467432664572701E-3</v>
      </c>
      <c r="M282">
        <v>1.3524519206122934</v>
      </c>
      <c r="N282">
        <v>5.1261184876741058E-3</v>
      </c>
      <c r="O282">
        <v>1.0293418227336597</v>
      </c>
      <c r="P282">
        <v>0.33081165439753601</v>
      </c>
      <c r="Q282">
        <v>7.6466237322043518E-3</v>
      </c>
      <c r="R282">
        <v>0.10808101801632215</v>
      </c>
      <c r="S282">
        <v>5.5458139498584616E-5</v>
      </c>
      <c r="T282">
        <v>0.10808101801632208</v>
      </c>
      <c r="U282">
        <v>1.1205485670565316E-2</v>
      </c>
      <c r="V282">
        <v>0.90968661933245576</v>
      </c>
      <c r="W282">
        <v>1.0152416858443208E-2</v>
      </c>
      <c r="X282">
        <v>0.18026919825195373</v>
      </c>
      <c r="Y282">
        <v>1.1360324535713159E-4</v>
      </c>
      <c r="Z282">
        <v>0.89438287421910179</v>
      </c>
    </row>
    <row r="283" spans="1:26" x14ac:dyDescent="0.2">
      <c r="A283" s="13">
        <v>10815</v>
      </c>
      <c r="B283" s="13" t="s">
        <v>79</v>
      </c>
      <c r="C283" s="13" t="s">
        <v>72</v>
      </c>
      <c r="D283" s="14">
        <v>44362</v>
      </c>
      <c r="E283" s="15"/>
      <c r="F283" s="16">
        <v>1.10995</v>
      </c>
      <c r="G283" s="16">
        <v>10.349080000000001</v>
      </c>
      <c r="H283" t="s">
        <v>215</v>
      </c>
      <c r="I283">
        <v>9.7293428723526313E-3</v>
      </c>
      <c r="J283">
        <v>1.272453921939833</v>
      </c>
      <c r="K283">
        <v>7.1088235644922197E-3</v>
      </c>
      <c r="L283">
        <v>8.3853144199060835E-3</v>
      </c>
      <c r="M283">
        <v>2.7318594527052356</v>
      </c>
      <c r="N283">
        <v>1.5925757524002042E-2</v>
      </c>
      <c r="O283">
        <v>2.1327963022156706</v>
      </c>
      <c r="P283">
        <v>1.2199396111332725</v>
      </c>
      <c r="Q283">
        <v>7.596010981797856E-3</v>
      </c>
      <c r="R283">
        <v>0.23893264222286625</v>
      </c>
      <c r="S283">
        <v>5.5091063901464718E-5</v>
      </c>
      <c r="T283">
        <v>0.23893264222286634</v>
      </c>
      <c r="U283">
        <v>1.3290168144745758</v>
      </c>
      <c r="V283">
        <v>0.30127655347703064</v>
      </c>
      <c r="W283">
        <v>0.2075002187699134</v>
      </c>
      <c r="X283">
        <v>0.73492968334961994</v>
      </c>
      <c r="Y283">
        <v>0.27517668453890204</v>
      </c>
      <c r="Z283">
        <v>0.59443300853292869</v>
      </c>
    </row>
    <row r="285" spans="1:26" x14ac:dyDescent="0.2">
      <c r="A285" s="13">
        <v>10815</v>
      </c>
      <c r="B285" s="13" t="s">
        <v>79</v>
      </c>
      <c r="C285" s="13" t="s">
        <v>72</v>
      </c>
      <c r="D285" s="14">
        <v>44363</v>
      </c>
      <c r="E285" s="15"/>
      <c r="F285" s="16">
        <v>1.10995</v>
      </c>
      <c r="G285" s="16">
        <v>10.349080000000001</v>
      </c>
      <c r="H285" t="s">
        <v>196</v>
      </c>
      <c r="I285">
        <v>9.9158285400284558E-3</v>
      </c>
      <c r="J285">
        <v>1.1467402829947442</v>
      </c>
      <c r="K285">
        <v>7.1111218298664843E-3</v>
      </c>
      <c r="L285">
        <v>1.3776380922129308E-2</v>
      </c>
      <c r="M285">
        <v>2.7321558211555228</v>
      </c>
      <c r="N285">
        <v>1.3924291753458109E-2</v>
      </c>
      <c r="O285">
        <v>2.0894970716383923</v>
      </c>
      <c r="P285">
        <v>1.1549481663400833</v>
      </c>
      <c r="Q285">
        <v>7.5845213380157078E-3</v>
      </c>
      <c r="R285">
        <v>0.25638474976375691</v>
      </c>
      <c r="S285">
        <v>5.5007733756033876E-5</v>
      </c>
      <c r="T285">
        <v>0.2563847497637553</v>
      </c>
      <c r="U285">
        <v>1.3173759377652361</v>
      </c>
      <c r="V285">
        <v>0.49084221176637899</v>
      </c>
      <c r="W285">
        <v>0.20697848480374065</v>
      </c>
      <c r="X285">
        <v>0.64279983821471509</v>
      </c>
      <c r="Y285">
        <v>0.27260850299948836</v>
      </c>
      <c r="Z285">
        <v>0.47066427549336554</v>
      </c>
    </row>
    <row r="286" spans="1:26" x14ac:dyDescent="0.2">
      <c r="A286" s="17">
        <v>11158</v>
      </c>
      <c r="B286" s="17" t="s">
        <v>401</v>
      </c>
      <c r="C286" s="17" t="s">
        <v>129</v>
      </c>
      <c r="D286" s="73">
        <v>44363</v>
      </c>
      <c r="E286" s="74">
        <v>29.5</v>
      </c>
      <c r="F286" s="17">
        <v>0.12740000000000001</v>
      </c>
      <c r="G286" s="75">
        <v>0.10353000000000101</v>
      </c>
      <c r="H286" t="s">
        <v>411</v>
      </c>
      <c r="I286">
        <v>1.0028894912639369E-2</v>
      </c>
      <c r="J286">
        <v>0.23010843406254958</v>
      </c>
      <c r="K286">
        <v>7.1205873391004624E-3</v>
      </c>
      <c r="L286">
        <v>1.1916841308481122E-2</v>
      </c>
      <c r="M286">
        <v>1.8841091799930474</v>
      </c>
      <c r="N286">
        <v>4.182264746733875E-3</v>
      </c>
      <c r="O286">
        <v>1.433194995971121</v>
      </c>
      <c r="P286">
        <v>0.23849947276210898</v>
      </c>
      <c r="Q286">
        <v>7.6274876562861154E-3</v>
      </c>
      <c r="R286">
        <v>6.8737492326658337E-2</v>
      </c>
      <c r="S286">
        <v>5.5319352603231183E-5</v>
      </c>
      <c r="T286">
        <v>6.8737492326658045E-2</v>
      </c>
      <c r="U286">
        <v>1.3505973579480255E-2</v>
      </c>
      <c r="V286">
        <v>0.90617183156060122</v>
      </c>
      <c r="W286">
        <v>1.6186583734292537E-2</v>
      </c>
      <c r="X286">
        <v>0.25288217844450678</v>
      </c>
      <c r="Y286">
        <v>2.1818751430245176E-4</v>
      </c>
      <c r="Z286">
        <v>0.90340510342568814</v>
      </c>
    </row>
    <row r="287" spans="1:26" x14ac:dyDescent="0.2">
      <c r="A287" s="13">
        <v>10815</v>
      </c>
      <c r="B287" s="13" t="s">
        <v>79</v>
      </c>
      <c r="C287" s="13" t="s">
        <v>72</v>
      </c>
      <c r="D287" s="14">
        <v>44363</v>
      </c>
      <c r="E287" s="15"/>
      <c r="F287" s="16">
        <v>1.10995</v>
      </c>
      <c r="G287" s="16">
        <v>10.349080000000001</v>
      </c>
      <c r="H287" t="s">
        <v>198</v>
      </c>
      <c r="I287">
        <v>9.8450875999385543E-3</v>
      </c>
      <c r="J287">
        <v>0.79360236584524957</v>
      </c>
      <c r="K287">
        <v>7.1281829806605912E-3</v>
      </c>
      <c r="L287">
        <v>5.7403069882864437E-3</v>
      </c>
      <c r="M287">
        <v>2.7326569547505275</v>
      </c>
      <c r="N287">
        <v>1.2870625225727721E-2</v>
      </c>
      <c r="O287">
        <v>2.0960343417311367</v>
      </c>
      <c r="P287">
        <v>0.83518683280723571</v>
      </c>
      <c r="Q287">
        <v>7.5779300365141043E-3</v>
      </c>
      <c r="R287">
        <v>0.20533860503959772</v>
      </c>
      <c r="S287">
        <v>5.4959929479145818E-5</v>
      </c>
      <c r="T287">
        <v>0.20533860503959897</v>
      </c>
      <c r="U287">
        <v>1.3204325447840159</v>
      </c>
      <c r="V287">
        <v>0.30995995351435557</v>
      </c>
      <c r="W287">
        <v>0.20116454559842462</v>
      </c>
      <c r="X287">
        <v>0.48299208407424771</v>
      </c>
      <c r="Y287">
        <v>0.2658827126075341</v>
      </c>
      <c r="Z287">
        <v>0.38986909674138209</v>
      </c>
    </row>
    <row r="288" spans="1:26" x14ac:dyDescent="0.2">
      <c r="A288" s="17">
        <v>11159</v>
      </c>
      <c r="B288" s="17" t="s">
        <v>402</v>
      </c>
      <c r="C288" s="17" t="s">
        <v>129</v>
      </c>
      <c r="D288" s="73">
        <v>44363</v>
      </c>
      <c r="E288" s="74">
        <v>49</v>
      </c>
      <c r="F288" s="17">
        <v>8.0490000000000006E-2</v>
      </c>
      <c r="G288" s="75">
        <v>0.1014400000000002</v>
      </c>
      <c r="H288" t="s">
        <v>412</v>
      </c>
      <c r="I288">
        <v>1.0023193872915954E-2</v>
      </c>
      <c r="J288">
        <v>0.20492214538276082</v>
      </c>
      <c r="K288">
        <v>7.1228121256954159E-3</v>
      </c>
      <c r="L288">
        <v>6.1375522958160541E-3</v>
      </c>
      <c r="M288">
        <v>1.0556522178782017</v>
      </c>
      <c r="N288">
        <v>5.834032768499353E-3</v>
      </c>
      <c r="O288">
        <v>0.80321221637696127</v>
      </c>
      <c r="P288">
        <v>0.21255512815509056</v>
      </c>
      <c r="Q288">
        <v>7.6222649782949703E-3</v>
      </c>
      <c r="R288">
        <v>0.11673743582818948</v>
      </c>
      <c r="S288">
        <v>5.5281474447494341E-5</v>
      </c>
      <c r="T288">
        <v>0.11673743582818982</v>
      </c>
      <c r="U288">
        <v>6.9918930724346172E-3</v>
      </c>
      <c r="V288">
        <v>1.0488472559209656</v>
      </c>
      <c r="W288">
        <v>0.14019545162455191</v>
      </c>
      <c r="X288">
        <v>0.24185800624012033</v>
      </c>
      <c r="Y288">
        <v>9.7976002739230488E-4</v>
      </c>
      <c r="Z288">
        <v>1.083732916865767</v>
      </c>
    </row>
    <row r="289" spans="1:26" x14ac:dyDescent="0.2">
      <c r="A289" s="13">
        <v>10815</v>
      </c>
      <c r="B289" s="13" t="s">
        <v>79</v>
      </c>
      <c r="C289" s="13" t="s">
        <v>72</v>
      </c>
      <c r="D289" s="14">
        <v>44363</v>
      </c>
      <c r="E289" s="15"/>
      <c r="F289" s="16">
        <v>1.10995</v>
      </c>
      <c r="G289" s="16">
        <v>10.349080000000001</v>
      </c>
      <c r="H289" t="s">
        <v>200</v>
      </c>
      <c r="I289">
        <v>9.8876122072964739E-3</v>
      </c>
      <c r="J289">
        <v>1.0409788441098182</v>
      </c>
      <c r="K289">
        <v>7.1301962622266051E-3</v>
      </c>
      <c r="L289">
        <v>7.8442423720702335E-3</v>
      </c>
      <c r="M289">
        <v>2.7316975049249979</v>
      </c>
      <c r="N289">
        <v>1.2228485023153842E-2</v>
      </c>
      <c r="O289">
        <v>2.0956053451026349</v>
      </c>
      <c r="P289">
        <v>1.0764754170666513</v>
      </c>
      <c r="Q289">
        <v>7.5770964836148905E-3</v>
      </c>
      <c r="R289">
        <v>0.18665866612138515</v>
      </c>
      <c r="S289">
        <v>5.4953884027638995E-5</v>
      </c>
      <c r="T289">
        <v>0.18665866612138585</v>
      </c>
      <c r="U289">
        <v>1.3249885871590117</v>
      </c>
      <c r="V289">
        <v>0.31790981406624524</v>
      </c>
      <c r="W289">
        <v>0.20124469363400765</v>
      </c>
      <c r="X289">
        <v>0.62808336347519145</v>
      </c>
      <c r="Y289">
        <v>0.26667899091450675</v>
      </c>
      <c r="Z289">
        <v>0.49494825617843524</v>
      </c>
    </row>
    <row r="290" spans="1:26" x14ac:dyDescent="0.2">
      <c r="A290" s="17">
        <v>11160</v>
      </c>
      <c r="B290" s="17" t="s">
        <v>403</v>
      </c>
      <c r="C290" s="17" t="s">
        <v>129</v>
      </c>
      <c r="D290" s="73">
        <v>44363</v>
      </c>
      <c r="E290" s="74">
        <v>47.5</v>
      </c>
      <c r="F290" s="17">
        <v>0.14152999999999999</v>
      </c>
      <c r="G290" s="75">
        <v>0.10302999999999862</v>
      </c>
      <c r="H290" t="s">
        <v>413</v>
      </c>
      <c r="I290">
        <v>1.0045324560539364E-2</v>
      </c>
      <c r="J290">
        <v>0.23086896274360857</v>
      </c>
      <c r="K290">
        <v>7.1257484265515965E-3</v>
      </c>
      <c r="L290">
        <v>3.6121814001985916E-3</v>
      </c>
      <c r="M290">
        <v>1.6242048729825425</v>
      </c>
      <c r="N290">
        <v>3.8992565187023248E-3</v>
      </c>
      <c r="O290">
        <v>1.2319776072388753</v>
      </c>
      <c r="P290">
        <v>0.21726525684528111</v>
      </c>
      <c r="Q290">
        <v>7.6233954502145547E-3</v>
      </c>
      <c r="R290">
        <v>8.8325831630466034E-2</v>
      </c>
      <c r="S290">
        <v>5.5289673343060717E-5</v>
      </c>
      <c r="T290">
        <v>8.8325831630465715E-2</v>
      </c>
      <c r="U290">
        <v>1.1344063253546937E-2</v>
      </c>
      <c r="V290">
        <v>0.73642541663081529</v>
      </c>
      <c r="W290">
        <v>3.7507141179294018E-2</v>
      </c>
      <c r="X290">
        <v>0.19848782270732779</v>
      </c>
      <c r="Y290">
        <v>4.246148955015551E-4</v>
      </c>
      <c r="Z290">
        <v>0.69716910084921291</v>
      </c>
    </row>
    <row r="291" spans="1:26" x14ac:dyDescent="0.2">
      <c r="A291" s="13">
        <v>10815</v>
      </c>
      <c r="B291" s="13" t="s">
        <v>79</v>
      </c>
      <c r="C291" s="13" t="s">
        <v>72</v>
      </c>
      <c r="D291" s="14">
        <v>44363</v>
      </c>
      <c r="E291" s="15"/>
      <c r="F291" s="16">
        <v>1.10995</v>
      </c>
      <c r="G291" s="16">
        <v>10.349080000000001</v>
      </c>
      <c r="H291" t="s">
        <v>209</v>
      </c>
      <c r="I291">
        <v>9.8259529861312069E-3</v>
      </c>
      <c r="J291">
        <v>0.75044935401249502</v>
      </c>
      <c r="K291">
        <v>7.1293803428641818E-3</v>
      </c>
      <c r="L291">
        <v>8.3976398347998839E-3</v>
      </c>
      <c r="M291">
        <v>2.7314685481731393</v>
      </c>
      <c r="N291">
        <v>1.3195700209636398E-2</v>
      </c>
      <c r="O291">
        <v>2.1077382301984442</v>
      </c>
      <c r="P291">
        <v>0.77743225214819911</v>
      </c>
      <c r="Q291">
        <v>7.5748401634757306E-3</v>
      </c>
      <c r="R291">
        <v>0.18462978946299627</v>
      </c>
      <c r="S291">
        <v>5.4937519770495801E-5</v>
      </c>
      <c r="T291">
        <v>0.18462978946299602</v>
      </c>
      <c r="U291">
        <v>1.3206459250021918</v>
      </c>
      <c r="V291">
        <v>0.3023856443398158</v>
      </c>
      <c r="W291">
        <v>0.20262126801974825</v>
      </c>
      <c r="X291">
        <v>0.40133394309881137</v>
      </c>
      <c r="Y291">
        <v>0.267841625555089</v>
      </c>
      <c r="Z291">
        <v>0.37962543286656869</v>
      </c>
    </row>
    <row r="292" spans="1:26" x14ac:dyDescent="0.2">
      <c r="A292" s="17">
        <v>11161</v>
      </c>
      <c r="B292" s="17" t="s">
        <v>404</v>
      </c>
      <c r="C292" s="17" t="s">
        <v>129</v>
      </c>
      <c r="D292" s="73">
        <v>44363</v>
      </c>
      <c r="E292" s="74">
        <v>46</v>
      </c>
      <c r="F292" s="17">
        <v>0.11024</v>
      </c>
      <c r="G292" s="75">
        <v>0.10327000000000019</v>
      </c>
      <c r="H292" t="s">
        <v>414</v>
      </c>
      <c r="I292">
        <v>1.00163765984322E-2</v>
      </c>
      <c r="J292">
        <v>0.23129295126602187</v>
      </c>
      <c r="K292">
        <v>7.1283383679478854E-3</v>
      </c>
      <c r="L292">
        <v>4.6383496121565138E-3</v>
      </c>
      <c r="M292">
        <v>1.3095198817031799</v>
      </c>
      <c r="N292">
        <v>4.3750856958772767E-3</v>
      </c>
      <c r="O292">
        <v>0.99811794732746217</v>
      </c>
      <c r="P292">
        <v>0.25595356668605573</v>
      </c>
      <c r="Q292">
        <v>7.6302907491597807E-3</v>
      </c>
      <c r="R292">
        <v>0.11369344670969352</v>
      </c>
      <c r="S292">
        <v>5.5339682401199438E-5</v>
      </c>
      <c r="T292">
        <v>0.1136934467096935</v>
      </c>
      <c r="U292">
        <v>9.0916478077770722E-3</v>
      </c>
      <c r="V292">
        <v>0.91929411924406423</v>
      </c>
      <c r="W292">
        <v>6.0628986746535989E-2</v>
      </c>
      <c r="X292">
        <v>0.22001106131730558</v>
      </c>
      <c r="Y292">
        <v>5.5084427430897765E-4</v>
      </c>
      <c r="Z292">
        <v>0.8954313071249248</v>
      </c>
    </row>
    <row r="293" spans="1:26" x14ac:dyDescent="0.2">
      <c r="A293" s="13">
        <v>10815</v>
      </c>
      <c r="B293" s="13" t="s">
        <v>79</v>
      </c>
      <c r="C293" s="13" t="s">
        <v>72</v>
      </c>
      <c r="D293" s="14">
        <v>44363</v>
      </c>
      <c r="E293" s="15"/>
      <c r="F293" s="16">
        <v>1.10995</v>
      </c>
      <c r="G293" s="16">
        <v>10.349080000000001</v>
      </c>
      <c r="H293" t="s">
        <v>209</v>
      </c>
      <c r="I293">
        <v>9.8259529861312069E-3</v>
      </c>
      <c r="J293">
        <v>0.75044935401249502</v>
      </c>
      <c r="K293">
        <v>7.1293803428641818E-3</v>
      </c>
      <c r="L293">
        <v>8.3976398347998839E-3</v>
      </c>
      <c r="M293">
        <v>2.7314685481731393</v>
      </c>
      <c r="N293">
        <v>1.3195700209636398E-2</v>
      </c>
      <c r="O293">
        <v>2.1077382301984442</v>
      </c>
      <c r="P293">
        <v>0.77743225214819911</v>
      </c>
      <c r="Q293">
        <v>7.5748401634757306E-3</v>
      </c>
      <c r="R293">
        <v>0.18462978946299627</v>
      </c>
      <c r="S293">
        <v>5.4937519770495801E-5</v>
      </c>
      <c r="T293">
        <v>0.18462978946299602</v>
      </c>
      <c r="U293">
        <v>1.3206459250021918</v>
      </c>
      <c r="V293">
        <v>0.3023856443398158</v>
      </c>
      <c r="W293">
        <v>0.20262126801974825</v>
      </c>
      <c r="X293">
        <v>0.40133394309881137</v>
      </c>
      <c r="Y293">
        <v>0.267841625555089</v>
      </c>
      <c r="Z293">
        <v>0.37962543286656869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293"/>
  <sheetViews>
    <sheetView zoomScaleNormal="100" workbookViewId="0">
      <pane xSplit="2" ySplit="3" topLeftCell="C268" activePane="bottomRight" state="frozen"/>
      <selection pane="topRight" activeCell="C1" sqref="C1"/>
      <selection pane="bottomLeft" activeCell="A4" sqref="A4"/>
      <selection pane="bottomRight" activeCell="A285" sqref="A285:XFD293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8" bestFit="1" customWidth="1"/>
    <col min="6" max="6" width="13.5703125" style="17" customWidth="1"/>
    <col min="7" max="7" width="12.28515625" style="75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4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6" t="s">
        <v>105</v>
      </c>
      <c r="W1" s="156" t="s">
        <v>106</v>
      </c>
      <c r="AJ1" s="156" t="s">
        <v>107</v>
      </c>
      <c r="AW1" s="156" t="s">
        <v>108</v>
      </c>
    </row>
    <row r="2" spans="1:110" s="18" customFormat="1" ht="18" x14ac:dyDescent="0.3">
      <c r="A2" s="81" t="s">
        <v>53</v>
      </c>
      <c r="B2" s="81" t="s">
        <v>0</v>
      </c>
      <c r="C2" s="81" t="s">
        <v>5</v>
      </c>
      <c r="D2" s="81" t="s">
        <v>49</v>
      </c>
      <c r="E2" s="82" t="s">
        <v>41</v>
      </c>
      <c r="F2" s="81" t="s">
        <v>49</v>
      </c>
      <c r="G2" s="83" t="s">
        <v>42</v>
      </c>
      <c r="H2" s="81" t="s">
        <v>49</v>
      </c>
      <c r="I2" s="81" t="s">
        <v>18</v>
      </c>
      <c r="J2" s="81" t="s">
        <v>19</v>
      </c>
      <c r="K2" s="81" t="s">
        <v>49</v>
      </c>
      <c r="L2" s="81" t="s">
        <v>20</v>
      </c>
      <c r="M2" s="81" t="s">
        <v>50</v>
      </c>
      <c r="N2" s="81" t="s">
        <v>21</v>
      </c>
      <c r="O2" s="81" t="s">
        <v>22</v>
      </c>
      <c r="P2" s="81" t="s">
        <v>50</v>
      </c>
      <c r="Q2" s="84" t="s">
        <v>22</v>
      </c>
      <c r="R2" s="81" t="s">
        <v>50</v>
      </c>
      <c r="S2" s="85" t="s">
        <v>7</v>
      </c>
      <c r="T2" s="85" t="s">
        <v>50</v>
      </c>
      <c r="U2" s="85" t="s">
        <v>74</v>
      </c>
      <c r="V2" s="85" t="s">
        <v>50</v>
      </c>
      <c r="W2" s="81" t="s">
        <v>23</v>
      </c>
      <c r="X2" s="86" t="s">
        <v>24</v>
      </c>
      <c r="Y2" s="81" t="s">
        <v>50</v>
      </c>
      <c r="Z2" s="87" t="s">
        <v>25</v>
      </c>
      <c r="AA2" s="81" t="s">
        <v>50</v>
      </c>
      <c r="AB2" s="81" t="s">
        <v>62</v>
      </c>
      <c r="AC2" s="81" t="s">
        <v>63</v>
      </c>
      <c r="AD2" s="88" t="s">
        <v>26</v>
      </c>
      <c r="AE2" s="81" t="s">
        <v>50</v>
      </c>
      <c r="AF2" s="81" t="s">
        <v>27</v>
      </c>
      <c r="AG2" s="81" t="s">
        <v>50</v>
      </c>
      <c r="AH2" s="87" t="s">
        <v>11</v>
      </c>
      <c r="AI2" s="81" t="s">
        <v>50</v>
      </c>
      <c r="AJ2" s="89" t="s">
        <v>117</v>
      </c>
      <c r="AK2" s="89" t="s">
        <v>49</v>
      </c>
      <c r="AL2" s="84" t="s">
        <v>28</v>
      </c>
      <c r="AM2" s="90" t="s">
        <v>50</v>
      </c>
      <c r="AN2" s="84" t="s">
        <v>75</v>
      </c>
      <c r="AO2" s="90" t="s">
        <v>50</v>
      </c>
      <c r="AP2" s="87" t="s">
        <v>47</v>
      </c>
      <c r="AQ2" s="81" t="s">
        <v>50</v>
      </c>
      <c r="AR2" s="81" t="s">
        <v>6</v>
      </c>
      <c r="AS2" s="91" t="s">
        <v>44</v>
      </c>
      <c r="AT2" s="92" t="s">
        <v>50</v>
      </c>
      <c r="AU2" s="93" t="s">
        <v>104</v>
      </c>
      <c r="AV2" s="94" t="s">
        <v>50</v>
      </c>
      <c r="AW2" s="95" t="s">
        <v>45</v>
      </c>
      <c r="AX2" s="96" t="s">
        <v>49</v>
      </c>
      <c r="AY2" s="96" t="s">
        <v>59</v>
      </c>
      <c r="AZ2" s="96" t="s">
        <v>49</v>
      </c>
      <c r="BA2" s="87" t="s">
        <v>46</v>
      </c>
      <c r="BB2" s="87" t="s">
        <v>2</v>
      </c>
      <c r="BC2" s="89" t="s">
        <v>118</v>
      </c>
      <c r="BD2" s="89" t="s">
        <v>49</v>
      </c>
      <c r="BE2" s="96" t="s">
        <v>45</v>
      </c>
      <c r="BF2" s="96" t="s">
        <v>51</v>
      </c>
      <c r="BG2" s="97" t="s">
        <v>119</v>
      </c>
      <c r="BH2" s="98" t="s">
        <v>64</v>
      </c>
    </row>
    <row r="3" spans="1:110" s="18" customFormat="1" ht="18.75" thickBot="1" x14ac:dyDescent="0.35">
      <c r="A3" s="99"/>
      <c r="B3" s="99"/>
      <c r="C3" s="99" t="s">
        <v>15</v>
      </c>
      <c r="D3" s="100" t="s">
        <v>29</v>
      </c>
      <c r="E3" s="99" t="s">
        <v>15</v>
      </c>
      <c r="F3" s="100" t="s">
        <v>29</v>
      </c>
      <c r="G3" s="101"/>
      <c r="H3" s="100" t="s">
        <v>29</v>
      </c>
      <c r="I3" s="100" t="s">
        <v>30</v>
      </c>
      <c r="J3" s="100" t="s">
        <v>31</v>
      </c>
      <c r="K3" s="100" t="s">
        <v>29</v>
      </c>
      <c r="L3" s="100" t="s">
        <v>32</v>
      </c>
      <c r="M3" s="100" t="s">
        <v>33</v>
      </c>
      <c r="N3" s="100" t="s">
        <v>34</v>
      </c>
      <c r="O3" s="100" t="s">
        <v>35</v>
      </c>
      <c r="P3" s="100" t="s">
        <v>33</v>
      </c>
      <c r="Q3" s="102" t="s">
        <v>32</v>
      </c>
      <c r="R3" s="100" t="s">
        <v>33</v>
      </c>
      <c r="S3" s="103" t="s">
        <v>58</v>
      </c>
      <c r="T3" s="103" t="s">
        <v>33</v>
      </c>
      <c r="U3" s="103" t="s">
        <v>58</v>
      </c>
      <c r="V3" s="103" t="s">
        <v>33</v>
      </c>
      <c r="W3" s="100" t="s">
        <v>34</v>
      </c>
      <c r="X3" s="104" t="s">
        <v>36</v>
      </c>
      <c r="Y3" s="100" t="s">
        <v>37</v>
      </c>
      <c r="Z3" s="100" t="s">
        <v>32</v>
      </c>
      <c r="AA3" s="100" t="s">
        <v>37</v>
      </c>
      <c r="AB3" s="100" t="s">
        <v>30</v>
      </c>
      <c r="AC3" s="100" t="s">
        <v>38</v>
      </c>
      <c r="AD3" s="105" t="s">
        <v>31</v>
      </c>
      <c r="AE3" s="100" t="s">
        <v>37</v>
      </c>
      <c r="AF3" s="100" t="s">
        <v>32</v>
      </c>
      <c r="AG3" s="100" t="s">
        <v>37</v>
      </c>
      <c r="AH3" s="106"/>
      <c r="AI3" s="100" t="s">
        <v>37</v>
      </c>
      <c r="AJ3" s="107" t="s">
        <v>115</v>
      </c>
      <c r="AK3" s="107" t="s">
        <v>116</v>
      </c>
      <c r="AL3" s="102" t="s">
        <v>57</v>
      </c>
      <c r="AM3" s="108" t="s">
        <v>37</v>
      </c>
      <c r="AN3" s="102" t="s">
        <v>57</v>
      </c>
      <c r="AO3" s="108" t="s">
        <v>37</v>
      </c>
      <c r="AP3" s="99" t="s">
        <v>39</v>
      </c>
      <c r="AQ3" s="100" t="s">
        <v>56</v>
      </c>
      <c r="AR3" s="100" t="s">
        <v>40</v>
      </c>
      <c r="AS3" s="109" t="s">
        <v>57</v>
      </c>
      <c r="AT3" s="110" t="s">
        <v>37</v>
      </c>
      <c r="AU3" s="111" t="s">
        <v>61</v>
      </c>
      <c r="AV3" s="112" t="s">
        <v>37</v>
      </c>
      <c r="AW3" s="113" t="s">
        <v>39</v>
      </c>
      <c r="AX3" s="114" t="s">
        <v>39</v>
      </c>
      <c r="AY3" s="114" t="s">
        <v>60</v>
      </c>
      <c r="AZ3" s="114" t="s">
        <v>13</v>
      </c>
      <c r="BA3" s="106"/>
      <c r="BB3" s="99" t="s">
        <v>12</v>
      </c>
      <c r="BC3" s="107" t="s">
        <v>115</v>
      </c>
      <c r="BD3" s="107" t="s">
        <v>116</v>
      </c>
      <c r="BE3" s="114" t="s">
        <v>48</v>
      </c>
      <c r="BF3" s="114" t="s">
        <v>52</v>
      </c>
      <c r="BG3" s="115" t="s">
        <v>13</v>
      </c>
      <c r="BH3" s="116"/>
    </row>
    <row r="4" spans="1:110" ht="15" thickTop="1" x14ac:dyDescent="0.2">
      <c r="A4" s="46"/>
      <c r="B4" s="46"/>
      <c r="C4" s="46"/>
      <c r="D4" s="46"/>
      <c r="E4" s="157"/>
      <c r="F4" s="46"/>
      <c r="G4" s="158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9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6" customFormat="1" ht="15" x14ac:dyDescent="0.25">
      <c r="A5" s="117" t="s">
        <v>80</v>
      </c>
      <c r="B5" s="118" t="s">
        <v>111</v>
      </c>
      <c r="C5" s="117" t="s">
        <v>66</v>
      </c>
      <c r="D5" s="117">
        <v>3.8677800000000002</v>
      </c>
      <c r="E5" s="119" t="s">
        <v>67</v>
      </c>
      <c r="F5" s="117" t="s">
        <v>68</v>
      </c>
      <c r="G5" s="117">
        <v>3.8556E-2</v>
      </c>
      <c r="H5" s="119" t="s">
        <v>67</v>
      </c>
      <c r="I5" s="117"/>
      <c r="J5" s="117"/>
      <c r="K5" s="117" t="s">
        <v>69</v>
      </c>
      <c r="L5" s="120">
        <v>1.8037000000000001E-2</v>
      </c>
      <c r="M5" s="119" t="s">
        <v>67</v>
      </c>
      <c r="N5" s="121" t="s">
        <v>112</v>
      </c>
      <c r="O5" s="122"/>
      <c r="P5" s="118"/>
      <c r="Q5" s="123"/>
      <c r="R5" s="124"/>
      <c r="S5" s="125"/>
      <c r="T5" s="122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7"/>
      <c r="AI5" s="185"/>
      <c r="AJ5" s="184"/>
      <c r="AK5" s="185"/>
      <c r="AL5" s="185"/>
      <c r="AM5" s="185"/>
      <c r="AN5" s="127"/>
      <c r="AO5" s="182"/>
      <c r="AP5" s="127"/>
      <c r="AQ5" s="127"/>
      <c r="AR5" s="127"/>
      <c r="AS5" s="183"/>
      <c r="AT5" s="183"/>
      <c r="AU5" s="127"/>
      <c r="AV5" s="127"/>
      <c r="AW5" s="127"/>
      <c r="AX5" s="187"/>
      <c r="AY5" s="187"/>
      <c r="AZ5" s="187"/>
      <c r="BA5" s="127"/>
      <c r="BB5" s="188"/>
      <c r="BC5" s="127"/>
      <c r="BD5" s="184"/>
      <c r="BE5" s="127"/>
      <c r="BF5" s="189"/>
      <c r="BG5" s="190"/>
      <c r="BH5" s="127"/>
      <c r="BI5" s="127"/>
      <c r="BJ5" s="127"/>
      <c r="BK5" s="127"/>
      <c r="BL5" s="127"/>
      <c r="BM5" s="127"/>
      <c r="BN5" s="191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  <c r="CZ5" s="127"/>
      <c r="DA5" s="127"/>
      <c r="DB5" s="127"/>
      <c r="DC5" s="127"/>
      <c r="DD5" s="127"/>
      <c r="DE5" s="127"/>
      <c r="DF5" s="127"/>
    </row>
    <row r="6" spans="1:110" ht="15" x14ac:dyDescent="0.25">
      <c r="A6" s="126"/>
      <c r="B6" s="127"/>
      <c r="C6" s="126"/>
      <c r="D6" s="126"/>
      <c r="E6" s="128"/>
      <c r="F6" s="126"/>
      <c r="G6" s="126"/>
      <c r="H6" s="128"/>
      <c r="I6" s="126"/>
      <c r="J6" s="126"/>
      <c r="K6" s="126"/>
      <c r="L6" s="129"/>
      <c r="M6" s="128"/>
      <c r="N6" s="18"/>
      <c r="O6" s="130"/>
      <c r="P6" s="18"/>
      <c r="Q6" s="131"/>
      <c r="R6" s="132"/>
      <c r="S6" s="133"/>
      <c r="T6" s="130"/>
      <c r="U6" s="130"/>
      <c r="V6" s="130"/>
      <c r="W6" s="134"/>
      <c r="X6" s="130"/>
      <c r="Y6" s="130"/>
      <c r="Z6" s="130"/>
      <c r="AA6" s="130"/>
      <c r="AB6" s="135"/>
      <c r="AC6" s="135"/>
      <c r="AD6" s="130"/>
      <c r="AE6" s="130"/>
      <c r="AF6" s="130"/>
      <c r="AG6" s="130"/>
      <c r="AH6" s="18"/>
      <c r="AI6" s="134"/>
      <c r="AJ6" s="133"/>
      <c r="AK6" s="134"/>
      <c r="AL6" s="134"/>
      <c r="AM6" s="134"/>
      <c r="AN6" s="18"/>
      <c r="AO6" s="130"/>
      <c r="AP6" s="18"/>
      <c r="AQ6" s="18"/>
      <c r="AR6" s="18"/>
      <c r="AS6" s="132"/>
      <c r="AT6" s="132"/>
      <c r="AU6" s="18"/>
      <c r="AV6" s="18"/>
      <c r="AW6" s="18"/>
      <c r="AX6" s="136"/>
      <c r="AY6" s="136"/>
      <c r="AZ6" s="136"/>
      <c r="BA6" s="18"/>
      <c r="BB6" s="137"/>
      <c r="BC6" s="18"/>
      <c r="BD6" s="133"/>
      <c r="BE6" s="18"/>
      <c r="BF6" s="138"/>
      <c r="BG6" s="20"/>
      <c r="BH6" s="18"/>
      <c r="BI6" s="18"/>
      <c r="BJ6" s="18"/>
      <c r="BK6" s="18"/>
      <c r="BL6" s="18"/>
      <c r="BM6" s="18"/>
      <c r="BN6" s="160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9">
        <f>Input!A7</f>
        <v>10815</v>
      </c>
      <c r="B7" s="139" t="str">
        <f>Input!B7</f>
        <v>Hu1-13</v>
      </c>
      <c r="C7" s="139">
        <f>Input!O7</f>
        <v>2.1028684657038115</v>
      </c>
      <c r="D7" s="139">
        <f>C7*Input!P7/100</f>
        <v>1.5696039330429883E-2</v>
      </c>
      <c r="E7" s="140">
        <f>Input!M7</f>
        <v>2.7323519718371032</v>
      </c>
      <c r="F7" s="141">
        <f>E7*Input!N7/100</f>
        <v>2.1971399878020409E-4</v>
      </c>
      <c r="G7" s="142">
        <f>E7*137.88</f>
        <v>376.73668987689979</v>
      </c>
      <c r="H7" s="141">
        <f>G7*Input!L7/100</f>
        <v>2.3387591741334198E-2</v>
      </c>
      <c r="I7" s="139">
        <v>0</v>
      </c>
      <c r="J7" s="143">
        <f>(((C7*Constants!$B$24*0.000000001*Input!G7*(Constants!$B$4/Constants!$B$3))-(I7*0.000000000000001))/Input!F7)*1000000000000</f>
        <v>759.21446345664083</v>
      </c>
      <c r="K7" s="139">
        <f>J7*Input!P7/100</f>
        <v>5.6668594698138932</v>
      </c>
      <c r="L7" s="144">
        <f>(J7/Constants!$B$4)*602200000000*Constants!$B$17/(365.2425*24*60)</f>
        <v>10.481798635104211</v>
      </c>
      <c r="M7" s="145">
        <f>L7*Input!P7/100</f>
        <v>7.8237286978944567E-2</v>
      </c>
      <c r="N7" s="139">
        <v>0</v>
      </c>
      <c r="O7" s="143">
        <f>(((G7*Constants!$B$23*0.000000001*Input!G7*(Constants!$B$7/Constants!$B$6))-(N7*0.000000001))/Input!F7)*1000000</f>
        <v>13.701615715514246</v>
      </c>
      <c r="P7" s="139">
        <f>O7*Input!N7/100</f>
        <v>1.1017748846541349E-3</v>
      </c>
      <c r="Q7" s="146">
        <f>(O7/Constants!$B$7)*602200000000000000*Constants!$B$18/(365.2425*24*60)</f>
        <v>10.223059909875488</v>
      </c>
      <c r="R7" s="147">
        <f>Q7*Input!N7/100</f>
        <v>8.2205711259744217E-4</v>
      </c>
      <c r="S7" s="145">
        <f>Input!S7*Constants!$B$17/Constants!$B$18</f>
        <v>0.99805246453918406</v>
      </c>
      <c r="T7" s="139">
        <f>S7*Input!T7/100</f>
        <v>1.3040789190793022E-3</v>
      </c>
      <c r="U7" s="145">
        <f>S7</f>
        <v>0.99805246453918406</v>
      </c>
      <c r="V7" s="139">
        <f>U7*Input!T7/100</f>
        <v>1.3040789190793022E-3</v>
      </c>
      <c r="W7" s="148">
        <v>0</v>
      </c>
      <c r="X7" s="143">
        <f>(((Constants!$B$25*0.000000001*Input!G7/Input!W7*(Constants!$B$11/Constants!$B$9))-(W7*0.000000001))/Input!F7)*1000000000</f>
        <v>0.88360920982303437</v>
      </c>
      <c r="Y7" s="143">
        <f>X7*Input!X7/100</f>
        <v>4.3948522963121817E-3</v>
      </c>
      <c r="Z7" s="143">
        <f>(X7/Constants!$B$11)*6.022E+23*0.000000001*Constants!$B$19/(365.2425*24*60)</f>
        <v>2.1571757408205312E-4</v>
      </c>
      <c r="AA7" s="143">
        <f>Z7*Input!X7/100</f>
        <v>1.0729255255264658E-6</v>
      </c>
      <c r="AB7" s="144">
        <v>0</v>
      </c>
      <c r="AC7" s="144">
        <v>0.9</v>
      </c>
      <c r="AD7" s="143">
        <f>(((Input!G7*Constants!$B$25*0.000000001*Input!U7*(Constants!$B$10/Constants!$B$9))-((AB7*0.000000000000001)+(Input!G7*AC7*0.000000000000001)))/Input!F7)*1000000000000</f>
        <v>224.77211300735433</v>
      </c>
      <c r="AE7" s="143">
        <f>AD7*Input!V7/100</f>
        <v>0.51763222932431807</v>
      </c>
      <c r="AF7" s="143">
        <f>(AD7/Constants!$B$10)*602200000000*Constants!$B$16/(365.2425*24*60)</f>
        <v>10.259873350371336</v>
      </c>
      <c r="AG7" s="143">
        <f>AF7*Input!V7/100</f>
        <v>2.362766912621456E-2</v>
      </c>
      <c r="AH7" s="139">
        <f>AF7/Z7</f>
        <v>47561.601756511307</v>
      </c>
      <c r="AI7" s="148">
        <f>AH7*SQRT((AG7/AF7)^2+(AA7/Z7)^2)</f>
        <v>260.6863559729901</v>
      </c>
      <c r="AJ7" s="145">
        <f t="shared" ref="AJ7:AJ9" si="0">(U7-1)*1000</f>
        <v>-1.9475354608159412</v>
      </c>
      <c r="AK7" s="148">
        <f>V7*1000</f>
        <v>1.3040789190793023</v>
      </c>
      <c r="AL7" s="148">
        <f>AF7/Q7</f>
        <v>1.0036010197358118</v>
      </c>
      <c r="AM7" s="148">
        <f>AL7*SQRT((R7/Q7)^2+(AG7/AF7)^2)</f>
        <v>2.312621532853085E-3</v>
      </c>
      <c r="AN7" s="139">
        <f>AF7/Q7</f>
        <v>1.0036010197358118</v>
      </c>
      <c r="AO7" s="143">
        <f>AN7*SQRT((R7/Q7)^2+(AG7/AF7)^2)</f>
        <v>2.312621532853085E-3</v>
      </c>
      <c r="AP7" s="139" t="str">
        <f t="shared" ref="AP7:AP9" si="1">ThU_Alter_Kombi(AN7,U7)</f>
        <v>Out of range</v>
      </c>
      <c r="AQ7" s="139" t="e">
        <f t="shared" ref="AQ7:AQ9" si="2">Montealter(AN7,AO7,U7,V7)</f>
        <v>#VALUE!</v>
      </c>
      <c r="AR7" s="139" t="e">
        <f>(AQ7/AP7)*100</f>
        <v>#VALUE!</v>
      </c>
      <c r="AS7" s="147">
        <f>Z7/Q7</f>
        <v>2.110107697536524E-5</v>
      </c>
      <c r="AT7" s="147">
        <f>AS7*SQRT((Y7/X7)^2+(P7/O7)^2)</f>
        <v>1.0496522049330135E-7</v>
      </c>
      <c r="AU7" s="139">
        <v>0.75</v>
      </c>
      <c r="AV7" s="139">
        <f>AU7/2</f>
        <v>0.375</v>
      </c>
      <c r="AW7" s="139" t="str">
        <f>marincorr_age(AN7,U7,AS7,AU7)</f>
        <v>Out of range</v>
      </c>
      <c r="AX7" s="149">
        <f>marincorr_age_error(AN7, AO7, U7, V7, AS7, AT7, AU7, AV7)</f>
        <v>0</v>
      </c>
      <c r="AY7" s="149" t="e">
        <f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#VALUE!</v>
      </c>
      <c r="AZ7" s="150" t="e">
        <f>AX7/AW7</f>
        <v>#VALUE!</v>
      </c>
      <c r="BA7" s="139" t="str">
        <f>Input!B7</f>
        <v>Hu1-13</v>
      </c>
      <c r="BB7" s="151">
        <f>Input!E7</f>
        <v>0</v>
      </c>
      <c r="BC7" s="139" t="e">
        <f>((U7-1)*EXP(Constants!$B$17*AW7*1000))*1000</f>
        <v>#VALUE!</v>
      </c>
      <c r="BD7" s="145" t="e">
        <f>SQRT((EXP(Constants!$B$17*AW7*1000)*V7)^2+((U7-1)*Constants!$B$17*EXP(Constants!$B$17*AW7*1000)*AY7*1000)^2)*1000</f>
        <v>#VALUE!</v>
      </c>
      <c r="BE7" s="139" t="e">
        <f t="shared" ref="BE7:BE9" si="3">AW7*1000-58</f>
        <v>#VALUE!</v>
      </c>
      <c r="BF7" s="152" t="e">
        <f t="shared" ref="BF7:BF9" si="4">AY7/2*1000</f>
        <v>#VALUE!</v>
      </c>
      <c r="BG7" s="161" t="e">
        <f t="shared" ref="BG7:BG9" si="5">AY7/AW7*100</f>
        <v>#VALUE!</v>
      </c>
      <c r="BH7" s="139"/>
      <c r="BI7" s="18"/>
      <c r="BJ7" s="18"/>
      <c r="BK7" s="18"/>
      <c r="BL7" s="18"/>
      <c r="BM7" s="18"/>
      <c r="BN7" s="160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10889</v>
      </c>
      <c r="B8" s="18" t="str">
        <f>Input!B8</f>
        <v>M5-14-44B_322</v>
      </c>
      <c r="C8" s="18">
        <f>Input!O8</f>
        <v>0.92227185164142511</v>
      </c>
      <c r="D8" s="18">
        <f>C8*Input!P8/100</f>
        <v>3.2746598433389452E-3</v>
      </c>
      <c r="E8" s="153">
        <f>Input!M8</f>
        <v>0.56704782120086461</v>
      </c>
      <c r="F8" s="154">
        <f>E8*Input!N8/100</f>
        <v>6.1478013218832519E-5</v>
      </c>
      <c r="G8" s="21">
        <f>E8*137.88</f>
        <v>78.184553587175216</v>
      </c>
      <c r="H8" s="154">
        <f>G8*Input!L8/100</f>
        <v>6.7542953152230599E-3</v>
      </c>
      <c r="I8" s="18">
        <v>0.3</v>
      </c>
      <c r="J8" s="130">
        <f>(((C8*Constants!$B$24*0.000000001*Input!G8*(Constants!$B$4/Constants!$B$3))-(I8*0.000000000000001))/Input!F8)*1000000000000</f>
        <v>17.242962672262365</v>
      </c>
      <c r="K8" s="18">
        <f>J8*Input!P8/100</f>
        <v>6.1223637415102644E-2</v>
      </c>
      <c r="L8" s="135">
        <f>(J8/Constants!$B$4)*602200000000*Constants!$B$17/(365.2425*24*60)</f>
        <v>0.23805824480791718</v>
      </c>
      <c r="M8" s="133">
        <f>L8*Input!P8/100</f>
        <v>8.4526029202865388E-4</v>
      </c>
      <c r="N8" s="18">
        <v>5.0000000000000001E-3</v>
      </c>
      <c r="O8" s="130">
        <f>(((G8*Constants!$B$23*0.000000001*Input!G8*(Constants!$B$7/Constants!$B$6))-(N8*0.000000001))/Input!F8)*1000000</f>
        <v>0.14723866964016499</v>
      </c>
      <c r="P8" s="18">
        <f>O8*Input!N8/100</f>
        <v>1.5963276006054735E-5</v>
      </c>
      <c r="Q8" s="131">
        <f>(O8/Constants!$B$7)*602200000000000000*Constants!$B$18/(365.2425*24*60)</f>
        <v>0.10985782786751278</v>
      </c>
      <c r="R8" s="132">
        <f>Q8*Input!N8/100</f>
        <v>1.1910531601247037E-5</v>
      </c>
      <c r="S8" s="133">
        <f>Input!S8*Constants!$B$17/Constants!$B$18</f>
        <v>2.1433379634785905</v>
      </c>
      <c r="T8" s="18">
        <f>S8*Input!T8/100</f>
        <v>3.0392079060878987E-3</v>
      </c>
      <c r="U8" s="18">
        <f>S8*1/((U7+U9)/2)</f>
        <v>2.1475203354847703</v>
      </c>
      <c r="V8" s="18">
        <f>U8*Input!T8/100</f>
        <v>3.0451384211461737E-3</v>
      </c>
      <c r="W8" s="134">
        <v>3.0000000000000001E-3</v>
      </c>
      <c r="X8" s="130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0.47849708770151966</v>
      </c>
      <c r="Y8" s="130">
        <f>X8*Input!X8/100</f>
        <v>1.1861673252756416E-3</v>
      </c>
      <c r="Z8" s="130">
        <f>(X8/Constants!$B$11)*6.022E+23*0.000000001*Constants!$B$19/(365.2425*24*60)</f>
        <v>1.1681660831146357E-4</v>
      </c>
      <c r="AA8" s="130">
        <f>Z8*Input!X8/100</f>
        <v>2.8958179138389133E-7</v>
      </c>
      <c r="AB8" s="135">
        <v>0.05</v>
      </c>
      <c r="AC8" s="135">
        <v>0.9</v>
      </c>
      <c r="AD8" s="130">
        <f>(((Input!G8*Constants!$B$25*0.000000001*Input!U8*(Constants!$B$10/Constants!$B$9))-((AB8*0.000000000000001)+(Input!G8*AC8*0.000000000000001)))/Input!F8)*1000000000000</f>
        <v>5.4720495901949668</v>
      </c>
      <c r="AE8" s="130">
        <f>AD8*Input!V8/100</f>
        <v>1.5214887091785081E-2</v>
      </c>
      <c r="AF8" s="130">
        <f>(AD8/Constants!$B$10)*602200000000*Constants!$B$16/(365.2425*24*60)</f>
        <v>0.24977536141467341</v>
      </c>
      <c r="AG8" s="130">
        <f>AF8*Input!V8/100</f>
        <v>6.944936919145618E-4</v>
      </c>
      <c r="AH8" s="18">
        <f>AF8/Z8</f>
        <v>2138.1836455027619</v>
      </c>
      <c r="AI8" s="134">
        <f>AH8*SQRT((AG8/AF8)^2+(AA8/Z8)^2)</f>
        <v>7.9648970319201853</v>
      </c>
      <c r="AJ8" s="133">
        <f t="shared" si="0"/>
        <v>1147.5203354847704</v>
      </c>
      <c r="AK8" s="134">
        <f>V8*1000</f>
        <v>3.0451384211461736</v>
      </c>
      <c r="AL8" s="134">
        <f>AF8/Q8</f>
        <v>2.273623703136562</v>
      </c>
      <c r="AM8" s="134">
        <f>AL8*SQRT((R8/Q8)^2+(AG8/AF8)^2)</f>
        <v>6.3265537381962129E-3</v>
      </c>
      <c r="AN8" s="18">
        <f>AL8*1/((AN7+AN9)/2)</f>
        <v>2.2654657163810685</v>
      </c>
      <c r="AO8" s="130">
        <f>AN8*SQRT((R8/Q8)^2+(AG8/AF8)^2)</f>
        <v>6.3038534375559081E-3</v>
      </c>
      <c r="AP8" s="18">
        <f>ThU_Alter_Kombi(AN8,U8)</f>
        <v>266.48349999999999</v>
      </c>
      <c r="AQ8" s="18">
        <f t="shared" si="2"/>
        <v>2.5747</v>
      </c>
      <c r="AR8" s="155">
        <f>(AQ8/AP8)</f>
        <v>9.6617614223769958E-3</v>
      </c>
      <c r="AS8" s="132">
        <f>Z8/Q8</f>
        <v>1.0633435102352742E-3</v>
      </c>
      <c r="AT8" s="132">
        <f>AS8*SQRT((Y8/X8)^2+(P8/O8)^2)</f>
        <v>2.6384884815552283E-6</v>
      </c>
      <c r="AU8" s="18">
        <v>0.75</v>
      </c>
      <c r="AV8" s="18">
        <f>AU8/2</f>
        <v>0.375</v>
      </c>
      <c r="AW8" s="18">
        <f>marincorr_age(AN8,U8,AS8,AU8)</f>
        <v>266.4581</v>
      </c>
      <c r="AX8" s="136">
        <f>marincorr_age_error(AN8, AO8, U8, V8, AS8, AT8, AU8, AV8)</f>
        <v>2.6555134199000001</v>
      </c>
      <c r="AY8" s="136">
        <f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2.644115333472457</v>
      </c>
      <c r="AZ8" s="155">
        <f>AX8/AW8</f>
        <v>9.9659699588790888E-3</v>
      </c>
      <c r="BA8" s="18" t="str">
        <f>Input!B8</f>
        <v>M5-14-44B_322</v>
      </c>
      <c r="BB8" s="137">
        <f>Input!E8</f>
        <v>322</v>
      </c>
      <c r="BC8" s="18">
        <f>((U8-1)*EXP(Constants!$B$17*AW8*1000))*1000</f>
        <v>2434.0684827011642</v>
      </c>
      <c r="BD8" s="133">
        <f>SQRT((EXP(Constants!$B$17*AW8*1000)*V8)^2+((U8-1)*Constants!$B$17*EXP(Constants!$B$17*AW8*1000)*AY8*1000)^2)*1000</f>
        <v>19.277022206651871</v>
      </c>
      <c r="BE8" s="18">
        <f t="shared" si="3"/>
        <v>266400.09999999998</v>
      </c>
      <c r="BF8" s="138">
        <f t="shared" si="4"/>
        <v>1322.0576667362284</v>
      </c>
      <c r="BG8" s="20">
        <f t="shared" si="5"/>
        <v>0.99231936783774155</v>
      </c>
      <c r="BH8" s="18"/>
      <c r="BI8" s="18"/>
      <c r="BJ8" s="18"/>
      <c r="BK8" s="18"/>
      <c r="BL8" s="18"/>
      <c r="BM8" s="18"/>
      <c r="BN8" s="160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9">
        <f>Input!A9</f>
        <v>10815</v>
      </c>
      <c r="B9" s="139" t="str">
        <f>Input!B9</f>
        <v>Hu1-13</v>
      </c>
      <c r="C9" s="139">
        <f>Input!O9</f>
        <v>2.1028684657038115</v>
      </c>
      <c r="D9" s="139">
        <f>C9*Input!P9/100</f>
        <v>1.5696039330429883E-2</v>
      </c>
      <c r="E9" s="140">
        <f>Input!M9</f>
        <v>2.7323519718371032</v>
      </c>
      <c r="F9" s="141">
        <f>E9*Input!N9/100</f>
        <v>2.1971399878020409E-4</v>
      </c>
      <c r="G9" s="142">
        <f t="shared" ref="G9" si="6">E9*137.88</f>
        <v>376.73668987689979</v>
      </c>
      <c r="H9" s="141">
        <f>G9*Input!L9/100</f>
        <v>2.3387591741334198E-2</v>
      </c>
      <c r="I9" s="139">
        <v>0</v>
      </c>
      <c r="J9" s="143">
        <f>(((C9*Constants!$B$24*0.000000001*Input!G9*(Constants!$B$4/Constants!$B$3))-(I9*0.000000000000001))/Input!F9)*1000000000000</f>
        <v>759.21446345664083</v>
      </c>
      <c r="K9" s="139">
        <f>J9*Input!P9/100</f>
        <v>5.6668594698138932</v>
      </c>
      <c r="L9" s="144">
        <f>(J9/Constants!$B$4)*602200000000*Constants!$B$17/(365.2425*24*60)</f>
        <v>10.481798635104211</v>
      </c>
      <c r="M9" s="145">
        <f>L9*Input!P9/100</f>
        <v>7.8237286978944567E-2</v>
      </c>
      <c r="N9" s="139">
        <v>0</v>
      </c>
      <c r="O9" s="143">
        <f>(((G9*Constants!$B$23*0.000000001*Input!G9*(Constants!$B$7/Constants!$B$6))-(N9*0.000000001))/Input!F9)*1000000</f>
        <v>13.701615715514246</v>
      </c>
      <c r="P9" s="139">
        <f>O9*Input!N9/100</f>
        <v>1.1017748846541349E-3</v>
      </c>
      <c r="Q9" s="146">
        <f>(O9/Constants!$B$7)*602200000000000000*Constants!$B$18/(365.2425*24*60)</f>
        <v>10.223059909875488</v>
      </c>
      <c r="R9" s="147">
        <f>Q9*Input!N9/100</f>
        <v>8.2205711259744217E-4</v>
      </c>
      <c r="S9" s="145">
        <f>Input!S9*Constants!$B$17/Constants!$B$18</f>
        <v>0.99805246453918406</v>
      </c>
      <c r="T9" s="139">
        <f>S9*Input!T9/100</f>
        <v>1.3040789190793022E-3</v>
      </c>
      <c r="U9" s="145">
        <f>S9</f>
        <v>0.99805246453918406</v>
      </c>
      <c r="V9" s="139">
        <f>U9*Input!T9/100</f>
        <v>1.3040789190793022E-3</v>
      </c>
      <c r="W9" s="148">
        <v>0</v>
      </c>
      <c r="X9" s="143">
        <f>(((Constants!$B$25*0.000000001*Input!G9/Input!W9*(Constants!$B$11/Constants!$B$9))-(W9*0.000000001))/Input!F9)*1000000000</f>
        <v>0.88360920982303437</v>
      </c>
      <c r="Y9" s="143">
        <f>X9*Input!X9/100</f>
        <v>4.3948522963121817E-3</v>
      </c>
      <c r="Z9" s="143">
        <f>(X9/Constants!$B$11)*6.022E+23*0.000000001*Constants!$B$19/(365.2425*24*60)</f>
        <v>2.1571757408205312E-4</v>
      </c>
      <c r="AA9" s="143">
        <f>Z9*Input!X9/100</f>
        <v>1.0729255255264658E-6</v>
      </c>
      <c r="AB9" s="144">
        <v>0</v>
      </c>
      <c r="AC9" s="144">
        <v>0.9</v>
      </c>
      <c r="AD9" s="143">
        <f>(((Input!G9*Constants!$B$25*0.000000001*Input!U9*(Constants!$B$10/Constants!$B$9))-((AB9*0.000000000000001)+(Input!G9*AC9*0.000000000000001)))/Input!F9)*1000000000000</f>
        <v>224.77211300735433</v>
      </c>
      <c r="AE9" s="143">
        <f>AD9*Input!V9/100</f>
        <v>0.51763222932431807</v>
      </c>
      <c r="AF9" s="143">
        <f>(AD9/Constants!$B$10)*602200000000*Constants!$B$16/(365.2425*24*60)</f>
        <v>10.259873350371336</v>
      </c>
      <c r="AG9" s="143">
        <f>AF9*Input!V9/100</f>
        <v>2.362766912621456E-2</v>
      </c>
      <c r="AH9" s="139">
        <f t="shared" ref="AH9" si="7">AF9/Z9</f>
        <v>47561.601756511307</v>
      </c>
      <c r="AI9" s="148">
        <f t="shared" ref="AI9" si="8">AH9*SQRT((AG9/AF9)^2+(AA9/Z9)^2)</f>
        <v>260.6863559729901</v>
      </c>
      <c r="AJ9" s="145">
        <f t="shared" si="0"/>
        <v>-1.9475354608159412</v>
      </c>
      <c r="AK9" s="148">
        <f t="shared" ref="AK9" si="9">V9*1000</f>
        <v>1.3040789190793023</v>
      </c>
      <c r="AL9" s="148">
        <f t="shared" ref="AL9" si="10">AF9/Q9</f>
        <v>1.0036010197358118</v>
      </c>
      <c r="AM9" s="148">
        <f t="shared" ref="AM9" si="11">AL9*SQRT((R9/Q9)^2+(AG9/AF9)^2)</f>
        <v>2.312621532853085E-3</v>
      </c>
      <c r="AN9" s="139">
        <f>AF9/Q9</f>
        <v>1.0036010197358118</v>
      </c>
      <c r="AO9" s="143">
        <f t="shared" ref="AO9" si="12">AN9*SQRT((R9/Q9)^2+(AG9/AF9)^2)</f>
        <v>2.312621532853085E-3</v>
      </c>
      <c r="AP9" s="139" t="str">
        <f t="shared" si="1"/>
        <v>Out of range</v>
      </c>
      <c r="AQ9" s="139" t="e">
        <f t="shared" si="2"/>
        <v>#VALUE!</v>
      </c>
      <c r="AR9" s="139" t="e">
        <f>(AQ9/AP9)*100</f>
        <v>#VALUE!</v>
      </c>
      <c r="AS9" s="147">
        <f>Z9/Q9</f>
        <v>2.110107697536524E-5</v>
      </c>
      <c r="AT9" s="147">
        <f>AS9*SQRT((Y9/X9)^2+(P9/O9)^2)</f>
        <v>1.0496522049330135E-7</v>
      </c>
      <c r="AU9" s="139">
        <v>0.75</v>
      </c>
      <c r="AV9" s="139">
        <f t="shared" ref="AV9" si="13">AU9/2</f>
        <v>0.375</v>
      </c>
      <c r="AW9" s="139" t="str">
        <f>marincorr_age(AN9,U9,AS9,AU9)</f>
        <v>Out of range</v>
      </c>
      <c r="AX9" s="149">
        <f>marincorr_age_error(AN9, AO9, U9, V9, AS9, AT9, AU9, AV9)</f>
        <v>148.654917297</v>
      </c>
      <c r="AY9" s="149" t="e">
        <f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50" t="e">
        <f>AX9/AW9</f>
        <v>#VALUE!</v>
      </c>
      <c r="BA9" s="139" t="str">
        <f>Input!B9</f>
        <v>Hu1-13</v>
      </c>
      <c r="BB9" s="151">
        <f>Input!E9</f>
        <v>0</v>
      </c>
      <c r="BC9" s="139" t="e">
        <f>((U9-1)*EXP(Constants!$B$17*AW9*1000))*1000</f>
        <v>#VALUE!</v>
      </c>
      <c r="BD9" s="145" t="e">
        <f>SQRT((EXP(Constants!$B$17*AW9*1000)*V9)^2+((U9-1)*Constants!$B$17*EXP(Constants!$B$17*AW9*1000)*AY9*1000)^2)*1000</f>
        <v>#VALUE!</v>
      </c>
      <c r="BE9" s="139" t="e">
        <f t="shared" si="3"/>
        <v>#VALUE!</v>
      </c>
      <c r="BF9" s="152" t="e">
        <f t="shared" si="4"/>
        <v>#VALUE!</v>
      </c>
      <c r="BG9" s="161" t="e">
        <f t="shared" si="5"/>
        <v>#VALUE!</v>
      </c>
      <c r="BH9" s="139"/>
      <c r="BI9" s="18"/>
      <c r="BJ9" s="18"/>
      <c r="BK9" s="18"/>
      <c r="BL9" s="18"/>
      <c r="BM9" s="18"/>
      <c r="BN9" s="160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/>
      <c r="B10" s="18"/>
      <c r="C10" s="18"/>
      <c r="D10" s="18"/>
      <c r="E10" s="153"/>
      <c r="F10" s="154"/>
      <c r="G10" s="21"/>
      <c r="H10" s="154"/>
      <c r="I10" s="18"/>
      <c r="J10" s="130"/>
      <c r="K10" s="18"/>
      <c r="L10" s="135"/>
      <c r="M10" s="133"/>
      <c r="N10" s="18"/>
      <c r="O10" s="130"/>
      <c r="P10" s="18"/>
      <c r="Q10" s="131"/>
      <c r="R10" s="132"/>
      <c r="S10" s="133"/>
      <c r="T10" s="18"/>
      <c r="U10" s="18"/>
      <c r="V10" s="18"/>
      <c r="W10" s="134"/>
      <c r="X10" s="130"/>
      <c r="Y10" s="130"/>
      <c r="Z10" s="130"/>
      <c r="AA10" s="130"/>
      <c r="AB10" s="135"/>
      <c r="AC10" s="135"/>
      <c r="AD10" s="130"/>
      <c r="AE10" s="130"/>
      <c r="AF10" s="130"/>
      <c r="AG10" s="130"/>
      <c r="AH10" s="18"/>
      <c r="AI10" s="134"/>
      <c r="AJ10" s="133"/>
      <c r="AK10" s="134"/>
      <c r="AL10" s="134"/>
      <c r="AM10" s="134"/>
      <c r="AN10" s="18"/>
      <c r="AO10" s="130"/>
      <c r="AP10" s="18"/>
      <c r="AQ10" s="18"/>
      <c r="AR10" s="155"/>
      <c r="AS10" s="132"/>
      <c r="AT10" s="132"/>
      <c r="AU10" s="18"/>
      <c r="AV10" s="18"/>
      <c r="AW10" s="18"/>
      <c r="AX10" s="136"/>
      <c r="AY10" s="136"/>
      <c r="AZ10" s="155"/>
      <c r="BA10" s="18"/>
      <c r="BB10" s="137"/>
      <c r="BC10" s="18"/>
      <c r="BD10" s="133"/>
      <c r="BE10" s="18"/>
      <c r="BF10" s="138"/>
      <c r="BG10" s="20"/>
      <c r="BH10" s="18"/>
      <c r="BI10" s="18"/>
      <c r="BJ10" s="18"/>
      <c r="BK10" s="18"/>
      <c r="BL10" s="18"/>
      <c r="BM10" s="18"/>
      <c r="BN10" s="160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9">
        <f>Input!A11</f>
        <v>10815</v>
      </c>
      <c r="B11" s="139" t="str">
        <f>Input!B11</f>
        <v>Hu1-13</v>
      </c>
      <c r="C11" s="139">
        <f>Input!O11</f>
        <v>2.0601169265556885</v>
      </c>
      <c r="D11" s="139">
        <f>C11*Input!P11/100</f>
        <v>3.2584020075046044E-2</v>
      </c>
      <c r="E11" s="140">
        <f>Input!M11</f>
        <v>2.731518292888488</v>
      </c>
      <c r="F11" s="141">
        <f>E11*Input!N11/100</f>
        <v>5.0615773254881319E-4</v>
      </c>
      <c r="G11" s="142">
        <f>E11*137.88</f>
        <v>376.62174222346471</v>
      </c>
      <c r="H11" s="141">
        <f>G11*Input!L11/100</f>
        <v>3.3018790391037889E-2</v>
      </c>
      <c r="I11" s="139">
        <v>0</v>
      </c>
      <c r="J11" s="143">
        <f>(((C11*Constants!$B$24*0.000000001*Input!G11*(Constants!$B$4/Constants!$B$3))-(I11*0.000000000000001))/Input!F11)*1000000000000</f>
        <v>743.77955281641493</v>
      </c>
      <c r="K11" s="139">
        <f>J11*Input!P11/100</f>
        <v>11.76405453883528</v>
      </c>
      <c r="L11" s="144">
        <f>(J11/Constants!$B$4)*602200000000*Constants!$B$17/(365.2425*24*60)</f>
        <v>10.268702556105557</v>
      </c>
      <c r="M11" s="145">
        <f>L11*Input!P11/100</f>
        <v>0.16241583471295043</v>
      </c>
      <c r="N11" s="139">
        <v>0</v>
      </c>
      <c r="O11" s="143">
        <f>(((G11*Constants!$B$23*0.000000001*Input!G11*(Constants!$B$7/Constants!$B$6))-(N11*0.000000001))/Input!F11)*1000000</f>
        <v>13.697435160189828</v>
      </c>
      <c r="P11" s="139">
        <f>O11*Input!N11/100</f>
        <v>2.5381718074033448E-3</v>
      </c>
      <c r="Q11" s="146">
        <f>(O11/Constants!$B$7)*602200000000000000*Constants!$B$18/(365.2425*24*60)</f>
        <v>10.219940710766021</v>
      </c>
      <c r="R11" s="147">
        <f>Q11*Input!N11/100</f>
        <v>1.8937826740579749E-3</v>
      </c>
      <c r="S11" s="145">
        <f>Input!S11*Constants!$B$17/Constants!$B$18</f>
        <v>0.99992163311273308</v>
      </c>
      <c r="T11" s="139">
        <f>S11*Input!T11/100</f>
        <v>2.5128537743137318E-3</v>
      </c>
      <c r="U11" s="145">
        <f>S11</f>
        <v>0.99992163311273308</v>
      </c>
      <c r="V11" s="139">
        <f>U11*Input!T11/100</f>
        <v>2.5128537743137318E-3</v>
      </c>
      <c r="W11" s="148">
        <v>0</v>
      </c>
      <c r="X11" s="143">
        <f>(((Constants!$B$25*0.000000001*Input!G11/Input!W11*(Constants!$B$11/Constants!$B$9))-(W11*0.000000001))/Input!F11)*1000000000</f>
        <v>0.88312105286703191</v>
      </c>
      <c r="Y11" s="143">
        <f>X11*Input!X11/100</f>
        <v>7.837280870973214E-3</v>
      </c>
      <c r="Z11" s="143">
        <f>(X11/Constants!$B$11)*6.022E+23*0.000000001*Constants!$B$19/(365.2425*24*60)</f>
        <v>2.155983991875981E-4</v>
      </c>
      <c r="AA11" s="143">
        <f>Z11*Input!X11/100</f>
        <v>1.9133336299478094E-6</v>
      </c>
      <c r="AB11" s="144">
        <v>0</v>
      </c>
      <c r="AC11" s="144">
        <v>0.9</v>
      </c>
      <c r="AD11" s="143">
        <f>(((Input!G11*Constants!$B$25*0.000000001*Input!U11*(Constants!$B$10/Constants!$B$9))-((AB11*0.000000000000001)+(Input!G11*AC11*0.000000000000001)))/Input!F11)*1000000000000</f>
        <v>222.87610000646688</v>
      </c>
      <c r="AE11" s="143">
        <f>AD11*Input!V11/100</f>
        <v>0.88051166246541412</v>
      </c>
      <c r="AF11" s="143">
        <f>(AD11/Constants!$B$10)*602200000000*Constants!$B$16/(365.2425*24*60)</f>
        <v>10.173328569528678</v>
      </c>
      <c r="AG11" s="143">
        <f>AF11*Input!V11/100</f>
        <v>4.0191543423914337E-2</v>
      </c>
      <c r="AH11" s="139">
        <f>AF11/Z11</f>
        <v>47186.475446306933</v>
      </c>
      <c r="AI11" s="148">
        <f>AH11*SQRT((AG11/AF11)^2+(AA11/Z11)^2)</f>
        <v>458.37737283531385</v>
      </c>
      <c r="AJ11" s="145">
        <f t="shared" ref="AJ11:AJ13" si="14">(U11-1)*1000</f>
        <v>-7.836688726692298E-2</v>
      </c>
      <c r="AK11" s="148">
        <f>V11*1000</f>
        <v>2.512853774313732</v>
      </c>
      <c r="AL11" s="148">
        <f>AF11/Q11</f>
        <v>0.99543909866441393</v>
      </c>
      <c r="AM11" s="148">
        <f>AL11*SQRT((R11/Q11)^2+(AG11/AF11)^2)</f>
        <v>3.9369826820964925E-3</v>
      </c>
      <c r="AN11" s="139">
        <f>AF11/Q11</f>
        <v>0.99543909866441393</v>
      </c>
      <c r="AO11" s="143">
        <f>AN11*SQRT((R11/Q11)^2+(AG11/AF11)^2)</f>
        <v>3.9369826820964925E-3</v>
      </c>
      <c r="AP11" s="139">
        <f t="shared" ref="AP11" si="15">ThU_Alter_Kombi(AN11,U11)</f>
        <v>590.45600000000002</v>
      </c>
      <c r="AQ11" s="139" t="e">
        <f t="shared" ref="AQ11:AQ13" si="16">Montealter(AN11,AO11,U11,V11)</f>
        <v>#VALUE!</v>
      </c>
      <c r="AR11" s="139" t="e">
        <f>(AQ11/AP11)*100</f>
        <v>#VALUE!</v>
      </c>
      <c r="AS11" s="147">
        <f t="shared" ref="AS11:AS19" si="17">Z11/Q11</f>
        <v>2.1095856158977485E-5</v>
      </c>
      <c r="AT11" s="147">
        <f t="shared" ref="AT11:AT19" si="18">AS11*SQRT((Y11/X11)^2+(P11/O11)^2)</f>
        <v>1.8725653431902138E-7</v>
      </c>
      <c r="AU11" s="139">
        <v>0.75</v>
      </c>
      <c r="AV11" s="139">
        <f>AU11/2</f>
        <v>0.375</v>
      </c>
      <c r="AW11" s="139">
        <f t="shared" ref="AW11:AW19" si="19">marincorr_age(AN11,U11,AS11,AU11)</f>
        <v>590.45429999999999</v>
      </c>
      <c r="AX11" s="149">
        <f t="shared" ref="AX11:AX19" si="20">marincorr_age_error(AN11, AO11, U11, V11, AS11, AT11, AU11, AV11)</f>
        <v>263.69312286169998</v>
      </c>
      <c r="AY11" s="149">
        <f t="shared" ref="AY11:AY19" si="21">SQRT(((AU11*EXP(-0.0000091577*AW11*1000))/(0.0000091577*(EXP(-0.0000091577*AW11*1000)+(AJ11/1000)*EXP(-(0.0000091577-0.0000028263)*AW11*1000)-AS11*AU11*EXP(-0.0000091577*AW11*1000))))^2*AT11^2+((AS11*EXP(-0.0000091577*AW11*1000))/(0.0000091577*(EXP(-0.0000091577*AW11*1000)+(AJ11/1000)*EXP(-(0.0000091577-0.0000028263)*AW11*1000)-AS11*AU11*EXP(-0.0000091577*AW11*1000))))^2*AV11^2+((0.0000091577/(0.0000091577-0.0000028263))*(EXP(-(0.0000091577-0.0000028263)*AW11*1000)-1)/(0.0000091577*(EXP(-0.0000091577*AW11*1000)+(AJ11/1000)*EXP(-(0.0000091577-0.0000028263)*AW11*1000)-AS11*AU11*EXP(-0.0000091577*AW11*1000))))^2*T11^2+(1/(0.0000091577*(EXP(-0.0000091577*AW11*1000)+(AJ11/1000)*EXP(-(0.0000091577-0.0000028263)*AW11*1000)-AS11*AU11*EXP(-0.0000091577*AW11*1000))))^2*AO11^2)/1000</f>
        <v>129.11799131473865</v>
      </c>
      <c r="AZ11" s="150">
        <f t="shared" ref="AZ11:AZ19" si="22">AX11/AW11</f>
        <v>0.44659361928891023</v>
      </c>
      <c r="BA11" s="139" t="str">
        <f>Input!B11</f>
        <v>Hu1-13</v>
      </c>
      <c r="BB11" s="151">
        <f>Input!E11</f>
        <v>0</v>
      </c>
      <c r="BC11" s="139">
        <f>((U11-1)*EXP(Constants!$B$17*AW11*1000))*1000</f>
        <v>-0.41475954543054638</v>
      </c>
      <c r="BD11" s="145">
        <f>SQRT((EXP(Constants!$B$17*AW11*1000)*V11)^2+((U11-1)*Constants!$B$17*EXP(Constants!$B$17*AW11*1000)*AY11*1000)^2)*1000</f>
        <v>13.30022687415344</v>
      </c>
      <c r="BE11" s="139">
        <f t="shared" ref="BE11:BE13" si="23">AW11*1000-58</f>
        <v>590396.30000000005</v>
      </c>
      <c r="BF11" s="152">
        <f t="shared" ref="BF11:BF13" si="24">AY11/2*1000</f>
        <v>64558.99565736932</v>
      </c>
      <c r="BG11" s="161">
        <f t="shared" ref="BG11:BG13" si="25">AY11/AW11*100</f>
        <v>21.867567280776623</v>
      </c>
      <c r="BH11" s="139"/>
      <c r="BI11" s="18"/>
      <c r="BJ11" s="18"/>
      <c r="BK11" s="18"/>
      <c r="BL11" s="18"/>
      <c r="BM11" s="18"/>
      <c r="BN11" s="160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10890</v>
      </c>
      <c r="B12" s="18" t="str">
        <f>Input!B12</f>
        <v>M5-14-44B_331,25</v>
      </c>
      <c r="C12" s="18">
        <f>Input!O12</f>
        <v>1.1299253726780181</v>
      </c>
      <c r="D12" s="18">
        <f>C12*Input!P12/100</f>
        <v>4.4165241409375626E-3</v>
      </c>
      <c r="E12" s="153">
        <f>Input!M12</f>
        <v>0.6928006764895519</v>
      </c>
      <c r="F12" s="154">
        <f>E12*Input!N12/100</f>
        <v>4.3268235146334465E-5</v>
      </c>
      <c r="G12" s="21">
        <f>E12*137.88</f>
        <v>95.523357274379407</v>
      </c>
      <c r="H12" s="154">
        <f>G12*Input!L12/100</f>
        <v>7.7314590798959661E-3</v>
      </c>
      <c r="I12" s="18">
        <v>0.3</v>
      </c>
      <c r="J12" s="130">
        <f>(((C12*Constants!$B$24*0.000000001*Input!G12*(Constants!$B$4/Constants!$B$3))-(I12*0.000000000000001))/Input!F12)*1000000000000</f>
        <v>23.392626708451555</v>
      </c>
      <c r="K12" s="18">
        <f>J12*Input!P12/100</f>
        <v>9.1434446093509689E-2</v>
      </c>
      <c r="L12" s="135">
        <f>(J12/Constants!$B$4)*602200000000*Constants!$B$17/(365.2425*24*60)</f>
        <v>0.32296118489074743</v>
      </c>
      <c r="M12" s="133">
        <f>L12*Input!P12/100</f>
        <v>1.2623540493432578E-3</v>
      </c>
      <c r="N12" s="18">
        <v>5.0000000000000001E-3</v>
      </c>
      <c r="O12" s="130">
        <f>(((G12*Constants!$B$23*0.000000001*Input!G12*(Constants!$B$7/Constants!$B$6))-(N12*0.000000001))/Input!F12)*1000000</f>
        <v>0.19920155594283653</v>
      </c>
      <c r="P12" s="18">
        <f>O12*Input!N12/100</f>
        <v>1.244095171460234E-5</v>
      </c>
      <c r="Q12" s="131">
        <f>(O12/Constants!$B$7)*602200000000000000*Constants!$B$18/(365.2425*24*60)</f>
        <v>0.14862841600776863</v>
      </c>
      <c r="R12" s="132">
        <f>Q12*Input!N12/100</f>
        <v>9.2824523293437334E-6</v>
      </c>
      <c r="S12" s="133">
        <f>Input!S12*Constants!$B$17/Constants!$B$18</f>
        <v>2.1299800728503224</v>
      </c>
      <c r="T12" s="18">
        <f>S12*Input!T12/100</f>
        <v>2.5204633512577535E-3</v>
      </c>
      <c r="U12" s="18">
        <f>S12*1/((U11+U13)/2)</f>
        <v>2.1312101705093744</v>
      </c>
      <c r="V12" s="18">
        <f>U12*Input!T12/100</f>
        <v>2.5219189592738229E-3</v>
      </c>
      <c r="W12" s="134">
        <v>3.0000000000000001E-3</v>
      </c>
      <c r="X12" s="130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0.20007994533155873</v>
      </c>
      <c r="Y12" s="130">
        <f>X12*Input!X12/100</f>
        <v>4.1632032596910639E-4</v>
      </c>
      <c r="Z12" s="130">
        <f>(X12/Constants!$B$11)*6.022E+23*0.000000001*Constants!$B$19/(365.2425*24*60)</f>
        <v>4.884598298611862E-5</v>
      </c>
      <c r="AA12" s="130">
        <f>Z12*Input!X12/100</f>
        <v>1.0163725067679127E-7</v>
      </c>
      <c r="AB12" s="135">
        <v>0.05</v>
      </c>
      <c r="AC12" s="135">
        <v>0.9</v>
      </c>
      <c r="AD12" s="130">
        <f>(((Input!G12*Constants!$B$25*0.000000001*Input!U12*(Constants!$B$10/Constants!$B$9))-((AB12*0.000000000000001)+(Input!G12*AC12*0.000000000000001)))/Input!F12)*1000000000000</f>
        <v>7.3324944454463843</v>
      </c>
      <c r="AE12" s="130">
        <f>AD12*Input!V12/100</f>
        <v>1.3775319033795674E-2</v>
      </c>
      <c r="AF12" s="130">
        <f>(AD12/Constants!$B$10)*602200000000*Constants!$B$16/(365.2425*24*60)</f>
        <v>0.33469661047373683</v>
      </c>
      <c r="AG12" s="130">
        <f>AF12*Input!V12/100</f>
        <v>6.2878364560766938E-4</v>
      </c>
      <c r="AH12" s="18">
        <f>AF12/Z12</f>
        <v>6852.0805604189227</v>
      </c>
      <c r="AI12" s="134">
        <f>AH12*SQRT((AG12/AF12)^2+(AA12/Z12)^2)</f>
        <v>19.209053430821903</v>
      </c>
      <c r="AJ12" s="133">
        <f t="shared" si="14"/>
        <v>1131.2101705093744</v>
      </c>
      <c r="AK12" s="134">
        <f>V12*1000</f>
        <v>2.5219189592738229</v>
      </c>
      <c r="AL12" s="134">
        <f>AF12/Q12</f>
        <v>2.2519018870270582</v>
      </c>
      <c r="AM12" s="134">
        <f>AL12*SQRT((R12/Q12)^2+(AG12/AF12)^2)</f>
        <v>4.2329119641562728E-3</v>
      </c>
      <c r="AN12" s="18">
        <f>AL12*1/((AN11+AN13)/2)</f>
        <v>2.2598355138316815</v>
      </c>
      <c r="AO12" s="130">
        <f>AN12*SQRT((R12/Q12)^2+(AG12/AF12)^2)</f>
        <v>4.2478248446924565E-3</v>
      </c>
      <c r="AP12" s="18">
        <f>ThU_Alter_Kombi(AN12,U12)</f>
        <v>271.59649999999999</v>
      </c>
      <c r="AQ12" s="18">
        <f t="shared" si="16"/>
        <v>1.9792000000000001</v>
      </c>
      <c r="AR12" s="155">
        <f>(AQ12/AP12)</f>
        <v>7.2872809480239997E-3</v>
      </c>
      <c r="AS12" s="132">
        <f t="shared" si="17"/>
        <v>3.2864498120982125E-4</v>
      </c>
      <c r="AT12" s="132">
        <f t="shared" si="18"/>
        <v>6.8414254347233934E-7</v>
      </c>
      <c r="AU12" s="18">
        <v>0.75</v>
      </c>
      <c r="AV12" s="18">
        <f>AU12/2</f>
        <v>0.375</v>
      </c>
      <c r="AW12" s="18">
        <f t="shared" si="19"/>
        <v>271.58859999999999</v>
      </c>
      <c r="AX12" s="136">
        <f t="shared" si="20"/>
        <v>1.8867990933000001</v>
      </c>
      <c r="AY12" s="136">
        <f t="shared" si="21"/>
        <v>1.9854126629328774</v>
      </c>
      <c r="AZ12" s="155">
        <f t="shared" si="22"/>
        <v>6.9472691169658821E-3</v>
      </c>
      <c r="BA12" s="18" t="str">
        <f>Input!B12</f>
        <v>M5-14-44B_331,25</v>
      </c>
      <c r="BB12" s="137">
        <f>Input!E12</f>
        <v>331.25</v>
      </c>
      <c r="BC12" s="18">
        <f>((U12-1)*EXP(Constants!$B$17*AW12*1000))*1000</f>
        <v>2434.4657587500997</v>
      </c>
      <c r="BD12" s="133">
        <f>SQRT((EXP(Constants!$B$17*AW12*1000)*V12)^2+((U12-1)*Constants!$B$17*EXP(Constants!$B$17*AW12*1000)*AY12*1000)^2)*1000</f>
        <v>14.680315036861954</v>
      </c>
      <c r="BE12" s="18">
        <f t="shared" si="23"/>
        <v>271530.59999999998</v>
      </c>
      <c r="BF12" s="138">
        <f t="shared" si="24"/>
        <v>992.70633146643877</v>
      </c>
      <c r="BG12" s="20">
        <f t="shared" si="25"/>
        <v>0.73103681926740571</v>
      </c>
      <c r="BH12" s="18"/>
      <c r="BI12" s="18"/>
      <c r="BJ12" s="18"/>
      <c r="BK12" s="18"/>
      <c r="BL12" s="18"/>
      <c r="BM12" s="18"/>
      <c r="BN12" s="160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9">
        <f>Input!A13</f>
        <v>10815</v>
      </c>
      <c r="B13" s="139" t="str">
        <f>Input!B13</f>
        <v>Hu1-13</v>
      </c>
      <c r="C13" s="139">
        <f>Input!O13</f>
        <v>2.1226440275725471</v>
      </c>
      <c r="D13" s="139">
        <f>C13*Input!P13/100</f>
        <v>2.7125104529474607E-2</v>
      </c>
      <c r="E13" s="140">
        <f>Input!M13</f>
        <v>2.7320150246880202</v>
      </c>
      <c r="F13" s="141">
        <f>E13*Input!N13/100</f>
        <v>5.1633962196927805E-4</v>
      </c>
      <c r="G13" s="142">
        <f t="shared" ref="G13" si="26">E13*137.88</f>
        <v>376.69023160398422</v>
      </c>
      <c r="H13" s="141">
        <f>G13*Input!L13/100</f>
        <v>2.5892994545977994E-2</v>
      </c>
      <c r="I13" s="139">
        <v>0</v>
      </c>
      <c r="J13" s="143">
        <f>(((C13*Constants!$B$24*0.000000001*Input!G13*(Constants!$B$4/Constants!$B$3))-(I13*0.000000000000001))/Input!F13)*1000000000000</f>
        <v>766.35418371903063</v>
      </c>
      <c r="K13" s="139">
        <f>J13*Input!P13/100</f>
        <v>9.7931810845134404</v>
      </c>
      <c r="L13" s="144">
        <f>(J13/Constants!$B$4)*602200000000*Constants!$B$17/(365.2425*24*60)</f>
        <v>10.58037040066386</v>
      </c>
      <c r="M13" s="145">
        <f>L13*Input!P13/100</f>
        <v>0.13520573838599395</v>
      </c>
      <c r="N13" s="139">
        <v>0</v>
      </c>
      <c r="O13" s="143">
        <f>(((G13*Constants!$B$23*0.000000001*Input!G13*(Constants!$B$7/Constants!$B$6))-(N13*0.000000001))/Input!F13)*1000000</f>
        <v>13.699926064839383</v>
      </c>
      <c r="P13" s="139">
        <f>O13*Input!N13/100</f>
        <v>2.5892297741422609E-3</v>
      </c>
      <c r="Q13" s="146">
        <f>(O13/Constants!$B$7)*602200000000000000*Constants!$B$18/(365.2425*24*60)</f>
        <v>10.221799226432417</v>
      </c>
      <c r="R13" s="147">
        <f>Q13*Input!N13/100</f>
        <v>1.9318780829269706E-3</v>
      </c>
      <c r="S13" s="145">
        <f>Input!S13*Constants!$B$17/Constants!$B$18</f>
        <v>0.99892400146984028</v>
      </c>
      <c r="T13" s="139">
        <f>S13*Input!T13/100</f>
        <v>2.328663610679264E-3</v>
      </c>
      <c r="U13" s="145">
        <f>S13</f>
        <v>0.99892400146984028</v>
      </c>
      <c r="V13" s="139">
        <f>U13*Input!T13/100</f>
        <v>2.328663610679264E-3</v>
      </c>
      <c r="W13" s="148">
        <v>0</v>
      </c>
      <c r="X13" s="143">
        <f>(((Constants!$B$25*0.000000001*Input!G13/Input!W13*(Constants!$B$11/Constants!$B$9))-(W13*0.000000001))/Input!F13)*1000000000</f>
        <v>0.90502759155128332</v>
      </c>
      <c r="Y13" s="143">
        <f>X13*Input!X13/100</f>
        <v>9.1093552708813915E-3</v>
      </c>
      <c r="Z13" s="143">
        <f>(X13/Constants!$B$11)*6.022E+23*0.000000001*Constants!$B$19/(365.2425*24*60)</f>
        <v>2.2094649349101511E-4</v>
      </c>
      <c r="AA13" s="143">
        <f>Z13*Input!X13/100</f>
        <v>2.2238881155161901E-6</v>
      </c>
      <c r="AB13" s="144">
        <v>0</v>
      </c>
      <c r="AC13" s="144">
        <v>0.9</v>
      </c>
      <c r="AD13" s="143">
        <f>(((Input!G13*Constants!$B$25*0.000000001*Input!U13*(Constants!$B$10/Constants!$B$9))-((AB13*0.000000000000001)+(Input!G13*AC13*0.000000000000001)))/Input!F13)*1000000000000</f>
        <v>223.38698598781949</v>
      </c>
      <c r="AE13" s="143">
        <f>AD13*Input!V13/100</f>
        <v>0.79901308844652208</v>
      </c>
      <c r="AF13" s="143">
        <f>(AD13/Constants!$B$10)*602200000000*Constants!$B$16/(365.2425*24*60)</f>
        <v>10.196648301656598</v>
      </c>
      <c r="AG13" s="143">
        <f>AF13*Input!V13/100</f>
        <v>3.6471486533928454E-2</v>
      </c>
      <c r="AH13" s="139">
        <f t="shared" ref="AH13" si="27">AF13/Z13</f>
        <v>46149.853480572434</v>
      </c>
      <c r="AI13" s="148">
        <f t="shared" ref="AI13" si="28">AH13*SQRT((AG13/AF13)^2+(AA13/Z13)^2)</f>
        <v>492.96905719261167</v>
      </c>
      <c r="AJ13" s="145">
        <f t="shared" si="14"/>
        <v>-1.0759985301597164</v>
      </c>
      <c r="AK13" s="148">
        <f t="shared" ref="AK13" si="29">V13*1000</f>
        <v>2.3286636106792642</v>
      </c>
      <c r="AL13" s="148">
        <f t="shared" ref="AL13" si="30">AF13/Q13</f>
        <v>0.99753948162953732</v>
      </c>
      <c r="AM13" s="148">
        <f t="shared" ref="AM13" si="31">AL13*SQRT((R13/Q13)^2+(AG13/AF13)^2)</f>
        <v>3.5729878969840995E-3</v>
      </c>
      <c r="AN13" s="139">
        <f>AF13/Q13</f>
        <v>0.99753948162953732</v>
      </c>
      <c r="AO13" s="143">
        <f t="shared" ref="AO13" si="32">AN13*SQRT((R13/Q13)^2+(AG13/AF13)^2)</f>
        <v>3.5729878969840995E-3</v>
      </c>
      <c r="AP13" s="139">
        <f t="shared" ref="AP13" si="33">ThU_Alter_Kombi(AN13,U13)</f>
        <v>762.52499999999998</v>
      </c>
      <c r="AQ13" s="139" t="e">
        <f t="shared" si="16"/>
        <v>#VALUE!</v>
      </c>
      <c r="AR13" s="139" t="e">
        <f>(AQ13/AP13)*100</f>
        <v>#VALUE!</v>
      </c>
      <c r="AS13" s="147">
        <f t="shared" si="17"/>
        <v>2.1615225323509826E-5</v>
      </c>
      <c r="AT13" s="147">
        <f t="shared" si="18"/>
        <v>2.1760162538889512E-7</v>
      </c>
      <c r="AU13" s="139">
        <v>0.75</v>
      </c>
      <c r="AV13" s="139">
        <f t="shared" ref="AV13" si="34">AU13/2</f>
        <v>0.375</v>
      </c>
      <c r="AW13" s="139">
        <f t="shared" si="19"/>
        <v>762.52319999999997</v>
      </c>
      <c r="AX13" s="149">
        <f t="shared" si="20"/>
        <v>328.65412204339998</v>
      </c>
      <c r="AY13" s="149">
        <f t="shared" si="21"/>
        <v>581.30329521356612</v>
      </c>
      <c r="AZ13" s="150">
        <f t="shared" si="22"/>
        <v>0.43100868543199733</v>
      </c>
      <c r="BA13" s="139" t="str">
        <f>Input!B13</f>
        <v>Hu1-13</v>
      </c>
      <c r="BB13" s="151">
        <f>Input!E13</f>
        <v>0</v>
      </c>
      <c r="BC13" s="139">
        <f>((U13-1)*EXP(Constants!$B$17*AW13*1000))*1000</f>
        <v>-9.2547350468643668</v>
      </c>
      <c r="BD13" s="145">
        <f>SQRT((EXP(Constants!$B$17*AW13*1000)*V13)^2+((U13-1)*Constants!$B$17*EXP(Constants!$B$17*AW13*1000)*AY13*1000)^2)*1000</f>
        <v>25.132804807603062</v>
      </c>
      <c r="BE13" s="139">
        <f t="shared" si="23"/>
        <v>762465.2</v>
      </c>
      <c r="BF13" s="152">
        <f t="shared" si="24"/>
        <v>290651.64760678308</v>
      </c>
      <c r="BG13" s="161">
        <f t="shared" si="25"/>
        <v>76.23417821432399</v>
      </c>
      <c r="BH13" s="139"/>
      <c r="BI13" s="18"/>
      <c r="BJ13" s="18"/>
      <c r="BK13" s="18"/>
      <c r="BL13" s="18"/>
      <c r="BM13" s="18"/>
      <c r="BN13" s="160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10891</v>
      </c>
      <c r="B14" s="18" t="str">
        <f>Input!B14</f>
        <v>M5-14-44B_346,5</v>
      </c>
      <c r="C14" s="18">
        <f>Input!O14</f>
        <v>1.6357885275493418</v>
      </c>
      <c r="D14" s="18">
        <f>C14*Input!P14/100</f>
        <v>6.8165046372728622E-3</v>
      </c>
      <c r="E14" s="153">
        <f>Input!M14</f>
        <v>1.0454594005205213</v>
      </c>
      <c r="F14" s="154">
        <f>E14*Input!N14/100</f>
        <v>9.0765699888665892E-5</v>
      </c>
      <c r="G14" s="21">
        <f>E14*137.88</f>
        <v>144.14794214376948</v>
      </c>
      <c r="H14" s="154">
        <f>G14*Input!L14/100</f>
        <v>1.5602268940982773E-2</v>
      </c>
      <c r="I14" s="18">
        <v>0.3</v>
      </c>
      <c r="J14" s="130">
        <f>(((C14*Constants!$B$24*0.000000001*Input!G14*(Constants!$B$4/Constants!$B$3))-(I14*0.000000000000001))/Input!F14)*1000000000000</f>
        <v>31.580562170996757</v>
      </c>
      <c r="K14" s="18">
        <f>J14*Input!P14/100</f>
        <v>0.13159955878208099</v>
      </c>
      <c r="L14" s="135">
        <f>(J14/Constants!$B$4)*602200000000*Constants!$B$17/(365.2425*24*60)</f>
        <v>0.43600472513743449</v>
      </c>
      <c r="M14" s="133">
        <f>L14*Input!P14/100</f>
        <v>1.8168780259296407E-3</v>
      </c>
      <c r="N14" s="18">
        <v>5.0000000000000001E-3</v>
      </c>
      <c r="O14" s="130">
        <f>(((G14*Constants!$B$23*0.000000001*Input!G14*(Constants!$B$7/Constants!$B$6))-(N14*0.000000001))/Input!F14)*1000000</f>
        <v>0.28032701801732546</v>
      </c>
      <c r="P14" s="18">
        <f>O14*Input!N14/100</f>
        <v>2.4337700703993774E-5</v>
      </c>
      <c r="Q14" s="131">
        <f>(O14/Constants!$B$7)*602200000000000000*Constants!$B$18/(365.2425*24*60)</f>
        <v>0.20915780730172848</v>
      </c>
      <c r="R14" s="132">
        <f>Q14*Input!N14/100</f>
        <v>1.8158863708593586E-5</v>
      </c>
      <c r="S14" s="133">
        <f>Input!S14*Constants!$B$17/Constants!$B$18</f>
        <v>2.0739251698937342</v>
      </c>
      <c r="T14" s="18">
        <f>S14*Input!T14/100</f>
        <v>2.0543543842822228E-3</v>
      </c>
      <c r="U14" s="18">
        <f>S14*1/((U13+U15)/2)</f>
        <v>2.0735827739719483</v>
      </c>
      <c r="V14" s="18">
        <f>U14*Input!T14/100</f>
        <v>2.0540152194110438E-3</v>
      </c>
      <c r="W14" s="134">
        <v>3.0000000000000001E-3</v>
      </c>
      <c r="X14" s="130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0.14727047358908915</v>
      </c>
      <c r="Y14" s="130">
        <f>X14*Input!X14/100</f>
        <v>3.9182463037615078E-4</v>
      </c>
      <c r="Z14" s="130">
        <f>(X14/Constants!$B$11)*6.022E+23*0.000000001*Constants!$B$19/(365.2425*24*60)</f>
        <v>3.5953483670587725E-5</v>
      </c>
      <c r="AA14" s="130">
        <f>Z14*Input!X14/100</f>
        <v>9.5657059467802979E-8</v>
      </c>
      <c r="AB14" s="135">
        <v>0.05</v>
      </c>
      <c r="AC14" s="135">
        <v>0.9</v>
      </c>
      <c r="AD14" s="130">
        <f>(((Input!G14*Constants!$B$25*0.000000001*Input!U14*(Constants!$B$10/Constants!$B$9))-((AB14*0.000000000000001)+(Input!G14*AC14*0.000000000000001)))/Input!F14)*1000000000000</f>
        <v>10.014725284782175</v>
      </c>
      <c r="AE14" s="130">
        <f>AD14*Input!V14/100</f>
        <v>1.826438884201213E-2</v>
      </c>
      <c r="AF14" s="130">
        <f>(AD14/Constants!$B$10)*602200000000*Constants!$B$16/(365.2425*24*60)</f>
        <v>0.45712883011098787</v>
      </c>
      <c r="AG14" s="130">
        <f>AF14*Input!V14/100</f>
        <v>8.3369023778696524E-4</v>
      </c>
      <c r="AH14" s="18">
        <f>AF14/Z14</f>
        <v>12714.451659240711</v>
      </c>
      <c r="AI14" s="134">
        <f>AH14*SQRT((AG14/AF14)^2+(AA14/Z14)^2)</f>
        <v>41.012243714117659</v>
      </c>
      <c r="AJ14" s="133">
        <f t="shared" ref="AJ14:AJ17" si="35">(U14-1)*1000</f>
        <v>1073.5827739719484</v>
      </c>
      <c r="AK14" s="134">
        <f>V14*1000</f>
        <v>2.0540152194110437</v>
      </c>
      <c r="AL14" s="134">
        <f>AF14/Q14</f>
        <v>2.1855690495528068</v>
      </c>
      <c r="AM14" s="134">
        <f>AL14*SQRT((R14/Q14)^2+(AG14/AF14)^2)</f>
        <v>3.9904527859835103E-3</v>
      </c>
      <c r="AN14" s="18">
        <f>AL14*1/((AN13+AN15)/2)</f>
        <v>2.1858435407692109</v>
      </c>
      <c r="AO14" s="130">
        <f>AN14*SQRT((R14/Q14)^2+(AG14/AF14)^2)</f>
        <v>3.9909539571725203E-3</v>
      </c>
      <c r="AP14" s="18">
        <f>ThU_Alter_Kombi(AN14,U14)</f>
        <v>269.39120000000003</v>
      </c>
      <c r="AQ14" s="18">
        <f t="shared" ref="AQ14:AQ17" si="36">Montealter(AN14,AO14,U14,V14)</f>
        <v>1.8008</v>
      </c>
      <c r="AR14" s="155">
        <f>(AQ14/AP14)</f>
        <v>6.6847023956239093E-3</v>
      </c>
      <c r="AS14" s="132">
        <f t="shared" si="17"/>
        <v>1.7189644572397755E-4</v>
      </c>
      <c r="AT14" s="132">
        <f t="shared" si="18"/>
        <v>4.5758738834727187E-7</v>
      </c>
      <c r="AU14" s="18">
        <v>0.75</v>
      </c>
      <c r="AV14" s="18">
        <f>AU14/2</f>
        <v>0.375</v>
      </c>
      <c r="AW14" s="18">
        <f t="shared" si="19"/>
        <v>269.38690000000003</v>
      </c>
      <c r="AX14" s="136">
        <f t="shared" si="20"/>
        <v>1.7871274706</v>
      </c>
      <c r="AY14" s="136">
        <f t="shared" si="21"/>
        <v>1.8234752028000796</v>
      </c>
      <c r="AZ14" s="155">
        <f t="shared" si="22"/>
        <v>6.6340548504771387E-3</v>
      </c>
      <c r="BA14" s="18" t="str">
        <f>Input!B14</f>
        <v>M5-14-44B_346,5</v>
      </c>
      <c r="BB14" s="137">
        <f>Input!E14</f>
        <v>346.5</v>
      </c>
      <c r="BC14" s="18">
        <f>((U14-1)*EXP(Constants!$B$17*AW14*1000))*1000</f>
        <v>2296.1353728332565</v>
      </c>
      <c r="BD14" s="133">
        <f>SQRT((EXP(Constants!$B$17*AW14*1000)*V14)^2+((U14-1)*Constants!$B$17*EXP(Constants!$B$17*AW14*1000)*AY14*1000)^2)*1000</f>
        <v>12.60604092956525</v>
      </c>
      <c r="BE14" s="18">
        <f t="shared" ref="BE14:BE17" si="37">AW14*1000-58</f>
        <v>269328.90000000002</v>
      </c>
      <c r="BF14" s="138">
        <f t="shared" ref="BF14:BF17" si="38">AY14/2*1000</f>
        <v>911.73760140003981</v>
      </c>
      <c r="BG14" s="20">
        <f t="shared" ref="BG14:BG17" si="39">AY14/AW14*100</f>
        <v>0.67689824664825182</v>
      </c>
      <c r="BH14" s="18"/>
      <c r="BI14" s="18"/>
      <c r="BJ14" s="18"/>
      <c r="BK14" s="18"/>
      <c r="BL14" s="18"/>
      <c r="BM14" s="18"/>
      <c r="BN14" s="160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9">
        <f>Input!A15</f>
        <v>10815</v>
      </c>
      <c r="B15" s="139" t="str">
        <f>Input!B15</f>
        <v>Hu1-13</v>
      </c>
      <c r="C15" s="139">
        <f>Input!O15</f>
        <v>2.1012460877423864</v>
      </c>
      <c r="D15" s="139">
        <f>C15*Input!P15/100</f>
        <v>3.0914428169636955E-2</v>
      </c>
      <c r="E15" s="140">
        <f>Input!M15</f>
        <v>2.7321504269533112</v>
      </c>
      <c r="F15" s="141">
        <f>E15*Input!N15/100</f>
        <v>4.9668743007177615E-4</v>
      </c>
      <c r="G15" s="142">
        <f t="shared" ref="G15" si="40">E15*137.88</f>
        <v>376.70890086832253</v>
      </c>
      <c r="H15" s="141">
        <f>G15*Input!L15/100</f>
        <v>3.8549302608997221E-2</v>
      </c>
      <c r="I15" s="139">
        <v>0</v>
      </c>
      <c r="J15" s="143">
        <f>(((C15*Constants!$B$24*0.000000001*Input!G15*(Constants!$B$4/Constants!$B$3))-(I15*0.000000000000001))/Input!F15)*1000000000000</f>
        <v>758.6287241041349</v>
      </c>
      <c r="K15" s="139">
        <f>J15*Input!P15/100</f>
        <v>11.161269180012344</v>
      </c>
      <c r="L15" s="144">
        <f>(J15/Constants!$B$4)*602200000000*Constants!$B$17/(365.2425*24*60)</f>
        <v>10.473711852987771</v>
      </c>
      <c r="M15" s="145">
        <f>L15*Input!P15/100</f>
        <v>0.15409371355287077</v>
      </c>
      <c r="N15" s="139">
        <v>0</v>
      </c>
      <c r="O15" s="143">
        <f>(((G15*Constants!$B$23*0.000000001*Input!G15*(Constants!$B$7/Constants!$B$6))-(N15*0.000000001))/Input!F15)*1000000</f>
        <v>13.700605051231014</v>
      </c>
      <c r="P15" s="139">
        <f>O15*Input!N15/100</f>
        <v>2.4906821550498082E-3</v>
      </c>
      <c r="Q15" s="146">
        <f>(O15/Constants!$B$7)*602200000000000000*Constants!$B$18/(365.2425*24*60)</f>
        <v>10.222305832273928</v>
      </c>
      <c r="R15" s="147">
        <f>Q15*Input!N15/100</f>
        <v>1.8583496586246459E-3</v>
      </c>
      <c r="S15" s="145">
        <f>Input!S15*Constants!$B$17/Constants!$B$18</f>
        <v>1.0014062442537293</v>
      </c>
      <c r="T15" s="139">
        <f>S15*Input!T15/100</f>
        <v>1.9851621197802516E-3</v>
      </c>
      <c r="U15" s="145">
        <f>S15</f>
        <v>1.0014062442537293</v>
      </c>
      <c r="V15" s="139">
        <f>U15*Input!T15/100</f>
        <v>1.9851621197802516E-3</v>
      </c>
      <c r="W15" s="148">
        <v>0</v>
      </c>
      <c r="X15" s="143">
        <f>(((Constants!$B$25*0.000000001*Input!G15/Input!W15*(Constants!$B$11/Constants!$B$9))-(W15*0.000000001))/Input!F15)*1000000000</f>
        <v>0.8831575665291993</v>
      </c>
      <c r="Y15" s="143">
        <f>X15*Input!X15/100</f>
        <v>8.1098010071984535E-3</v>
      </c>
      <c r="Z15" s="143">
        <f>(X15/Constants!$B$11)*6.022E+23*0.000000001*Constants!$B$19/(365.2425*24*60)</f>
        <v>2.1560731335297354E-4</v>
      </c>
      <c r="AA15" s="143">
        <f>Z15*Input!X15/100</f>
        <v>1.9798646054305038E-6</v>
      </c>
      <c r="AB15" s="144">
        <v>0</v>
      </c>
      <c r="AC15" s="144">
        <v>0.9</v>
      </c>
      <c r="AD15" s="143">
        <f>(((Input!G15*Constants!$B$25*0.000000001*Input!U15*(Constants!$B$10/Constants!$B$9))-((AB15*0.000000000000001)+(Input!G15*AC15*0.000000000000001)))/Input!F15)*1000000000000</f>
        <v>224.44387341685882</v>
      </c>
      <c r="AE15" s="143">
        <f>AD15*Input!V15/100</f>
        <v>0.69792980284423878</v>
      </c>
      <c r="AF15" s="143">
        <f>(AD15/Constants!$B$10)*602200000000*Constants!$B$16/(365.2425*24*60)</f>
        <v>10.244890634846694</v>
      </c>
      <c r="AG15" s="143">
        <f>AF15*Input!V15/100</f>
        <v>3.1857472392036616E-2</v>
      </c>
      <c r="AH15" s="139">
        <f t="shared" ref="AH15" si="41">AF15/Z15</f>
        <v>47516.433814444179</v>
      </c>
      <c r="AI15" s="148">
        <f t="shared" ref="AI15" si="42">AH15*SQRT((AG15/AF15)^2+(AA15/Z15)^2)</f>
        <v>460.66978389108829</v>
      </c>
      <c r="AJ15" s="145">
        <f t="shared" si="35"/>
        <v>1.4062442537292608</v>
      </c>
      <c r="AK15" s="148">
        <f t="shared" ref="AK15" si="43">V15*1000</f>
        <v>1.9851621197802516</v>
      </c>
      <c r="AL15" s="148">
        <f t="shared" ref="AL15" si="44">AF15/Q15</f>
        <v>1.0022093647894452</v>
      </c>
      <c r="AM15" s="148">
        <f t="shared" ref="AM15" si="45">AL15*SQRT((R15/Q15)^2+(AG15/AF15)^2)</f>
        <v>3.1217875912964051E-3</v>
      </c>
      <c r="AN15" s="139">
        <f>AF15/Q15</f>
        <v>1.0022093647894452</v>
      </c>
      <c r="AO15" s="143">
        <f t="shared" ref="AO15" si="46">AN15*SQRT((R15/Q15)^2+(AG15/AF15)^2)</f>
        <v>3.1217875912964051E-3</v>
      </c>
      <c r="AP15" s="139" t="str">
        <f t="shared" ref="AP15" si="47">ThU_Alter_Kombi(AN15,U15)</f>
        <v>Out of range</v>
      </c>
      <c r="AQ15" s="139" t="e">
        <f t="shared" si="36"/>
        <v>#VALUE!</v>
      </c>
      <c r="AR15" s="139" t="e">
        <f>(AQ15/AP15)*100</f>
        <v>#VALUE!</v>
      </c>
      <c r="AS15" s="147">
        <f t="shared" si="17"/>
        <v>2.1091847269160815E-5</v>
      </c>
      <c r="AT15" s="147">
        <f t="shared" si="18"/>
        <v>1.9371877423727144E-7</v>
      </c>
      <c r="AU15" s="139">
        <v>0.75</v>
      </c>
      <c r="AV15" s="139">
        <f t="shared" ref="AV15" si="48">AU15/2</f>
        <v>0.375</v>
      </c>
      <c r="AW15" s="139" t="str">
        <f t="shared" si="19"/>
        <v>Out of range</v>
      </c>
      <c r="AX15" s="149">
        <f t="shared" si="20"/>
        <v>339.7202344982</v>
      </c>
      <c r="AY15" s="149" t="e">
        <f t="shared" si="21"/>
        <v>#VALUE!</v>
      </c>
      <c r="AZ15" s="150" t="e">
        <f t="shared" si="22"/>
        <v>#VALUE!</v>
      </c>
      <c r="BA15" s="139" t="str">
        <f>Input!B15</f>
        <v>Hu1-13</v>
      </c>
      <c r="BB15" s="151">
        <f>Input!E15</f>
        <v>0</v>
      </c>
      <c r="BC15" s="139" t="e">
        <f>((U15-1)*EXP(Constants!$B$17*AW15*1000))*1000</f>
        <v>#VALUE!</v>
      </c>
      <c r="BD15" s="145" t="e">
        <f>SQRT((EXP(Constants!$B$17*AW15*1000)*V15)^2+((U15-1)*Constants!$B$17*EXP(Constants!$B$17*AW15*1000)*AY15*1000)^2)*1000</f>
        <v>#VALUE!</v>
      </c>
      <c r="BE15" s="139" t="e">
        <f t="shared" si="37"/>
        <v>#VALUE!</v>
      </c>
      <c r="BF15" s="152" t="e">
        <f t="shared" si="38"/>
        <v>#VALUE!</v>
      </c>
      <c r="BG15" s="161" t="e">
        <f t="shared" si="39"/>
        <v>#VALUE!</v>
      </c>
      <c r="BH15" s="139"/>
      <c r="BI15" s="18"/>
      <c r="BJ15" s="18"/>
      <c r="BK15" s="18"/>
      <c r="BL15" s="18"/>
      <c r="BM15" s="18"/>
      <c r="BN15" s="160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10892</v>
      </c>
      <c r="B16" s="18" t="str">
        <f>Input!B16</f>
        <v>M5-14-44B_618,75</v>
      </c>
      <c r="C16" s="18">
        <f>Input!O16</f>
        <v>1.424586566060468</v>
      </c>
      <c r="D16" s="18">
        <f>C16*Input!P16/100</f>
        <v>3.7691898289180076E-3</v>
      </c>
      <c r="E16" s="153">
        <f>Input!M16</f>
        <v>0.94553343810614687</v>
      </c>
      <c r="F16" s="154">
        <f>E16*Input!N16/100</f>
        <v>6.2391840415068815E-5</v>
      </c>
      <c r="G16" s="21">
        <f>E16*137.88</f>
        <v>130.37015044607551</v>
      </c>
      <c r="H16" s="154">
        <f>G16*Input!L16/100</f>
        <v>7.1918640951803966E-3</v>
      </c>
      <c r="I16" s="18">
        <v>0.3</v>
      </c>
      <c r="J16" s="130">
        <f>(((C16*Constants!$B$24*0.000000001*Input!G16*(Constants!$B$4/Constants!$B$3))-(I16*0.000000000000001))/Input!F16)*1000000000000</f>
        <v>30.985295891205077</v>
      </c>
      <c r="K16" s="18">
        <f>J16*Input!P16/100</f>
        <v>8.1981302436476777E-2</v>
      </c>
      <c r="L16" s="135">
        <f>(J16/Constants!$B$4)*602200000000*Constants!$B$17/(365.2425*24*60)</f>
        <v>0.42778641321192623</v>
      </c>
      <c r="M16" s="133">
        <f>L16*Input!P16/100</f>
        <v>1.131842905192234E-3</v>
      </c>
      <c r="N16" s="18">
        <v>5.0000000000000001E-3</v>
      </c>
      <c r="O16" s="130">
        <f>(((G16*Constants!$B$23*0.000000001*Input!G16*(Constants!$B$7/Constants!$B$6))-(N16*0.000000001))/Input!F16)*1000000</f>
        <v>0.28563266761377026</v>
      </c>
      <c r="P16" s="18">
        <f>O16*Input!N16/100</f>
        <v>1.8847718226426298E-5</v>
      </c>
      <c r="Q16" s="131">
        <f>(O16/Constants!$B$7)*602200000000000000*Constants!$B$18/(365.2425*24*60)</f>
        <v>0.21311646260278516</v>
      </c>
      <c r="R16" s="132">
        <f>Q16*Input!N16/100</f>
        <v>1.4062673818463356E-5</v>
      </c>
      <c r="S16" s="133">
        <f>Input!S16*Constants!$B$17/Constants!$B$18</f>
        <v>1.9858304360540449</v>
      </c>
      <c r="T16" s="18">
        <f>S16*Input!T16/100</f>
        <v>1.6354033302334444E-3</v>
      </c>
      <c r="U16" s="18">
        <f>S16*1/((U15+U17)/2)</f>
        <v>1.9851540698498291</v>
      </c>
      <c r="V16" s="18">
        <f>U16*Input!T16/100</f>
        <v>1.6348463181528816E-3</v>
      </c>
      <c r="W16" s="134">
        <v>3.0000000000000001E-3</v>
      </c>
      <c r="X16" s="130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6.9020583528667967E-2</v>
      </c>
      <c r="Y16" s="130">
        <f>X16*Input!X16/100</f>
        <v>1.7100022691264247E-4</v>
      </c>
      <c r="Z16" s="130">
        <f>(X16/Constants!$B$11)*6.022E+23*0.000000001*Constants!$B$19/(365.2425*24*60)</f>
        <v>1.6850155787210351E-5</v>
      </c>
      <c r="AA16" s="130">
        <f>Z16*Input!X16/100</f>
        <v>4.1746683609673528E-8</v>
      </c>
      <c r="AB16" s="135">
        <v>0.05</v>
      </c>
      <c r="AC16" s="135">
        <v>0.9</v>
      </c>
      <c r="AD16" s="130">
        <f>(((Input!G16*Constants!$B$25*0.000000001*Input!U16*(Constants!$B$10/Constants!$B$9))-((AB16*0.000000000000001)+(Input!G16*AC16*0.000000000000001)))/Input!F16)*1000000000000</f>
        <v>9.8254190666343391</v>
      </c>
      <c r="AE16" s="130">
        <f>AD16*Input!V16/100</f>
        <v>2.2464790919037157E-2</v>
      </c>
      <c r="AF16" s="130">
        <f>(AD16/Constants!$B$10)*602200000000*Constants!$B$16/(365.2425*24*60)</f>
        <v>0.44848782123916658</v>
      </c>
      <c r="AG16" s="130">
        <f>AF16*Input!V16/100</f>
        <v>1.0254203984119332E-3</v>
      </c>
      <c r="AH16" s="18">
        <f>AF16/Z16</f>
        <v>26616.241826059493</v>
      </c>
      <c r="AI16" s="134">
        <f>AH16*SQRT((AG16/AF16)^2+(AA16/Z16)^2)</f>
        <v>89.731611687948472</v>
      </c>
      <c r="AJ16" s="133">
        <f t="shared" si="35"/>
        <v>985.15406984982917</v>
      </c>
      <c r="AK16" s="134">
        <f>V16*1000</f>
        <v>1.6348463181528816</v>
      </c>
      <c r="AL16" s="134">
        <f>AF16/Q16</f>
        <v>2.1044259826847624</v>
      </c>
      <c r="AM16" s="134">
        <f>AL16*SQRT((R16/Q16)^2+(AG16/AF16)^2)</f>
        <v>4.8135528319460039E-3</v>
      </c>
      <c r="AN16" s="18">
        <f>AL16*1/((AN15+AN17)/2)</f>
        <v>2.1011239828055128</v>
      </c>
      <c r="AO16" s="130">
        <f>AN16*SQRT((R16/Q16)^2+(AG16/AF16)^2)</f>
        <v>4.8060000118417918E-3</v>
      </c>
      <c r="AP16" s="18">
        <f>ThU_Alter_Kombi(AN16,U16)</f>
        <v>277.91849999999999</v>
      </c>
      <c r="AQ16" s="18">
        <f t="shared" si="36"/>
        <v>2.2896999999999998</v>
      </c>
      <c r="AR16" s="155">
        <f>(AQ16/AP16)</f>
        <v>8.2387462511491674E-3</v>
      </c>
      <c r="AS16" s="132">
        <f t="shared" si="17"/>
        <v>7.9065481762506234E-5</v>
      </c>
      <c r="AT16" s="132">
        <f t="shared" si="18"/>
        <v>1.9595617886198405E-7</v>
      </c>
      <c r="AU16" s="18">
        <v>0.75</v>
      </c>
      <c r="AV16" s="18">
        <f>AU16/2</f>
        <v>0.375</v>
      </c>
      <c r="AW16" s="18">
        <f t="shared" si="19"/>
        <v>277.91649999999998</v>
      </c>
      <c r="AX16" s="136">
        <f t="shared" si="20"/>
        <v>2.2608858381000001</v>
      </c>
      <c r="AY16" s="136">
        <f t="shared" si="21"/>
        <v>2.284887382530707</v>
      </c>
      <c r="AZ16" s="155">
        <f t="shared" si="22"/>
        <v>8.1351263350682677E-3</v>
      </c>
      <c r="BA16" s="18" t="str">
        <f>Input!B16</f>
        <v>M5-14-44B_618,75</v>
      </c>
      <c r="BB16" s="137">
        <f>Input!E16</f>
        <v>618.75</v>
      </c>
      <c r="BC16" s="18">
        <f>((U16-1)*EXP(Constants!$B$17*AW16*1000))*1000</f>
        <v>2158.3408554012858</v>
      </c>
      <c r="BD16" s="133">
        <f>SQRT((EXP(Constants!$B$17*AW16*1000)*V16)^2+((U16-1)*Constants!$B$17*EXP(Constants!$B$17*AW16*1000)*AY16*1000)^2)*1000</f>
        <v>14.370683180773435</v>
      </c>
      <c r="BE16" s="18">
        <f t="shared" si="37"/>
        <v>277858.5</v>
      </c>
      <c r="BF16" s="138">
        <f t="shared" si="38"/>
        <v>1142.4436912653534</v>
      </c>
      <c r="BG16" s="20">
        <f t="shared" si="39"/>
        <v>0.82214887656209945</v>
      </c>
      <c r="BH16" s="18"/>
      <c r="BI16" s="18"/>
      <c r="BJ16" s="18"/>
      <c r="BK16" s="18"/>
      <c r="BL16" s="18"/>
      <c r="BM16" s="18"/>
      <c r="BN16" s="160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9">
        <f>Input!A17</f>
        <v>10815</v>
      </c>
      <c r="B17" s="139" t="str">
        <f>Input!B17</f>
        <v>Hu1-13</v>
      </c>
      <c r="C17" s="139">
        <f>Input!O17</f>
        <v>2.0760227557221653</v>
      </c>
      <c r="D17" s="139">
        <f>C17*Input!P17/100</f>
        <v>3.9245588968927832E-2</v>
      </c>
      <c r="E17" s="140">
        <f>Input!M17</f>
        <v>2.7324770614458891</v>
      </c>
      <c r="F17" s="141">
        <f>E17*Input!N17/100</f>
        <v>4.754541927066732E-4</v>
      </c>
      <c r="G17" s="142">
        <f t="shared" ref="G17" si="49">E17*137.88</f>
        <v>376.75393723215916</v>
      </c>
      <c r="H17" s="141">
        <f>G17*Input!L17/100</f>
        <v>3.3453717597562001E-2</v>
      </c>
      <c r="I17" s="139">
        <v>0</v>
      </c>
      <c r="J17" s="143">
        <f>(((C17*Constants!$B$24*0.000000001*Input!G17*(Constants!$B$4/Constants!$B$3))-(I17*0.000000000000001))/Input!F17)*1000000000000</f>
        <v>749.52215429311639</v>
      </c>
      <c r="K17" s="139">
        <f>J17*Input!P17/100</f>
        <v>14.169131002738212</v>
      </c>
      <c r="L17" s="144">
        <f>(J17/Constants!$B$4)*602200000000*Constants!$B$17/(365.2425*24*60)</f>
        <v>10.347985545587061</v>
      </c>
      <c r="M17" s="145">
        <f>L17*Input!P17/100</f>
        <v>0.19562058568921889</v>
      </c>
      <c r="N17" s="139">
        <v>0</v>
      </c>
      <c r="O17" s="143">
        <f>(((G17*Constants!$B$23*0.000000001*Input!G17*(Constants!$B$7/Constants!$B$6))-(N17*0.000000001))/Input!F17)*1000000</f>
        <v>13.702242988196259</v>
      </c>
      <c r="P17" s="139">
        <f>O17*Input!N17/100</f>
        <v>2.3842062464656988E-3</v>
      </c>
      <c r="Q17" s="146">
        <f>(O17/Constants!$B$7)*602200000000000000*Constants!$B$18/(365.2425*24*60)</f>
        <v>10.223527931044757</v>
      </c>
      <c r="R17" s="147">
        <f>Q17*Input!N17/100</f>
        <v>1.7789057729534642E-3</v>
      </c>
      <c r="S17" s="145">
        <f>Input!S17*Constants!$B$17/Constants!$B$18</f>
        <v>0.9992751801399623</v>
      </c>
      <c r="T17" s="139">
        <f>S17*Input!T17/100</f>
        <v>3.0484620641075947E-3</v>
      </c>
      <c r="U17" s="145">
        <f>S17</f>
        <v>0.9992751801399623</v>
      </c>
      <c r="V17" s="139">
        <f>U17*Input!T17/100</f>
        <v>3.0484620641075947E-3</v>
      </c>
      <c r="W17" s="148">
        <v>0</v>
      </c>
      <c r="X17" s="143">
        <f>(((Constants!$B$25*0.000000001*Input!G17/Input!W17*(Constants!$B$11/Constants!$B$9))-(W17*0.000000001))/Input!F17)*1000000000</f>
        <v>0.8688305897620362</v>
      </c>
      <c r="Y17" s="143">
        <f>X17*Input!X17/100</f>
        <v>5.8212821783571135E-3</v>
      </c>
      <c r="Z17" s="143">
        <f>(X17/Constants!$B$11)*6.022E+23*0.000000001*Constants!$B$19/(365.2425*24*60)</f>
        <v>2.1210963515113434E-4</v>
      </c>
      <c r="AA17" s="143">
        <f>Z17*Input!X17/100</f>
        <v>1.4211631744012525E-6</v>
      </c>
      <c r="AB17" s="144">
        <v>0</v>
      </c>
      <c r="AC17" s="144">
        <v>0.9</v>
      </c>
      <c r="AD17" s="143">
        <f>(((Input!G17*Constants!$B$25*0.000000001*Input!U17*(Constants!$B$10/Constants!$B$9))-((AB17*0.000000000000001)+(Input!G17*AC17*0.000000000000001)))/Input!F17)*1000000000000</f>
        <v>224.18499134598321</v>
      </c>
      <c r="AE17" s="143">
        <f>AD17*Input!V17/100</f>
        <v>0.69443673013905949</v>
      </c>
      <c r="AF17" s="143">
        <f>(AD17/Constants!$B$10)*602200000000*Constants!$B$16/(365.2425*24*60)</f>
        <v>10.233073789668135</v>
      </c>
      <c r="AG17" s="143">
        <f>AF17*Input!V17/100</f>
        <v>3.1698028753414043E-2</v>
      </c>
      <c r="AH17" s="139">
        <f t="shared" ref="AH17" si="50">AF17/Z17</f>
        <v>48244.266614181717</v>
      </c>
      <c r="AI17" s="148">
        <f t="shared" ref="AI17" si="51">AH17*SQRT((AG17/AF17)^2+(AA17/Z17)^2)</f>
        <v>356.1164509587943</v>
      </c>
      <c r="AJ17" s="145">
        <f t="shared" si="35"/>
        <v>-0.72481986003769538</v>
      </c>
      <c r="AK17" s="148">
        <f t="shared" ref="AK17" si="52">V17*1000</f>
        <v>3.0484620641075946</v>
      </c>
      <c r="AL17" s="148">
        <f t="shared" ref="AL17" si="53">AF17/Q17</f>
        <v>1.000933714730156</v>
      </c>
      <c r="AM17" s="148">
        <f t="shared" ref="AM17" si="54">AL17*SQRT((R17/Q17)^2+(AG17/AF17)^2)</f>
        <v>3.1053858592259859E-3</v>
      </c>
      <c r="AN17" s="139">
        <f>AF17/Q17</f>
        <v>1.000933714730156</v>
      </c>
      <c r="AO17" s="143">
        <f t="shared" ref="AO17" si="55">AN17*SQRT((R17/Q17)^2+(AG17/AF17)^2)</f>
        <v>3.1053858592259859E-3</v>
      </c>
      <c r="AP17" s="139" t="str">
        <f t="shared" ref="AP17" si="56">ThU_Alter_Kombi(AN17,U17)</f>
        <v>Out of range</v>
      </c>
      <c r="AQ17" s="139" t="e">
        <f t="shared" si="36"/>
        <v>#VALUE!</v>
      </c>
      <c r="AR17" s="139" t="e">
        <f>(AQ17/AP17)*100</f>
        <v>#VALUE!</v>
      </c>
      <c r="AS17" s="147">
        <f t="shared" si="17"/>
        <v>2.074720552257136E-5</v>
      </c>
      <c r="AT17" s="147">
        <f t="shared" si="18"/>
        <v>1.3905594439851641E-7</v>
      </c>
      <c r="AU17" s="139">
        <v>0.75</v>
      </c>
      <c r="AV17" s="139">
        <f t="shared" ref="AV17" si="57">AU17/2</f>
        <v>0.375</v>
      </c>
      <c r="AW17" s="139" t="str">
        <f t="shared" si="19"/>
        <v>Out of range</v>
      </c>
      <c r="AX17" s="149">
        <f t="shared" si="20"/>
        <v>287.7205359033</v>
      </c>
      <c r="AY17" s="149" t="e">
        <f t="shared" si="21"/>
        <v>#VALUE!</v>
      </c>
      <c r="AZ17" s="150" t="e">
        <f t="shared" si="22"/>
        <v>#VALUE!</v>
      </c>
      <c r="BA17" s="139" t="str">
        <f>Input!B17</f>
        <v>Hu1-13</v>
      </c>
      <c r="BB17" s="151">
        <f>Input!E17</f>
        <v>0</v>
      </c>
      <c r="BC17" s="139" t="e">
        <f>((U17-1)*EXP(Constants!$B$17*AW17*1000))*1000</f>
        <v>#VALUE!</v>
      </c>
      <c r="BD17" s="145" t="e">
        <f>SQRT((EXP(Constants!$B$17*AW17*1000)*V17)^2+((U17-1)*Constants!$B$17*EXP(Constants!$B$17*AW17*1000)*AY17*1000)^2)*1000</f>
        <v>#VALUE!</v>
      </c>
      <c r="BE17" s="139" t="e">
        <f t="shared" si="37"/>
        <v>#VALUE!</v>
      </c>
      <c r="BF17" s="152" t="e">
        <f t="shared" si="38"/>
        <v>#VALUE!</v>
      </c>
      <c r="BG17" s="161" t="e">
        <f t="shared" si="39"/>
        <v>#VALUE!</v>
      </c>
      <c r="BH17" s="139"/>
      <c r="BI17" s="18"/>
      <c r="BJ17" s="18"/>
      <c r="BK17" s="18"/>
      <c r="BL17" s="18"/>
      <c r="BM17" s="18"/>
      <c r="BN17" s="160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10893</v>
      </c>
      <c r="B18" s="18" t="str">
        <f>Input!B18</f>
        <v>M5-14-44B_653</v>
      </c>
      <c r="C18" s="18">
        <f>Input!O18</f>
        <v>2.6187460828839311</v>
      </c>
      <c r="D18" s="18">
        <f>C18*Input!P18/100</f>
        <v>2.9462967689187786E-2</v>
      </c>
      <c r="E18" s="153">
        <f>Input!M18</f>
        <v>1.1869524799582147</v>
      </c>
      <c r="F18" s="154">
        <f>E18*Input!N18/100</f>
        <v>1.1174111684147103E-4</v>
      </c>
      <c r="G18" s="21">
        <f>E18*137.88</f>
        <v>163.65700793663865</v>
      </c>
      <c r="H18" s="154">
        <f>G18*Input!L18/100</f>
        <v>2.943148733397831E-2</v>
      </c>
      <c r="I18" s="18">
        <v>0.3</v>
      </c>
      <c r="J18" s="130">
        <f>(((C18*Constants!$B$24*0.000000001*Input!G18*(Constants!$B$4/Constants!$B$3))-(I18*0.000000000000001))/Input!F18)*1000000000000</f>
        <v>48.069678030910261</v>
      </c>
      <c r="K18" s="18">
        <f>J18*Input!P18/100</f>
        <v>0.5408219528846705</v>
      </c>
      <c r="L18" s="135">
        <f>(J18/Constants!$B$4)*602200000000*Constants!$B$17/(365.2425*24*60)</f>
        <v>0.66365527769357302</v>
      </c>
      <c r="M18" s="133">
        <f>L18*Input!P18/100</f>
        <v>7.4666475422127954E-3</v>
      </c>
      <c r="N18" s="18">
        <v>5.0000000000000001E-3</v>
      </c>
      <c r="O18" s="130">
        <f>(((G18*Constants!$B$23*0.000000001*Input!G18*(Constants!$B$7/Constants!$B$6))-(N18*0.000000001))/Input!F18)*1000000</f>
        <v>0.30260352212767305</v>
      </c>
      <c r="P18" s="18">
        <f>O18*Input!N18/100</f>
        <v>2.8487455137125064E-5</v>
      </c>
      <c r="Q18" s="131">
        <f>(O18/Constants!$B$7)*602200000000000000*Constants!$B$18/(365.2425*24*60)</f>
        <v>0.22577876944452233</v>
      </c>
      <c r="R18" s="132">
        <f>Q18*Input!N18/100</f>
        <v>2.1255081633691068E-5</v>
      </c>
      <c r="S18" s="133">
        <f>Input!S18*Constants!$B$17/Constants!$B$18</f>
        <v>3.9801932888004736</v>
      </c>
      <c r="T18" s="18">
        <f>S18*Input!T18/100</f>
        <v>1.2047021779964062E-2</v>
      </c>
      <c r="U18" s="18">
        <f>S18*1/((U17+U19)/2)</f>
        <v>3.9802591679403991</v>
      </c>
      <c r="V18" s="18">
        <f>U18*Input!T18/100</f>
        <v>1.204722117918313E-2</v>
      </c>
      <c r="W18" s="134">
        <v>3.0000000000000001E-3</v>
      </c>
      <c r="X18" s="130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0.16004807462889956</v>
      </c>
      <c r="Y18" s="130">
        <f>X18*Input!X18/100</f>
        <v>7.1147244130044746E-4</v>
      </c>
      <c r="Z18" s="130">
        <f>(X18/Constants!$B$11)*6.022E+23*0.000000001*Constants!$B$19/(365.2425*24*60)</f>
        <v>3.9072909168029349E-5</v>
      </c>
      <c r="AA18" s="130">
        <f>Z18*Input!X18/100</f>
        <v>1.7369342392244449E-7</v>
      </c>
      <c r="AB18" s="135">
        <v>0.05</v>
      </c>
      <c r="AC18" s="135">
        <v>0.9</v>
      </c>
      <c r="AD18" s="130">
        <f>(((Input!G18*Constants!$B$25*0.000000001*Input!U18*(Constants!$B$10/Constants!$B$9))-((AB18*0.000000000000001)+(Input!G18*AC18*0.000000000000001)))/Input!F18)*1000000000000</f>
        <v>56.838808525222433</v>
      </c>
      <c r="AE18" s="130">
        <f>AD18*Input!V18/100</f>
        <v>0.30179126278548402</v>
      </c>
      <c r="AF18" s="130">
        <f>(AD18/Constants!$B$10)*602200000000*Constants!$B$16/(365.2425*24*60)</f>
        <v>2.5944454098525491</v>
      </c>
      <c r="AG18" s="130">
        <f>AF18*Input!V18/100</f>
        <v>1.3775463926552099E-2</v>
      </c>
      <c r="AH18" s="18">
        <f>AF18/Z18</f>
        <v>66400.108543118258</v>
      </c>
      <c r="AI18" s="134">
        <f>AH18*SQRT((AG18/AF18)^2+(AA18/Z18)^2)</f>
        <v>459.80877351377615</v>
      </c>
      <c r="AJ18" s="133">
        <f t="shared" ref="AJ18:AJ19" si="58">(U18-1)*1000</f>
        <v>2980.259167940399</v>
      </c>
      <c r="AK18" s="134">
        <f>V18*1000</f>
        <v>12.047221179183131</v>
      </c>
      <c r="AL18" s="134">
        <f>AF18/Q18</f>
        <v>11.491095536730917</v>
      </c>
      <c r="AM18" s="134">
        <f>AL18*SQRT((R18/Q18)^2+(AG18/AF18)^2)</f>
        <v>6.1022695185145429E-2</v>
      </c>
      <c r="AN18" s="18">
        <f>AL18*1/((AN17+AN19)/2)</f>
        <v>11.46960622171029</v>
      </c>
      <c r="AO18" s="130">
        <f>AN18*SQRT((R18/Q18)^2+(AG18/AF18)^2)</f>
        <v>6.0908577613322128E-2</v>
      </c>
      <c r="AP18" s="18" t="str">
        <f>ThU_Alter_Kombi(AN18,U18)</f>
        <v>Out of range</v>
      </c>
      <c r="AQ18" s="18" t="e">
        <f t="shared" ref="AQ18:AQ19" si="59">Montealter(AN18,AO18,U18,V18)</f>
        <v>#VALUE!</v>
      </c>
      <c r="AR18" s="155" t="e">
        <f>(AQ18/AP18)</f>
        <v>#VALUE!</v>
      </c>
      <c r="AS18" s="132">
        <f t="shared" si="17"/>
        <v>1.7305838482581607E-4</v>
      </c>
      <c r="AT18" s="132">
        <f t="shared" si="18"/>
        <v>7.6948053658087499E-7</v>
      </c>
      <c r="AU18" s="18">
        <v>0.75</v>
      </c>
      <c r="AV18" s="18">
        <f>AU18/2</f>
        <v>0.375</v>
      </c>
      <c r="AW18" s="18" t="str">
        <f t="shared" si="19"/>
        <v>Out of range</v>
      </c>
      <c r="AX18" s="136">
        <f t="shared" si="20"/>
        <v>0</v>
      </c>
      <c r="AY18" s="136" t="e">
        <f t="shared" si="21"/>
        <v>#VALUE!</v>
      </c>
      <c r="AZ18" s="155" t="e">
        <f t="shared" si="22"/>
        <v>#VALUE!</v>
      </c>
      <c r="BA18" s="18" t="str">
        <f>Input!B18</f>
        <v>M5-14-44B_653</v>
      </c>
      <c r="BB18" s="137">
        <f>Input!E18</f>
        <v>653</v>
      </c>
      <c r="BC18" s="18" t="e">
        <f>((U18-1)*EXP(Constants!$B$17*AW18*1000))*1000</f>
        <v>#VALUE!</v>
      </c>
      <c r="BD18" s="133" t="e">
        <f>SQRT((EXP(Constants!$B$17*AW18*1000)*V18)^2+((U18-1)*Constants!$B$17*EXP(Constants!$B$17*AW18*1000)*AY18*1000)^2)*1000</f>
        <v>#VALUE!</v>
      </c>
      <c r="BE18" s="18" t="e">
        <f t="shared" ref="BE18:BE19" si="60">AW18*1000-58</f>
        <v>#VALUE!</v>
      </c>
      <c r="BF18" s="138" t="e">
        <f t="shared" ref="BF18:BF19" si="61">AY18/2*1000</f>
        <v>#VALUE!</v>
      </c>
      <c r="BG18" s="20" t="e">
        <f t="shared" ref="BG18:BG19" si="62">AY18/AW18*100</f>
        <v>#VALUE!</v>
      </c>
      <c r="BH18" s="18"/>
      <c r="BI18" s="18"/>
      <c r="BJ18" s="18"/>
      <c r="BK18" s="18"/>
      <c r="BL18" s="18"/>
      <c r="BM18" s="18"/>
      <c r="BN18" s="160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9">
        <f>Input!A19</f>
        <v>10815</v>
      </c>
      <c r="B19" s="139" t="str">
        <f>Input!B19</f>
        <v>Hu1-13</v>
      </c>
      <c r="C19" s="139">
        <f>Input!O19</f>
        <v>2.0794397205165724</v>
      </c>
      <c r="D19" s="139">
        <f>C19*Input!P19/100</f>
        <v>3.1505335433367143E-2</v>
      </c>
      <c r="E19" s="140">
        <f>Input!M19</f>
        <v>2.7317441200579529</v>
      </c>
      <c r="F19" s="141">
        <f>E19*Input!N19/100</f>
        <v>5.5103519442965235E-4</v>
      </c>
      <c r="G19" s="142">
        <f t="shared" ref="G19" si="63">E19*137.88</f>
        <v>376.65287927359054</v>
      </c>
      <c r="H19" s="141">
        <f>G19*Input!L19/100</f>
        <v>3.5814291984781997E-2</v>
      </c>
      <c r="I19" s="139">
        <v>0</v>
      </c>
      <c r="J19" s="143">
        <f>(((C19*Constants!$B$24*0.000000001*Input!G19*(Constants!$B$4/Constants!$B$3))-(I19*0.000000000000001))/Input!F19)*1000000000000</f>
        <v>750.75580686594503</v>
      </c>
      <c r="K19" s="139">
        <f>J19*Input!P19/100</f>
        <v>11.374608886466776</v>
      </c>
      <c r="L19" s="144">
        <f>(J19/Constants!$B$4)*602200000000*Constants!$B$17/(365.2425*24*60)</f>
        <v>10.365017489097717</v>
      </c>
      <c r="M19" s="145">
        <f>L19*Input!P19/100</f>
        <v>0.15703910507471616</v>
      </c>
      <c r="N19" s="139">
        <v>0</v>
      </c>
      <c r="O19" s="143">
        <f>(((G19*Constants!$B$23*0.000000001*Input!G19*(Constants!$B$7/Constants!$B$6))-(N19*0.000000001))/Input!F19)*1000000</f>
        <v>13.698567590098577</v>
      </c>
      <c r="P19" s="139">
        <f>O19*Input!N19/100</f>
        <v>2.7632137285455442E-3</v>
      </c>
      <c r="Q19" s="146">
        <f>(O19/Constants!$B$7)*602200000000000000*Constants!$B$18/(365.2425*24*60)</f>
        <v>10.220785640228447</v>
      </c>
      <c r="R19" s="147">
        <f>Q19*Input!N19/100</f>
        <v>2.0616911229473429E-3</v>
      </c>
      <c r="S19" s="145">
        <f>Input!S19*Constants!$B$17/Constants!$B$18</f>
        <v>1.000691716920181</v>
      </c>
      <c r="T19" s="139">
        <f>S19*Input!T19/100</f>
        <v>3.2666460901569954E-3</v>
      </c>
      <c r="U19" s="145">
        <f>S19</f>
        <v>1.000691716920181</v>
      </c>
      <c r="V19" s="139">
        <f>U19*Input!T19/100</f>
        <v>3.2666460901569954E-3</v>
      </c>
      <c r="W19" s="148">
        <v>0</v>
      </c>
      <c r="X19" s="143">
        <f>(((Constants!$B$25*0.000000001*Input!G19/Input!W19*(Constants!$B$11/Constants!$B$9))-(W19*0.000000001))/Input!F19)*1000000000</f>
        <v>0.8658172853776106</v>
      </c>
      <c r="Y19" s="143">
        <f>X19*Input!X19/100</f>
        <v>7.8981949888965765E-3</v>
      </c>
      <c r="Z19" s="143">
        <f>(X19/Constants!$B$11)*6.022E+23*0.000000001*Constants!$B$19/(365.2425*24*60)</f>
        <v>2.113739901345899E-4</v>
      </c>
      <c r="AA19" s="143">
        <f>Z19*Input!X19/100</f>
        <v>1.9282047354090207E-6</v>
      </c>
      <c r="AB19" s="144">
        <v>0</v>
      </c>
      <c r="AC19" s="144">
        <v>0.9</v>
      </c>
      <c r="AD19" s="143">
        <f>(((Input!G19*Constants!$B$25*0.000000001*Input!U19*(Constants!$B$10/Constants!$B$9))-((AB19*0.000000000000001)+(Input!G19*AC19*0.000000000000001)))/Input!F19)*1000000000000</f>
        <v>224.54576232115426</v>
      </c>
      <c r="AE19" s="143">
        <f>AD19*Input!V19/100</f>
        <v>0.90795031473474697</v>
      </c>
      <c r="AF19" s="143">
        <f>(AD19/Constants!$B$10)*602200000000*Constants!$B$16/(365.2425*24*60)</f>
        <v>10.249541421992365</v>
      </c>
      <c r="AG19" s="143">
        <f>AF19*Input!V19/100</f>
        <v>4.1443999048509664E-2</v>
      </c>
      <c r="AH19" s="139">
        <f t="shared" ref="AH19" si="64">AF19/Z19</f>
        <v>48490.078724757434</v>
      </c>
      <c r="AI19" s="148">
        <f t="shared" ref="AI19" si="65">AH19*SQRT((AG19/AF19)^2+(AA19/Z19)^2)</f>
        <v>483.84541137952459</v>
      </c>
      <c r="AJ19" s="145">
        <f t="shared" si="58"/>
        <v>0.69171692018099584</v>
      </c>
      <c r="AK19" s="148">
        <f t="shared" ref="AK19" si="66">V19*1000</f>
        <v>3.2666460901569954</v>
      </c>
      <c r="AL19" s="148">
        <f t="shared" ref="AL19" si="67">AF19/Q19</f>
        <v>1.0028134609976298</v>
      </c>
      <c r="AM19" s="148">
        <f t="shared" ref="AM19" si="68">AL19*SQRT((R19/Q19)^2+(AG19/AF19)^2)</f>
        <v>4.059916557623439E-3</v>
      </c>
      <c r="AN19" s="139">
        <f>AF19/Q19</f>
        <v>1.0028134609976298</v>
      </c>
      <c r="AO19" s="143">
        <f t="shared" ref="AO19" si="69">AN19*SQRT((R19/Q19)^2+(AG19/AF19)^2)</f>
        <v>4.059916557623439E-3</v>
      </c>
      <c r="AP19" s="139" t="str">
        <f t="shared" ref="AP19" si="70">ThU_Alter_Kombi(AN19,U19)</f>
        <v>Out of range</v>
      </c>
      <c r="AQ19" s="139" t="e">
        <f t="shared" si="59"/>
        <v>#VALUE!</v>
      </c>
      <c r="AR19" s="139" t="e">
        <f>(AQ19/AP19)*100</f>
        <v>#VALUE!</v>
      </c>
      <c r="AS19" s="147">
        <f t="shared" si="17"/>
        <v>2.0680796719053922E-5</v>
      </c>
      <c r="AT19" s="147">
        <f t="shared" si="18"/>
        <v>1.8870135383637778E-7</v>
      </c>
      <c r="AU19" s="139">
        <v>0.75</v>
      </c>
      <c r="AV19" s="139">
        <f t="shared" ref="AV19" si="71">AU19/2</f>
        <v>0.375</v>
      </c>
      <c r="AW19" s="139" t="str">
        <f t="shared" si="19"/>
        <v>Out of range</v>
      </c>
      <c r="AX19" s="149">
        <f t="shared" si="20"/>
        <v>304.19394316249998</v>
      </c>
      <c r="AY19" s="149" t="e">
        <f t="shared" si="21"/>
        <v>#VALUE!</v>
      </c>
      <c r="AZ19" s="150" t="e">
        <f t="shared" si="22"/>
        <v>#VALUE!</v>
      </c>
      <c r="BA19" s="139" t="str">
        <f>Input!B19</f>
        <v>Hu1-13</v>
      </c>
      <c r="BB19" s="151">
        <f>Input!E19</f>
        <v>0</v>
      </c>
      <c r="BC19" s="139" t="e">
        <f>((U19-1)*EXP(Constants!$B$17*AW19*1000))*1000</f>
        <v>#VALUE!</v>
      </c>
      <c r="BD19" s="145" t="e">
        <f>SQRT((EXP(Constants!$B$17*AW19*1000)*V19)^2+((U19-1)*Constants!$B$17*EXP(Constants!$B$17*AW19*1000)*AY19*1000)^2)*1000</f>
        <v>#VALUE!</v>
      </c>
      <c r="BE19" s="139" t="e">
        <f t="shared" si="60"/>
        <v>#VALUE!</v>
      </c>
      <c r="BF19" s="152" t="e">
        <f t="shared" si="61"/>
        <v>#VALUE!</v>
      </c>
      <c r="BG19" s="161" t="e">
        <f t="shared" si="62"/>
        <v>#VALUE!</v>
      </c>
      <c r="BH19" s="139"/>
      <c r="BI19" s="18"/>
      <c r="BJ19" s="18"/>
      <c r="BK19" s="18"/>
      <c r="BL19" s="18"/>
      <c r="BM19" s="18"/>
      <c r="BN19" s="160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/>
      <c r="B20" s="18"/>
      <c r="C20" s="18"/>
      <c r="D20" s="18"/>
      <c r="E20" s="153"/>
      <c r="F20" s="154"/>
      <c r="G20" s="21"/>
      <c r="H20" s="154"/>
      <c r="I20" s="18"/>
      <c r="J20" s="130"/>
      <c r="K20" s="18"/>
      <c r="L20" s="135"/>
      <c r="M20" s="133"/>
      <c r="N20" s="18"/>
      <c r="O20" s="130"/>
      <c r="P20" s="18"/>
      <c r="Q20" s="131"/>
      <c r="R20" s="132"/>
      <c r="S20" s="133"/>
      <c r="T20" s="18"/>
      <c r="U20" s="18"/>
      <c r="V20" s="18"/>
      <c r="W20" s="134"/>
      <c r="X20" s="130"/>
      <c r="Y20" s="130"/>
      <c r="Z20" s="130"/>
      <c r="AA20" s="130"/>
      <c r="AB20" s="135"/>
      <c r="AC20" s="135"/>
      <c r="AD20" s="130"/>
      <c r="AE20" s="130"/>
      <c r="AF20" s="130"/>
      <c r="AG20" s="130"/>
      <c r="AH20" s="18"/>
      <c r="AI20" s="134"/>
      <c r="AJ20" s="133"/>
      <c r="AK20" s="134"/>
      <c r="AL20" s="134"/>
      <c r="AM20" s="134"/>
      <c r="AN20" s="18"/>
      <c r="AO20" s="130"/>
      <c r="AP20" s="18"/>
      <c r="AQ20" s="18"/>
      <c r="AR20" s="155"/>
      <c r="AS20" s="132"/>
      <c r="AT20" s="132"/>
      <c r="AU20" s="18"/>
      <c r="AV20" s="18"/>
      <c r="AW20" s="18"/>
      <c r="AX20" s="136"/>
      <c r="AY20" s="136"/>
      <c r="AZ20" s="155"/>
      <c r="BA20" s="18"/>
      <c r="BB20" s="137"/>
      <c r="BC20" s="18"/>
      <c r="BD20" s="133"/>
      <c r="BE20" s="18"/>
      <c r="BF20" s="138"/>
      <c r="BG20" s="20"/>
      <c r="BH20" s="18"/>
      <c r="BI20" s="18"/>
      <c r="BJ20" s="18"/>
      <c r="BK20" s="18"/>
      <c r="BL20" s="18"/>
      <c r="BM20" s="18"/>
      <c r="BN20" s="160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9">
        <f>Input!A21</f>
        <v>10815</v>
      </c>
      <c r="B21" s="139" t="str">
        <f>Input!B21</f>
        <v>Hu1-13</v>
      </c>
      <c r="C21" s="139">
        <f>Input!O21</f>
        <v>2.0993143637999063</v>
      </c>
      <c r="D21" s="139">
        <f>C21*Input!P21/100</f>
        <v>1.5925174045979436E-2</v>
      </c>
      <c r="E21" s="140">
        <f>Input!M21</f>
        <v>2.7325043048976134</v>
      </c>
      <c r="F21" s="141">
        <f>E21*Input!N21/100</f>
        <v>2.9896192097045066E-4</v>
      </c>
      <c r="G21" s="142">
        <f>E21*137.88</f>
        <v>376.75769355928293</v>
      </c>
      <c r="H21" s="141">
        <f>G21*Input!L21/100</f>
        <v>2.6583437795216106E-2</v>
      </c>
      <c r="I21" s="139">
        <v>0</v>
      </c>
      <c r="J21" s="143">
        <f>(((C21*Constants!$B$24*0.000000001*Input!G21*(Constants!$B$4/Constants!$B$3))-(I21*0.000000000000001))/Input!F21)*1000000000000</f>
        <v>757.93129923878746</v>
      </c>
      <c r="K21" s="139">
        <f>J21*Input!P21/100</f>
        <v>5.7495857044607286</v>
      </c>
      <c r="L21" s="144">
        <f>(J21/Constants!$B$4)*602200000000*Constants!$B$17/(365.2425*24*60)</f>
        <v>10.464083128360471</v>
      </c>
      <c r="M21" s="145">
        <f>L21*Input!P21/100</f>
        <v>7.9379414500410098E-2</v>
      </c>
      <c r="N21" s="139">
        <v>0</v>
      </c>
      <c r="O21" s="143">
        <f>(((G21*Constants!$B$23*0.000000001*Input!G21*(Constants!$B$7/Constants!$B$6))-(N21*0.000000001))/Input!F21)*1000000</f>
        <v>13.702379602845522</v>
      </c>
      <c r="P21" s="139">
        <f>O21*Input!N21/100</f>
        <v>1.4991704571482873E-3</v>
      </c>
      <c r="Q21" s="146">
        <f>(O21/Constants!$B$7)*602200000000000000*Constants!$B$18/(365.2425*24*60)</f>
        <v>10.223629862070483</v>
      </c>
      <c r="R21" s="147">
        <f>Q21*Input!N21/100</f>
        <v>1.118562198557993E-3</v>
      </c>
      <c r="S21" s="145">
        <f>Input!S21*Constants!$B$17/Constants!$B$18</f>
        <v>0.9990968681490412</v>
      </c>
      <c r="T21" s="139">
        <f>S21*Input!T21/100</f>
        <v>1.5823413933688879E-3</v>
      </c>
      <c r="U21" s="145">
        <f>S21</f>
        <v>0.9990968681490412</v>
      </c>
      <c r="V21" s="139">
        <f>U21*Input!T21/100</f>
        <v>1.5823413933688879E-3</v>
      </c>
      <c r="W21" s="148">
        <v>0</v>
      </c>
      <c r="X21" s="143">
        <f>(((Constants!$B$25*0.000000001*Input!G21/Input!W21*(Constants!$B$11/Constants!$B$9))-(W21*0.000000001))/Input!F21)*1000000000</f>
        <v>0.88986070829187047</v>
      </c>
      <c r="Y21" s="143">
        <f>X21*Input!X21/100</f>
        <v>3.4205022606849478E-3</v>
      </c>
      <c r="Z21" s="143">
        <f>(X21/Constants!$B$11)*6.022E+23*0.000000001*Constants!$B$19/(365.2425*24*60)</f>
        <v>2.1724376696130693E-4</v>
      </c>
      <c r="AA21" s="143">
        <f>Z21*Input!X21/100</f>
        <v>8.3505518232988038E-7</v>
      </c>
      <c r="AB21" s="144">
        <v>0</v>
      </c>
      <c r="AC21" s="144">
        <v>0.9</v>
      </c>
      <c r="AD21" s="143">
        <f>(((Input!G21*Constants!$B$25*0.000000001*Input!U21*(Constants!$B$10/Constants!$B$9))-((AB21*0.000000000000001)+(Input!G21*AC21*0.000000000000001)))/Input!F21)*1000000000000</f>
        <v>223.14046743391074</v>
      </c>
      <c r="AE21" s="143">
        <f>AD21*Input!V21/100</f>
        <v>0.57726715211299229</v>
      </c>
      <c r="AF21" s="143">
        <f>(AD21/Constants!$B$10)*602200000000*Constants!$B$16/(365.2425*24*60)</f>
        <v>10.185395797474561</v>
      </c>
      <c r="AG21" s="143">
        <f>AF21*Input!V21/100</f>
        <v>2.6349745040725139E-2</v>
      </c>
      <c r="AH21" s="139">
        <f>AF21/Z21</f>
        <v>46884.639959721702</v>
      </c>
      <c r="AI21" s="148">
        <f>AH21*SQRT((AG21/AF21)^2+(AA21/Z21)^2)</f>
        <v>217.23284650543968</v>
      </c>
      <c r="AJ21" s="145">
        <f t="shared" ref="AJ21:AJ29" si="72">(U21-1)*1000</f>
        <v>-0.90313185095880488</v>
      </c>
      <c r="AK21" s="148">
        <f>V21*1000</f>
        <v>1.5823413933688879</v>
      </c>
      <c r="AL21" s="148">
        <f>AF21/Q21</f>
        <v>0.99626022605358877</v>
      </c>
      <c r="AM21" s="148">
        <f>AL21*SQRT((R21/Q21)^2+(AG21/AF21)^2)</f>
        <v>2.5796414223910771E-3</v>
      </c>
      <c r="AN21" s="139">
        <f>AF21/Q21</f>
        <v>0.99626022605358877</v>
      </c>
      <c r="AO21" s="143">
        <f>AN21*SQRT((R21/Q21)^2+(AG21/AF21)^2)</f>
        <v>2.5796414223910771E-3</v>
      </c>
      <c r="AP21" s="139">
        <f t="shared" ref="AP21" si="73">ThU_Alter_Kombi(AN21,U21)</f>
        <v>655.298</v>
      </c>
      <c r="AQ21" s="139" t="e">
        <f t="shared" ref="AQ21:AQ29" si="74">Montealter(AN21,AO21,U21,V21)</f>
        <v>#VALUE!</v>
      </c>
      <c r="AR21" s="139" t="e">
        <f>(AQ21/AP21)*100</f>
        <v>#VALUE!</v>
      </c>
      <c r="AS21" s="147">
        <f t="shared" ref="AS21:AS31" si="75">Z21/Q21</f>
        <v>2.1249181542387222E-5</v>
      </c>
      <c r="AT21" s="147">
        <f t="shared" ref="AT21:AT31" si="76">AS21*SQRT((Y21/X21)^2+(P21/O21)^2)</f>
        <v>8.1712013446050295E-8</v>
      </c>
      <c r="AU21" s="139">
        <v>0.75</v>
      </c>
      <c r="AV21" s="139">
        <f>AU21/2</f>
        <v>0.375</v>
      </c>
      <c r="AW21" s="139">
        <f t="shared" ref="AW21:AW31" si="77">marincorr_age(AN21,U21,AS21,AU21)</f>
        <v>655.2962</v>
      </c>
      <c r="AX21" s="149">
        <f t="shared" ref="AX21:AX31" si="78">marincorr_age_error(AN21, AO21, U21, V21, AS21, AT21, AU21, AV21)</f>
        <v>288.55879786359998</v>
      </c>
      <c r="AY21" s="149">
        <f t="shared" ref="AY21:AY31" si="79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151.89895864425395</v>
      </c>
      <c r="AZ21" s="150">
        <f t="shared" ref="AZ21:AZ31" si="80">AX21/AW21</f>
        <v>0.44034865128715833</v>
      </c>
      <c r="BA21" s="139" t="str">
        <f>Input!B21</f>
        <v>Hu1-13</v>
      </c>
      <c r="BB21" s="151">
        <f>Input!E21</f>
        <v>0</v>
      </c>
      <c r="BC21" s="139">
        <f>((U21-1)*EXP(Constants!$B$17*AW21*1000))*1000</f>
        <v>-5.7396513742789761</v>
      </c>
      <c r="BD21" s="145">
        <f>SQRT((EXP(Constants!$B$17*AW21*1000)*V21)^2+((U21-1)*Constants!$B$17*EXP(Constants!$B$17*AW21*1000)*AY21*1000)^2)*1000</f>
        <v>10.352828070056303</v>
      </c>
      <c r="BE21" s="139">
        <f t="shared" ref="BE21:BE29" si="81">AW21*1000-58</f>
        <v>655238.19999999995</v>
      </c>
      <c r="BF21" s="152">
        <f t="shared" ref="BF21:BF29" si="82">AY21/2*1000</f>
        <v>75949.479322126979</v>
      </c>
      <c r="BG21" s="161">
        <f t="shared" ref="BG21:BG29" si="83">AY21/AW21*100</f>
        <v>23.180198304866405</v>
      </c>
      <c r="BH21" s="139"/>
      <c r="BI21" s="18"/>
      <c r="BJ21" s="18"/>
      <c r="BK21" s="18"/>
      <c r="BL21" s="18"/>
      <c r="BM21" s="18"/>
      <c r="BN21" s="160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>
        <f>Input!A22</f>
        <v>10894</v>
      </c>
      <c r="B22" s="18" t="str">
        <f>Input!B22</f>
        <v>M5-14-42_58,75</v>
      </c>
      <c r="C22" s="18">
        <f>Input!O22</f>
        <v>3.4185908119520003</v>
      </c>
      <c r="D22" s="18">
        <f>C22*Input!P22/100</f>
        <v>9.580517796083864E-3</v>
      </c>
      <c r="E22" s="153">
        <f>Input!M22</f>
        <v>3.8826169707872489</v>
      </c>
      <c r="F22" s="154">
        <f>E22*Input!N22/100</f>
        <v>1.8990612558929129E-4</v>
      </c>
      <c r="G22" s="21">
        <f>E22*137.88</f>
        <v>535.33522793214581</v>
      </c>
      <c r="H22" s="154">
        <f>G22*Input!L22/100</f>
        <v>1.8808944110761498E-2</v>
      </c>
      <c r="I22" s="18">
        <v>0.3</v>
      </c>
      <c r="J22" s="130">
        <f>(((C22*Constants!$B$24*0.000000001*Input!G22*(Constants!$B$4/Constants!$B$3))-(I22*0.000000000000001))/Input!F22)*1000000000000</f>
        <v>86.090466511677562</v>
      </c>
      <c r="K22" s="18">
        <f>J22*Input!P22/100</f>
        <v>0.24126644335574535</v>
      </c>
      <c r="L22" s="135">
        <f>(J22/Constants!$B$4)*602200000000*Constants!$B$17/(365.2425*24*60)</f>
        <v>1.1885744777162324</v>
      </c>
      <c r="M22" s="133">
        <f>L22*Input!P22/100</f>
        <v>3.3309511322384411E-3</v>
      </c>
      <c r="N22" s="18">
        <v>5.0000000000000001E-3</v>
      </c>
      <c r="O22" s="130">
        <f>(((G22*Constants!$B$23*0.000000001*Input!G22*(Constants!$B$7/Constants!$B$6))-(N22*0.000000001))/Input!F22)*1000000</f>
        <v>1.3580467507983045</v>
      </c>
      <c r="P22" s="18">
        <f>O22*Input!N22/100</f>
        <v>6.6424630282533142E-5</v>
      </c>
      <c r="Q22" s="131">
        <f>(O22/Constants!$B$7)*602200000000000000*Constants!$B$18/(365.2425*24*60)</f>
        <v>1.0132668717385458</v>
      </c>
      <c r="R22" s="132">
        <f>Q22*Input!N22/100</f>
        <v>4.956079552725798E-5</v>
      </c>
      <c r="S22" s="133">
        <f>Input!S22*Constants!$B$17/Constants!$B$18</f>
        <v>1.1620140287304421</v>
      </c>
      <c r="T22" s="18">
        <f>S22*Input!T22/100</f>
        <v>5.2344119833567864E-4</v>
      </c>
      <c r="U22" s="18">
        <f>S22*1/((U21+U23)/2)</f>
        <v>1.1622899751398645</v>
      </c>
      <c r="V22" s="18">
        <f>U22*Input!T22/100</f>
        <v>5.2356550124050877E-4</v>
      </c>
      <c r="W22" s="134">
        <v>3.0000000000000001E-3</v>
      </c>
      <c r="X22" s="130">
        <f>IF((((Constants!$B$25*0.000000001*Input!G22/Input!W22*(Constants!$B$11/Constants!$B$9))-(W22*0.000000001))/Input!F22)*1000000000&lt;0, "n.d.", (((Constants!$B$25*0.000000001*Input!G22/Input!W22*(Constants!$B$11/Constants!$B$9))-(W22*0.000000001))/Input!F22)*1000000000)</f>
        <v>7.88543186866736E-2</v>
      </c>
      <c r="Y22" s="130">
        <f>X22*Input!X22/100</f>
        <v>1.5284370341317778E-4</v>
      </c>
      <c r="Z22" s="130">
        <f>(X22/Constants!$B$11)*6.022E+23*0.000000001*Constants!$B$19/(365.2425*24*60)</f>
        <v>1.9250888451455912E-5</v>
      </c>
      <c r="AA22" s="130">
        <f>Z22*Input!X22/100</f>
        <v>3.7314089246094257E-8</v>
      </c>
      <c r="AB22" s="135">
        <v>0.05</v>
      </c>
      <c r="AC22" s="135">
        <v>0.9</v>
      </c>
      <c r="AD22" s="130">
        <f>(((Input!G22*Constants!$B$25*0.000000001*Input!U22*(Constants!$B$10/Constants!$B$9))-((AB22*0.000000000000001)+(Input!G22*AC22*0.000000000000001)))/Input!F22)*1000000000000</f>
        <v>22.670941785657362</v>
      </c>
      <c r="AE22" s="130">
        <f>AD22*Input!V22/100</f>
        <v>4.5711375487875898E-2</v>
      </c>
      <c r="AF22" s="130">
        <f>(AD22/Constants!$B$10)*602200000000*Constants!$B$16/(365.2425*24*60)</f>
        <v>1.0348302925233233</v>
      </c>
      <c r="AG22" s="130">
        <f>AF22*Input!V22/100</f>
        <v>2.0865262905702653E-3</v>
      </c>
      <c r="AH22" s="18">
        <f>AF22/Z22</f>
        <v>53754.936824490338</v>
      </c>
      <c r="AI22" s="134">
        <f>AH22*SQRT((AG22/AF22)^2+(AA22/Z22)^2)</f>
        <v>150.3455839746826</v>
      </c>
      <c r="AJ22" s="133">
        <f t="shared" si="72"/>
        <v>162.28997513986454</v>
      </c>
      <c r="AK22" s="134">
        <f>V22*1000</f>
        <v>0.52356550124050871</v>
      </c>
      <c r="AL22" s="134">
        <f>AF22/Q22</f>
        <v>1.0212810873287304</v>
      </c>
      <c r="AM22" s="134">
        <f>AL22*SQRT((R22/Q22)^2+(AG22/AF22)^2)</f>
        <v>2.0598128494887162E-3</v>
      </c>
      <c r="AN22" s="18">
        <f>AL22*1/((AN21+AN23)/2)</f>
        <v>1.0250631653141058</v>
      </c>
      <c r="AO22" s="130">
        <f>AN22*SQRT((R22/Q22)^2+(AG22/AF22)^2)</f>
        <v>2.0674408893385692E-3</v>
      </c>
      <c r="AP22" s="18">
        <f>ThU_Alter_Kombi(AN22,U22)</f>
        <v>208.9606</v>
      </c>
      <c r="AQ22" s="18">
        <f t="shared" si="74"/>
        <v>1.1873</v>
      </c>
      <c r="AR22" s="155">
        <f>(AQ22/AP22)</f>
        <v>5.6819323834253919E-3</v>
      </c>
      <c r="AS22" s="132">
        <f t="shared" si="75"/>
        <v>1.8998833366007092E-5</v>
      </c>
      <c r="AT22" s="132">
        <f t="shared" si="76"/>
        <v>3.6837252554851733E-8</v>
      </c>
      <c r="AU22" s="18">
        <v>0.75</v>
      </c>
      <c r="AV22" s="18">
        <f>AU22/2</f>
        <v>0.375</v>
      </c>
      <c r="AW22" s="18">
        <f t="shared" si="77"/>
        <v>208.95939999999999</v>
      </c>
      <c r="AX22" s="136">
        <f t="shared" si="78"/>
        <v>1.2057587003000001</v>
      </c>
      <c r="AY22" s="136">
        <f t="shared" si="79"/>
        <v>1.22537324862438</v>
      </c>
      <c r="AZ22" s="155">
        <f t="shared" si="80"/>
        <v>5.7703013135566054E-3</v>
      </c>
      <c r="BA22" s="18" t="str">
        <f>Input!B22</f>
        <v>M5-14-42_58,75</v>
      </c>
      <c r="BB22" s="137">
        <f>Input!E22</f>
        <v>58.75</v>
      </c>
      <c r="BC22" s="18">
        <f>((U22-1)*EXP(Constants!$B$17*AW22*1000))*1000</f>
        <v>292.6802363370121</v>
      </c>
      <c r="BD22" s="133">
        <f>SQRT((EXP(Constants!$B$17*AW22*1000)*V22)^2+((U22-1)*Constants!$B$17*EXP(Constants!$B$17*AW22*1000)*AY22*1000)^2)*1000</f>
        <v>1.3841667668044177</v>
      </c>
      <c r="BE22" s="18">
        <f t="shared" si="81"/>
        <v>208901.4</v>
      </c>
      <c r="BF22" s="138">
        <f t="shared" si="82"/>
        <v>612.68662431219002</v>
      </c>
      <c r="BG22" s="20">
        <f t="shared" si="83"/>
        <v>0.58641690616664299</v>
      </c>
      <c r="BH22" s="18"/>
      <c r="BI22" s="18"/>
      <c r="BJ22" s="18"/>
      <c r="BK22" s="18"/>
      <c r="BL22" s="18"/>
      <c r="BM22" s="18"/>
      <c r="BN22" s="160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9">
        <f>Input!A23</f>
        <v>10815</v>
      </c>
      <c r="B23" s="139" t="str">
        <f>Input!B23</f>
        <v>Hu1-13</v>
      </c>
      <c r="C23" s="139">
        <f>Input!O23</f>
        <v>2.0987350025684437</v>
      </c>
      <c r="D23" s="139">
        <f>C23*Input!P23/100</f>
        <v>1.0993686598450524E-2</v>
      </c>
      <c r="E23" s="140">
        <f>Input!M23</f>
        <v>2.7323229913201557</v>
      </c>
      <c r="F23" s="141">
        <f>E23*Input!N23/100</f>
        <v>2.6586941021939996E-4</v>
      </c>
      <c r="G23" s="142">
        <f t="shared" ref="G23" si="84">E23*137.88</f>
        <v>376.73269404322303</v>
      </c>
      <c r="H23" s="141">
        <f>G23*Input!L23/100</f>
        <v>2.2606239873216204E-2</v>
      </c>
      <c r="I23" s="139">
        <v>0</v>
      </c>
      <c r="J23" s="143">
        <f>(((C23*Constants!$B$24*0.000000001*Input!G23*(Constants!$B$4/Constants!$B$3))-(I23*0.000000000000001))/Input!F23)*1000000000000</f>
        <v>757.72212808345068</v>
      </c>
      <c r="K23" s="139">
        <f>J23*Input!P23/100</f>
        <v>3.9691335946014856</v>
      </c>
      <c r="L23" s="144">
        <f>(J23/Constants!$B$4)*602200000000*Constants!$B$17/(365.2425*24*60)</f>
        <v>10.461195288315208</v>
      </c>
      <c r="M23" s="145">
        <f>L23*Input!P23/100</f>
        <v>5.4798296261404297E-2</v>
      </c>
      <c r="N23" s="139">
        <v>0</v>
      </c>
      <c r="O23" s="143">
        <f>(((G23*Constants!$B$23*0.000000001*Input!G23*(Constants!$B$7/Constants!$B$6))-(N23*0.000000001))/Input!F23)*1000000</f>
        <v>13.701470390200907</v>
      </c>
      <c r="P23" s="139">
        <f>O23*Input!N23/100</f>
        <v>1.3332251945884417E-3</v>
      </c>
      <c r="Q23" s="146">
        <f>(O23/Constants!$B$7)*602200000000000000*Constants!$B$18/(365.2425*24*60)</f>
        <v>10.222951479642477</v>
      </c>
      <c r="R23" s="147">
        <f>Q23*Input!N23/100</f>
        <v>9.9474699339292491E-4</v>
      </c>
      <c r="S23" s="145">
        <f>Input!S23*Constants!$B$17/Constants!$B$18</f>
        <v>1.0004282995538132</v>
      </c>
      <c r="T23" s="139">
        <f>S23*Input!T23/100</f>
        <v>1.4065878816624292E-3</v>
      </c>
      <c r="U23" s="145">
        <f>S23</f>
        <v>1.0004282995538132</v>
      </c>
      <c r="V23" s="139">
        <f>U23*Input!T23/100</f>
        <v>1.4065878816624292E-3</v>
      </c>
      <c r="W23" s="148">
        <v>0</v>
      </c>
      <c r="X23" s="143">
        <f>(((Constants!$B$25*0.000000001*Input!G23/Input!W23*(Constants!$B$11/Constants!$B$9))-(W23*0.000000001))/Input!F23)*1000000000</f>
        <v>0.88989842634719007</v>
      </c>
      <c r="Y23" s="143">
        <f>X23*Input!X23/100</f>
        <v>3.9324796571439972E-3</v>
      </c>
      <c r="Z23" s="143">
        <f>(X23/Constants!$B$11)*6.022E+23*0.000000001*Constants!$B$19/(365.2425*24*60)</f>
        <v>2.1725297515798726E-4</v>
      </c>
      <c r="AA23" s="143">
        <f>Z23*Input!X23/100</f>
        <v>9.6004541638494462E-7</v>
      </c>
      <c r="AB23" s="144">
        <v>0</v>
      </c>
      <c r="AC23" s="144">
        <v>0.9</v>
      </c>
      <c r="AD23" s="143">
        <f>(((Input!G23*Constants!$B$25*0.000000001*Input!U23*(Constants!$B$10/Constants!$B$9))-((AB23*0.000000000000001)+(Input!G23*AC23*0.000000000000001)))/Input!F23)*1000000000000</f>
        <v>223.14813317468605</v>
      </c>
      <c r="AE23" s="143">
        <f>AD23*Input!V23/100</f>
        <v>0.70885142043463678</v>
      </c>
      <c r="AF23" s="143">
        <f>(AD23/Constants!$B$10)*602200000000*Constants!$B$16/(365.2425*24*60)</f>
        <v>10.185745705336528</v>
      </c>
      <c r="AG23" s="143">
        <f>AF23*Input!V23/100</f>
        <v>3.2355996927662646E-2</v>
      </c>
      <c r="AH23" s="139">
        <f t="shared" ref="AH23" si="85">AF23/Z23</f>
        <v>46884.263370521905</v>
      </c>
      <c r="AI23" s="148">
        <f t="shared" ref="AI23" si="86">AH23*SQRT((AG23/AF23)^2+(AA23/Z23)^2)</f>
        <v>255.15769400638541</v>
      </c>
      <c r="AJ23" s="145">
        <f t="shared" si="72"/>
        <v>0.42829955381318285</v>
      </c>
      <c r="AK23" s="148">
        <f t="shared" ref="AK23" si="87">V23*1000</f>
        <v>1.4065878816624291</v>
      </c>
      <c r="AL23" s="148">
        <f t="shared" ref="AL23" si="88">AF23/Q23</f>
        <v>0.99636056432625753</v>
      </c>
      <c r="AM23" s="148">
        <f t="shared" ref="AM23" si="89">AL23*SQRT((R23/Q23)^2+(AG23/AF23)^2)</f>
        <v>3.1665193261460737E-3</v>
      </c>
      <c r="AN23" s="139">
        <f>AF23/Q23</f>
        <v>0.99636056432625753</v>
      </c>
      <c r="AO23" s="143">
        <f t="shared" ref="AO23" si="90">AN23*SQRT((R23/Q23)^2+(AG23/AF23)^2)</f>
        <v>3.1665193261460737E-3</v>
      </c>
      <c r="AP23" s="139">
        <f t="shared" ref="AP23" si="91">ThU_Alter_Kombi(AN23,U23)</f>
        <v>595.63070000000005</v>
      </c>
      <c r="AQ23" s="139" t="e">
        <f t="shared" si="74"/>
        <v>#VALUE!</v>
      </c>
      <c r="AR23" s="139" t="e">
        <f>(AQ23/AP23)*100</f>
        <v>#VALUE!</v>
      </c>
      <c r="AS23" s="147">
        <f t="shared" si="75"/>
        <v>2.1251492349407606E-5</v>
      </c>
      <c r="AT23" s="147">
        <f t="shared" si="76"/>
        <v>9.3933551006726988E-8</v>
      </c>
      <c r="AU23" s="139">
        <v>0.75</v>
      </c>
      <c r="AV23" s="139">
        <f t="shared" ref="AV23" si="92">AU23/2</f>
        <v>0.375</v>
      </c>
      <c r="AW23" s="139">
        <f t="shared" si="77"/>
        <v>595.62900000000002</v>
      </c>
      <c r="AX23" s="149">
        <f t="shared" si="78"/>
        <v>213.15413195010001</v>
      </c>
      <c r="AY23" s="149">
        <f t="shared" si="79"/>
        <v>95.243350063748181</v>
      </c>
      <c r="AZ23" s="150">
        <f t="shared" si="80"/>
        <v>0.35786392527915867</v>
      </c>
      <c r="BA23" s="139" t="str">
        <f>Input!B23</f>
        <v>Hu1-13</v>
      </c>
      <c r="BB23" s="151">
        <f>Input!E23</f>
        <v>0</v>
      </c>
      <c r="BC23" s="139">
        <f>((U23-1)*EXP(Constants!$B$17*AW23*1000))*1000</f>
        <v>2.3001362023994134</v>
      </c>
      <c r="BD23" s="145">
        <f>SQRT((EXP(Constants!$B$17*AW23*1000)*V23)^2+((U23-1)*Constants!$B$17*EXP(Constants!$B$17*AW23*1000)*AY23*1000)^2)*1000</f>
        <v>7.5791842752988989</v>
      </c>
      <c r="BE23" s="139">
        <f t="shared" si="81"/>
        <v>595571</v>
      </c>
      <c r="BF23" s="152">
        <f t="shared" si="82"/>
        <v>47621.675031874089</v>
      </c>
      <c r="BG23" s="161">
        <f t="shared" si="83"/>
        <v>15.990381607300547</v>
      </c>
      <c r="BH23" s="139"/>
      <c r="BI23" s="18"/>
      <c r="BJ23" s="18"/>
      <c r="BK23" s="18"/>
      <c r="BL23" s="18"/>
      <c r="BM23" s="18"/>
      <c r="BN23" s="160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10895</v>
      </c>
      <c r="B24" s="18" t="str">
        <f>Input!B24</f>
        <v>M5-14-42_162,75</v>
      </c>
      <c r="C24" s="18">
        <f>Input!O24</f>
        <v>2.0746528389363728</v>
      </c>
      <c r="D24" s="18">
        <f>C24*Input!P24/100</f>
        <v>5.4728487817622198E-3</v>
      </c>
      <c r="E24" s="153">
        <f>Input!M24</f>
        <v>2.3130105872338826</v>
      </c>
      <c r="F24" s="154">
        <f>E24*Input!N24/100</f>
        <v>9.89172866577717E-5</v>
      </c>
      <c r="G24" s="21">
        <f>E24*137.88</f>
        <v>318.91789976780774</v>
      </c>
      <c r="H24" s="154">
        <f>G24*Input!L24/100</f>
        <v>1.2635459127423367E-2</v>
      </c>
      <c r="I24" s="18">
        <v>0.3</v>
      </c>
      <c r="J24" s="130">
        <f>(((C24*Constants!$B$24*0.000000001*Input!G24*(Constants!$B$4/Constants!$B$3))-(I24*0.000000000000001))/Input!F24)*1000000000000</f>
        <v>42.710896307303805</v>
      </c>
      <c r="K24" s="18">
        <f>J24*Input!P24/100</f>
        <v>0.11266958617675936</v>
      </c>
      <c r="L24" s="135">
        <f>(J24/Constants!$B$4)*602200000000*Constants!$B$17/(365.2425*24*60)</f>
        <v>0.58967134606431559</v>
      </c>
      <c r="M24" s="133">
        <f>L24*Input!P24/100</f>
        <v>1.5555287358836769E-3</v>
      </c>
      <c r="N24" s="18">
        <v>5.0000000000000001E-3</v>
      </c>
      <c r="O24" s="130">
        <f>(((G24*Constants!$B$23*0.000000001*Input!G24*(Constants!$B$7/Constants!$B$6))-(N24*0.000000001))/Input!F24)*1000000</f>
        <v>0.66138209082670796</v>
      </c>
      <c r="P24" s="18">
        <f>O24*Input!N24/100</f>
        <v>2.8284402254664923E-5</v>
      </c>
      <c r="Q24" s="131">
        <f>(O24/Constants!$B$7)*602200000000000000*Constants!$B$18/(365.2425*24*60)</f>
        <v>0.49347090724375797</v>
      </c>
      <c r="R24" s="132">
        <f>Q24*Input!N24/100</f>
        <v>2.1103579663021109E-5</v>
      </c>
      <c r="S24" s="133">
        <f>Input!S24*Constants!$B$17/Constants!$B$18</f>
        <v>1.1857316548989827</v>
      </c>
      <c r="T24" s="18">
        <f>S24*Input!T24/100</f>
        <v>6.5713863797648429E-4</v>
      </c>
      <c r="U24" s="18">
        <f>S24*1/((U23+U25)/2)</f>
        <v>1.1855979402164203</v>
      </c>
      <c r="V24" s="18">
        <f>U24*Input!T24/100</f>
        <v>6.5706453260532926E-4</v>
      </c>
      <c r="W24" s="134">
        <v>3.0000000000000001E-3</v>
      </c>
      <c r="X24" s="130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2.4536005134334093</v>
      </c>
      <c r="Y24" s="130">
        <f>X24*Input!X24/100</f>
        <v>3.9896504613797703E-3</v>
      </c>
      <c r="Z24" s="130">
        <f>(X24/Constants!$B$11)*6.022E+23*0.000000001*Constants!$B$19/(365.2425*24*60)</f>
        <v>5.9900320711951151E-4</v>
      </c>
      <c r="AA24" s="130">
        <f>Z24*Input!X24/100</f>
        <v>9.7400265795843505E-7</v>
      </c>
      <c r="AB24" s="135">
        <v>0.05</v>
      </c>
      <c r="AC24" s="135">
        <v>0.9</v>
      </c>
      <c r="AD24" s="130">
        <f>(((Input!G24*Constants!$B$25*0.000000001*Input!U24*(Constants!$B$10/Constants!$B$9))-((AB24*0.000000000000001)+(Input!G24*AC24*0.000000000000001)))/Input!F24)*1000000000000</f>
        <v>11.721066769031687</v>
      </c>
      <c r="AE24" s="130">
        <f>AD24*Input!V24/100</f>
        <v>2.3279381391646231E-2</v>
      </c>
      <c r="AF24" s="130">
        <f>(AD24/Constants!$B$10)*602200000000*Constants!$B$16/(365.2425*24*60)</f>
        <v>0.53501592778805518</v>
      </c>
      <c r="AG24" s="130">
        <f>AF24*Input!V24/100</f>
        <v>1.0626029250588875E-3</v>
      </c>
      <c r="AH24" s="18">
        <f>AF24/Z24</f>
        <v>893.17706721611967</v>
      </c>
      <c r="AI24" s="134">
        <f>AH24*SQRT((AG24/AF24)^2+(AA24/Z24)^2)</f>
        <v>2.2926403166460929</v>
      </c>
      <c r="AJ24" s="133">
        <f t="shared" si="72"/>
        <v>185.59794021642028</v>
      </c>
      <c r="AK24" s="134">
        <f>V24*1000</f>
        <v>0.65706453260532927</v>
      </c>
      <c r="AL24" s="134">
        <f>AF24/Q24</f>
        <v>1.0841894019170117</v>
      </c>
      <c r="AM24" s="134">
        <f>AL24*SQRT((R24/Q24)^2+(AG24/AF24)^2)</f>
        <v>2.1538234844825639E-3</v>
      </c>
      <c r="AN24" s="18">
        <f>AL24*1/((AN23+AN25)/2)</f>
        <v>1.0855902034941289</v>
      </c>
      <c r="AO24" s="130">
        <f>AN24*SQRT((R24/Q24)^2+(AG24/AF24)^2)</f>
        <v>2.1566062817766165E-3</v>
      </c>
      <c r="AP24" s="18">
        <f>ThU_Alter_Kombi(AN24,U24)</f>
        <v>230.7158</v>
      </c>
      <c r="AQ24" s="18">
        <f t="shared" si="74"/>
        <v>1.5011000000000001</v>
      </c>
      <c r="AR24" s="155">
        <f>(AQ24/AP24)</f>
        <v>6.5062730857617908E-3</v>
      </c>
      <c r="AS24" s="132">
        <f t="shared" si="75"/>
        <v>1.2138571865668753E-3</v>
      </c>
      <c r="AT24" s="132">
        <f t="shared" si="76"/>
        <v>1.9744618203836995E-6</v>
      </c>
      <c r="AU24" s="18">
        <v>0.75</v>
      </c>
      <c r="AV24" s="18">
        <f>AU24/2</f>
        <v>0.375</v>
      </c>
      <c r="AW24" s="18">
        <f t="shared" si="77"/>
        <v>230.64259999999999</v>
      </c>
      <c r="AX24" s="136">
        <f t="shared" si="78"/>
        <v>1.4254958535</v>
      </c>
      <c r="AY24" s="136">
        <f t="shared" si="79"/>
        <v>1.5167909156653343</v>
      </c>
      <c r="AZ24" s="155">
        <f t="shared" si="80"/>
        <v>6.1805401669075876E-3</v>
      </c>
      <c r="BA24" s="18" t="str">
        <f>Input!B24</f>
        <v>M5-14-42_162,75</v>
      </c>
      <c r="BB24" s="137">
        <f>Input!E24</f>
        <v>162.75</v>
      </c>
      <c r="BC24" s="18">
        <f>((U24-1)*EXP(Constants!$B$17*AW24*1000))*1000</f>
        <v>355.83600979362302</v>
      </c>
      <c r="BD24" s="133">
        <f>SQRT((EXP(Constants!$B$17*AW24*1000)*V24)^2+((U24-1)*Constants!$B$17*EXP(Constants!$B$17*AW24*1000)*AY24*1000)^2)*1000</f>
        <v>1.9766006652339614</v>
      </c>
      <c r="BE24" s="18">
        <f t="shared" si="81"/>
        <v>230584.59999999998</v>
      </c>
      <c r="BF24" s="138">
        <f t="shared" si="82"/>
        <v>758.39545783266715</v>
      </c>
      <c r="BG24" s="20">
        <f t="shared" si="83"/>
        <v>0.65763693076011731</v>
      </c>
      <c r="BH24" s="18"/>
      <c r="BI24" s="18"/>
      <c r="BJ24" s="18"/>
      <c r="BK24" s="18"/>
      <c r="BL24" s="18"/>
      <c r="BM24" s="18"/>
      <c r="BN24" s="160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9">
        <f>Input!A25</f>
        <v>10815</v>
      </c>
      <c r="B25" s="139" t="str">
        <f>Input!B25</f>
        <v>Hu1-13</v>
      </c>
      <c r="C25" s="139">
        <f>Input!O25</f>
        <v>2.1230518705204551</v>
      </c>
      <c r="D25" s="139">
        <f>C25*Input!P25/100</f>
        <v>1.5382870357539531E-2</v>
      </c>
      <c r="E25" s="140">
        <f>Input!M25</f>
        <v>2.7319277749369086</v>
      </c>
      <c r="F25" s="141">
        <f>E25*Input!N25/100</f>
        <v>2.3585565348312711E-4</v>
      </c>
      <c r="G25" s="142">
        <f t="shared" ref="G25" si="93">E25*137.88</f>
        <v>376.67820160830092</v>
      </c>
      <c r="H25" s="141">
        <f>G25*Input!L25/100</f>
        <v>1.8207632144669229E-2</v>
      </c>
      <c r="I25" s="139">
        <v>0</v>
      </c>
      <c r="J25" s="143">
        <f>(((C25*Constants!$B$24*0.000000001*Input!G25*(Constants!$B$4/Constants!$B$3))-(I25*0.000000000000001))/Input!F25)*1000000000000</f>
        <v>766.50143033474649</v>
      </c>
      <c r="K25" s="139">
        <f>J25*Input!P25/100</f>
        <v>5.5537937133950122</v>
      </c>
      <c r="L25" s="144">
        <f>(J25/Constants!$B$4)*602200000000*Constants!$B$17/(365.2425*24*60)</f>
        <v>10.58240330368392</v>
      </c>
      <c r="M25" s="145">
        <f>L25*Input!P25/100</f>
        <v>7.6676288672994697E-2</v>
      </c>
      <c r="N25" s="139">
        <v>0</v>
      </c>
      <c r="O25" s="143">
        <f>(((G25*Constants!$B$23*0.000000001*Input!G25*(Constants!$B$7/Constants!$B$6))-(N25*0.000000001))/Input!F25)*1000000</f>
        <v>13.699488543402419</v>
      </c>
      <c r="P25" s="139">
        <f>O25*Input!N25/100</f>
        <v>1.1827186108034683E-3</v>
      </c>
      <c r="Q25" s="146">
        <f>(O25/Constants!$B$7)*602200000000000000*Constants!$B$18/(365.2425*24*60)</f>
        <v>10.221472782606023</v>
      </c>
      <c r="R25" s="147">
        <f>Q25*Input!N25/100</f>
        <v>8.8245090694508436E-4</v>
      </c>
      <c r="S25" s="145">
        <f>Input!S25*Constants!$B$17/Constants!$B$18</f>
        <v>0.99979726541729008</v>
      </c>
      <c r="T25" s="139">
        <f>S25*Input!T25/100</f>
        <v>1.3288982575925016E-3</v>
      </c>
      <c r="U25" s="145">
        <f>S25</f>
        <v>0.99979726541729008</v>
      </c>
      <c r="V25" s="139">
        <f>U25*Input!T25/100</f>
        <v>1.3288982575925016E-3</v>
      </c>
      <c r="W25" s="148">
        <v>0</v>
      </c>
      <c r="X25" s="143">
        <f>(((Constants!$B$25*0.000000001*Input!G25/Input!W25*(Constants!$B$11/Constants!$B$9))-(W25*0.000000001))/Input!F25)*1000000000</f>
        <v>0.88917533976660024</v>
      </c>
      <c r="Y25" s="143">
        <f>X25*Input!X25/100</f>
        <v>2.7629116507428002E-3</v>
      </c>
      <c r="Z25" s="143">
        <f>(X25/Constants!$B$11)*6.022E+23*0.000000001*Constants!$B$19/(365.2425*24*60)</f>
        <v>2.1707644634719393E-4</v>
      </c>
      <c r="AA25" s="143">
        <f>Z25*Input!X25/100</f>
        <v>6.7451605537321623E-7</v>
      </c>
      <c r="AB25" s="144">
        <v>0</v>
      </c>
      <c r="AC25" s="144">
        <v>0.9</v>
      </c>
      <c r="AD25" s="143">
        <f>(((Input!G25*Constants!$B$25*0.000000001*Input!U25*(Constants!$B$10/Constants!$B$9))-((AB25*0.000000000000001)+(Input!G25*AC25*0.000000000000001)))/Input!F25)*1000000000000</f>
        <v>224.16791716597496</v>
      </c>
      <c r="AE25" s="143">
        <f>AD25*Input!V25/100</f>
        <v>0.49690600984282729</v>
      </c>
      <c r="AF25" s="143">
        <f>(AD25/Constants!$B$10)*602200000000*Constants!$B$16/(365.2425*24*60)</f>
        <v>10.232294427308178</v>
      </c>
      <c r="AG25" s="143">
        <f>AF25*Input!V25/100</f>
        <v>2.2681606983242505E-2</v>
      </c>
      <c r="AH25" s="139">
        <f t="shared" ref="AH25" si="94">AF25/Z25</f>
        <v>47136.824835166866</v>
      </c>
      <c r="AI25" s="148">
        <f t="shared" ref="AI25" si="95">AH25*SQRT((AG25/AF25)^2+(AA25/Z25)^2)</f>
        <v>179.91684286505679</v>
      </c>
      <c r="AJ25" s="145">
        <f t="shared" si="72"/>
        <v>-0.20273458270991807</v>
      </c>
      <c r="AK25" s="148">
        <f t="shared" ref="AK25" si="96">V25*1000</f>
        <v>1.3288982575925017</v>
      </c>
      <c r="AL25" s="148">
        <f t="shared" ref="AL25" si="97">AF25/Q25</f>
        <v>1.0010587167751961</v>
      </c>
      <c r="AM25" s="148">
        <f t="shared" ref="AM25" si="98">AL25*SQRT((R25/Q25)^2+(AG25/AF25)^2)</f>
        <v>2.2206979012277892E-3</v>
      </c>
      <c r="AN25" s="139">
        <f>AF25/Q25</f>
        <v>1.0010587167751961</v>
      </c>
      <c r="AO25" s="143">
        <f t="shared" ref="AO25" si="99">AN25*SQRT((R25/Q25)^2+(AG25/AF25)^2)</f>
        <v>2.2206979012277892E-3</v>
      </c>
      <c r="AP25" s="139" t="str">
        <f t="shared" ref="AP25" si="100">ThU_Alter_Kombi(AN25,U25)</f>
        <v>Out of range</v>
      </c>
      <c r="AQ25" s="139" t="e">
        <f t="shared" si="74"/>
        <v>#VALUE!</v>
      </c>
      <c r="AR25" s="139" t="e">
        <f>(AQ25/AP25)*100</f>
        <v>#VALUE!</v>
      </c>
      <c r="AS25" s="147">
        <f t="shared" si="75"/>
        <v>2.1237296323539105E-5</v>
      </c>
      <c r="AT25" s="147">
        <f t="shared" si="76"/>
        <v>6.6015570291520499E-8</v>
      </c>
      <c r="AU25" s="139">
        <v>0.75</v>
      </c>
      <c r="AV25" s="139">
        <f t="shared" ref="AV25" si="101">AU25/2</f>
        <v>0.375</v>
      </c>
      <c r="AW25" s="139" t="str">
        <f t="shared" si="77"/>
        <v>Out of range</v>
      </c>
      <c r="AX25" s="149">
        <f t="shared" si="78"/>
        <v>346.60589825469998</v>
      </c>
      <c r="AY25" s="149" t="e">
        <f t="shared" si="79"/>
        <v>#VALUE!</v>
      </c>
      <c r="AZ25" s="150" t="e">
        <f t="shared" si="80"/>
        <v>#VALUE!</v>
      </c>
      <c r="BA25" s="139" t="str">
        <f>Input!B25</f>
        <v>Hu1-13</v>
      </c>
      <c r="BB25" s="151">
        <f>Input!E25</f>
        <v>0</v>
      </c>
      <c r="BC25" s="139" t="e">
        <f>((U25-1)*EXP(Constants!$B$17*AW25*1000))*1000</f>
        <v>#VALUE!</v>
      </c>
      <c r="BD25" s="145" t="e">
        <f>SQRT((EXP(Constants!$B$17*AW25*1000)*V25)^2+((U25-1)*Constants!$B$17*EXP(Constants!$B$17*AW25*1000)*AY25*1000)^2)*1000</f>
        <v>#VALUE!</v>
      </c>
      <c r="BE25" s="139" t="e">
        <f t="shared" si="81"/>
        <v>#VALUE!</v>
      </c>
      <c r="BF25" s="152" t="e">
        <f t="shared" si="82"/>
        <v>#VALUE!</v>
      </c>
      <c r="BG25" s="161" t="e">
        <f t="shared" si="83"/>
        <v>#VALUE!</v>
      </c>
      <c r="BH25" s="139"/>
      <c r="BI25" s="18"/>
      <c r="BJ25" s="18"/>
      <c r="BK25" s="18"/>
      <c r="BL25" s="18"/>
      <c r="BM25" s="18"/>
      <c r="BN25" s="160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10896</v>
      </c>
      <c r="B26" s="18" t="str">
        <f>Input!B26</f>
        <v>M5-14-42_211,25</v>
      </c>
      <c r="C26" s="18">
        <f>Input!O26</f>
        <v>2.7360748016819167</v>
      </c>
      <c r="D26" s="18">
        <f>C26*Input!P26/100</f>
        <v>7.1636541629003991E-3</v>
      </c>
      <c r="E26" s="153">
        <f>Input!M26</f>
        <v>3.0085213849925703</v>
      </c>
      <c r="F26" s="154">
        <f>E26*Input!N26/100</f>
        <v>1.473795744378363E-4</v>
      </c>
      <c r="G26" s="21">
        <f>E26*137.88</f>
        <v>414.81492856277555</v>
      </c>
      <c r="H26" s="154">
        <f>G26*Input!L26/100</f>
        <v>1.2009994068350788E-2</v>
      </c>
      <c r="I26" s="18">
        <v>0.3</v>
      </c>
      <c r="J26" s="130">
        <f>(((C26*Constants!$B$24*0.000000001*Input!G26*(Constants!$B$4/Constants!$B$3))-(I26*0.000000000000001))/Input!F26)*1000000000000</f>
        <v>59.477303890040446</v>
      </c>
      <c r="K26" s="18">
        <f>J26*Input!P26/100</f>
        <v>0.15572484909698525</v>
      </c>
      <c r="L26" s="135">
        <f>(J26/Constants!$B$4)*602200000000*Constants!$B$17/(365.2425*24*60)</f>
        <v>0.82115021873514227</v>
      </c>
      <c r="M26" s="133">
        <f>L26*Input!P26/100</f>
        <v>2.1499544453947427E-3</v>
      </c>
      <c r="N26" s="18">
        <v>5.0000000000000001E-3</v>
      </c>
      <c r="O26" s="130">
        <f>(((G26*Constants!$B$23*0.000000001*Input!G26*(Constants!$B$7/Constants!$B$6))-(N26*0.000000001))/Input!F26)*1000000</f>
        <v>0.90836026086704302</v>
      </c>
      <c r="P26" s="18">
        <f>O26*Input!N26/100</f>
        <v>4.4498187498559986E-5</v>
      </c>
      <c r="Q26" s="131">
        <f>(O26/Constants!$B$7)*602200000000000000*Constants!$B$18/(365.2425*24*60)</f>
        <v>0.67774644679891172</v>
      </c>
      <c r="R26" s="132">
        <f>Q26*Input!N26/100</f>
        <v>3.320102140680843E-5</v>
      </c>
      <c r="S26" s="133">
        <f>Input!S26*Constants!$B$17/Constants!$B$18</f>
        <v>1.2037374943824504</v>
      </c>
      <c r="T26" s="18">
        <f>S26*Input!T26/100</f>
        <v>5.9871001356924113E-4</v>
      </c>
      <c r="U26" s="18">
        <f>S26*1/((U25+U27)/2)</f>
        <v>1.2044022562623711</v>
      </c>
      <c r="V26" s="18">
        <f>U26*Input!T26/100</f>
        <v>5.990406501042041E-4</v>
      </c>
      <c r="W26" s="134">
        <v>3.0000000000000001E-3</v>
      </c>
      <c r="X26" s="130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0.14640910758567521</v>
      </c>
      <c r="Y26" s="130">
        <f>X26*Input!X26/100</f>
        <v>2.6810411911135345E-4</v>
      </c>
      <c r="Z26" s="130">
        <f>(X26/Constants!$B$11)*6.022E+23*0.000000001*Constants!$B$19/(365.2425*24*60)</f>
        <v>3.5743196382284762E-5</v>
      </c>
      <c r="AA26" s="130">
        <f>Z26*Input!X26/100</f>
        <v>6.5452882940966512E-8</v>
      </c>
      <c r="AB26" s="135">
        <v>0.05</v>
      </c>
      <c r="AC26" s="135">
        <v>0.9</v>
      </c>
      <c r="AD26" s="130">
        <f>(((Input!G26*Constants!$B$25*0.000000001*Input!U26*(Constants!$B$10/Constants!$B$9))-((AB26*0.000000000000001)+(Input!G26*AC26*0.000000000000001)))/Input!F26)*1000000000000</f>
        <v>16.784920751081497</v>
      </c>
      <c r="AE26" s="130">
        <f>AD26*Input!V26/100</f>
        <v>3.1411152880767297E-2</v>
      </c>
      <c r="AF26" s="130">
        <f>(AD26/Constants!$B$10)*602200000000*Constants!$B$16/(365.2425*24*60)</f>
        <v>0.76615892780471972</v>
      </c>
      <c r="AG26" s="130">
        <f>AF26*Input!V26/100</f>
        <v>1.433783070479387E-3</v>
      </c>
      <c r="AH26" s="18">
        <f>AF26/Z26</f>
        <v>21435.09829424342</v>
      </c>
      <c r="AI26" s="134">
        <f>AH26*SQRT((AG26/AF26)^2+(AA26/Z26)^2)</f>
        <v>56.123098619482931</v>
      </c>
      <c r="AJ26" s="133">
        <f t="shared" si="72"/>
        <v>204.40225626237108</v>
      </c>
      <c r="AK26" s="134">
        <f>V26*1000</f>
        <v>0.59904065010420404</v>
      </c>
      <c r="AL26" s="134">
        <f>AF26/Q26</f>
        <v>1.1304506743242877</v>
      </c>
      <c r="AM26" s="134">
        <f>AL26*SQRT((R26/Q26)^2+(AG26/AF26)^2)</f>
        <v>2.1162401248279736E-3</v>
      </c>
      <c r="AN26" s="18">
        <f>AL26*1/((AN25+AN27)/2)</f>
        <v>1.1311471775263069</v>
      </c>
      <c r="AO26" s="130">
        <f>AN26*SQRT((R26/Q26)^2+(AG26/AF26)^2)</f>
        <v>2.1175440012877449E-3</v>
      </c>
      <c r="AP26" s="18">
        <f>ThU_Alter_Kombi(AN26,U26)</f>
        <v>247.9331</v>
      </c>
      <c r="AQ26" s="18">
        <f t="shared" si="74"/>
        <v>1.6414</v>
      </c>
      <c r="AR26" s="155">
        <f>(AQ26/AP26)</f>
        <v>6.6203342756574251E-3</v>
      </c>
      <c r="AS26" s="132">
        <f t="shared" si="75"/>
        <v>5.2738301397380573E-5</v>
      </c>
      <c r="AT26" s="132">
        <f t="shared" si="76"/>
        <v>9.6608841807653969E-8</v>
      </c>
      <c r="AU26" s="18">
        <v>0.75</v>
      </c>
      <c r="AV26" s="18">
        <f>AU26/2</f>
        <v>0.375</v>
      </c>
      <c r="AW26" s="18">
        <f t="shared" si="77"/>
        <v>247.93</v>
      </c>
      <c r="AX26" s="136">
        <f t="shared" si="78"/>
        <v>1.7445654964999999</v>
      </c>
      <c r="AY26" s="136">
        <f t="shared" si="79"/>
        <v>1.6670908133533062</v>
      </c>
      <c r="AZ26" s="155">
        <f t="shared" si="80"/>
        <v>7.0365244080990595E-3</v>
      </c>
      <c r="BA26" s="18" t="str">
        <f>Input!B26</f>
        <v>M5-14-42_211,25</v>
      </c>
      <c r="BB26" s="137">
        <f>Input!E26</f>
        <v>211.25</v>
      </c>
      <c r="BC26" s="18">
        <f>((U26-1)*EXP(Constants!$B$17*AW26*1000))*1000</f>
        <v>411.48115884099093</v>
      </c>
      <c r="BD26" s="133">
        <f>SQRT((EXP(Constants!$B$17*AW26*1000)*V26)^2+((U26-1)*Constants!$B$17*EXP(Constants!$B$17*AW26*1000)*AY26*1000)^2)*1000</f>
        <v>2.2807535738325058</v>
      </c>
      <c r="BE26" s="18">
        <f t="shared" si="81"/>
        <v>247872</v>
      </c>
      <c r="BF26" s="138">
        <f t="shared" si="82"/>
        <v>833.5454066766531</v>
      </c>
      <c r="BG26" s="20">
        <f t="shared" si="83"/>
        <v>0.67240382904582185</v>
      </c>
      <c r="BH26" s="18"/>
      <c r="BI26" s="18"/>
      <c r="BJ26" s="18"/>
      <c r="BK26" s="18"/>
      <c r="BL26" s="18"/>
      <c r="BM26" s="18"/>
      <c r="BN26" s="160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9">
        <f>Input!A27</f>
        <v>10815</v>
      </c>
      <c r="B27" s="139" t="str">
        <f>Input!B27</f>
        <v>Hu1-13</v>
      </c>
      <c r="C27" s="139">
        <f>Input!O27</f>
        <v>2.12215626267268</v>
      </c>
      <c r="D27" s="139">
        <f>C27*Input!P27/100</f>
        <v>1.3030586572198822E-2</v>
      </c>
      <c r="E27" s="140">
        <f>Input!M27</f>
        <v>2.7321375264986796</v>
      </c>
      <c r="F27" s="141">
        <f>E27*Input!N27/100</f>
        <v>2.3927242248581709E-4</v>
      </c>
      <c r="G27" s="142">
        <f t="shared" ref="G27" si="102">E27*137.88</f>
        <v>376.70712215363795</v>
      </c>
      <c r="H27" s="141">
        <f>G27*Input!L27/100</f>
        <v>3.0607807962300518E-2</v>
      </c>
      <c r="I27" s="139">
        <v>0</v>
      </c>
      <c r="J27" s="143">
        <f>(((C27*Constants!$B$24*0.000000001*Input!G27*(Constants!$B$4/Constants!$B$3))-(I27*0.000000000000001))/Input!F27)*1000000000000</f>
        <v>766.1780822781725</v>
      </c>
      <c r="K27" s="139">
        <f>J27*Input!P27/100</f>
        <v>4.7045309558275843</v>
      </c>
      <c r="L27" s="144">
        <f>(J27/Constants!$B$4)*602200000000*Constants!$B$17/(365.2425*24*60)</f>
        <v>10.57793912474477</v>
      </c>
      <c r="M27" s="145">
        <f>L27*Input!P27/100</f>
        <v>6.4951273355733849E-2</v>
      </c>
      <c r="N27" s="139">
        <v>0</v>
      </c>
      <c r="O27" s="143">
        <f>(((G27*Constants!$B$23*0.000000001*Input!G27*(Constants!$B$7/Constants!$B$6))-(N27*0.000000001))/Input!F27)*1000000</f>
        <v>13.700540360783469</v>
      </c>
      <c r="P27" s="139">
        <f>O27*Input!N27/100</f>
        <v>1.1998522950235372E-3</v>
      </c>
      <c r="Q27" s="146">
        <f>(O27/Constants!$B$7)*602200000000000000*Constants!$B$18/(365.2425*24*60)</f>
        <v>10.222257565388141</v>
      </c>
      <c r="R27" s="147">
        <f>Q27*Input!N27/100</f>
        <v>8.9523470441068708E-4</v>
      </c>
      <c r="S27" s="145">
        <f>Input!S27*Constants!$B$17/Constants!$B$18</f>
        <v>0.99909884777667957</v>
      </c>
      <c r="T27" s="139">
        <f>S27*Input!T27/100</f>
        <v>1.5020835358307331E-3</v>
      </c>
      <c r="U27" s="145">
        <f>S27</f>
        <v>0.99909884777667957</v>
      </c>
      <c r="V27" s="139">
        <f>U27*Input!T27/100</f>
        <v>1.5020835358307331E-3</v>
      </c>
      <c r="W27" s="148">
        <v>0</v>
      </c>
      <c r="X27" s="143">
        <f>(((Constants!$B$25*0.000000001*Input!G27/Input!W27*(Constants!$B$11/Constants!$B$9))-(W27*0.000000001))/Input!F27)*1000000000</f>
        <v>0.88830308406908698</v>
      </c>
      <c r="Y27" s="143">
        <f>X27*Input!X27/100</f>
        <v>4.6039760903123809E-3</v>
      </c>
      <c r="Z27" s="143">
        <f>(X27/Constants!$B$11)*6.022E+23*0.000000001*Constants!$B$19/(365.2425*24*60)</f>
        <v>2.168635005325113E-4</v>
      </c>
      <c r="AA27" s="143">
        <f>Z27*Input!X27/100</f>
        <v>1.1239794043487482E-6</v>
      </c>
      <c r="AB27" s="144">
        <v>0</v>
      </c>
      <c r="AC27" s="144">
        <v>0.9</v>
      </c>
      <c r="AD27" s="143">
        <f>(((Input!G27*Constants!$B$25*0.000000001*Input!U27*(Constants!$B$10/Constants!$B$9))-((AB27*0.000000000000001)+(Input!G27*AC27*0.000000000000001)))/Input!F27)*1000000000000</f>
        <v>223.43514149094824</v>
      </c>
      <c r="AE27" s="143">
        <f>AD27*Input!V27/100</f>
        <v>0.53143308424118718</v>
      </c>
      <c r="AF27" s="143">
        <f>(AD27/Constants!$B$10)*602200000000*Constants!$B$16/(365.2425*24*60)</f>
        <v>10.198846391787146</v>
      </c>
      <c r="AG27" s="143">
        <f>AF27*Input!V27/100</f>
        <v>2.4257618374274936E-2</v>
      </c>
      <c r="AH27" s="139">
        <f t="shared" ref="AH27" si="103">AF27/Z27</f>
        <v>47028.874691885627</v>
      </c>
      <c r="AI27" s="148">
        <f t="shared" ref="AI27" si="104">AH27*SQRT((AG27/AF27)^2+(AA27/Z27)^2)</f>
        <v>268.18601173070078</v>
      </c>
      <c r="AJ27" s="145">
        <f t="shared" si="72"/>
        <v>-0.90115222332043388</v>
      </c>
      <c r="AK27" s="148">
        <f t="shared" ref="AK27" si="105">V27*1000</f>
        <v>1.502083535830733</v>
      </c>
      <c r="AL27" s="148">
        <f t="shared" ref="AL27" si="106">AF27/Q27</f>
        <v>0.99770978441393776</v>
      </c>
      <c r="AM27" s="148">
        <f t="shared" ref="AM27" si="107">AL27*SQRT((R27/Q27)^2+(AG27/AF27)^2)</f>
        <v>2.3746277691336875E-3</v>
      </c>
      <c r="AN27" s="139">
        <f>AF27/Q27</f>
        <v>0.99770978441393776</v>
      </c>
      <c r="AO27" s="143">
        <f t="shared" ref="AO27" si="108">AN27*SQRT((R27/Q27)^2+(AG27/AF27)^2)</f>
        <v>2.3746277691336875E-3</v>
      </c>
      <c r="AP27" s="139">
        <f t="shared" ref="AP27" si="109">ThU_Alter_Kombi(AN27,U27)</f>
        <v>753.3306</v>
      </c>
      <c r="AQ27" s="139" t="e">
        <f t="shared" si="74"/>
        <v>#VALUE!</v>
      </c>
      <c r="AR27" s="139" t="e">
        <f>(AQ27/AP27)*100</f>
        <v>#VALUE!</v>
      </c>
      <c r="AS27" s="147">
        <f t="shared" si="75"/>
        <v>2.1214834310846965E-5</v>
      </c>
      <c r="AT27" s="147">
        <f t="shared" si="76"/>
        <v>1.0996982270856933E-7</v>
      </c>
      <c r="AU27" s="139">
        <v>0.75</v>
      </c>
      <c r="AV27" s="139">
        <f t="shared" ref="AV27" si="110">AU27/2</f>
        <v>0.375</v>
      </c>
      <c r="AW27" s="139">
        <f t="shared" si="77"/>
        <v>753.32889999999998</v>
      </c>
      <c r="AX27" s="149">
        <f t="shared" si="78"/>
        <v>344.0943621605</v>
      </c>
      <c r="AY27" s="149">
        <f t="shared" si="79"/>
        <v>349.62231502167066</v>
      </c>
      <c r="AZ27" s="150">
        <f t="shared" si="80"/>
        <v>0.45676511568917644</v>
      </c>
      <c r="BA27" s="139" t="str">
        <f>Input!B27</f>
        <v>Hu1-13</v>
      </c>
      <c r="BB27" s="151">
        <f>Input!E27</f>
        <v>0</v>
      </c>
      <c r="BC27" s="139">
        <f>((U27-1)*EXP(Constants!$B$17*AW27*1000))*1000</f>
        <v>-7.5523461942423671</v>
      </c>
      <c r="BD27" s="145">
        <f>SQRT((EXP(Constants!$B$17*AW27*1000)*V27)^2+((U27-1)*Constants!$B$17*EXP(Constants!$B$17*AW27*1000)*AY27*1000)^2)*1000</f>
        <v>14.62870105696118</v>
      </c>
      <c r="BE27" s="139">
        <f t="shared" si="81"/>
        <v>753270.9</v>
      </c>
      <c r="BF27" s="152">
        <f t="shared" si="82"/>
        <v>174811.15751083533</v>
      </c>
      <c r="BG27" s="161">
        <f t="shared" si="83"/>
        <v>46.410314939685797</v>
      </c>
      <c r="BH27" s="139"/>
      <c r="BI27" s="18"/>
      <c r="BJ27" s="18"/>
      <c r="BK27" s="18"/>
      <c r="BL27" s="18"/>
      <c r="BM27" s="18"/>
      <c r="BN27" s="160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10897</v>
      </c>
      <c r="B28" s="18" t="str">
        <f>Input!B28</f>
        <v>M5-14-42_224</v>
      </c>
      <c r="C28" s="18">
        <f>Input!O28</f>
        <v>2.2570621178145567</v>
      </c>
      <c r="D28" s="18">
        <f>C28*Input!P28/100</f>
        <v>6.5024140426441345E-3</v>
      </c>
      <c r="E28" s="153">
        <f>Input!M28</f>
        <v>2.606509883702854</v>
      </c>
      <c r="F28" s="154">
        <f>E28*Input!N28/100</f>
        <v>1.1696203598596556E-4</v>
      </c>
      <c r="G28" s="21">
        <f>E28*137.88</f>
        <v>359.3855827649495</v>
      </c>
      <c r="H28" s="154">
        <f>G28*Input!L28/100</f>
        <v>1.6308925443203209E-2</v>
      </c>
      <c r="I28" s="18">
        <v>0.3</v>
      </c>
      <c r="J28" s="130">
        <f>(((C28*Constants!$B$24*0.000000001*Input!G28*(Constants!$B$4/Constants!$B$3))-(I28*0.000000000000001))/Input!F28)*1000000000000</f>
        <v>50.56882318029708</v>
      </c>
      <c r="K28" s="18">
        <f>J28*Input!P28/100</f>
        <v>0.14568470374485645</v>
      </c>
      <c r="L28" s="135">
        <f>(J28/Constants!$B$4)*602200000000*Constants!$B$17/(365.2425*24*60)</f>
        <v>0.69815875131880401</v>
      </c>
      <c r="M28" s="133">
        <f>L28*Input!P28/100</f>
        <v>2.0113390910862271E-3</v>
      </c>
      <c r="N28" s="18">
        <v>5.0000000000000001E-3</v>
      </c>
      <c r="O28" s="130">
        <f>(((G28*Constants!$B$23*0.000000001*Input!G28*(Constants!$B$7/Constants!$B$6))-(N28*0.000000001))/Input!F28)*1000000</f>
        <v>0.81111218676392838</v>
      </c>
      <c r="P28" s="18">
        <f>O28*Input!N28/100</f>
        <v>3.6397073868818313E-5</v>
      </c>
      <c r="Q28" s="131">
        <f>(O28/Constants!$B$7)*602200000000000000*Constants!$B$18/(365.2425*24*60)</f>
        <v>0.60518763998969316</v>
      </c>
      <c r="R28" s="132">
        <f>Q28*Input!N28/100</f>
        <v>2.7156612360962579E-5</v>
      </c>
      <c r="S28" s="133">
        <f>Input!S28*Constants!$B$17/Constants!$B$18</f>
        <v>1.1442364310406208</v>
      </c>
      <c r="T28" s="18">
        <f>S28*Input!T28/100</f>
        <v>6.9224828384490918E-4</v>
      </c>
      <c r="U28" s="18">
        <f>S28*1/((U27+U29)/2)</f>
        <v>1.144844116109597</v>
      </c>
      <c r="V28" s="18">
        <f>U28*Input!T28/100</f>
        <v>6.9261592547447553E-4</v>
      </c>
      <c r="W28" s="134">
        <v>3.0000000000000001E-3</v>
      </c>
      <c r="X28" s="130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0.13195404017132462</v>
      </c>
      <c r="Y28" s="130">
        <f>X28*Input!X28/100</f>
        <v>2.0741176373892373E-4</v>
      </c>
      <c r="Z28" s="130">
        <f>(X28/Constants!$B$11)*6.022E+23*0.000000001*Constants!$B$19/(365.2425*24*60)</f>
        <v>3.2214247112459083E-5</v>
      </c>
      <c r="AA28" s="130">
        <f>Z28*Input!X28/100</f>
        <v>5.063591688773978E-8</v>
      </c>
      <c r="AB28" s="135">
        <v>0.05</v>
      </c>
      <c r="AC28" s="135">
        <v>0.9</v>
      </c>
      <c r="AD28" s="130">
        <f>(((Input!G28*Constants!$B$25*0.000000001*Input!U28*(Constants!$B$10/Constants!$B$9))-((AB28*0.000000000000001)+(Input!G28*AC28*0.000000000000001)))/Input!F28)*1000000000000</f>
        <v>13.929874333845333</v>
      </c>
      <c r="AE28" s="130">
        <f>AD28*Input!V28/100</f>
        <v>2.3066348436007269E-2</v>
      </c>
      <c r="AF28" s="130">
        <f>(AD28/Constants!$B$10)*602200000000*Constants!$B$16/(365.2425*24*60)</f>
        <v>0.63583842559314852</v>
      </c>
      <c r="AG28" s="130">
        <f>AF28*Input!V28/100</f>
        <v>1.0528788933938053E-3</v>
      </c>
      <c r="AH28" s="18">
        <f>AF28/Z28</f>
        <v>19737.801829527583</v>
      </c>
      <c r="AI28" s="134">
        <f>AH28*SQRT((AG28/AF28)^2+(AA28/Z28)^2)</f>
        <v>45.063963111239921</v>
      </c>
      <c r="AJ28" s="133">
        <f t="shared" si="72"/>
        <v>144.84411610959702</v>
      </c>
      <c r="AK28" s="134">
        <f>V28*1000</f>
        <v>0.69261592547447548</v>
      </c>
      <c r="AL28" s="134">
        <f>AF28/Q28</f>
        <v>1.0506467475178067</v>
      </c>
      <c r="AM28" s="134">
        <f>AL28*SQRT((R28/Q28)^2+(AG28/AF28)^2)</f>
        <v>1.7403947930005133E-3</v>
      </c>
      <c r="AN28" s="18">
        <f>AL28*1/((AN27+AN29)/2)</f>
        <v>1.052501506503799</v>
      </c>
      <c r="AO28" s="130">
        <f>AN28*SQRT((R28/Q28)^2+(AG28/AF28)^2)</f>
        <v>1.7434671985346456E-3</v>
      </c>
      <c r="AP28" s="18">
        <f>ThU_Alter_Kombi(AN28,U28)</f>
        <v>239.6687</v>
      </c>
      <c r="AQ28" s="18">
        <f t="shared" si="74"/>
        <v>1.3880999999999999</v>
      </c>
      <c r="AR28" s="155">
        <f>(AQ28/AP28)</f>
        <v>5.7917450213565641E-3</v>
      </c>
      <c r="AS28" s="132">
        <f t="shared" si="75"/>
        <v>5.3230180168596497E-5</v>
      </c>
      <c r="AT28" s="132">
        <f t="shared" si="76"/>
        <v>8.3703868186608416E-8</v>
      </c>
      <c r="AU28" s="18">
        <v>0.75</v>
      </c>
      <c r="AV28" s="18">
        <f>AU28/2</f>
        <v>0.375</v>
      </c>
      <c r="AW28" s="18">
        <f t="shared" si="77"/>
        <v>239.6653</v>
      </c>
      <c r="AX28" s="136">
        <f t="shared" si="78"/>
        <v>1.4478475235999999</v>
      </c>
      <c r="AY28" s="136">
        <f t="shared" si="79"/>
        <v>1.4576246026548383</v>
      </c>
      <c r="AZ28" s="155">
        <f t="shared" si="80"/>
        <v>6.041122864261117E-3</v>
      </c>
      <c r="BA28" s="18" t="str">
        <f>Input!B28</f>
        <v>M5-14-42_224</v>
      </c>
      <c r="BB28" s="137">
        <f>Input!E28</f>
        <v>224</v>
      </c>
      <c r="BC28" s="18">
        <f>((U28-1)*EXP(Constants!$B$17*AW28*1000))*1000</f>
        <v>284.8628850271503</v>
      </c>
      <c r="BD28" s="133">
        <f>SQRT((EXP(Constants!$B$17*AW28*1000)*V28)^2+((U28-1)*Constants!$B$17*EXP(Constants!$B$17*AW28*1000)*AY28*1000)^2)*1000</f>
        <v>1.7968176448265292</v>
      </c>
      <c r="BE28" s="18">
        <f t="shared" si="81"/>
        <v>239607.3</v>
      </c>
      <c r="BF28" s="138">
        <f t="shared" si="82"/>
        <v>728.81230132741916</v>
      </c>
      <c r="BG28" s="20">
        <f t="shared" si="83"/>
        <v>0.60819175852943186</v>
      </c>
      <c r="BH28" s="18"/>
      <c r="BI28" s="18"/>
      <c r="BJ28" s="18"/>
      <c r="BK28" s="18"/>
      <c r="BL28" s="18"/>
      <c r="BM28" s="18"/>
      <c r="BN28" s="160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9">
        <f>Input!A29</f>
        <v>10815</v>
      </c>
      <c r="B29" s="139" t="str">
        <f>Input!B29</f>
        <v>Hu1-13</v>
      </c>
      <c r="C29" s="139">
        <f>Input!O29</f>
        <v>2.0869337228332987</v>
      </c>
      <c r="D29" s="139">
        <f>C29*Input!P29/100</f>
        <v>1.6534660166814524E-2</v>
      </c>
      <c r="E29" s="140">
        <f>Input!M29</f>
        <v>2.732158440230716</v>
      </c>
      <c r="F29" s="141">
        <f>E29*Input!N29/100</f>
        <v>2.2025099164365541E-4</v>
      </c>
      <c r="G29" s="142">
        <f t="shared" ref="G29" si="111">E29*137.88</f>
        <v>376.71000573901108</v>
      </c>
      <c r="H29" s="141">
        <f>G29*Input!L29/100</f>
        <v>1.9950210919400076E-2</v>
      </c>
      <c r="I29" s="139">
        <v>0</v>
      </c>
      <c r="J29" s="143">
        <f>(((C29*Constants!$B$24*0.000000001*Input!G29*(Constants!$B$4/Constants!$B$3))-(I29*0.000000000000001))/Input!F29)*1000000000000</f>
        <v>753.46142304728414</v>
      </c>
      <c r="K29" s="139">
        <f>J29*Input!P29/100</f>
        <v>5.9696330758302949</v>
      </c>
      <c r="L29" s="144">
        <f>(J29/Constants!$B$4)*602200000000*Constants!$B$17/(365.2425*24*60)</f>
        <v>10.402371524566901</v>
      </c>
      <c r="M29" s="145">
        <f>L29*Input!P29/100</f>
        <v>8.2417412784028823E-2</v>
      </c>
      <c r="N29" s="139">
        <v>0</v>
      </c>
      <c r="O29" s="143">
        <f>(((G29*Constants!$B$23*0.000000001*Input!G29*(Constants!$B$7/Constants!$B$6))-(N29*0.000000001))/Input!F29)*1000000</f>
        <v>13.700645234504893</v>
      </c>
      <c r="P29" s="139">
        <f>O29*Input!N29/100</f>
        <v>1.1044676818972499E-3</v>
      </c>
      <c r="Q29" s="146">
        <f>(O29/Constants!$B$7)*602200000000000000*Constants!$B$18/(365.2425*24*60)</f>
        <v>10.222335813848714</v>
      </c>
      <c r="R29" s="147">
        <f>Q29*Input!N29/100</f>
        <v>8.2406626451887147E-4</v>
      </c>
      <c r="S29" s="145">
        <f>Input!S29*Constants!$B$17/Constants!$B$18</f>
        <v>0.99983954905757011</v>
      </c>
      <c r="T29" s="139">
        <f>S29*Input!T29/100</f>
        <v>1.2775283238384339E-3</v>
      </c>
      <c r="U29" s="145">
        <f>S29</f>
        <v>0.99983954905757011</v>
      </c>
      <c r="V29" s="139">
        <f>U29*Input!T29/100</f>
        <v>1.2775283238384339E-3</v>
      </c>
      <c r="W29" s="148">
        <v>0</v>
      </c>
      <c r="X29" s="143">
        <f>(((Constants!$B$25*0.000000001*Input!G29/Input!W29*(Constants!$B$11/Constants!$B$9))-(W29*0.000000001))/Input!F29)*1000000000</f>
        <v>0.88411349458437827</v>
      </c>
      <c r="Y29" s="143">
        <f>X29*Input!X29/100</f>
        <v>2.7480554364022369E-3</v>
      </c>
      <c r="Z29" s="143">
        <f>(X29/Constants!$B$11)*6.022E+23*0.000000001*Constants!$B$19/(365.2425*24*60)</f>
        <v>2.1584068629518349E-4</v>
      </c>
      <c r="AA29" s="143">
        <f>Z29*Input!X29/100</f>
        <v>6.7088917317013113E-7</v>
      </c>
      <c r="AB29" s="144">
        <v>0</v>
      </c>
      <c r="AC29" s="144">
        <v>0.9</v>
      </c>
      <c r="AD29" s="143">
        <f>(((Input!G29*Constants!$B$25*0.000000001*Input!U29*(Constants!$B$10/Constants!$B$9))-((AB29*0.000000000000001)+(Input!G29*AC29*0.000000000000001)))/Input!F29)*1000000000000</f>
        <v>223.67333235881762</v>
      </c>
      <c r="AE29" s="143">
        <f>AD29*Input!V29/100</f>
        <v>0.60645172355357468</v>
      </c>
      <c r="AF29" s="143">
        <f>(AD29/Constants!$B$10)*602200000000*Constants!$B$16/(365.2425*24*60)</f>
        <v>10.209718773173154</v>
      </c>
      <c r="AG29" s="143">
        <f>AF29*Input!V29/100</f>
        <v>2.768189431297691E-2</v>
      </c>
      <c r="AH29" s="139">
        <f t="shared" ref="AH29" si="112">AF29/Z29</f>
        <v>47302.104846026821</v>
      </c>
      <c r="AI29" s="148">
        <f t="shared" ref="AI29" si="113">AH29*SQRT((AG29/AF29)^2+(AA29/Z29)^2)</f>
        <v>195.10374849637194</v>
      </c>
      <c r="AJ29" s="145">
        <f t="shared" si="72"/>
        <v>-0.16045094242989055</v>
      </c>
      <c r="AK29" s="148">
        <f t="shared" ref="AK29" si="114">V29*1000</f>
        <v>1.2775283238384338</v>
      </c>
      <c r="AL29" s="148">
        <f t="shared" ref="AL29" si="115">AF29/Q29</f>
        <v>0.99876573799713497</v>
      </c>
      <c r="AM29" s="148">
        <f t="shared" ref="AM29" si="116">AL29*SQRT((R29/Q29)^2+(AG29/AF29)^2)</f>
        <v>2.709177992936494E-3</v>
      </c>
      <c r="AN29" s="139">
        <f>AF29/Q29</f>
        <v>0.99876573799713497</v>
      </c>
      <c r="AO29" s="143">
        <f t="shared" ref="AO29" si="117">AN29*SQRT((R29/Q29)^2+(AG29/AF29)^2)</f>
        <v>2.709177992936494E-3</v>
      </c>
      <c r="AP29" s="139">
        <f t="shared" ref="AP29" si="118">ThU_Alter_Kombi(AN29,U29)</f>
        <v>752.77970000000005</v>
      </c>
      <c r="AQ29" s="139" t="e">
        <f t="shared" si="74"/>
        <v>#VALUE!</v>
      </c>
      <c r="AR29" s="139" t="e">
        <f>(AQ29/AP29)*100</f>
        <v>#VALUE!</v>
      </c>
      <c r="AS29" s="147">
        <f t="shared" si="75"/>
        <v>2.1114615115928125E-5</v>
      </c>
      <c r="AT29" s="147">
        <f t="shared" si="76"/>
        <v>6.5651802504616564E-8</v>
      </c>
      <c r="AU29" s="139">
        <v>0.75</v>
      </c>
      <c r="AV29" s="139">
        <f t="shared" ref="AV29" si="119">AU29/2</f>
        <v>0.375</v>
      </c>
      <c r="AW29" s="139">
        <f t="shared" si="77"/>
        <v>752.77800000000002</v>
      </c>
      <c r="AX29" s="149">
        <f t="shared" si="78"/>
        <v>332.13405009960002</v>
      </c>
      <c r="AY29" s="149">
        <f t="shared" si="79"/>
        <v>352.63234902969754</v>
      </c>
      <c r="AZ29" s="150">
        <f t="shared" si="80"/>
        <v>0.44121115401831618</v>
      </c>
      <c r="BA29" s="139" t="str">
        <f>Input!B29</f>
        <v>Hu1-13</v>
      </c>
      <c r="BB29" s="151">
        <f>Input!E29</f>
        <v>0</v>
      </c>
      <c r="BC29" s="139">
        <f>((U29-1)*EXP(Constants!$B$17*AW29*1000))*1000</f>
        <v>-1.3426129056448806</v>
      </c>
      <c r="BD29" s="145">
        <f>SQRT((EXP(Constants!$B$17*AW29*1000)*V29)^2+((U29-1)*Constants!$B$17*EXP(Constants!$B$17*AW29*1000)*AY29*1000)^2)*1000</f>
        <v>10.773207050882792</v>
      </c>
      <c r="BE29" s="139">
        <f t="shared" si="81"/>
        <v>752720</v>
      </c>
      <c r="BF29" s="152">
        <f t="shared" si="82"/>
        <v>176316.17451484877</v>
      </c>
      <c r="BG29" s="161">
        <f t="shared" si="83"/>
        <v>46.844135858074694</v>
      </c>
      <c r="BH29" s="139"/>
      <c r="BI29" s="18"/>
      <c r="BJ29" s="18"/>
      <c r="BK29" s="18"/>
      <c r="BL29" s="18"/>
      <c r="BM29" s="18"/>
      <c r="BN29" s="160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10898</v>
      </c>
      <c r="B30" s="18" t="str">
        <f>Input!B30</f>
        <v>M5-14-42_277,5</v>
      </c>
      <c r="C30" s="18">
        <f>Input!O30</f>
        <v>5.0379674086473889</v>
      </c>
      <c r="D30" s="18">
        <f>C30*Input!P30/100</f>
        <v>1.3025319693654103E-2</v>
      </c>
      <c r="E30" s="153">
        <f>Input!M30</f>
        <v>5.3180729343904929</v>
      </c>
      <c r="F30" s="154">
        <f>E30*Input!N30/100</f>
        <v>3.1737288304610202E-4</v>
      </c>
      <c r="G30" s="21">
        <f>E30*137.88</f>
        <v>733.25589619376115</v>
      </c>
      <c r="H30" s="154">
        <f>G30*Input!L30/100</f>
        <v>4.2385068358716159E-2</v>
      </c>
      <c r="I30" s="18">
        <v>0.3</v>
      </c>
      <c r="J30" s="130">
        <f>(((C30*Constants!$B$24*0.000000001*Input!G30*(Constants!$B$4/Constants!$B$3))-(I30*0.000000000000001))/Input!F30)*1000000000000</f>
        <v>96.578979317869525</v>
      </c>
      <c r="K30" s="18">
        <f>J30*Input!P30/100</f>
        <v>0.24969833650428538</v>
      </c>
      <c r="L30" s="135">
        <f>(J30/Constants!$B$4)*602200000000*Constants!$B$17/(365.2425*24*60)</f>
        <v>1.3333800425571274</v>
      </c>
      <c r="M30" s="133">
        <f>L30*Input!P30/100</f>
        <v>3.4473627792101259E-3</v>
      </c>
      <c r="N30" s="18">
        <v>5.0000000000000001E-3</v>
      </c>
      <c r="O30" s="130">
        <f>(((G30*Constants!$B$23*0.000000001*Input!G30*(Constants!$B$7/Constants!$B$6))-(N30*0.000000001))/Input!F30)*1000000</f>
        <v>1.4160005720041671</v>
      </c>
      <c r="P30" s="18">
        <f>O30*Input!N30/100</f>
        <v>8.450432881913795E-5</v>
      </c>
      <c r="Q30" s="131">
        <f>(O30/Constants!$B$7)*602200000000000000*Constants!$B$18/(365.2425*24*60)</f>
        <v>1.0565074207726937</v>
      </c>
      <c r="R30" s="132">
        <f>Q30*Input!N30/100</f>
        <v>6.3050433912234541E-5</v>
      </c>
      <c r="S30" s="133">
        <f>Input!S30*Constants!$B$17/Constants!$B$18</f>
        <v>1.2474725706977501</v>
      </c>
      <c r="T30" s="18">
        <f>S30*Input!T30/100</f>
        <v>4.2439880814693651E-4</v>
      </c>
      <c r="U30" s="18">
        <f>S30*1/((U29+U31)/2)</f>
        <v>1.2465319934017312</v>
      </c>
      <c r="V30" s="18">
        <f>U30*Input!T30/100</f>
        <v>4.2407881723669378E-4</v>
      </c>
      <c r="W30" s="134">
        <v>3.0000000000000001E-3</v>
      </c>
      <c r="X30" s="130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0.20568806466596518</v>
      </c>
      <c r="Y30" s="130">
        <f>X30*Input!X30/100</f>
        <v>4.2528632779873106E-4</v>
      </c>
      <c r="Z30" s="130">
        <f>(X30/Constants!$B$11)*6.022E+23*0.000000001*Constants!$B$19/(365.2425*24*60)</f>
        <v>5.0215106219027327E-5</v>
      </c>
      <c r="AA30" s="130">
        <f>Z30*Input!X30/100</f>
        <v>1.0382614158286191E-7</v>
      </c>
      <c r="AB30" s="135">
        <v>0.05</v>
      </c>
      <c r="AC30" s="135">
        <v>0.9</v>
      </c>
      <c r="AD30" s="130">
        <f>(((Input!G30*Constants!$B$25*0.000000001*Input!U30*(Constants!$B$10/Constants!$B$9))-((AB30*0.000000000000001)+(Input!G30*AC30*0.000000000000001)))/Input!F30)*1000000000000</f>
        <v>28.19228992182958</v>
      </c>
      <c r="AE30" s="130">
        <f>AD30*Input!V30/100</f>
        <v>5.3185121595213644E-2</v>
      </c>
      <c r="AF30" s="130">
        <f>(AD30/Constants!$B$10)*602200000000*Constants!$B$16/(365.2425*24*60)</f>
        <v>1.2868559190234499</v>
      </c>
      <c r="AG30" s="130">
        <f>AF30*Input!V30/100</f>
        <v>2.427670427572737E-3</v>
      </c>
      <c r="AH30" s="18">
        <f>AF30/Z30</f>
        <v>25626.868405106332</v>
      </c>
      <c r="AI30" s="134">
        <f>AH30*SQRT((AG30/AF30)^2+(AA30/Z30)^2)</f>
        <v>71.727839327168681</v>
      </c>
      <c r="AJ30" s="133">
        <f t="shared" ref="AJ30:AJ31" si="120">(U30-1)*1000</f>
        <v>246.53199340173114</v>
      </c>
      <c r="AK30" s="134">
        <f>V30*1000</f>
        <v>0.42407881723669377</v>
      </c>
      <c r="AL30" s="134">
        <f>AF30/Q30</f>
        <v>1.2180282823591406</v>
      </c>
      <c r="AM30" s="134">
        <f>AL30*SQRT((R30/Q30)^2+(AG30/AF30)^2)</f>
        <v>2.2989756456856E-3</v>
      </c>
      <c r="AN30" s="18">
        <f>AL30*1/((AN29+AN31)/2)</f>
        <v>1.2195106119185841</v>
      </c>
      <c r="AO30" s="130">
        <f>AN30*SQRT((R30/Q30)^2+(AG30/AF30)^2)</f>
        <v>2.3017734785482653E-3</v>
      </c>
      <c r="AP30" s="18">
        <f>ThU_Alter_Kombi(AN30,U30)</f>
        <v>280.27600000000001</v>
      </c>
      <c r="AQ30" s="18">
        <f t="shared" ref="AQ30:AQ31" si="121">Montealter(AN30,AO30,U30,V30)</f>
        <v>2.1417000000000002</v>
      </c>
      <c r="AR30" s="155">
        <f>(AQ30/AP30)</f>
        <v>7.6413963378955032E-3</v>
      </c>
      <c r="AS30" s="132">
        <f t="shared" si="75"/>
        <v>4.7529345494139271E-5</v>
      </c>
      <c r="AT30" s="132">
        <f t="shared" si="76"/>
        <v>9.8313914552053083E-8</v>
      </c>
      <c r="AU30" s="18">
        <v>0.75</v>
      </c>
      <c r="AV30" s="18">
        <f>AU30/2</f>
        <v>0.375</v>
      </c>
      <c r="AW30" s="18">
        <f t="shared" si="77"/>
        <v>280.27339999999998</v>
      </c>
      <c r="AX30" s="136">
        <f t="shared" si="78"/>
        <v>2.2144103874000001</v>
      </c>
      <c r="AY30" s="136">
        <f t="shared" si="79"/>
        <v>2.1707936650277282</v>
      </c>
      <c r="AZ30" s="155">
        <f t="shared" si="80"/>
        <v>7.9008938679161148E-3</v>
      </c>
      <c r="BA30" s="18" t="str">
        <f>Input!B30</f>
        <v>M5-14-42_277,5</v>
      </c>
      <c r="BB30" s="137">
        <f>Input!E30</f>
        <v>277.5</v>
      </c>
      <c r="BC30" s="18">
        <f>((U30-1)*EXP(Constants!$B$17*AW30*1000))*1000</f>
        <v>543.72310925757915</v>
      </c>
      <c r="BD30" s="133">
        <f>SQRT((EXP(Constants!$B$17*AW30*1000)*V30)^2+((U30-1)*Constants!$B$17*EXP(Constants!$B$17*AW30*1000)*AY30*1000)^2)*1000</f>
        <v>3.4597300288345987</v>
      </c>
      <c r="BE30" s="18">
        <f t="shared" ref="BE30:BE31" si="122">AW30*1000-58</f>
        <v>280215.39999999997</v>
      </c>
      <c r="BF30" s="138">
        <f t="shared" ref="BF30:BF31" si="123">AY30/2*1000</f>
        <v>1085.3968325138642</v>
      </c>
      <c r="BG30" s="20">
        <f t="shared" ref="BG30:BG31" si="124">AY30/AW30*100</f>
        <v>0.77452718132642218</v>
      </c>
      <c r="BH30" s="18"/>
      <c r="BI30" s="18"/>
      <c r="BJ30" s="18"/>
      <c r="BK30" s="18"/>
      <c r="BL30" s="18"/>
      <c r="BM30" s="18"/>
      <c r="BN30" s="160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9">
        <f>Input!A31</f>
        <v>10815</v>
      </c>
      <c r="B31" s="139" t="str">
        <f>Input!B31</f>
        <v>Hu1-13</v>
      </c>
      <c r="C31" s="139">
        <f>Input!O31</f>
        <v>2.0813538064676367</v>
      </c>
      <c r="D31" s="139">
        <f>C31*Input!P31/100</f>
        <v>1.3569376860937375E-2</v>
      </c>
      <c r="E31" s="140">
        <f>Input!M31</f>
        <v>2.7318999672329238</v>
      </c>
      <c r="F31" s="141">
        <f>E31*Input!N31/100</f>
        <v>3.4055576307412454E-4</v>
      </c>
      <c r="G31" s="142">
        <f t="shared" ref="G31" si="125">E31*137.88</f>
        <v>376.67436748207552</v>
      </c>
      <c r="H31" s="141">
        <f>G31*Input!L31/100</f>
        <v>2.5021525618903823E-2</v>
      </c>
      <c r="I31" s="139">
        <v>0</v>
      </c>
      <c r="J31" s="143">
        <f>(((C31*Constants!$B$24*0.000000001*Input!G31*(Constants!$B$4/Constants!$B$3))-(I31*0.000000000000001))/Input!F31)*1000000000000</f>
        <v>751.44686375421361</v>
      </c>
      <c r="K31" s="139">
        <f>J31*Input!P31/100</f>
        <v>4.8990544776986411</v>
      </c>
      <c r="L31" s="144">
        <f>(J31/Constants!$B$4)*602200000000*Constants!$B$17/(365.2425*24*60)</f>
        <v>10.374558296730983</v>
      </c>
      <c r="M31" s="145">
        <f>L31*Input!P31/100</f>
        <v>6.7636886557516776E-2</v>
      </c>
      <c r="N31" s="139">
        <v>0</v>
      </c>
      <c r="O31" s="143">
        <f>(((G31*Constants!$B$23*0.000000001*Input!G31*(Constants!$B$7/Constants!$B$6))-(N31*0.000000001))/Input!F31)*1000000</f>
        <v>13.699349099261308</v>
      </c>
      <c r="P31" s="139">
        <f>O31*Input!N31/100</f>
        <v>1.7077463823989209E-3</v>
      </c>
      <c r="Q31" s="146">
        <f>(O31/Constants!$B$7)*602200000000000000*Constants!$B$18/(365.2425*24*60)</f>
        <v>10.221368740437695</v>
      </c>
      <c r="R31" s="147">
        <f>Q31*Input!N31/100</f>
        <v>1.2741850261038402E-3</v>
      </c>
      <c r="S31" s="145">
        <f>Input!S31*Constants!$B$17/Constants!$B$18</f>
        <v>1.0016695615003581</v>
      </c>
      <c r="T31" s="139">
        <f>S31*Input!T31/100</f>
        <v>1.4399738891588431E-3</v>
      </c>
      <c r="U31" s="145">
        <f>S31</f>
        <v>1.0016695615003581</v>
      </c>
      <c r="V31" s="139">
        <f>U31*Input!T31/100</f>
        <v>1.4399738891588431E-3</v>
      </c>
      <c r="W31" s="148">
        <v>0</v>
      </c>
      <c r="X31" s="143">
        <f>(((Constants!$B$25*0.000000001*Input!G31/Input!W31*(Constants!$B$11/Constants!$B$9))-(W31*0.000000001))/Input!F31)*1000000000</f>
        <v>0.86896419984056628</v>
      </c>
      <c r="Y31" s="143">
        <f>X31*Input!X31/100</f>
        <v>4.9833335405908528E-3</v>
      </c>
      <c r="Z31" s="143">
        <f>(X31/Constants!$B$11)*6.022E+23*0.000000001*Constants!$B$19/(365.2425*24*60)</f>
        <v>2.1214225369074781E-4</v>
      </c>
      <c r="AA31" s="143">
        <f>Z31*Input!X31/100</f>
        <v>1.216592822106599E-6</v>
      </c>
      <c r="AB31" s="144">
        <v>0</v>
      </c>
      <c r="AC31" s="144">
        <v>0.9</v>
      </c>
      <c r="AD31" s="143">
        <f>(((Input!G31*Constants!$B$25*0.000000001*Input!U31*(Constants!$B$10/Constants!$B$9))-((AB31*0.000000000000001)+(Input!G31*AC31*0.000000000000001)))/Input!F31)*1000000000000</f>
        <v>223.6605693809434</v>
      </c>
      <c r="AE31" s="143">
        <f>AD31*Input!V31/100</f>
        <v>0.5511785444180678</v>
      </c>
      <c r="AF31" s="143">
        <f>(AD31/Constants!$B$10)*602200000000*Constants!$B$16/(365.2425*24*60)</f>
        <v>10.209136198516491</v>
      </c>
      <c r="AG31" s="143">
        <f>AF31*Input!V31/100</f>
        <v>2.5158913103185406E-2</v>
      </c>
      <c r="AH31" s="139">
        <f t="shared" ref="AH31" si="126">AF31/Z31</f>
        <v>48124.011227857263</v>
      </c>
      <c r="AI31" s="148">
        <f t="shared" ref="AI31" si="127">AH31*SQRT((AG31/AF31)^2+(AA31/Z31)^2)</f>
        <v>300.38379683250901</v>
      </c>
      <c r="AJ31" s="145">
        <f t="shared" si="120"/>
        <v>1.6695615003581299</v>
      </c>
      <c r="AK31" s="148">
        <f t="shared" ref="AK31" si="128">V31*1000</f>
        <v>1.4399738891588432</v>
      </c>
      <c r="AL31" s="148">
        <f t="shared" ref="AL31" si="129">AF31/Q31</f>
        <v>0.99880323836935758</v>
      </c>
      <c r="AM31" s="148">
        <f t="shared" ref="AM31" si="130">AL31*SQRT((R31/Q31)^2+(AG31/AF31)^2)</f>
        <v>2.464550672808818E-3</v>
      </c>
      <c r="AN31" s="139">
        <f>AF31/Q31</f>
        <v>0.99880323836935758</v>
      </c>
      <c r="AO31" s="143">
        <f t="shared" ref="AO31" si="131">AN31*SQRT((R31/Q31)^2+(AG31/AF31)^2)</f>
        <v>2.464550672808818E-3</v>
      </c>
      <c r="AP31" s="139">
        <f t="shared" ref="AP31" si="132">ThU_Alter_Kombi(AN31,U31)</f>
        <v>614.80449999999996</v>
      </c>
      <c r="AQ31" s="139" t="e">
        <f t="shared" si="121"/>
        <v>#VALUE!</v>
      </c>
      <c r="AR31" s="139" t="e">
        <f>(AQ31/AP31)*100</f>
        <v>#VALUE!</v>
      </c>
      <c r="AS31" s="147">
        <f t="shared" si="75"/>
        <v>2.0754779431004417E-5</v>
      </c>
      <c r="AT31" s="147">
        <f t="shared" si="76"/>
        <v>1.1905256967291708E-7</v>
      </c>
      <c r="AU31" s="139">
        <v>0.75</v>
      </c>
      <c r="AV31" s="139">
        <f t="shared" ref="AV31" si="133">AU31/2</f>
        <v>0.375</v>
      </c>
      <c r="AW31" s="139">
        <f t="shared" si="77"/>
        <v>614.80280000000005</v>
      </c>
      <c r="AX31" s="149">
        <f t="shared" si="78"/>
        <v>239.58384081029999</v>
      </c>
      <c r="AY31" s="149">
        <f t="shared" si="79"/>
        <v>96.462145473047528</v>
      </c>
      <c r="AZ31" s="150">
        <f t="shared" si="80"/>
        <v>0.38969217578433274</v>
      </c>
      <c r="BA31" s="139" t="str">
        <f>Input!B31</f>
        <v>Hu1-13</v>
      </c>
      <c r="BB31" s="151">
        <f>Input!E31</f>
        <v>0</v>
      </c>
      <c r="BC31" s="139">
        <f>((U31-1)*EXP(Constants!$B$17*AW31*1000))*1000</f>
        <v>9.4647219452969118</v>
      </c>
      <c r="BD31" s="145">
        <f>SQRT((EXP(Constants!$B$17*AW31*1000)*V31)^2+((U31-1)*Constants!$B$17*EXP(Constants!$B$17*AW31*1000)*AY31*1000)^2)*1000</f>
        <v>8.5601458005701048</v>
      </c>
      <c r="BE31" s="139">
        <f t="shared" si="122"/>
        <v>614744.80000000005</v>
      </c>
      <c r="BF31" s="152">
        <f t="shared" si="123"/>
        <v>48231.072736523762</v>
      </c>
      <c r="BG31" s="161">
        <f t="shared" si="124"/>
        <v>15.689932686228417</v>
      </c>
      <c r="BH31" s="139"/>
      <c r="BI31" s="18"/>
      <c r="BJ31" s="18"/>
      <c r="BK31" s="18"/>
      <c r="BL31" s="18"/>
      <c r="BM31" s="18"/>
      <c r="BN31" s="160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3" spans="1:110" ht="15" customHeight="1" x14ac:dyDescent="0.2">
      <c r="A33" s="139">
        <f>Input!A33</f>
        <v>10815</v>
      </c>
      <c r="B33" s="139" t="str">
        <f>Input!B33</f>
        <v>Hu1-13</v>
      </c>
      <c r="C33" s="139">
        <f>Input!O33</f>
        <v>2.1031024018513023</v>
      </c>
      <c r="D33" s="139">
        <f>C33*Input!P33/100</f>
        <v>2.628887143679888E-2</v>
      </c>
      <c r="E33" s="140">
        <f>Input!M33</f>
        <v>2.7314993472187838</v>
      </c>
      <c r="F33" s="141">
        <f>E33*Input!N33/100</f>
        <v>3.4889759170445331E-4</v>
      </c>
      <c r="G33" s="142">
        <f>E33*137.88</f>
        <v>376.61912999452591</v>
      </c>
      <c r="H33" s="141">
        <f>G33*Input!L33/100</f>
        <v>2.5576901929822794E-2</v>
      </c>
      <c r="I33" s="139">
        <v>0</v>
      </c>
      <c r="J33" s="143">
        <f>(((C33*Constants!$B$24*0.000000001*Input!G33*(Constants!$B$4/Constants!$B$3))-(I33*0.000000000000001))/Input!F33)*1000000000000</f>
        <v>759.29892318847726</v>
      </c>
      <c r="K33" s="139">
        <f>J33*Input!P33/100</f>
        <v>9.4912695436182748</v>
      </c>
      <c r="L33" s="144">
        <f>(J33/Constants!$B$4)*602200000000*Constants!$B$17/(365.2425*24*60)</f>
        <v>10.482964695479106</v>
      </c>
      <c r="M33" s="145">
        <f>L33*Input!P33/100</f>
        <v>0.13103751434707209</v>
      </c>
      <c r="N33" s="139">
        <v>0</v>
      </c>
      <c r="O33" s="143">
        <f>(((G33*Constants!$B$23*0.000000001*Input!G33*(Constants!$B$7/Constants!$B$6))-(N33*0.000000001))/Input!F33)*1000000</f>
        <v>13.697340155487494</v>
      </c>
      <c r="P33" s="139">
        <f>O33*Input!N33/100</f>
        <v>1.7495772048681764E-3</v>
      </c>
      <c r="Q33" s="146">
        <f>(O33/Constants!$B$7)*602200000000000000*Constants!$B$18/(365.2425*24*60)</f>
        <v>10.219869825785459</v>
      </c>
      <c r="R33" s="147">
        <f>Q33*Input!N33/100</f>
        <v>1.305395871091877E-3</v>
      </c>
      <c r="S33" s="145">
        <f>Input!S33*Constants!$B$17/Constants!$B$18</f>
        <v>1.0015633732497362</v>
      </c>
      <c r="T33" s="139">
        <f>S33*Input!T33/100</f>
        <v>2.6478512883644062E-3</v>
      </c>
      <c r="U33" s="145">
        <f>S33</f>
        <v>1.0015633732497362</v>
      </c>
      <c r="V33" s="139">
        <f>U33*Input!T33/100</f>
        <v>2.6478512883644062E-3</v>
      </c>
      <c r="W33" s="148">
        <v>0</v>
      </c>
      <c r="X33" s="143">
        <f>(((Constants!$B$25*0.000000001*Input!G33/Input!W33*(Constants!$B$11/Constants!$B$9))-(W33*0.000000001))/Input!F33)*1000000000</f>
        <v>0.8811335686195505</v>
      </c>
      <c r="Y33" s="143">
        <f>X33*Input!X33/100</f>
        <v>5.9373437733326248E-3</v>
      </c>
      <c r="Z33" s="143">
        <f>(X33/Constants!$B$11)*6.022E+23*0.000000001*Constants!$B$19/(365.2425*24*60)</f>
        <v>2.1511319002994478E-4</v>
      </c>
      <c r="AA33" s="143">
        <f>Z33*Input!X33/100</f>
        <v>1.4494975618588321E-6</v>
      </c>
      <c r="AB33" s="144">
        <v>0</v>
      </c>
      <c r="AC33" s="144">
        <v>0.9</v>
      </c>
      <c r="AD33" s="143">
        <f>(((Input!G33*Constants!$B$25*0.000000001*Input!U33*(Constants!$B$10/Constants!$B$9))-((AB33*0.000000000000001)+(Input!G33*AC33*0.000000000000001)))/Input!F33)*1000000000000</f>
        <v>223.74703219229588</v>
      </c>
      <c r="AE33" s="143">
        <f>AD33*Input!V33/100</f>
        <v>0.87977600213194096</v>
      </c>
      <c r="AF33" s="143">
        <f>(AD33/Constants!$B$10)*602200000000*Constants!$B$16/(365.2425*24*60)</f>
        <v>10.213082851337987</v>
      </c>
      <c r="AG33" s="143">
        <f>AF33*Input!V33/100</f>
        <v>4.0157963716230247E-2</v>
      </c>
      <c r="AH33" s="139">
        <f>AF33/Z33</f>
        <v>47477.71556879556</v>
      </c>
      <c r="AI33" s="148">
        <f>AH33*SQRT((AG33/AF33)^2+(AA33/Z33)^2)</f>
        <v>370.40355877841921</v>
      </c>
      <c r="AJ33" s="145">
        <f t="shared" ref="AJ33:AJ43" si="134">(U33-1)*1000</f>
        <v>1.5633732497362107</v>
      </c>
      <c r="AK33" s="148">
        <f>V33*1000</f>
        <v>2.6478512883644063</v>
      </c>
      <c r="AL33" s="148">
        <f>AF33/Q33</f>
        <v>0.9993359040219526</v>
      </c>
      <c r="AM33" s="148">
        <f>AL33*SQRT((R33/Q33)^2+(AG33/AF33)^2)</f>
        <v>3.9314734517548492E-3</v>
      </c>
      <c r="AN33" s="139">
        <f>AF33/Q33</f>
        <v>0.9993359040219526</v>
      </c>
      <c r="AO33" s="143">
        <f>AN33*SQRT((R33/Q33)^2+(AG33/AF33)^2)</f>
        <v>3.9314734517548492E-3</v>
      </c>
      <c r="AP33" s="139">
        <f t="shared" ref="AP33" si="135">ThU_Alter_Kombi(AN33,U33)</f>
        <v>637.79219999999998</v>
      </c>
      <c r="AQ33" s="139" t="e">
        <f t="shared" ref="AQ33:AQ43" si="136">Montealter(AN33,AO33,U33,V33)</f>
        <v>#VALUE!</v>
      </c>
      <c r="AR33" s="139" t="e">
        <f>(AQ33/AP33)*100</f>
        <v>#VALUE!</v>
      </c>
      <c r="AS33" s="147">
        <f t="shared" ref="AS33:AS43" si="137">Z33/Q33</f>
        <v>2.1048525440823022E-5</v>
      </c>
      <c r="AT33" s="147">
        <f t="shared" ref="AT33:AT43" si="138">AS33*SQRT((Y33/X33)^2+(P33/O33)^2)</f>
        <v>1.4185679336252914E-7</v>
      </c>
      <c r="AU33" s="139">
        <v>0.75</v>
      </c>
      <c r="AV33" s="139">
        <f>AU33/2</f>
        <v>0.375</v>
      </c>
      <c r="AW33" s="139">
        <f t="shared" ref="AW33:AW43" si="139">marincorr_age(AN33,U33,AS33,AU33)</f>
        <v>637.79049999999995</v>
      </c>
      <c r="AX33" s="149">
        <f t="shared" ref="AX33:AX43" si="140">marincorr_age_error(AN33, AO33, U33, V33, AS33, AT33, AU33, AV33)</f>
        <v>293.39709074450002</v>
      </c>
      <c r="AY33" s="149">
        <f t="shared" ref="AY33:AY43" si="141">SQRT(((AU33*EXP(-0.0000091577*AW33*1000))/(0.0000091577*(EXP(-0.0000091577*AW33*1000)+(AJ33/1000)*EXP(-(0.0000091577-0.0000028263)*AW33*1000)-AS33*AU33*EXP(-0.0000091577*AW33*1000))))^2*AT33^2+((AS33*EXP(-0.0000091577*AW33*1000))/(0.0000091577*(EXP(-0.0000091577*AW33*1000)+(AJ33/1000)*EXP(-(0.0000091577-0.0000028263)*AW33*1000)-AS33*AU33*EXP(-0.0000091577*AW33*1000))))^2*AV33^2+((0.0000091577/(0.0000091577-0.0000028263))*(EXP(-(0.0000091577-0.0000028263)*AW33*1000)-1)/(0.0000091577*(EXP(-0.0000091577*AW33*1000)+(AJ33/1000)*EXP(-(0.0000091577-0.0000028263)*AW33*1000)-AS33*AU33*EXP(-0.0000091577*AW33*1000))))^2*T33^2+(1/(0.0000091577*(EXP(-0.0000091577*AW33*1000)+(AJ33/1000)*EXP(-(0.0000091577-0.0000028263)*AW33*1000)-AS33*AU33*EXP(-0.0000091577*AW33*1000))))^2*AO33^2)/1000</f>
        <v>202.50369411262136</v>
      </c>
      <c r="AZ33" s="150">
        <f t="shared" ref="AZ33:AZ43" si="142">AX33/AW33</f>
        <v>0.46002110527594881</v>
      </c>
      <c r="BA33" s="139" t="str">
        <f>Input!B33</f>
        <v>Hu1-13</v>
      </c>
      <c r="BB33" s="151">
        <f>Input!E33</f>
        <v>0</v>
      </c>
      <c r="BC33" s="139">
        <f>((U33-1)*EXP(Constants!$B$17*AW33*1000))*1000</f>
        <v>9.4567510642165225</v>
      </c>
      <c r="BD33" s="145">
        <f>SQRT((EXP(Constants!$B$17*AW33*1000)*V33)^2+((U33-1)*Constants!$B$17*EXP(Constants!$B$17*AW33*1000)*AY33*1000)^2)*1000</f>
        <v>16.903880162022432</v>
      </c>
      <c r="BE33" s="139">
        <f t="shared" ref="BE33:BE43" si="143">AW33*1000-58</f>
        <v>637732.5</v>
      </c>
      <c r="BF33" s="152">
        <f t="shared" ref="BF33:BF43" si="144">AY33/2*1000</f>
        <v>101251.84705631068</v>
      </c>
      <c r="BG33" s="161">
        <f t="shared" ref="BG33:BG43" si="145">AY33/AW33*100</f>
        <v>31.750816939515619</v>
      </c>
      <c r="BH33" s="139"/>
      <c r="BI33" s="18"/>
      <c r="BJ33" s="18"/>
      <c r="BK33" s="18"/>
      <c r="BL33" s="18"/>
      <c r="BM33" s="18"/>
      <c r="BN33" s="160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4" spans="1:110" ht="15" customHeight="1" x14ac:dyDescent="0.2">
      <c r="A34" s="18">
        <f>Input!A34</f>
        <v>10903</v>
      </c>
      <c r="B34" s="18" t="str">
        <f>Input!B34</f>
        <v>M43_401_14_44</v>
      </c>
      <c r="C34" s="18">
        <f>Input!O34</f>
        <v>2.4883386951097366</v>
      </c>
      <c r="D34" s="18">
        <f>C34*Input!P34/100</f>
        <v>1.0953628129592559E-2</v>
      </c>
      <c r="E34" s="153">
        <f>Input!M34</f>
        <v>1.623172941423183</v>
      </c>
      <c r="F34" s="154">
        <f>E34*Input!N34/100</f>
        <v>1.2514589936706068E-4</v>
      </c>
      <c r="G34" s="21">
        <f>E34*137.88</f>
        <v>223.80308516342848</v>
      </c>
      <c r="H34" s="154">
        <f>G34*Input!L34/100</f>
        <v>1.5131631217246234E-2</v>
      </c>
      <c r="I34" s="18">
        <v>0.3</v>
      </c>
      <c r="J34" s="130">
        <f>(((C34*Constants!$B$24*0.000000001*Input!G34*(Constants!$B$4/Constants!$B$3))-(I34*0.000000000000001))/Input!F34)*1000000000000</f>
        <v>49.53351774979884</v>
      </c>
      <c r="K34" s="18">
        <f>J34*Input!P34/100</f>
        <v>0.218045772646694</v>
      </c>
      <c r="L34" s="135">
        <f>(J34/Constants!$B$4)*602200000000*Constants!$B$17/(365.2425*24*60)</f>
        <v>0.68386521033579251</v>
      </c>
      <c r="M34" s="133">
        <f>L34*Input!P34/100</f>
        <v>3.0103639908447112E-3</v>
      </c>
      <c r="N34" s="18">
        <v>5.0000000000000001E-3</v>
      </c>
      <c r="O34" s="130">
        <f>(((G34*Constants!$B$23*0.000000001*Input!G34*(Constants!$B$7/Constants!$B$6))-(N34*0.000000001))/Input!F34)*1000000</f>
        <v>0.44877246831528456</v>
      </c>
      <c r="P34" s="18">
        <f>O34*Input!N34/100</f>
        <v>3.4600154256668224E-5</v>
      </c>
      <c r="Q34" s="131">
        <f>(O34/Constants!$B$7)*602200000000000000*Constants!$B$18/(365.2425*24*60)</f>
        <v>0.33483845443826654</v>
      </c>
      <c r="R34" s="132">
        <f>Q34*Input!N34/100</f>
        <v>2.5815893337041889E-5</v>
      </c>
      <c r="S34" s="133">
        <f>Input!S34*Constants!$B$17/Constants!$B$18</f>
        <v>2.0170405530919862</v>
      </c>
      <c r="T34" s="18">
        <f>S34*Input!T34/100</f>
        <v>1.1896172004706115E-3</v>
      </c>
      <c r="U34" s="18">
        <f>S34*1/((U33+U35)/2)</f>
        <v>2.0147661415502767</v>
      </c>
      <c r="V34" s="18">
        <f>U34*Input!T34/100</f>
        <v>1.1882757901123422E-3</v>
      </c>
      <c r="W34" s="134">
        <v>3.0000000000000001E-3</v>
      </c>
      <c r="X34" s="130">
        <f>IF((((Constants!$B$25*0.000000001*Input!G34/Input!W34*(Constants!$B$11/Constants!$B$9))-(W34*0.000000001))/Input!F34)*1000000000&lt;0, "n.d.", (((Constants!$B$25*0.000000001*Input!G34/Input!W34*(Constants!$B$11/Constants!$B$9))-(W34*0.000000001))/Input!F34)*1000000000)</f>
        <v>0.84874959805290207</v>
      </c>
      <c r="Y34" s="130">
        <f>X34*Input!X34/100</f>
        <v>1.5809179182462018E-3</v>
      </c>
      <c r="Z34" s="130">
        <f>(X34/Constants!$B$11)*6.022E+23*0.000000001*Constants!$B$19/(365.2425*24*60)</f>
        <v>2.0720721588196015E-4</v>
      </c>
      <c r="AA34" s="130">
        <f>Z34*Input!X34/100</f>
        <v>3.8595317291364664E-7</v>
      </c>
      <c r="AB34" s="135">
        <v>0.05</v>
      </c>
      <c r="AC34" s="135">
        <v>0.9</v>
      </c>
      <c r="AD34" s="130">
        <f>(((Input!G34*Constants!$B$25*0.000000001*Input!U34*(Constants!$B$10/Constants!$B$9))-((AB34*0.000000000000001)+(Input!G34*AC34*0.000000000000001)))/Input!F34)*1000000000000</f>
        <v>14.395823685383331</v>
      </c>
      <c r="AE34" s="130">
        <f>AD34*Input!V34/100</f>
        <v>3.1013951193920915E-2</v>
      </c>
      <c r="AF34" s="130">
        <f>(AD34/Constants!$B$10)*602200000000*Constants!$B$16/(365.2425*24*60)</f>
        <v>0.65710699521464366</v>
      </c>
      <c r="AG34" s="130">
        <f>AF34*Input!V34/100</f>
        <v>1.4156525339681053E-3</v>
      </c>
      <c r="AH34" s="18">
        <f>AF34/Z34</f>
        <v>3171.2553658796237</v>
      </c>
      <c r="AI34" s="134">
        <f>AH34*SQRT((AG34/AF34)^2+(AA34/Z34)^2)</f>
        <v>9.0315421043892918</v>
      </c>
      <c r="AJ34" s="133">
        <f t="shared" si="134"/>
        <v>1014.7661415502766</v>
      </c>
      <c r="AK34" s="134">
        <f>V34*1000</f>
        <v>1.1882757901123422</v>
      </c>
      <c r="AL34" s="134">
        <f>AF34/Q34</f>
        <v>1.9624597668061243</v>
      </c>
      <c r="AM34" s="134">
        <f>AL34*SQRT((R34/Q34)^2+(AG34/AF34)^2)</f>
        <v>4.2305737877791809E-3</v>
      </c>
      <c r="AN34" s="18">
        <f>AL34*1/((AN33+AN35)/2)</f>
        <v>1.9632165992405455</v>
      </c>
      <c r="AO34" s="130">
        <f>AN34*SQRT((R34/Q34)^2+(AG34/AF34)^2)</f>
        <v>4.232205329741447E-3</v>
      </c>
      <c r="AP34" s="18">
        <f>ThU_Alter_Kombi(AN34,U34)</f>
        <v>218.03559999999999</v>
      </c>
      <c r="AQ34" s="18">
        <f t="shared" si="136"/>
        <v>1.2665</v>
      </c>
      <c r="AR34" s="155">
        <f>(AQ34/AP34)</f>
        <v>5.8086844533644967E-3</v>
      </c>
      <c r="AS34" s="132">
        <f t="shared" si="137"/>
        <v>6.1882741702883623E-4</v>
      </c>
      <c r="AT34" s="132">
        <f t="shared" si="138"/>
        <v>1.1536418869214591E-6</v>
      </c>
      <c r="AU34" s="18">
        <v>0.75</v>
      </c>
      <c r="AV34" s="18">
        <f>AU34/2</f>
        <v>0.375</v>
      </c>
      <c r="AW34" s="18">
        <f t="shared" si="139"/>
        <v>218.018</v>
      </c>
      <c r="AX34" s="136">
        <f t="shared" si="140"/>
        <v>1.1761088910999999</v>
      </c>
      <c r="AY34" s="136">
        <f t="shared" si="141"/>
        <v>1.2356932754463634</v>
      </c>
      <c r="AZ34" s="155">
        <f t="shared" si="142"/>
        <v>5.3945494917850816E-3</v>
      </c>
      <c r="BA34" s="18" t="str">
        <f>Input!B34</f>
        <v>M43_401_14_44</v>
      </c>
      <c r="BB34" s="137">
        <f>Input!E34</f>
        <v>44</v>
      </c>
      <c r="BC34" s="18">
        <f>((U34-1)*EXP(Constants!$B$17*AW34*1000))*1000</f>
        <v>1877.4567353084487</v>
      </c>
      <c r="BD34" s="133">
        <f>SQRT((EXP(Constants!$B$17*AW34*1000)*V34)^2+((U34-1)*Constants!$B$17*EXP(Constants!$B$17*AW34*1000)*AY34*1000)^2)*1000</f>
        <v>6.9063295040224189</v>
      </c>
      <c r="BE34" s="18">
        <f t="shared" si="143"/>
        <v>217960</v>
      </c>
      <c r="BF34" s="138">
        <f t="shared" si="144"/>
        <v>617.84663772318174</v>
      </c>
      <c r="BG34" s="20">
        <f t="shared" si="145"/>
        <v>0.56678497896795843</v>
      </c>
      <c r="BH34" s="18"/>
      <c r="BI34" s="18"/>
      <c r="BJ34" s="18"/>
      <c r="BK34" s="18"/>
      <c r="BL34" s="18"/>
      <c r="BM34" s="18"/>
      <c r="BN34" s="160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</row>
    <row r="35" spans="1:110" ht="15" customHeight="1" x14ac:dyDescent="0.2">
      <c r="A35" s="139">
        <f>Input!A35</f>
        <v>10815</v>
      </c>
      <c r="B35" s="139" t="str">
        <f>Input!B35</f>
        <v>Hu1-13</v>
      </c>
      <c r="C35" s="139">
        <f>Input!O35</f>
        <v>2.1336746937140298</v>
      </c>
      <c r="D35" s="139">
        <f>C35*Input!P35/100</f>
        <v>2.7301589517888032E-2</v>
      </c>
      <c r="E35" s="140">
        <f>Input!M35</f>
        <v>2.7315917722475391</v>
      </c>
      <c r="F35" s="141">
        <f>E35*Input!N35/100</f>
        <v>3.327123070929113E-4</v>
      </c>
      <c r="G35" s="142">
        <f t="shared" ref="G35" si="146">E35*137.88</f>
        <v>376.63187355749068</v>
      </c>
      <c r="H35" s="141">
        <f>G35*Input!L35/100</f>
        <v>3.7413147414941512E-2</v>
      </c>
      <c r="I35" s="139">
        <v>0</v>
      </c>
      <c r="J35" s="143">
        <f>(((C35*Constants!$B$24*0.000000001*Input!G35*(Constants!$B$4/Constants!$B$3))-(I35*0.000000000000001))/Input!F35)*1000000000000</f>
        <v>770.33666831697826</v>
      </c>
      <c r="K35" s="139">
        <f>J35*Input!P35/100</f>
        <v>9.8568987910517833</v>
      </c>
      <c r="L35" s="144">
        <f>(J35/Constants!$B$4)*602200000000*Constants!$B$17/(365.2425*24*60)</f>
        <v>10.635353022350275</v>
      </c>
      <c r="M35" s="145">
        <f>L35*Input!P35/100</f>
        <v>0.13608543207147089</v>
      </c>
      <c r="N35" s="139">
        <v>0</v>
      </c>
      <c r="O35" s="143">
        <f>(((G35*Constants!$B$23*0.000000001*Input!G35*(Constants!$B$7/Constants!$B$6))-(N35*0.000000001))/Input!F35)*1000000</f>
        <v>13.697803628802628</v>
      </c>
      <c r="P35" s="139">
        <f>O35*Input!N35/100</f>
        <v>1.6684146927616302E-3</v>
      </c>
      <c r="Q35" s="146">
        <f>(O35/Constants!$B$7)*602200000000000000*Constants!$B$18/(365.2425*24*60)</f>
        <v>10.220215632846877</v>
      </c>
      <c r="R35" s="147">
        <f>Q35*Input!N35/100</f>
        <v>1.2448388359998972E-3</v>
      </c>
      <c r="S35" s="145">
        <f>Input!S35*Constants!$B$17/Constants!$B$18</f>
        <v>1.0006943692195303</v>
      </c>
      <c r="T35" s="139">
        <f>S35*Input!T35/100</f>
        <v>1.8368448552095696E-3</v>
      </c>
      <c r="U35" s="145">
        <f>S35</f>
        <v>1.0006943692195303</v>
      </c>
      <c r="V35" s="139">
        <f>U35*Input!T35/100</f>
        <v>1.8368448552095696E-3</v>
      </c>
      <c r="W35" s="148">
        <v>0</v>
      </c>
      <c r="X35" s="143">
        <f>(((Constants!$B$25*0.000000001*Input!G35/Input!W35*(Constants!$B$11/Constants!$B$9))-(W35*0.000000001))/Input!F35)*1000000000</f>
        <v>0.90501567409192529</v>
      </c>
      <c r="Y35" s="143">
        <f>X35*Input!X35/100</f>
        <v>5.42819711095741E-3</v>
      </c>
      <c r="Z35" s="143">
        <f>(X35/Constants!$B$11)*6.022E+23*0.000000001*Constants!$B$19/(365.2425*24*60)</f>
        <v>2.2094358405390951E-4</v>
      </c>
      <c r="AA35" s="143">
        <f>Z35*Input!X35/100</f>
        <v>1.3251984015076718E-6</v>
      </c>
      <c r="AB35" s="144">
        <v>0</v>
      </c>
      <c r="AC35" s="144">
        <v>0.9</v>
      </c>
      <c r="AD35" s="143">
        <f>(((Input!G35*Constants!$B$25*0.000000001*Input!U35*(Constants!$B$10/Constants!$B$9))-((AB35*0.000000000000001)+(Input!G35*AC35*0.000000000000001)))/Input!F35)*1000000000000</f>
        <v>223.87935734125008</v>
      </c>
      <c r="AE35" s="143">
        <f>AD35*Input!V35/100</f>
        <v>0.6999735509618833</v>
      </c>
      <c r="AF35" s="143">
        <f>(AD35/Constants!$B$10)*602200000000*Constants!$B$16/(365.2425*24*60)</f>
        <v>10.219122921216647</v>
      </c>
      <c r="AG35" s="143">
        <f>AF35*Input!V35/100</f>
        <v>3.1950760641039321E-2</v>
      </c>
      <c r="AH35" s="139">
        <f t="shared" ref="AH35" si="147">AF35/Z35</f>
        <v>46252.182270761092</v>
      </c>
      <c r="AI35" s="148">
        <f t="shared" ref="AI35" si="148">AH35*SQRT((AG35/AF35)^2+(AA35/Z35)^2)</f>
        <v>312.84487191800457</v>
      </c>
      <c r="AJ35" s="145">
        <f t="shared" si="134"/>
        <v>0.69436921953025532</v>
      </c>
      <c r="AK35" s="148">
        <f t="shared" ref="AK35" si="149">V35*1000</f>
        <v>1.8368448552095695</v>
      </c>
      <c r="AL35" s="148">
        <f t="shared" ref="AL35" si="150">AF35/Q35</f>
        <v>0.99989308330963989</v>
      </c>
      <c r="AM35" s="148">
        <f t="shared" ref="AM35" si="151">AL35*SQRT((R35/Q35)^2+(AG35/AF35)^2)</f>
        <v>3.128602917771573E-3</v>
      </c>
      <c r="AN35" s="139">
        <f>AF35/Q35</f>
        <v>0.99989308330963989</v>
      </c>
      <c r="AO35" s="143">
        <f t="shared" ref="AO35" si="152">AN35*SQRT((R35/Q35)^2+(AG35/AF35)^2)</f>
        <v>3.128602917771573E-3</v>
      </c>
      <c r="AP35" s="139">
        <f t="shared" ref="AP35" si="153">ThU_Alter_Kombi(AN35,U35)</f>
        <v>742.76430000000005</v>
      </c>
      <c r="AQ35" s="139" t="e">
        <f t="shared" si="136"/>
        <v>#VALUE!</v>
      </c>
      <c r="AR35" s="139" t="e">
        <f>(AQ35/AP35)*100</f>
        <v>#VALUE!</v>
      </c>
      <c r="AS35" s="147">
        <f t="shared" si="137"/>
        <v>2.161828986697856E-5</v>
      </c>
      <c r="AT35" s="147">
        <f t="shared" si="138"/>
        <v>1.2969116010973025E-7</v>
      </c>
      <c r="AU35" s="139">
        <v>0.75</v>
      </c>
      <c r="AV35" s="139">
        <f t="shared" ref="AV35" si="154">AU35/2</f>
        <v>0.375</v>
      </c>
      <c r="AW35" s="139">
        <f t="shared" si="139"/>
        <v>742.76250000000005</v>
      </c>
      <c r="AX35" s="149">
        <f t="shared" si="140"/>
        <v>335.9454393469</v>
      </c>
      <c r="AY35" s="149">
        <f t="shared" si="141"/>
        <v>399.43391774409781</v>
      </c>
      <c r="AZ35" s="150">
        <f t="shared" si="142"/>
        <v>0.45229186899836754</v>
      </c>
      <c r="BA35" s="139" t="str">
        <f>Input!B35</f>
        <v>Hu1-13</v>
      </c>
      <c r="BB35" s="151">
        <f>Input!E35</f>
        <v>0</v>
      </c>
      <c r="BC35" s="139">
        <f>((U35-1)*EXP(Constants!$B$17*AW35*1000))*1000</f>
        <v>5.6483806723675647</v>
      </c>
      <c r="BD35" s="145">
        <f>SQRT((EXP(Constants!$B$17*AW35*1000)*V35)^2+((U35-1)*Constants!$B$17*EXP(Constants!$B$17*AW35*1000)*AY35*1000)^2)*1000</f>
        <v>16.241898634574468</v>
      </c>
      <c r="BE35" s="139">
        <f t="shared" si="143"/>
        <v>742704.5</v>
      </c>
      <c r="BF35" s="152">
        <f t="shared" si="144"/>
        <v>199716.95887204891</v>
      </c>
      <c r="BG35" s="161">
        <f t="shared" si="145"/>
        <v>53.776801836939505</v>
      </c>
      <c r="BH35" s="139"/>
      <c r="BI35" s="18"/>
      <c r="BJ35" s="18"/>
      <c r="BK35" s="18"/>
      <c r="BL35" s="18"/>
      <c r="BM35" s="18"/>
      <c r="BN35" s="160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10904</v>
      </c>
      <c r="B36" s="18" t="str">
        <f>Input!B36</f>
        <v>M43_401_14_119</v>
      </c>
      <c r="C36" s="18">
        <f>Input!O36</f>
        <v>2.1802064018628582</v>
      </c>
      <c r="D36" s="18">
        <f>C36*Input!P36/100</f>
        <v>1.0502272065383645E-2</v>
      </c>
      <c r="E36" s="153">
        <f>Input!M36</f>
        <v>1.232444690852716</v>
      </c>
      <c r="F36" s="154">
        <f>E36*Input!N36/100</f>
        <v>1.0798501710507165E-4</v>
      </c>
      <c r="G36" s="21">
        <f>E36*137.88</f>
        <v>169.92947397477249</v>
      </c>
      <c r="H36" s="154">
        <f>G36*Input!L36/100</f>
        <v>1.0700436153928914E-2</v>
      </c>
      <c r="I36" s="18">
        <v>0.3</v>
      </c>
      <c r="J36" s="130">
        <f>(((C36*Constants!$B$24*0.000000001*Input!G36*(Constants!$B$4/Constants!$B$3))-(I36*0.000000000000001))/Input!F36)*1000000000000</f>
        <v>43.412176978614617</v>
      </c>
      <c r="K36" s="18">
        <f>J36*Input!P36/100</f>
        <v>0.20912079388008073</v>
      </c>
      <c r="L36" s="135">
        <f>(J36/Constants!$B$4)*602200000000*Constants!$B$17/(365.2425*24*60)</f>
        <v>0.59935330437409751</v>
      </c>
      <c r="M36" s="133">
        <f>L36*Input!P36/100</f>
        <v>2.8871447494352481E-3</v>
      </c>
      <c r="N36" s="18">
        <v>5.0000000000000001E-3</v>
      </c>
      <c r="O36" s="130">
        <f>(((G36*Constants!$B$23*0.000000001*Input!G36*(Constants!$B$7/Constants!$B$6))-(N36*0.000000001))/Input!F36)*1000000</f>
        <v>0.34083764230772823</v>
      </c>
      <c r="P36" s="18">
        <f>O36*Input!N36/100</f>
        <v>2.9863700097719657E-5</v>
      </c>
      <c r="Q36" s="131">
        <f>(O36/Constants!$B$7)*602200000000000000*Constants!$B$18/(365.2425*24*60)</f>
        <v>0.25430604019256298</v>
      </c>
      <c r="R36" s="132">
        <f>Q36*Input!N36/100</f>
        <v>2.2281926567525555E-5</v>
      </c>
      <c r="S36" s="133">
        <f>Input!S36*Constants!$B$17/Constants!$B$18</f>
        <v>2.3248047960075153</v>
      </c>
      <c r="T36" s="18">
        <f>S36*Input!T36/100</f>
        <v>2.5662412099568461E-3</v>
      </c>
      <c r="U36" s="18">
        <f>S36*1/((U35+U37)/2)</f>
        <v>2.3255390637490696</v>
      </c>
      <c r="V36" s="18">
        <f>U36*Input!T36/100</f>
        <v>2.5670517331202337E-3</v>
      </c>
      <c r="W36" s="134">
        <v>3.0000000000000001E-3</v>
      </c>
      <c r="X36" s="130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0.14494363216777603</v>
      </c>
      <c r="Y36" s="130">
        <f>X36*Input!X36/100</f>
        <v>5.4594281484552515E-4</v>
      </c>
      <c r="Z36" s="130">
        <f>(X36/Constants!$B$11)*6.022E+23*0.000000001*Constants!$B$19/(365.2425*24*60)</f>
        <v>3.5385426455815337E-5</v>
      </c>
      <c r="AA36" s="130">
        <f>Z36*Input!X36/100</f>
        <v>1.3328229074206977E-7</v>
      </c>
      <c r="AB36" s="135">
        <v>0.05</v>
      </c>
      <c r="AC36" s="135">
        <v>0.9</v>
      </c>
      <c r="AD36" s="130">
        <f>(((Input!G36*Constants!$B$25*0.000000001*Input!U36*(Constants!$B$10/Constants!$B$9))-((AB36*0.000000000000001)+(Input!G36*AC36*0.000000000000001)))/Input!F36)*1000000000000</f>
        <v>13.130446002347552</v>
      </c>
      <c r="AE36" s="130">
        <f>AD36*Input!V36/100</f>
        <v>4.1036306151601566E-2</v>
      </c>
      <c r="AF36" s="130">
        <f>(AD36/Constants!$B$10)*602200000000*Constants!$B$16/(365.2425*24*60)</f>
        <v>0.59934798501257014</v>
      </c>
      <c r="AG36" s="130">
        <f>AF36*Input!V36/100</f>
        <v>1.8731296255987088E-3</v>
      </c>
      <c r="AH36" s="18">
        <f>AF36/Z36</f>
        <v>16937.70698965454</v>
      </c>
      <c r="AI36" s="134">
        <f>AH36*SQRT((AG36/AF36)^2+(AA36/Z36)^2)</f>
        <v>82.898866862076019</v>
      </c>
      <c r="AJ36" s="133">
        <f t="shared" si="134"/>
        <v>1325.5390637490696</v>
      </c>
      <c r="AK36" s="134">
        <f>V36*1000</f>
        <v>2.5670517331202336</v>
      </c>
      <c r="AL36" s="134">
        <f>AF36/Q36</f>
        <v>2.3567980711694387</v>
      </c>
      <c r="AM36" s="134">
        <f>AL36*SQRT((R36/Q36)^2+(AG36/AF36)^2)</f>
        <v>7.368545418727313E-3</v>
      </c>
      <c r="AN36" s="18">
        <f>AL36*1/((AN35+AN37)/2)</f>
        <v>2.3603040447193333</v>
      </c>
      <c r="AO36" s="130">
        <f>AN36*SQRT((R36/Q36)^2+(AG36/AF36)^2)</f>
        <v>7.3795068692033977E-3</v>
      </c>
      <c r="AP36" s="18">
        <f>ThU_Alter_Kombi(AN36,U36)</f>
        <v>232.94720000000001</v>
      </c>
      <c r="AQ36" s="18">
        <f t="shared" si="136"/>
        <v>2.1705000000000001</v>
      </c>
      <c r="AR36" s="155">
        <f>(AQ36/AP36)</f>
        <v>9.3175620913236983E-3</v>
      </c>
      <c r="AS36" s="132">
        <f t="shared" si="137"/>
        <v>1.3914504912671815E-4</v>
      </c>
      <c r="AT36" s="132">
        <f t="shared" si="138"/>
        <v>5.2424372944184639E-7</v>
      </c>
      <c r="AU36" s="18">
        <v>0.75</v>
      </c>
      <c r="AV36" s="18">
        <f>AU36/2</f>
        <v>0.375</v>
      </c>
      <c r="AW36" s="18">
        <f t="shared" si="139"/>
        <v>232.94399999999999</v>
      </c>
      <c r="AX36" s="136">
        <f t="shared" si="140"/>
        <v>2.1658024144999999</v>
      </c>
      <c r="AY36" s="136">
        <f t="shared" si="141"/>
        <v>2.0494361163750727</v>
      </c>
      <c r="AZ36" s="155">
        <f t="shared" si="142"/>
        <v>9.2975239306442754E-3</v>
      </c>
      <c r="BA36" s="18" t="str">
        <f>Input!B36</f>
        <v>M43_401_14_119</v>
      </c>
      <c r="BB36" s="137">
        <f>Input!E36</f>
        <v>119</v>
      </c>
      <c r="BC36" s="18">
        <f>((U36-1)*EXP(Constants!$B$17*AW36*1000))*1000</f>
        <v>2557.9372242520003</v>
      </c>
      <c r="BD36" s="133">
        <f>SQRT((EXP(Constants!$B$17*AW36*1000)*V36)^2+((U36-1)*Constants!$B$17*EXP(Constants!$B$17*AW36*1000)*AY36*1000)^2)*1000</f>
        <v>15.601498999408474</v>
      </c>
      <c r="BE36" s="18">
        <f t="shared" si="143"/>
        <v>232886</v>
      </c>
      <c r="BF36" s="138">
        <f t="shared" si="144"/>
        <v>1024.7180581875364</v>
      </c>
      <c r="BG36" s="20">
        <f t="shared" si="145"/>
        <v>0.87979776958199085</v>
      </c>
      <c r="BH36" s="18"/>
      <c r="BI36" s="18"/>
      <c r="BJ36" s="18"/>
      <c r="BK36" s="18"/>
      <c r="BL36" s="18"/>
      <c r="BM36" s="18"/>
      <c r="BN36" s="160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9">
        <f>Input!A37</f>
        <v>10815</v>
      </c>
      <c r="B37" s="139" t="str">
        <f>Input!B37</f>
        <v>Hu1-13</v>
      </c>
      <c r="C37" s="139">
        <f>Input!O37</f>
        <v>2.101187521141064</v>
      </c>
      <c r="D37" s="139">
        <f>C37*Input!P37/100</f>
        <v>2.0833944339264568E-2</v>
      </c>
      <c r="E37" s="140">
        <f>Input!M37</f>
        <v>2.7323086588773227</v>
      </c>
      <c r="F37" s="141">
        <f>E37*Input!N37/100</f>
        <v>4.351292656423443E-4</v>
      </c>
      <c r="G37" s="142">
        <f t="shared" ref="G37" si="155">E37*137.88</f>
        <v>376.73071788600521</v>
      </c>
      <c r="H37" s="141">
        <f>G37*Input!L37/100</f>
        <v>3.4804762324756634E-2</v>
      </c>
      <c r="I37" s="139">
        <v>0</v>
      </c>
      <c r="J37" s="143">
        <f>(((C37*Constants!$B$24*0.000000001*Input!G37*(Constants!$B$4/Constants!$B$3))-(I37*0.000000000000001))/Input!F37)*1000000000000</f>
        <v>758.60757936230959</v>
      </c>
      <c r="K37" s="139">
        <f>J37*Input!P37/100</f>
        <v>7.5218360687749044</v>
      </c>
      <c r="L37" s="144">
        <f>(J37/Constants!$B$4)*602200000000*Constants!$B$17/(365.2425*24*60)</f>
        <v>10.473419926349552</v>
      </c>
      <c r="M37" s="145">
        <f>L37*Input!P37/100</f>
        <v>0.10384729853564643</v>
      </c>
      <c r="N37" s="139">
        <v>0</v>
      </c>
      <c r="O37" s="143">
        <f>(((G37*Constants!$B$23*0.000000001*Input!G37*(Constants!$B$7/Constants!$B$6))-(N37*0.000000001))/Input!F37)*1000000</f>
        <v>13.701398518924444</v>
      </c>
      <c r="P37" s="139">
        <f>O37*Input!N37/100</f>
        <v>2.1819934056287668E-3</v>
      </c>
      <c r="Q37" s="146">
        <f>(O37/Constants!$B$7)*602200000000000000*Constants!$B$18/(365.2425*24*60)</f>
        <v>10.222897854991169</v>
      </c>
      <c r="R37" s="147">
        <f>Q37*Input!N37/100</f>
        <v>1.6280305747765544E-3</v>
      </c>
      <c r="S37" s="145">
        <f>Input!S37*Constants!$B$17/Constants!$B$18</f>
        <v>0.99867414902813101</v>
      </c>
      <c r="T37" s="139">
        <f>S37*Input!T37/100</f>
        <v>2.2365777648538313E-3</v>
      </c>
      <c r="U37" s="145">
        <f>S37</f>
        <v>0.99867414902813101</v>
      </c>
      <c r="V37" s="139">
        <f>U37*Input!T37/100</f>
        <v>2.2365777648538313E-3</v>
      </c>
      <c r="W37" s="148">
        <v>0</v>
      </c>
      <c r="X37" s="143">
        <f>(((Constants!$B$25*0.000000001*Input!G37/Input!W37*(Constants!$B$11/Constants!$B$9))-(W37*0.000000001))/Input!F37)*1000000000</f>
        <v>0.89923640750119338</v>
      </c>
      <c r="Y37" s="143">
        <f>X37*Input!X37/100</f>
        <v>5.9963041622416481E-3</v>
      </c>
      <c r="Z37" s="143">
        <f>(X37/Constants!$B$11)*6.022E+23*0.000000001*Constants!$B$19/(365.2425*24*60)</f>
        <v>2.1953267824275816E-4</v>
      </c>
      <c r="AA37" s="143">
        <f>Z37*Input!X37/100</f>
        <v>1.4638916989060636E-6</v>
      </c>
      <c r="AB37" s="144">
        <v>0</v>
      </c>
      <c r="AC37" s="144">
        <v>0.9</v>
      </c>
      <c r="AD37" s="143">
        <f>(((Input!G37*Constants!$B$25*0.000000001*Input!U37*(Constants!$B$10/Constants!$B$9))-((AB37*0.000000000000001)+(Input!G37*AC37*0.000000000000001)))/Input!F37)*1000000000000</f>
        <v>223.32066114119789</v>
      </c>
      <c r="AE37" s="143">
        <f>AD37*Input!V37/100</f>
        <v>0.66687858262461253</v>
      </c>
      <c r="AF37" s="143">
        <f>(AD37/Constants!$B$10)*602200000000*Constants!$B$16/(365.2425*24*60)</f>
        <v>10.193620859696759</v>
      </c>
      <c r="AG37" s="143">
        <f>AF37*Input!V37/100</f>
        <v>3.044011868847718E-2</v>
      </c>
      <c r="AH37" s="139">
        <f t="shared" ref="AH37" si="156">AF37/Z37</f>
        <v>46433.273357257101</v>
      </c>
      <c r="AI37" s="148">
        <f t="shared" ref="AI37" si="157">AH37*SQRT((AG37/AF37)^2+(AA37/Z37)^2)</f>
        <v>339.25687538796927</v>
      </c>
      <c r="AJ37" s="145">
        <f t="shared" si="134"/>
        <v>-1.3258509718689915</v>
      </c>
      <c r="AK37" s="148">
        <f t="shared" ref="AK37" si="158">V37*1000</f>
        <v>2.2365777648538314</v>
      </c>
      <c r="AL37" s="148">
        <f t="shared" ref="AL37" si="159">AF37/Q37</f>
        <v>0.99713613539823098</v>
      </c>
      <c r="AM37" s="148">
        <f t="shared" ref="AM37" si="160">AL37*SQRT((R37/Q37)^2+(AG37/AF37)^2)</f>
        <v>2.9818722055556246E-3</v>
      </c>
      <c r="AN37" s="139">
        <f>AF37/Q37</f>
        <v>0.99713613539823098</v>
      </c>
      <c r="AO37" s="143">
        <f t="shared" ref="AO37" si="161">AN37*SQRT((R37/Q37)^2+(AG37/AF37)^2)</f>
        <v>2.9818722055556246E-3</v>
      </c>
      <c r="AP37" s="139">
        <f t="shared" ref="AP37" si="162">ThU_Alter_Kombi(AN37,U37)</f>
        <v>757.22109999999998</v>
      </c>
      <c r="AQ37" s="139" t="e">
        <f t="shared" si="136"/>
        <v>#VALUE!</v>
      </c>
      <c r="AR37" s="139" t="e">
        <f>(AQ37/AP37)*100</f>
        <v>#VALUE!</v>
      </c>
      <c r="AS37" s="147">
        <f t="shared" si="137"/>
        <v>2.1474603518177068E-5</v>
      </c>
      <c r="AT37" s="147">
        <f t="shared" si="138"/>
        <v>1.4323816406429236E-7</v>
      </c>
      <c r="AU37" s="139">
        <v>0.75</v>
      </c>
      <c r="AV37" s="139">
        <f t="shared" ref="AV37" si="163">AU37/2</f>
        <v>0.375</v>
      </c>
      <c r="AW37" s="139">
        <f t="shared" si="139"/>
        <v>757.21929999999998</v>
      </c>
      <c r="AX37" s="149">
        <f t="shared" si="140"/>
        <v>325.11935526590003</v>
      </c>
      <c r="AY37" s="149">
        <f t="shared" si="141"/>
        <v>496.79796945983242</v>
      </c>
      <c r="AZ37" s="150">
        <f t="shared" si="142"/>
        <v>0.42935957293468358</v>
      </c>
      <c r="BA37" s="139" t="str">
        <f>Input!B37</f>
        <v>Hu1-13</v>
      </c>
      <c r="BB37" s="151">
        <f>Input!E37</f>
        <v>0</v>
      </c>
      <c r="BC37" s="139">
        <f>((U37-1)*EXP(Constants!$B$17*AW37*1000))*1000</f>
        <v>-11.234313431357041</v>
      </c>
      <c r="BD37" s="145">
        <f>SQRT((EXP(Constants!$B$17*AW37*1000)*V37)^2+((U37-1)*Constants!$B$17*EXP(Constants!$B$17*AW37*1000)*AY37*1000)^2)*1000</f>
        <v>24.641890378574431</v>
      </c>
      <c r="BE37" s="139">
        <f t="shared" si="143"/>
        <v>757161.29999999993</v>
      </c>
      <c r="BF37" s="152">
        <f t="shared" si="144"/>
        <v>248398.98472991621</v>
      </c>
      <c r="BG37" s="161">
        <f t="shared" si="145"/>
        <v>65.608202202430974</v>
      </c>
      <c r="BH37" s="139"/>
      <c r="BI37" s="18"/>
      <c r="BJ37" s="18"/>
      <c r="BK37" s="18"/>
      <c r="BL37" s="18"/>
      <c r="BM37" s="18"/>
      <c r="BN37" s="160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10905</v>
      </c>
      <c r="B38" s="18" t="str">
        <f>Input!B38</f>
        <v>M43_401_14_122.5</v>
      </c>
      <c r="C38" s="18">
        <f>Input!O38</f>
        <v>2.5450149821163546</v>
      </c>
      <c r="D38" s="18">
        <f>C38*Input!P38/100</f>
        <v>7.4122263925447606E-3</v>
      </c>
      <c r="E38" s="153">
        <f>Input!M38</f>
        <v>1.6452519110912152</v>
      </c>
      <c r="F38" s="154">
        <f>E38*Input!N38/100</f>
        <v>9.2983358779983669E-5</v>
      </c>
      <c r="G38" s="21">
        <f>E38*137.88</f>
        <v>226.84733350125674</v>
      </c>
      <c r="H38" s="154">
        <f>G38*Input!L38/100</f>
        <v>1.81486151159275E-2</v>
      </c>
      <c r="I38" s="18">
        <v>0.3</v>
      </c>
      <c r="J38" s="130">
        <f>(((C38*Constants!$B$24*0.000000001*Input!G38*(Constants!$B$4/Constants!$B$3))-(I38*0.000000000000001))/Input!F38)*1000000000000</f>
        <v>56.269337432277787</v>
      </c>
      <c r="K38" s="18">
        <f>J38*Input!P38/100</f>
        <v>0.16388157670478812</v>
      </c>
      <c r="L38" s="135">
        <f>(J38/Constants!$B$4)*602200000000*Constants!$B$17/(365.2425*24*60)</f>
        <v>0.77686067993296537</v>
      </c>
      <c r="M38" s="133">
        <f>L38*Input!P38/100</f>
        <v>2.2625671265561666E-3</v>
      </c>
      <c r="N38" s="18">
        <v>5.0000000000000001E-3</v>
      </c>
      <c r="O38" s="130">
        <f>(((G38*Constants!$B$23*0.000000001*Input!G38*(Constants!$B$7/Constants!$B$6))-(N38*0.000000001))/Input!F38)*1000000</f>
        <v>0.50522584854907671</v>
      </c>
      <c r="P38" s="18">
        <f>O38*Input!N38/100</f>
        <v>2.8553436725323446E-5</v>
      </c>
      <c r="Q38" s="131">
        <f>(O38/Constants!$B$7)*602200000000000000*Constants!$B$18/(365.2425*24*60)</f>
        <v>0.37695949331629919</v>
      </c>
      <c r="R38" s="132">
        <f>Q38*Input!N38/100</f>
        <v>2.1304311866322475E-5</v>
      </c>
      <c r="S38" s="133">
        <f>Input!S38*Constants!$B$17/Constants!$B$18</f>
        <v>2.0254055787829923</v>
      </c>
      <c r="T38" s="18">
        <f>S38*Input!T38/100</f>
        <v>1.1890261381510704E-3</v>
      </c>
      <c r="U38" s="18">
        <f>S38*1/((U37+U39)/2)</f>
        <v>2.0249288341387657</v>
      </c>
      <c r="V38" s="18">
        <f>U38*Input!T38/100</f>
        <v>1.1887462624317838E-3</v>
      </c>
      <c r="W38" s="134">
        <v>3.0000000000000001E-3</v>
      </c>
      <c r="X38" s="130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4.3045766905119764</v>
      </c>
      <c r="Y38" s="130">
        <f>X38*Input!X38/100</f>
        <v>6.9928906628213871E-3</v>
      </c>
      <c r="Z38" s="130">
        <f>(X38/Constants!$B$11)*6.022E+23*0.000000001*Constants!$B$19/(365.2425*24*60)</f>
        <v>1.0508863316548804E-3</v>
      </c>
      <c r="AA38" s="130">
        <f>Z38*Input!X38/100</f>
        <v>1.7071906820742441E-6</v>
      </c>
      <c r="AB38" s="135">
        <v>0.05</v>
      </c>
      <c r="AC38" s="135">
        <v>0.9</v>
      </c>
      <c r="AD38" s="130">
        <f>(((Input!G38*Constants!$B$25*0.000000001*Input!U38*(Constants!$B$10/Constants!$B$9))-((AB38*0.000000000000001)+(Input!G38*AC38*0.000000000000001)))/Input!F38)*1000000000000</f>
        <v>16.95377725002281</v>
      </c>
      <c r="AE38" s="130">
        <f>AD38*Input!V38/100</f>
        <v>2.919054286011475E-2</v>
      </c>
      <c r="AF38" s="130">
        <f>(AD38/Constants!$B$10)*602200000000*Constants!$B$16/(365.2425*24*60)</f>
        <v>0.77386649557345044</v>
      </c>
      <c r="AG38" s="130">
        <f>AF38*Input!V38/100</f>
        <v>1.3324218416880056E-3</v>
      </c>
      <c r="AH38" s="18">
        <f>AF38/Z38</f>
        <v>736.39410111539485</v>
      </c>
      <c r="AI38" s="134">
        <f>AH38*SQRT((AG38/AF38)^2+(AA38/Z38)^2)</f>
        <v>1.7431833902090084</v>
      </c>
      <c r="AJ38" s="133">
        <f t="shared" si="134"/>
        <v>1024.9288341387658</v>
      </c>
      <c r="AK38" s="134">
        <f>V38*1000</f>
        <v>1.1887462624317839</v>
      </c>
      <c r="AL38" s="134">
        <f>AF38/Q38</f>
        <v>2.0529168499388728</v>
      </c>
      <c r="AM38" s="134">
        <f>AL38*SQRT((R38/Q38)^2+(AG38/AF38)^2)</f>
        <v>3.5365589043172218E-3</v>
      </c>
      <c r="AN38" s="18">
        <f>AL38*1/((AN37+AN39)/2)</f>
        <v>2.0565623631413352</v>
      </c>
      <c r="AO38" s="130">
        <f>AN38*SQRT((R38/Q38)^2+(AG38/AF38)^2)</f>
        <v>3.5428390282186643E-3</v>
      </c>
      <c r="AP38" s="18">
        <f>ThU_Alter_Kombi(AN38,U38)</f>
        <v>243.0915</v>
      </c>
      <c r="AQ38" s="18">
        <f t="shared" si="136"/>
        <v>1.1793</v>
      </c>
      <c r="AR38" s="155">
        <f>(AQ38/AP38)</f>
        <v>4.8512597108496189E-3</v>
      </c>
      <c r="AS38" s="132">
        <f t="shared" si="137"/>
        <v>2.7877964351281179E-3</v>
      </c>
      <c r="AT38" s="132">
        <f t="shared" si="138"/>
        <v>4.5315836489068563E-6</v>
      </c>
      <c r="AU38" s="18">
        <v>0.75</v>
      </c>
      <c r="AV38" s="18">
        <f>AU38/2</f>
        <v>0.375</v>
      </c>
      <c r="AW38" s="18">
        <f t="shared" si="139"/>
        <v>243.0163</v>
      </c>
      <c r="AX38" s="136">
        <f t="shared" si="140"/>
        <v>1.3165263144999999</v>
      </c>
      <c r="AY38" s="136">
        <f t="shared" si="141"/>
        <v>1.2635480375808679</v>
      </c>
      <c r="AZ38" s="155">
        <f t="shared" si="142"/>
        <v>5.4174403712837363E-3</v>
      </c>
      <c r="BA38" s="18" t="str">
        <f>Input!B38</f>
        <v>M43_401_14_122.5</v>
      </c>
      <c r="BB38" s="137">
        <f>Input!E38</f>
        <v>122.5</v>
      </c>
      <c r="BC38" s="18">
        <f>((U38-1)*EXP(Constants!$B$17*AW38*1000))*1000</f>
        <v>2034.8655738763357</v>
      </c>
      <c r="BD38" s="133">
        <f>SQRT((EXP(Constants!$B$17*AW38*1000)*V38)^2+((U38-1)*Constants!$B$17*EXP(Constants!$B$17*AW38*1000)*AY38*1000)^2)*1000</f>
        <v>7.6301223679021595</v>
      </c>
      <c r="BE38" s="18">
        <f t="shared" si="143"/>
        <v>242958.3</v>
      </c>
      <c r="BF38" s="138">
        <f t="shared" si="144"/>
        <v>631.77401879043396</v>
      </c>
      <c r="BG38" s="20">
        <f t="shared" si="145"/>
        <v>0.51994373940384564</v>
      </c>
      <c r="BH38" s="18"/>
      <c r="BI38" s="18"/>
      <c r="BJ38" s="18"/>
      <c r="BK38" s="18"/>
      <c r="BL38" s="18"/>
      <c r="BM38" s="18"/>
      <c r="BN38" s="160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9">
        <f>Input!A39</f>
        <v>10815</v>
      </c>
      <c r="B39" s="139" t="str">
        <f>Input!B39</f>
        <v>Hu1-13</v>
      </c>
      <c r="C39" s="139">
        <f>Input!O39</f>
        <v>2.1224722741997253</v>
      </c>
      <c r="D39" s="139">
        <f>C39*Input!P39/100</f>
        <v>2.8453696801822966E-2</v>
      </c>
      <c r="E39" s="140">
        <f>Input!M39</f>
        <v>2.7323730131842292</v>
      </c>
      <c r="F39" s="141">
        <f>E39*Input!N39/100</f>
        <v>3.9416238825859475E-4</v>
      </c>
      <c r="G39" s="142">
        <f t="shared" ref="G39" si="164">E39*137.88</f>
        <v>376.73959105784149</v>
      </c>
      <c r="H39" s="141">
        <f>G39*Input!L39/100</f>
        <v>2.8772575623125206E-2</v>
      </c>
      <c r="I39" s="139">
        <v>0</v>
      </c>
      <c r="J39" s="143">
        <f>(((C39*Constants!$B$24*0.000000001*Input!G39*(Constants!$B$4/Constants!$B$3))-(I39*0.000000000000001))/Input!F39)*1000000000000</f>
        <v>766.29217430335848</v>
      </c>
      <c r="K39" s="139">
        <f>J39*Input!P39/100</f>
        <v>10.272852773758162</v>
      </c>
      <c r="L39" s="144">
        <f>(J39/Constants!$B$4)*602200000000*Constants!$B$17/(365.2425*24*60)</f>
        <v>10.579514291830533</v>
      </c>
      <c r="M39" s="145">
        <f>L39*Input!P39/100</f>
        <v>0.14182813864261207</v>
      </c>
      <c r="N39" s="139">
        <v>0</v>
      </c>
      <c r="O39" s="143">
        <f>(((G39*Constants!$B$23*0.000000001*Input!G39*(Constants!$B$7/Constants!$B$6))-(N39*0.000000001))/Input!F39)*1000000</f>
        <v>13.701721229172595</v>
      </c>
      <c r="P39" s="139">
        <f>O39*Input!N39/100</f>
        <v>1.9765614492914104E-3</v>
      </c>
      <c r="Q39" s="146">
        <f>(O39/Constants!$B$7)*602200000000000000*Constants!$B$18/(365.2425*24*60)</f>
        <v>10.223138635806285</v>
      </c>
      <c r="R39" s="147">
        <f>Q39*Input!N39/100</f>
        <v>1.4747535277008772E-3</v>
      </c>
      <c r="S39" s="145">
        <f>Input!S39*Constants!$B$17/Constants!$B$18</f>
        <v>1.0017967264280223</v>
      </c>
      <c r="T39" s="139">
        <f>S39*Input!T39/100</f>
        <v>2.6504561643736378E-3</v>
      </c>
      <c r="U39" s="145">
        <f>S39</f>
        <v>1.0017967264280223</v>
      </c>
      <c r="V39" s="139">
        <f>U39*Input!T39/100</f>
        <v>2.6504561643736378E-3</v>
      </c>
      <c r="W39" s="148">
        <v>0</v>
      </c>
      <c r="X39" s="143">
        <f>(((Constants!$B$25*0.000000001*Input!G39/Input!W39*(Constants!$B$11/Constants!$B$9))-(W39*0.000000001))/Input!F39)*1000000000</f>
        <v>0.89709695944873602</v>
      </c>
      <c r="Y39" s="143">
        <f>X39*Input!X39/100</f>
        <v>5.0810882120492055E-3</v>
      </c>
      <c r="Z39" s="143">
        <f>(X39/Constants!$B$11)*6.022E+23*0.000000001*Constants!$B$19/(365.2425*24*60)</f>
        <v>2.1901036980751323E-4</v>
      </c>
      <c r="AA39" s="143">
        <f>Z39*Input!X39/100</f>
        <v>1.2404578976940377E-6</v>
      </c>
      <c r="AB39" s="144">
        <v>0</v>
      </c>
      <c r="AC39" s="144">
        <v>0.9</v>
      </c>
      <c r="AD39" s="143">
        <f>(((Input!G39*Constants!$B$25*0.000000001*Input!U39*(Constants!$B$10/Constants!$B$9))-((AB39*0.000000000000001)+(Input!G39*AC39*0.000000000000001)))/Input!F39)*1000000000000</f>
        <v>223.8147252222949</v>
      </c>
      <c r="AE39" s="143">
        <f>AD39*Input!V39/100</f>
        <v>0.76313749936495856</v>
      </c>
      <c r="AF39" s="143">
        <f>(AD39/Constants!$B$10)*602200000000*Constants!$B$16/(365.2425*24*60)</f>
        <v>10.21617274494267</v>
      </c>
      <c r="AG39" s="143">
        <f>AF39*Input!V39/100</f>
        <v>3.4833921288747155E-2</v>
      </c>
      <c r="AH39" s="139">
        <f t="shared" ref="AH39" si="165">AF39/Z39</f>
        <v>46646.981848035764</v>
      </c>
      <c r="AI39" s="148">
        <f t="shared" ref="AI39" si="166">AH39*SQRT((AG39/AF39)^2+(AA39/Z39)^2)</f>
        <v>308.38548834671593</v>
      </c>
      <c r="AJ39" s="145">
        <f t="shared" si="134"/>
        <v>1.7967264280223105</v>
      </c>
      <c r="AK39" s="148">
        <f t="shared" ref="AK39" si="167">V39*1000</f>
        <v>2.650456164373638</v>
      </c>
      <c r="AL39" s="148">
        <f t="shared" ref="AL39" si="168">AF39/Q39</f>
        <v>0.99931861524021426</v>
      </c>
      <c r="AM39" s="148">
        <f t="shared" ref="AM39" si="169">AL39*SQRT((R39/Q39)^2+(AG39/AF39)^2)</f>
        <v>3.4104088937987284E-3</v>
      </c>
      <c r="AN39" s="139">
        <f>AF39/Q39</f>
        <v>0.99931861524021426</v>
      </c>
      <c r="AO39" s="143">
        <f t="shared" ref="AO39" si="170">AN39*SQRT((R39/Q39)^2+(AG39/AF39)^2)</f>
        <v>3.4104088937987284E-3</v>
      </c>
      <c r="AP39" s="139">
        <f t="shared" ref="AP39" si="171">ThU_Alter_Kombi(AN39,U39)</f>
        <v>625.47649999999999</v>
      </c>
      <c r="AQ39" s="139" t="e">
        <f t="shared" si="136"/>
        <v>#VALUE!</v>
      </c>
      <c r="AR39" s="139" t="e">
        <f>(AQ39/AP39)*100</f>
        <v>#VALUE!</v>
      </c>
      <c r="AS39" s="147">
        <f t="shared" si="137"/>
        <v>2.1423006926702035E-5</v>
      </c>
      <c r="AT39" s="147">
        <f t="shared" si="138"/>
        <v>1.2137761323453902E-7</v>
      </c>
      <c r="AU39" s="139">
        <v>0.75</v>
      </c>
      <c r="AV39" s="139">
        <f t="shared" ref="AV39" si="172">AU39/2</f>
        <v>0.375</v>
      </c>
      <c r="AW39" s="139">
        <f t="shared" si="139"/>
        <v>625.47479999999996</v>
      </c>
      <c r="AX39" s="149">
        <f t="shared" si="140"/>
        <v>292.3180313931</v>
      </c>
      <c r="AY39" s="149">
        <f t="shared" si="141"/>
        <v>168.59772187535802</v>
      </c>
      <c r="AZ39" s="150">
        <f t="shared" si="142"/>
        <v>0.46735381088590622</v>
      </c>
      <c r="BA39" s="139" t="str">
        <f>Input!B39</f>
        <v>Hu1-13</v>
      </c>
      <c r="BB39" s="151">
        <f>Input!E39</f>
        <v>0</v>
      </c>
      <c r="BC39" s="139">
        <f>((U39-1)*EXP(Constants!$B$17*AW39*1000))*1000</f>
        <v>10.497044823167821</v>
      </c>
      <c r="BD39" s="145">
        <f>SQRT((EXP(Constants!$B$17*AW39*1000)*V39)^2+((U39-1)*Constants!$B$17*EXP(Constants!$B$17*AW39*1000)*AY39*1000)^2)*1000</f>
        <v>16.270322328367786</v>
      </c>
      <c r="BE39" s="139">
        <f t="shared" si="143"/>
        <v>625416.79999999993</v>
      </c>
      <c r="BF39" s="152">
        <f t="shared" si="144"/>
        <v>84298.860937679012</v>
      </c>
      <c r="BG39" s="161">
        <f t="shared" si="145"/>
        <v>26.955158205471751</v>
      </c>
      <c r="BH39" s="139"/>
      <c r="BI39" s="18"/>
      <c r="BJ39" s="18"/>
      <c r="BK39" s="18"/>
      <c r="BL39" s="18"/>
      <c r="BM39" s="18"/>
      <c r="BN39" s="160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10906</v>
      </c>
      <c r="B40" s="18" t="str">
        <f>Input!B40</f>
        <v>M43_401_14_337.5</v>
      </c>
      <c r="C40" s="18">
        <f>Input!O40</f>
        <v>2.1673783380226554</v>
      </c>
      <c r="D40" s="18">
        <f>C40*Input!P40/100</f>
        <v>9.7406977370869171E-3</v>
      </c>
      <c r="E40" s="153">
        <f>Input!M40</f>
        <v>1.8949460829145937</v>
      </c>
      <c r="F40" s="154">
        <f>E40*Input!N40/100</f>
        <v>1.3405408498785325E-4</v>
      </c>
      <c r="G40" s="21">
        <f>E40*137.88</f>
        <v>261.27516591226419</v>
      </c>
      <c r="H40" s="154">
        <f>G40*Input!L40/100</f>
        <v>1.5775611314687424E-2</v>
      </c>
      <c r="I40" s="18">
        <v>0.3</v>
      </c>
      <c r="J40" s="130">
        <f>(((C40*Constants!$B$24*0.000000001*Input!G40*(Constants!$B$4/Constants!$B$3))-(I40*0.000000000000001))/Input!F40)*1000000000000</f>
        <v>36.395775445360307</v>
      </c>
      <c r="K40" s="18">
        <f>J40*Input!P40/100</f>
        <v>0.16357100248754031</v>
      </c>
      <c r="L40" s="135">
        <f>(J40/Constants!$B$4)*602200000000*Constants!$B$17/(365.2425*24*60)</f>
        <v>0.50248409079277812</v>
      </c>
      <c r="M40" s="133">
        <f>L40*Input!P40/100</f>
        <v>2.2582793046518994E-3</v>
      </c>
      <c r="N40" s="18">
        <v>5.0000000000000001E-3</v>
      </c>
      <c r="O40" s="130">
        <f>(((G40*Constants!$B$23*0.000000001*Input!G40*(Constants!$B$7/Constants!$B$6))-(N40*0.000000001))/Input!F40)*1000000</f>
        <v>0.44196757798953168</v>
      </c>
      <c r="P40" s="18">
        <f>O40*Input!N40/100</f>
        <v>3.1266092368473298E-5</v>
      </c>
      <c r="Q40" s="131">
        <f>(O40/Constants!$B$7)*602200000000000000*Constants!$B$18/(365.2425*24*60)</f>
        <v>0.32976118450713471</v>
      </c>
      <c r="R40" s="132">
        <f>Q40*Input!N40/100</f>
        <v>2.3328280552247765E-5</v>
      </c>
      <c r="S40" s="133">
        <f>Input!S40*Constants!$B$17/Constants!$B$18</f>
        <v>1.517297865056215</v>
      </c>
      <c r="T40" s="18">
        <f>S40*Input!T40/100</f>
        <v>1.2426800934742385E-3</v>
      </c>
      <c r="U40" s="18">
        <f>S40*1/((U39+U41)/2)</f>
        <v>1.5169244242024162</v>
      </c>
      <c r="V40" s="18">
        <f>U40*Input!T40/100</f>
        <v>1.2423742421804396E-3</v>
      </c>
      <c r="W40" s="134">
        <v>3.0000000000000001E-3</v>
      </c>
      <c r="X40" s="130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0.11176653755289787</v>
      </c>
      <c r="Y40" s="130">
        <f>X40*Input!X40/100</f>
        <v>2.582717939638418E-4</v>
      </c>
      <c r="Z40" s="130">
        <f>(X40/Constants!$B$11)*6.022E+23*0.000000001*Constants!$B$19/(365.2425*24*60)</f>
        <v>2.7285825086964036E-5</v>
      </c>
      <c r="AA40" s="130">
        <f>Z40*Input!X40/100</f>
        <v>6.3052494505866373E-8</v>
      </c>
      <c r="AB40" s="135">
        <v>0.05</v>
      </c>
      <c r="AC40" s="135">
        <v>0.9</v>
      </c>
      <c r="AD40" s="130">
        <f>(((Input!G40*Constants!$B$25*0.000000001*Input!U40*(Constants!$B$10/Constants!$B$9))-((AB40*0.000000000000001)+(Input!G40*AC40*0.000000000000001)))/Input!F40)*1000000000000</f>
        <v>11.217080636004299</v>
      </c>
      <c r="AE40" s="130">
        <f>AD40*Input!V40/100</f>
        <v>2.2924788782437547E-2</v>
      </c>
      <c r="AF40" s="130">
        <f>(AD40/Constants!$B$10)*602200000000*Constants!$B$16/(365.2425*24*60)</f>
        <v>0.51201114384924329</v>
      </c>
      <c r="AG40" s="130">
        <f>AF40*Input!V40/100</f>
        <v>1.0464173083790294E-3</v>
      </c>
      <c r="AH40" s="18">
        <f>AF40/Z40</f>
        <v>18764.730119664207</v>
      </c>
      <c r="AI40" s="134">
        <f>AH40*SQRT((AG40/AF40)^2+(AA40/Z40)^2)</f>
        <v>57.887706691331068</v>
      </c>
      <c r="AJ40" s="133">
        <f t="shared" si="134"/>
        <v>516.92442420241628</v>
      </c>
      <c r="AK40" s="134">
        <f>V40*1000</f>
        <v>1.2423742421804396</v>
      </c>
      <c r="AL40" s="134">
        <f>AF40/Q40</f>
        <v>1.5526725639783885</v>
      </c>
      <c r="AM40" s="134">
        <f>AL40*SQRT((R40/Q40)^2+(AG40/AF40)^2)</f>
        <v>3.1751584431739983E-3</v>
      </c>
      <c r="AN40" s="18">
        <f>AL40*1/((AN39+AN41)/2)</f>
        <v>1.5517026306655064</v>
      </c>
      <c r="AO40" s="130">
        <f>AN40*SQRT((R40/Q40)^2+(AG40/AF40)^2)</f>
        <v>3.1731749651251417E-3</v>
      </c>
      <c r="AP40" s="18">
        <f>ThU_Alter_Kombi(AN40,U40)</f>
        <v>285.37970000000001</v>
      </c>
      <c r="AQ40" s="18">
        <f t="shared" si="136"/>
        <v>2.3229000000000002</v>
      </c>
      <c r="AR40" s="155">
        <f>(AQ40/AP40)</f>
        <v>8.1396819745763287E-3</v>
      </c>
      <c r="AS40" s="132">
        <f t="shared" si="137"/>
        <v>8.2744199041332833E-5</v>
      </c>
      <c r="AT40" s="132">
        <f t="shared" si="138"/>
        <v>1.9129611732301802E-7</v>
      </c>
      <c r="AU40" s="18">
        <v>0.75</v>
      </c>
      <c r="AV40" s="18">
        <f>AU40/2</f>
        <v>0.375</v>
      </c>
      <c r="AW40" s="18">
        <f t="shared" si="139"/>
        <v>285.37650000000002</v>
      </c>
      <c r="AX40" s="136">
        <f t="shared" si="140"/>
        <v>2.3434616439</v>
      </c>
      <c r="AY40" s="136">
        <f t="shared" si="141"/>
        <v>2.4241874530484102</v>
      </c>
      <c r="AZ40" s="155">
        <f t="shared" si="142"/>
        <v>8.2118241827901037E-3</v>
      </c>
      <c r="BA40" s="18" t="str">
        <f>Input!B40</f>
        <v>M43_401_14_337.5</v>
      </c>
      <c r="BB40" s="137">
        <f>Input!E40</f>
        <v>337.5</v>
      </c>
      <c r="BC40" s="18">
        <f>((U40-1)*EXP(Constants!$B$17*AW40*1000))*1000</f>
        <v>1156.6073354836112</v>
      </c>
      <c r="BD40" s="133">
        <f>SQRT((EXP(Constants!$B$17*AW40*1000)*V40)^2+((U40-1)*Constants!$B$17*EXP(Constants!$B$17*AW40*1000)*AY40*1000)^2)*1000</f>
        <v>8.3866685422278557</v>
      </c>
      <c r="BE40" s="18">
        <f t="shared" si="143"/>
        <v>285318.5</v>
      </c>
      <c r="BF40" s="138">
        <f t="shared" si="144"/>
        <v>1212.0937265242051</v>
      </c>
      <c r="BG40" s="20">
        <f t="shared" si="145"/>
        <v>0.84946989434953823</v>
      </c>
      <c r="BH40" s="18"/>
      <c r="BI40" s="18"/>
      <c r="BJ40" s="18"/>
      <c r="BK40" s="18"/>
      <c r="BL40" s="18"/>
      <c r="BM40" s="18"/>
      <c r="BN40" s="160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9">
        <f>Input!A41</f>
        <v>10815</v>
      </c>
      <c r="B41" s="139" t="str">
        <f>Input!B41</f>
        <v>Hu1-13</v>
      </c>
      <c r="C41" s="139">
        <f>Input!O41</f>
        <v>2.1169717081969126</v>
      </c>
      <c r="D41" s="139">
        <f>C41*Input!P41/100</f>
        <v>2.6332900039430805E-2</v>
      </c>
      <c r="E41" s="140">
        <f>Input!M41</f>
        <v>2.7315001443604054</v>
      </c>
      <c r="F41" s="141">
        <f>E41*Input!N41/100</f>
        <v>4.0865285252707646E-4</v>
      </c>
      <c r="G41" s="142">
        <f t="shared" ref="G41" si="173">E41*137.88</f>
        <v>376.61923990441267</v>
      </c>
      <c r="H41" s="141">
        <f>G41*Input!L41/100</f>
        <v>2.9354686620523859E-2</v>
      </c>
      <c r="I41" s="139">
        <v>0</v>
      </c>
      <c r="J41" s="143">
        <f>(((C41*Constants!$B$24*0.000000001*Input!G41*(Constants!$B$4/Constants!$B$3))-(I41*0.000000000000001))/Input!F41)*1000000000000</f>
        <v>764.30626347030238</v>
      </c>
      <c r="K41" s="139">
        <f>J41*Input!P41/100</f>
        <v>9.5071655221205518</v>
      </c>
      <c r="L41" s="144">
        <f>(J41/Constants!$B$4)*602200000000*Constants!$B$17/(365.2425*24*60)</f>
        <v>10.552096587793926</v>
      </c>
      <c r="M41" s="145">
        <f>L41*Input!P41/100</f>
        <v>0.13125697597983688</v>
      </c>
      <c r="N41" s="139">
        <v>0</v>
      </c>
      <c r="O41" s="143">
        <f>(((G41*Constants!$B$23*0.000000001*Input!G41*(Constants!$B$7/Constants!$B$6))-(N41*0.000000001))/Input!F41)*1000000</f>
        <v>13.697344152823225</v>
      </c>
      <c r="P41" s="139">
        <f>O41*Input!N41/100</f>
        <v>2.0492251379349482E-3</v>
      </c>
      <c r="Q41" s="146">
        <f>(O41/Constants!$B$7)*602200000000000000*Constants!$B$18/(365.2425*24*60)</f>
        <v>10.219872808280629</v>
      </c>
      <c r="R41" s="147">
        <f>Q41*Input!N41/100</f>
        <v>1.5289694141845647E-3</v>
      </c>
      <c r="S41" s="145">
        <f>Input!S41*Constants!$B$17/Constants!$B$18</f>
        <v>0.99869563937193517</v>
      </c>
      <c r="T41" s="139">
        <f>S41*Input!T41/100</f>
        <v>2.1450253940378718E-3</v>
      </c>
      <c r="U41" s="145">
        <f>S41</f>
        <v>0.99869563937193517</v>
      </c>
      <c r="V41" s="139">
        <f>U41*Input!T41/100</f>
        <v>2.1450253940378718E-3</v>
      </c>
      <c r="W41" s="148">
        <v>0</v>
      </c>
      <c r="X41" s="143">
        <f>(((Constants!$B$25*0.000000001*Input!G41/Input!W41*(Constants!$B$11/Constants!$B$9))-(W41*0.000000001))/Input!F41)*1000000000</f>
        <v>0.89122355474814441</v>
      </c>
      <c r="Y41" s="143">
        <f>X41*Input!X41/100</f>
        <v>3.6182159237455659E-3</v>
      </c>
      <c r="Z41" s="143">
        <f>(X41/Constants!$B$11)*6.022E+23*0.000000001*Constants!$B$19/(365.2425*24*60)</f>
        <v>2.1757648184037956E-4</v>
      </c>
      <c r="AA41" s="143">
        <f>Z41*Input!X41/100</f>
        <v>8.8332347931475979E-7</v>
      </c>
      <c r="AB41" s="144">
        <v>0</v>
      </c>
      <c r="AC41" s="144">
        <v>0.9</v>
      </c>
      <c r="AD41" s="143">
        <f>(((Input!G41*Constants!$B$25*0.000000001*Input!U41*(Constants!$B$10/Constants!$B$9))-((AB41*0.000000000000001)+(Input!G41*AC41*0.000000000000001)))/Input!F41)*1000000000000</f>
        <v>224.32824907813736</v>
      </c>
      <c r="AE41" s="143">
        <f>AD41*Input!V41/100</f>
        <v>0.7786841491591826</v>
      </c>
      <c r="AF41" s="143">
        <f>(AD41/Constants!$B$10)*602200000000*Constants!$B$16/(365.2425*24*60)</f>
        <v>10.239612884615005</v>
      </c>
      <c r="AG41" s="143">
        <f>AF41*Input!V41/100</f>
        <v>3.5543558510986097E-2</v>
      </c>
      <c r="AH41" s="139">
        <f t="shared" ref="AH41" si="174">AF41/Z41</f>
        <v>47062.1309711547</v>
      </c>
      <c r="AI41" s="148">
        <f t="shared" ref="AI41" si="175">AH41*SQRT((AG41/AF41)^2+(AA41/Z41)^2)</f>
        <v>251.38104686392086</v>
      </c>
      <c r="AJ41" s="145">
        <f t="shared" si="134"/>
        <v>-1.3043606280648268</v>
      </c>
      <c r="AK41" s="148">
        <f t="shared" ref="AK41" si="176">V41*1000</f>
        <v>2.1450253940378716</v>
      </c>
      <c r="AL41" s="148">
        <f t="shared" ref="AL41" si="177">AF41/Q41</f>
        <v>1.0019315383571488</v>
      </c>
      <c r="AM41" s="148">
        <f t="shared" ref="AM41" si="178">AL41*SQRT((R41/Q41)^2+(AG41/AF41)^2)</f>
        <v>3.4811153420385558E-3</v>
      </c>
      <c r="AN41" s="139">
        <f>AF41/Q41</f>
        <v>1.0019315383571488</v>
      </c>
      <c r="AO41" s="143">
        <f t="shared" ref="AO41" si="179">AN41*SQRT((R41/Q41)^2+(AG41/AF41)^2)</f>
        <v>3.4811153420385558E-3</v>
      </c>
      <c r="AP41" s="139" t="str">
        <f t="shared" ref="AP41" si="180">ThU_Alter_Kombi(AN41,U41)</f>
        <v>Out of range</v>
      </c>
      <c r="AQ41" s="139" t="e">
        <f t="shared" si="136"/>
        <v>#VALUE!</v>
      </c>
      <c r="AR41" s="139" t="e">
        <f>(AQ41/AP41)*100</f>
        <v>#VALUE!</v>
      </c>
      <c r="AS41" s="147">
        <f t="shared" si="137"/>
        <v>2.1289548893807046E-5</v>
      </c>
      <c r="AT41" s="147">
        <f t="shared" si="138"/>
        <v>8.6490610685846129E-8</v>
      </c>
      <c r="AU41" s="139">
        <v>0.75</v>
      </c>
      <c r="AV41" s="139">
        <f t="shared" ref="AV41" si="181">AU41/2</f>
        <v>0.375</v>
      </c>
      <c r="AW41" s="139" t="str">
        <f t="shared" si="139"/>
        <v>Out of range</v>
      </c>
      <c r="AX41" s="149">
        <f t="shared" si="140"/>
        <v>254.9847725736</v>
      </c>
      <c r="AY41" s="149" t="e">
        <f t="shared" si="141"/>
        <v>#VALUE!</v>
      </c>
      <c r="AZ41" s="150" t="e">
        <f t="shared" si="142"/>
        <v>#VALUE!</v>
      </c>
      <c r="BA41" s="139" t="str">
        <f>Input!B41</f>
        <v>Hu1-13</v>
      </c>
      <c r="BB41" s="151">
        <f>Input!E41</f>
        <v>0</v>
      </c>
      <c r="BC41" s="139" t="e">
        <f>((U41-1)*EXP(Constants!$B$17*AW41*1000))*1000</f>
        <v>#VALUE!</v>
      </c>
      <c r="BD41" s="145" t="e">
        <f>SQRT((EXP(Constants!$B$17*AW41*1000)*V41)^2+((U41-1)*Constants!$B$17*EXP(Constants!$B$17*AW41*1000)*AY41*1000)^2)*1000</f>
        <v>#VALUE!</v>
      </c>
      <c r="BE41" s="139" t="e">
        <f t="shared" si="143"/>
        <v>#VALUE!</v>
      </c>
      <c r="BF41" s="152" t="e">
        <f t="shared" si="144"/>
        <v>#VALUE!</v>
      </c>
      <c r="BG41" s="161" t="e">
        <f t="shared" si="145"/>
        <v>#VALUE!</v>
      </c>
      <c r="BH41" s="139"/>
      <c r="BI41" s="18"/>
      <c r="BJ41" s="18"/>
      <c r="BK41" s="18"/>
      <c r="BL41" s="18"/>
      <c r="BM41" s="18"/>
      <c r="BN41" s="160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10899</v>
      </c>
      <c r="B42" s="18" t="str">
        <f>Input!B42</f>
        <v>RuWa51_3_20</v>
      </c>
      <c r="C42" s="18">
        <f>Input!O42</f>
        <v>5.0474092907712782</v>
      </c>
      <c r="D42" s="18">
        <f>C42*Input!P42/100</f>
        <v>3.3686393364568593E-2</v>
      </c>
      <c r="E42" s="153">
        <f>Input!M42</f>
        <v>6.7815980342498765</v>
      </c>
      <c r="F42" s="154">
        <f>E42*Input!N42/100</f>
        <v>6.1144164998824541E-4</v>
      </c>
      <c r="G42" s="21">
        <f>E42*137.88</f>
        <v>935.04673696237296</v>
      </c>
      <c r="H42" s="154">
        <f>G42*Input!L42/100</f>
        <v>7.8187208119771215E-2</v>
      </c>
      <c r="I42" s="18">
        <v>0.3</v>
      </c>
      <c r="J42" s="130">
        <f>(((C42*Constants!$B$24*0.000000001*Input!G42*(Constants!$B$4/Constants!$B$3))-(I42*0.000000000000001))/Input!F42)*1000000000000</f>
        <v>199.40439517614095</v>
      </c>
      <c r="K42" s="18">
        <f>J42*Input!P42/100</f>
        <v>1.3308242917429294</v>
      </c>
      <c r="L42" s="135">
        <f>(J42/Constants!$B$4)*602200000000*Constants!$B$17/(365.2425*24*60)</f>
        <v>2.7529990770656894</v>
      </c>
      <c r="M42" s="133">
        <f>L42*Input!P42/100</f>
        <v>1.8373506981471284E-2</v>
      </c>
      <c r="N42" s="18">
        <v>5.0000000000000001E-3</v>
      </c>
      <c r="O42" s="130">
        <f>(((G42*Constants!$B$23*0.000000001*Input!G42*(Constants!$B$7/Constants!$B$6))-(N42*0.000000001))/Input!F42)*1000000</f>
        <v>3.7211889075301046</v>
      </c>
      <c r="P42" s="18">
        <f>O42*Input!N42/100</f>
        <v>3.355093997088898E-4</v>
      </c>
      <c r="Q42" s="131">
        <f>(O42/Constants!$B$7)*602200000000000000*Constants!$B$18/(365.2425*24*60)</f>
        <v>2.776456290083348</v>
      </c>
      <c r="R42" s="132">
        <f>Q42*Input!N42/100</f>
        <v>2.5033052778342438E-4</v>
      </c>
      <c r="S42" s="133">
        <f>Input!S42*Constants!$B$17/Constants!$B$18</f>
        <v>0.96075961553894396</v>
      </c>
      <c r="T42" s="18">
        <f>S42*Input!T42/100</f>
        <v>7.3021861717563756E-4</v>
      </c>
      <c r="U42" s="18">
        <f>S42*1/((U41+U43)/2)</f>
        <v>0.96201442928413239</v>
      </c>
      <c r="V42" s="18">
        <f>U42*Input!T42/100</f>
        <v>7.3117232957466518E-4</v>
      </c>
      <c r="W42" s="134">
        <v>3.0000000000000001E-3</v>
      </c>
      <c r="X42" s="130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0.46564720519399655</v>
      </c>
      <c r="Y42" s="130">
        <f>X42*Input!X42/100</f>
        <v>1.2844916905453514E-3</v>
      </c>
      <c r="Z42" s="130">
        <f>(X42/Constants!$B$11)*6.022E+23*0.000000001*Constants!$B$19/(365.2425*24*60)</f>
        <v>1.1367953657098516E-4</v>
      </c>
      <c r="AA42" s="130">
        <f>Z42*Input!X42/100</f>
        <v>3.1358594764816036E-7</v>
      </c>
      <c r="AB42" s="135">
        <v>0.05</v>
      </c>
      <c r="AC42" s="135">
        <v>0.9</v>
      </c>
      <c r="AD42" s="130">
        <f>(((Input!G42*Constants!$B$25*0.000000001*Input!U42*(Constants!$B$10/Constants!$B$9))-((AB42*0.000000000000001)+(Input!G42*AC42*0.000000000000001)))/Input!F42)*1000000000000</f>
        <v>55.324921256345547</v>
      </c>
      <c r="AE42" s="130">
        <f>AD42*Input!V42/100</f>
        <v>0.1598737716128068</v>
      </c>
      <c r="AF42" s="130">
        <f>(AD42/Constants!$B$10)*602200000000*Constants!$B$16/(365.2425*24*60)</f>
        <v>2.5253430134849522</v>
      </c>
      <c r="AG42" s="130">
        <f>AF42*Input!V42/100</f>
        <v>7.2975451751878207E-3</v>
      </c>
      <c r="AH42" s="18">
        <f>AF42/Z42</f>
        <v>22214.578715387768</v>
      </c>
      <c r="AI42" s="134">
        <f>AH42*SQRT((AG42/AF42)^2+(AA42/Z42)^2)</f>
        <v>88.746824721501667</v>
      </c>
      <c r="AJ42" s="133">
        <f t="shared" si="134"/>
        <v>-37.98557071586761</v>
      </c>
      <c r="AK42" s="134">
        <f>V42*1000</f>
        <v>0.73117232957466516</v>
      </c>
      <c r="AL42" s="134">
        <f>AF42/Q42</f>
        <v>0.90955619308854396</v>
      </c>
      <c r="AM42" s="134">
        <f>AL42*SQRT((R42/Q42)^2+(AG42/AF42)^2)</f>
        <v>2.6296457084876994E-3</v>
      </c>
      <c r="AN42" s="18">
        <f>AL42*1/((AN41+AN43)/2)</f>
        <v>0.90780273728076155</v>
      </c>
      <c r="AO42" s="130">
        <f>AN42*SQRT((R42/Q42)^2+(AG42/AF42)^2)</f>
        <v>2.6245762388111744E-3</v>
      </c>
      <c r="AP42" s="18">
        <f>ThU_Alter_Kombi(AN42,U42)</f>
        <v>341.60759999999999</v>
      </c>
      <c r="AQ42" s="18">
        <f t="shared" si="136"/>
        <v>8.4504000000000001</v>
      </c>
      <c r="AR42" s="155">
        <f>(AQ42/AP42)</f>
        <v>2.4737154559793167E-2</v>
      </c>
      <c r="AS42" s="132">
        <f t="shared" si="137"/>
        <v>4.0944111735889258E-5</v>
      </c>
      <c r="AT42" s="132">
        <f t="shared" si="138"/>
        <v>1.1300498681735448E-7</v>
      </c>
      <c r="AU42" s="18">
        <v>0.75</v>
      </c>
      <c r="AV42" s="18">
        <f>AU42/2</f>
        <v>0.375</v>
      </c>
      <c r="AW42" s="18">
        <f t="shared" si="139"/>
        <v>341.60379999999998</v>
      </c>
      <c r="AX42" s="136">
        <f t="shared" si="140"/>
        <v>7.9472121767999999</v>
      </c>
      <c r="AY42" s="136">
        <f t="shared" si="141"/>
        <v>7.7172305963638568</v>
      </c>
      <c r="AZ42" s="155">
        <f t="shared" si="142"/>
        <v>2.3264413852539113E-2</v>
      </c>
      <c r="BA42" s="18" t="str">
        <f>Input!B42</f>
        <v>RuWa51_3_20</v>
      </c>
      <c r="BB42" s="137">
        <f>Input!E42</f>
        <v>20</v>
      </c>
      <c r="BC42" s="18">
        <f>((U42-1)*EXP(Constants!$B$17*AW42*1000))*1000</f>
        <v>-99.607034483383359</v>
      </c>
      <c r="BD42" s="133">
        <f>SQRT((EXP(Constants!$B$17*AW42*1000)*V42)^2+((U42-1)*Constants!$B$17*EXP(Constants!$B$17*AW42*1000)*AY42*1000)^2)*1000</f>
        <v>2.8951473811299362</v>
      </c>
      <c r="BE42" s="18">
        <f t="shared" si="143"/>
        <v>341545.8</v>
      </c>
      <c r="BF42" s="138">
        <f t="shared" si="144"/>
        <v>3858.6152981819282</v>
      </c>
      <c r="BG42" s="20">
        <f t="shared" si="145"/>
        <v>2.2591173155462139</v>
      </c>
      <c r="BH42" s="18"/>
      <c r="BI42" s="18"/>
      <c r="BJ42" s="18"/>
      <c r="BK42" s="18"/>
      <c r="BL42" s="18"/>
      <c r="BM42" s="18"/>
      <c r="BN42" s="160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9">
        <f>Input!A43</f>
        <v>10815</v>
      </c>
      <c r="B43" s="139" t="str">
        <f>Input!B43</f>
        <v>Hu1-13</v>
      </c>
      <c r="C43" s="139">
        <f>Input!O43</f>
        <v>2.1169717081969126</v>
      </c>
      <c r="D43" s="139">
        <f>C43*Input!P43/100</f>
        <v>2.6332900039430805E-2</v>
      </c>
      <c r="E43" s="140">
        <f>Input!M43</f>
        <v>2.7315001443604054</v>
      </c>
      <c r="F43" s="141">
        <f>E43*Input!N43/100</f>
        <v>4.0865285252707646E-4</v>
      </c>
      <c r="G43" s="142">
        <f t="shared" ref="G43" si="182">E43*137.88</f>
        <v>376.61923990441267</v>
      </c>
      <c r="H43" s="141">
        <f>G43*Input!L43/100</f>
        <v>2.9354686620523859E-2</v>
      </c>
      <c r="I43" s="139">
        <v>0</v>
      </c>
      <c r="J43" s="143">
        <f>(((C43*Constants!$B$24*0.000000001*Input!G43*(Constants!$B$4/Constants!$B$3))-(I43*0.000000000000001))/Input!F43)*1000000000000</f>
        <v>764.30626347030238</v>
      </c>
      <c r="K43" s="139">
        <f>J43*Input!P43/100</f>
        <v>9.5071655221205518</v>
      </c>
      <c r="L43" s="144">
        <f>(J43/Constants!$B$4)*602200000000*Constants!$B$17/(365.2425*24*60)</f>
        <v>10.552096587793926</v>
      </c>
      <c r="M43" s="145">
        <f>L43*Input!P43/100</f>
        <v>0.13125697597983688</v>
      </c>
      <c r="N43" s="139">
        <v>0</v>
      </c>
      <c r="O43" s="143">
        <f>(((G43*Constants!$B$23*0.000000001*Input!G43*(Constants!$B$7/Constants!$B$6))-(N43*0.000000001))/Input!F43)*1000000</f>
        <v>13.697344152823225</v>
      </c>
      <c r="P43" s="139">
        <f>O43*Input!N43/100</f>
        <v>2.0492251379349482E-3</v>
      </c>
      <c r="Q43" s="146">
        <f>(O43/Constants!$B$7)*602200000000000000*Constants!$B$18/(365.2425*24*60)</f>
        <v>10.219872808280629</v>
      </c>
      <c r="R43" s="147">
        <f>Q43*Input!N43/100</f>
        <v>1.5289694141845647E-3</v>
      </c>
      <c r="S43" s="145">
        <f>Input!S43*Constants!$B$17/Constants!$B$18</f>
        <v>0.99869563937193517</v>
      </c>
      <c r="T43" s="139">
        <f>S43*Input!T43/100</f>
        <v>2.1450253940378718E-3</v>
      </c>
      <c r="U43" s="145">
        <f>S43</f>
        <v>0.99869563937193517</v>
      </c>
      <c r="V43" s="139">
        <f>U43*Input!T43/100</f>
        <v>2.1450253940378718E-3</v>
      </c>
      <c r="W43" s="148">
        <v>0</v>
      </c>
      <c r="X43" s="143">
        <f>(((Constants!$B$25*0.000000001*Input!G43/Input!W43*(Constants!$B$11/Constants!$B$9))-(W43*0.000000001))/Input!F43)*1000000000</f>
        <v>0.89122355474814441</v>
      </c>
      <c r="Y43" s="143">
        <f>X43*Input!X43/100</f>
        <v>3.6182159237455659E-3</v>
      </c>
      <c r="Z43" s="143">
        <f>(X43/Constants!$B$11)*6.022E+23*0.000000001*Constants!$B$19/(365.2425*24*60)</f>
        <v>2.1757648184037956E-4</v>
      </c>
      <c r="AA43" s="143">
        <f>Z43*Input!X43/100</f>
        <v>8.8332347931475979E-7</v>
      </c>
      <c r="AB43" s="144">
        <v>0</v>
      </c>
      <c r="AC43" s="144">
        <v>0.9</v>
      </c>
      <c r="AD43" s="143">
        <f>(((Input!G43*Constants!$B$25*0.000000001*Input!U43*(Constants!$B$10/Constants!$B$9))-((AB43*0.000000000000001)+(Input!G43*AC43*0.000000000000001)))/Input!F43)*1000000000000</f>
        <v>224.32824907813736</v>
      </c>
      <c r="AE43" s="143">
        <f>AD43*Input!V43/100</f>
        <v>0.7786841491591826</v>
      </c>
      <c r="AF43" s="143">
        <f>(AD43/Constants!$B$10)*602200000000*Constants!$B$16/(365.2425*24*60)</f>
        <v>10.239612884615005</v>
      </c>
      <c r="AG43" s="143">
        <f>AF43*Input!V43/100</f>
        <v>3.5543558510986097E-2</v>
      </c>
      <c r="AH43" s="139">
        <f t="shared" ref="AH43" si="183">AF43/Z43</f>
        <v>47062.1309711547</v>
      </c>
      <c r="AI43" s="148">
        <f t="shared" ref="AI43" si="184">AH43*SQRT((AG43/AF43)^2+(AA43/Z43)^2)</f>
        <v>251.38104686392086</v>
      </c>
      <c r="AJ43" s="145">
        <f t="shared" si="134"/>
        <v>-1.3043606280648268</v>
      </c>
      <c r="AK43" s="148">
        <f t="shared" ref="AK43" si="185">V43*1000</f>
        <v>2.1450253940378716</v>
      </c>
      <c r="AL43" s="148">
        <f t="shared" ref="AL43" si="186">AF43/Q43</f>
        <v>1.0019315383571488</v>
      </c>
      <c r="AM43" s="148">
        <f t="shared" ref="AM43" si="187">AL43*SQRT((R43/Q43)^2+(AG43/AF43)^2)</f>
        <v>3.4811153420385558E-3</v>
      </c>
      <c r="AN43" s="139">
        <f>AF43/Q43</f>
        <v>1.0019315383571488</v>
      </c>
      <c r="AO43" s="143">
        <f t="shared" ref="AO43" si="188">AN43*SQRT((R43/Q43)^2+(AG43/AF43)^2)</f>
        <v>3.4811153420385558E-3</v>
      </c>
      <c r="AP43" s="139" t="str">
        <f t="shared" ref="AP43" si="189">ThU_Alter_Kombi(AN43,U43)</f>
        <v>Out of range</v>
      </c>
      <c r="AQ43" s="139" t="e">
        <f t="shared" si="136"/>
        <v>#VALUE!</v>
      </c>
      <c r="AR43" s="139" t="e">
        <f>(AQ43/AP43)*100</f>
        <v>#VALUE!</v>
      </c>
      <c r="AS43" s="147">
        <f t="shared" si="137"/>
        <v>2.1289548893807046E-5</v>
      </c>
      <c r="AT43" s="147">
        <f t="shared" si="138"/>
        <v>8.6490610685846129E-8</v>
      </c>
      <c r="AU43" s="139">
        <v>0.75</v>
      </c>
      <c r="AV43" s="139">
        <f t="shared" ref="AV43" si="190">AU43/2</f>
        <v>0.375</v>
      </c>
      <c r="AW43" s="139" t="str">
        <f t="shared" si="139"/>
        <v>Out of range</v>
      </c>
      <c r="AX43" s="149">
        <f t="shared" si="140"/>
        <v>262.9444310655</v>
      </c>
      <c r="AY43" s="149" t="e">
        <f t="shared" si="141"/>
        <v>#VALUE!</v>
      </c>
      <c r="AZ43" s="150" t="e">
        <f t="shared" si="142"/>
        <v>#VALUE!</v>
      </c>
      <c r="BA43" s="139" t="str">
        <f>Input!B43</f>
        <v>Hu1-13</v>
      </c>
      <c r="BB43" s="151">
        <f>Input!E43</f>
        <v>0</v>
      </c>
      <c r="BC43" s="139" t="e">
        <f>((U43-1)*EXP(Constants!$B$17*AW43*1000))*1000</f>
        <v>#VALUE!</v>
      </c>
      <c r="BD43" s="145" t="e">
        <f>SQRT((EXP(Constants!$B$17*AW43*1000)*V43)^2+((U43-1)*Constants!$B$17*EXP(Constants!$B$17*AW43*1000)*AY43*1000)^2)*1000</f>
        <v>#VALUE!</v>
      </c>
      <c r="BE43" s="139" t="e">
        <f t="shared" si="143"/>
        <v>#VALUE!</v>
      </c>
      <c r="BF43" s="152" t="e">
        <f t="shared" si="144"/>
        <v>#VALUE!</v>
      </c>
      <c r="BG43" s="161" t="e">
        <f t="shared" si="145"/>
        <v>#VALUE!</v>
      </c>
      <c r="BH43" s="139"/>
      <c r="BI43" s="18"/>
      <c r="BJ43" s="18"/>
      <c r="BK43" s="18"/>
      <c r="BL43" s="18"/>
      <c r="BM43" s="18"/>
      <c r="BN43" s="160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9">
        <f>Input!A45</f>
        <v>10815</v>
      </c>
      <c r="B45" s="139" t="str">
        <f>Input!B45</f>
        <v>Hu1-13</v>
      </c>
      <c r="C45" s="139">
        <f>Input!O45</f>
        <v>2.0969058031035059</v>
      </c>
      <c r="D45" s="139">
        <f>C45*Input!P45/100</f>
        <v>2.3732417479615787E-2</v>
      </c>
      <c r="E45" s="140">
        <f>Input!M45</f>
        <v>2.7319896290707808</v>
      </c>
      <c r="F45" s="141">
        <f>E45*Input!N45/100</f>
        <v>3.3695882838605528E-4</v>
      </c>
      <c r="G45" s="142">
        <f>E45*137.88</f>
        <v>376.68673005627926</v>
      </c>
      <c r="H45" s="141">
        <f>G45*Input!L45/100</f>
        <v>2.6217733772186821E-2</v>
      </c>
      <c r="I45" s="139">
        <v>0</v>
      </c>
      <c r="J45" s="143">
        <f>(((C45*Constants!$B$24*0.000000001*Input!G45*(Constants!$B$4/Constants!$B$3))-(I45*0.000000000000001))/Input!F45)*1000000000000</f>
        <v>757.06171840354102</v>
      </c>
      <c r="K45" s="139">
        <f>J45*Input!P45/100</f>
        <v>8.5682936889184109</v>
      </c>
      <c r="L45" s="144">
        <f>(J45/Constants!$B$4)*602200000000*Constants!$B$17/(365.2425*24*60)</f>
        <v>10.452077599421388</v>
      </c>
      <c r="M45" s="145">
        <f>L45*Input!P45/100</f>
        <v>0.11829480787915228</v>
      </c>
      <c r="N45" s="139">
        <v>0</v>
      </c>
      <c r="O45" s="143">
        <f>(((G45*Constants!$B$23*0.000000001*Input!G45*(Constants!$B$7/Constants!$B$6))-(N45*0.000000001))/Input!F45)*1000000</f>
        <v>13.699798716316256</v>
      </c>
      <c r="P45" s="139">
        <f>O45*Input!N45/100</f>
        <v>1.6897092417385274E-3</v>
      </c>
      <c r="Q45" s="146">
        <f>(O45/Constants!$B$7)*602200000000000000*Constants!$B$18/(365.2425*24*60)</f>
        <v>10.22170420905575</v>
      </c>
      <c r="R45" s="147">
        <f>Q45*Input!N45/100</f>
        <v>1.2607271410337406E-3</v>
      </c>
      <c r="S45" s="145">
        <f>Input!S45*Constants!$B$17/Constants!$B$18</f>
        <v>1.0000831801665506</v>
      </c>
      <c r="T45" s="139">
        <f>S45*Input!T45/100</f>
        <v>1.6714127702693255E-3</v>
      </c>
      <c r="U45" s="145">
        <f>S45</f>
        <v>1.0000831801665506</v>
      </c>
      <c r="V45" s="139">
        <f>U45*Input!T45/100</f>
        <v>1.6714127702693255E-3</v>
      </c>
      <c r="W45" s="148">
        <v>0</v>
      </c>
      <c r="X45" s="143">
        <f>(((Constants!$B$25*0.000000001*Input!G45/Input!W45*(Constants!$B$11/Constants!$B$9))-(W45*0.000000001))/Input!F45)*1000000000</f>
        <v>0.87366295787734982</v>
      </c>
      <c r="Y45" s="143">
        <f>X45*Input!X45/100</f>
        <v>4.7577251956000257E-3</v>
      </c>
      <c r="Z45" s="143">
        <f>(X45/Constants!$B$11)*6.022E+23*0.000000001*Constants!$B$19/(365.2425*24*60)</f>
        <v>2.1328937243241016E-4</v>
      </c>
      <c r="AA45" s="143">
        <f>Z45*Input!X45/100</f>
        <v>1.161514531462893E-6</v>
      </c>
      <c r="AB45" s="144">
        <v>0</v>
      </c>
      <c r="AC45" s="144">
        <v>0.9</v>
      </c>
      <c r="AD45" s="143">
        <f>(((Input!G45*Constants!$B$25*0.000000001*Input!U45*(Constants!$B$10/Constants!$B$9))-((AB45*0.000000000000001)+(Input!G45*AC45*0.000000000000001)))/Input!F45)*1000000000000</f>
        <v>223.38152037129666</v>
      </c>
      <c r="AE45" s="143">
        <f>AD45*Input!V45/100</f>
        <v>0.52345846532780105</v>
      </c>
      <c r="AF45" s="143">
        <f>(AD45/Constants!$B$10)*602200000000*Constants!$B$16/(365.2425*24*60)</f>
        <v>10.196398819936842</v>
      </c>
      <c r="AG45" s="143">
        <f>AF45*Input!V45/100</f>
        <v>2.3893611563224754E-2</v>
      </c>
      <c r="AH45" s="139">
        <f>AF45/Z45</f>
        <v>47805.470585122595</v>
      </c>
      <c r="AI45" s="148">
        <f>AH45*SQRT((AG45/AF45)^2+(AA45/Z45)^2)</f>
        <v>283.414753228319</v>
      </c>
      <c r="AJ45" s="145">
        <f t="shared" ref="AJ45:AJ55" si="191">(U45-1)*1000</f>
        <v>8.3180166550622658E-2</v>
      </c>
      <c r="AK45" s="148">
        <f>V45*1000</f>
        <v>1.6714127702693256</v>
      </c>
      <c r="AL45" s="148">
        <f>AF45/Q45</f>
        <v>0.99752434734938933</v>
      </c>
      <c r="AM45" s="148">
        <f>AL45*SQRT((R45/Q45)^2+(AG45/AF45)^2)</f>
        <v>2.3407725688143243E-3</v>
      </c>
      <c r="AN45" s="139">
        <f>AF45/Q45</f>
        <v>0.99752434734938933</v>
      </c>
      <c r="AO45" s="143">
        <f>AN45*SQRT((R45/Q45)^2+(AG45/AF45)^2)</f>
        <v>2.3407725688143243E-3</v>
      </c>
      <c r="AP45" s="139">
        <f t="shared" ref="AP45" si="192">ThU_Alter_Kombi(AN45,U45)</f>
        <v>649.3193</v>
      </c>
      <c r="AQ45" s="139" t="e">
        <f t="shared" ref="AQ45:AQ55" si="193">Montealter(AN45,AO45,U45,V45)</f>
        <v>#VALUE!</v>
      </c>
      <c r="AR45" s="139" t="e">
        <f>(AQ45/AP45)*100</f>
        <v>#VALUE!</v>
      </c>
      <c r="AS45" s="147">
        <f t="shared" ref="AS45:AS55" si="194">Z45/Q45</f>
        <v>2.0866322099542852E-5</v>
      </c>
      <c r="AT45" s="147">
        <f t="shared" ref="AT45:AT55" si="195">AS45*SQRT((Y45/X45)^2+(P45/O45)^2)</f>
        <v>1.1366132061676204E-7</v>
      </c>
      <c r="AU45" s="139">
        <v>0.75</v>
      </c>
      <c r="AV45" s="139">
        <f>AU45/2</f>
        <v>0.375</v>
      </c>
      <c r="AW45" s="139">
        <f t="shared" ref="AW45:AW55" si="196">marincorr_age(AN45,U45,AS45,AU45)</f>
        <v>649.31759999999997</v>
      </c>
      <c r="AX45" s="149">
        <f t="shared" ref="AX45:AX55" si="197">marincorr_age_error(AN45, AO45, U45, V45, AS45, AT45, AU45, AV45)</f>
        <v>292.50652690769999</v>
      </c>
      <c r="AY45" s="149">
        <f t="shared" ref="AY45:AY55" si="198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139.2317622573936</v>
      </c>
      <c r="AZ45" s="150">
        <f t="shared" ref="AZ45:AZ55" si="199">AX45/AW45</f>
        <v>0.45048297921956837</v>
      </c>
      <c r="BA45" s="139" t="str">
        <f>Input!B45</f>
        <v>Hu1-13</v>
      </c>
      <c r="BB45" s="151">
        <f>Input!E45</f>
        <v>0</v>
      </c>
      <c r="BC45" s="139">
        <f>((U45-1)*EXP(Constants!$B$17*AW45*1000))*1000</f>
        <v>0.51978858565678665</v>
      </c>
      <c r="BD45" s="145">
        <f>SQRT((EXP(Constants!$B$17*AW45*1000)*V45)^2+((U45-1)*Constants!$B$17*EXP(Constants!$B$17*AW45*1000)*AY45*1000)^2)*1000</f>
        <v>10.446569140722556</v>
      </c>
      <c r="BE45" s="139">
        <f t="shared" ref="BE45:BE55" si="200">AW45*1000-58</f>
        <v>649259.6</v>
      </c>
      <c r="BF45" s="152">
        <f t="shared" ref="BF45:BF55" si="201">AY45/2*1000</f>
        <v>69615.881128696798</v>
      </c>
      <c r="BG45" s="161">
        <f t="shared" ref="BG45:BG55" si="202">AY45/AW45*100</f>
        <v>21.442782739508925</v>
      </c>
      <c r="BH45" s="139"/>
      <c r="BI45" s="18"/>
      <c r="BJ45" s="18"/>
      <c r="BK45" s="18"/>
      <c r="BL45" s="18"/>
      <c r="BM45" s="18"/>
      <c r="BN45" s="160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10909</v>
      </c>
      <c r="B46" s="18" t="str">
        <f>Input!B46</f>
        <v>M43_401_14_5B_Base</v>
      </c>
      <c r="C46" s="18">
        <f>Input!O46</f>
        <v>1.1801257510234429</v>
      </c>
      <c r="D46" s="18">
        <f>C46*Input!P46/100</f>
        <v>7.5497128820028693E-3</v>
      </c>
      <c r="E46" s="153">
        <f>Input!M46</f>
        <v>0.72103688330087556</v>
      </c>
      <c r="F46" s="154">
        <f>E46*Input!N46/100</f>
        <v>8.7660931230532909E-5</v>
      </c>
      <c r="G46" s="21">
        <f>E46*137.88</f>
        <v>99.416565469524713</v>
      </c>
      <c r="H46" s="154">
        <f>G46*Input!L46/100</f>
        <v>2.088583757275695E-2</v>
      </c>
      <c r="I46" s="18">
        <v>0.3</v>
      </c>
      <c r="J46" s="130">
        <f>(((C46*Constants!$B$24*0.000000001*Input!G46*(Constants!$B$4/Constants!$B$3))-(I46*0.000000000000001))/Input!F46)*1000000000000</f>
        <v>41.913331522271093</v>
      </c>
      <c r="K46" s="18">
        <f>J46*Input!P46/100</f>
        <v>0.26813550898870364</v>
      </c>
      <c r="L46" s="135">
        <f>(J46/Constants!$B$4)*602200000000*Constants!$B$17/(365.2425*24*60)</f>
        <v>0.57866007865892255</v>
      </c>
      <c r="M46" s="133">
        <f>L46*Input!P46/100</f>
        <v>3.7019084164237326E-3</v>
      </c>
      <c r="N46" s="18">
        <v>5.0000000000000001E-3</v>
      </c>
      <c r="O46" s="130">
        <f>(((G46*Constants!$B$23*0.000000001*Input!G46*(Constants!$B$7/Constants!$B$6))-(N46*0.000000001))/Input!F46)*1000000</f>
        <v>0.35566093988063374</v>
      </c>
      <c r="P46" s="18">
        <f>O46*Input!N46/100</f>
        <v>4.3239908962123238E-5</v>
      </c>
      <c r="Q46" s="131">
        <f>(O46/Constants!$B$7)*602200000000000000*Constants!$B$18/(365.2425*24*60)</f>
        <v>0.26536601022063333</v>
      </c>
      <c r="R46" s="132">
        <f>Q46*Input!N46/100</f>
        <v>3.2262193670840172E-5</v>
      </c>
      <c r="S46" s="133">
        <f>Input!S46*Constants!$B$17/Constants!$B$18</f>
        <v>2.1737480739158332</v>
      </c>
      <c r="T46" s="18">
        <f>S46*Input!T46/100</f>
        <v>4.0835203451473016E-3</v>
      </c>
      <c r="U46" s="18">
        <f>S46*1/((U45+U47)/2)</f>
        <v>2.1750270158264957</v>
      </c>
      <c r="V46" s="18">
        <f>U46*Input!T46/100</f>
        <v>4.0859229167125718E-3</v>
      </c>
      <c r="W46" s="134">
        <v>3.0000000000000001E-3</v>
      </c>
      <c r="X46" s="130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0.10160221082926885</v>
      </c>
      <c r="Y46" s="130">
        <f>X46*Input!X46/100</f>
        <v>7.5248768065357098E-4</v>
      </c>
      <c r="Z46" s="130">
        <f>(X46/Constants!$B$11)*6.022E+23*0.000000001*Constants!$B$19/(365.2425*24*60)</f>
        <v>2.480438433394408E-5</v>
      </c>
      <c r="AA46" s="130">
        <f>Z46*Input!X46/100</f>
        <v>1.8370656981917238E-7</v>
      </c>
      <c r="AB46" s="135">
        <v>0.05</v>
      </c>
      <c r="AC46" s="135">
        <v>0.9</v>
      </c>
      <c r="AD46" s="130">
        <f>(((Input!G46*Constants!$B$25*0.000000001*Input!U46*(Constants!$B$10/Constants!$B$9))-((AB46*0.000000000000001)+(Input!G46*AC46*0.000000000000001)))/Input!F46)*1000000000000</f>
        <v>7.2277423009415322</v>
      </c>
      <c r="AE46" s="130">
        <f>AD46*Input!V46/100</f>
        <v>2.4895921327153826E-2</v>
      </c>
      <c r="AF46" s="130">
        <f>(AD46/Constants!$B$10)*602200000000*Constants!$B$16/(365.2425*24*60)</f>
        <v>0.32991512881473567</v>
      </c>
      <c r="AG46" s="130">
        <f>AF46*Input!V46/100</f>
        <v>1.1363909710144938E-3</v>
      </c>
      <c r="AH46" s="18">
        <f>AF46/Z46</f>
        <v>13300.677991965171</v>
      </c>
      <c r="AI46" s="134">
        <f>AH46*SQRT((AG46/AF46)^2+(AA46/Z46)^2)</f>
        <v>108.64019966474144</v>
      </c>
      <c r="AJ46" s="133">
        <f t="shared" si="191"/>
        <v>1175.0270158264957</v>
      </c>
      <c r="AK46" s="134">
        <f>V46*1000</f>
        <v>4.0859229167125717</v>
      </c>
      <c r="AL46" s="134">
        <f>AF46/Q46</f>
        <v>1.2432456158964529</v>
      </c>
      <c r="AM46" s="134">
        <f>AL46*SQRT((R46/Q46)^2+(AG46/AF46)^2)</f>
        <v>4.2850197886019122E-3</v>
      </c>
      <c r="AN46" s="18">
        <f>AL46*1/((AN45+AN47)/2)</f>
        <v>1.2427736145297283</v>
      </c>
      <c r="AO46" s="130">
        <f>AN46*SQRT((R46/Q46)^2+(AG46/AF46)^2)</f>
        <v>4.2833929699179771E-3</v>
      </c>
      <c r="AP46" s="18">
        <f>ThU_Alter_Kombi(AN46,U46)</f>
        <v>84.387799999999999</v>
      </c>
      <c r="AQ46" s="18">
        <f t="shared" si="193"/>
        <v>0.46339999999999998</v>
      </c>
      <c r="AR46" s="155">
        <f>(AQ46/AP46)</f>
        <v>5.4913150953099857E-3</v>
      </c>
      <c r="AS46" s="132">
        <f t="shared" si="194"/>
        <v>9.3472349052242841E-5</v>
      </c>
      <c r="AT46" s="132">
        <f t="shared" si="195"/>
        <v>6.9236945371884613E-7</v>
      </c>
      <c r="AU46" s="18">
        <v>0.75</v>
      </c>
      <c r="AV46" s="18">
        <f>AU46/2</f>
        <v>0.375</v>
      </c>
      <c r="AW46" s="18">
        <f t="shared" si="196"/>
        <v>84.384699999999995</v>
      </c>
      <c r="AX46" s="136">
        <f t="shared" si="197"/>
        <v>0.51775923459999995</v>
      </c>
      <c r="AY46" s="136">
        <f t="shared" si="198"/>
        <v>0.46815780022447206</v>
      </c>
      <c r="AZ46" s="155">
        <f t="shared" si="199"/>
        <v>6.1357003651135809E-3</v>
      </c>
      <c r="BA46" s="18" t="str">
        <f>Input!B46</f>
        <v>M43_401_14_5B_Base</v>
      </c>
      <c r="BB46" s="137">
        <f>Input!E46</f>
        <v>0</v>
      </c>
      <c r="BC46" s="18">
        <f>((U46-1)*EXP(Constants!$B$17*AW46*1000))*1000</f>
        <v>1490.9743404447327</v>
      </c>
      <c r="BD46" s="133">
        <f>SQRT((EXP(Constants!$B$17*AW46*1000)*V46)^2+((U46-1)*Constants!$B$17*EXP(Constants!$B$17*AW46*1000)*AY46*1000)^2)*1000</f>
        <v>5.5461665468920769</v>
      </c>
      <c r="BE46" s="18">
        <f t="shared" si="200"/>
        <v>84326.7</v>
      </c>
      <c r="BF46" s="138">
        <f t="shared" si="201"/>
        <v>234.07890011223603</v>
      </c>
      <c r="BG46" s="20">
        <f t="shared" si="202"/>
        <v>0.55478990886318502</v>
      </c>
      <c r="BH46" s="18"/>
      <c r="BI46" s="18"/>
      <c r="BJ46" s="18"/>
      <c r="BK46" s="18"/>
      <c r="BL46" s="18"/>
      <c r="BM46" s="18"/>
      <c r="BN46" s="160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9">
        <f>Input!A47</f>
        <v>10815</v>
      </c>
      <c r="B47" s="139" t="str">
        <f>Input!B47</f>
        <v>Hu1-13</v>
      </c>
      <c r="C47" s="139">
        <f>Input!O47</f>
        <v>2.1076453659297796</v>
      </c>
      <c r="D47" s="139">
        <f>C47*Input!P47/100</f>
        <v>2.2078799668686769E-2</v>
      </c>
      <c r="E47" s="140">
        <f>Input!M47</f>
        <v>2.7326245378589227</v>
      </c>
      <c r="F47" s="141">
        <f>E47*Input!N47/100</f>
        <v>3.819129864459245E-4</v>
      </c>
      <c r="G47" s="142">
        <f t="shared" ref="G47" si="203">E47*137.88</f>
        <v>376.77427127998823</v>
      </c>
      <c r="H47" s="141">
        <f>G47*Input!L47/100</f>
        <v>2.3795078609885025E-2</v>
      </c>
      <c r="I47" s="139">
        <v>0</v>
      </c>
      <c r="J47" s="143">
        <f>(((C47*Constants!$B$24*0.000000001*Input!G47*(Constants!$B$4/Constants!$B$3))-(I47*0.000000000000001))/Input!F47)*1000000000000</f>
        <v>760.9391037758968</v>
      </c>
      <c r="K47" s="139">
        <f>J47*Input!P47/100</f>
        <v>7.9712755779132456</v>
      </c>
      <c r="L47" s="144">
        <f>(J47/Constants!$B$4)*602200000000*Constants!$B$17/(365.2425*24*60)</f>
        <v>10.50560920960528</v>
      </c>
      <c r="M47" s="145">
        <f>L47*Input!P47/100</f>
        <v>0.11005230997865781</v>
      </c>
      <c r="N47" s="139">
        <v>0</v>
      </c>
      <c r="O47" s="143">
        <f>(((G47*Constants!$B$23*0.000000001*Input!G47*(Constants!$B$7/Constants!$B$6))-(N47*0.000000001))/Input!F47)*1000000</f>
        <v>13.702982521447948</v>
      </c>
      <c r="P47" s="139">
        <f>O47*Input!N47/100</f>
        <v>1.9151357625160404E-3</v>
      </c>
      <c r="Q47" s="146">
        <f>(O47/Constants!$B$7)*602200000000000000*Constants!$B$18/(365.2425*24*60)</f>
        <v>10.224079712155419</v>
      </c>
      <c r="R47" s="147">
        <f>Q47*Input!N47/100</f>
        <v>1.4289225476947145E-3</v>
      </c>
      <c r="S47" s="145">
        <f>Input!S47*Constants!$B$17/Constants!$B$18</f>
        <v>0.99874079590238418</v>
      </c>
      <c r="T47" s="139">
        <f>S47*Input!T47/100</f>
        <v>1.6289030720414593E-3</v>
      </c>
      <c r="U47" s="145">
        <f>S47</f>
        <v>0.99874079590238418</v>
      </c>
      <c r="V47" s="139">
        <f>U47*Input!T47/100</f>
        <v>1.6289030720414593E-3</v>
      </c>
      <c r="W47" s="148">
        <v>0</v>
      </c>
      <c r="X47" s="143">
        <f>(((Constants!$B$25*0.000000001*Input!G47/Input!W47*(Constants!$B$11/Constants!$B$9))-(W47*0.000000001))/Input!F47)*1000000000</f>
        <v>0.86903499298929132</v>
      </c>
      <c r="Y47" s="143">
        <f>X47*Input!X47/100</f>
        <v>5.5839796114856557E-3</v>
      </c>
      <c r="Z47" s="143">
        <f>(X47/Constants!$B$11)*6.022E+23*0.000000001*Constants!$B$19/(365.2425*24*60)</f>
        <v>2.1215953658700425E-4</v>
      </c>
      <c r="AA47" s="143">
        <f>Z47*Input!X47/100</f>
        <v>1.3632299461371346E-6</v>
      </c>
      <c r="AB47" s="144">
        <v>0</v>
      </c>
      <c r="AC47" s="144">
        <v>0.9</v>
      </c>
      <c r="AD47" s="143">
        <f>(((Input!G47*Constants!$B$25*0.000000001*Input!U47*(Constants!$B$10/Constants!$B$9))-((AB47*0.000000000000001)+(Input!G47*AC47*0.000000000000001)))/Input!F47)*1000000000000</f>
        <v>224.7126062898522</v>
      </c>
      <c r="AE47" s="143">
        <f>AD47*Input!V47/100</f>
        <v>0.64738326221195042</v>
      </c>
      <c r="AF47" s="143">
        <f>(AD47/Constants!$B$10)*602200000000*Constants!$B$16/(365.2425*24*60)</f>
        <v>10.25715712647283</v>
      </c>
      <c r="AG47" s="143">
        <f>AF47*Input!V47/100</f>
        <v>2.9550241756313985E-2</v>
      </c>
      <c r="AH47" s="139">
        <f t="shared" ref="AH47" si="204">AF47/Z47</f>
        <v>48346.434440228353</v>
      </c>
      <c r="AI47" s="148">
        <f t="shared" ref="AI47" si="205">AH47*SQRT((AG47/AF47)^2+(AA47/Z47)^2)</f>
        <v>340.44537704798125</v>
      </c>
      <c r="AJ47" s="145">
        <f t="shared" si="191"/>
        <v>-1.2592040976158181</v>
      </c>
      <c r="AK47" s="148">
        <f t="shared" ref="AK47" si="206">V47*1000</f>
        <v>1.6289030720414592</v>
      </c>
      <c r="AL47" s="148">
        <f t="shared" ref="AL47" si="207">AF47/Q47</f>
        <v>1.0032352461295939</v>
      </c>
      <c r="AM47" s="148">
        <f t="shared" ref="AM47" si="208">AL47*SQRT((R47/Q47)^2+(AG47/AF47)^2)</f>
        <v>2.8936583373674351E-3</v>
      </c>
      <c r="AN47" s="139">
        <f>AF47/Q47</f>
        <v>1.0032352461295939</v>
      </c>
      <c r="AO47" s="143">
        <f t="shared" ref="AO47" si="209">AN47*SQRT((R47/Q47)^2+(AG47/AF47)^2)</f>
        <v>2.8936583373674351E-3</v>
      </c>
      <c r="AP47" s="139" t="str">
        <f t="shared" ref="AP47" si="210">ThU_Alter_Kombi(AN47,U47)</f>
        <v>Out of range</v>
      </c>
      <c r="AQ47" s="139" t="e">
        <f t="shared" si="193"/>
        <v>#VALUE!</v>
      </c>
      <c r="AR47" s="139" t="e">
        <f>(AQ47/AP47)*100</f>
        <v>#VALUE!</v>
      </c>
      <c r="AS47" s="147">
        <f t="shared" si="194"/>
        <v>2.0750966596511134E-5</v>
      </c>
      <c r="AT47" s="147">
        <f t="shared" si="195"/>
        <v>1.3336675970452014E-7</v>
      </c>
      <c r="AU47" s="139">
        <v>0.75</v>
      </c>
      <c r="AV47" s="139">
        <f t="shared" ref="AV47" si="211">AU47/2</f>
        <v>0.375</v>
      </c>
      <c r="AW47" s="139" t="str">
        <f t="shared" si="196"/>
        <v>Out of range</v>
      </c>
      <c r="AX47" s="149">
        <f t="shared" si="197"/>
        <v>162.97707018240001</v>
      </c>
      <c r="AY47" s="149" t="e">
        <f t="shared" si="198"/>
        <v>#VALUE!</v>
      </c>
      <c r="AZ47" s="150" t="e">
        <f t="shared" si="199"/>
        <v>#VALUE!</v>
      </c>
      <c r="BA47" s="139" t="str">
        <f>Input!B47</f>
        <v>Hu1-13</v>
      </c>
      <c r="BB47" s="151">
        <f>Input!E47</f>
        <v>0</v>
      </c>
      <c r="BC47" s="139" t="e">
        <f>((U47-1)*EXP(Constants!$B$17*AW47*1000))*1000</f>
        <v>#VALUE!</v>
      </c>
      <c r="BD47" s="145" t="e">
        <f>SQRT((EXP(Constants!$B$17*AW47*1000)*V47)^2+((U47-1)*Constants!$B$17*EXP(Constants!$B$17*AW47*1000)*AY47*1000)^2)*1000</f>
        <v>#VALUE!</v>
      </c>
      <c r="BE47" s="139" t="e">
        <f t="shared" si="200"/>
        <v>#VALUE!</v>
      </c>
      <c r="BF47" s="152" t="e">
        <f t="shared" si="201"/>
        <v>#VALUE!</v>
      </c>
      <c r="BG47" s="161" t="e">
        <f t="shared" si="202"/>
        <v>#VALUE!</v>
      </c>
      <c r="BH47" s="139"/>
      <c r="BI47" s="18"/>
      <c r="BJ47" s="18"/>
      <c r="BK47" s="18"/>
      <c r="BL47" s="18"/>
      <c r="BM47" s="18"/>
      <c r="BN47" s="160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10910</v>
      </c>
      <c r="B48" s="18" t="str">
        <f>Input!B48</f>
        <v>M43_401_14_15_E</v>
      </c>
      <c r="C48" s="18">
        <f>Input!O48</f>
        <v>1.4519934666578802</v>
      </c>
      <c r="D48" s="18">
        <f>C48*Input!P48/100</f>
        <v>5.4587869463603063E-3</v>
      </c>
      <c r="E48" s="153">
        <f>Input!M48</f>
        <v>0.72032329374937076</v>
      </c>
      <c r="F48" s="154">
        <f>E48*Input!N48/100</f>
        <v>6.0304137241996438E-5</v>
      </c>
      <c r="G48" s="21">
        <f>E48*137.88</f>
        <v>99.318175742163234</v>
      </c>
      <c r="H48" s="154">
        <f>G48*Input!L48/100</f>
        <v>7.6665373481488823E-3</v>
      </c>
      <c r="I48" s="18">
        <v>0.3</v>
      </c>
      <c r="J48" s="130">
        <f>(((C48*Constants!$B$24*0.000000001*Input!G48*(Constants!$B$4/Constants!$B$3))-(I48*0.000000000000001))/Input!F48)*1000000000000</f>
        <v>75.617960421576427</v>
      </c>
      <c r="K48" s="18">
        <f>J48*Input!P48/100</f>
        <v>0.28428663402309357</v>
      </c>
      <c r="L48" s="135">
        <f>(J48/Constants!$B$4)*602200000000*Constants!$B$17/(365.2425*24*60)</f>
        <v>1.0439899033634659</v>
      </c>
      <c r="M48" s="133">
        <f>L48*Input!P48/100</f>
        <v>3.9248926303572882E-3</v>
      </c>
      <c r="N48" s="18">
        <v>5.0000000000000001E-3</v>
      </c>
      <c r="O48" s="130">
        <f>(((G48*Constants!$B$23*0.000000001*Input!G48*(Constants!$B$7/Constants!$B$6))-(N48*0.000000001))/Input!F48)*1000000</f>
        <v>0.52100141845247394</v>
      </c>
      <c r="P48" s="18">
        <f>O48*Input!N48/100</f>
        <v>4.3617277567264914E-5</v>
      </c>
      <c r="Q48" s="131">
        <f>(O48/Constants!$B$7)*602200000000000000*Constants!$B$18/(365.2425*24*60)</f>
        <v>0.38872997349786254</v>
      </c>
      <c r="R48" s="132">
        <f>Q48*Input!N48/100</f>
        <v>3.2543756220729906E-5</v>
      </c>
      <c r="S48" s="133">
        <f>Input!S48*Constants!$B$17/Constants!$B$18</f>
        <v>2.6736818131352238</v>
      </c>
      <c r="T48" s="18">
        <f>S48*Input!T48/100</f>
        <v>2.5077146758561352E-3</v>
      </c>
      <c r="U48" s="18">
        <f>S48*1/((U47+U49)/2)</f>
        <v>2.6749581310378621</v>
      </c>
      <c r="V48" s="18">
        <f>U48*Input!T48/100</f>
        <v>2.508911767117998E-3</v>
      </c>
      <c r="W48" s="134">
        <v>3.0000000000000001E-3</v>
      </c>
      <c r="X48" s="130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0.88104661370507709</v>
      </c>
      <c r="Y48" s="130">
        <f>X48*Input!X48/100</f>
        <v>1.8479692990908821E-3</v>
      </c>
      <c r="Z48" s="130">
        <f>(X48/Constants!$B$11)*6.022E+23*0.000000001*Constants!$B$19/(365.2425*24*60)</f>
        <v>2.1509196152417977E-4</v>
      </c>
      <c r="AA48" s="130">
        <f>Z48*Input!X48/100</f>
        <v>4.5114904841002626E-7</v>
      </c>
      <c r="AB48" s="135">
        <v>0.05</v>
      </c>
      <c r="AC48" s="135">
        <v>0.9</v>
      </c>
      <c r="AD48" s="130">
        <f>(((Input!G48*Constants!$B$25*0.000000001*Input!U48*(Constants!$B$10/Constants!$B$9))-((AB48*0.000000000000001)+(Input!G48*AC48*0.000000000000001)))/Input!F48)*1000000000000</f>
        <v>21.554575731869917</v>
      </c>
      <c r="AE48" s="130">
        <f>AD48*Input!V48/100</f>
        <v>4.5386320109507994E-2</v>
      </c>
      <c r="AF48" s="130">
        <f>(AD48/Constants!$B$10)*602200000000*Constants!$B$16/(365.2425*24*60)</f>
        <v>0.98387301774725588</v>
      </c>
      <c r="AG48" s="130">
        <f>AF48*Input!V48/100</f>
        <v>2.071688920536721E-3</v>
      </c>
      <c r="AH48" s="18">
        <f>AF48/Z48</f>
        <v>4574.1970586690331</v>
      </c>
      <c r="AI48" s="134">
        <f>AH48*SQRT((AG48/AF48)^2+(AA48/Z48)^2)</f>
        <v>13.594780214495124</v>
      </c>
      <c r="AJ48" s="133">
        <f t="shared" si="191"/>
        <v>1674.9581310378621</v>
      </c>
      <c r="AK48" s="134">
        <f>V48*1000</f>
        <v>2.5089117671179979</v>
      </c>
      <c r="AL48" s="134">
        <f>AF48/Q48</f>
        <v>2.5309934525866082</v>
      </c>
      <c r="AM48" s="134">
        <f>AL48*SQRT((R48/Q48)^2+(AG48/AF48)^2)</f>
        <v>5.3335884694824332E-3</v>
      </c>
      <c r="AN48" s="18">
        <f>AL48*1/((AN47+AN49)/2)</f>
        <v>2.5215293986936778</v>
      </c>
      <c r="AO48" s="130">
        <f>AN48*SQRT((R48/Q48)^2+(AG48/AF48)^2)</f>
        <v>5.3136447716169528E-3</v>
      </c>
      <c r="AP48" s="18">
        <f>ThU_Alter_Kombi(AN48,U48)</f>
        <v>190.21709999999999</v>
      </c>
      <c r="AQ48" s="18">
        <f t="shared" si="193"/>
        <v>0.83189999999999997</v>
      </c>
      <c r="AR48" s="155">
        <f>(AQ48/AP48)</f>
        <v>4.3734238404433672E-3</v>
      </c>
      <c r="AS48" s="132">
        <f t="shared" si="194"/>
        <v>5.5331972368568194E-4</v>
      </c>
      <c r="AT48" s="132">
        <f t="shared" si="195"/>
        <v>1.1614959038425291E-6</v>
      </c>
      <c r="AU48" s="18">
        <v>0.75</v>
      </c>
      <c r="AV48" s="18">
        <f>AU48/2</f>
        <v>0.375</v>
      </c>
      <c r="AW48" s="18">
        <f t="shared" si="196"/>
        <v>190.2054</v>
      </c>
      <c r="AX48" s="136">
        <f t="shared" si="197"/>
        <v>0.94918753950000001</v>
      </c>
      <c r="AY48" s="136">
        <f t="shared" si="198"/>
        <v>0.94927843873771123</v>
      </c>
      <c r="AZ48" s="155">
        <f t="shared" si="199"/>
        <v>4.9903290837168659E-3</v>
      </c>
      <c r="BA48" s="18" t="str">
        <f>Input!B48</f>
        <v>M43_401_14_15_E</v>
      </c>
      <c r="BB48" s="137">
        <f>Input!E48</f>
        <v>0</v>
      </c>
      <c r="BC48" s="18">
        <f>((U48-1)*EXP(Constants!$B$17*AW48*1000))*1000</f>
        <v>2864.9738413131454</v>
      </c>
      <c r="BD48" s="133">
        <f>SQRT((EXP(Constants!$B$17*AW48*1000)*V48)^2+((U48-1)*Constants!$B$17*EXP(Constants!$B$17*AW48*1000)*AY48*1000)^2)*1000</f>
        <v>8.7933259482982873</v>
      </c>
      <c r="BE48" s="18">
        <f t="shared" si="200"/>
        <v>190147.4</v>
      </c>
      <c r="BF48" s="138">
        <f t="shared" si="201"/>
        <v>474.63921936885561</v>
      </c>
      <c r="BG48" s="20">
        <f t="shared" si="202"/>
        <v>0.49908069841219616</v>
      </c>
      <c r="BH48" s="18"/>
      <c r="BI48" s="18"/>
      <c r="BJ48" s="18"/>
      <c r="BK48" s="18"/>
      <c r="BL48" s="18"/>
      <c r="BM48" s="18"/>
      <c r="BN48" s="160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9">
        <f>Input!A49</f>
        <v>10815</v>
      </c>
      <c r="B49" s="139" t="str">
        <f>Input!B49</f>
        <v>Hu1-13</v>
      </c>
      <c r="C49" s="139">
        <f>Input!O49</f>
        <v>2.11181250829897</v>
      </c>
      <c r="D49" s="139">
        <f>C49*Input!P49/100</f>
        <v>2.1796932218270049E-2</v>
      </c>
      <c r="E49" s="140">
        <f>Input!M49</f>
        <v>2.7323087004185846</v>
      </c>
      <c r="F49" s="141">
        <f>E49*Input!N49/100</f>
        <v>3.6014518186025404E-4</v>
      </c>
      <c r="G49" s="142">
        <f t="shared" ref="G49" si="212">E49*137.88</f>
        <v>376.73072361371442</v>
      </c>
      <c r="H49" s="141">
        <f>G49*Input!L49/100</f>
        <v>2.8904690488601989E-2</v>
      </c>
      <c r="I49" s="139">
        <v>0</v>
      </c>
      <c r="J49" s="143">
        <f>(((C49*Constants!$B$24*0.000000001*Input!G49*(Constants!$B$4/Constants!$B$3))-(I49*0.000000000000001))/Input!F49)*1000000000000</f>
        <v>762.443598616906</v>
      </c>
      <c r="K49" s="139">
        <f>J49*Input!P49/100</f>
        <v>7.8695108462506793</v>
      </c>
      <c r="L49" s="144">
        <f>(J49/Constants!$B$4)*602200000000*Constants!$B$17/(365.2425*24*60)</f>
        <v>10.526380431348359</v>
      </c>
      <c r="M49" s="145">
        <f>L49*Input!P49/100</f>
        <v>0.10864733486716434</v>
      </c>
      <c r="N49" s="139">
        <v>0</v>
      </c>
      <c r="O49" s="143">
        <f>(((G49*Constants!$B$23*0.000000001*Input!G49*(Constants!$B$7/Constants!$B$6))-(N49*0.000000001))/Input!F49)*1000000</f>
        <v>13.701398727236699</v>
      </c>
      <c r="P49" s="139">
        <f>O49*Input!N49/100</f>
        <v>1.8059792202852331E-3</v>
      </c>
      <c r="Q49" s="146">
        <f>(O49/Constants!$B$7)*602200000000000000*Constants!$B$18/(365.2425*24*60)</f>
        <v>10.222898010417266</v>
      </c>
      <c r="R49" s="147">
        <f>Q49*Input!N49/100</f>
        <v>1.3474785856138882E-3</v>
      </c>
      <c r="S49" s="145">
        <f>Input!S49*Constants!$B$17/Constants!$B$18</f>
        <v>1.0003049327856059</v>
      </c>
      <c r="T49" s="139">
        <f>S49*Input!T49/100</f>
        <v>2.0345521827358488E-3</v>
      </c>
      <c r="U49" s="145">
        <f>S49</f>
        <v>1.0003049327856059</v>
      </c>
      <c r="V49" s="139">
        <f>U49*Input!T49/100</f>
        <v>2.0345521827358488E-3</v>
      </c>
      <c r="W49" s="148">
        <v>0</v>
      </c>
      <c r="X49" s="143">
        <f>(((Constants!$B$25*0.000000001*Input!G49/Input!W49*(Constants!$B$11/Constants!$B$9))-(W49*0.000000001))/Input!F49)*1000000000</f>
        <v>0.87178445407295846</v>
      </c>
      <c r="Y49" s="143">
        <f>X49*Input!X49/100</f>
        <v>4.455295691791504E-3</v>
      </c>
      <c r="Z49" s="143">
        <f>(X49/Constants!$B$11)*6.022E+23*0.000000001*Constants!$B$19/(365.2425*24*60)</f>
        <v>2.1283076892411452E-4</v>
      </c>
      <c r="AA49" s="143">
        <f>Z49*Input!X49/100</f>
        <v>1.0876817124212277E-6</v>
      </c>
      <c r="AB49" s="144">
        <v>0</v>
      </c>
      <c r="AC49" s="144">
        <v>0.9</v>
      </c>
      <c r="AD49" s="143">
        <f>(((Input!G49*Constants!$B$25*0.000000001*Input!U49*(Constants!$B$10/Constants!$B$9))-((AB49*0.000000000000001)+(Input!G49*AC49*0.000000000000001)))/Input!F49)*1000000000000</f>
        <v>224.91868234899803</v>
      </c>
      <c r="AE49" s="143">
        <f>AD49*Input!V49/100</f>
        <v>0.71934720848211497</v>
      </c>
      <c r="AF49" s="143">
        <f>(AD49/Constants!$B$10)*602200000000*Constants!$B$16/(365.2425*24*60)</f>
        <v>10.266563605947047</v>
      </c>
      <c r="AG49" s="143">
        <f>AF49*Input!V49/100</f>
        <v>3.283508418915021E-2</v>
      </c>
      <c r="AH49" s="139">
        <f t="shared" ref="AH49" si="213">AF49/Z49</f>
        <v>48238.154933357509</v>
      </c>
      <c r="AI49" s="148">
        <f t="shared" ref="AI49" si="214">AH49*SQRT((AG49/AF49)^2+(AA49/Z49)^2)</f>
        <v>290.81857548873097</v>
      </c>
      <c r="AJ49" s="145">
        <f t="shared" si="191"/>
        <v>0.30493278560594916</v>
      </c>
      <c r="AK49" s="148">
        <f t="shared" ref="AK49" si="215">V49*1000</f>
        <v>2.0345521827358488</v>
      </c>
      <c r="AL49" s="148">
        <f t="shared" ref="AL49" si="216">AF49/Q49</f>
        <v>1.0042713519674447</v>
      </c>
      <c r="AM49" s="148">
        <f t="shared" ref="AM49" si="217">AL49*SQRT((R49/Q49)^2+(AG49/AF49)^2)</f>
        <v>3.2146420497872401E-3</v>
      </c>
      <c r="AN49" s="139">
        <f>AF49/Q49</f>
        <v>1.0042713519674447</v>
      </c>
      <c r="AO49" s="143">
        <f t="shared" ref="AO49" si="218">AN49*SQRT((R49/Q49)^2+(AG49/AF49)^2)</f>
        <v>3.2146420497872401E-3</v>
      </c>
      <c r="AP49" s="139" t="str">
        <f t="shared" ref="AP49" si="219">ThU_Alter_Kombi(AN49,U49)</f>
        <v>Out of range</v>
      </c>
      <c r="AQ49" s="139" t="e">
        <f t="shared" si="193"/>
        <v>#VALUE!</v>
      </c>
      <c r="AR49" s="139" t="e">
        <f>(AQ49/AP49)*100</f>
        <v>#VALUE!</v>
      </c>
      <c r="AS49" s="147">
        <f t="shared" si="194"/>
        <v>2.0819024967992167E-5</v>
      </c>
      <c r="AT49" s="147">
        <f t="shared" si="195"/>
        <v>1.0643199426315523E-7</v>
      </c>
      <c r="AU49" s="139">
        <v>0.75</v>
      </c>
      <c r="AV49" s="139">
        <f t="shared" ref="AV49" si="220">AU49/2</f>
        <v>0.375</v>
      </c>
      <c r="AW49" s="139" t="str">
        <f t="shared" si="196"/>
        <v>Out of range</v>
      </c>
      <c r="AX49" s="149">
        <f t="shared" si="197"/>
        <v>253.5840374977</v>
      </c>
      <c r="AY49" s="149" t="e">
        <f t="shared" si="198"/>
        <v>#VALUE!</v>
      </c>
      <c r="AZ49" s="150" t="e">
        <f t="shared" si="199"/>
        <v>#VALUE!</v>
      </c>
      <c r="BA49" s="139" t="str">
        <f>Input!B49</f>
        <v>Hu1-13</v>
      </c>
      <c r="BB49" s="151">
        <f>Input!E49</f>
        <v>0</v>
      </c>
      <c r="BC49" s="139" t="e">
        <f>((U49-1)*EXP(Constants!$B$17*AW49*1000))*1000</f>
        <v>#VALUE!</v>
      </c>
      <c r="BD49" s="145" t="e">
        <f>SQRT((EXP(Constants!$B$17*AW49*1000)*V49)^2+((U49-1)*Constants!$B$17*EXP(Constants!$B$17*AW49*1000)*AY49*1000)^2)*1000</f>
        <v>#VALUE!</v>
      </c>
      <c r="BE49" s="139" t="e">
        <f t="shared" si="200"/>
        <v>#VALUE!</v>
      </c>
      <c r="BF49" s="152" t="e">
        <f t="shared" si="201"/>
        <v>#VALUE!</v>
      </c>
      <c r="BG49" s="161" t="e">
        <f t="shared" si="202"/>
        <v>#VALUE!</v>
      </c>
      <c r="BH49" s="139"/>
      <c r="BI49" s="18"/>
      <c r="BJ49" s="18"/>
      <c r="BK49" s="18"/>
      <c r="BL49" s="18"/>
      <c r="BM49" s="18"/>
      <c r="BN49" s="160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10911</v>
      </c>
      <c r="B50" s="18" t="str">
        <f>Input!B50</f>
        <v>M43_401_14_15_F</v>
      </c>
      <c r="C50" s="18">
        <f>Input!O50</f>
        <v>0.86943488006914293</v>
      </c>
      <c r="D50" s="18">
        <f>C50*Input!P50/100</f>
        <v>2.9030563926821158E-3</v>
      </c>
      <c r="E50" s="153">
        <f>Input!M50</f>
        <v>0.48620135046352908</v>
      </c>
      <c r="F50" s="154">
        <f>E50*Input!N50/100</f>
        <v>4.2016743745872952E-5</v>
      </c>
      <c r="G50" s="21">
        <f>E50*137.88</f>
        <v>67.037442201911389</v>
      </c>
      <c r="H50" s="154">
        <f>G50*Input!L50/100</f>
        <v>6.3898826078167071E-3</v>
      </c>
      <c r="I50" s="18">
        <v>0.3</v>
      </c>
      <c r="J50" s="130">
        <f>(((C50*Constants!$B$24*0.000000001*Input!G50*(Constants!$B$4/Constants!$B$3))-(I50*0.000000000000001))/Input!F50)*1000000000000</f>
        <v>40.669296219923211</v>
      </c>
      <c r="K50" s="18">
        <f>J50*Input!P50/100</f>
        <v>0.13579540352434605</v>
      </c>
      <c r="L50" s="135">
        <f>(J50/Constants!$B$4)*602200000000*Constants!$B$17/(365.2425*24*60)</f>
        <v>0.56148479003915275</v>
      </c>
      <c r="M50" s="133">
        <f>L50*Input!P50/100</f>
        <v>1.8748063213052924E-3</v>
      </c>
      <c r="N50" s="18">
        <v>5.0000000000000001E-3</v>
      </c>
      <c r="O50" s="130">
        <f>(((G50*Constants!$B$23*0.000000001*Input!G50*(Constants!$B$7/Constants!$B$6))-(N50*0.000000001))/Input!F50)*1000000</f>
        <v>0.31585338808863772</v>
      </c>
      <c r="P50" s="18">
        <f>O50*Input!N50/100</f>
        <v>2.7295545057482407E-5</v>
      </c>
      <c r="Q50" s="131">
        <f>(O50/Constants!$B$7)*602200000000000000*Constants!$B$18/(365.2425*24*60)</f>
        <v>0.23566476948489626</v>
      </c>
      <c r="R50" s="132">
        <f>Q50*Input!N50/100</f>
        <v>2.036577278104427E-5</v>
      </c>
      <c r="S50" s="133">
        <f>Input!S50*Constants!$B$17/Constants!$B$18</f>
        <v>2.3658039727503319</v>
      </c>
      <c r="T50" s="18">
        <f>S50*Input!T50/100</f>
        <v>3.5163014975900459E-3</v>
      </c>
      <c r="U50" s="18">
        <f>S50*1/((U49+U51)/2)</f>
        <v>2.3663301701829851</v>
      </c>
      <c r="V50" s="18">
        <f>U50*Input!T50/100</f>
        <v>3.5170835864028883E-3</v>
      </c>
      <c r="W50" s="134">
        <v>3.0000000000000001E-3</v>
      </c>
      <c r="X50" s="130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0.46576044270680572</v>
      </c>
      <c r="Y50" s="130">
        <f>X50*Input!X50/100</f>
        <v>9.6401776699841905E-4</v>
      </c>
      <c r="Z50" s="130">
        <f>(X50/Constants!$B$11)*6.022E+23*0.000000001*Constants!$B$19/(365.2425*24*60)</f>
        <v>1.1370718150868695E-4</v>
      </c>
      <c r="AA50" s="130">
        <f>Z50*Input!X50/100</f>
        <v>2.3534790239516103E-7</v>
      </c>
      <c r="AB50" s="135">
        <v>0.05</v>
      </c>
      <c r="AC50" s="135">
        <v>0.9</v>
      </c>
      <c r="AD50" s="130">
        <f>(((Input!G50*Constants!$B$25*0.000000001*Input!U50*(Constants!$B$10/Constants!$B$9))-((AB50*0.000000000000001)+(Input!G50*AC50*0.000000000000001)))/Input!F50)*1000000000000</f>
        <v>7.9808989645046085</v>
      </c>
      <c r="AE50" s="130">
        <f>AD50*Input!V50/100</f>
        <v>2.2570747285678004E-2</v>
      </c>
      <c r="AF50" s="130">
        <f>(AD50/Constants!$B$10)*602200000000*Constants!$B$16/(365.2425*24*60)</f>
        <v>0.36429346818147279</v>
      </c>
      <c r="AG50" s="130">
        <f>AF50*Input!V50/100</f>
        <v>1.0302568475953117E-3</v>
      </c>
      <c r="AH50" s="18">
        <f>AF50/Z50</f>
        <v>3203.7859293314878</v>
      </c>
      <c r="AI50" s="134">
        <f>AH50*SQRT((AG50/AF50)^2+(AA50/Z50)^2)</f>
        <v>11.227924063646011</v>
      </c>
      <c r="AJ50" s="133">
        <f t="shared" si="191"/>
        <v>1366.3301701829851</v>
      </c>
      <c r="AK50" s="134">
        <f>V50*1000</f>
        <v>3.5170835864028884</v>
      </c>
      <c r="AL50" s="134">
        <f>AF50/Q50</f>
        <v>1.5458121677573038</v>
      </c>
      <c r="AM50" s="134">
        <f>AL50*SQRT((R50/Q50)^2+(AG50/AF50)^2)</f>
        <v>4.3737455186628523E-3</v>
      </c>
      <c r="AN50" s="18">
        <f>AL50*1/((AN49+AN51)/2)</f>
        <v>1.545828078003278</v>
      </c>
      <c r="AO50" s="130">
        <f>AN50*SQRT((R50/Q50)^2+(AG50/AF50)^2)</f>
        <v>4.3737905353657108E-3</v>
      </c>
      <c r="AP50" s="18">
        <f>ThU_Alter_Kombi(AN50,U50)</f>
        <v>101.7499</v>
      </c>
      <c r="AQ50" s="18">
        <f t="shared" si="193"/>
        <v>0.51680000000000004</v>
      </c>
      <c r="AR50" s="155">
        <f>(AQ50/AP50)</f>
        <v>5.0791204708800705E-3</v>
      </c>
      <c r="AS50" s="132">
        <f t="shared" si="194"/>
        <v>4.8249546063767681E-4</v>
      </c>
      <c r="AT50" s="132">
        <f t="shared" si="195"/>
        <v>9.9952552279149592E-7</v>
      </c>
      <c r="AU50" s="18">
        <v>0.75</v>
      </c>
      <c r="AV50" s="18">
        <f>AU50/2</f>
        <v>0.375</v>
      </c>
      <c r="AW50" s="18">
        <f t="shared" si="196"/>
        <v>101.736</v>
      </c>
      <c r="AX50" s="136">
        <f t="shared" si="197"/>
        <v>0.49515741559999998</v>
      </c>
      <c r="AY50" s="136">
        <f t="shared" si="198"/>
        <v>0.49102305795012152</v>
      </c>
      <c r="AZ50" s="155">
        <f t="shared" si="199"/>
        <v>4.8670816190925529E-3</v>
      </c>
      <c r="BA50" s="18" t="str">
        <f>Input!B50</f>
        <v>M43_401_14_15_F</v>
      </c>
      <c r="BB50" s="137">
        <f>Input!E50</f>
        <v>0</v>
      </c>
      <c r="BC50" s="18">
        <f>((U50-1)*EXP(Constants!$B$17*AW50*1000))*1000</f>
        <v>1820.7227432681188</v>
      </c>
      <c r="BD50" s="133">
        <f>SQRT((EXP(Constants!$B$17*AW50*1000)*V50)^2+((U50-1)*Constants!$B$17*EXP(Constants!$B$17*AW50*1000)*AY50*1000)^2)*1000</f>
        <v>5.3226782807474038</v>
      </c>
      <c r="BE50" s="18">
        <f t="shared" si="200"/>
        <v>101678</v>
      </c>
      <c r="BF50" s="138">
        <f t="shared" si="201"/>
        <v>245.51152897506077</v>
      </c>
      <c r="BG50" s="20">
        <f t="shared" si="202"/>
        <v>0.48264435199941169</v>
      </c>
      <c r="BH50" s="18"/>
      <c r="BI50" s="18"/>
      <c r="BJ50" s="18"/>
      <c r="BK50" s="18"/>
      <c r="BL50" s="18"/>
      <c r="BM50" s="18"/>
      <c r="BN50" s="160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9">
        <f>Input!A51</f>
        <v>10815</v>
      </c>
      <c r="B51" s="139" t="str">
        <f>Input!B51</f>
        <v>Hu1-13</v>
      </c>
      <c r="C51" s="139">
        <f>Input!O51</f>
        <v>2.1049155531095369</v>
      </c>
      <c r="D51" s="139">
        <f>C51*Input!P51/100</f>
        <v>2.0795226193889359E-2</v>
      </c>
      <c r="E51" s="140">
        <f>Input!M51</f>
        <v>2.7319416350816663</v>
      </c>
      <c r="F51" s="141">
        <f>E51*Input!N51/100</f>
        <v>3.8570815890807291E-4</v>
      </c>
      <c r="G51" s="142">
        <f t="shared" ref="G51" si="221">E51*137.88</f>
        <v>376.68011264506015</v>
      </c>
      <c r="H51" s="141">
        <f>G51*Input!L51/100</f>
        <v>3.7659223491507618E-2</v>
      </c>
      <c r="I51" s="139">
        <v>0</v>
      </c>
      <c r="J51" s="143">
        <f>(((C51*Constants!$B$24*0.000000001*Input!G51*(Constants!$B$4/Constants!$B$3))-(I51*0.000000000000001))/Input!F51)*1000000000000</f>
        <v>759.95353886327439</v>
      </c>
      <c r="K51" s="139">
        <f>J51*Input!P51/100</f>
        <v>7.5078573647111497</v>
      </c>
      <c r="L51" s="144">
        <f>(J51/Constants!$B$4)*602200000000*Constants!$B$17/(365.2425*24*60)</f>
        <v>10.492002391699179</v>
      </c>
      <c r="M51" s="145">
        <f>L51*Input!P51/100</f>
        <v>0.10365430700528375</v>
      </c>
      <c r="N51" s="139">
        <v>0</v>
      </c>
      <c r="O51" s="143">
        <f>(((G51*Constants!$B$23*0.000000001*Input!G51*(Constants!$B$7/Constants!$B$6))-(N51*0.000000001))/Input!F51)*1000000</f>
        <v>13.699558046299261</v>
      </c>
      <c r="P51" s="139">
        <f>O51*Input!N51/100</f>
        <v>1.9341669836714531E-3</v>
      </c>
      <c r="Q51" s="146">
        <f>(O51/Constants!$B$7)*602200000000000000*Constants!$B$18/(365.2425*24*60)</f>
        <v>10.221524640160132</v>
      </c>
      <c r="R51" s="147">
        <f>Q51*Input!N51/100</f>
        <v>1.4431221368577344E-3</v>
      </c>
      <c r="S51" s="145">
        <f>Input!S51*Constants!$B$17/Constants!$B$18</f>
        <v>0.99925033009420372</v>
      </c>
      <c r="T51" s="139">
        <f>S51*Input!T51/100</f>
        <v>2.1534350972570995E-3</v>
      </c>
      <c r="U51" s="145">
        <f>S51</f>
        <v>0.99925033009420372</v>
      </c>
      <c r="V51" s="139">
        <f>U51*Input!T51/100</f>
        <v>2.1534350972570995E-3</v>
      </c>
      <c r="W51" s="148">
        <v>0</v>
      </c>
      <c r="X51" s="143">
        <f>(((Constants!$B$25*0.000000001*Input!G51/Input!W51*(Constants!$B$11/Constants!$B$9))-(W51*0.000000001))/Input!F51)*1000000000</f>
        <v>0.89454863522525641</v>
      </c>
      <c r="Y51" s="143">
        <f>X51*Input!X51/100</f>
        <v>4.8796232347997279E-3</v>
      </c>
      <c r="Z51" s="143">
        <f>(X51/Constants!$B$11)*6.022E+23*0.000000001*Constants!$B$19/(365.2425*24*60)</f>
        <v>2.1838824148047412E-4</v>
      </c>
      <c r="AA51" s="143">
        <f>Z51*Input!X51/100</f>
        <v>1.1912737836404315E-6</v>
      </c>
      <c r="AB51" s="144">
        <v>0</v>
      </c>
      <c r="AC51" s="144">
        <v>0.9</v>
      </c>
      <c r="AD51" s="143">
        <f>(((Input!G51*Constants!$B$25*0.000000001*Input!U51*(Constants!$B$10/Constants!$B$9))-((AB51*0.000000000000001)+(Input!G51*AC51*0.000000000000001)))/Input!F51)*1000000000000</f>
        <v>222.97087205859265</v>
      </c>
      <c r="AE51" s="143">
        <f>AD51*Input!V51/100</f>
        <v>0.52613424091148087</v>
      </c>
      <c r="AF51" s="143">
        <f>(AD51/Constants!$B$10)*602200000000*Constants!$B$16/(365.2425*24*60)</f>
        <v>10.177654503199701</v>
      </c>
      <c r="AG51" s="143">
        <f>AF51*Input!V51/100</f>
        <v>2.4015749128402489E-2</v>
      </c>
      <c r="AH51" s="139">
        <f t="shared" ref="AH51" si="222">AF51/Z51</f>
        <v>46603.491260355586</v>
      </c>
      <c r="AI51" s="148">
        <f t="shared" ref="AI51" si="223">AH51*SQRT((AG51/AF51)^2+(AA51/Z51)^2)</f>
        <v>276.98040246335921</v>
      </c>
      <c r="AJ51" s="145">
        <f t="shared" si="191"/>
        <v>-0.74966990579627968</v>
      </c>
      <c r="AK51" s="148">
        <f t="shared" ref="AK51" si="224">V51*1000</f>
        <v>2.1534350972570997</v>
      </c>
      <c r="AL51" s="148">
        <f t="shared" ref="AL51" si="225">AF51/Q51</f>
        <v>0.99570806327775552</v>
      </c>
      <c r="AM51" s="148">
        <f t="shared" ref="AM51" si="226">AL51*SQRT((R51/Q51)^2+(AG51/AF51)^2)</f>
        <v>2.3537289454246685E-3</v>
      </c>
      <c r="AN51" s="139">
        <f>AF51/Q51</f>
        <v>0.99570806327775552</v>
      </c>
      <c r="AO51" s="143">
        <f t="shared" ref="AO51" si="227">AN51*SQRT((R51/Q51)^2+(AG51/AF51)^2)</f>
        <v>2.3537289454246685E-3</v>
      </c>
      <c r="AP51" s="139">
        <f t="shared" ref="AP51" si="228">ThU_Alter_Kombi(AN51,U51)</f>
        <v>625.42179999999996</v>
      </c>
      <c r="AQ51" s="139" t="e">
        <f t="shared" si="193"/>
        <v>#VALUE!</v>
      </c>
      <c r="AR51" s="139" t="e">
        <f>(AQ51/AP51)*100</f>
        <v>#VALUE!</v>
      </c>
      <c r="AS51" s="147">
        <f t="shared" si="194"/>
        <v>2.136552512160777E-5</v>
      </c>
      <c r="AT51" s="147">
        <f t="shared" si="195"/>
        <v>1.1658463645124875E-7</v>
      </c>
      <c r="AU51" s="139">
        <v>0.75</v>
      </c>
      <c r="AV51" s="139">
        <f t="shared" ref="AV51" si="229">AU51/2</f>
        <v>0.375</v>
      </c>
      <c r="AW51" s="139">
        <f t="shared" si="196"/>
        <v>625.41999999999996</v>
      </c>
      <c r="AX51" s="149">
        <f t="shared" si="197"/>
        <v>271.60531341040002</v>
      </c>
      <c r="AY51" s="149">
        <f t="shared" si="198"/>
        <v>129.94006234257984</v>
      </c>
      <c r="AZ51" s="150">
        <f t="shared" si="199"/>
        <v>0.43427666753605582</v>
      </c>
      <c r="BA51" s="139" t="str">
        <f>Input!B51</f>
        <v>Hu1-13</v>
      </c>
      <c r="BB51" s="151">
        <f>Input!E51</f>
        <v>0</v>
      </c>
      <c r="BC51" s="139">
        <f>((U51-1)*EXP(Constants!$B$17*AW51*1000))*1000</f>
        <v>-4.3791317329874655</v>
      </c>
      <c r="BD51" s="145">
        <f>SQRT((EXP(Constants!$B$17*AW51*1000)*V51)^2+((U51-1)*Constants!$B$17*EXP(Constants!$B$17*AW51*1000)*AY51*1000)^2)*1000</f>
        <v>12.681188014953323</v>
      </c>
      <c r="BE51" s="139">
        <f t="shared" si="200"/>
        <v>625362</v>
      </c>
      <c r="BF51" s="152">
        <f t="shared" si="201"/>
        <v>64970.03117128992</v>
      </c>
      <c r="BG51" s="161">
        <f t="shared" si="202"/>
        <v>20.776448201621285</v>
      </c>
      <c r="BH51" s="139"/>
      <c r="BI51" s="18"/>
      <c r="BJ51" s="18"/>
      <c r="BK51" s="18"/>
      <c r="BL51" s="18"/>
      <c r="BM51" s="18"/>
      <c r="BN51" s="160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10912</v>
      </c>
      <c r="B52" s="18" t="str">
        <f>Input!B52</f>
        <v>M43_401_14_15_G</v>
      </c>
      <c r="C52" s="18">
        <f>Input!O52</f>
        <v>2.2727046986865691</v>
      </c>
      <c r="D52" s="18">
        <f>C52*Input!P52/100</f>
        <v>7.4341838212156411E-3</v>
      </c>
      <c r="E52" s="153">
        <f>Input!M52</f>
        <v>1.2408081809683831</v>
      </c>
      <c r="F52" s="154">
        <f>E52*Input!N52/100</f>
        <v>8.010869839604076E-5</v>
      </c>
      <c r="G52" s="21">
        <f>E52*137.88</f>
        <v>171.08263199192066</v>
      </c>
      <c r="H52" s="154">
        <f>G52*Input!L52/100</f>
        <v>8.1830670983040095E-3</v>
      </c>
      <c r="I52" s="18">
        <v>0.3</v>
      </c>
      <c r="J52" s="130">
        <f>(((C52*Constants!$B$24*0.000000001*Input!G52*(Constants!$B$4/Constants!$B$3))-(I52*0.000000000000001))/Input!F52)*1000000000000</f>
        <v>96.063093831155882</v>
      </c>
      <c r="K52" s="18">
        <f>J52*Input!P52/100</f>
        <v>0.31422942821749689</v>
      </c>
      <c r="L52" s="135">
        <f>(J52/Constants!$B$4)*602200000000*Constants!$B$17/(365.2425*24*60)</f>
        <v>1.3262576706177343</v>
      </c>
      <c r="M52" s="133">
        <f>L52*Input!P52/100</f>
        <v>4.3382861501397611E-3</v>
      </c>
      <c r="N52" s="18">
        <v>5.0000000000000001E-3</v>
      </c>
      <c r="O52" s="130">
        <f>(((G52*Constants!$B$23*0.000000001*Input!G52*(Constants!$B$7/Constants!$B$6))-(N52*0.000000001))/Input!F52)*1000000</f>
        <v>0.72842216933266368</v>
      </c>
      <c r="P52" s="18">
        <f>O52*Input!N52/100</f>
        <v>4.7028181118630921E-5</v>
      </c>
      <c r="Q52" s="131">
        <f>(O52/Constants!$B$7)*602200000000000000*Constants!$B$18/(365.2425*24*60)</f>
        <v>0.54349090146627288</v>
      </c>
      <c r="R52" s="132">
        <f>Q52*Input!N52/100</f>
        <v>3.5088702165531062E-5</v>
      </c>
      <c r="S52" s="133">
        <f>Input!S52*Constants!$B$17/Constants!$B$18</f>
        <v>2.4178057261925701</v>
      </c>
      <c r="T52" s="18">
        <f>S52*Input!T52/100</f>
        <v>1.4496746048202418E-3</v>
      </c>
      <c r="U52" s="18">
        <f>S52*1/((U51+U53)/2)</f>
        <v>2.4164992288043239</v>
      </c>
      <c r="V52" s="18">
        <f>U52*Input!T52/100</f>
        <v>1.4488912515241165E-3</v>
      </c>
      <c r="W52" s="134">
        <v>3.0000000000000001E-3</v>
      </c>
      <c r="X52" s="130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0.21902433360227902</v>
      </c>
      <c r="Y52" s="130">
        <f>X52*Input!X52/100</f>
        <v>4.4374819203778519E-4</v>
      </c>
      <c r="Z52" s="130">
        <f>(X52/Constants!$B$11)*6.022E+23*0.000000001*Constants!$B$19/(365.2425*24*60)</f>
        <v>5.3470920611029454E-5</v>
      </c>
      <c r="AA52" s="130">
        <f>Z52*Input!X52/100</f>
        <v>1.083332794922535E-7</v>
      </c>
      <c r="AB52" s="135">
        <v>0.05</v>
      </c>
      <c r="AC52" s="135">
        <v>0.9</v>
      </c>
      <c r="AD52" s="130">
        <f>(((Input!G52*Constants!$B$25*0.000000001*Input!U52*(Constants!$B$10/Constants!$B$9))-((AB52*0.000000000000001)+(Input!G52*AC52*0.000000000000001)))/Input!F52)*1000000000000</f>
        <v>16.511470967417125</v>
      </c>
      <c r="AE52" s="130">
        <f>AD52*Input!V52/100</f>
        <v>3.637154890359591E-2</v>
      </c>
      <c r="AF52" s="130">
        <f>(AD52/Constants!$B$10)*602200000000*Constants!$B$16/(365.2425*24*60)</f>
        <v>0.75367712963792011</v>
      </c>
      <c r="AG52" s="130">
        <f>AF52*Input!V52/100</f>
        <v>1.6602036627894397E-3</v>
      </c>
      <c r="AH52" s="18">
        <f>AF52/Z52</f>
        <v>14095.084225695173</v>
      </c>
      <c r="AI52" s="134">
        <f>AH52*SQRT((AG52/AF52)^2+(AA52/Z52)^2)</f>
        <v>42.184389806373815</v>
      </c>
      <c r="AJ52" s="133">
        <f t="shared" si="191"/>
        <v>1416.4992288043238</v>
      </c>
      <c r="AK52" s="134">
        <f>V52*1000</f>
        <v>1.4488912515241166</v>
      </c>
      <c r="AL52" s="134">
        <f>AF52/Q52</f>
        <v>1.3867336649143347</v>
      </c>
      <c r="AM52" s="134">
        <f>AL52*SQRT((R52/Q52)^2+(AG52/AF52)^2)</f>
        <v>3.0560154192886594E-3</v>
      </c>
      <c r="AN52" s="18">
        <f>AL52*1/((AN51+AN53)/2)</f>
        <v>1.3913708083153964</v>
      </c>
      <c r="AO52" s="130">
        <f>AN52*SQRT((R52/Q52)^2+(AG52/AF52)^2)</f>
        <v>3.0662345277545759E-3</v>
      </c>
      <c r="AP52" s="18">
        <f>ThU_Alter_Kombi(AN52,U52)</f>
        <v>84.719800000000006</v>
      </c>
      <c r="AQ52" s="18">
        <f t="shared" si="193"/>
        <v>0.25509999999999999</v>
      </c>
      <c r="AR52" s="155">
        <f>(AQ52/AP52)</f>
        <v>3.0111024813561879E-3</v>
      </c>
      <c r="AS52" s="132">
        <f t="shared" si="194"/>
        <v>9.8384205635773043E-5</v>
      </c>
      <c r="AT52" s="132">
        <f t="shared" si="195"/>
        <v>1.9942977728663846E-7</v>
      </c>
      <c r="AU52" s="18">
        <v>0.75</v>
      </c>
      <c r="AV52" s="18">
        <f>AU52/2</f>
        <v>0.375</v>
      </c>
      <c r="AW52" s="18">
        <f t="shared" si="196"/>
        <v>84.716999999999999</v>
      </c>
      <c r="AX52" s="136">
        <f t="shared" si="197"/>
        <v>0.26908233739999998</v>
      </c>
      <c r="AY52" s="136">
        <f t="shared" si="198"/>
        <v>0.27007588583776315</v>
      </c>
      <c r="AZ52" s="155">
        <f t="shared" si="199"/>
        <v>3.1762496004343875E-3</v>
      </c>
      <c r="BA52" s="18" t="str">
        <f>Input!B52</f>
        <v>M43_401_14_15_G</v>
      </c>
      <c r="BB52" s="137">
        <f>Input!E52</f>
        <v>0</v>
      </c>
      <c r="BC52" s="18">
        <f>((U52-1)*EXP(Constants!$B$17*AW52*1000))*1000</f>
        <v>1799.0611632661592</v>
      </c>
      <c r="BD52" s="133">
        <f>SQRT((EXP(Constants!$B$17*AW52*1000)*V52)^2+((U52-1)*Constants!$B$17*EXP(Constants!$B$17*AW52*1000)*AY52*1000)^2)*1000</f>
        <v>2.2948870309959717</v>
      </c>
      <c r="BE52" s="18">
        <f t="shared" si="200"/>
        <v>84659</v>
      </c>
      <c r="BF52" s="138">
        <f t="shared" si="201"/>
        <v>135.03794291888158</v>
      </c>
      <c r="BG52" s="20">
        <f t="shared" si="202"/>
        <v>0.31879774524329613</v>
      </c>
      <c r="BH52" s="18"/>
      <c r="BI52" s="18"/>
      <c r="BJ52" s="18"/>
      <c r="BK52" s="18"/>
      <c r="BL52" s="18"/>
      <c r="BM52" s="18"/>
      <c r="BN52" s="160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9">
        <f>Input!A53</f>
        <v>10815</v>
      </c>
      <c r="B53" s="139" t="str">
        <f>Input!B53</f>
        <v>Hu1-13</v>
      </c>
      <c r="C53" s="139">
        <f>Input!O53</f>
        <v>2.0658705400429418</v>
      </c>
      <c r="D53" s="139">
        <f>C53*Input!P53/100</f>
        <v>1.9367803829507216E-2</v>
      </c>
      <c r="E53" s="140">
        <f>Input!M53</f>
        <v>2.7316318251220677</v>
      </c>
      <c r="F53" s="141">
        <f>E53*Input!N53/100</f>
        <v>2.8424968949861503E-4</v>
      </c>
      <c r="G53" s="142">
        <f t="shared" ref="G53" si="230">E53*137.88</f>
        <v>376.63739604783069</v>
      </c>
      <c r="H53" s="141">
        <f>G53*Input!L53/100</f>
        <v>2.5799009067692565E-2</v>
      </c>
      <c r="I53" s="139">
        <v>0</v>
      </c>
      <c r="J53" s="143">
        <f>(((C53*Constants!$B$24*0.000000001*Input!G53*(Constants!$B$4/Constants!$B$3))-(I53*0.000000000000001))/Input!F53)*1000000000000</f>
        <v>745.85682329143708</v>
      </c>
      <c r="K53" s="139">
        <f>J53*Input!P53/100</f>
        <v>6.9925043018947894</v>
      </c>
      <c r="L53" s="144">
        <f>(J53/Constants!$B$4)*602200000000*Constants!$B$17/(365.2425*24*60)</f>
        <v>10.297381581437474</v>
      </c>
      <c r="M53" s="145">
        <f>L53*Input!P53/100</f>
        <v>9.6539285768950572E-2</v>
      </c>
      <c r="N53" s="139">
        <v>0</v>
      </c>
      <c r="O53" s="143">
        <f>(((G53*Constants!$B$23*0.000000001*Input!G53*(Constants!$B$7/Constants!$B$6))-(N53*0.000000001))/Input!F53)*1000000</f>
        <v>13.698004477412452</v>
      </c>
      <c r="P53" s="139">
        <f>O53*Input!N53/100</f>
        <v>1.4253946976478548E-3</v>
      </c>
      <c r="Q53" s="146">
        <f>(O53/Constants!$B$7)*602200000000000000*Constants!$B$18/(365.2425*24*60)</f>
        <v>10.220365490163976</v>
      </c>
      <c r="R53" s="147">
        <f>Q53*Input!N53/100</f>
        <v>1.0635165729230914E-3</v>
      </c>
      <c r="S53" s="145">
        <f>Input!S53*Constants!$B$17/Constants!$B$18</f>
        <v>1.0018309840421078</v>
      </c>
      <c r="T53" s="139">
        <f>S53*Input!T53/100</f>
        <v>1.4876559345968689E-3</v>
      </c>
      <c r="U53" s="145">
        <f>S53</f>
        <v>1.0018309840421078</v>
      </c>
      <c r="V53" s="139">
        <f>U53*Input!T53/100</f>
        <v>1.4876559345968689E-3</v>
      </c>
      <c r="W53" s="148">
        <v>0</v>
      </c>
      <c r="X53" s="143">
        <f>(((Constants!$B$25*0.000000001*Input!G53/Input!W53*(Constants!$B$11/Constants!$B$9))-(W53*0.000000001))/Input!F53)*1000000000</f>
        <v>0.91188667901968568</v>
      </c>
      <c r="Y53" s="143">
        <f>X53*Input!X53/100</f>
        <v>5.025214364144266E-3</v>
      </c>
      <c r="Z53" s="143">
        <f>(X53/Constants!$B$11)*6.022E+23*0.000000001*Constants!$B$19/(365.2425*24*60)</f>
        <v>2.2262101848764422E-4</v>
      </c>
      <c r="AA53" s="143">
        <f>Z53*Input!X53/100</f>
        <v>1.2268172850898564E-6</v>
      </c>
      <c r="AB53" s="144">
        <v>0</v>
      </c>
      <c r="AC53" s="144">
        <v>0.9</v>
      </c>
      <c r="AD53" s="143">
        <f>(((Input!G53*Constants!$B$25*0.000000001*Input!U53*(Constants!$B$10/Constants!$B$9))-((AB53*0.000000000000001)+(Input!G53*AC53*0.000000000000001)))/Input!F53)*1000000000000</f>
        <v>223.37510611730414</v>
      </c>
      <c r="AE53" s="143">
        <f>AD53*Input!V53/100</f>
        <v>0.74245058396948482</v>
      </c>
      <c r="AF53" s="143">
        <f>(AD53/Constants!$B$10)*602200000000*Constants!$B$16/(365.2425*24*60)</f>
        <v>10.196106037025654</v>
      </c>
      <c r="AG53" s="143">
        <f>AF53*Input!V53/100</f>
        <v>3.3889653207054719E-2</v>
      </c>
      <c r="AH53" s="139">
        <f t="shared" ref="AH53" si="231">AF53/Z53</f>
        <v>45800.28474531282</v>
      </c>
      <c r="AI53" s="148">
        <f t="shared" ref="AI53" si="232">AH53*SQRT((AG53/AF53)^2+(AA53/Z53)^2)</f>
        <v>294.75010233950297</v>
      </c>
      <c r="AJ53" s="145">
        <f t="shared" si="191"/>
        <v>1.8309840421077972</v>
      </c>
      <c r="AK53" s="148">
        <f t="shared" ref="AK53" si="233">V53*1000</f>
        <v>1.487655934596869</v>
      </c>
      <c r="AL53" s="148">
        <f t="shared" ref="AL53" si="234">AF53/Q53</f>
        <v>0.99762636148759365</v>
      </c>
      <c r="AM53" s="148">
        <f t="shared" ref="AM53" si="235">AL53*SQRT((R53/Q53)^2+(AG53/AF53)^2)</f>
        <v>3.3175190799815063E-3</v>
      </c>
      <c r="AN53" s="139">
        <f>AF53/Q53</f>
        <v>0.99762636148759365</v>
      </c>
      <c r="AO53" s="143">
        <f t="shared" ref="AO53" si="236">AN53*SQRT((R53/Q53)^2+(AG53/AF53)^2)</f>
        <v>3.3175190799815063E-3</v>
      </c>
      <c r="AP53" s="139">
        <f t="shared" ref="AP53" si="237">ThU_Alter_Kombi(AN53,U53)</f>
        <v>578.82169999999996</v>
      </c>
      <c r="AQ53" s="139" t="e">
        <f t="shared" si="193"/>
        <v>#VALUE!</v>
      </c>
      <c r="AR53" s="139" t="e">
        <f>(AQ53/AP53)*100</f>
        <v>#VALUE!</v>
      </c>
      <c r="AS53" s="147">
        <f t="shared" si="194"/>
        <v>2.1782099544472599E-5</v>
      </c>
      <c r="AT53" s="147">
        <f t="shared" si="195"/>
        <v>1.2005793545754094E-7</v>
      </c>
      <c r="AU53" s="139">
        <v>0.75</v>
      </c>
      <c r="AV53" s="139">
        <f t="shared" ref="AV53" si="238">AU53/2</f>
        <v>0.375</v>
      </c>
      <c r="AW53" s="139">
        <f t="shared" si="196"/>
        <v>578.82000000000005</v>
      </c>
      <c r="AX53" s="149">
        <f t="shared" si="197"/>
        <v>237.7545197163</v>
      </c>
      <c r="AY53" s="149">
        <f t="shared" si="198"/>
        <v>85.11183705723387</v>
      </c>
      <c r="AZ53" s="150">
        <f t="shared" si="199"/>
        <v>0.41075726428993464</v>
      </c>
      <c r="BA53" s="139" t="str">
        <f>Input!B53</f>
        <v>Hu1-13</v>
      </c>
      <c r="BB53" s="151">
        <f>Input!E53</f>
        <v>0</v>
      </c>
      <c r="BC53" s="139">
        <f>((U53-1)*EXP(Constants!$B$17*AW53*1000))*1000</f>
        <v>9.3775479799451453</v>
      </c>
      <c r="BD53" s="145">
        <f>SQRT((EXP(Constants!$B$17*AW53*1000)*V53)^2+((U53-1)*Constants!$B$17*EXP(Constants!$B$17*AW53*1000)*AY53*1000)^2)*1000</f>
        <v>7.9451206527700755</v>
      </c>
      <c r="BE53" s="139">
        <f t="shared" si="200"/>
        <v>578762</v>
      </c>
      <c r="BF53" s="152">
        <f t="shared" si="201"/>
        <v>42555.918528616938</v>
      </c>
      <c r="BG53" s="161">
        <f t="shared" si="202"/>
        <v>14.704370453203735</v>
      </c>
      <c r="BH53" s="139"/>
      <c r="BI53" s="18"/>
      <c r="BJ53" s="18"/>
      <c r="BK53" s="18"/>
      <c r="BL53" s="18"/>
      <c r="BM53" s="18"/>
      <c r="BN53" s="160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10907</v>
      </c>
      <c r="B54" s="18" t="str">
        <f>Input!B54</f>
        <v>M43_401_14_341.5</v>
      </c>
      <c r="C54" s="18">
        <f>Input!O54</f>
        <v>1.789135645707927</v>
      </c>
      <c r="D54" s="18">
        <f>C54*Input!P54/100</f>
        <v>5.6020444001319012E-3</v>
      </c>
      <c r="E54" s="153">
        <f>Input!M54</f>
        <v>1.5650344633044013</v>
      </c>
      <c r="F54" s="154">
        <f>E54*Input!N54/100</f>
        <v>9.01976255163745E-5</v>
      </c>
      <c r="G54" s="21">
        <f>E54*137.88</f>
        <v>215.78695180041086</v>
      </c>
      <c r="H54" s="154">
        <f>G54*Input!L54/100</f>
        <v>1.8677965800525057E-2</v>
      </c>
      <c r="I54" s="18">
        <v>0.3</v>
      </c>
      <c r="J54" s="130">
        <f>(((C54*Constants!$B$24*0.000000001*Input!G54*(Constants!$B$4/Constants!$B$3))-(I54*0.000000000000001))/Input!F54)*1000000000000</f>
        <v>38.845944172823387</v>
      </c>
      <c r="K54" s="18">
        <f>J54*Input!P54/100</f>
        <v>0.121632311414317</v>
      </c>
      <c r="L54" s="135">
        <f>(J54/Constants!$B$4)*602200000000*Constants!$B$17/(365.2425*24*60)</f>
        <v>0.5363113905341037</v>
      </c>
      <c r="M54" s="133">
        <f>L54*Input!P54/100</f>
        <v>1.6792691092349953E-3</v>
      </c>
      <c r="N54" s="18">
        <v>5.0000000000000001E-3</v>
      </c>
      <c r="O54" s="130">
        <f>(((G54*Constants!$B$23*0.000000001*Input!G54*(Constants!$B$7/Constants!$B$6))-(N54*0.000000001))/Input!F54)*1000000</f>
        <v>0.47195684398890109</v>
      </c>
      <c r="P54" s="18">
        <f>O54*Input!N54/100</f>
        <v>2.7200287068516192E-5</v>
      </c>
      <c r="Q54" s="131">
        <f>(O54/Constants!$B$7)*602200000000000000*Constants!$B$18/(365.2425*24*60)</f>
        <v>0.35213679840043671</v>
      </c>
      <c r="R54" s="132">
        <f>Q54*Input!N54/100</f>
        <v>2.0294698818066811E-5</v>
      </c>
      <c r="S54" s="133">
        <f>Input!S54*Constants!$B$17/Constants!$B$18</f>
        <v>1.5137205300943579</v>
      </c>
      <c r="T54" s="18">
        <f>S54*Input!T54/100</f>
        <v>1.1740127202026231E-3</v>
      </c>
      <c r="U54" s="18">
        <f>S54*1/((U53+U55)/2)</f>
        <v>1.5122115046817799</v>
      </c>
      <c r="V54" s="18">
        <f>U54*Input!T54/100</f>
        <v>1.1728423489258558E-3</v>
      </c>
      <c r="W54" s="134">
        <v>3.0000000000000001E-3</v>
      </c>
      <c r="X54" s="130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0.14160165559365454</v>
      </c>
      <c r="Y54" s="130">
        <f>X54*Input!X54/100</f>
        <v>2.779061830188894E-4</v>
      </c>
      <c r="Z54" s="130">
        <f>(X54/Constants!$B$11)*6.022E+23*0.000000001*Constants!$B$19/(365.2425*24*60)</f>
        <v>3.456954193221138E-5</v>
      </c>
      <c r="AA54" s="130">
        <f>Z54*Input!X54/100</f>
        <v>6.784588362908111E-8</v>
      </c>
      <c r="AB54" s="135">
        <v>0.05</v>
      </c>
      <c r="AC54" s="135">
        <v>0.9</v>
      </c>
      <c r="AD54" s="130">
        <f>(((Input!G54*Constants!$B$25*0.000000001*Input!U54*(Constants!$B$10/Constants!$B$9))-((AB54*0.000000000000001)+(Input!G54*AC54*0.000000000000001)))/Input!F54)*1000000000000</f>
        <v>11.932766193517821</v>
      </c>
      <c r="AE54" s="130">
        <f>AD54*Input!V54/100</f>
        <v>2.1816641981511373E-2</v>
      </c>
      <c r="AF54" s="130">
        <f>(AD54/Constants!$B$10)*602200000000*Constants!$B$16/(365.2425*24*60)</f>
        <v>0.54467908953224897</v>
      </c>
      <c r="AG54" s="130">
        <f>AF54*Input!V54/100</f>
        <v>9.9583520689409282E-4</v>
      </c>
      <c r="AH54" s="18">
        <f>AF54/Z54</f>
        <v>15756.040117636767</v>
      </c>
      <c r="AI54" s="134">
        <f>AH54*SQRT((AG54/AF54)^2+(AA54/Z54)^2)</f>
        <v>42.261550607965582</v>
      </c>
      <c r="AJ54" s="133">
        <f t="shared" si="191"/>
        <v>512.21150468177984</v>
      </c>
      <c r="AK54" s="134">
        <f>V54*1000</f>
        <v>1.1728423489258557</v>
      </c>
      <c r="AL54" s="134">
        <f>AF54/Q54</f>
        <v>1.5467826481254607</v>
      </c>
      <c r="AM54" s="134">
        <f>AL54*SQRT((R54/Q54)^2+(AG54/AF54)^2)</f>
        <v>2.8293829612703329E-3</v>
      </c>
      <c r="AN54" s="18">
        <f>AL54*1/((AN53+AN55)/2)</f>
        <v>1.552379355773182</v>
      </c>
      <c r="AO54" s="130">
        <f>AN54*SQRT((R54/Q54)^2+(AG54/AF54)^2)</f>
        <v>2.8396204883571956E-3</v>
      </c>
      <c r="AP54" s="18">
        <f>ThU_Alter_Kombi(AN54,U54)</f>
        <v>289.89120000000003</v>
      </c>
      <c r="AQ54" s="18">
        <f t="shared" si="193"/>
        <v>2.4586000000000001</v>
      </c>
      <c r="AR54" s="155">
        <f>(AQ54/AP54)</f>
        <v>8.4811129140863872E-3</v>
      </c>
      <c r="AS54" s="132">
        <f t="shared" si="194"/>
        <v>9.8170773657401737E-5</v>
      </c>
      <c r="AT54" s="132">
        <f t="shared" si="195"/>
        <v>1.9275216626036204E-7</v>
      </c>
      <c r="AU54" s="18">
        <v>0.75</v>
      </c>
      <c r="AV54" s="18">
        <f>AU54/2</f>
        <v>0.375</v>
      </c>
      <c r="AW54" s="18">
        <f t="shared" si="196"/>
        <v>289.88749999999999</v>
      </c>
      <c r="AX54" s="136">
        <f t="shared" si="197"/>
        <v>2.3361478036999999</v>
      </c>
      <c r="AY54" s="136">
        <f t="shared" si="198"/>
        <v>2.2825808562996359</v>
      </c>
      <c r="AZ54" s="155">
        <f t="shared" si="199"/>
        <v>8.0588083435815614E-3</v>
      </c>
      <c r="BA54" s="18" t="str">
        <f>Input!B54</f>
        <v>M43_401_14_341.5</v>
      </c>
      <c r="BB54" s="137">
        <f>Input!E54</f>
        <v>341.5</v>
      </c>
      <c r="BC54" s="18">
        <f>((U54-1)*EXP(Constants!$B$17*AW54*1000))*1000</f>
        <v>1160.7452713123828</v>
      </c>
      <c r="BD54" s="133">
        <f>SQRT((EXP(Constants!$B$17*AW54*1000)*V54)^2+((U54-1)*Constants!$B$17*EXP(Constants!$B$17*AW54*1000)*AY54*1000)^2)*1000</f>
        <v>7.9353698105281749</v>
      </c>
      <c r="BE54" s="18">
        <f t="shared" si="200"/>
        <v>289829.5</v>
      </c>
      <c r="BF54" s="138">
        <f t="shared" si="201"/>
        <v>1141.2904281498179</v>
      </c>
      <c r="BG54" s="20">
        <f t="shared" si="202"/>
        <v>0.78740230479052609</v>
      </c>
      <c r="BH54" s="18"/>
      <c r="BI54" s="18"/>
      <c r="BJ54" s="18"/>
      <c r="BK54" s="18"/>
      <c r="BL54" s="18"/>
      <c r="BM54" s="18"/>
      <c r="BN54" s="160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9">
        <f>Input!A55</f>
        <v>10815</v>
      </c>
      <c r="B55" s="139" t="str">
        <f>Input!B55</f>
        <v>Hu1-13</v>
      </c>
      <c r="C55" s="139">
        <f>Input!O55</f>
        <v>2.0794013132445568</v>
      </c>
      <c r="D55" s="139">
        <f>C55*Input!P55/100</f>
        <v>1.6677311854260961E-2</v>
      </c>
      <c r="E55" s="140">
        <f>Input!M55</f>
        <v>2.7314952735760283</v>
      </c>
      <c r="F55" s="141">
        <f>E55*Input!N55/100</f>
        <v>4.4636724306318029E-4</v>
      </c>
      <c r="G55" s="142">
        <f t="shared" ref="G55" si="239">E55*137.88</f>
        <v>376.61856832066275</v>
      </c>
      <c r="H55" s="141">
        <f>G55*Input!L55/100</f>
        <v>2.6792136887176268E-2</v>
      </c>
      <c r="I55" s="139">
        <v>0</v>
      </c>
      <c r="J55" s="143">
        <f>(((C55*Constants!$B$24*0.000000001*Input!G55*(Constants!$B$4/Constants!$B$3))-(I55*0.000000000000001))/Input!F55)*1000000000000</f>
        <v>750.74194039883514</v>
      </c>
      <c r="K55" s="139">
        <f>J55*Input!P55/100</f>
        <v>6.0211356905264495</v>
      </c>
      <c r="L55" s="144">
        <f>(J55/Constants!$B$4)*602200000000*Constants!$B$17/(365.2425*24*60)</f>
        <v>10.364826047123122</v>
      </c>
      <c r="M55" s="145">
        <f>L55*Input!P55/100</f>
        <v>8.3128463564026603E-2</v>
      </c>
      <c r="N55" s="139">
        <v>0</v>
      </c>
      <c r="O55" s="143">
        <f>(((G55*Constants!$B$23*0.000000001*Input!G55*(Constants!$B$7/Constants!$B$6))-(N55*0.000000001))/Input!F55)*1000000</f>
        <v>13.697319727852921</v>
      </c>
      <c r="P55" s="139">
        <f>O55*Input!N55/100</f>
        <v>2.2383472171534193E-3</v>
      </c>
      <c r="Q55" s="146">
        <f>(O55/Constants!$B$7)*602200000000000000*Constants!$B$18/(365.2425*24*60)</f>
        <v>10.219854584303258</v>
      </c>
      <c r="R55" s="147">
        <f>Q55*Input!N55/100</f>
        <v>1.6700773233738041E-3</v>
      </c>
      <c r="S55" s="145">
        <f>Input!S55*Constants!$B$17/Constants!$B$18</f>
        <v>1.0001648021397935</v>
      </c>
      <c r="T55" s="139">
        <f>S55*Input!T55/100</f>
        <v>1.6649584878769253E-3</v>
      </c>
      <c r="U55" s="145">
        <f>S55</f>
        <v>1.0001648021397935</v>
      </c>
      <c r="V55" s="139">
        <f>U55*Input!T55/100</f>
        <v>1.6649584878769253E-3</v>
      </c>
      <c r="W55" s="148">
        <v>0</v>
      </c>
      <c r="X55" s="143">
        <f>(((Constants!$B$25*0.000000001*Input!G55/Input!W55*(Constants!$B$11/Constants!$B$9))-(W55*0.000000001))/Input!F55)*1000000000</f>
        <v>0.90748400586982747</v>
      </c>
      <c r="Y55" s="143">
        <f>X55*Input!X55/100</f>
        <v>5.4618990326566075E-3</v>
      </c>
      <c r="Z55" s="143">
        <f>(X55/Constants!$B$11)*6.022E+23*0.000000001*Constants!$B$19/(365.2425*24*60)</f>
        <v>2.2154618363892889E-4</v>
      </c>
      <c r="AA55" s="143">
        <f>Z55*Input!X55/100</f>
        <v>1.3334261301347987E-6</v>
      </c>
      <c r="AB55" s="144">
        <v>0</v>
      </c>
      <c r="AC55" s="144">
        <v>0.9</v>
      </c>
      <c r="AD55" s="143">
        <f>(((Input!G55*Constants!$B$25*0.000000001*Input!U55*(Constants!$B$10/Constants!$B$9))-((AB55*0.000000000000001)+(Input!G55*AC55*0.000000000000001)))/Input!F55)*1000000000000</f>
        <v>222.8124378735138</v>
      </c>
      <c r="AE55" s="143">
        <f>AD55*Input!V55/100</f>
        <v>0.67780433197420431</v>
      </c>
      <c r="AF55" s="143">
        <f>(AD55/Constants!$B$10)*602200000000*Constants!$B$16/(365.2425*24*60)</f>
        <v>10.170422668914167</v>
      </c>
      <c r="AG55" s="143">
        <f>AF55*Input!V55/100</f>
        <v>3.0938831821013538E-2</v>
      </c>
      <c r="AH55" s="139">
        <f t="shared" ref="AH55" si="240">AF55/Z55</f>
        <v>45906.557729243934</v>
      </c>
      <c r="AI55" s="148">
        <f t="shared" ref="AI55" si="241">AH55*SQRT((AG55/AF55)^2+(AA55/Z55)^2)</f>
        <v>309.58549625292835</v>
      </c>
      <c r="AJ55" s="145">
        <f t="shared" si="191"/>
        <v>0.16480213979352953</v>
      </c>
      <c r="AK55" s="148">
        <f t="shared" ref="AK55" si="242">V55*1000</f>
        <v>1.6649584878769252</v>
      </c>
      <c r="AL55" s="148">
        <f t="shared" ref="AL55" si="243">AF55/Q55</f>
        <v>0.9951631488509618</v>
      </c>
      <c r="AM55" s="148">
        <f t="shared" ref="AM55" si="244">AL55*SQRT((R55/Q55)^2+(AG55/AF55)^2)</f>
        <v>3.031690889599876E-3</v>
      </c>
      <c r="AN55" s="139">
        <f>AF55/Q55</f>
        <v>0.9951631488509618</v>
      </c>
      <c r="AO55" s="143">
        <f t="shared" ref="AO55" si="245">AN55*SQRT((R55/Q55)^2+(AG55/AF55)^2)</f>
        <v>3.031690889599876E-3</v>
      </c>
      <c r="AP55" s="139">
        <f t="shared" ref="AP55" si="246">ThU_Alter_Kombi(AN55,U55)</f>
        <v>576.26850000000002</v>
      </c>
      <c r="AQ55" s="139" t="e">
        <f t="shared" si="193"/>
        <v>#VALUE!</v>
      </c>
      <c r="AR55" s="139" t="e">
        <f>(AQ55/AP55)*100</f>
        <v>#VALUE!</v>
      </c>
      <c r="AS55" s="147">
        <f t="shared" si="194"/>
        <v>2.1678017217505533E-5</v>
      </c>
      <c r="AT55" s="147">
        <f t="shared" si="195"/>
        <v>1.305221632102616E-7</v>
      </c>
      <c r="AU55" s="139">
        <v>0.75</v>
      </c>
      <c r="AV55" s="139">
        <f t="shared" ref="AV55" si="247">AU55/2</f>
        <v>0.375</v>
      </c>
      <c r="AW55" s="139">
        <f t="shared" si="196"/>
        <v>576.26670000000001</v>
      </c>
      <c r="AX55" s="149">
        <f t="shared" si="197"/>
        <v>199.6030963341</v>
      </c>
      <c r="AY55" s="149">
        <f t="shared" si="198"/>
        <v>81.902473934731248</v>
      </c>
      <c r="AZ55" s="150">
        <f t="shared" si="199"/>
        <v>0.34637277554663493</v>
      </c>
      <c r="BA55" s="139" t="str">
        <f>Input!B55</f>
        <v>Hu1-13</v>
      </c>
      <c r="BB55" s="151">
        <f>Input!E55</f>
        <v>0</v>
      </c>
      <c r="BC55" s="139">
        <f>((U55-1)*EXP(Constants!$B$17*AW55*1000))*1000</f>
        <v>0.83798885844090409</v>
      </c>
      <c r="BD55" s="145">
        <f>SQRT((EXP(Constants!$B$17*AW55*1000)*V55)^2+((U55-1)*Constants!$B$17*EXP(Constants!$B$17*AW55*1000)*AY55*1000)^2)*1000</f>
        <v>8.4682259260130426</v>
      </c>
      <c r="BE55" s="139">
        <f t="shared" si="200"/>
        <v>576208.70000000007</v>
      </c>
      <c r="BF55" s="152">
        <f t="shared" si="201"/>
        <v>40951.236967365621</v>
      </c>
      <c r="BG55" s="161">
        <f t="shared" si="202"/>
        <v>14.212598773229695</v>
      </c>
      <c r="BH55" s="139"/>
      <c r="BI55" s="18"/>
      <c r="BJ55" s="18"/>
      <c r="BK55" s="18"/>
      <c r="BL55" s="18"/>
      <c r="BM55" s="18"/>
      <c r="BN55" s="160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10908</v>
      </c>
      <c r="B56" s="18" t="str">
        <f>Input!B56</f>
        <v>M43_401_14_544.5</v>
      </c>
      <c r="C56" s="18">
        <f>Input!O56</f>
        <v>3.2267866542918422</v>
      </c>
      <c r="D56" s="18">
        <f>C56*Input!P56/100</f>
        <v>9.7575551607522078E-3</v>
      </c>
      <c r="E56" s="153">
        <f>Input!M56</f>
        <v>2.4605315563181431</v>
      </c>
      <c r="F56" s="154">
        <f>E56*Input!N56/100</f>
        <v>1.5567324238757502E-4</v>
      </c>
      <c r="G56" s="21">
        <f>E56*137.88</f>
        <v>339.25809098514554</v>
      </c>
      <c r="H56" s="154">
        <f>G56*Input!L56/100</f>
        <v>1.646983461056151E-2</v>
      </c>
      <c r="I56" s="18">
        <v>0.3</v>
      </c>
      <c r="J56" s="130">
        <f>(((C56*Constants!$B$24*0.000000001*Input!G56*(Constants!$B$4/Constants!$B$3))-(I56*0.000000000000001))/Input!F56)*1000000000000</f>
        <v>66.477997465079696</v>
      </c>
      <c r="K56" s="18">
        <f>J56*Input!P56/100</f>
        <v>0.20102436161346329</v>
      </c>
      <c r="L56" s="135">
        <f>(J56/Constants!$B$4)*602200000000*Constants!$B$17/(365.2425*24*60)</f>
        <v>0.91780256651252368</v>
      </c>
      <c r="M56" s="133">
        <f>L56*Input!P56/100</f>
        <v>2.7753645124056997E-3</v>
      </c>
      <c r="N56" s="18">
        <v>5.0000000000000001E-3</v>
      </c>
      <c r="O56" s="130">
        <f>(((G56*Constants!$B$23*0.000000001*Input!G56*(Constants!$B$7/Constants!$B$6))-(N56*0.000000001))/Input!F56)*1000000</f>
        <v>0.70406637686401408</v>
      </c>
      <c r="P56" s="18">
        <f>O56*Input!N56/100</f>
        <v>4.4544966497605742E-5</v>
      </c>
      <c r="Q56" s="131">
        <f>(O56/Constants!$B$7)*602200000000000000*Constants!$B$18/(365.2425*24*60)</f>
        <v>0.52531853911651227</v>
      </c>
      <c r="R56" s="132">
        <f>Q56*Input!N56/100</f>
        <v>3.3235924189056748E-5</v>
      </c>
      <c r="S56" s="133">
        <f>Input!S56*Constants!$B$17/Constants!$B$18</f>
        <v>1.7266113402534415</v>
      </c>
      <c r="T56" s="18">
        <f>S56*Input!T56/100</f>
        <v>8.9215503561219825E-4</v>
      </c>
      <c r="U56" s="18">
        <f>S56*1/((U55+U57)/2)</f>
        <v>1.7270847746860125</v>
      </c>
      <c r="V56" s="18">
        <f>U56*Input!T56/100</f>
        <v>8.9239966328445036E-4</v>
      </c>
      <c r="W56" s="134">
        <v>3.0000000000000001E-3</v>
      </c>
      <c r="X56" s="130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0.27640292013096218</v>
      </c>
      <c r="Y56" s="130">
        <f>X56*Input!X56/100</f>
        <v>5.1091601703866837E-4</v>
      </c>
      <c r="Z56" s="130">
        <f>(X56/Constants!$B$11)*6.022E+23*0.000000001*Constants!$B$19/(365.2425*24*60)</f>
        <v>6.7478888559556873E-5</v>
      </c>
      <c r="AA56" s="130">
        <f>Z56*Input!X56/100</f>
        <v>1.2473111702549996E-7</v>
      </c>
      <c r="AB56" s="135">
        <v>0.05</v>
      </c>
      <c r="AC56" s="135">
        <v>0.9</v>
      </c>
      <c r="AD56" s="130">
        <f>(((Input!G56*Constants!$B$25*0.000000001*Input!U56*(Constants!$B$10/Constants!$B$9))-((AB56*0.000000000000001)+(Input!G56*AC56*0.000000000000001)))/Input!F56)*1000000000000</f>
        <v>20.908732965116133</v>
      </c>
      <c r="AE56" s="130">
        <f>AD56*Input!V56/100</f>
        <v>3.8971411660693935E-2</v>
      </c>
      <c r="AF56" s="130">
        <f>(AD56/Constants!$B$10)*602200000000*Constants!$B$16/(365.2425*24*60)</f>
        <v>0.95439309293589625</v>
      </c>
      <c r="AG56" s="130">
        <f>AF56*Input!V56/100</f>
        <v>1.7788761362528191E-3</v>
      </c>
      <c r="AH56" s="18">
        <f>AF56/Z56</f>
        <v>14143.580508051031</v>
      </c>
      <c r="AI56" s="134">
        <f>AH56*SQRT((AG56/AF56)^2+(AA56/Z56)^2)</f>
        <v>37.127399319558087</v>
      </c>
      <c r="AJ56" s="133">
        <f t="shared" ref="AJ56:AJ57" si="248">(U56-1)*1000</f>
        <v>727.08477468601257</v>
      </c>
      <c r="AK56" s="134">
        <f>V56*1000</f>
        <v>0.89239966328445031</v>
      </c>
      <c r="AL56" s="134">
        <f>AF56/Q56</f>
        <v>1.8167892847280953</v>
      </c>
      <c r="AM56" s="134">
        <f>AL56*SQRT((R56/Q56)^2+(AG56/AF56)^2)</f>
        <v>3.3882312004040187E-3</v>
      </c>
      <c r="AN56" s="18">
        <f>AL56*1/((AN55+AN57)/2)</f>
        <v>1.8218707488356558</v>
      </c>
      <c r="AO56" s="130">
        <f>AN56*SQRT((R56/Q56)^2+(AG56/AF56)^2)</f>
        <v>3.3977079049275958E-3</v>
      </c>
      <c r="AP56" s="18">
        <f>ThU_Alter_Kombi(AN56,U56)</f>
        <v>294.90910000000002</v>
      </c>
      <c r="AQ56" s="18">
        <f t="shared" ref="AQ56:AQ57" si="249">Montealter(AN56,AO56,U56,V56)</f>
        <v>2.3451</v>
      </c>
      <c r="AR56" s="155">
        <f>(AQ56/AP56)</f>
        <v>7.9519418017280578E-3</v>
      </c>
      <c r="AS56" s="132">
        <f t="shared" ref="AS56:AS57" si="250">Z56/Q56</f>
        <v>1.2845327841093095E-4</v>
      </c>
      <c r="AT56" s="132">
        <f t="shared" ref="AT56:AT57" si="251">AS56*SQRT((Y56/X56)^2+(P56/O56)^2)</f>
        <v>2.3757805969290494E-7</v>
      </c>
      <c r="AU56" s="18">
        <v>0.75</v>
      </c>
      <c r="AV56" s="18">
        <f>AU56/2</f>
        <v>0.375</v>
      </c>
      <c r="AW56" s="18">
        <f t="shared" ref="AW56:AW57" si="252">marincorr_age(AN56,U56,AS56,AU56)</f>
        <v>294.90519999999998</v>
      </c>
      <c r="AX56" s="136">
        <f t="shared" ref="AX56:AX57" si="253">marincorr_age_error(AN56, AO56, U56, V56, AS56, AT56, AU56, AV56)</f>
        <v>2.232396322</v>
      </c>
      <c r="AY56" s="136">
        <f t="shared" ref="AY56:AY57" si="254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2.1704946218805623</v>
      </c>
      <c r="AZ56" s="155">
        <f t="shared" ref="AZ56:AZ57" si="255">AX56/AW56</f>
        <v>7.5698777844541232E-3</v>
      </c>
      <c r="BA56" s="18" t="str">
        <f>Input!B56</f>
        <v>M43_401_14_544.5</v>
      </c>
      <c r="BB56" s="137">
        <f>Input!E56</f>
        <v>544.5</v>
      </c>
      <c r="BC56" s="18">
        <f>((U56-1)*EXP(Constants!$B$17*AW56*1000))*1000</f>
        <v>1671.1766670798665</v>
      </c>
      <c r="BD56" s="133">
        <f>SQRT((EXP(Constants!$B$17*AW56*1000)*V56)^2+((U56-1)*Constants!$B$17*EXP(Constants!$B$17*AW56*1000)*AY56*1000)^2)*1000</f>
        <v>10.439881342972063</v>
      </c>
      <c r="BE56" s="18">
        <f t="shared" ref="BE56:BE57" si="256">AW56*1000-58</f>
        <v>294847.19999999995</v>
      </c>
      <c r="BF56" s="138">
        <f t="shared" ref="BF56:BF57" si="257">AY56/2*1000</f>
        <v>1085.2473109402811</v>
      </c>
      <c r="BG56" s="20">
        <f t="shared" ref="BG56:BG57" si="258">AY56/AW56*100</f>
        <v>0.73599740590554608</v>
      </c>
      <c r="BH56" s="18"/>
      <c r="BI56" s="18"/>
      <c r="BJ56" s="18"/>
      <c r="BK56" s="18"/>
      <c r="BL56" s="18"/>
      <c r="BM56" s="18"/>
      <c r="BN56" s="160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9">
        <f>Input!A57</f>
        <v>10815</v>
      </c>
      <c r="B57" s="139" t="str">
        <f>Input!B57</f>
        <v>Hu1-13</v>
      </c>
      <c r="C57" s="139">
        <f>Input!O57</f>
        <v>2.0771433094205509</v>
      </c>
      <c r="D57" s="139">
        <f>C57*Input!P57/100</f>
        <v>1.1755782982604291E-2</v>
      </c>
      <c r="E57" s="140">
        <f>Input!M57</f>
        <v>2.7323654959515951</v>
      </c>
      <c r="F57" s="141">
        <f>E57*Input!N57/100</f>
        <v>2.0721713506150982E-4</v>
      </c>
      <c r="G57" s="142">
        <f t="shared" ref="G57" si="259">E57*137.88</f>
        <v>376.73855458180589</v>
      </c>
      <c r="H57" s="141">
        <f>G57*Input!L57/100</f>
        <v>1.6839125228885386E-2</v>
      </c>
      <c r="I57" s="139">
        <v>0</v>
      </c>
      <c r="J57" s="143">
        <f>(((C57*Constants!$B$24*0.000000001*Input!G57*(Constants!$B$4/Constants!$B$3))-(I57*0.000000000000001))/Input!F57)*1000000000000</f>
        <v>749.92671624683305</v>
      </c>
      <c r="K57" s="139">
        <f>J57*Input!P57/100</f>
        <v>4.2442790004288051</v>
      </c>
      <c r="L57" s="144">
        <f>(J57/Constants!$B$4)*602200000000*Constants!$B$17/(365.2425*24*60)</f>
        <v>10.35357097254926</v>
      </c>
      <c r="M57" s="145">
        <f>L57*Input!P57/100</f>
        <v>5.8596984086877614E-2</v>
      </c>
      <c r="N57" s="139">
        <v>0</v>
      </c>
      <c r="O57" s="143">
        <f>(((G57*Constants!$B$23*0.000000001*Input!G57*(Constants!$B$7/Constants!$B$6))-(N57*0.000000001))/Input!F57)*1000000</f>
        <v>13.701683533358199</v>
      </c>
      <c r="P57" s="139">
        <f>O57*Input!N57/100</f>
        <v>1.0391082787089363E-3</v>
      </c>
      <c r="Q57" s="146">
        <f>(O57/Constants!$B$7)*602200000000000000*Constants!$B$18/(365.2425*24*60)</f>
        <v>10.223110510176657</v>
      </c>
      <c r="R57" s="147">
        <f>Q57*Input!N57/100</f>
        <v>7.7530025703909165E-4</v>
      </c>
      <c r="S57" s="145">
        <f>Input!S57*Constants!$B$17/Constants!$B$18</f>
        <v>0.9992869509651956</v>
      </c>
      <c r="T57" s="139">
        <f>S57*Input!T57/100</f>
        <v>1.0230499154115936E-3</v>
      </c>
      <c r="U57" s="145">
        <f>S57</f>
        <v>0.9992869509651956</v>
      </c>
      <c r="V57" s="139">
        <f>U57*Input!T57/100</f>
        <v>1.0230499154115936E-3</v>
      </c>
      <c r="W57" s="148">
        <v>0</v>
      </c>
      <c r="X57" s="143">
        <f>(((Constants!$B$25*0.000000001*Input!G57/Input!W57*(Constants!$B$11/Constants!$B$9))-(W57*0.000000001))/Input!F57)*1000000000</f>
        <v>0.88423246549270484</v>
      </c>
      <c r="Y57" s="143">
        <f>X57*Input!X57/100</f>
        <v>2.8118849343629964E-3</v>
      </c>
      <c r="Z57" s="143">
        <f>(X57/Constants!$B$11)*6.022E+23*0.000000001*Constants!$B$19/(365.2425*24*60)</f>
        <v>2.1586973094008441E-4</v>
      </c>
      <c r="AA57" s="143">
        <f>Z57*Input!X57/100</f>
        <v>6.8647201714900701E-7</v>
      </c>
      <c r="AB57" s="144">
        <v>0</v>
      </c>
      <c r="AC57" s="144">
        <v>0.9</v>
      </c>
      <c r="AD57" s="143">
        <f>(((Input!G57*Constants!$B$25*0.000000001*Input!U57*(Constants!$B$10/Constants!$B$9))-((AB57*0.000000000000001)+(Input!G57*AC57*0.000000000000001)))/Input!F57)*1000000000000</f>
        <v>223.80065875702766</v>
      </c>
      <c r="AE57" s="143">
        <f>AD57*Input!V57/100</f>
        <v>0.51146485614991077</v>
      </c>
      <c r="AF57" s="143">
        <f>(AD57/Constants!$B$10)*602200000000*Constants!$B$16/(365.2425*24*60)</f>
        <v>10.215530671732616</v>
      </c>
      <c r="AG57" s="143">
        <f>AF57*Input!V57/100</f>
        <v>2.3346155254999466E-2</v>
      </c>
      <c r="AH57" s="139">
        <f t="shared" ref="AH57" si="260">AF57/Z57</f>
        <v>47322.663660372011</v>
      </c>
      <c r="AI57" s="148">
        <f t="shared" ref="AI57" si="261">AH57*SQRT((AG57/AF57)^2+(AA57/Z57)^2)</f>
        <v>185.31793574821111</v>
      </c>
      <c r="AJ57" s="145">
        <f t="shared" si="248"/>
        <v>-0.71304903480440274</v>
      </c>
      <c r="AK57" s="148">
        <f t="shared" ref="AK57" si="262">V57*1000</f>
        <v>1.0230499154115935</v>
      </c>
      <c r="AL57" s="148">
        <f t="shared" ref="AL57" si="263">AF57/Q57</f>
        <v>0.99925855849484402</v>
      </c>
      <c r="AM57" s="148">
        <f t="shared" ref="AM57" si="264">AL57*SQRT((R57/Q57)^2+(AG57/AF57)^2)</f>
        <v>2.2849216046870648E-3</v>
      </c>
      <c r="AN57" s="139">
        <f>AF57/Q57</f>
        <v>0.99925855849484402</v>
      </c>
      <c r="AO57" s="143">
        <f t="shared" ref="AO57" si="265">AN57*SQRT((R57/Q57)^2+(AG57/AF57)^2)</f>
        <v>2.2849216046870648E-3</v>
      </c>
      <c r="AP57" s="139" t="str">
        <f t="shared" ref="AP57" si="266">ThU_Alter_Kombi(AN57,U57)</f>
        <v>Out of range</v>
      </c>
      <c r="AQ57" s="139" t="e">
        <f t="shared" si="249"/>
        <v>#VALUE!</v>
      </c>
      <c r="AR57" s="139" t="e">
        <f>(AQ57/AP57)*100</f>
        <v>#VALUE!</v>
      </c>
      <c r="AS57" s="147">
        <f t="shared" si="250"/>
        <v>2.1115856150160519E-5</v>
      </c>
      <c r="AT57" s="147">
        <f t="shared" si="251"/>
        <v>6.7168128503896576E-8</v>
      </c>
      <c r="AU57" s="139">
        <v>0.75</v>
      </c>
      <c r="AV57" s="139">
        <f t="shared" ref="AV57" si="267">AU57/2</f>
        <v>0.375</v>
      </c>
      <c r="AW57" s="139" t="str">
        <f t="shared" si="252"/>
        <v>Out of range</v>
      </c>
      <c r="AX57" s="149">
        <f t="shared" si="253"/>
        <v>354.853105046</v>
      </c>
      <c r="AY57" s="149" t="e">
        <f t="shared" si="254"/>
        <v>#VALUE!</v>
      </c>
      <c r="AZ57" s="150" t="e">
        <f t="shared" si="255"/>
        <v>#VALUE!</v>
      </c>
      <c r="BA57" s="139" t="str">
        <f>Input!B57</f>
        <v>Hu1-13</v>
      </c>
      <c r="BB57" s="151">
        <f>Input!E57</f>
        <v>0</v>
      </c>
      <c r="BC57" s="139" t="e">
        <f>((U57-1)*EXP(Constants!$B$17*AW57*1000))*1000</f>
        <v>#VALUE!</v>
      </c>
      <c r="BD57" s="145" t="e">
        <f>SQRT((EXP(Constants!$B$17*AW57*1000)*V57)^2+((U57-1)*Constants!$B$17*EXP(Constants!$B$17*AW57*1000)*AY57*1000)^2)*1000</f>
        <v>#VALUE!</v>
      </c>
      <c r="BE57" s="139" t="e">
        <f t="shared" si="256"/>
        <v>#VALUE!</v>
      </c>
      <c r="BF57" s="152" t="e">
        <f t="shared" si="257"/>
        <v>#VALUE!</v>
      </c>
      <c r="BG57" s="161" t="e">
        <f t="shared" si="258"/>
        <v>#VALUE!</v>
      </c>
      <c r="BH57" s="139"/>
      <c r="BI57" s="18"/>
      <c r="BJ57" s="18"/>
      <c r="BK57" s="18"/>
      <c r="BL57" s="18"/>
      <c r="BM57" s="18"/>
      <c r="BN57" s="160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9">
        <f>Input!A59</f>
        <v>10815</v>
      </c>
      <c r="B59" s="139" t="str">
        <f>Input!B59</f>
        <v>Hu1-13</v>
      </c>
      <c r="C59" s="139">
        <f>Input!O59</f>
        <v>2.0930766771954303</v>
      </c>
      <c r="D59" s="139">
        <f>C59*Input!P59/100</f>
        <v>1.8345839675120199E-2</v>
      </c>
      <c r="E59" s="140">
        <f>Input!M59</f>
        <v>2.7322124121781779</v>
      </c>
      <c r="F59" s="141">
        <f>E59*Input!N59/100</f>
        <v>4.3697647368653466E-4</v>
      </c>
      <c r="G59" s="142">
        <f t="shared" ref="G59" si="268">E59*137.88</f>
        <v>376.71744739112717</v>
      </c>
      <c r="H59" s="141">
        <f>G59*Input!L59/100</f>
        <v>2.3125931264275042E-2</v>
      </c>
      <c r="I59" s="139">
        <v>0</v>
      </c>
      <c r="J59" s="143">
        <f>(((C59*Constants!$B$24*0.000000001*Input!G59*(Constants!$B$4/Constants!$B$3))-(I59*0.000000000000001))/Input!F59)*1000000000000</f>
        <v>755.67926019504114</v>
      </c>
      <c r="K59" s="139">
        <f>J59*Input!P59/100</f>
        <v>6.6235368748782948</v>
      </c>
      <c r="L59" s="144">
        <f>(J59/Constants!$B$4)*602200000000*Constants!$B$17/(365.2425*24*60)</f>
        <v>10.432991228889184</v>
      </c>
      <c r="M59" s="145">
        <f>L59*Input!P59/100</f>
        <v>9.1445280768978274E-2</v>
      </c>
      <c r="N59" s="139">
        <v>0</v>
      </c>
      <c r="O59" s="143">
        <f>(((G59*Constants!$B$23*0.000000001*Input!G59*(Constants!$B$7/Constants!$B$6))-(N59*0.000000001))/Input!F59)*1000000</f>
        <v>13.700915881512001</v>
      </c>
      <c r="P59" s="139">
        <f>O59*Input!N59/100</f>
        <v>2.1912563904231768E-3</v>
      </c>
      <c r="Q59" s="146">
        <f>(O59/Constants!$B$7)*602200000000000000*Constants!$B$18/(365.2425*24*60)</f>
        <v>10.222537749198933</v>
      </c>
      <c r="R59" s="147">
        <f>Q59*Input!N59/100</f>
        <v>1.6349418800170228E-3</v>
      </c>
      <c r="S59" s="145">
        <f>Input!S59*Constants!$B$17/Constants!$B$18</f>
        <v>1.0001642935774444</v>
      </c>
      <c r="T59" s="139">
        <f>S59*Input!T59/100</f>
        <v>1.5935044827275707E-3</v>
      </c>
      <c r="U59" s="145">
        <f>S59</f>
        <v>1.0001642935774444</v>
      </c>
      <c r="V59" s="139">
        <f>U59*Input!T59/100</f>
        <v>1.5935044827275707E-3</v>
      </c>
      <c r="W59" s="148">
        <v>0</v>
      </c>
      <c r="X59" s="143">
        <f>(((Constants!$B$25*0.000000001*Input!G59/Input!W59*(Constants!$B$11/Constants!$B$9))-(W59*0.000000001))/Input!F59)*1000000000</f>
        <v>0.95543508326183535</v>
      </c>
      <c r="Y59" s="143">
        <f>X59*Input!X59/100</f>
        <v>5.841769918352193E-3</v>
      </c>
      <c r="Z59" s="143">
        <f>(X59/Constants!$B$11)*6.022E+23*0.000000001*Constants!$B$19/(365.2425*24*60)</f>
        <v>2.3325259182778918E-4</v>
      </c>
      <c r="AA59" s="143">
        <f>Z59*Input!X59/100</f>
        <v>1.426164894076682E-6</v>
      </c>
      <c r="AB59" s="144">
        <v>0</v>
      </c>
      <c r="AC59" s="144">
        <v>0.9</v>
      </c>
      <c r="AD59" s="143">
        <f>(((Input!G59*Constants!$B$25*0.000000001*Input!U59*(Constants!$B$10/Constants!$B$9))-((AB59*0.000000000000001)+(Input!G59*AC59*0.000000000000001)))/Input!F59)*1000000000000</f>
        <v>223.16795073478866</v>
      </c>
      <c r="AE59" s="143">
        <f>AD59*Input!V59/100</f>
        <v>0.75051109409578931</v>
      </c>
      <c r="AF59" s="143">
        <f>(AD59/Constants!$B$10)*602200000000*Constants!$B$16/(365.2425*24*60)</f>
        <v>10.186650291114741</v>
      </c>
      <c r="AG59" s="143">
        <f>AF59*Input!V59/100</f>
        <v>3.4257580579933777E-2</v>
      </c>
      <c r="AH59" s="139">
        <f t="shared" ref="AH59" si="269">AF59/Z59</f>
        <v>43672.184781704651</v>
      </c>
      <c r="AI59" s="148">
        <f t="shared" ref="AI59" si="270">AH59*SQRT((AG59/AF59)^2+(AA59/Z59)^2)</f>
        <v>304.74847409069878</v>
      </c>
      <c r="AJ59" s="145">
        <f t="shared" ref="AJ59:AJ67" si="271">(U59-1)*1000</f>
        <v>0.16429357744440765</v>
      </c>
      <c r="AK59" s="148">
        <f t="shared" ref="AK59" si="272">V59*1000</f>
        <v>1.5935044827275708</v>
      </c>
      <c r="AL59" s="148">
        <f t="shared" ref="AL59" si="273">AF59/Q59</f>
        <v>0.99648937876634358</v>
      </c>
      <c r="AM59" s="148">
        <f t="shared" ref="AM59" si="274">AL59*SQRT((R59/Q59)^2+(AG59/AF59)^2)</f>
        <v>3.3549691739982851E-3</v>
      </c>
      <c r="AN59" s="139">
        <f>AF59/Q59</f>
        <v>0.99648937876634358</v>
      </c>
      <c r="AO59" s="143">
        <f t="shared" ref="AO59" si="275">AN59*SQRT((R59/Q59)^2+(AG59/AF59)^2)</f>
        <v>3.3549691739982851E-3</v>
      </c>
      <c r="AP59" s="139">
        <f t="shared" ref="AP59" si="276">ThU_Alter_Kombi(AN59,U59)</f>
        <v>609.33280000000002</v>
      </c>
      <c r="AQ59" s="139" t="e">
        <f t="shared" ref="AQ59:AQ67" si="277">Montealter(AN59,AO59,U59,V59)</f>
        <v>#VALUE!</v>
      </c>
      <c r="AR59" s="139" t="e">
        <f>(AQ59/AP59)*100</f>
        <v>#VALUE!</v>
      </c>
      <c r="AS59" s="147">
        <f t="shared" ref="AS59:AS67" si="278">Z59/Q59</f>
        <v>2.2817484028960178E-5</v>
      </c>
      <c r="AT59" s="147">
        <f t="shared" ref="AT59:AT67" si="279">AS59*SQRT((Y59/X59)^2+(P59/O59)^2)</f>
        <v>1.3955954543017606E-7</v>
      </c>
      <c r="AU59" s="139">
        <v>0.75</v>
      </c>
      <c r="AV59" s="139">
        <f t="shared" ref="AV59" si="280">AU59/2</f>
        <v>0.375</v>
      </c>
      <c r="AW59" s="139">
        <f t="shared" ref="AW59:AW67" si="281">marincorr_age(AN59,U59,AS59,AU59)</f>
        <v>609.33100000000002</v>
      </c>
      <c r="AX59" s="149">
        <f t="shared" ref="AX59:AX67" si="282">marincorr_age_error(AN59, AO59, U59, V59, AS59, AT59, AU59, AV59)</f>
        <v>263.1206772045</v>
      </c>
      <c r="AY59" s="149">
        <f t="shared" ref="AY59:AY67" si="283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116.92931961300626</v>
      </c>
      <c r="AZ59" s="150">
        <f t="shared" ref="AZ59:AZ67" si="284">AX59/AW59</f>
        <v>0.43181895751980448</v>
      </c>
      <c r="BA59" s="139" t="str">
        <f>Input!B59</f>
        <v>Hu1-13</v>
      </c>
      <c r="BB59" s="151">
        <f>Input!E59</f>
        <v>0</v>
      </c>
      <c r="BC59" s="139">
        <f>((U59-1)*EXP(Constants!$B$17*AW59*1000))*1000</f>
        <v>0.91710647305843718</v>
      </c>
      <c r="BD59" s="145">
        <f>SQRT((EXP(Constants!$B$17*AW59*1000)*V59)^2+((U59-1)*Constants!$B$17*EXP(Constants!$B$17*AW59*1000)*AY59*1000)^2)*1000</f>
        <v>8.9002798116418358</v>
      </c>
      <c r="BE59" s="139">
        <f t="shared" ref="BE59:BE67" si="285">AW59*1000-58</f>
        <v>609273</v>
      </c>
      <c r="BF59" s="152">
        <f t="shared" ref="BF59:BF67" si="286">AY59/2*1000</f>
        <v>58464.659806503128</v>
      </c>
      <c r="BG59" s="161">
        <f t="shared" ref="BG59:BG67" si="287">AY59/AW59*100</f>
        <v>19.189786768276399</v>
      </c>
      <c r="BH59" s="139"/>
      <c r="BI59" s="18"/>
      <c r="BJ59" s="18"/>
      <c r="BK59" s="18"/>
      <c r="BL59" s="18"/>
      <c r="BM59" s="18"/>
      <c r="BN59" s="160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10969</v>
      </c>
      <c r="B60" s="18" t="str">
        <f>Input!B60</f>
        <v>M43_401_5A-2</v>
      </c>
      <c r="C60" s="18">
        <f>Input!O60</f>
        <v>0.2067105606216971</v>
      </c>
      <c r="D60" s="18">
        <f>C60*Input!P60/100</f>
        <v>1.080315124628409E-3</v>
      </c>
      <c r="E60" s="153">
        <f>Input!M60</f>
        <v>0.23922774704080635</v>
      </c>
      <c r="F60" s="154">
        <f>E60*Input!N60/100</f>
        <v>2.6594691596064776E-5</v>
      </c>
      <c r="G60" s="21">
        <f>E60*137.88</f>
        <v>32.984721761986378</v>
      </c>
      <c r="H60" s="154">
        <f>G60*Input!L60/100</f>
        <v>4.4992819864673843E-3</v>
      </c>
      <c r="I60" s="18">
        <v>0.3</v>
      </c>
      <c r="J60" s="130">
        <f>(((C60*Constants!$B$24*0.000000001*Input!G60*(Constants!$B$4/Constants!$B$3))-(I60*0.000000000000001))/Input!F60)*1000000000000</f>
        <v>12.700470428231629</v>
      </c>
      <c r="K60" s="18">
        <f>J60*Input!P60/100</f>
        <v>6.6375468443649124E-2</v>
      </c>
      <c r="L60" s="135">
        <f>(J60/Constants!$B$4)*602200000000*Constants!$B$17/(365.2425*24*60)</f>
        <v>0.17534409578252516</v>
      </c>
      <c r="M60" s="133">
        <f>L60*Input!P60/100</f>
        <v>9.1638703953218065E-4</v>
      </c>
      <c r="N60" s="18">
        <v>5.0000000000000001E-3</v>
      </c>
      <c r="O60" s="130">
        <f>(((G60*Constants!$B$23*0.000000001*Input!G60*(Constants!$B$7/Constants!$B$6))-(N60*0.000000001))/Input!F60)*1000000</f>
        <v>0.20414823592564488</v>
      </c>
      <c r="P60" s="18">
        <f>O60*Input!N60/100</f>
        <v>2.2694940037190162E-5</v>
      </c>
      <c r="Q60" s="131">
        <f>(O60/Constants!$B$7)*602200000000000000*Constants!$B$18/(365.2425*24*60)</f>
        <v>0.15231923662843244</v>
      </c>
      <c r="R60" s="132">
        <f>Q60*Input!N60/100</f>
        <v>1.6933165873899206E-5</v>
      </c>
      <c r="S60" s="133">
        <f>Input!S60*Constants!$B$17/Constants!$B$18</f>
        <v>1.1409370967348029</v>
      </c>
      <c r="T60" s="18">
        <f>S60*Input!T60/100</f>
        <v>5.0232082973222063E-3</v>
      </c>
      <c r="U60" s="18">
        <f>S60*1/((U59+U61)/2)</f>
        <v>1.1400234236351225</v>
      </c>
      <c r="V60" s="18">
        <f>U60*Input!T60/100</f>
        <v>5.0191856651293446E-3</v>
      </c>
      <c r="W60" s="134">
        <v>3.0000000000000001E-3</v>
      </c>
      <c r="X60" s="130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13.258727752019945</v>
      </c>
      <c r="Y60" s="130">
        <f>X60*Input!X60/100</f>
        <v>1.4427973960766454E-2</v>
      </c>
      <c r="Z60" s="130">
        <f>(X60/Constants!$B$11)*6.022E+23*0.000000001*Constants!$B$19/(365.2425*24*60)</f>
        <v>3.2368840821079183E-3</v>
      </c>
      <c r="AA60" s="130">
        <f>Z60*Input!X60/100</f>
        <v>3.5223348819088277E-6</v>
      </c>
      <c r="AB60" s="135">
        <v>0.05</v>
      </c>
      <c r="AC60" s="135">
        <v>0.9</v>
      </c>
      <c r="AD60" s="130">
        <f>(((Input!G60*Constants!$B$25*0.000000001*Input!U60*(Constants!$B$10/Constants!$B$9))-((AB60*0.000000000000001)+(Input!G60*AC60*0.000000000000001)))/Input!F60)*1000000000000</f>
        <v>4.0830067476724983</v>
      </c>
      <c r="AE60" s="130">
        <f>AD60*Input!V60/100</f>
        <v>9.3751990454259155E-3</v>
      </c>
      <c r="AF60" s="130">
        <f>(AD60/Constants!$B$10)*602200000000*Constants!$B$16/(365.2425*24*60)</f>
        <v>0.18637157234207596</v>
      </c>
      <c r="AG60" s="130">
        <f>AF60*Input!V60/100</f>
        <v>4.2793722741506175E-4</v>
      </c>
      <c r="AH60" s="18">
        <f>AF60/Z60</f>
        <v>57.577462650657353</v>
      </c>
      <c r="AI60" s="134">
        <f>AH60*SQRT((AG60/AF60)^2+(AA60/Z60)^2)</f>
        <v>0.14630181804742112</v>
      </c>
      <c r="AJ60" s="133">
        <f t="shared" si="271"/>
        <v>140.02342363512255</v>
      </c>
      <c r="AK60" s="134">
        <f>V60*1000</f>
        <v>5.0191856651293447</v>
      </c>
      <c r="AL60" s="134">
        <f>AF60/Q60</f>
        <v>1.2235589966663947</v>
      </c>
      <c r="AM60" s="134">
        <f>AL60*SQRT((R60/Q60)^2+(AG60/AF60)^2)</f>
        <v>2.812766761902806E-3</v>
      </c>
      <c r="AN60" s="18">
        <f>AL60*1/((AN59+AN61)/2)</f>
        <v>1.225682704503126</v>
      </c>
      <c r="AO60" s="130">
        <f>AN60*SQRT((R60/Q60)^2+(AG60/AF60)^2)</f>
        <v>2.8176488271170093E-3</v>
      </c>
      <c r="AP60" s="18" t="str">
        <f>ThU_Alter_Kombi(AN60,U60)</f>
        <v>Out of range</v>
      </c>
      <c r="AQ60" s="18" t="e">
        <f t="shared" si="277"/>
        <v>#VALUE!</v>
      </c>
      <c r="AR60" s="155" t="e">
        <f>(AQ60/AP60)</f>
        <v>#VALUE!</v>
      </c>
      <c r="AS60" s="132">
        <f t="shared" si="278"/>
        <v>2.125065851008677E-2</v>
      </c>
      <c r="AT60" s="132">
        <f t="shared" si="279"/>
        <v>2.3245046944195278E-5</v>
      </c>
      <c r="AU60" s="18">
        <v>0.75</v>
      </c>
      <c r="AV60" s="18">
        <f>AU60/2</f>
        <v>0.375</v>
      </c>
      <c r="AW60" s="18" t="str">
        <f t="shared" si="281"/>
        <v>Out of range</v>
      </c>
      <c r="AX60" s="136">
        <f t="shared" si="282"/>
        <v>0</v>
      </c>
      <c r="AY60" s="136" t="e">
        <f t="shared" si="283"/>
        <v>#VALUE!</v>
      </c>
      <c r="AZ60" s="155" t="e">
        <f t="shared" si="284"/>
        <v>#VALUE!</v>
      </c>
      <c r="BA60" s="18" t="str">
        <f>Input!B60</f>
        <v>M43_401_5A-2</v>
      </c>
      <c r="BB60" s="137">
        <f>Input!E60</f>
        <v>0</v>
      </c>
      <c r="BC60" s="18" t="e">
        <f>((U60-1)*EXP(Constants!$B$17*AW60*1000))*1000</f>
        <v>#VALUE!</v>
      </c>
      <c r="BD60" s="133" t="e">
        <f>SQRT((EXP(Constants!$B$17*AW60*1000)*V60)^2+((U60-1)*Constants!$B$17*EXP(Constants!$B$17*AW60*1000)*AY60*1000)^2)*1000</f>
        <v>#VALUE!</v>
      </c>
      <c r="BE60" s="18" t="e">
        <f t="shared" si="285"/>
        <v>#VALUE!</v>
      </c>
      <c r="BF60" s="138" t="e">
        <f t="shared" si="286"/>
        <v>#VALUE!</v>
      </c>
      <c r="BG60" s="20" t="e">
        <f t="shared" si="287"/>
        <v>#VALUE!</v>
      </c>
      <c r="BH60" s="18"/>
      <c r="BI60" s="18"/>
      <c r="BJ60" s="18"/>
      <c r="BK60" s="18"/>
      <c r="BL60" s="18"/>
      <c r="BM60" s="18"/>
      <c r="BN60" s="160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9">
        <f>Input!A61</f>
        <v>10815</v>
      </c>
      <c r="B61" s="139" t="str">
        <f>Input!B61</f>
        <v>Hu1-13</v>
      </c>
      <c r="C61" s="139">
        <f>Input!O61</f>
        <v>2.1034782654186004</v>
      </c>
      <c r="D61" s="139">
        <f>C61*Input!P61/100</f>
        <v>1.9823092475386592E-2</v>
      </c>
      <c r="E61" s="140">
        <f>Input!M61</f>
        <v>2.732052831016492</v>
      </c>
      <c r="F61" s="141">
        <f>E61*Input!N61/100</f>
        <v>3.3467203577411614E-4</v>
      </c>
      <c r="G61" s="142">
        <f t="shared" ref="G61" si="288">E61*137.88</f>
        <v>376.69544434055388</v>
      </c>
      <c r="H61" s="141">
        <f>G61*Input!L61/100</f>
        <v>2.5620609740924217E-2</v>
      </c>
      <c r="I61" s="139">
        <v>0</v>
      </c>
      <c r="J61" s="143">
        <f>(((C61*Constants!$B$24*0.000000001*Input!G61*(Constants!$B$4/Constants!$B$3))-(I61*0.000000000000001))/Input!F61)*1000000000000</f>
        <v>759.43462404720117</v>
      </c>
      <c r="K61" s="139">
        <f>J61*Input!P61/100</f>
        <v>7.1568805958174444</v>
      </c>
      <c r="L61" s="144">
        <f>(J61/Constants!$B$4)*602200000000*Constants!$B$17/(365.2425*24*60)</f>
        <v>10.484838196504466</v>
      </c>
      <c r="M61" s="145">
        <f>L61*Input!P61/100</f>
        <v>9.8808683015991258E-2</v>
      </c>
      <c r="N61" s="139">
        <v>0</v>
      </c>
      <c r="O61" s="143">
        <f>(((G61*Constants!$B$23*0.000000001*Input!G61*(Constants!$B$7/Constants!$B$6))-(N61*0.000000001))/Input!F61)*1000000</f>
        <v>13.700115647949342</v>
      </c>
      <c r="P61" s="139">
        <f>O61*Input!N61/100</f>
        <v>1.6782419220400327E-3</v>
      </c>
      <c r="Q61" s="146">
        <f>(O61/Constants!$B$7)*602200000000000000*Constants!$B$18/(365.2425*24*60)</f>
        <v>10.221940678326211</v>
      </c>
      <c r="R61" s="147">
        <f>Q61*Input!N61/100</f>
        <v>1.2521711357627227E-3</v>
      </c>
      <c r="S61" s="145">
        <f>Input!S61*Constants!$B$17/Constants!$B$18</f>
        <v>1.0014386087502414</v>
      </c>
      <c r="T61" s="139">
        <f>S61*Input!T61/100</f>
        <v>1.7316206710602763E-3</v>
      </c>
      <c r="U61" s="145">
        <f>S61</f>
        <v>1.0014386087502414</v>
      </c>
      <c r="V61" s="139">
        <f>U61*Input!T61/100</f>
        <v>1.7316206710602763E-3</v>
      </c>
      <c r="W61" s="148">
        <v>0</v>
      </c>
      <c r="X61" s="143">
        <f>(((Constants!$B$25*0.000000001*Input!G61/Input!W61*(Constants!$B$11/Constants!$B$9))-(W61*0.000000001))/Input!F61)*1000000000</f>
        <v>0.94870010257140747</v>
      </c>
      <c r="Y61" s="143">
        <f>X61*Input!X61/100</f>
        <v>4.5470738288187961E-3</v>
      </c>
      <c r="Z61" s="143">
        <f>(X61/Constants!$B$11)*6.022E+23*0.000000001*Constants!$B$19/(365.2425*24*60)</f>
        <v>2.3160836530787822E-4</v>
      </c>
      <c r="AA61" s="143">
        <f>Z61*Input!X61/100</f>
        <v>1.1100877227402722E-6</v>
      </c>
      <c r="AB61" s="144">
        <v>0</v>
      </c>
      <c r="AC61" s="144">
        <v>0.9</v>
      </c>
      <c r="AD61" s="143">
        <f>(((Input!G61*Constants!$B$25*0.000000001*Input!U61*(Constants!$B$10/Constants!$B$9))-((AB61*0.000000000000001)+(Input!G61*AC61*0.000000000000001)))/Input!F61)*1000000000000</f>
        <v>223.9512272359878</v>
      </c>
      <c r="AE61" s="143">
        <f>AD61*Input!V61/100</f>
        <v>0.50764174326993239</v>
      </c>
      <c r="AF61" s="143">
        <f>(AD61/Constants!$B$10)*602200000000*Constants!$B$16/(365.2425*24*60)</f>
        <v>10.222403470604416</v>
      </c>
      <c r="AG61" s="143">
        <f>AF61*Input!V61/100</f>
        <v>2.3171646711978081E-2</v>
      </c>
      <c r="AH61" s="139">
        <f t="shared" ref="AH61" si="289">AF61/Z61</f>
        <v>44136.590045077697</v>
      </c>
      <c r="AI61" s="148">
        <f t="shared" ref="AI61" si="290">AH61*SQRT((AG61/AF61)^2+(AA61/Z61)^2)</f>
        <v>234.00947084671145</v>
      </c>
      <c r="AJ61" s="145">
        <f t="shared" si="271"/>
        <v>1.4386087502413769</v>
      </c>
      <c r="AK61" s="148">
        <f t="shared" ref="AK61" si="291">V61*1000</f>
        <v>1.7316206710602762</v>
      </c>
      <c r="AL61" s="148">
        <f t="shared" ref="AL61" si="292">AF61/Q61</f>
        <v>1.0000452744046133</v>
      </c>
      <c r="AM61" s="148">
        <f t="shared" ref="AM61" si="293">AL61*SQRT((R61/Q61)^2+(AG61/AF61)^2)</f>
        <v>2.2701616880321423E-3</v>
      </c>
      <c r="AN61" s="139">
        <f>AF61/Q61</f>
        <v>1.0000452744046133</v>
      </c>
      <c r="AO61" s="143">
        <f t="shared" ref="AO61" si="294">AN61*SQRT((R61/Q61)^2+(AG61/AF61)^2)</f>
        <v>2.2701616880321423E-3</v>
      </c>
      <c r="AP61" s="139">
        <f t="shared" ref="AP61" si="295">ThU_Alter_Kombi(AN61,U61)</f>
        <v>677.42100000000005</v>
      </c>
      <c r="AQ61" s="139" t="e">
        <f t="shared" si="277"/>
        <v>#VALUE!</v>
      </c>
      <c r="AR61" s="139" t="e">
        <f>(AQ61/AP61)*100</f>
        <v>#VALUE!</v>
      </c>
      <c r="AS61" s="147">
        <f t="shared" si="278"/>
        <v>2.2657964137765166E-5</v>
      </c>
      <c r="AT61" s="147">
        <f t="shared" si="279"/>
        <v>1.0863399232457585E-7</v>
      </c>
      <c r="AU61" s="139">
        <v>0.75</v>
      </c>
      <c r="AV61" s="139">
        <f t="shared" ref="AV61" si="296">AU61/2</f>
        <v>0.375</v>
      </c>
      <c r="AW61" s="139">
        <f t="shared" si="281"/>
        <v>677.41920000000005</v>
      </c>
      <c r="AX61" s="149">
        <f t="shared" si="282"/>
        <v>305.75428134330002</v>
      </c>
      <c r="AY61" s="149">
        <f t="shared" si="283"/>
        <v>179.42383968163955</v>
      </c>
      <c r="AZ61" s="150">
        <f t="shared" si="284"/>
        <v>0.45135166133953686</v>
      </c>
      <c r="BA61" s="139" t="str">
        <f>Input!B61</f>
        <v>Hu1-13</v>
      </c>
      <c r="BB61" s="151">
        <f>Input!E61</f>
        <v>0</v>
      </c>
      <c r="BC61" s="139">
        <f>((U61-1)*EXP(Constants!$B$17*AW61*1000))*1000</f>
        <v>9.7317538179005254</v>
      </c>
      <c r="BD61" s="145">
        <f>SQRT((EXP(Constants!$B$17*AW61*1000)*V61)^2+((U61-1)*Constants!$B$17*EXP(Constants!$B$17*AW61*1000)*AY61*1000)^2)*1000</f>
        <v>12.70813573620396</v>
      </c>
      <c r="BE61" s="139">
        <f t="shared" si="285"/>
        <v>677361.20000000007</v>
      </c>
      <c r="BF61" s="152">
        <f t="shared" si="286"/>
        <v>89711.91984081977</v>
      </c>
      <c r="BG61" s="161">
        <f t="shared" si="287"/>
        <v>26.486382387986573</v>
      </c>
      <c r="BH61" s="139"/>
      <c r="BI61" s="18"/>
      <c r="BJ61" s="18"/>
      <c r="BK61" s="18"/>
      <c r="BL61" s="18"/>
      <c r="BM61" s="18"/>
      <c r="BN61" s="160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10970</v>
      </c>
      <c r="B62" s="18" t="str">
        <f>Input!B62</f>
        <v>M43_401_5A-3</v>
      </c>
      <c r="C62" s="18">
        <f>Input!O62</f>
        <v>0.40178350270334173</v>
      </c>
      <c r="D62" s="18">
        <f>C62*Input!P62/100</f>
        <v>1.0948901259732091E-3</v>
      </c>
      <c r="E62" s="153">
        <f>Input!M62</f>
        <v>0.47594446957694264</v>
      </c>
      <c r="F62" s="154">
        <f>E62*Input!N62/100</f>
        <v>3.2526174316024607E-5</v>
      </c>
      <c r="G62" s="21">
        <f>E62*137.88</f>
        <v>65.62322346526885</v>
      </c>
      <c r="H62" s="154">
        <f>G62*Input!L62/100</f>
        <v>5.6665203483463348E-3</v>
      </c>
      <c r="I62" s="18">
        <v>0.3</v>
      </c>
      <c r="J62" s="130">
        <f>(((C62*Constants!$B$24*0.000000001*Input!G62*(Constants!$B$4/Constants!$B$3))-(I62*0.000000000000001))/Input!F62)*1000000000000</f>
        <v>19.359867815173786</v>
      </c>
      <c r="K62" s="18">
        <f>J62*Input!P62/100</f>
        <v>5.2757089249209743E-2</v>
      </c>
      <c r="L62" s="135">
        <f>(J62/Constants!$B$4)*602200000000*Constants!$B$17/(365.2425*24*60)</f>
        <v>0.26728447073700379</v>
      </c>
      <c r="M62" s="133">
        <f>L62*Input!P62/100</f>
        <v>7.2837019406443281E-4</v>
      </c>
      <c r="N62" s="18">
        <v>5.0000000000000001E-3</v>
      </c>
      <c r="O62" s="130">
        <f>(((G62*Constants!$B$23*0.000000001*Input!G62*(Constants!$B$7/Constants!$B$6))-(N62*0.000000001))/Input!F62)*1000000</f>
        <v>0.3185285045606831</v>
      </c>
      <c r="P62" s="18">
        <f>O62*Input!N62/100</f>
        <v>2.1768324513094286E-5</v>
      </c>
      <c r="Q62" s="131">
        <f>(O62/Constants!$B$7)*602200000000000000*Constants!$B$18/(365.2425*24*60)</f>
        <v>0.23766072941600488</v>
      </c>
      <c r="R62" s="132">
        <f>Q62*Input!N62/100</f>
        <v>1.6241798796253995E-5</v>
      </c>
      <c r="S62" s="133">
        <f>Input!S62*Constants!$B$17/Constants!$B$18</f>
        <v>1.1227894361571127</v>
      </c>
      <c r="T62" s="18">
        <f>S62*Input!T62/100</f>
        <v>2.5382589716655855E-3</v>
      </c>
      <c r="U62" s="18">
        <f>S62*1/((U61+U63)/2)</f>
        <v>1.1222828108293905</v>
      </c>
      <c r="V62" s="18">
        <f>U62*Input!T62/100</f>
        <v>2.5371136578231568E-3</v>
      </c>
      <c r="W62" s="134">
        <v>3.0000000000000001E-3</v>
      </c>
      <c r="X62" s="130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4.2549150104113558</v>
      </c>
      <c r="Y62" s="130">
        <f>X62*Input!X62/100</f>
        <v>6.7001346355028057E-3</v>
      </c>
      <c r="Z62" s="130">
        <f>(X62/Constants!$B$11)*6.022E+23*0.000000001*Constants!$B$19/(365.2425*24*60)</f>
        <v>1.0387623100432334E-3</v>
      </c>
      <c r="AA62" s="130">
        <f>Z62*Input!X62/100</f>
        <v>1.6357194713749898E-6</v>
      </c>
      <c r="AB62" s="135">
        <v>0.05</v>
      </c>
      <c r="AC62" s="135">
        <v>0.9</v>
      </c>
      <c r="AD62" s="130">
        <f>(((Input!G62*Constants!$B$25*0.000000001*Input!U62*(Constants!$B$10/Constants!$B$9))-((AB62*0.000000000000001)+(Input!G62*AC62*0.000000000000001)))/Input!F62)*1000000000000</f>
        <v>6.1605927676905647</v>
      </c>
      <c r="AE62" s="130">
        <f>AD62*Input!V62/100</f>
        <v>1.1981048317222602E-2</v>
      </c>
      <c r="AF62" s="130">
        <f>(AD62/Constants!$B$10)*602200000000*Constants!$B$16/(365.2425*24*60)</f>
        <v>0.28120437501804663</v>
      </c>
      <c r="AG62" s="130">
        <f>AF62*Input!V62/100</f>
        <v>5.4688295934363334E-4</v>
      </c>
      <c r="AH62" s="18">
        <f>AF62/Z62</f>
        <v>270.7109916284341</v>
      </c>
      <c r="AI62" s="134">
        <f>AH62*SQRT((AG62/AF62)^2+(AA62/Z62)^2)</f>
        <v>0.6774172522622679</v>
      </c>
      <c r="AJ62" s="133">
        <f t="shared" si="271"/>
        <v>122.28281082939051</v>
      </c>
      <c r="AK62" s="134">
        <f>V62*1000</f>
        <v>2.5371136578231566</v>
      </c>
      <c r="AL62" s="134">
        <f>AF62/Q62</f>
        <v>1.183217672137252</v>
      </c>
      <c r="AM62" s="134">
        <f>AL62*SQRT((R62/Q62)^2+(AG62/AF62)^2)</f>
        <v>2.3025281101191459E-3</v>
      </c>
      <c r="AN62" s="18">
        <f>AL62*1/((AN61+AN63)/2)</f>
        <v>1.1858899522364481</v>
      </c>
      <c r="AO62" s="130">
        <f>AN62*SQRT((R62/Q62)^2+(AG62/AF62)^2)</f>
        <v>2.3077283367481118E-3</v>
      </c>
      <c r="AP62" s="18" t="str">
        <f>ThU_Alter_Kombi(AN62,U62)</f>
        <v>Out of range</v>
      </c>
      <c r="AQ62" s="18" t="e">
        <f t="shared" si="277"/>
        <v>#VALUE!</v>
      </c>
      <c r="AR62" s="155" t="e">
        <f>(AQ62/AP62)</f>
        <v>#VALUE!</v>
      </c>
      <c r="AS62" s="132">
        <f t="shared" si="278"/>
        <v>4.3707780944531576E-3</v>
      </c>
      <c r="AT62" s="132">
        <f t="shared" si="279"/>
        <v>6.8890607143417806E-6</v>
      </c>
      <c r="AU62" s="18">
        <v>0.75</v>
      </c>
      <c r="AV62" s="18">
        <f>AU62/2</f>
        <v>0.375</v>
      </c>
      <c r="AW62" s="18" t="str">
        <f t="shared" si="281"/>
        <v>Out of range</v>
      </c>
      <c r="AX62" s="136">
        <f t="shared" si="282"/>
        <v>58.657057536499998</v>
      </c>
      <c r="AY62" s="136" t="e">
        <f t="shared" si="283"/>
        <v>#VALUE!</v>
      </c>
      <c r="AZ62" s="155" t="e">
        <f t="shared" si="284"/>
        <v>#VALUE!</v>
      </c>
      <c r="BA62" s="18" t="str">
        <f>Input!B62</f>
        <v>M43_401_5A-3</v>
      </c>
      <c r="BB62" s="137">
        <f>Input!E62</f>
        <v>0</v>
      </c>
      <c r="BC62" s="18" t="e">
        <f>((U62-1)*EXP(Constants!$B$17*AW62*1000))*1000</f>
        <v>#VALUE!</v>
      </c>
      <c r="BD62" s="133" t="e">
        <f>SQRT((EXP(Constants!$B$17*AW62*1000)*V62)^2+((U62-1)*Constants!$B$17*EXP(Constants!$B$17*AW62*1000)*AY62*1000)^2)*1000</f>
        <v>#VALUE!</v>
      </c>
      <c r="BE62" s="18" t="e">
        <f t="shared" si="285"/>
        <v>#VALUE!</v>
      </c>
      <c r="BF62" s="138" t="e">
        <f t="shared" si="286"/>
        <v>#VALUE!</v>
      </c>
      <c r="BG62" s="20" t="e">
        <f t="shared" si="287"/>
        <v>#VALUE!</v>
      </c>
      <c r="BH62" s="18"/>
      <c r="BI62" s="18"/>
      <c r="BJ62" s="18"/>
      <c r="BK62" s="18"/>
      <c r="BL62" s="18"/>
      <c r="BM62" s="18"/>
      <c r="BN62" s="160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9">
        <f>Input!A63</f>
        <v>10815</v>
      </c>
      <c r="B63" s="139" t="str">
        <f>Input!B63</f>
        <v>Hu1-13</v>
      </c>
      <c r="C63" s="139">
        <f>Input!O63</f>
        <v>2.1204891252405393</v>
      </c>
      <c r="D63" s="139">
        <f>C63*Input!P63/100</f>
        <v>2.3199125130483764E-2</v>
      </c>
      <c r="E63" s="140">
        <f>Input!M63</f>
        <v>2.7327140207669545</v>
      </c>
      <c r="F63" s="141">
        <f>E63*Input!N63/100</f>
        <v>3.4746170291912972E-4</v>
      </c>
      <c r="G63" s="142">
        <f t="shared" ref="G63" si="297">E63*137.88</f>
        <v>376.78660918334765</v>
      </c>
      <c r="H63" s="141">
        <f>G63*Input!L63/100</f>
        <v>2.4123620689219773E-2</v>
      </c>
      <c r="I63" s="139">
        <v>0</v>
      </c>
      <c r="J63" s="143">
        <f>(((C63*Constants!$B$24*0.000000001*Input!G63*(Constants!$B$4/Constants!$B$3))-(I63*0.000000000000001))/Input!F63)*1000000000000</f>
        <v>765.57618307634709</v>
      </c>
      <c r="K63" s="139">
        <f>J63*Input!P63/100</f>
        <v>8.3757551296527506</v>
      </c>
      <c r="L63" s="144">
        <f>(J63/Constants!$B$4)*602200000000*Constants!$B$17/(365.2425*24*60)</f>
        <v>10.569629237965954</v>
      </c>
      <c r="M63" s="145">
        <f>L63*Input!P63/100</f>
        <v>0.11563659929007027</v>
      </c>
      <c r="N63" s="139">
        <v>0</v>
      </c>
      <c r="O63" s="143">
        <f>(((G63*Constants!$B$23*0.000000001*Input!G63*(Constants!$B$7/Constants!$B$6))-(N63*0.000000001))/Input!F63)*1000000</f>
        <v>13.703431241243788</v>
      </c>
      <c r="P63" s="139">
        <f>O63*Input!N63/100</f>
        <v>1.742376816137331E-3</v>
      </c>
      <c r="Q63" s="146">
        <f>(O63/Constants!$B$7)*602200000000000000*Constants!$B$18/(365.2425*24*60)</f>
        <v>10.224414511309829</v>
      </c>
      <c r="R63" s="147">
        <f>Q63*Input!N63/100</f>
        <v>1.300023511590765E-3</v>
      </c>
      <c r="S63" s="145">
        <f>Input!S63*Constants!$B$17/Constants!$B$18</f>
        <v>0.99946423912880189</v>
      </c>
      <c r="T63" s="139">
        <f>S63*Input!T63/100</f>
        <v>1.1423472312681081E-3</v>
      </c>
      <c r="U63" s="145">
        <f>S63</f>
        <v>0.99946423912880189</v>
      </c>
      <c r="V63" s="139">
        <f>U63*Input!T63/100</f>
        <v>1.1423472312681081E-3</v>
      </c>
      <c r="W63" s="148">
        <v>0</v>
      </c>
      <c r="X63" s="143">
        <f>(((Constants!$B$25*0.000000001*Input!G63/Input!W63*(Constants!$B$11/Constants!$B$9))-(W63*0.000000001))/Input!F63)*1000000000</f>
        <v>0.9450780958562367</v>
      </c>
      <c r="Y63" s="143">
        <f>X63*Input!X63/100</f>
        <v>6.0682625914397961E-3</v>
      </c>
      <c r="Z63" s="143">
        <f>(X63/Constants!$B$11)*6.022E+23*0.000000001*Constants!$B$19/(365.2425*24*60)</f>
        <v>2.3072411637382515E-4</v>
      </c>
      <c r="AA63" s="143">
        <f>Z63*Input!X63/100</f>
        <v>1.4814590777980158E-6</v>
      </c>
      <c r="AB63" s="144">
        <v>0</v>
      </c>
      <c r="AC63" s="144">
        <v>0.9</v>
      </c>
      <c r="AD63" s="143">
        <f>(((Input!G63*Constants!$B$25*0.000000001*Input!U63*(Constants!$B$10/Constants!$B$9))-((AB63*0.000000000000001)+(Input!G63*AC63*0.000000000000001)))/Input!F63)*1000000000000</f>
        <v>222.97564331062594</v>
      </c>
      <c r="AE63" s="143">
        <f>AD63*Input!V63/100</f>
        <v>0.74187840887278267</v>
      </c>
      <c r="AF63" s="143">
        <f>(AD63/Constants!$B$10)*602200000000*Constants!$B$16/(365.2425*24*60)</f>
        <v>10.177872290188173</v>
      </c>
      <c r="AG63" s="143">
        <f>AF63*Input!V63/100</f>
        <v>3.3863535892287092E-2</v>
      </c>
      <c r="AH63" s="139">
        <f t="shared" ref="AH63" si="298">AF63/Z63</f>
        <v>44112.737108494206</v>
      </c>
      <c r="AI63" s="148">
        <f t="shared" ref="AI63" si="299">AH63*SQRT((AG63/AF63)^2+(AA63/Z63)^2)</f>
        <v>319.01219404715613</v>
      </c>
      <c r="AJ63" s="145">
        <f t="shared" si="271"/>
        <v>-0.53576087119810989</v>
      </c>
      <c r="AK63" s="148">
        <f t="shared" ref="AK63" si="300">V63*1000</f>
        <v>1.1423472312681082</v>
      </c>
      <c r="AL63" s="148">
        <f t="shared" ref="AL63" si="301">AF63/Q63</f>
        <v>0.99544793287966038</v>
      </c>
      <c r="AM63" s="148">
        <f t="shared" ref="AM63" si="302">AL63*SQRT((R63/Q63)^2+(AG63/AF63)^2)</f>
        <v>3.3144444762769321E-3</v>
      </c>
      <c r="AN63" s="139">
        <f>AF63/Q63</f>
        <v>0.99544793287966038</v>
      </c>
      <c r="AO63" s="143">
        <f t="shared" ref="AO63" si="303">AN63*SQRT((R63/Q63)^2+(AG63/AF63)^2)</f>
        <v>3.3144444762769321E-3</v>
      </c>
      <c r="AP63" s="139">
        <f t="shared" ref="AP63" si="304">ThU_Alter_Kombi(AN63,U63)</f>
        <v>607.84259999999995</v>
      </c>
      <c r="AQ63" s="139" t="e">
        <f t="shared" si="277"/>
        <v>#VALUE!</v>
      </c>
      <c r="AR63" s="139" t="e">
        <f>(AQ63/AP63)*100</f>
        <v>#VALUE!</v>
      </c>
      <c r="AS63" s="147">
        <f t="shared" si="278"/>
        <v>2.2565997898325382E-5</v>
      </c>
      <c r="AT63" s="147">
        <f t="shared" si="279"/>
        <v>1.4492267614699375E-7</v>
      </c>
      <c r="AU63" s="139">
        <v>0.75</v>
      </c>
      <c r="AV63" s="139">
        <f t="shared" ref="AV63" si="305">AU63/2</f>
        <v>0.375</v>
      </c>
      <c r="AW63" s="139">
        <f t="shared" si="281"/>
        <v>607.84079999999994</v>
      </c>
      <c r="AX63" s="149">
        <f t="shared" si="282"/>
        <v>258.02318090739999</v>
      </c>
      <c r="AY63" s="149">
        <f t="shared" si="283"/>
        <v>105.62422123768825</v>
      </c>
      <c r="AZ63" s="150">
        <f t="shared" si="284"/>
        <v>0.42449138147258297</v>
      </c>
      <c r="BA63" s="139" t="str">
        <f>Input!B63</f>
        <v>Hu1-13</v>
      </c>
      <c r="BB63" s="151">
        <f>Input!E63</f>
        <v>0</v>
      </c>
      <c r="BC63" s="139">
        <f>((U63-1)*EXP(Constants!$B$17*AW63*1000))*1000</f>
        <v>-2.9781307981279781</v>
      </c>
      <c r="BD63" s="145">
        <f>SQRT((EXP(Constants!$B$17*AW63*1000)*V63)^2+((U63-1)*Constants!$B$17*EXP(Constants!$B$17*AW63*1000)*AY63*1000)^2)*1000</f>
        <v>6.4117092017205941</v>
      </c>
      <c r="BE63" s="139">
        <f t="shared" si="285"/>
        <v>607782.79999999993</v>
      </c>
      <c r="BF63" s="152">
        <f t="shared" si="286"/>
        <v>52812.110618844126</v>
      </c>
      <c r="BG63" s="161">
        <f t="shared" si="287"/>
        <v>17.37695482726534</v>
      </c>
      <c r="BH63" s="139"/>
      <c r="BI63" s="18"/>
      <c r="BJ63" s="18"/>
      <c r="BK63" s="18"/>
      <c r="BL63" s="18"/>
      <c r="BM63" s="18"/>
      <c r="BN63" s="160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10971</v>
      </c>
      <c r="B64" s="18" t="str">
        <f>Input!B64</f>
        <v>M43_401_5A-4</v>
      </c>
      <c r="C64" s="18">
        <f>Input!O64</f>
        <v>1.7218626608325953</v>
      </c>
      <c r="D64" s="18">
        <f>C64*Input!P64/100</f>
        <v>4.2641009434605777E-3</v>
      </c>
      <c r="E64" s="153">
        <f>Input!M64</f>
        <v>0.96240556800817989</v>
      </c>
      <c r="F64" s="154">
        <f>E64*Input!N64/100</f>
        <v>4.6028014196374769E-5</v>
      </c>
      <c r="G64" s="21">
        <f>E64*137.88</f>
        <v>132.69647971696784</v>
      </c>
      <c r="H64" s="154">
        <f>G64*Input!L64/100</f>
        <v>7.1342312734876548E-3</v>
      </c>
      <c r="I64" s="18">
        <v>0.3</v>
      </c>
      <c r="J64" s="130">
        <f>(((C64*Constants!$B$24*0.000000001*Input!G64*(Constants!$B$4/Constants!$B$3))-(I64*0.000000000000001))/Input!F64)*1000000000000</f>
        <v>73.835440923370683</v>
      </c>
      <c r="K64" s="18">
        <f>J64*Input!P64/100</f>
        <v>0.18284952712194424</v>
      </c>
      <c r="L64" s="135">
        <f>(J64/Constants!$B$4)*602200000000*Constants!$B$17/(365.2425*24*60)</f>
        <v>1.0193802425328846</v>
      </c>
      <c r="M64" s="133">
        <f>L64*Input!P64/100</f>
        <v>2.5244407424618344E-3</v>
      </c>
      <c r="N64" s="18">
        <v>5.0000000000000001E-3</v>
      </c>
      <c r="O64" s="130">
        <f>(((G64*Constants!$B$23*0.000000001*Input!G64*(Constants!$B$7/Constants!$B$6))-(N64*0.000000001))/Input!F64)*1000000</f>
        <v>0.57317281278673871</v>
      </c>
      <c r="P64" s="18">
        <f>O64*Input!N64/100</f>
        <v>2.7412566220418867E-5</v>
      </c>
      <c r="Q64" s="131">
        <f>(O64/Constants!$B$7)*602200000000000000*Constants!$B$18/(365.2425*24*60)</f>
        <v>0.42765613380879702</v>
      </c>
      <c r="R64" s="132">
        <f>Q64*Input!N64/100</f>
        <v>2.0453084699891044E-5</v>
      </c>
      <c r="S64" s="133">
        <f>Input!S64*Constants!$B$17/Constants!$B$18</f>
        <v>2.3727519877935497</v>
      </c>
      <c r="T64" s="18">
        <f>S64*Input!T64/100</f>
        <v>1.4609351694285201E-3</v>
      </c>
      <c r="U64" s="18">
        <f>S64*1/((U63+U65)/2)</f>
        <v>2.3729426465407522</v>
      </c>
      <c r="V64" s="18">
        <f>U64*Input!T64/100</f>
        <v>1.4610525605720445E-3</v>
      </c>
      <c r="W64" s="134">
        <v>3.0000000000000001E-3</v>
      </c>
      <c r="X64" s="130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1.6321299424611644</v>
      </c>
      <c r="Y64" s="130">
        <f>X64*Input!X64/100</f>
        <v>2.5343622339199425E-3</v>
      </c>
      <c r="Z64" s="130">
        <f>(X64/Constants!$B$11)*6.022E+23*0.000000001*Constants!$B$19/(365.2425*24*60)</f>
        <v>3.9845568364426206E-4</v>
      </c>
      <c r="AA64" s="130">
        <f>Z64*Input!X64/100</f>
        <v>6.1871975401419255E-7</v>
      </c>
      <c r="AB64" s="135">
        <v>0.05</v>
      </c>
      <c r="AC64" s="135">
        <v>0.9</v>
      </c>
      <c r="AD64" s="130">
        <f>(((Input!G64*Constants!$B$25*0.000000001*Input!U64*(Constants!$B$10/Constants!$B$9))-((AB64*0.000000000000001)+(Input!G64*AC64*0.000000000000001)))/Input!F64)*1000000000000</f>
        <v>12.732249459429733</v>
      </c>
      <c r="AE64" s="130">
        <f>AD64*Input!V64/100</f>
        <v>2.4970460038303225E-2</v>
      </c>
      <c r="AF64" s="130">
        <f>(AD64/Constants!$B$10)*602200000000*Constants!$B$16/(365.2425*24*60)</f>
        <v>0.58117203763088199</v>
      </c>
      <c r="AG64" s="130">
        <f>AF64*Input!V64/100</f>
        <v>1.1397933403113816E-3</v>
      </c>
      <c r="AH64" s="18">
        <f>AF64/Z64</f>
        <v>1458.5612942335329</v>
      </c>
      <c r="AI64" s="134">
        <f>AH64*SQRT((AG64/AF64)^2+(AA64/Z64)^2)</f>
        <v>3.6485809127676383</v>
      </c>
      <c r="AJ64" s="133">
        <f t="shared" si="271"/>
        <v>1372.9426465407521</v>
      </c>
      <c r="AK64" s="134">
        <f>V64*1000</f>
        <v>1.4610525605720446</v>
      </c>
      <c r="AL64" s="134">
        <f>AF64/Q64</f>
        <v>1.3589704243333061</v>
      </c>
      <c r="AM64" s="134">
        <f>AL64*SQRT((R64/Q64)^2+(AG64/AF64)^2)</f>
        <v>2.6660022096776847E-3</v>
      </c>
      <c r="AN64" s="18">
        <f>AL64*1/((AN63+AN65)/2)</f>
        <v>1.3635375843314652</v>
      </c>
      <c r="AO64" s="130">
        <f>AN64*SQRT((R64/Q64)^2+(AG64/AF64)^2)</f>
        <v>2.6749619768874949E-3</v>
      </c>
      <c r="AP64" s="18">
        <f>ThU_Alter_Kombi(AN64,U64)</f>
        <v>84.576499999999996</v>
      </c>
      <c r="AQ64" s="18">
        <f t="shared" si="277"/>
        <v>0.23569999999999999</v>
      </c>
      <c r="AR64" s="155">
        <f>(AQ64/AP64)</f>
        <v>2.7868261278251052E-3</v>
      </c>
      <c r="AS64" s="132">
        <f t="shared" si="278"/>
        <v>9.3171979107497063E-4</v>
      </c>
      <c r="AT64" s="132">
        <f t="shared" si="279"/>
        <v>1.4474553406501722E-6</v>
      </c>
      <c r="AU64" s="18">
        <v>0.75</v>
      </c>
      <c r="AV64" s="18">
        <f>AU64/2</f>
        <v>0.375</v>
      </c>
      <c r="AW64" s="18">
        <f t="shared" si="281"/>
        <v>84.548699999999997</v>
      </c>
      <c r="AX64" s="136">
        <f t="shared" si="282"/>
        <v>0.25626158399999999</v>
      </c>
      <c r="AY64" s="136">
        <f t="shared" si="283"/>
        <v>0.24345562456957584</v>
      </c>
      <c r="AZ64" s="155">
        <f t="shared" si="284"/>
        <v>3.0309346447668622E-3</v>
      </c>
      <c r="BA64" s="18" t="str">
        <f>Input!B64</f>
        <v>M43_401_5A-4</v>
      </c>
      <c r="BB64" s="137">
        <f>Input!E64</f>
        <v>0</v>
      </c>
      <c r="BC64" s="18">
        <f>((U64-1)*EXP(Constants!$B$17*AW64*1000))*1000</f>
        <v>1742.9130113605706</v>
      </c>
      <c r="BD64" s="133">
        <f>SQRT((EXP(Constants!$B$17*AW64*1000)*V64)^2+((U64-1)*Constants!$B$17*EXP(Constants!$B$17*AW64*1000)*AY64*1000)^2)*1000</f>
        <v>2.2077302404796812</v>
      </c>
      <c r="BE64" s="18">
        <f t="shared" si="285"/>
        <v>84490.7</v>
      </c>
      <c r="BF64" s="138">
        <f t="shared" si="286"/>
        <v>121.72781228478792</v>
      </c>
      <c r="BG64" s="20">
        <f t="shared" si="287"/>
        <v>0.2879472121624293</v>
      </c>
      <c r="BH64" s="18"/>
      <c r="BI64" s="18"/>
      <c r="BJ64" s="18"/>
      <c r="BK64" s="18"/>
      <c r="BL64" s="18"/>
      <c r="BM64" s="18"/>
      <c r="BN64" s="160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9">
        <f>Input!A65</f>
        <v>10815</v>
      </c>
      <c r="B65" s="139" t="str">
        <f>Input!B65</f>
        <v>Hu1-13</v>
      </c>
      <c r="C65" s="139">
        <f>Input!O65</f>
        <v>2.1000867679359798</v>
      </c>
      <c r="D65" s="139">
        <f>C65*Input!P65/100</f>
        <v>1.8646285979583625E-2</v>
      </c>
      <c r="E65" s="140">
        <f>Input!M65</f>
        <v>2.7322376580906198</v>
      </c>
      <c r="F65" s="141">
        <f>E65*Input!N65/100</f>
        <v>3.7453042081162674E-4</v>
      </c>
      <c r="G65" s="142">
        <f t="shared" ref="G65" si="306">E65*137.88</f>
        <v>376.72092829753467</v>
      </c>
      <c r="H65" s="141">
        <f>G65*Input!L65/100</f>
        <v>2.5160015668851302E-2</v>
      </c>
      <c r="I65" s="139">
        <v>0</v>
      </c>
      <c r="J65" s="143">
        <f>(((C65*Constants!$B$24*0.000000001*Input!G65*(Constants!$B$4/Constants!$B$3))-(I65*0.000000000000001))/Input!F65)*1000000000000</f>
        <v>758.2101661300386</v>
      </c>
      <c r="K65" s="139">
        <f>J65*Input!P65/100</f>
        <v>6.7320092703518686</v>
      </c>
      <c r="L65" s="144">
        <f>(J65/Constants!$B$4)*602200000000*Constants!$B$17/(365.2425*24*60)</f>
        <v>10.467933195424241</v>
      </c>
      <c r="M65" s="145">
        <f>L65*Input!P65/100</f>
        <v>9.2942862627001355E-2</v>
      </c>
      <c r="N65" s="139">
        <v>0</v>
      </c>
      <c r="O65" s="143">
        <f>(((G65*Constants!$B$23*0.000000001*Input!G65*(Constants!$B$7/Constants!$B$6))-(N65*0.000000001))/Input!F65)*1000000</f>
        <v>13.701042479327452</v>
      </c>
      <c r="P65" s="139">
        <f>O65*Input!N65/100</f>
        <v>1.8781152474585683E-3</v>
      </c>
      <c r="Q65" s="146">
        <f>(O65/Constants!$B$7)*602200000000000000*Constants!$B$18/(365.2425*24*60)</f>
        <v>10.222632206457018</v>
      </c>
      <c r="R65" s="147">
        <f>Q65*Input!N65/100</f>
        <v>1.4013007729212145E-3</v>
      </c>
      <c r="S65" s="145">
        <f>Input!S65*Constants!$B$17/Constants!$B$18</f>
        <v>1.0003750669349325</v>
      </c>
      <c r="T65" s="139">
        <f>S65*Input!T65/100</f>
        <v>1.4171285935984724E-3</v>
      </c>
      <c r="U65" s="145">
        <f>S65</f>
        <v>1.0003750669349325</v>
      </c>
      <c r="V65" s="139">
        <f>U65*Input!T65/100</f>
        <v>1.4171285935984724E-3</v>
      </c>
      <c r="W65" s="148">
        <v>0</v>
      </c>
      <c r="X65" s="143">
        <f>(((Constants!$B$25*0.000000001*Input!G65/Input!W65*(Constants!$B$11/Constants!$B$9))-(W65*0.000000001))/Input!F65)*1000000000</f>
        <v>0.94601447298011643</v>
      </c>
      <c r="Y65" s="143">
        <f>X65*Input!X65/100</f>
        <v>6.2369441810654425E-3</v>
      </c>
      <c r="Z65" s="143">
        <f>(X65/Constants!$B$11)*6.022E+23*0.000000001*Constants!$B$19/(365.2425*24*60)</f>
        <v>2.3095271630164808E-4</v>
      </c>
      <c r="AA65" s="143">
        <f>Z65*Input!X65/100</f>
        <v>1.5226397070873327E-6</v>
      </c>
      <c r="AB65" s="144">
        <v>0</v>
      </c>
      <c r="AC65" s="144">
        <v>0.9</v>
      </c>
      <c r="AD65" s="143">
        <f>(((Input!G65*Constants!$B$25*0.000000001*Input!U65*(Constants!$B$10/Constants!$B$9))-((AB65*0.000000000000001)+(Input!G65*AC65*0.000000000000001)))/Input!F65)*1000000000000</f>
        <v>223.47542234534495</v>
      </c>
      <c r="AE65" s="143">
        <f>AD65*Input!V65/100</f>
        <v>0.73009820431196593</v>
      </c>
      <c r="AF65" s="143">
        <f>(AD65/Constants!$B$10)*602200000000*Constants!$B$16/(365.2425*24*60)</f>
        <v>10.200685038312402</v>
      </c>
      <c r="AG65" s="143">
        <f>AF65*Input!V65/100</f>
        <v>3.3325820580461497E-2</v>
      </c>
      <c r="AH65" s="139">
        <f t="shared" ref="AH65" si="307">AF65/Z65</f>
        <v>44167.850465933705</v>
      </c>
      <c r="AI65" s="148">
        <f t="shared" ref="AI65" si="308">AH65*SQRT((AG65/AF65)^2+(AA65/Z65)^2)</f>
        <v>324.98431116375838</v>
      </c>
      <c r="AJ65" s="145">
        <f t="shared" si="271"/>
        <v>0.37506693493249976</v>
      </c>
      <c r="AK65" s="148">
        <f t="shared" ref="AK65" si="309">V65*1000</f>
        <v>1.4171285935984723</v>
      </c>
      <c r="AL65" s="148">
        <f t="shared" ref="AL65" si="310">AF65/Q65</f>
        <v>0.99785308052746402</v>
      </c>
      <c r="AM65" s="148">
        <f t="shared" ref="AM65" si="311">AL65*SQRT((R65/Q65)^2+(AG65/AF65)^2)</f>
        <v>3.2628722171375024E-3</v>
      </c>
      <c r="AN65" s="139">
        <f>AF65/Q65</f>
        <v>0.99785308052746402</v>
      </c>
      <c r="AO65" s="143">
        <f t="shared" ref="AO65" si="312">AN65*SQRT((R65/Q65)^2+(AG65/AF65)^2)</f>
        <v>3.2628722171375024E-3</v>
      </c>
      <c r="AP65" s="139">
        <f t="shared" ref="AP65" si="313">ThU_Alter_Kombi(AN65,U65)</f>
        <v>645.77329999999995</v>
      </c>
      <c r="AQ65" s="139" t="e">
        <f t="shared" si="277"/>
        <v>#VALUE!</v>
      </c>
      <c r="AR65" s="139" t="e">
        <f>(AQ65/AP65)*100</f>
        <v>#VALUE!</v>
      </c>
      <c r="AS65" s="147">
        <f t="shared" si="278"/>
        <v>2.2592294395152868E-5</v>
      </c>
      <c r="AT65" s="147">
        <f t="shared" si="279"/>
        <v>1.4898010241069435E-7</v>
      </c>
      <c r="AU65" s="139">
        <v>0.75</v>
      </c>
      <c r="AV65" s="139">
        <f t="shared" ref="AV65" si="314">AU65/2</f>
        <v>0.375</v>
      </c>
      <c r="AW65" s="139">
        <f t="shared" si="281"/>
        <v>645.77149999999995</v>
      </c>
      <c r="AX65" s="149">
        <f t="shared" si="282"/>
        <v>302.89032636979999</v>
      </c>
      <c r="AY65" s="149">
        <f t="shared" si="283"/>
        <v>154.63643729965415</v>
      </c>
      <c r="AZ65" s="150">
        <f t="shared" si="284"/>
        <v>0.46903637953951205</v>
      </c>
      <c r="BA65" s="139" t="str">
        <f>Input!B65</f>
        <v>Hu1-13</v>
      </c>
      <c r="BB65" s="151">
        <f>Input!E65</f>
        <v>0</v>
      </c>
      <c r="BC65" s="139">
        <f>((U65-1)*EXP(Constants!$B$17*AW65*1000))*1000</f>
        <v>2.3204361031380967</v>
      </c>
      <c r="BD65" s="145">
        <f>SQRT((EXP(Constants!$B$17*AW65*1000)*V65)^2+((U65-1)*Constants!$B$17*EXP(Constants!$B$17*AW65*1000)*AY65*1000)^2)*1000</f>
        <v>8.8256699917347952</v>
      </c>
      <c r="BE65" s="139">
        <f t="shared" si="285"/>
        <v>645713.5</v>
      </c>
      <c r="BF65" s="152">
        <f t="shared" si="286"/>
        <v>77318.218649827075</v>
      </c>
      <c r="BG65" s="161">
        <f t="shared" si="287"/>
        <v>23.945999056888414</v>
      </c>
      <c r="BH65" s="139"/>
      <c r="BI65" s="18"/>
      <c r="BJ65" s="18"/>
      <c r="BK65" s="18"/>
      <c r="BL65" s="18"/>
      <c r="BM65" s="18"/>
      <c r="BN65" s="160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10972</v>
      </c>
      <c r="B66" s="18" t="str">
        <f>Input!B66</f>
        <v>M43_401_5A-5</v>
      </c>
      <c r="C66" s="18">
        <f>Input!O66</f>
        <v>0.74604294564291984</v>
      </c>
      <c r="D66" s="18">
        <f>C66*Input!P66/100</f>
        <v>4.0164353168875809E-3</v>
      </c>
      <c r="E66" s="153">
        <f>Input!M66</f>
        <v>1.010714020190064</v>
      </c>
      <c r="F66" s="154">
        <f>E66*Input!N66/100</f>
        <v>8.540833047769395E-5</v>
      </c>
      <c r="G66" s="21">
        <f>E66*137.88</f>
        <v>139.35724910380603</v>
      </c>
      <c r="H66" s="154">
        <f>G66*Input!L66/100</f>
        <v>1.4221924425889874E-2</v>
      </c>
      <c r="I66" s="18">
        <v>0.3</v>
      </c>
      <c r="J66" s="130">
        <f>(((C66*Constants!$B$24*0.000000001*Input!G66*(Constants!$B$4/Constants!$B$3))-(I66*0.000000000000001))/Input!F66)*1000000000000</f>
        <v>30.78201075098379</v>
      </c>
      <c r="K66" s="18">
        <f>J66*Input!P66/100</f>
        <v>0.16571962221091716</v>
      </c>
      <c r="L66" s="135">
        <f>(J66/Constants!$B$4)*602200000000*Constants!$B$17/(365.2425*24*60)</f>
        <v>0.42497983614066359</v>
      </c>
      <c r="M66" s="133">
        <f>L66*Input!P66/100</f>
        <v>2.2879433855774803E-3</v>
      </c>
      <c r="N66" s="18">
        <v>5.0000000000000001E-3</v>
      </c>
      <c r="O66" s="130">
        <f>(((G66*Constants!$B$23*0.000000001*Input!G66*(Constants!$B$7/Constants!$B$6))-(N66*0.000000001))/Input!F66)*1000000</f>
        <v>0.57922759045551864</v>
      </c>
      <c r="P66" s="18">
        <f>O66*Input!N66/100</f>
        <v>4.8946448232824902E-5</v>
      </c>
      <c r="Q66" s="131">
        <f>(O66/Constants!$B$7)*602200000000000000*Constants!$B$18/(365.2425*24*60)</f>
        <v>0.43217372911537294</v>
      </c>
      <c r="R66" s="132">
        <f>Q66*Input!N66/100</f>
        <v>3.6519961079714748E-5</v>
      </c>
      <c r="S66" s="133">
        <f>Input!S66*Constants!$B$17/Constants!$B$18</f>
        <v>1.0472364643000867</v>
      </c>
      <c r="T66" s="18">
        <f>S66*Input!T66/100</f>
        <v>2.3585662961296779E-3</v>
      </c>
      <c r="U66" s="18">
        <f>S66*1/((U65+U67)/2)</f>
        <v>1.0468438277942429</v>
      </c>
      <c r="V66" s="18">
        <f>U66*Input!T66/100</f>
        <v>2.3576820075655548E-3</v>
      </c>
      <c r="W66" s="134">
        <v>3.0000000000000001E-3</v>
      </c>
      <c r="X66" s="130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56.692674794143976</v>
      </c>
      <c r="Y66" s="130">
        <f>X66*Input!X66/100</f>
        <v>9.220343841151403E-2</v>
      </c>
      <c r="Z66" s="130">
        <f>(X66/Constants!$B$11)*6.022E+23*0.000000001*Constants!$B$19/(365.2425*24*60)</f>
        <v>1.3840514719470608E-2</v>
      </c>
      <c r="AA66" s="130">
        <f>Z66*Input!X66/100</f>
        <v>2.2509840136387065E-5</v>
      </c>
      <c r="AB66" s="135">
        <v>0.05</v>
      </c>
      <c r="AC66" s="135">
        <v>0.9</v>
      </c>
      <c r="AD66" s="130">
        <f>(((Input!G66*Constants!$B$25*0.000000001*Input!U66*(Constants!$B$10/Constants!$B$9))-((AB66*0.000000000000001)+(Input!G66*AC66*0.000000000000001)))/Input!F66)*1000000000000</f>
        <v>10.295098514377719</v>
      </c>
      <c r="AE66" s="130">
        <f>AD66*Input!V66/100</f>
        <v>2.6145147353207703E-2</v>
      </c>
      <c r="AF66" s="130">
        <f>(AD66/Constants!$B$10)*602200000000*Constants!$B$16/(365.2425*24*60)</f>
        <v>0.46992665359539287</v>
      </c>
      <c r="AG66" s="130">
        <f>AF66*Input!V66/100</f>
        <v>1.1934127280368214E-3</v>
      </c>
      <c r="AH66" s="18">
        <f>AF66/Z66</f>
        <v>33.952975241181441</v>
      </c>
      <c r="AI66" s="134">
        <f>AH66*SQRT((AG66/AF66)^2+(AA66/Z66)^2)</f>
        <v>0.10239238397943688</v>
      </c>
      <c r="AJ66" s="133">
        <f t="shared" si="271"/>
        <v>46.843827794242898</v>
      </c>
      <c r="AK66" s="134">
        <f>V66*1000</f>
        <v>2.3576820075655549</v>
      </c>
      <c r="AL66" s="134">
        <f>AF66/Q66</f>
        <v>1.0873558986505203</v>
      </c>
      <c r="AM66" s="134">
        <f>AL66*SQRT((R66/Q66)^2+(AG66/AF66)^2)</f>
        <v>2.7629472431743005E-3</v>
      </c>
      <c r="AN66" s="18">
        <f>AL66*1/((AN65+AN67)/2)</f>
        <v>1.0896953868957795</v>
      </c>
      <c r="AO66" s="130">
        <f>AN66*SQRT((R66/Q66)^2+(AG66/AF66)^2)</f>
        <v>2.7688918309635422E-3</v>
      </c>
      <c r="AP66" s="18" t="str">
        <f>ThU_Alter_Kombi(AN66,U66)</f>
        <v>Out of range</v>
      </c>
      <c r="AQ66" s="18" t="e">
        <f t="shared" si="277"/>
        <v>#VALUE!</v>
      </c>
      <c r="AR66" s="155" t="e">
        <f>(AQ66/AP66)</f>
        <v>#VALUE!</v>
      </c>
      <c r="AS66" s="132">
        <f t="shared" si="278"/>
        <v>3.2025349499612339E-2</v>
      </c>
      <c r="AT66" s="132">
        <f t="shared" si="279"/>
        <v>5.215542317835052E-5</v>
      </c>
      <c r="AU66" s="18">
        <v>0.75</v>
      </c>
      <c r="AV66" s="18">
        <f>AU66/2</f>
        <v>0.375</v>
      </c>
      <c r="AW66" s="18" t="str">
        <f t="shared" si="281"/>
        <v>Out of range</v>
      </c>
      <c r="AX66" s="136">
        <f t="shared" si="282"/>
        <v>0</v>
      </c>
      <c r="AY66" s="136" t="e">
        <f t="shared" si="283"/>
        <v>#VALUE!</v>
      </c>
      <c r="AZ66" s="155" t="e">
        <f t="shared" si="284"/>
        <v>#VALUE!</v>
      </c>
      <c r="BA66" s="18" t="str">
        <f>Input!B66</f>
        <v>M43_401_5A-5</v>
      </c>
      <c r="BB66" s="137">
        <f>Input!E66</f>
        <v>0</v>
      </c>
      <c r="BC66" s="18" t="e">
        <f>((U66-1)*EXP(Constants!$B$17*AW66*1000))*1000</f>
        <v>#VALUE!</v>
      </c>
      <c r="BD66" s="133" t="e">
        <f>SQRT((EXP(Constants!$B$17*AW66*1000)*V66)^2+((U66-1)*Constants!$B$17*EXP(Constants!$B$17*AW66*1000)*AY66*1000)^2)*1000</f>
        <v>#VALUE!</v>
      </c>
      <c r="BE66" s="18" t="e">
        <f t="shared" si="285"/>
        <v>#VALUE!</v>
      </c>
      <c r="BF66" s="138" t="e">
        <f t="shared" si="286"/>
        <v>#VALUE!</v>
      </c>
      <c r="BG66" s="20" t="e">
        <f t="shared" si="287"/>
        <v>#VALUE!</v>
      </c>
      <c r="BH66" s="18"/>
      <c r="BI66" s="18"/>
      <c r="BJ66" s="18"/>
      <c r="BK66" s="18"/>
      <c r="BL66" s="18"/>
      <c r="BM66" s="18"/>
      <c r="BN66" s="160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9">
        <f>Input!A67</f>
        <v>10815</v>
      </c>
      <c r="B67" s="139" t="str">
        <f>Input!B67</f>
        <v>Hu1-13</v>
      </c>
      <c r="C67" s="139">
        <f>Input!O67</f>
        <v>2.1000867679359798</v>
      </c>
      <c r="D67" s="139">
        <f>C67*Input!P67/100</f>
        <v>1.8646285979583625E-2</v>
      </c>
      <c r="E67" s="140">
        <f>Input!M67</f>
        <v>2.7322376580906198</v>
      </c>
      <c r="F67" s="141">
        <f>E67*Input!N67/100</f>
        <v>3.7453042081162674E-4</v>
      </c>
      <c r="G67" s="142">
        <f t="shared" ref="G67" si="315">E67*137.88</f>
        <v>376.72092829753467</v>
      </c>
      <c r="H67" s="141">
        <f>G67*Input!L67/100</f>
        <v>2.5160015668851302E-2</v>
      </c>
      <c r="I67" s="139">
        <v>0</v>
      </c>
      <c r="J67" s="143">
        <f>(((C67*Constants!$B$24*0.000000001*Input!G67*(Constants!$B$4/Constants!$B$3))-(I67*0.000000000000001))/Input!F67)*1000000000000</f>
        <v>758.2101661300386</v>
      </c>
      <c r="K67" s="139">
        <f>J67*Input!P67/100</f>
        <v>6.7320092703518686</v>
      </c>
      <c r="L67" s="144">
        <f>(J67/Constants!$B$4)*602200000000*Constants!$B$17/(365.2425*24*60)</f>
        <v>10.467933195424241</v>
      </c>
      <c r="M67" s="145">
        <f>L67*Input!P67/100</f>
        <v>9.2942862627001355E-2</v>
      </c>
      <c r="N67" s="139">
        <v>0</v>
      </c>
      <c r="O67" s="143">
        <f>(((G67*Constants!$B$23*0.000000001*Input!G67*(Constants!$B$7/Constants!$B$6))-(N67*0.000000001))/Input!F67)*1000000</f>
        <v>13.701042479327452</v>
      </c>
      <c r="P67" s="139">
        <f>O67*Input!N67/100</f>
        <v>1.8781152474585683E-3</v>
      </c>
      <c r="Q67" s="146">
        <f>(O67/Constants!$B$7)*602200000000000000*Constants!$B$18/(365.2425*24*60)</f>
        <v>10.222632206457018</v>
      </c>
      <c r="R67" s="147">
        <f>Q67*Input!N67/100</f>
        <v>1.4013007729212145E-3</v>
      </c>
      <c r="S67" s="145">
        <f>Input!S67*Constants!$B$17/Constants!$B$18</f>
        <v>1.0003750669349325</v>
      </c>
      <c r="T67" s="139">
        <f>S67*Input!T67/100</f>
        <v>1.4171285935984724E-3</v>
      </c>
      <c r="U67" s="145">
        <f>S67</f>
        <v>1.0003750669349325</v>
      </c>
      <c r="V67" s="139">
        <f>U67*Input!T67/100</f>
        <v>1.4171285935984724E-3</v>
      </c>
      <c r="W67" s="148">
        <v>0</v>
      </c>
      <c r="X67" s="143">
        <f>(((Constants!$B$25*0.000000001*Input!G67/Input!W67*(Constants!$B$11/Constants!$B$9))-(W67*0.000000001))/Input!F67)*1000000000</f>
        <v>0.94601447298011643</v>
      </c>
      <c r="Y67" s="143">
        <f>X67*Input!X67/100</f>
        <v>6.2369441810654425E-3</v>
      </c>
      <c r="Z67" s="143">
        <f>(X67/Constants!$B$11)*6.022E+23*0.000000001*Constants!$B$19/(365.2425*24*60)</f>
        <v>2.3095271630164808E-4</v>
      </c>
      <c r="AA67" s="143">
        <f>Z67*Input!X67/100</f>
        <v>1.5226397070873327E-6</v>
      </c>
      <c r="AB67" s="144">
        <v>0</v>
      </c>
      <c r="AC67" s="144">
        <v>0.9</v>
      </c>
      <c r="AD67" s="143">
        <f>(((Input!G67*Constants!$B$25*0.000000001*Input!U67*(Constants!$B$10/Constants!$B$9))-((AB67*0.000000000000001)+(Input!G67*AC67*0.000000000000001)))/Input!F67)*1000000000000</f>
        <v>223.47542234534495</v>
      </c>
      <c r="AE67" s="143">
        <f>AD67*Input!V67/100</f>
        <v>0.73009820431196593</v>
      </c>
      <c r="AF67" s="143">
        <f>(AD67/Constants!$B$10)*602200000000*Constants!$B$16/(365.2425*24*60)</f>
        <v>10.200685038312402</v>
      </c>
      <c r="AG67" s="143">
        <f>AF67*Input!V67/100</f>
        <v>3.3325820580461497E-2</v>
      </c>
      <c r="AH67" s="139">
        <f t="shared" ref="AH67" si="316">AF67/Z67</f>
        <v>44167.850465933705</v>
      </c>
      <c r="AI67" s="148">
        <f t="shared" ref="AI67" si="317">AH67*SQRT((AG67/AF67)^2+(AA67/Z67)^2)</f>
        <v>324.98431116375838</v>
      </c>
      <c r="AJ67" s="145">
        <f t="shared" si="271"/>
        <v>0.37506693493249976</v>
      </c>
      <c r="AK67" s="148">
        <f t="shared" ref="AK67" si="318">V67*1000</f>
        <v>1.4171285935984723</v>
      </c>
      <c r="AL67" s="148">
        <f t="shared" ref="AL67" si="319">AF67/Q67</f>
        <v>0.99785308052746402</v>
      </c>
      <c r="AM67" s="148">
        <f t="shared" ref="AM67" si="320">AL67*SQRT((R67/Q67)^2+(AG67/AF67)^2)</f>
        <v>3.2628722171375024E-3</v>
      </c>
      <c r="AN67" s="139">
        <f>AF67/Q67</f>
        <v>0.99785308052746402</v>
      </c>
      <c r="AO67" s="143">
        <f t="shared" ref="AO67" si="321">AN67*SQRT((R67/Q67)^2+(AG67/AF67)^2)</f>
        <v>3.2628722171375024E-3</v>
      </c>
      <c r="AP67" s="139">
        <f t="shared" ref="AP67" si="322">ThU_Alter_Kombi(AN67,U67)</f>
        <v>645.77329999999995</v>
      </c>
      <c r="AQ67" s="139" t="e">
        <f t="shared" si="277"/>
        <v>#VALUE!</v>
      </c>
      <c r="AR67" s="139" t="e">
        <f>(AQ67/AP67)*100</f>
        <v>#VALUE!</v>
      </c>
      <c r="AS67" s="147">
        <f t="shared" si="278"/>
        <v>2.2592294395152868E-5</v>
      </c>
      <c r="AT67" s="147">
        <f t="shared" si="279"/>
        <v>1.4898010241069435E-7</v>
      </c>
      <c r="AU67" s="139">
        <v>0.75</v>
      </c>
      <c r="AV67" s="139">
        <f t="shared" ref="AV67" si="323">AU67/2</f>
        <v>0.375</v>
      </c>
      <c r="AW67" s="139">
        <f t="shared" si="281"/>
        <v>645.77149999999995</v>
      </c>
      <c r="AX67" s="149">
        <f t="shared" si="282"/>
        <v>279.47555500470003</v>
      </c>
      <c r="AY67" s="149">
        <f t="shared" si="283"/>
        <v>154.63643729965415</v>
      </c>
      <c r="AZ67" s="150">
        <f t="shared" si="284"/>
        <v>0.43277777821520469</v>
      </c>
      <c r="BA67" s="139" t="str">
        <f>Input!B67</f>
        <v>Hu1-13</v>
      </c>
      <c r="BB67" s="151">
        <f>Input!E67</f>
        <v>0</v>
      </c>
      <c r="BC67" s="139">
        <f>((U67-1)*EXP(Constants!$B$17*AW67*1000))*1000</f>
        <v>2.3204361031380967</v>
      </c>
      <c r="BD67" s="145">
        <f>SQRT((EXP(Constants!$B$17*AW67*1000)*V67)^2+((U67-1)*Constants!$B$17*EXP(Constants!$B$17*AW67*1000)*AY67*1000)^2)*1000</f>
        <v>8.8256699917347952</v>
      </c>
      <c r="BE67" s="139">
        <f t="shared" si="285"/>
        <v>645713.5</v>
      </c>
      <c r="BF67" s="152">
        <f t="shared" si="286"/>
        <v>77318.218649827075</v>
      </c>
      <c r="BG67" s="161">
        <f t="shared" si="287"/>
        <v>23.945999056888414</v>
      </c>
      <c r="BH67" s="139"/>
      <c r="BI67" s="18"/>
      <c r="BJ67" s="18"/>
      <c r="BK67" s="18"/>
      <c r="BL67" s="18"/>
      <c r="BM67" s="18"/>
      <c r="BN67" s="160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9" spans="1:110" ht="15" customHeight="1" x14ac:dyDescent="0.2">
      <c r="A69" s="139">
        <f>Input!A69</f>
        <v>10815</v>
      </c>
      <c r="B69" s="139" t="str">
        <f>Input!B69</f>
        <v>Hu1-13</v>
      </c>
      <c r="C69" s="139">
        <f>Input!O69</f>
        <v>2.0861647882786394</v>
      </c>
      <c r="D69" s="139">
        <f>C69*Input!P69/100</f>
        <v>1.1288067657599805E-2</v>
      </c>
      <c r="E69" s="140">
        <f>Input!M69</f>
        <v>2.7320521600045615</v>
      </c>
      <c r="F69" s="141">
        <f>E69*Input!N69/100</f>
        <v>2.3148114492921353E-4</v>
      </c>
      <c r="G69" s="142">
        <f t="shared" ref="G69" si="324">E69*137.88</f>
        <v>376.69535182142891</v>
      </c>
      <c r="H69" s="141">
        <f>G69*Input!L69/100</f>
        <v>2.2452487243714167E-2</v>
      </c>
      <c r="I69" s="139">
        <v>0</v>
      </c>
      <c r="J69" s="143">
        <f>(((C69*Constants!$B$24*0.000000001*Input!G69*(Constants!$B$4/Constants!$B$3))-(I69*0.000000000000001))/Input!F69)*1000000000000</f>
        <v>753.18380880518112</v>
      </c>
      <c r="K69" s="139">
        <f>J69*Input!P69/100</f>
        <v>4.0754162088110313</v>
      </c>
      <c r="L69" s="144">
        <f>(J69/Constants!$B$4)*602200000000*Constants!$B$17/(365.2425*24*60)</f>
        <v>10.398538751715456</v>
      </c>
      <c r="M69" s="145">
        <f>L69*Input!P69/100</f>
        <v>5.6265645757730846E-2</v>
      </c>
      <c r="N69" s="139">
        <v>0</v>
      </c>
      <c r="O69" s="143">
        <f>(((G69*Constants!$B$23*0.000000001*Input!G69*(Constants!$B$7/Constants!$B$6))-(N69*0.000000001))/Input!F69)*1000000</f>
        <v>13.700112283101877</v>
      </c>
      <c r="P69" s="139">
        <f>O69*Input!N69/100</f>
        <v>1.160782258617606E-3</v>
      </c>
      <c r="Q69" s="146">
        <f>(O69/Constants!$B$7)*602200000000000000*Constants!$B$18/(365.2425*24*60)</f>
        <v>10.221938167743669</v>
      </c>
      <c r="R69" s="147">
        <f>Q69*Input!N69/100</f>
        <v>8.6608373921418143E-4</v>
      </c>
      <c r="S69" s="145">
        <f>Input!S69*Constants!$B$17/Constants!$B$18</f>
        <v>0.99868847640745062</v>
      </c>
      <c r="T69" s="139">
        <f>S69*Input!T69/100</f>
        <v>9.2015230551698815E-4</v>
      </c>
      <c r="U69" s="145">
        <f>S69</f>
        <v>0.99868847640745062</v>
      </c>
      <c r="V69" s="139">
        <f>U69*Input!T69/100</f>
        <v>9.2015230551698815E-4</v>
      </c>
      <c r="W69" s="148">
        <v>0</v>
      </c>
      <c r="X69" s="143">
        <f>(((Constants!$B$25*0.000000001*Input!G69/Input!W69*(Constants!$B$11/Constants!$B$9))-(W69*0.000000001))/Input!F69)*1000000000</f>
        <v>0.9311453367141066</v>
      </c>
      <c r="Y69" s="143">
        <f>X69*Input!X69/100</f>
        <v>2.421849619613533E-3</v>
      </c>
      <c r="Z69" s="143">
        <f>(X69/Constants!$B$11)*6.022E+23*0.000000001*Constants!$B$19/(365.2425*24*60)</f>
        <v>2.2732267943881192E-4</v>
      </c>
      <c r="AA69" s="143">
        <f>Z69*Input!X69/100</f>
        <v>5.9125178747198166E-7</v>
      </c>
      <c r="AB69" s="144">
        <v>0</v>
      </c>
      <c r="AC69" s="144">
        <v>0.9</v>
      </c>
      <c r="AD69" s="143">
        <f>(((Input!G69*Constants!$B$25*0.000000001*Input!U69*(Constants!$B$10/Constants!$B$9))-((AB69*0.000000000000001)+(Input!G69*AC69*0.000000000000001)))/Input!F69)*1000000000000</f>
        <v>224.07282280033448</v>
      </c>
      <c r="AE69" s="143">
        <f>AD69*Input!V69/100</f>
        <v>0.42788071738896405</v>
      </c>
      <c r="AF69" s="143">
        <f>(AD69/Constants!$B$10)*602200000000*Constants!$B$16/(365.2425*24*60)</f>
        <v>10.227953781421323</v>
      </c>
      <c r="AG69" s="143">
        <f>AF69*Input!V69/100</f>
        <v>1.953090136823675E-2</v>
      </c>
      <c r="AH69" s="139">
        <f t="shared" ref="AH69" si="325">AF69/Z69</f>
        <v>44993.1076242411</v>
      </c>
      <c r="AI69" s="148">
        <f t="shared" ref="AI69" si="326">AH69*SQRT((AG69/AF69)^2+(AA69/Z69)^2)</f>
        <v>145.17716433981016</v>
      </c>
      <c r="AJ69" s="145">
        <f t="shared" ref="AJ69:AJ75" si="327">(U69-1)*1000</f>
        <v>-1.3115235925493796</v>
      </c>
      <c r="AK69" s="148">
        <f t="shared" ref="AK69" si="328">V69*1000</f>
        <v>0.92015230551698812</v>
      </c>
      <c r="AL69" s="148">
        <f t="shared" ref="AL69" si="329">AF69/Q69</f>
        <v>1.0005885002999368</v>
      </c>
      <c r="AM69" s="148">
        <f t="shared" ref="AM69" si="330">AL69*SQRT((R69/Q69)^2+(AG69/AF69)^2)</f>
        <v>1.9125646362006317E-3</v>
      </c>
      <c r="AN69" s="139">
        <f>AF69/Q69</f>
        <v>1.0005885002999368</v>
      </c>
      <c r="AO69" s="143">
        <f t="shared" ref="AO69" si="331">AN69*SQRT((R69/Q69)^2+(AG69/AF69)^2)</f>
        <v>1.9125646362006317E-3</v>
      </c>
      <c r="AP69" s="139" t="str">
        <f t="shared" ref="AP69" si="332">ThU_Alter_Kombi(AN69,U69)</f>
        <v>Out of range</v>
      </c>
      <c r="AQ69" s="139" t="e">
        <f t="shared" ref="AQ69:AQ75" si="333">Montealter(AN69,AO69,U69,V69)</f>
        <v>#VALUE!</v>
      </c>
      <c r="AR69" s="139" t="e">
        <f>(AQ69/AP69)*100</f>
        <v>#VALUE!</v>
      </c>
      <c r="AS69" s="147">
        <f t="shared" ref="AS69:AS75" si="334">Z69/Q69</f>
        <v>2.2238706173761742E-5</v>
      </c>
      <c r="AT69" s="147">
        <f t="shared" ref="AT69:AT75" si="335">AS69*SQRT((Y69/X69)^2+(P69/O69)^2)</f>
        <v>5.7872138369772406E-8</v>
      </c>
      <c r="AU69" s="139">
        <v>0.75</v>
      </c>
      <c r="AV69" s="139">
        <f t="shared" ref="AV69" si="336">AU69/2</f>
        <v>0.375</v>
      </c>
      <c r="AW69" s="139" t="str">
        <f t="shared" ref="AW69:AW75" si="337">marincorr_age(AN69,U69,AS69,AU69)</f>
        <v>Out of range</v>
      </c>
      <c r="AX69" s="149">
        <f t="shared" ref="AX69:AX75" si="338">marincorr_age_error(AN69, AO69, U69, V69, AS69, AT69, AU69, AV69)</f>
        <v>216.60871955440001</v>
      </c>
      <c r="AY69" s="149" t="e">
        <f t="shared" ref="AY69:AY75" si="339">SQRT(((AU69*EXP(-0.0000091577*AW69*1000))/(0.0000091577*(EXP(-0.0000091577*AW69*1000)+(AJ69/1000)*EXP(-(0.0000091577-0.0000028263)*AW69*1000)-AS69*AU69*EXP(-0.0000091577*AW69*1000))))^2*AT69^2+((AS69*EXP(-0.0000091577*AW69*1000))/(0.0000091577*(EXP(-0.0000091577*AW69*1000)+(AJ69/1000)*EXP(-(0.0000091577-0.0000028263)*AW69*1000)-AS69*AU69*EXP(-0.0000091577*AW69*1000))))^2*AV69^2+((0.0000091577/(0.0000091577-0.0000028263))*(EXP(-(0.0000091577-0.0000028263)*AW69*1000)-1)/(0.0000091577*(EXP(-0.0000091577*AW69*1000)+(AJ69/1000)*EXP(-(0.0000091577-0.0000028263)*AW69*1000)-AS69*AU69*EXP(-0.0000091577*AW69*1000))))^2*T69^2+(1/(0.0000091577*(EXP(-0.0000091577*AW69*1000)+(AJ69/1000)*EXP(-(0.0000091577-0.0000028263)*AW69*1000)-AS69*AU69*EXP(-0.0000091577*AW69*1000))))^2*AO69^2)/1000</f>
        <v>#VALUE!</v>
      </c>
      <c r="AZ69" s="150" t="e">
        <f t="shared" ref="AZ69:AZ75" si="340">AX69/AW69</f>
        <v>#VALUE!</v>
      </c>
      <c r="BA69" s="139" t="str">
        <f>Input!B69</f>
        <v>Hu1-13</v>
      </c>
      <c r="BB69" s="151">
        <f>Input!E69</f>
        <v>0</v>
      </c>
      <c r="BC69" s="139" t="e">
        <f>((U69-1)*EXP(Constants!$B$17*AW69*1000))*1000</f>
        <v>#VALUE!</v>
      </c>
      <c r="BD69" s="145" t="e">
        <f>SQRT((EXP(Constants!$B$17*AW69*1000)*V69)^2+((U69-1)*Constants!$B$17*EXP(Constants!$B$17*AW69*1000)*AY69*1000)^2)*1000</f>
        <v>#VALUE!</v>
      </c>
      <c r="BE69" s="139" t="e">
        <f t="shared" ref="BE69:BE75" si="341">AW69*1000-58</f>
        <v>#VALUE!</v>
      </c>
      <c r="BF69" s="152" t="e">
        <f t="shared" ref="BF69:BF75" si="342">AY69/2*1000</f>
        <v>#VALUE!</v>
      </c>
      <c r="BG69" s="161" t="e">
        <f t="shared" ref="BG69:BG75" si="343">AY69/AW69*100</f>
        <v>#VALUE!</v>
      </c>
      <c r="BH69" s="139"/>
      <c r="BI69" s="18"/>
      <c r="BJ69" s="18"/>
      <c r="BK69" s="18"/>
      <c r="BL69" s="18"/>
      <c r="BM69" s="18"/>
      <c r="BN69" s="160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0" spans="1:110" ht="15" customHeight="1" x14ac:dyDescent="0.2">
      <c r="A70" s="18">
        <f>Input!A70</f>
        <v>10900</v>
      </c>
      <c r="B70" s="18" t="str">
        <f>Input!B70</f>
        <v>RuWa51_3_34</v>
      </c>
      <c r="C70" s="18">
        <f>Input!O70</f>
        <v>5.8108288673975057</v>
      </c>
      <c r="D70" s="18">
        <f>C70*Input!P70/100</f>
        <v>2.0905480792389998E-2</v>
      </c>
      <c r="E70" s="153">
        <f>Input!M70</f>
        <v>7.9635882863128744</v>
      </c>
      <c r="F70" s="154">
        <f>E70*Input!N70/100</f>
        <v>4.3265297833235719E-4</v>
      </c>
      <c r="G70" s="21">
        <f>E70*137.88</f>
        <v>1098.0195529168191</v>
      </c>
      <c r="H70" s="154">
        <f>G70*Input!L70/100</f>
        <v>2.6750054898045449E-2</v>
      </c>
      <c r="I70" s="18">
        <v>0.3</v>
      </c>
      <c r="J70" s="130">
        <f>(((C70*Constants!$B$24*0.000000001*Input!G70*(Constants!$B$4/Constants!$B$3))-(I70*0.000000000000001))/Input!F70)*1000000000000</f>
        <v>247.23152653980037</v>
      </c>
      <c r="K70" s="18">
        <f>J70*Input!P70/100</f>
        <v>0.88945898206530161</v>
      </c>
      <c r="L70" s="135">
        <f>(J70/Constants!$B$4)*602200000000*Constants!$B$17/(365.2425*24*60)</f>
        <v>3.4133057287147008</v>
      </c>
      <c r="M70" s="133">
        <f>L70*Input!P70/100</f>
        <v>1.2279968826918572E-2</v>
      </c>
      <c r="N70" s="18">
        <v>5.0000000000000001E-3</v>
      </c>
      <c r="O70" s="130">
        <f>(((G70*Constants!$B$23*0.000000001*Input!G70*(Constants!$B$7/Constants!$B$6))-(N70*0.000000001))/Input!F70)*1000000</f>
        <v>4.7060661314831318</v>
      </c>
      <c r="P70" s="18">
        <f>O70*Input!N70/100</f>
        <v>2.5567538838172638E-4</v>
      </c>
      <c r="Q70" s="131">
        <f>(O70/Constants!$B$7)*602200000000000000*Constants!$B$18/(365.2425*24*60)</f>
        <v>3.5112936314155245</v>
      </c>
      <c r="R70" s="132">
        <f>Q70*Input!N70/100</f>
        <v>1.9076471470058106E-4</v>
      </c>
      <c r="S70" s="133">
        <f>Input!S70*Constants!$B$17/Constants!$B$18</f>
        <v>0.95834170157527254</v>
      </c>
      <c r="T70" s="18">
        <f>S70*Input!T70/100</f>
        <v>3.0142509512502843E-4</v>
      </c>
      <c r="U70" s="18">
        <f>S70*1/((U69+U71)/2)</f>
        <v>0.95897882819159985</v>
      </c>
      <c r="V70" s="18">
        <f>U70*Input!T70/100</f>
        <v>3.0162548915005876E-4</v>
      </c>
      <c r="W70" s="134">
        <v>3.0000000000000001E-3</v>
      </c>
      <c r="X70" s="130">
        <f>IF((((Constants!$B$25*0.000000001*Input!G70/Input!W70*(Constants!$B$11/Constants!$B$9))-(W70*0.000000001))/Input!F70)*1000000000&lt;0, "n.d.", (((Constants!$B$25*0.000000001*Input!G70/Input!W70*(Constants!$B$11/Constants!$B$9))-(W70*0.000000001))/Input!F70)*1000000000)</f>
        <v>0.28270365801121666</v>
      </c>
      <c r="Y70" s="130">
        <f>X70*Input!X70/100</f>
        <v>6.1859819189847285E-4</v>
      </c>
      <c r="Z70" s="130">
        <f>(X70/Constants!$B$11)*6.022E+23*0.000000001*Constants!$B$19/(365.2425*24*60)</f>
        <v>6.9017102370985583E-5</v>
      </c>
      <c r="AA70" s="130">
        <f>Z70*Input!X70/100</f>
        <v>1.5101981713681804E-7</v>
      </c>
      <c r="AB70" s="135">
        <v>0.05</v>
      </c>
      <c r="AC70" s="135">
        <v>0.9</v>
      </c>
      <c r="AD70" s="130">
        <f>(((Input!G70*Constants!$B$25*0.000000001*Input!U70*(Constants!$B$10/Constants!$B$9))-((AB70*0.000000000000001)+(Input!G70*AC70*0.000000000000001)))/Input!F70)*1000000000000</f>
        <v>68.565626894376067</v>
      </c>
      <c r="AE70" s="130">
        <f>AD70*Input!V70/100</f>
        <v>0.10637414820645562</v>
      </c>
      <c r="AF70" s="130">
        <f>(AD70/Constants!$B$10)*602200000000*Constants!$B$16/(365.2425*24*60)</f>
        <v>3.1297238732729098</v>
      </c>
      <c r="AG70" s="130">
        <f>AF70*Input!V70/100</f>
        <v>4.855519102212452E-3</v>
      </c>
      <c r="AH70" s="18">
        <f>AF70/Z70</f>
        <v>45347.077257022436</v>
      </c>
      <c r="AI70" s="134">
        <f>AH70*SQRT((AG70/AF70)^2+(AA70/Z70)^2)</f>
        <v>121.63596016494378</v>
      </c>
      <c r="AJ70" s="133">
        <f t="shared" si="327"/>
        <v>-41.021171808400148</v>
      </c>
      <c r="AK70" s="134">
        <f>V70*1000</f>
        <v>0.30162548915005877</v>
      </c>
      <c r="AL70" s="134">
        <f>AF70/Q70</f>
        <v>0.89133071790729423</v>
      </c>
      <c r="AM70" s="134">
        <f>AL70*SQRT((R70/Q70)^2+(AG70/AF70)^2)</f>
        <v>1.3836767588209563E-3</v>
      </c>
      <c r="AN70" s="18">
        <f>AL70*1/((AN69+AN71)/2)</f>
        <v>0.89165943598119335</v>
      </c>
      <c r="AO70" s="130">
        <f>AN70*SQRT((R70/Q70)^2+(AG70/AF70)^2)</f>
        <v>1.3841870515214328E-3</v>
      </c>
      <c r="AP70" s="18">
        <f>ThU_Alter_Kombi(AN70,U70)</f>
        <v>311.87389999999999</v>
      </c>
      <c r="AQ70" s="18">
        <f t="shared" si="333"/>
        <v>2.8184999999999998</v>
      </c>
      <c r="AR70" s="155">
        <f>(AQ70/AP70)</f>
        <v>9.0373064241669465E-3</v>
      </c>
      <c r="AS70" s="132">
        <f t="shared" si="334"/>
        <v>1.9655747885477293E-5</v>
      </c>
      <c r="AT70" s="132">
        <f t="shared" si="335"/>
        <v>4.3022992356791796E-8</v>
      </c>
      <c r="AU70" s="18">
        <v>0.75</v>
      </c>
      <c r="AV70" s="18">
        <f>AU70/2</f>
        <v>0.375</v>
      </c>
      <c r="AW70" s="18">
        <f t="shared" si="337"/>
        <v>311.87209999999999</v>
      </c>
      <c r="AX70" s="136">
        <f t="shared" si="338"/>
        <v>2.8977143457999999</v>
      </c>
      <c r="AY70" s="136">
        <f t="shared" si="339"/>
        <v>3.0233275732154037</v>
      </c>
      <c r="AZ70" s="155">
        <f t="shared" si="340"/>
        <v>9.2913548400129411E-3</v>
      </c>
      <c r="BA70" s="18" t="str">
        <f>Input!B70</f>
        <v>RuWa51_3_34</v>
      </c>
      <c r="BB70" s="137">
        <f>Input!E70</f>
        <v>0</v>
      </c>
      <c r="BC70" s="18">
        <f>((U70-1)*EXP(Constants!$B$17*AW70*1000))*1000</f>
        <v>-98.909975447390352</v>
      </c>
      <c r="BD70" s="133">
        <f>SQRT((EXP(Constants!$B$17*AW70*1000)*V70)^2+((U70-1)*Constants!$B$17*EXP(Constants!$B$17*AW70*1000)*AY70*1000)^2)*1000</f>
        <v>1.1140473041241024</v>
      </c>
      <c r="BE70" s="18">
        <f t="shared" si="341"/>
        <v>311814.09999999998</v>
      </c>
      <c r="BF70" s="138">
        <f t="shared" si="342"/>
        <v>1511.6637866077019</v>
      </c>
      <c r="BG70" s="20">
        <f t="shared" si="343"/>
        <v>0.9694126448680096</v>
      </c>
      <c r="BH70" s="18"/>
      <c r="BI70" s="18"/>
      <c r="BJ70" s="18"/>
      <c r="BK70" s="18"/>
      <c r="BL70" s="18"/>
      <c r="BM70" s="18"/>
      <c r="BN70" s="160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</row>
    <row r="71" spans="1:110" ht="15" customHeight="1" x14ac:dyDescent="0.2">
      <c r="A71" s="139">
        <f>Input!A71</f>
        <v>10815</v>
      </c>
      <c r="B71" s="139" t="str">
        <f>Input!B71</f>
        <v>Hu1-13</v>
      </c>
      <c r="C71" s="139">
        <f>Input!O71</f>
        <v>2.0973681572101399</v>
      </c>
      <c r="D71" s="139">
        <f>C71*Input!P71/100</f>
        <v>9.5990572774287859E-3</v>
      </c>
      <c r="E71" s="140">
        <f>Input!M71</f>
        <v>2.7322361973048124</v>
      </c>
      <c r="F71" s="141">
        <f>E71*Input!N71/100</f>
        <v>2.0695548338971252E-4</v>
      </c>
      <c r="G71" s="142">
        <f t="shared" ref="G71" si="344">E71*137.88</f>
        <v>376.72072688438755</v>
      </c>
      <c r="H71" s="141">
        <f>G71*Input!L71/100</f>
        <v>1.9763661684429938E-2</v>
      </c>
      <c r="I71" s="139">
        <v>0</v>
      </c>
      <c r="J71" s="143">
        <f>(((C71*Constants!$B$24*0.000000001*Input!G71*(Constants!$B$4/Constants!$B$3))-(I71*0.000000000000001))/Input!F71)*1000000000000</f>
        <v>757.22864559405241</v>
      </c>
      <c r="K71" s="139">
        <f>J71*Input!P71/100</f>
        <v>3.4656200515772713</v>
      </c>
      <c r="L71" s="144">
        <f>(J71/Constants!$B$4)*602200000000*Constants!$B$17/(365.2425*24*60)</f>
        <v>10.454382214628135</v>
      </c>
      <c r="M71" s="145">
        <f>L71*Input!P71/100</f>
        <v>4.7846732741396218E-2</v>
      </c>
      <c r="N71" s="139">
        <v>0</v>
      </c>
      <c r="O71" s="143">
        <f>(((G71*Constants!$B$23*0.000000001*Input!G71*(Constants!$B$7/Constants!$B$6))-(N71*0.000000001))/Input!F71)*1000000</f>
        <v>13.701035154090444</v>
      </c>
      <c r="P71" s="139">
        <f>O71*Input!N71/100</f>
        <v>1.037796203729124E-3</v>
      </c>
      <c r="Q71" s="146">
        <f>(O71/Constants!$B$7)*602200000000000000*Constants!$B$18/(365.2425*24*60)</f>
        <v>10.222626740945627</v>
      </c>
      <c r="R71" s="147">
        <f>Q71*Input!N71/100</f>
        <v>7.7432129065998926E-4</v>
      </c>
      <c r="S71" s="145">
        <f>Input!S71*Constants!$B$17/Constants!$B$18</f>
        <v>0.99998276304518907</v>
      </c>
      <c r="T71" s="139">
        <f>S71*Input!T71/100</f>
        <v>1.0685189034157624E-3</v>
      </c>
      <c r="U71" s="145">
        <f>S71</f>
        <v>0.99998276304518907</v>
      </c>
      <c r="V71" s="139">
        <f>U71*Input!T71/100</f>
        <v>1.0685189034157624E-3</v>
      </c>
      <c r="W71" s="148">
        <v>0</v>
      </c>
      <c r="X71" s="143">
        <f>(((Constants!$B$25*0.000000001*Input!G71/Input!W71*(Constants!$B$11/Constants!$B$9))-(W71*0.000000001))/Input!F71)*1000000000</f>
        <v>0.92692462733028103</v>
      </c>
      <c r="Y71" s="143">
        <f>X71*Input!X71/100</f>
        <v>3.5106052750641377E-3</v>
      </c>
      <c r="Z71" s="143">
        <f>(X71/Constants!$B$11)*6.022E+23*0.000000001*Constants!$B$19/(365.2425*24*60)</f>
        <v>2.2629226782804285E-4</v>
      </c>
      <c r="AA71" s="143">
        <f>Z71*Input!X71/100</f>
        <v>8.5705224105593392E-7</v>
      </c>
      <c r="AB71" s="144">
        <v>0</v>
      </c>
      <c r="AC71" s="144">
        <v>0.9</v>
      </c>
      <c r="AD71" s="143">
        <f>(((Input!G71*Constants!$B$25*0.000000001*Input!U71*(Constants!$B$10/Constants!$B$9))-((AB71*0.000000000000001)+(Input!G71*AC71*0.000000000000001)))/Input!F71)*1000000000000</f>
        <v>223.65919359775799</v>
      </c>
      <c r="AE71" s="143">
        <f>AD71*Input!V71/100</f>
        <v>0.60016082142008575</v>
      </c>
      <c r="AF71" s="143">
        <f>(AD71/Constants!$B$10)*602200000000*Constants!$B$16/(365.2425*24*60)</f>
        <v>10.209073399973333</v>
      </c>
      <c r="AG71" s="143">
        <f>AF71*Input!V71/100</f>
        <v>2.7394741879849836E-2</v>
      </c>
      <c r="AH71" s="139">
        <f t="shared" ref="AH71" si="345">AF71/Z71</f>
        <v>45114.548092872101</v>
      </c>
      <c r="AI71" s="148">
        <f t="shared" ref="AI71" si="346">AH71*SQRT((AG71/AF71)^2+(AA71/Z71)^2)</f>
        <v>209.40463951587972</v>
      </c>
      <c r="AJ71" s="145">
        <f t="shared" si="327"/>
        <v>-1.7236954810928573E-2</v>
      </c>
      <c r="AK71" s="148">
        <f t="shared" ref="AK71" si="347">V71*1000</f>
        <v>1.0685189034157625</v>
      </c>
      <c r="AL71" s="148">
        <f t="shared" ref="AL71" si="348">AF71/Q71</f>
        <v>0.99867418215339832</v>
      </c>
      <c r="AM71" s="148">
        <f t="shared" ref="AM71" si="349">AL71*SQRT((R71/Q71)^2+(AG71/AF71)^2)</f>
        <v>2.6808817953003997E-3</v>
      </c>
      <c r="AN71" s="139">
        <f>AF71/Q71</f>
        <v>0.99867418215339832</v>
      </c>
      <c r="AO71" s="143">
        <f t="shared" ref="AO71" si="350">AN71*SQRT((R71/Q71)^2+(AG71/AF71)^2)</f>
        <v>2.6808817953003997E-3</v>
      </c>
      <c r="AP71" s="139">
        <f t="shared" ref="AP71" si="351">ThU_Alter_Kombi(AN71,U71)</f>
        <v>724.5471</v>
      </c>
      <c r="AQ71" s="139" t="e">
        <f t="shared" si="333"/>
        <v>#VALUE!</v>
      </c>
      <c r="AR71" s="139" t="e">
        <f>(AQ71/AP71)*100</f>
        <v>#VALUE!</v>
      </c>
      <c r="AS71" s="147">
        <f t="shared" si="334"/>
        <v>2.2136411077365628E-5</v>
      </c>
      <c r="AT71" s="147">
        <f t="shared" si="335"/>
        <v>8.3855514740255726E-8</v>
      </c>
      <c r="AU71" s="139">
        <v>0.75</v>
      </c>
      <c r="AV71" s="139">
        <f t="shared" ref="AV71" si="352">AU71/2</f>
        <v>0.375</v>
      </c>
      <c r="AW71" s="139">
        <f t="shared" si="337"/>
        <v>724.54520000000002</v>
      </c>
      <c r="AX71" s="149">
        <f t="shared" si="338"/>
        <v>334.46578462769997</v>
      </c>
      <c r="AY71" s="149">
        <f t="shared" si="339"/>
        <v>256.6733320014514</v>
      </c>
      <c r="AZ71" s="150">
        <f t="shared" si="340"/>
        <v>0.46162169679365755</v>
      </c>
      <c r="BA71" s="139" t="str">
        <f>Input!B71</f>
        <v>Hu1-13</v>
      </c>
      <c r="BB71" s="151">
        <f>Input!E71</f>
        <v>0</v>
      </c>
      <c r="BC71" s="139">
        <f>((U71-1)*EXP(Constants!$B$17*AW71*1000))*1000</f>
        <v>-0.13318852978175427</v>
      </c>
      <c r="BD71" s="145">
        <f>SQRT((EXP(Constants!$B$17*AW71*1000)*V71)^2+((U71-1)*Constants!$B$17*EXP(Constants!$B$17*AW71*1000)*AY71*1000)^2)*1000</f>
        <v>8.2569211685526795</v>
      </c>
      <c r="BE71" s="139">
        <f t="shared" si="341"/>
        <v>724487.20000000007</v>
      </c>
      <c r="BF71" s="152">
        <f t="shared" si="342"/>
        <v>128336.6660007257</v>
      </c>
      <c r="BG71" s="161">
        <f t="shared" si="343"/>
        <v>35.425440952676432</v>
      </c>
      <c r="BH71" s="139"/>
      <c r="BI71" s="18"/>
      <c r="BJ71" s="18"/>
      <c r="BK71" s="18"/>
      <c r="BL71" s="18"/>
      <c r="BM71" s="18"/>
      <c r="BN71" s="160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10901</v>
      </c>
      <c r="B72" s="18" t="str">
        <f>Input!B72</f>
        <v>RuWa51_3_87</v>
      </c>
      <c r="C72" s="18">
        <f>Input!O72</f>
        <v>4.5987605766392248</v>
      </c>
      <c r="D72" s="18">
        <f>C72*Input!P72/100</f>
        <v>1.0798841616637684E-2</v>
      </c>
      <c r="E72" s="153">
        <f>Input!M72</f>
        <v>6.2687908749422352</v>
      </c>
      <c r="F72" s="154">
        <f>E72*Input!N72/100</f>
        <v>2.6662397564847467E-4</v>
      </c>
      <c r="G72" s="21">
        <f>E72*137.88</f>
        <v>864.34088583703533</v>
      </c>
      <c r="H72" s="154">
        <f>G72*Input!L72/100</f>
        <v>2.0179924721108088E-2</v>
      </c>
      <c r="I72" s="18">
        <v>0.3</v>
      </c>
      <c r="J72" s="130">
        <f>(((C72*Constants!$B$24*0.000000001*Input!G72*(Constants!$B$4/Constants!$B$3))-(I72*0.000000000000001))/Input!F72)*1000000000000</f>
        <v>188.02310135000911</v>
      </c>
      <c r="K72" s="18">
        <f>J72*Input!P72/100</f>
        <v>0.44151715617941639</v>
      </c>
      <c r="L72" s="135">
        <f>(J72/Constants!$B$4)*602200000000*Constants!$B$17/(365.2425*24*60)</f>
        <v>2.5958676789765089</v>
      </c>
      <c r="M72" s="133">
        <f>L72*Input!P72/100</f>
        <v>6.0956345641073259E-3</v>
      </c>
      <c r="N72" s="18">
        <v>5.0000000000000001E-3</v>
      </c>
      <c r="O72" s="130">
        <f>(((G72*Constants!$B$23*0.000000001*Input!G72*(Constants!$B$7/Constants!$B$6))-(N72*0.000000001))/Input!F72)*1000000</f>
        <v>3.5599002718268555</v>
      </c>
      <c r="P72" s="18">
        <f>O72*Input!N72/100</f>
        <v>1.5140954329495126E-4</v>
      </c>
      <c r="Q72" s="131">
        <f>(O72/Constants!$B$7)*602200000000000000*Constants!$B$18/(365.2425*24*60)</f>
        <v>2.6561154908804188</v>
      </c>
      <c r="R72" s="132">
        <f>Q72*Input!N72/100</f>
        <v>1.1296980328228969E-4</v>
      </c>
      <c r="S72" s="133">
        <f>Input!S72*Constants!$B$17/Constants!$B$18</f>
        <v>0.96566830124736525</v>
      </c>
      <c r="T72" s="18">
        <f>S72*Input!T72/100</f>
        <v>3.9115551720487806E-4</v>
      </c>
      <c r="U72" s="18">
        <f>S72*1/((U71+U73)/2)</f>
        <v>0.96602124168563708</v>
      </c>
      <c r="V72" s="18">
        <f>U72*Input!T72/100</f>
        <v>3.9129847995875161E-4</v>
      </c>
      <c r="W72" s="134">
        <v>3.0000000000000001E-3</v>
      </c>
      <c r="X72" s="130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1.1221679708933645</v>
      </c>
      <c r="Y72" s="130">
        <f>X72*Input!X72/100</f>
        <v>1.8229268244616304E-3</v>
      </c>
      <c r="Z72" s="130">
        <f>(X72/Constants!$B$11)*6.022E+23*0.000000001*Constants!$B$19/(365.2425*24*60)</f>
        <v>2.7395747996128021E-4</v>
      </c>
      <c r="AA72" s="130">
        <f>Z72*Input!X72/100</f>
        <v>4.4503537076160566E-7</v>
      </c>
      <c r="AB72" s="135">
        <v>0.05</v>
      </c>
      <c r="AC72" s="135">
        <v>0.9</v>
      </c>
      <c r="AD72" s="130">
        <f>(((Input!G72*Constants!$B$25*0.000000001*Input!U72*(Constants!$B$10/Constants!$B$9))-((AB72*0.000000000000001)+(Input!G72*AC72*0.000000000000001)))/Input!F72)*1000000000000</f>
        <v>49.712926076929818</v>
      </c>
      <c r="AE72" s="130">
        <f>AD72*Input!V72/100</f>
        <v>8.2788724791279578E-2</v>
      </c>
      <c r="AF72" s="130">
        <f>(AD72/Constants!$B$10)*602200000000*Constants!$B$16/(365.2425*24*60)</f>
        <v>2.269179742101656</v>
      </c>
      <c r="AG72" s="130">
        <f>AF72*Input!V72/100</f>
        <v>3.7789466844113562E-3</v>
      </c>
      <c r="AH72" s="18">
        <f>AF72/Z72</f>
        <v>8282.9632628478357</v>
      </c>
      <c r="AI72" s="134">
        <f>AH72*SQRT((AG72/AF72)^2+(AA72/Z72)^2)</f>
        <v>19.269674036880239</v>
      </c>
      <c r="AJ72" s="133">
        <f t="shared" si="327"/>
        <v>-33.978758314362921</v>
      </c>
      <c r="AK72" s="134">
        <f>V72*1000</f>
        <v>0.39129847995875161</v>
      </c>
      <c r="AL72" s="134">
        <f>AF72/Q72</f>
        <v>0.85432269413461925</v>
      </c>
      <c r="AM72" s="134">
        <f>AL72*SQRT((R72/Q72)^2+(AG72/AF72)^2)</f>
        <v>1.4231982541430648E-3</v>
      </c>
      <c r="AN72" s="18">
        <f>AL72*1/((AN71+AN73)/2)</f>
        <v>0.85511435156154725</v>
      </c>
      <c r="AO72" s="130">
        <f>AN72*SQRT((R72/Q72)^2+(AG72/AF72)^2)</f>
        <v>1.4245170596431627E-3</v>
      </c>
      <c r="AP72" s="18">
        <f>ThU_Alter_Kombi(AN72,U72)</f>
        <v>244.53139999999999</v>
      </c>
      <c r="AQ72" s="18">
        <f t="shared" si="333"/>
        <v>1.5612999999999999</v>
      </c>
      <c r="AR72" s="155">
        <f>(AQ72/AP72)</f>
        <v>6.3848650929901026E-3</v>
      </c>
      <c r="AS72" s="132">
        <f t="shared" si="334"/>
        <v>1.0314215662003158E-4</v>
      </c>
      <c r="AT72" s="132">
        <f t="shared" si="335"/>
        <v>1.6760863082094042E-7</v>
      </c>
      <c r="AU72" s="18">
        <v>0.75</v>
      </c>
      <c r="AV72" s="18">
        <f>AU72/2</f>
        <v>0.375</v>
      </c>
      <c r="AW72" s="18">
        <f t="shared" si="337"/>
        <v>244.5224</v>
      </c>
      <c r="AX72" s="136">
        <f t="shared" si="338"/>
        <v>1.4644206915</v>
      </c>
      <c r="AY72" s="136">
        <f t="shared" si="339"/>
        <v>1.6412587345348852</v>
      </c>
      <c r="AZ72" s="155">
        <f t="shared" si="340"/>
        <v>5.9889020044789354E-3</v>
      </c>
      <c r="BA72" s="18" t="str">
        <f>Input!B72</f>
        <v>RuWa51_3_87</v>
      </c>
      <c r="BB72" s="137">
        <f>Input!E72</f>
        <v>0</v>
      </c>
      <c r="BC72" s="18">
        <f>((U72-1)*EXP(Constants!$B$17*AW72*1000))*1000</f>
        <v>-67.74783191947715</v>
      </c>
      <c r="BD72" s="133">
        <f>SQRT((EXP(Constants!$B$17*AW72*1000)*V72)^2+((U72-1)*Constants!$B$17*EXP(Constants!$B$17*AW72*1000)*AY72*1000)^2)*1000</f>
        <v>0.84092110372094619</v>
      </c>
      <c r="BE72" s="18">
        <f t="shared" si="341"/>
        <v>244464.4</v>
      </c>
      <c r="BF72" s="138">
        <f t="shared" si="342"/>
        <v>820.6293672674426</v>
      </c>
      <c r="BG72" s="20">
        <f t="shared" si="343"/>
        <v>0.67120997280203587</v>
      </c>
      <c r="BH72" s="18"/>
      <c r="BI72" s="18"/>
      <c r="BJ72" s="18"/>
      <c r="BK72" s="18"/>
      <c r="BL72" s="18"/>
      <c r="BM72" s="18"/>
      <c r="BN72" s="160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9">
        <f>Input!A73</f>
        <v>10815</v>
      </c>
      <c r="B73" s="139" t="str">
        <f>Input!B73</f>
        <v>Hu1-13</v>
      </c>
      <c r="C73" s="139">
        <f>Input!O73</f>
        <v>2.1046318230856182</v>
      </c>
      <c r="D73" s="139">
        <f>C73*Input!P73/100</f>
        <v>1.145653516611032E-2</v>
      </c>
      <c r="E73" s="140">
        <f>Input!M73</f>
        <v>2.7320794723225816</v>
      </c>
      <c r="F73" s="141">
        <f>E73*Input!N73/100</f>
        <v>2.7948893341813141E-4</v>
      </c>
      <c r="G73" s="142">
        <f t="shared" ref="G73" si="353">E73*137.88</f>
        <v>376.69911764383755</v>
      </c>
      <c r="H73" s="141">
        <f>G73*Input!L73/100</f>
        <v>2.0491489009550345E-2</v>
      </c>
      <c r="I73" s="139">
        <v>0</v>
      </c>
      <c r="J73" s="143">
        <f>(((C73*Constants!$B$24*0.000000001*Input!G73*(Constants!$B$4/Constants!$B$3))-(I73*0.000000000000001))/Input!F73)*1000000000000</f>
        <v>759.85110167265145</v>
      </c>
      <c r="K73" s="139">
        <f>J73*Input!P73/100</f>
        <v>4.136239304106665</v>
      </c>
      <c r="L73" s="144">
        <f>(J73/Constants!$B$4)*602200000000*Constants!$B$17/(365.2425*24*60)</f>
        <v>10.490588132545096</v>
      </c>
      <c r="M73" s="145">
        <f>L73*Input!P73/100</f>
        <v>5.7105376121072374E-2</v>
      </c>
      <c r="N73" s="139">
        <v>0</v>
      </c>
      <c r="O73" s="143">
        <f>(((G73*Constants!$B$23*0.000000001*Input!G73*(Constants!$B$7/Constants!$B$6))-(N73*0.000000001))/Input!F73)*1000000</f>
        <v>13.700249243087146</v>
      </c>
      <c r="P73" s="139">
        <f>O73*Input!N73/100</f>
        <v>1.4015214737724451E-3</v>
      </c>
      <c r="Q73" s="146">
        <f>(O73/Constants!$B$7)*602200000000000000*Constants!$B$18/(365.2425*24*60)</f>
        <v>10.222040356431757</v>
      </c>
      <c r="R73" s="147">
        <f>Q73*Input!N73/100</f>
        <v>1.0457042650181307E-3</v>
      </c>
      <c r="S73" s="145">
        <f>Input!S73*Constants!$B$17/Constants!$B$18</f>
        <v>0.99928652747754099</v>
      </c>
      <c r="T73" s="139">
        <f>S73*Input!T73/100</f>
        <v>1.1325999503631499E-3</v>
      </c>
      <c r="U73" s="145">
        <f>S73</f>
        <v>0.99928652747754099</v>
      </c>
      <c r="V73" s="139">
        <f>U73*Input!T73/100</f>
        <v>1.1325999503631499E-3</v>
      </c>
      <c r="W73" s="148">
        <v>0</v>
      </c>
      <c r="X73" s="143">
        <f>(((Constants!$B$25*0.000000001*Input!G73/Input!W73*(Constants!$B$11/Constants!$B$9))-(W73*0.000000001))/Input!F73)*1000000000</f>
        <v>0.92862873263472712</v>
      </c>
      <c r="Y73" s="143">
        <f>X73*Input!X73/100</f>
        <v>3.4152788915036351E-3</v>
      </c>
      <c r="Z73" s="143">
        <f>(X73/Constants!$B$11)*6.022E+23*0.000000001*Constants!$B$19/(365.2425*24*60)</f>
        <v>2.2670829502441971E-4</v>
      </c>
      <c r="AA73" s="143">
        <f>Z73*Input!X73/100</f>
        <v>8.3377998904782592E-7</v>
      </c>
      <c r="AB73" s="144">
        <v>0</v>
      </c>
      <c r="AC73" s="144">
        <v>0.9</v>
      </c>
      <c r="AD73" s="143">
        <f>(((Input!G73*Constants!$B$25*0.000000001*Input!U73*(Constants!$B$10/Constants!$B$9))-((AB73*0.000000000000001)+(Input!G73*AC73*0.000000000000001)))/Input!F73)*1000000000000</f>
        <v>223.82553069375572</v>
      </c>
      <c r="AE73" s="143">
        <f>AD73*Input!V73/100</f>
        <v>0.52434340852677874</v>
      </c>
      <c r="AF73" s="143">
        <f>(AD73/Constants!$B$10)*602200000000*Constants!$B$16/(365.2425*24*60)</f>
        <v>10.216665967910574</v>
      </c>
      <c r="AG73" s="143">
        <f>AF73*Input!V73/100</f>
        <v>2.3934005387095111E-2</v>
      </c>
      <c r="AH73" s="139">
        <f t="shared" ref="AH73" si="354">AF73/Z73</f>
        <v>45065.249892202191</v>
      </c>
      <c r="AI73" s="148">
        <f t="shared" ref="AI73" si="355">AH73*SQRT((AG73/AF73)^2+(AA73/Z73)^2)</f>
        <v>196.5069108010652</v>
      </c>
      <c r="AJ73" s="145">
        <f t="shared" si="327"/>
        <v>-0.71347252245901327</v>
      </c>
      <c r="AK73" s="148">
        <f t="shared" ref="AK73" si="356">V73*1000</f>
        <v>1.1325999503631499</v>
      </c>
      <c r="AL73" s="148">
        <f t="shared" ref="AL73" si="357">AF73/Q73</f>
        <v>0.99947423524719292</v>
      </c>
      <c r="AM73" s="148">
        <f t="shared" ref="AM73" si="358">AL73*SQRT((R73/Q73)^2+(AG73/AF73)^2)</f>
        <v>2.3436431162754995E-3</v>
      </c>
      <c r="AN73" s="139">
        <f>AF73/Q73</f>
        <v>0.99947423524719292</v>
      </c>
      <c r="AO73" s="143">
        <f t="shared" ref="AO73" si="359">AN73*SQRT((R73/Q73)^2+(AG73/AF73)^2)</f>
        <v>2.3436431162754995E-3</v>
      </c>
      <c r="AP73" s="139" t="str">
        <f t="shared" ref="AP73" si="360">ThU_Alter_Kombi(AN73,U73)</f>
        <v>Out of range</v>
      </c>
      <c r="AQ73" s="139" t="e">
        <f t="shared" si="333"/>
        <v>#VALUE!</v>
      </c>
      <c r="AR73" s="139" t="e">
        <f>(AQ73/AP73)*100</f>
        <v>#VALUE!</v>
      </c>
      <c r="AS73" s="147">
        <f t="shared" si="334"/>
        <v>2.2178379963230509E-5</v>
      </c>
      <c r="AT73" s="147">
        <f t="shared" si="335"/>
        <v>8.1598433069391648E-8</v>
      </c>
      <c r="AU73" s="139">
        <v>0.75</v>
      </c>
      <c r="AV73" s="139">
        <f t="shared" ref="AV73" si="361">AU73/2</f>
        <v>0.375</v>
      </c>
      <c r="AW73" s="139" t="str">
        <f t="shared" si="337"/>
        <v>Out of range</v>
      </c>
      <c r="AX73" s="149">
        <f t="shared" si="338"/>
        <v>335.6744416674</v>
      </c>
      <c r="AY73" s="149" t="e">
        <f t="shared" si="339"/>
        <v>#VALUE!</v>
      </c>
      <c r="AZ73" s="150" t="e">
        <f t="shared" si="340"/>
        <v>#VALUE!</v>
      </c>
      <c r="BA73" s="139" t="str">
        <f>Input!B73</f>
        <v>Hu1-13</v>
      </c>
      <c r="BB73" s="151">
        <f>Input!E73</f>
        <v>0</v>
      </c>
      <c r="BC73" s="139" t="e">
        <f>((U73-1)*EXP(Constants!$B$17*AW73*1000))*1000</f>
        <v>#VALUE!</v>
      </c>
      <c r="BD73" s="145" t="e">
        <f>SQRT((EXP(Constants!$B$17*AW73*1000)*V73)^2+((U73-1)*Constants!$B$17*EXP(Constants!$B$17*AW73*1000)*AY73*1000)^2)*1000</f>
        <v>#VALUE!</v>
      </c>
      <c r="BE73" s="139" t="e">
        <f t="shared" si="341"/>
        <v>#VALUE!</v>
      </c>
      <c r="BF73" s="152" t="e">
        <f t="shared" si="342"/>
        <v>#VALUE!</v>
      </c>
      <c r="BG73" s="161" t="e">
        <f t="shared" si="343"/>
        <v>#VALUE!</v>
      </c>
      <c r="BH73" s="139"/>
      <c r="BI73" s="18"/>
      <c r="BJ73" s="18"/>
      <c r="BK73" s="18"/>
      <c r="BL73" s="18"/>
      <c r="BM73" s="18"/>
      <c r="BN73" s="160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10902</v>
      </c>
      <c r="B74" s="18" t="str">
        <f>Input!B74</f>
        <v>RuWa51_3_98</v>
      </c>
      <c r="C74" s="18">
        <f>Input!O74</f>
        <v>5.1819039707833809</v>
      </c>
      <c r="D74" s="18">
        <f>C74*Input!P74/100</f>
        <v>1.357747038015885E-2</v>
      </c>
      <c r="E74" s="153">
        <f>Input!M74</f>
        <v>7.0531241234451167</v>
      </c>
      <c r="F74" s="154">
        <f>E74*Input!N74/100</f>
        <v>3.6341948766336403E-4</v>
      </c>
      <c r="G74" s="21">
        <f>E74*137.88</f>
        <v>972.48475414061261</v>
      </c>
      <c r="H74" s="154">
        <f>G74*Input!L74/100</f>
        <v>2.0521737954336809E-2</v>
      </c>
      <c r="I74" s="18">
        <v>0.3</v>
      </c>
      <c r="J74" s="130">
        <f>(((C74*Constants!$B$24*0.000000001*Input!G74*(Constants!$B$4/Constants!$B$3))-(I74*0.000000000000001))/Input!F74)*1000000000000</f>
        <v>221.69419507002789</v>
      </c>
      <c r="K74" s="18">
        <f>J74*Input!P74/100</f>
        <v>0.58087652414782476</v>
      </c>
      <c r="L74" s="135">
        <f>(J74/Constants!$B$4)*602200000000*Constants!$B$17/(365.2425*24*60)</f>
        <v>3.0607345132963948</v>
      </c>
      <c r="M74" s="133">
        <f>L74*Input!P74/100</f>
        <v>8.0196453716855111E-3</v>
      </c>
      <c r="N74" s="18">
        <v>5.0000000000000001E-3</v>
      </c>
      <c r="O74" s="130">
        <f>(((G74*Constants!$B$23*0.000000001*Input!G74*(Constants!$B$7/Constants!$B$6))-(N74*0.000000001))/Input!F74)*1000000</f>
        <v>4.1911191591389709</v>
      </c>
      <c r="P74" s="18">
        <f>O74*Input!N74/100</f>
        <v>2.1595173300401453E-4</v>
      </c>
      <c r="Q74" s="131">
        <f>(O74/Constants!$B$7)*602200000000000000*Constants!$B$18/(365.2425*24*60)</f>
        <v>3.1270810058400906</v>
      </c>
      <c r="R74" s="132">
        <f>Q74*Input!N74/100</f>
        <v>1.6112607082110225E-4</v>
      </c>
      <c r="S74" s="133">
        <f>Input!S74*Constants!$B$17/Constants!$B$18</f>
        <v>0.96524793187717961</v>
      </c>
      <c r="T74" s="18">
        <f>S74*Input!T74/100</f>
        <v>4.0462531784165223E-4</v>
      </c>
      <c r="U74" s="18">
        <f>S74*1/((U73+U75)/2)</f>
        <v>0.96527193969766911</v>
      </c>
      <c r="V74" s="18">
        <f>U74*Input!T74/100</f>
        <v>4.0463538175546695E-4</v>
      </c>
      <c r="W74" s="134">
        <v>3.0000000000000001E-3</v>
      </c>
      <c r="X74" s="130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0.24899310287326354</v>
      </c>
      <c r="Y74" s="130">
        <f>X74*Input!X74/100</f>
        <v>4.0365534896263954E-4</v>
      </c>
      <c r="Z74" s="130">
        <f>(X74/Constants!$B$11)*6.022E+23*0.000000001*Constants!$B$19/(365.2425*24*60)</f>
        <v>6.0787266042350048E-5</v>
      </c>
      <c r="AA74" s="130">
        <f>Z74*Input!X74/100</f>
        <v>9.8545320346880859E-8</v>
      </c>
      <c r="AB74" s="135">
        <v>0.05</v>
      </c>
      <c r="AC74" s="135">
        <v>0.9</v>
      </c>
      <c r="AD74" s="130">
        <f>(((Input!G74*Constants!$B$25*0.000000001*Input!U74*(Constants!$B$10/Constants!$B$9))-((AB74*0.000000000000001)+(Input!G74*AC74*0.000000000000001)))/Input!F74)*1000000000000</f>
        <v>62.552530247573202</v>
      </c>
      <c r="AE74" s="130">
        <f>AD74*Input!V74/100</f>
        <v>8.1768800847149853E-2</v>
      </c>
      <c r="AF74" s="130">
        <f>(AD74/Constants!$B$10)*602200000000*Constants!$B$16/(365.2425*24*60)</f>
        <v>2.8552520572886846</v>
      </c>
      <c r="AG74" s="130">
        <f>AF74*Input!V74/100</f>
        <v>3.7323915741987292E-3</v>
      </c>
      <c r="AH74" s="18">
        <f>AF74/Z74</f>
        <v>46971.220177914416</v>
      </c>
      <c r="AI74" s="134">
        <f>AH74*SQRT((AG74/AF74)^2+(AA74/Z74)^2)</f>
        <v>97.81870314762152</v>
      </c>
      <c r="AJ74" s="133">
        <f t="shared" si="327"/>
        <v>-34.728060302330888</v>
      </c>
      <c r="AK74" s="134">
        <f>V74*1000</f>
        <v>0.40463538175546693</v>
      </c>
      <c r="AL74" s="134">
        <f>AF74/Q74</f>
        <v>0.91307262330469141</v>
      </c>
      <c r="AM74" s="134">
        <f>AL74*SQRT((R74/Q74)^2+(AG74/AF74)^2)</f>
        <v>1.1944973459226682E-3</v>
      </c>
      <c r="AN74" s="18">
        <f>AL74*1/((AN73+AN75)/2)</f>
        <v>0.9129295774084385</v>
      </c>
      <c r="AO74" s="130">
        <f>AN74*SQRT((R74/Q74)^2+(AG74/AF74)^2)</f>
        <v>1.1943102108152757E-3</v>
      </c>
      <c r="AP74" s="18">
        <f>ThU_Alter_Kombi(AN74,U74)</f>
        <v>344.28059999999999</v>
      </c>
      <c r="AQ74" s="18">
        <f t="shared" si="333"/>
        <v>3.2231000000000001</v>
      </c>
      <c r="AR74" s="155">
        <f>(AQ74/AP74)</f>
        <v>9.3618403128146056E-3</v>
      </c>
      <c r="AS74" s="132">
        <f t="shared" si="334"/>
        <v>1.9438980291468191E-5</v>
      </c>
      <c r="AT74" s="132">
        <f t="shared" si="335"/>
        <v>3.1529430401686246E-8</v>
      </c>
      <c r="AU74" s="18">
        <v>0.75</v>
      </c>
      <c r="AV74" s="18">
        <f>AU74/2</f>
        <v>0.375</v>
      </c>
      <c r="AW74" s="18">
        <f t="shared" si="337"/>
        <v>344.27879999999999</v>
      </c>
      <c r="AX74" s="136">
        <f t="shared" si="338"/>
        <v>3.7071326746</v>
      </c>
      <c r="AY74" s="136">
        <f t="shared" si="339"/>
        <v>3.6645068795752289</v>
      </c>
      <c r="AZ74" s="155">
        <f t="shared" si="340"/>
        <v>1.0767821528946888E-2</v>
      </c>
      <c r="BA74" s="18" t="str">
        <f>Input!B74</f>
        <v>RuWa51_3_98</v>
      </c>
      <c r="BB74" s="137">
        <f>Input!E74</f>
        <v>0</v>
      </c>
      <c r="BC74" s="18">
        <f>((U74-1)*EXP(Constants!$B$17*AW74*1000))*1000</f>
        <v>-91.755134272469277</v>
      </c>
      <c r="BD74" s="133">
        <f>SQRT((EXP(Constants!$B$17*AW74*1000)*V74)^2+((U74-1)*Constants!$B$17*EXP(Constants!$B$17*AW74*1000)*AY74*1000)^2)*1000</f>
        <v>1.4294500019120173</v>
      </c>
      <c r="BE74" s="18">
        <f t="shared" si="341"/>
        <v>344220.8</v>
      </c>
      <c r="BF74" s="138">
        <f t="shared" si="342"/>
        <v>1832.2534397876145</v>
      </c>
      <c r="BG74" s="20">
        <f t="shared" si="343"/>
        <v>1.0644009679292565</v>
      </c>
      <c r="BH74" s="18"/>
      <c r="BI74" s="18"/>
      <c r="BJ74" s="18"/>
      <c r="BK74" s="18"/>
      <c r="BL74" s="18"/>
      <c r="BM74" s="18"/>
      <c r="BN74" s="160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9">
        <f>Input!A75</f>
        <v>10815</v>
      </c>
      <c r="B75" s="139" t="str">
        <f>Input!B75</f>
        <v>Hu1-13</v>
      </c>
      <c r="C75" s="139">
        <f>Input!O75</f>
        <v>2.0874530748287166</v>
      </c>
      <c r="D75" s="139">
        <f>C75*Input!P75/100</f>
        <v>1.114676331122888E-2</v>
      </c>
      <c r="E75" s="140">
        <f>Input!M75</f>
        <v>2.7318319345904993</v>
      </c>
      <c r="F75" s="141">
        <f>E75*Input!N75/100</f>
        <v>2.7608664889459044E-4</v>
      </c>
      <c r="G75" s="142">
        <f t="shared" ref="G75" si="362">E75*137.88</f>
        <v>376.66498714133803</v>
      </c>
      <c r="H75" s="141">
        <f>G75*Input!L75/100</f>
        <v>1.6928238580211065E-2</v>
      </c>
      <c r="I75" s="139">
        <v>0</v>
      </c>
      <c r="J75" s="143">
        <f>(((C75*Constants!$B$24*0.000000001*Input!G75*(Constants!$B$4/Constants!$B$3))-(I75*0.000000000000001))/Input!F75)*1000000000000</f>
        <v>753.64892861550084</v>
      </c>
      <c r="K75" s="139">
        <f>J75*Input!P75/100</f>
        <v>4.0244000348259474</v>
      </c>
      <c r="L75" s="144">
        <f>(J75/Constants!$B$4)*602200000000*Constants!$B$17/(365.2425*24*60)</f>
        <v>10.404960247126347</v>
      </c>
      <c r="M75" s="145">
        <f>L75*Input!P75/100</f>
        <v>5.5561310831851722E-2</v>
      </c>
      <c r="N75" s="139">
        <v>0</v>
      </c>
      <c r="O75" s="143">
        <f>(((G75*Constants!$B$23*0.000000001*Input!G75*(Constants!$B$7/Constants!$B$6))-(N75*0.000000001))/Input!F75)*1000000</f>
        <v>13.699007943680979</v>
      </c>
      <c r="P75" s="139">
        <f>O75*Input!N75/100</f>
        <v>1.3844604232281196E-3</v>
      </c>
      <c r="Q75" s="146">
        <f>(O75/Constants!$B$7)*602200000000000000*Constants!$B$18/(365.2425*24*60)</f>
        <v>10.221114197177343</v>
      </c>
      <c r="R75" s="147">
        <f>Q75*Input!N75/100</f>
        <v>1.032974661045764E-3</v>
      </c>
      <c r="S75" s="145">
        <f>Input!S75*Constants!$B$17/Constants!$B$18</f>
        <v>1.0006637293992995</v>
      </c>
      <c r="T75" s="139">
        <f>S75*Input!T75/100</f>
        <v>1.0857599959991594E-3</v>
      </c>
      <c r="U75" s="145">
        <f>S75</f>
        <v>1.0006637293992995</v>
      </c>
      <c r="V75" s="139">
        <f>U75*Input!T75/100</f>
        <v>1.0857599959991594E-3</v>
      </c>
      <c r="W75" s="148">
        <v>0</v>
      </c>
      <c r="X75" s="143">
        <f>(((Constants!$B$25*0.000000001*Input!G75/Input!W75*(Constants!$B$11/Constants!$B$9))-(W75*0.000000001))/Input!F75)*1000000000</f>
        <v>0.93043996993525924</v>
      </c>
      <c r="Y75" s="143">
        <f>X75*Input!X75/100</f>
        <v>2.728725454958939E-3</v>
      </c>
      <c r="Z75" s="143">
        <f>(X75/Constants!$B$11)*6.022E+23*0.000000001*Constants!$B$19/(365.2425*24*60)</f>
        <v>2.2715047660448262E-4</v>
      </c>
      <c r="AA75" s="143">
        <f>Z75*Input!X75/100</f>
        <v>6.6617009978605603E-7</v>
      </c>
      <c r="AB75" s="144">
        <v>0</v>
      </c>
      <c r="AC75" s="144">
        <v>0.9</v>
      </c>
      <c r="AD75" s="143">
        <f>(((Input!G75*Constants!$B$25*0.000000001*Input!U75*(Constants!$B$10/Constants!$B$9))-((AB75*0.000000000000001)+(Input!G75*AC75*0.000000000000001)))/Input!F75)*1000000000000</f>
        <v>224.11088526914071</v>
      </c>
      <c r="AE75" s="143">
        <f>AD75*Input!V75/100</f>
        <v>0.4560204053819758</v>
      </c>
      <c r="AF75" s="143">
        <f>(AD75/Constants!$B$10)*602200000000*Constants!$B$16/(365.2425*24*60)</f>
        <v>10.229691168253387</v>
      </c>
      <c r="AG75" s="143">
        <f>AF75*Input!V75/100</f>
        <v>2.0815356237056788E-2</v>
      </c>
      <c r="AH75" s="139">
        <f t="shared" ref="AH75" si="363">AF75/Z75</f>
        <v>45034.865526896778</v>
      </c>
      <c r="AI75" s="148">
        <f t="shared" ref="AI75" si="364">AH75*SQRT((AG75/AF75)^2+(AA75/Z75)^2)</f>
        <v>160.75166643915102</v>
      </c>
      <c r="AJ75" s="145">
        <f t="shared" si="327"/>
        <v>0.66372939929948416</v>
      </c>
      <c r="AK75" s="148">
        <f t="shared" ref="AK75" si="365">V75*1000</f>
        <v>1.0857599959991593</v>
      </c>
      <c r="AL75" s="148">
        <f t="shared" ref="AL75" si="366">AF75/Q75</f>
        <v>1.0008391424761121</v>
      </c>
      <c r="AM75" s="148">
        <f t="shared" ref="AM75" si="367">AL75*SQRT((R75/Q75)^2+(AG75/AF75)^2)</f>
        <v>2.0390159088217621E-3</v>
      </c>
      <c r="AN75" s="139">
        <f>AF75/Q75</f>
        <v>1.0008391424761121</v>
      </c>
      <c r="AO75" s="143">
        <f t="shared" ref="AO75" si="368">AN75*SQRT((R75/Q75)^2+(AG75/AF75)^2)</f>
        <v>2.0390159088217621E-3</v>
      </c>
      <c r="AP75" s="139">
        <f t="shared" ref="AP75" si="369">ThU_Alter_Kombi(AN75,U75)</f>
        <v>986.41290000000004</v>
      </c>
      <c r="AQ75" s="139" t="e">
        <f t="shared" si="333"/>
        <v>#VALUE!</v>
      </c>
      <c r="AR75" s="139" t="e">
        <f>(AQ75/AP75)*100</f>
        <v>#VALUE!</v>
      </c>
      <c r="AS75" s="147">
        <f t="shared" si="334"/>
        <v>2.22236511815133E-5</v>
      </c>
      <c r="AT75" s="147">
        <f t="shared" si="335"/>
        <v>6.5214566022386015E-8</v>
      </c>
      <c r="AU75" s="139">
        <v>0.75</v>
      </c>
      <c r="AV75" s="139">
        <f t="shared" ref="AV75" si="370">AU75/2</f>
        <v>0.375</v>
      </c>
      <c r="AW75" s="139">
        <f t="shared" si="337"/>
        <v>986.41110000000003</v>
      </c>
      <c r="AX75" s="149">
        <f t="shared" si="338"/>
        <v>356.15369574930003</v>
      </c>
      <c r="AY75" s="149">
        <f t="shared" si="339"/>
        <v>2327.5458233132026</v>
      </c>
      <c r="AZ75" s="150">
        <f t="shared" si="340"/>
        <v>0.36106010541578459</v>
      </c>
      <c r="BA75" s="139" t="str">
        <f>Input!B75</f>
        <v>Hu1-13</v>
      </c>
      <c r="BB75" s="151">
        <f>Input!E75</f>
        <v>0</v>
      </c>
      <c r="BC75" s="139">
        <f>((U75-1)*EXP(Constants!$B$17*AW75*1000))*1000</f>
        <v>10.738447924835899</v>
      </c>
      <c r="BD75" s="145">
        <f>SQRT((EXP(Constants!$B$17*AW75*1000)*V75)^2+((U75-1)*Constants!$B$17*EXP(Constants!$B$17*AW75*1000)*AY75*1000)^2)*1000</f>
        <v>72.689732605611297</v>
      </c>
      <c r="BE75" s="139">
        <f t="shared" si="341"/>
        <v>986353.1</v>
      </c>
      <c r="BF75" s="152">
        <f t="shared" si="342"/>
        <v>1163772.9116566014</v>
      </c>
      <c r="BG75" s="161">
        <f t="shared" si="343"/>
        <v>235.96103321558348</v>
      </c>
      <c r="BH75" s="139"/>
      <c r="BI75" s="18"/>
      <c r="BJ75" s="18"/>
      <c r="BK75" s="18"/>
      <c r="BL75" s="18"/>
      <c r="BM75" s="18"/>
      <c r="BN75" s="160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7" spans="1:110" ht="15" customHeight="1" x14ac:dyDescent="0.2">
      <c r="A77" s="139">
        <f>Input!A77</f>
        <v>10815</v>
      </c>
      <c r="B77" s="139" t="str">
        <f>Input!B77</f>
        <v>Hu1-13</v>
      </c>
      <c r="C77" s="139">
        <f>Input!O77</f>
        <v>2.0689831391662437</v>
      </c>
      <c r="D77" s="139">
        <f>C77*Input!P77/100</f>
        <v>2.3261535605997464E-2</v>
      </c>
      <c r="E77" s="140">
        <f>Input!M77</f>
        <v>2.732139864506657</v>
      </c>
      <c r="F77" s="141">
        <f>E77*Input!N77/100</f>
        <v>3.63205178357901E-4</v>
      </c>
      <c r="G77" s="142">
        <f t="shared" ref="G77" si="371">E77*137.88</f>
        <v>376.70744451817785</v>
      </c>
      <c r="H77" s="141">
        <f>G77*Input!L77/100</f>
        <v>2.8437780212567185E-2</v>
      </c>
      <c r="I77" s="139">
        <v>0</v>
      </c>
      <c r="J77" s="143">
        <f>(((C77*Constants!$B$24*0.000000001*Input!G77*(Constants!$B$4/Constants!$B$3))-(I77*0.000000000000001))/Input!F77)*1000000000000</f>
        <v>746.98058843029094</v>
      </c>
      <c r="K77" s="139">
        <f>J77*Input!P77/100</f>
        <v>8.3982876543702893</v>
      </c>
      <c r="L77" s="144">
        <f>(J77/Constants!$B$4)*602200000000*Constants!$B$17/(365.2425*24*60)</f>
        <v>10.312896406912461</v>
      </c>
      <c r="M77" s="145">
        <f>L77*Input!P77/100</f>
        <v>0.1159476858119925</v>
      </c>
      <c r="N77" s="139">
        <v>0</v>
      </c>
      <c r="O77" s="143">
        <f>(((G77*Constants!$B$23*0.000000001*Input!G77*(Constants!$B$7/Constants!$B$6))-(N77*0.000000001))/Input!F77)*1000000</f>
        <v>13.700552084927052</v>
      </c>
      <c r="P77" s="139">
        <f>O77*Input!N77/100</f>
        <v>1.8213238378651526E-3</v>
      </c>
      <c r="Q77" s="146">
        <f>(O77/Constants!$B$7)*602200000000000000*Constants!$B$18/(365.2425*24*60)</f>
        <v>10.222266313015044</v>
      </c>
      <c r="R77" s="147">
        <f>Q77*Input!N77/100</f>
        <v>1.3589275233209957E-3</v>
      </c>
      <c r="S77" s="145">
        <f>Input!S77*Constants!$B$17/Constants!$B$18</f>
        <v>0.99976971538385084</v>
      </c>
      <c r="T77" s="139">
        <f>S77*Input!T77/100</f>
        <v>1.7610344526493454E-3</v>
      </c>
      <c r="U77" s="145">
        <f>S77</f>
        <v>0.99976971538385084</v>
      </c>
      <c r="V77" s="139">
        <f>U77*Input!T77/100</f>
        <v>1.7610344526493454E-3</v>
      </c>
      <c r="W77" s="148">
        <v>0</v>
      </c>
      <c r="X77" s="143">
        <f>(((Constants!$B$25*0.000000001*Input!G77/Input!W77*(Constants!$B$11/Constants!$B$9))-(W77*0.000000001))/Input!F77)*1000000000</f>
        <v>0.97340269408500968</v>
      </c>
      <c r="Y77" s="143">
        <f>X77*Input!X77/100</f>
        <v>4.9289005667454665E-3</v>
      </c>
      <c r="Z77" s="143">
        <f>(X77/Constants!$B$11)*6.022E+23*0.000000001*Constants!$B$19/(365.2425*24*60)</f>
        <v>2.3763906649977893E-4</v>
      </c>
      <c r="AA77" s="143">
        <f>Z77*Input!X77/100</f>
        <v>1.2033039734419836E-6</v>
      </c>
      <c r="AB77" s="144">
        <v>0</v>
      </c>
      <c r="AC77" s="144">
        <v>0</v>
      </c>
      <c r="AD77" s="143">
        <f>(((Input!G77*Constants!$B$25*0.000000001*Input!U77*(Constants!$B$10/Constants!$B$9))-((AB77*0.000000000000001)+(Input!G77*AC77*0.000000000000001)))/Input!F77)*1000000000000</f>
        <v>223.89342177759039</v>
      </c>
      <c r="AE77" s="143">
        <f>AD77*Input!V77/100</f>
        <v>0.8319973088040501</v>
      </c>
      <c r="AF77" s="143">
        <f>(AD77/Constants!$B$10)*602200000000*Constants!$B$16/(365.2425*24*60)</f>
        <v>10.219764901814978</v>
      </c>
      <c r="AG77" s="143">
        <f>AF77*Input!V77/100</f>
        <v>3.7977073320924169E-2</v>
      </c>
      <c r="AH77" s="139">
        <f t="shared" ref="AH77" si="372">AF77/Z77</f>
        <v>43005.407538177169</v>
      </c>
      <c r="AI77" s="148">
        <f t="shared" ref="AI77" si="373">AH77*SQRT((AG77/AF77)^2+(AA77/Z77)^2)</f>
        <v>270.10953125271561</v>
      </c>
      <c r="AJ77" s="145">
        <f t="shared" ref="AJ77:AJ83" si="374">(U77-1)*1000</f>
        <v>-0.23028461614915674</v>
      </c>
      <c r="AK77" s="148">
        <f t="shared" ref="AK77" si="375">V77*1000</f>
        <v>1.7610344526493453</v>
      </c>
      <c r="AL77" s="148">
        <f t="shared" ref="AL77" si="376">AF77/Q77</f>
        <v>0.99975529778588512</v>
      </c>
      <c r="AM77" s="148">
        <f t="shared" ref="AM77" si="377">AL77*SQRT((R77/Q77)^2+(AG77/AF77)^2)</f>
        <v>3.717508978191703E-3</v>
      </c>
      <c r="AN77" s="139">
        <f>AF77/Q77</f>
        <v>0.99975529778588512</v>
      </c>
      <c r="AO77" s="143">
        <f t="shared" ref="AO77" si="378">AN77*SQRT((R77/Q77)^2+(AG77/AF77)^2)</f>
        <v>3.717508978191703E-3</v>
      </c>
      <c r="AP77" s="139" t="str">
        <f t="shared" ref="AP77" si="379">ThU_Alter_Kombi(AN77,U77)</f>
        <v>Out of range</v>
      </c>
      <c r="AQ77" s="139" t="e">
        <f t="shared" ref="AQ77:AQ83" si="380">Montealter(AN77,AO77,U77,V77)</f>
        <v>#VALUE!</v>
      </c>
      <c r="AR77" s="139" t="e">
        <f>(AQ77/AP77)*100</f>
        <v>#VALUE!</v>
      </c>
      <c r="AS77" s="147">
        <f t="shared" ref="AS77:AS83" si="381">Z77/Q77</f>
        <v>2.3247199713161024E-5</v>
      </c>
      <c r="AT77" s="147">
        <f t="shared" ref="AT77:AT83" si="382">AS77*SQRT((Y77/X77)^2+(P77/O77)^2)</f>
        <v>1.1775457221506502E-7</v>
      </c>
      <c r="AU77" s="139">
        <v>0.75</v>
      </c>
      <c r="AV77" s="139">
        <f t="shared" ref="AV77" si="383">AU77/2</f>
        <v>0.375</v>
      </c>
      <c r="AW77" s="139" t="str">
        <f t="shared" ref="AW77:AW83" si="384">marincorr_age(AN77,U77,AS77,AU77)</f>
        <v>Out of range</v>
      </c>
      <c r="AX77" s="149">
        <f t="shared" ref="AX77:AX83" si="385">marincorr_age_error(AN77, AO77, U77, V77, AS77, AT77, AU77, AV77)</f>
        <v>322.3972664222</v>
      </c>
      <c r="AY77" s="149" t="e">
        <f t="shared" ref="AY77:AY83" si="386">SQRT(((AU77*EXP(-0.0000091577*AW77*1000))/(0.0000091577*(EXP(-0.0000091577*AW77*1000)+(AJ77/1000)*EXP(-(0.0000091577-0.0000028263)*AW77*1000)-AS77*AU77*EXP(-0.0000091577*AW77*1000))))^2*AT77^2+((AS77*EXP(-0.0000091577*AW77*1000))/(0.0000091577*(EXP(-0.0000091577*AW77*1000)+(AJ77/1000)*EXP(-(0.0000091577-0.0000028263)*AW77*1000)-AS77*AU77*EXP(-0.0000091577*AW77*1000))))^2*AV77^2+((0.0000091577/(0.0000091577-0.0000028263))*(EXP(-(0.0000091577-0.0000028263)*AW77*1000)-1)/(0.0000091577*(EXP(-0.0000091577*AW77*1000)+(AJ77/1000)*EXP(-(0.0000091577-0.0000028263)*AW77*1000)-AS77*AU77*EXP(-0.0000091577*AW77*1000))))^2*T77^2+(1/(0.0000091577*(EXP(-0.0000091577*AW77*1000)+(AJ77/1000)*EXP(-(0.0000091577-0.0000028263)*AW77*1000)-AS77*AU77*EXP(-0.0000091577*AW77*1000))))^2*AO77^2)/1000</f>
        <v>#VALUE!</v>
      </c>
      <c r="AZ77" s="150" t="e">
        <f t="shared" ref="AZ77:AZ83" si="387">AX77/AW77</f>
        <v>#VALUE!</v>
      </c>
      <c r="BA77" s="139" t="str">
        <f>Input!B77</f>
        <v>Hu1-13</v>
      </c>
      <c r="BB77" s="151">
        <f>Input!E77</f>
        <v>0</v>
      </c>
      <c r="BC77" s="139" t="e">
        <f>((U77-1)*EXP(Constants!$B$17*AW77*1000))*1000</f>
        <v>#VALUE!</v>
      </c>
      <c r="BD77" s="145" t="e">
        <f>SQRT((EXP(Constants!$B$17*AW77*1000)*V77)^2+((U77-1)*Constants!$B$17*EXP(Constants!$B$17*AW77*1000)*AY77*1000)^2)*1000</f>
        <v>#VALUE!</v>
      </c>
      <c r="BE77" s="139" t="e">
        <f t="shared" ref="BE77:BE83" si="388">AW77*1000-58</f>
        <v>#VALUE!</v>
      </c>
      <c r="BF77" s="152" t="e">
        <f t="shared" ref="BF77:BF83" si="389">AY77/2*1000</f>
        <v>#VALUE!</v>
      </c>
      <c r="BG77" s="161" t="e">
        <f t="shared" ref="BG77:BG83" si="390">AY77/AW77*100</f>
        <v>#VALUE!</v>
      </c>
      <c r="BH77" s="139"/>
      <c r="BI77" s="18"/>
      <c r="BJ77" s="18"/>
      <c r="BK77" s="18"/>
      <c r="BL77" s="18"/>
      <c r="BM77" s="18"/>
      <c r="BN77" s="160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10982</v>
      </c>
      <c r="B78" s="18" t="str">
        <f>Input!B78</f>
        <v>E4-18</v>
      </c>
      <c r="C78" s="18">
        <f>Input!O78</f>
        <v>3.4148381356439894</v>
      </c>
      <c r="D78" s="18">
        <f>C78*Input!P78/100</f>
        <v>1.296680283076797E-2</v>
      </c>
      <c r="E78" s="153">
        <f>Input!M78</f>
        <v>4.4784551615035451</v>
      </c>
      <c r="F78" s="154">
        <f>E78*Input!N78/100</f>
        <v>2.7629077667723067E-4</v>
      </c>
      <c r="G78" s="21">
        <f>E78*137.88</f>
        <v>617.48939766810872</v>
      </c>
      <c r="H78" s="154">
        <f>G78*Input!L78/100</f>
        <v>4.7923063877830775E-2</v>
      </c>
      <c r="I78" s="18">
        <v>0.3</v>
      </c>
      <c r="J78" s="130">
        <f>(((C78*Constants!$B$24*0.000000001*Input!G78*(Constants!$B$4/Constants!$B$3))-(I78*0.000000000000001))/Input!F78)*1000000000000</f>
        <v>95.531664729601545</v>
      </c>
      <c r="K78" s="18">
        <f>J78*Input!P78/100</f>
        <v>0.3627522627540779</v>
      </c>
      <c r="L78" s="135">
        <f>(J78/Constants!$B$4)*602200000000*Constants!$B$17/(365.2425*24*60)</f>
        <v>1.3189207018171587</v>
      </c>
      <c r="M78" s="133">
        <f>L78*Input!P78/100</f>
        <v>5.0081977565405115E-3</v>
      </c>
      <c r="N78" s="18">
        <v>5.0000000000000001E-3</v>
      </c>
      <c r="O78" s="130">
        <f>(((G78*Constants!$B$23*0.000000001*Input!G78*(Constants!$B$7/Constants!$B$6))-(N78*0.000000001))/Input!F78)*1000000</f>
        <v>1.7401594977471482</v>
      </c>
      <c r="P78" s="18">
        <f>O78*Input!N78/100</f>
        <v>1.0735622035644189E-4</v>
      </c>
      <c r="Q78" s="131">
        <f>(O78/Constants!$B$7)*602200000000000000*Constants!$B$18/(365.2425*24*60)</f>
        <v>1.2983691243117201</v>
      </c>
      <c r="R78" s="132">
        <f>Q78*Input!N78/100</f>
        <v>8.0100704558441085E-5</v>
      </c>
      <c r="S78" s="133">
        <f>Input!S78*Constants!$B$17/Constants!$B$18</f>
        <v>1.0064372963006329</v>
      </c>
      <c r="T78" s="18">
        <f>S78*Input!T78/100</f>
        <v>6.2603376203501334E-4</v>
      </c>
      <c r="U78" s="18">
        <f>S78*1/((U77+U79)/2)</f>
        <v>1.0070543571004826</v>
      </c>
      <c r="V78" s="18">
        <f>U78*Input!T78/100</f>
        <v>6.2641759210108311E-4</v>
      </c>
      <c r="W78" s="134">
        <v>3.0000000000000001E-3</v>
      </c>
      <c r="X78" s="130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0.31709363209778629</v>
      </c>
      <c r="Y78" s="130">
        <f>X78*Input!X78/100</f>
        <v>6.6609354403950743E-4</v>
      </c>
      <c r="Z78" s="130">
        <f>(X78/Constants!$B$11)*6.022E+23*0.000000001*Constants!$B$19/(365.2425*24*60)</f>
        <v>7.7412806829730668E-5</v>
      </c>
      <c r="AA78" s="130">
        <f>Z78*Input!X78/100</f>
        <v>1.6261496805889676E-7</v>
      </c>
      <c r="AB78" s="135">
        <v>0.05</v>
      </c>
      <c r="AC78" s="135">
        <v>0</v>
      </c>
      <c r="AD78" s="130">
        <f>(((Input!G78*Constants!$B$25*0.000000001*Input!U78*(Constants!$B$10/Constants!$B$9))-((AB78*0.000000000000001)+(Input!G78*AC78*0.000000000000001)))/Input!F78)*1000000000000</f>
        <v>0.26735752306586513</v>
      </c>
      <c r="AE78" s="130">
        <f>AD78*Input!V78/100</f>
        <v>2.7122892288290318E-3</v>
      </c>
      <c r="AF78" s="130">
        <f>(AD78/Constants!$B$10)*602200000000*Constants!$B$16/(365.2425*24*60)</f>
        <v>1.2203712859321697E-2</v>
      </c>
      <c r="AG78" s="130">
        <f>AF78*Input!V78/100</f>
        <v>1.2380425491863268E-4</v>
      </c>
      <c r="AH78" s="18">
        <f>AF78/Z78</f>
        <v>157.64462443744924</v>
      </c>
      <c r="AI78" s="134">
        <f>AH78*SQRT((AG78/AF78)^2+(AA78/Z78)^2)</f>
        <v>1.6331984869553087</v>
      </c>
      <c r="AJ78" s="133">
        <f t="shared" si="374"/>
        <v>7.0543571004826333</v>
      </c>
      <c r="AK78" s="134">
        <f>V78*1000</f>
        <v>0.62641759210108305</v>
      </c>
      <c r="AL78" s="134">
        <f>AF78/Q78</f>
        <v>9.3992629914016329E-3</v>
      </c>
      <c r="AM78" s="134">
        <f>AL78*SQRT((R78/Q78)^2+(AG78/AF78)^2)</f>
        <v>9.535542846563733E-5</v>
      </c>
      <c r="AN78" s="18">
        <f>AL78*1/((AN77+AN79)/2)</f>
        <v>9.3984876189311135E-3</v>
      </c>
      <c r="AO78" s="130">
        <f>AN78*SQRT((R78/Q78)^2+(AG78/AF78)^2)</f>
        <v>9.5347562319726272E-5</v>
      </c>
      <c r="AP78" s="18">
        <f>ThU_Alter_Kombi(AN78,U78)</f>
        <v>1.0225</v>
      </c>
      <c r="AQ78" s="18">
        <f t="shared" si="380"/>
        <v>1.09E-2</v>
      </c>
      <c r="AR78" s="155">
        <f>(AQ78/AP78)</f>
        <v>1.0660146699266505E-2</v>
      </c>
      <c r="AS78" s="132">
        <f t="shared" si="381"/>
        <v>5.9623111317259685E-5</v>
      </c>
      <c r="AT78" s="132">
        <f t="shared" si="382"/>
        <v>1.2529956321508479E-7</v>
      </c>
      <c r="AU78" s="18">
        <v>0.75</v>
      </c>
      <c r="AV78" s="18">
        <f>AU78/2</f>
        <v>0.375</v>
      </c>
      <c r="AW78" s="18">
        <f t="shared" si="384"/>
        <v>1.0176000000000001</v>
      </c>
      <c r="AX78" s="136">
        <f t="shared" si="385"/>
        <v>1.02366375E-2</v>
      </c>
      <c r="AY78" s="136">
        <f t="shared" si="386"/>
        <v>1.073267356954774E-2</v>
      </c>
      <c r="AZ78" s="155">
        <f t="shared" si="387"/>
        <v>1.0059588738207547E-2</v>
      </c>
      <c r="BA78" s="18" t="str">
        <f>Input!B78</f>
        <v>E4-18</v>
      </c>
      <c r="BB78" s="137">
        <f>Input!E78</f>
        <v>18</v>
      </c>
      <c r="BC78" s="18">
        <f>((U78-1)*EXP(Constants!$B$17*AW78*1000))*1000</f>
        <v>7.074644412978115</v>
      </c>
      <c r="BD78" s="133">
        <f>SQRT((EXP(Constants!$B$17*AW78*1000)*V78)^2+((U78-1)*Constants!$B$17*EXP(Constants!$B$17*AW78*1000)*AY78*1000)^2)*1000</f>
        <v>0.62821911519627549</v>
      </c>
      <c r="BE78" s="18">
        <f t="shared" si="388"/>
        <v>959.6</v>
      </c>
      <c r="BF78" s="138">
        <f t="shared" si="389"/>
        <v>5.3663367847738703</v>
      </c>
      <c r="BG78" s="20">
        <f t="shared" si="390"/>
        <v>1.0547045567558706</v>
      </c>
      <c r="BH78" s="18"/>
      <c r="BI78" s="18"/>
      <c r="BJ78" s="18"/>
      <c r="BK78" s="18"/>
      <c r="BL78" s="18"/>
      <c r="BM78" s="18"/>
      <c r="BN78" s="160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9">
        <f>Input!A79</f>
        <v>10815</v>
      </c>
      <c r="B79" s="139" t="str">
        <f>Input!B79</f>
        <v>Hu1-13</v>
      </c>
      <c r="C79" s="139">
        <f>Input!O79</f>
        <v>2.1049407809619209</v>
      </c>
      <c r="D79" s="139">
        <f>C79*Input!P79/100</f>
        <v>1.6726270735304187E-2</v>
      </c>
      <c r="E79" s="140">
        <f>Input!M79</f>
        <v>2.7324317617422818</v>
      </c>
      <c r="F79" s="141">
        <f>E79*Input!N79/100</f>
        <v>3.2644863144245975E-4</v>
      </c>
      <c r="G79" s="142">
        <f t="shared" ref="G79" si="391">E79*137.88</f>
        <v>376.74769130902581</v>
      </c>
      <c r="H79" s="141">
        <f>G79*Input!L79/100</f>
        <v>2.6136086376306336E-2</v>
      </c>
      <c r="I79" s="139">
        <v>0</v>
      </c>
      <c r="J79" s="143">
        <f>(((C79*Constants!$B$24*0.000000001*Input!G79*(Constants!$B$4/Constants!$B$3))-(I79*0.000000000000001))/Input!F79)*1000000000000</f>
        <v>759.96264706510647</v>
      </c>
      <c r="K79" s="139">
        <f>J79*Input!P79/100</f>
        <v>6.0388116846311153</v>
      </c>
      <c r="L79" s="144">
        <f>(J79/Constants!$B$4)*602200000000*Constants!$B$17/(365.2425*24*60)</f>
        <v>10.492128140538441</v>
      </c>
      <c r="M79" s="145">
        <f>L79*Input!P79/100</f>
        <v>8.3372500288560081E-2</v>
      </c>
      <c r="N79" s="139">
        <v>0</v>
      </c>
      <c r="O79" s="143">
        <f>(((G79*Constants!$B$23*0.000000001*Input!G79*(Constants!$B$7/Constants!$B$6))-(N79*0.000000001))/Input!F79)*1000000</f>
        <v>13.702015828907395</v>
      </c>
      <c r="P79" s="139">
        <f>O79*Input!N79/100</f>
        <v>1.6370049484776945E-3</v>
      </c>
      <c r="Q79" s="146">
        <f>(O79/Constants!$B$7)*602200000000000000*Constants!$B$18/(365.2425*24*60)</f>
        <v>10.223358442783859</v>
      </c>
      <c r="R79" s="147">
        <f>Q79*Input!N79/100</f>
        <v>1.2214033737715294E-3</v>
      </c>
      <c r="S79" s="145">
        <f>Input!S79*Constants!$B$17/Constants!$B$18</f>
        <v>0.99900480796635571</v>
      </c>
      <c r="T79" s="139">
        <f>S79*Input!T79/100</f>
        <v>1.828015900704399E-3</v>
      </c>
      <c r="U79" s="145">
        <f>S79</f>
        <v>0.99900480796635571</v>
      </c>
      <c r="V79" s="139">
        <f>U79*Input!T79/100</f>
        <v>1.828015900704399E-3</v>
      </c>
      <c r="W79" s="148">
        <v>0</v>
      </c>
      <c r="X79" s="143">
        <f>(((Constants!$B$25*0.000000001*Input!G79/Input!W79*(Constants!$B$11/Constants!$B$9))-(W79*0.000000001))/Input!F79)*1000000000</f>
        <v>0.9570502784318996</v>
      </c>
      <c r="Y79" s="143">
        <f>X79*Input!X79/100</f>
        <v>5.9473847709547679E-3</v>
      </c>
      <c r="Z79" s="143">
        <f>(X79/Constants!$B$11)*6.022E+23*0.000000001*Constants!$B$19/(365.2425*24*60)</f>
        <v>2.3364691318601165E-4</v>
      </c>
      <c r="AA79" s="143">
        <f>Z79*Input!X79/100</f>
        <v>1.4519488939911059E-6</v>
      </c>
      <c r="AB79" s="144">
        <v>0</v>
      </c>
      <c r="AC79" s="144">
        <v>0</v>
      </c>
      <c r="AD79" s="143">
        <f>(((Input!G79*Constants!$B$25*0.000000001*Input!U79*(Constants!$B$10/Constants!$B$9))-((AB79*0.000000000000001)+(Input!G79*AC79*0.000000000000001)))/Input!F79)*1000000000000</f>
        <v>224.06391040926508</v>
      </c>
      <c r="AE79" s="143">
        <f>AD79*Input!V79/100</f>
        <v>0.7339654495788368</v>
      </c>
      <c r="AF79" s="143">
        <f>(AD79/Constants!$B$10)*602200000000*Constants!$B$16/(365.2425*24*60)</f>
        <v>10.227546969373345</v>
      </c>
      <c r="AG79" s="143">
        <f>AF79*Input!V79/100</f>
        <v>3.3502343575783522E-2</v>
      </c>
      <c r="AH79" s="139">
        <f t="shared" ref="AH79" si="392">AF79/Z79</f>
        <v>43773.516328165482</v>
      </c>
      <c r="AI79" s="148">
        <f t="shared" ref="AI79" si="393">AH79*SQRT((AG79/AF79)^2+(AA79/Z79)^2)</f>
        <v>307.49936727613283</v>
      </c>
      <c r="AJ79" s="145">
        <f t="shared" si="374"/>
        <v>-0.99519203364428765</v>
      </c>
      <c r="AK79" s="148">
        <f t="shared" ref="AK79" si="394">V79*1000</f>
        <v>1.828015900704399</v>
      </c>
      <c r="AL79" s="148">
        <f t="shared" ref="AL79" si="395">AF79/Q79</f>
        <v>1.0004097016272029</v>
      </c>
      <c r="AM79" s="148">
        <f t="shared" ref="AM79" si="396">AL79*SQRT((R79/Q79)^2+(AG79/AF79)^2)</f>
        <v>3.2792177942868117E-3</v>
      </c>
      <c r="AN79" s="139">
        <f>AF79/Q79</f>
        <v>1.0004097016272029</v>
      </c>
      <c r="AO79" s="143">
        <f t="shared" ref="AO79" si="397">AN79*SQRT((R79/Q79)^2+(AG79/AF79)^2)</f>
        <v>3.2792177942868117E-3</v>
      </c>
      <c r="AP79" s="139" t="str">
        <f t="shared" ref="AP79" si="398">ThU_Alter_Kombi(AN79,U79)</f>
        <v>Out of range</v>
      </c>
      <c r="AQ79" s="139" t="e">
        <f t="shared" si="380"/>
        <v>#VALUE!</v>
      </c>
      <c r="AR79" s="139" t="e">
        <f>(AQ79/AP79)*100</f>
        <v>#VALUE!</v>
      </c>
      <c r="AS79" s="147">
        <f t="shared" si="381"/>
        <v>2.285422295360591E-5</v>
      </c>
      <c r="AT79" s="147">
        <f t="shared" si="382"/>
        <v>1.4204893701959813E-7</v>
      </c>
      <c r="AU79" s="139">
        <v>0.75</v>
      </c>
      <c r="AV79" s="139">
        <f t="shared" ref="AV79" si="399">AU79/2</f>
        <v>0.375</v>
      </c>
      <c r="AW79" s="139" t="str">
        <f t="shared" si="384"/>
        <v>Out of range</v>
      </c>
      <c r="AX79" s="149">
        <f t="shared" si="385"/>
        <v>312.75490838780001</v>
      </c>
      <c r="AY79" s="149" t="e">
        <f t="shared" si="386"/>
        <v>#VALUE!</v>
      </c>
      <c r="AZ79" s="150" t="e">
        <f t="shared" si="387"/>
        <v>#VALUE!</v>
      </c>
      <c r="BA79" s="139" t="str">
        <f>Input!B79</f>
        <v>Hu1-13</v>
      </c>
      <c r="BB79" s="151">
        <f>Input!E79</f>
        <v>0</v>
      </c>
      <c r="BC79" s="139" t="e">
        <f>((U79-1)*EXP(Constants!$B$17*AW79*1000))*1000</f>
        <v>#VALUE!</v>
      </c>
      <c r="BD79" s="145" t="e">
        <f>SQRT((EXP(Constants!$B$17*AW79*1000)*V79)^2+((U79-1)*Constants!$B$17*EXP(Constants!$B$17*AW79*1000)*AY79*1000)^2)*1000</f>
        <v>#VALUE!</v>
      </c>
      <c r="BE79" s="139" t="e">
        <f t="shared" si="388"/>
        <v>#VALUE!</v>
      </c>
      <c r="BF79" s="152" t="e">
        <f t="shared" si="389"/>
        <v>#VALUE!</v>
      </c>
      <c r="BG79" s="161" t="e">
        <f t="shared" si="390"/>
        <v>#VALUE!</v>
      </c>
      <c r="BH79" s="139"/>
      <c r="BI79" s="18"/>
      <c r="BJ79" s="18"/>
      <c r="BK79" s="18"/>
      <c r="BL79" s="18"/>
      <c r="BM79" s="18"/>
      <c r="BN79" s="160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10983</v>
      </c>
      <c r="B80" s="18" t="str">
        <f>Input!B80</f>
        <v>E4-28</v>
      </c>
      <c r="C80" s="18">
        <f>Input!O80</f>
        <v>1.0875454753697258</v>
      </c>
      <c r="D80" s="18">
        <f>C80*Input!P80/100</f>
        <v>4.0692092525418727E-3</v>
      </c>
      <c r="E80" s="153">
        <f>Input!M80</f>
        <v>1.4261232664768839</v>
      </c>
      <c r="F80" s="154">
        <f>E80*Input!N80/100</f>
        <v>9.2442373461516005E-5</v>
      </c>
      <c r="G80" s="21">
        <f>E80*137.88</f>
        <v>196.63387598183274</v>
      </c>
      <c r="H80" s="154">
        <f>G80*Input!L80/100</f>
        <v>9.161714299384888E-3</v>
      </c>
      <c r="I80" s="18">
        <v>0.3</v>
      </c>
      <c r="J80" s="130">
        <f>(((C80*Constants!$B$24*0.000000001*Input!G80*(Constants!$B$4/Constants!$B$3))-(I80*0.000000000000001))/Input!F80)*1000000000000</f>
        <v>46.846564938343256</v>
      </c>
      <c r="K80" s="18">
        <f>J80*Input!P80/100</f>
        <v>0.17528322246212585</v>
      </c>
      <c r="L80" s="135">
        <f>(J80/Constants!$B$4)*602200000000*Constants!$B$17/(365.2425*24*60)</f>
        <v>0.64676884341006824</v>
      </c>
      <c r="M80" s="133">
        <f>L80*Input!P80/100</f>
        <v>2.419979505652696E-3</v>
      </c>
      <c r="N80" s="18">
        <v>5.0000000000000001E-3</v>
      </c>
      <c r="O80" s="130">
        <f>(((G80*Constants!$B$23*0.000000001*Input!G80*(Constants!$B$7/Constants!$B$6))-(N80*0.000000001))/Input!F80)*1000000</f>
        <v>0.85324297046562414</v>
      </c>
      <c r="P80" s="18">
        <f>O80*Input!N80/100</f>
        <v>5.5307845530107969E-5</v>
      </c>
      <c r="Q80" s="131">
        <f>(O80/Constants!$B$7)*602200000000000000*Constants!$B$18/(365.2425*24*60)</f>
        <v>0.63662229227998879</v>
      </c>
      <c r="R80" s="132">
        <f>Q80*Input!N80/100</f>
        <v>4.1266331656070101E-5</v>
      </c>
      <c r="S80" s="133">
        <f>Input!S80*Constants!$B$17/Constants!$B$18</f>
        <v>1.0081748838310571</v>
      </c>
      <c r="T80" s="18">
        <f>S80*Input!T80/100</f>
        <v>1.2452369275199877E-3</v>
      </c>
      <c r="U80" s="18">
        <f>S80*1/((U79+U81)/2)</f>
        <v>1.008429484164832</v>
      </c>
      <c r="V80" s="18">
        <f>U80*Input!T80/100</f>
        <v>1.2455513945261194E-3</v>
      </c>
      <c r="W80" s="134">
        <v>3.0000000000000001E-3</v>
      </c>
      <c r="X80" s="130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1.3825271217720971</v>
      </c>
      <c r="Y80" s="130">
        <f>X80*Input!X80/100</f>
        <v>2.1682801506334786E-3</v>
      </c>
      <c r="Z80" s="130">
        <f>(X80/Constants!$B$11)*6.022E+23*0.000000001*Constants!$B$19/(365.2425*24*60)</f>
        <v>3.375195657716712E-4</v>
      </c>
      <c r="AA80" s="130">
        <f>Z80*Input!X80/100</f>
        <v>5.2934728251485632E-7</v>
      </c>
      <c r="AB80" s="135">
        <v>0.05</v>
      </c>
      <c r="AC80" s="135">
        <v>0</v>
      </c>
      <c r="AD80" s="130">
        <f>(((Input!G80*Constants!$B$25*0.000000001*Input!U80*(Constants!$B$10/Constants!$B$9))-((AB80*0.000000000000001)+(Input!G80*AC80*0.000000000000001)))/Input!F80)*1000000000000</f>
        <v>0.18292952445339974</v>
      </c>
      <c r="AE80" s="130">
        <f>AD80*Input!V80/100</f>
        <v>1.9352210093355339E-3</v>
      </c>
      <c r="AF80" s="130">
        <f>(AD80/Constants!$B$10)*602200000000*Constants!$B$16/(365.2425*24*60)</f>
        <v>8.3499404255461592E-3</v>
      </c>
      <c r="AG80" s="130">
        <f>AF80*Input!V80/100</f>
        <v>8.8334456597428159E-5</v>
      </c>
      <c r="AH80" s="18">
        <f>AF80/Z80</f>
        <v>24.739130030745581</v>
      </c>
      <c r="AI80" s="134">
        <f>AH80*SQRT((AG80/AF80)^2+(AA80/Z80)^2)</f>
        <v>0.26457693472030547</v>
      </c>
      <c r="AJ80" s="133">
        <f t="shared" si="374"/>
        <v>8.429484164832024</v>
      </c>
      <c r="AK80" s="134">
        <f>V80*1000</f>
        <v>1.2455513945261194</v>
      </c>
      <c r="AL80" s="134">
        <f>AF80/Q80</f>
        <v>1.3116003832730734E-2</v>
      </c>
      <c r="AM80" s="134">
        <f>AL80*SQRT((R80/Q80)^2+(AG80/AF80)^2)</f>
        <v>1.3875749536967829E-4</v>
      </c>
      <c r="AN80" s="18">
        <f>AL80*1/((AN79+AN81)/2)</f>
        <v>1.3109495950936953E-2</v>
      </c>
      <c r="AO80" s="130">
        <f>AN80*SQRT((R80/Q80)^2+(AG80/AF80)^2)</f>
        <v>1.3868864685534545E-4</v>
      </c>
      <c r="AP80" s="18">
        <f>ThU_Alter_Kombi(AN80,U80)</f>
        <v>1.4269000000000001</v>
      </c>
      <c r="AQ80" s="18">
        <f t="shared" si="380"/>
        <v>1.6E-2</v>
      </c>
      <c r="AR80" s="155">
        <f>(AQ80/AP80)</f>
        <v>1.1213119349639077E-2</v>
      </c>
      <c r="AS80" s="132">
        <f t="shared" si="381"/>
        <v>5.3017239557051025E-4</v>
      </c>
      <c r="AT80" s="132">
        <f t="shared" si="382"/>
        <v>8.3220336082468733E-7</v>
      </c>
      <c r="AU80" s="18">
        <v>0.75</v>
      </c>
      <c r="AV80" s="18">
        <f>AU80/2</f>
        <v>0.375</v>
      </c>
      <c r="AW80" s="18">
        <f t="shared" si="384"/>
        <v>1.3837999999999999</v>
      </c>
      <c r="AX80" s="136">
        <f t="shared" si="385"/>
        <v>2.6480761200000001E-2</v>
      </c>
      <c r="AY80" s="136">
        <f t="shared" si="386"/>
        <v>2.6425109435553321E-2</v>
      </c>
      <c r="AZ80" s="155">
        <f t="shared" si="387"/>
        <v>1.913626333285157E-2</v>
      </c>
      <c r="BA80" s="18" t="str">
        <f>Input!B80</f>
        <v>E4-28</v>
      </c>
      <c r="BB80" s="137">
        <f>Input!E80</f>
        <v>28</v>
      </c>
      <c r="BC80" s="18">
        <f>((U80-1)*EXP(Constants!$B$17*AW80*1000))*1000</f>
        <v>8.4624670650276954</v>
      </c>
      <c r="BD80" s="133">
        <f>SQRT((EXP(Constants!$B$17*AW80*1000)*V80)^2+((U80-1)*Constants!$B$17*EXP(Constants!$B$17*AW80*1000)*AY80*1000)^2)*1000</f>
        <v>1.2504251494207776</v>
      </c>
      <c r="BE80" s="18">
        <f t="shared" si="388"/>
        <v>1325.8</v>
      </c>
      <c r="BF80" s="138">
        <f t="shared" si="389"/>
        <v>13.21255471777666</v>
      </c>
      <c r="BG80" s="20">
        <f t="shared" si="390"/>
        <v>1.9096046708739212</v>
      </c>
      <c r="BH80" s="18"/>
      <c r="BI80" s="18"/>
      <c r="BJ80" s="18"/>
      <c r="BK80" s="18"/>
      <c r="BL80" s="18"/>
      <c r="BM80" s="18"/>
      <c r="BN80" s="160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9">
        <f>Input!A81</f>
        <v>10815</v>
      </c>
      <c r="B81" s="139" t="str">
        <f>Input!B81</f>
        <v>Hu1-13</v>
      </c>
      <c r="C81" s="139">
        <f>Input!O81</f>
        <v>2.0833253204151454</v>
      </c>
      <c r="D81" s="139">
        <f>C81*Input!P81/100</f>
        <v>1.9466214466148529E-2</v>
      </c>
      <c r="E81" s="140">
        <f>Input!M81</f>
        <v>2.7318365941546885</v>
      </c>
      <c r="F81" s="141">
        <f>E81*Input!N81/100</f>
        <v>4.1357523865354474E-4</v>
      </c>
      <c r="G81" s="142">
        <f t="shared" ref="G81" si="400">E81*137.88</f>
        <v>376.66562960204845</v>
      </c>
      <c r="H81" s="141">
        <f>G81*Input!L81/100</f>
        <v>2.8188926914577132E-2</v>
      </c>
      <c r="I81" s="139">
        <v>0</v>
      </c>
      <c r="J81" s="143">
        <f>(((C81*Constants!$B$24*0.000000001*Input!G81*(Constants!$B$4/Constants!$B$3))-(I81*0.000000000000001))/Input!F81)*1000000000000</f>
        <v>752.15865430519989</v>
      </c>
      <c r="K81" s="139">
        <f>J81*Input!P81/100</f>
        <v>7.028034236322263</v>
      </c>
      <c r="L81" s="144">
        <f>(J81/Constants!$B$4)*602200000000*Constants!$B$17/(365.2425*24*60)</f>
        <v>10.38438535559896</v>
      </c>
      <c r="M81" s="145">
        <f>L81*Input!P81/100</f>
        <v>9.7029815963135271E-2</v>
      </c>
      <c r="N81" s="139">
        <v>0</v>
      </c>
      <c r="O81" s="143">
        <f>(((G81*Constants!$B$23*0.000000001*Input!G81*(Constants!$B$7/Constants!$B$6))-(N81*0.000000001))/Input!F81)*1000000</f>
        <v>13.699031309469348</v>
      </c>
      <c r="P81" s="139">
        <f>O81*Input!N81/100</f>
        <v>2.0739088696808627E-3</v>
      </c>
      <c r="Q81" s="146">
        <f>(O81/Constants!$B$7)*602200000000000000*Constants!$B$18/(365.2425*24*60)</f>
        <v>10.221131630877082</v>
      </c>
      <c r="R81" s="147">
        <f>Q81*Input!N81/100</f>
        <v>1.5473864588366085E-3</v>
      </c>
      <c r="S81" s="145">
        <f>Input!S81*Constants!$B$17/Constants!$B$18</f>
        <v>1.000490247785637</v>
      </c>
      <c r="T81" s="139">
        <f>S81*Input!T81/100</f>
        <v>2.0107819734346095E-3</v>
      </c>
      <c r="U81" s="145">
        <f>S81</f>
        <v>1.000490247785637</v>
      </c>
      <c r="V81" s="139">
        <f>U81*Input!T81/100</f>
        <v>2.0107819734346095E-3</v>
      </c>
      <c r="W81" s="148">
        <v>0</v>
      </c>
      <c r="X81" s="143">
        <f>(((Constants!$B$25*0.000000001*Input!G81/Input!W81*(Constants!$B$11/Constants!$B$9))-(W81*0.000000001))/Input!F81)*1000000000</f>
        <v>0.95825337493141693</v>
      </c>
      <c r="Y81" s="143">
        <f>X81*Input!X81/100</f>
        <v>4.9653381101539343E-3</v>
      </c>
      <c r="Z81" s="143">
        <f>(X81/Constants!$B$11)*6.022E+23*0.000000001*Constants!$B$19/(365.2425*24*60)</f>
        <v>2.3394062793612663E-4</v>
      </c>
      <c r="AA81" s="143">
        <f>Z81*Input!X81/100</f>
        <v>1.2121995557675213E-6</v>
      </c>
      <c r="AB81" s="144">
        <v>0</v>
      </c>
      <c r="AC81" s="144">
        <v>0</v>
      </c>
      <c r="AD81" s="143">
        <f>(((Input!G81*Constants!$B$25*0.000000001*Input!U81*(Constants!$B$10/Constants!$B$9))-((AB81*0.000000000000001)+(Input!G81*AC81*0.000000000000001)))/Input!F81)*1000000000000</f>
        <v>224.05394447344761</v>
      </c>
      <c r="AE81" s="143">
        <f>AD81*Input!V81/100</f>
        <v>0.61766663998728966</v>
      </c>
      <c r="AF81" s="143">
        <f>(AD81/Constants!$B$10)*602200000000*Constants!$B$16/(365.2425*24*60)</f>
        <v>10.227092067571082</v>
      </c>
      <c r="AG81" s="143">
        <f>AF81*Input!V81/100</f>
        <v>2.8193806670365962E-2</v>
      </c>
      <c r="AH81" s="139">
        <f t="shared" ref="AH81" si="401">AF81/Z81</f>
        <v>43716.613731426805</v>
      </c>
      <c r="AI81" s="148">
        <f t="shared" ref="AI81" si="402">AH81*SQRT((AG81/AF81)^2+(AA81/Z81)^2)</f>
        <v>256.5884513872287</v>
      </c>
      <c r="AJ81" s="145">
        <f t="shared" si="374"/>
        <v>0.49024778563699911</v>
      </c>
      <c r="AK81" s="148">
        <f t="shared" ref="AK81" si="403">V81*1000</f>
        <v>2.0107819734346095</v>
      </c>
      <c r="AL81" s="148">
        <f t="shared" ref="AL81" si="404">AF81/Q81</f>
        <v>1.0005831484134295</v>
      </c>
      <c r="AM81" s="148">
        <f t="shared" ref="AM81" si="405">AL81*SQRT((R81/Q81)^2+(AG81/AF81)^2)</f>
        <v>2.7625402487792693E-3</v>
      </c>
      <c r="AN81" s="139">
        <f>AF81/Q81</f>
        <v>1.0005831484134295</v>
      </c>
      <c r="AO81" s="143">
        <f t="shared" ref="AO81" si="406">AN81*SQRT((R81/Q81)^2+(AG81/AF81)^2)</f>
        <v>2.7625402487792693E-3</v>
      </c>
      <c r="AP81" s="139">
        <f t="shared" ref="AP81" si="407">ThU_Alter_Kombi(AN81,U81)</f>
        <v>981.30650000000003</v>
      </c>
      <c r="AQ81" s="139" t="e">
        <f t="shared" si="380"/>
        <v>#VALUE!</v>
      </c>
      <c r="AR81" s="139" t="e">
        <f>(AQ81/AP81)*100</f>
        <v>#VALUE!</v>
      </c>
      <c r="AS81" s="147">
        <f t="shared" si="381"/>
        <v>2.2887938085976106E-5</v>
      </c>
      <c r="AT81" s="147">
        <f t="shared" si="382"/>
        <v>1.1864799963744535E-7</v>
      </c>
      <c r="AU81" s="139">
        <v>0.75</v>
      </c>
      <c r="AV81" s="139">
        <f t="shared" ref="AV81" si="408">AU81/2</f>
        <v>0.375</v>
      </c>
      <c r="AW81" s="139">
        <f t="shared" si="384"/>
        <v>981.30470000000003</v>
      </c>
      <c r="AX81" s="149">
        <f t="shared" si="385"/>
        <v>334.98913822430001</v>
      </c>
      <c r="AY81" s="149">
        <f t="shared" si="386"/>
        <v>3470.8394107724553</v>
      </c>
      <c r="AZ81" s="150">
        <f t="shared" si="387"/>
        <v>0.34137117474755801</v>
      </c>
      <c r="BA81" s="139" t="str">
        <f>Input!B81</f>
        <v>Hu1-13</v>
      </c>
      <c r="BB81" s="151">
        <f>Input!E81</f>
        <v>0</v>
      </c>
      <c r="BC81" s="139">
        <f>((U81-1)*EXP(Constants!$B$17*AW81*1000))*1000</f>
        <v>7.8182161205869232</v>
      </c>
      <c r="BD81" s="145">
        <f>SQRT((EXP(Constants!$B$17*AW81*1000)*V81)^2+((U81-1)*Constants!$B$17*EXP(Constants!$B$17*AW81*1000)*AY81*1000)^2)*1000</f>
        <v>83.021657221688457</v>
      </c>
      <c r="BE81" s="139">
        <f t="shared" si="388"/>
        <v>981246.70000000007</v>
      </c>
      <c r="BF81" s="152">
        <f t="shared" si="389"/>
        <v>1735419.7053862277</v>
      </c>
      <c r="BG81" s="161">
        <f t="shared" si="390"/>
        <v>353.69640141053588</v>
      </c>
      <c r="BH81" s="139"/>
      <c r="BI81" s="18"/>
      <c r="BJ81" s="18"/>
      <c r="BK81" s="18"/>
      <c r="BL81" s="18"/>
      <c r="BM81" s="18"/>
      <c r="BN81" s="160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2" spans="1:110" ht="15" customHeight="1" x14ac:dyDescent="0.2">
      <c r="A82" s="18">
        <f>Input!A82</f>
        <v>10984</v>
      </c>
      <c r="B82" s="18" t="str">
        <f>Input!B82</f>
        <v>E8-Top</v>
      </c>
      <c r="C82" s="18">
        <f>Input!O82</f>
        <v>1.4312467151161776</v>
      </c>
      <c r="D82" s="18">
        <f>C82*Input!P82/100</f>
        <v>4.540357496104065E-3</v>
      </c>
      <c r="E82" s="153">
        <f>Input!M82</f>
        <v>1.8769965924514647</v>
      </c>
      <c r="F82" s="154">
        <f>E82*Input!N82/100</f>
        <v>1.0795309131218281E-4</v>
      </c>
      <c r="G82" s="21">
        <f>E82*137.88</f>
        <v>258.80029016720795</v>
      </c>
      <c r="H82" s="154">
        <f>G82*Input!L82/100</f>
        <v>9.376333533782661E-3</v>
      </c>
      <c r="I82" s="18">
        <v>0.3</v>
      </c>
      <c r="J82" s="130">
        <f>(((C82*Constants!$B$24*0.000000001*Input!G82*(Constants!$B$4/Constants!$B$3))-(I82*0.000000000000001))/Input!F82)*1000000000000</f>
        <v>67.034395558963951</v>
      </c>
      <c r="K82" s="18">
        <f>J82*Input!P82/100</f>
        <v>0.21265384727764519</v>
      </c>
      <c r="L82" s="135">
        <f>(J82/Constants!$B$4)*602200000000*Constants!$B$17/(365.2425*24*60)</f>
        <v>0.92548425997565609</v>
      </c>
      <c r="M82" s="133">
        <f>L82*Input!P82/100</f>
        <v>2.9359224743902416E-3</v>
      </c>
      <c r="N82" s="18">
        <v>5.0000000000000001E-3</v>
      </c>
      <c r="O82" s="130">
        <f>(((G82*Constants!$B$23*0.000000001*Input!G82*(Constants!$B$7/Constants!$B$6))-(N82*0.000000001))/Input!F82)*1000000</f>
        <v>1.2210443079001982</v>
      </c>
      <c r="P82" s="18">
        <f>O82*Input!N82/100</f>
        <v>7.0226823105103554E-5</v>
      </c>
      <c r="Q82" s="131">
        <f>(O82/Constants!$B$7)*602200000000000000*Constants!$B$18/(365.2425*24*60)</f>
        <v>0.91104650513165253</v>
      </c>
      <c r="R82" s="132">
        <f>Q82*Input!N82/100</f>
        <v>5.2397690519869948E-5</v>
      </c>
      <c r="S82" s="133">
        <f>Input!S82*Constants!$B$17/Constants!$B$18</f>
        <v>1.0092171320354917</v>
      </c>
      <c r="T82" s="18">
        <f>S82*Input!T82/100</f>
        <v>9.1333775119165604E-4</v>
      </c>
      <c r="U82" s="18">
        <f>S82*1/((U81+U83)/2)</f>
        <v>1.0087226080105924</v>
      </c>
      <c r="V82" s="18">
        <f>U82*Input!T82/100</f>
        <v>9.1289020878826779E-4</v>
      </c>
      <c r="W82" s="134">
        <v>3.0000000000000001E-3</v>
      </c>
      <c r="X82" s="130">
        <f>IF((((Constants!$B$25*0.000000001*Input!G82/Input!W82*(Constants!$B$11/Constants!$B$9))-(W82*0.000000001))/Input!F82)*1000000000&lt;0, "n.d.", (((Constants!$B$25*0.000000001*Input!G82/Input!W82*(Constants!$B$11/Constants!$B$9))-(W82*0.000000001))/Input!F82)*1000000000)</f>
        <v>2.4499651349416003</v>
      </c>
      <c r="Y82" s="130">
        <f>X82*Input!X82/100</f>
        <v>4.5928180833712745E-3</v>
      </c>
      <c r="Z82" s="130">
        <f>(X82/Constants!$B$11)*6.022E+23*0.000000001*Constants!$B$19/(365.2425*24*60)</f>
        <v>5.9811569370248844E-4</v>
      </c>
      <c r="AA82" s="130">
        <f>Z82*Input!X82/100</f>
        <v>1.1212553741302219E-6</v>
      </c>
      <c r="AB82" s="135">
        <v>0.05</v>
      </c>
      <c r="AC82" s="135">
        <v>0</v>
      </c>
      <c r="AD82" s="130">
        <f>(((Input!G82*Constants!$B$25*0.000000001*Input!U82*(Constants!$B$10/Constants!$B$9))-((AB82*0.000000000000001)+(Input!G82*AC82*0.000000000000001)))/Input!F82)*1000000000000</f>
        <v>0.46362240362802859</v>
      </c>
      <c r="AE82" s="130">
        <f>AD82*Input!V82/100</f>
        <v>3.7022622855535053E-3</v>
      </c>
      <c r="AF82" s="130">
        <f>(AD82/Constants!$B$10)*602200000000*Constants!$B$16/(365.2425*24*60)</f>
        <v>2.1162354528662903E-2</v>
      </c>
      <c r="AG82" s="130">
        <f>AF82*Input!V82/100</f>
        <v>1.6899223685454463E-4</v>
      </c>
      <c r="AH82" s="18">
        <f>AF82/Z82</f>
        <v>35.381707504885114</v>
      </c>
      <c r="AI82" s="134">
        <f>AH82*SQRT((AG82/AF82)^2+(AA82/Z82)^2)</f>
        <v>0.29022211156832145</v>
      </c>
      <c r="AJ82" s="133">
        <f t="shared" si="374"/>
        <v>8.7226080105924364</v>
      </c>
      <c r="AK82" s="134">
        <f>V82*1000</f>
        <v>0.91289020878826777</v>
      </c>
      <c r="AL82" s="134">
        <f>AF82/Q82</f>
        <v>2.3228621601050756E-2</v>
      </c>
      <c r="AM82" s="134">
        <f>AL82*SQRT((R82/Q82)^2+(AG82/AF82)^2)</f>
        <v>1.8549724835730956E-4</v>
      </c>
      <c r="AN82" s="18">
        <f>AL82*1/((AN81+AN83)/2)</f>
        <v>2.3215083761787436E-2</v>
      </c>
      <c r="AO82" s="130">
        <f>AN82*SQRT((R82/Q82)^2+(AG82/AF82)^2)</f>
        <v>1.8538913897504921E-4</v>
      </c>
      <c r="AP82" s="18">
        <f>ThU_Alter_Kombi(AN82,U82)</f>
        <v>2.5388999999999999</v>
      </c>
      <c r="AQ82" s="18">
        <f t="shared" si="380"/>
        <v>1.8200000000000001E-2</v>
      </c>
      <c r="AR82" s="155">
        <f>(AQ82/AP82)</f>
        <v>7.168458781362008E-3</v>
      </c>
      <c r="AS82" s="132">
        <f t="shared" si="381"/>
        <v>6.5651499713075196E-4</v>
      </c>
      <c r="AT82" s="132">
        <f t="shared" si="382"/>
        <v>1.2313124894682896E-6</v>
      </c>
      <c r="AU82" s="18">
        <v>0.75</v>
      </c>
      <c r="AV82" s="18">
        <f>AU82/2</f>
        <v>0.375</v>
      </c>
      <c r="AW82" s="18">
        <f t="shared" si="384"/>
        <v>2.4855999999999998</v>
      </c>
      <c r="AX82" s="136">
        <f t="shared" si="385"/>
        <v>3.3352922799999997E-2</v>
      </c>
      <c r="AY82" s="136">
        <f t="shared" si="386"/>
        <v>3.3734478582793402E-2</v>
      </c>
      <c r="AZ82" s="155">
        <f t="shared" si="387"/>
        <v>1.3418459446411329E-2</v>
      </c>
      <c r="BA82" s="18" t="str">
        <f>Input!B82</f>
        <v>E8-Top</v>
      </c>
      <c r="BB82" s="137" t="str">
        <f>Input!E82</f>
        <v>Top</v>
      </c>
      <c r="BC82" s="18">
        <f>((U82-1)*EXP(Constants!$B$17*AW82*1000))*1000</f>
        <v>8.7840079456288613</v>
      </c>
      <c r="BD82" s="133">
        <f>SQRT((EXP(Constants!$B$17*AW82*1000)*V82)^2+((U82-1)*Constants!$B$17*EXP(Constants!$B$17*AW82*1000)*AY82*1000)^2)*1000</f>
        <v>0.91931658000608107</v>
      </c>
      <c r="BE82" s="18">
        <f t="shared" si="388"/>
        <v>2427.6</v>
      </c>
      <c r="BF82" s="138">
        <f t="shared" si="389"/>
        <v>16.8672392913967</v>
      </c>
      <c r="BG82" s="20">
        <f t="shared" si="390"/>
        <v>1.3571965957029852</v>
      </c>
      <c r="BH82" s="18"/>
      <c r="BI82" s="18"/>
      <c r="BJ82" s="18"/>
      <c r="BK82" s="18"/>
      <c r="BL82" s="18"/>
      <c r="BM82" s="18"/>
      <c r="BN82" s="160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</row>
    <row r="83" spans="1:110" ht="15" customHeight="1" x14ac:dyDescent="0.2">
      <c r="A83" s="139">
        <f>Input!A83</f>
        <v>10815</v>
      </c>
      <c r="B83" s="139" t="str">
        <f>Input!B83</f>
        <v>Hu1-13</v>
      </c>
      <c r="C83" s="139">
        <f>Input!O83</f>
        <v>2.0833253204151454</v>
      </c>
      <c r="D83" s="139">
        <f>C83*Input!P83/100</f>
        <v>1.9466214466148529E-2</v>
      </c>
      <c r="E83" s="140">
        <f>Input!M83</f>
        <v>2.7318365941546885</v>
      </c>
      <c r="F83" s="141">
        <f>E83*Input!N83/100</f>
        <v>4.1357523865354474E-4</v>
      </c>
      <c r="G83" s="142">
        <f t="shared" ref="G83" si="409">E83*137.88</f>
        <v>376.66562960204845</v>
      </c>
      <c r="H83" s="141">
        <f>G83*Input!L83/100</f>
        <v>2.8188926914577132E-2</v>
      </c>
      <c r="I83" s="139">
        <v>0</v>
      </c>
      <c r="J83" s="143">
        <f>(((C83*Constants!$B$24*0.000000001*Input!G83*(Constants!$B$4/Constants!$B$3))-(I83*0.000000000000001))/Input!F83)*1000000000000</f>
        <v>752.15865430519989</v>
      </c>
      <c r="K83" s="139">
        <f>J83*Input!P83/100</f>
        <v>7.028034236322263</v>
      </c>
      <c r="L83" s="144">
        <f>(J83/Constants!$B$4)*602200000000*Constants!$B$17/(365.2425*24*60)</f>
        <v>10.38438535559896</v>
      </c>
      <c r="M83" s="145">
        <f>L83*Input!P83/100</f>
        <v>9.7029815963135271E-2</v>
      </c>
      <c r="N83" s="139">
        <v>0</v>
      </c>
      <c r="O83" s="143">
        <f>(((G83*Constants!$B$23*0.000000001*Input!G83*(Constants!$B$7/Constants!$B$6))-(N83*0.000000001))/Input!F83)*1000000</f>
        <v>13.699031309469348</v>
      </c>
      <c r="P83" s="139">
        <f>O83*Input!N83/100</f>
        <v>2.0739088696808627E-3</v>
      </c>
      <c r="Q83" s="146">
        <f>(O83/Constants!$B$7)*602200000000000000*Constants!$B$18/(365.2425*24*60)</f>
        <v>10.221131630877082</v>
      </c>
      <c r="R83" s="147">
        <f>Q83*Input!N83/100</f>
        <v>1.5473864588366085E-3</v>
      </c>
      <c r="S83" s="145">
        <f>Input!S83*Constants!$B$17/Constants!$B$18</f>
        <v>1.000490247785637</v>
      </c>
      <c r="T83" s="139">
        <f>S83*Input!T83/100</f>
        <v>2.0107819734346095E-3</v>
      </c>
      <c r="U83" s="145">
        <f>S83</f>
        <v>1.000490247785637</v>
      </c>
      <c r="V83" s="139">
        <f>U83*Input!T83/100</f>
        <v>2.0107819734346095E-3</v>
      </c>
      <c r="W83" s="148">
        <v>0</v>
      </c>
      <c r="X83" s="143">
        <f>(((Constants!$B$25*0.000000001*Input!G83/Input!W83*(Constants!$B$11/Constants!$B$9))-(W83*0.000000001))/Input!F83)*1000000000</f>
        <v>0.95825337493141693</v>
      </c>
      <c r="Y83" s="143">
        <f>X83*Input!X83/100</f>
        <v>4.9653381101539343E-3</v>
      </c>
      <c r="Z83" s="143">
        <f>(X83/Constants!$B$11)*6.022E+23*0.000000001*Constants!$B$19/(365.2425*24*60)</f>
        <v>2.3394062793612663E-4</v>
      </c>
      <c r="AA83" s="143">
        <f>Z83*Input!X83/100</f>
        <v>1.2121995557675213E-6</v>
      </c>
      <c r="AB83" s="144">
        <v>0</v>
      </c>
      <c r="AC83" s="144">
        <v>0</v>
      </c>
      <c r="AD83" s="143">
        <f>(((Input!G83*Constants!$B$25*0.000000001*Input!U83*(Constants!$B$10/Constants!$B$9))-((AB83*0.000000000000001)+(Input!G83*AC83*0.000000000000001)))/Input!F83)*1000000000000</f>
        <v>224.05394447344761</v>
      </c>
      <c r="AE83" s="143">
        <f>AD83*Input!V83/100</f>
        <v>0.61766663998728966</v>
      </c>
      <c r="AF83" s="143">
        <f>(AD83/Constants!$B$10)*602200000000*Constants!$B$16/(365.2425*24*60)</f>
        <v>10.227092067571082</v>
      </c>
      <c r="AG83" s="143">
        <f>AF83*Input!V83/100</f>
        <v>2.8193806670365962E-2</v>
      </c>
      <c r="AH83" s="139">
        <f t="shared" ref="AH83" si="410">AF83/Z83</f>
        <v>43716.613731426805</v>
      </c>
      <c r="AI83" s="148">
        <f t="shared" ref="AI83" si="411">AH83*SQRT((AG83/AF83)^2+(AA83/Z83)^2)</f>
        <v>256.5884513872287</v>
      </c>
      <c r="AJ83" s="145">
        <f t="shared" si="374"/>
        <v>0.49024778563699911</v>
      </c>
      <c r="AK83" s="148">
        <f t="shared" ref="AK83" si="412">V83*1000</f>
        <v>2.0107819734346095</v>
      </c>
      <c r="AL83" s="148">
        <f t="shared" ref="AL83" si="413">AF83/Q83</f>
        <v>1.0005831484134295</v>
      </c>
      <c r="AM83" s="148">
        <f t="shared" ref="AM83" si="414">AL83*SQRT((R83/Q83)^2+(AG83/AF83)^2)</f>
        <v>2.7625402487792693E-3</v>
      </c>
      <c r="AN83" s="139">
        <f>AF83/Q83</f>
        <v>1.0005831484134295</v>
      </c>
      <c r="AO83" s="143">
        <f t="shared" ref="AO83" si="415">AN83*SQRT((R83/Q83)^2+(AG83/AF83)^2)</f>
        <v>2.7625402487792693E-3</v>
      </c>
      <c r="AP83" s="139">
        <f t="shared" ref="AP83" si="416">ThU_Alter_Kombi(AN83,U83)</f>
        <v>981.30650000000003</v>
      </c>
      <c r="AQ83" s="139" t="e">
        <f t="shared" si="380"/>
        <v>#VALUE!</v>
      </c>
      <c r="AR83" s="139" t="e">
        <f>(AQ83/AP83)*100</f>
        <v>#VALUE!</v>
      </c>
      <c r="AS83" s="147">
        <f t="shared" si="381"/>
        <v>2.2887938085976106E-5</v>
      </c>
      <c r="AT83" s="147">
        <f t="shared" si="382"/>
        <v>1.1864799963744535E-7</v>
      </c>
      <c r="AU83" s="139">
        <v>0.75</v>
      </c>
      <c r="AV83" s="139">
        <f t="shared" ref="AV83" si="417">AU83/2</f>
        <v>0.375</v>
      </c>
      <c r="AW83" s="139">
        <f t="shared" si="384"/>
        <v>981.30470000000003</v>
      </c>
      <c r="AX83" s="149">
        <f t="shared" si="385"/>
        <v>326.19471047259998</v>
      </c>
      <c r="AY83" s="149">
        <f t="shared" si="386"/>
        <v>3470.8394107724553</v>
      </c>
      <c r="AZ83" s="150">
        <f t="shared" si="387"/>
        <v>0.33240920019296755</v>
      </c>
      <c r="BA83" s="139" t="str">
        <f>Input!B83</f>
        <v>Hu1-13</v>
      </c>
      <c r="BB83" s="151">
        <f>Input!E83</f>
        <v>0</v>
      </c>
      <c r="BC83" s="139">
        <f>((U83-1)*EXP(Constants!$B$17*AW83*1000))*1000</f>
        <v>7.8182161205869232</v>
      </c>
      <c r="BD83" s="145">
        <f>SQRT((EXP(Constants!$B$17*AW83*1000)*V83)^2+((U83-1)*Constants!$B$17*EXP(Constants!$B$17*AW83*1000)*AY83*1000)^2)*1000</f>
        <v>83.021657221688457</v>
      </c>
      <c r="BE83" s="139">
        <f t="shared" si="388"/>
        <v>981246.70000000007</v>
      </c>
      <c r="BF83" s="152">
        <f t="shared" si="389"/>
        <v>1735419.7053862277</v>
      </c>
      <c r="BG83" s="161">
        <f t="shared" si="390"/>
        <v>353.69640141053588</v>
      </c>
      <c r="BH83" s="139"/>
      <c r="BI83" s="18"/>
      <c r="BJ83" s="18"/>
      <c r="BK83" s="18"/>
      <c r="BL83" s="18"/>
      <c r="BM83" s="18"/>
      <c r="BN83" s="160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5" spans="1:110" ht="15" customHeight="1" x14ac:dyDescent="0.2">
      <c r="A85" s="139">
        <f>Input!A85</f>
        <v>10815</v>
      </c>
      <c r="B85" s="139" t="str">
        <f>Input!B85</f>
        <v>Hu1-13</v>
      </c>
      <c r="C85" s="139">
        <f>Input!O85</f>
        <v>2.0805476862180652</v>
      </c>
      <c r="D85" s="139">
        <f>C85*Input!P85/100</f>
        <v>1.7880714386745891E-2</v>
      </c>
      <c r="E85" s="140">
        <f>Input!M85</f>
        <v>2.7322223572366382</v>
      </c>
      <c r="F85" s="141">
        <f>E85*Input!N85/100</f>
        <v>2.8908059820786339E-4</v>
      </c>
      <c r="G85" s="142">
        <f t="shared" ref="G85" si="418">E85*137.88</f>
        <v>376.71881861578765</v>
      </c>
      <c r="H85" s="141">
        <f>G85*Input!L85/100</f>
        <v>1.9240119764620343E-2</v>
      </c>
      <c r="I85" s="139">
        <v>0</v>
      </c>
      <c r="J85" s="143">
        <f>(((C85*Constants!$B$24*0.000000001*Input!G85*(Constants!$B$4/Constants!$B$3))-(I85*0.000000000000001))/Input!F85)*1000000000000</f>
        <v>751.15582408019611</v>
      </c>
      <c r="K85" s="139">
        <f>J85*Input!P85/100</f>
        <v>6.4556091837209566</v>
      </c>
      <c r="L85" s="144">
        <f>(J85/Constants!$B$4)*602200000000*Constants!$B$17/(365.2425*24*60)</f>
        <v>10.370540170885505</v>
      </c>
      <c r="M85" s="145">
        <f>L85*Input!P85/100</f>
        <v>8.9126852539943735E-2</v>
      </c>
      <c r="N85" s="139">
        <v>0</v>
      </c>
      <c r="O85" s="143">
        <f>(((G85*Constants!$B$23*0.000000001*Input!G85*(Constants!$B$7/Constants!$B$6))-(N85*0.000000001))/Input!F85)*1000000</f>
        <v>13.700965751869372</v>
      </c>
      <c r="P85" s="139">
        <f>O85*Input!N85/100</f>
        <v>1.449619707958788E-3</v>
      </c>
      <c r="Q85" s="146">
        <f>(O85/Constants!$B$7)*602200000000000000*Constants!$B$18/(365.2425*24*60)</f>
        <v>10.222574958507801</v>
      </c>
      <c r="R85" s="147">
        <f>Q85*Input!N85/100</f>
        <v>1.0815913559901425E-3</v>
      </c>
      <c r="S85" s="145">
        <f>Input!S85*Constants!$B$17/Constants!$B$18</f>
        <v>0.99927651371681936</v>
      </c>
      <c r="T85" s="139">
        <f>S85*Input!T85/100</f>
        <v>1.507144523610724E-3</v>
      </c>
      <c r="U85" s="145">
        <f>S85</f>
        <v>0.99927651371681936</v>
      </c>
      <c r="V85" s="139">
        <f>U85*Input!T85/100</f>
        <v>1.507144523610724E-3</v>
      </c>
      <c r="W85" s="148">
        <v>0</v>
      </c>
      <c r="X85" s="143">
        <f>(((Constants!$B$25*0.000000001*Input!G85/Input!W85*(Constants!$B$11/Constants!$B$9))-(W85*0.000000001))/Input!F85)*1000000000</f>
        <v>0.96155728359165338</v>
      </c>
      <c r="Y85" s="143">
        <f>X85*Input!X85/100</f>
        <v>5.0152627151015252E-3</v>
      </c>
      <c r="Z85" s="143">
        <f>(X85/Constants!$B$11)*6.022E+23*0.000000001*Constants!$B$19/(365.2425*24*60)</f>
        <v>2.347472188512639E-4</v>
      </c>
      <c r="AA85" s="143">
        <f>Z85*Input!X85/100</f>
        <v>1.2243877658343402E-6</v>
      </c>
      <c r="AB85" s="144">
        <v>0</v>
      </c>
      <c r="AC85" s="144">
        <v>0</v>
      </c>
      <c r="AD85" s="143">
        <f>(((Input!G85*Constants!$B$25*0.000000001*Input!U85*(Constants!$B$10/Constants!$B$9))-((AB85*0.000000000000001)+(Input!G85*AC85*0.000000000000001)))/Input!F85)*1000000000000</f>
        <v>223.53865393856773</v>
      </c>
      <c r="AE85" s="143">
        <f>AD85*Input!V85/100</f>
        <v>0.68390631113073053</v>
      </c>
      <c r="AF85" s="143">
        <f>(AD85/Constants!$B$10)*602200000000*Constants!$B$16/(365.2425*24*60)</f>
        <v>10.203571286653123</v>
      </c>
      <c r="AG85" s="143">
        <f>AF85*Input!V85/100</f>
        <v>3.1217360738568872E-2</v>
      </c>
      <c r="AH85" s="139">
        <f t="shared" ref="AH85" si="419">AF85/Z85</f>
        <v>43466.207338192646</v>
      </c>
      <c r="AI85" s="148">
        <f t="shared" ref="AI85" si="420">AH85*SQRT((AG85/AF85)^2+(AA85/Z85)^2)</f>
        <v>262.83411938454225</v>
      </c>
      <c r="AJ85" s="145">
        <f t="shared" ref="AJ85:AJ91" si="421">(U85-1)*1000</f>
        <v>-0.72348628318064101</v>
      </c>
      <c r="AK85" s="148">
        <f t="shared" ref="AK85" si="422">V85*1000</f>
        <v>1.5071445236107239</v>
      </c>
      <c r="AL85" s="148">
        <f t="shared" ref="AL85" si="423">AF85/Q85</f>
        <v>0.99814100929249117</v>
      </c>
      <c r="AM85" s="148">
        <f t="shared" ref="AM85" si="424">AL85*SQRT((R85/Q85)^2+(AG85/AF85)^2)</f>
        <v>3.055592421281094E-3</v>
      </c>
      <c r="AN85" s="139">
        <f>AF85/Q85</f>
        <v>0.99814100929249117</v>
      </c>
      <c r="AO85" s="143">
        <f t="shared" ref="AO85" si="425">AN85*SQRT((R85/Q85)^2+(AG85/AF85)^2)</f>
        <v>3.055592421281094E-3</v>
      </c>
      <c r="AP85" s="139">
        <f t="shared" ref="AP85" si="426">ThU_Alter_Kombi(AN85,U85)</f>
        <v>774.69079999999997</v>
      </c>
      <c r="AQ85" s="139" t="e">
        <f t="shared" ref="AQ85:AQ91" si="427">Montealter(AN85,AO85,U85,V85)</f>
        <v>#VALUE!</v>
      </c>
      <c r="AR85" s="139" t="e">
        <f>(AQ85/AP85)*100</f>
        <v>#VALUE!</v>
      </c>
      <c r="AS85" s="147">
        <f t="shared" ref="AS85:AS91" si="428">Z85/Q85</f>
        <v>2.2963609443224877E-5</v>
      </c>
      <c r="AT85" s="147">
        <f t="shared" ref="AT85:AT91" si="429">AS85*SQRT((Y85/X85)^2+(P85/O85)^2)</f>
        <v>1.1979757175163825E-7</v>
      </c>
      <c r="AU85" s="139">
        <v>0.75</v>
      </c>
      <c r="AV85" s="139">
        <f t="shared" ref="AV85" si="430">AU85/2</f>
        <v>0.375</v>
      </c>
      <c r="AW85" s="139">
        <f t="shared" ref="AW85:AW91" si="431">marincorr_age(AN85,U85,AS85,AU85)</f>
        <v>774.68889999999999</v>
      </c>
      <c r="AX85" s="149">
        <f t="shared" ref="AX85:AX91" si="432">marincorr_age_error(AN85, AO85, U85, V85, AS85, AT85, AU85, AV85)</f>
        <v>338.3280358559</v>
      </c>
      <c r="AY85" s="149">
        <f t="shared" ref="AY85:AY91" si="433">SQRT(((AU85*EXP(-0.0000091577*AW85*1000))/(0.0000091577*(EXP(-0.0000091577*AW85*1000)+(AJ85/1000)*EXP(-(0.0000091577-0.0000028263)*AW85*1000)-AS85*AU85*EXP(-0.0000091577*AW85*1000))))^2*AT85^2+((AS85*EXP(-0.0000091577*AW85*1000))/(0.0000091577*(EXP(-0.0000091577*AW85*1000)+(AJ85/1000)*EXP(-(0.0000091577-0.0000028263)*AW85*1000)-AS85*AU85*EXP(-0.0000091577*AW85*1000))))^2*AV85^2+((0.0000091577/(0.0000091577-0.0000028263))*(EXP(-(0.0000091577-0.0000028263)*AW85*1000)-1)/(0.0000091577*(EXP(-0.0000091577*AW85*1000)+(AJ85/1000)*EXP(-(0.0000091577-0.0000028263)*AW85*1000)-AS85*AU85*EXP(-0.0000091577*AW85*1000))))^2*T85^2+(1/(0.0000091577*(EXP(-0.0000091577*AW85*1000)+(AJ85/1000)*EXP(-(0.0000091577-0.0000028263)*AW85*1000)-AS85*AU85*EXP(-0.0000091577*AW85*1000))))^2*AO85^2)/1000</f>
        <v>495.94437699925055</v>
      </c>
      <c r="AZ85" s="150">
        <f t="shared" ref="AZ85:AZ91" si="434">AX85/AW85</f>
        <v>0.43672761524774656</v>
      </c>
      <c r="BA85" s="139" t="str">
        <f>Input!B85</f>
        <v>Hu1-13</v>
      </c>
      <c r="BB85" s="151">
        <f>Input!E85</f>
        <v>0</v>
      </c>
      <c r="BC85" s="139">
        <f>((U85-1)*EXP(Constants!$B$17*AW85*1000))*1000</f>
        <v>-6.4401051335432768</v>
      </c>
      <c r="BD85" s="145">
        <f>SQRT((EXP(Constants!$B$17*AW85*1000)*V85)^2+((U85-1)*Constants!$B$17*EXP(Constants!$B$17*AW85*1000)*AY85*1000)^2)*1000</f>
        <v>16.162524581241101</v>
      </c>
      <c r="BE85" s="139">
        <f t="shared" ref="BE85:BE91" si="435">AW85*1000-58</f>
        <v>774630.9</v>
      </c>
      <c r="BF85" s="152">
        <f t="shared" ref="BF85:BF91" si="436">AY85/2*1000</f>
        <v>247972.18849962528</v>
      </c>
      <c r="BG85" s="161">
        <f t="shared" ref="BG85:BG91" si="437">AY85/AW85*100</f>
        <v>64.01852111205551</v>
      </c>
      <c r="BH85" s="139"/>
      <c r="BI85" s="18"/>
      <c r="BJ85" s="18"/>
      <c r="BK85" s="18"/>
      <c r="BL85" s="18"/>
      <c r="BM85" s="18"/>
      <c r="BN85" s="160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10973</v>
      </c>
      <c r="B86" s="18" t="str">
        <f>Input!B86</f>
        <v>EO-C-19</v>
      </c>
      <c r="C86" s="18">
        <f>Input!O86</f>
        <v>1.4885936629198424</v>
      </c>
      <c r="D86" s="18">
        <f>C86*Input!P86/100</f>
        <v>3.4574137798334525E-3</v>
      </c>
      <c r="E86" s="153">
        <f>Input!M86</f>
        <v>1.9506100286470975</v>
      </c>
      <c r="F86" s="154">
        <f>E86*Input!N86/100</f>
        <v>7.8513203926194736E-5</v>
      </c>
      <c r="G86" s="21">
        <f>E86*137.88</f>
        <v>268.95011074986178</v>
      </c>
      <c r="H86" s="154">
        <f>G86*Input!L86/100</f>
        <v>1.0114997998854283E-2</v>
      </c>
      <c r="I86" s="18">
        <v>0.3</v>
      </c>
      <c r="J86" s="130">
        <f>(((C86*Constants!$B$24*0.000000001*Input!G86*(Constants!$B$4/Constants!$B$3))-(I86*0.000000000000001))/Input!F86)*1000000000000</f>
        <v>65.18153627610117</v>
      </c>
      <c r="K86" s="18">
        <f>J86*Input!P86/100</f>
        <v>0.15139090493618565</v>
      </c>
      <c r="L86" s="135">
        <f>(J86/Constants!$B$4)*602200000000*Constants!$B$17/(365.2425*24*60)</f>
        <v>0.8999034803185777</v>
      </c>
      <c r="M86" s="133">
        <f>L86*Input!P86/100</f>
        <v>2.0901195342123875E-3</v>
      </c>
      <c r="N86" s="18">
        <v>5.0000000000000001E-3</v>
      </c>
      <c r="O86" s="130">
        <f>(((G86*Constants!$B$23*0.000000001*Input!G86*(Constants!$B$7/Constants!$B$6))-(N86*0.000000001))/Input!F86)*1000000</f>
        <v>1.1863243995240205</v>
      </c>
      <c r="P86" s="18">
        <f>O86*Input!N86/100</f>
        <v>4.7750256655376356E-5</v>
      </c>
      <c r="Q86" s="131">
        <f>(O86/Constants!$B$7)*602200000000000000*Constants!$B$18/(365.2425*24*60)</f>
        <v>0.88514126076013266</v>
      </c>
      <c r="R86" s="132">
        <f>Q86*Input!N86/100</f>
        <v>3.5627457712677652E-5</v>
      </c>
      <c r="S86" s="133">
        <f>Input!S86*Constants!$B$17/Constants!$B$18</f>
        <v>1.0118157444842348</v>
      </c>
      <c r="T86" s="18">
        <f>S86*Input!T86/100</f>
        <v>6.6655074698666926E-4</v>
      </c>
      <c r="U86" s="18">
        <f>S86*1/((U85+U87)/2)</f>
        <v>1.0134552667018817</v>
      </c>
      <c r="V86" s="18">
        <f>U86*Input!T86/100</f>
        <v>6.6763080999698615E-4</v>
      </c>
      <c r="W86" s="134">
        <v>3.0000000000000001E-3</v>
      </c>
      <c r="X86" s="130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2.0825648605091646E-2</v>
      </c>
      <c r="Y86" s="130">
        <f>X86*Input!X86/100</f>
        <v>1.0099975584503269E-4</v>
      </c>
      <c r="Z86" s="130">
        <f>(X86/Constants!$B$11)*6.022E+23*0.000000001*Constants!$B$19/(365.2425*24*60)</f>
        <v>5.0842140912897394E-6</v>
      </c>
      <c r="AA86" s="130">
        <f>Z86*Input!X86/100</f>
        <v>2.4657305595687046E-8</v>
      </c>
      <c r="AB86" s="135">
        <v>0.05</v>
      </c>
      <c r="AC86" s="135">
        <v>0</v>
      </c>
      <c r="AD86" s="130">
        <f>(((Input!G86*Constants!$B$25*0.000000001*Input!U86*(Constants!$B$10/Constants!$B$9))-((AB86*0.000000000000001)+(Input!G86*AC86*0.000000000000001)))/Input!F86)*1000000000000</f>
        <v>7.7182039266569483E-2</v>
      </c>
      <c r="AE86" s="130">
        <f>AD86*Input!V86/100</f>
        <v>1.2432778012057893E-3</v>
      </c>
      <c r="AF86" s="130">
        <f>(AD86/Constants!$B$10)*602200000000*Constants!$B$16/(365.2425*24*60)</f>
        <v>3.5230257757664129E-3</v>
      </c>
      <c r="AG86" s="130">
        <f>AF86*Input!V86/100</f>
        <v>5.6750246322959958E-5</v>
      </c>
      <c r="AH86" s="18">
        <f>AF86/Z86</f>
        <v>692.93419051767512</v>
      </c>
      <c r="AI86" s="134">
        <f>AH86*SQRT((AG86/AF86)^2+(AA86/Z86)^2)</f>
        <v>11.656964001687189</v>
      </c>
      <c r="AJ86" s="133">
        <f t="shared" si="421"/>
        <v>13.455266701881685</v>
      </c>
      <c r="AK86" s="134">
        <f>V86*1000</f>
        <v>0.66763080999698621</v>
      </c>
      <c r="AL86" s="134">
        <f>AF86/Q86</f>
        <v>3.9801847817386169E-3</v>
      </c>
      <c r="AM86" s="134">
        <f>AL86*SQRT((R86/Q86)^2+(AG86/AF86)^2)</f>
        <v>6.411453855301691E-5</v>
      </c>
      <c r="AN86" s="18">
        <f>AL86*1/((AN85+AN87)/2)</f>
        <v>3.9847579822950927E-3</v>
      </c>
      <c r="AO86" s="130">
        <f>AN86*SQRT((R86/Q86)^2+(AG86/AF86)^2)</f>
        <v>6.4188205646246874E-5</v>
      </c>
      <c r="AP86" s="18">
        <f>ThU_Alter_Kombi(AN86,U86)</f>
        <v>0.42959999999999998</v>
      </c>
      <c r="AQ86" s="18">
        <f t="shared" si="427"/>
        <v>6.8999999999999999E-3</v>
      </c>
      <c r="AR86" s="155">
        <f>(AQ86/AP86)</f>
        <v>1.6061452513966481E-2</v>
      </c>
      <c r="AS86" s="132">
        <f t="shared" si="428"/>
        <v>5.743957847952506E-6</v>
      </c>
      <c r="AT86" s="132">
        <f t="shared" si="429"/>
        <v>2.7857875219496168E-8</v>
      </c>
      <c r="AU86" s="18">
        <v>0.75</v>
      </c>
      <c r="AV86" s="18">
        <f>AU86/2</f>
        <v>0.375</v>
      </c>
      <c r="AW86" s="18">
        <f t="shared" si="431"/>
        <v>0.42909999999999998</v>
      </c>
      <c r="AX86" s="136">
        <f t="shared" si="432"/>
        <v>7.3086723999999997E-3</v>
      </c>
      <c r="AY86" s="136">
        <f t="shared" si="433"/>
        <v>6.9529334809641978E-3</v>
      </c>
      <c r="AZ86" s="155">
        <f t="shared" si="434"/>
        <v>1.7032562106735028E-2</v>
      </c>
      <c r="BA86" s="18" t="str">
        <f>Input!B86</f>
        <v>EO-C-19</v>
      </c>
      <c r="BB86" s="137">
        <f>Input!E86</f>
        <v>19</v>
      </c>
      <c r="BC86" s="18">
        <f>((U86-1)*EXP(Constants!$B$17*AW86*1000))*1000</f>
        <v>13.471570171864848</v>
      </c>
      <c r="BD86" s="133">
        <f>SQRT((EXP(Constants!$B$17*AW86*1000)*V86)^2+((U86-1)*Constants!$B$17*EXP(Constants!$B$17*AW86*1000)*AY86*1000)^2)*1000</f>
        <v>0.66843981678624353</v>
      </c>
      <c r="BE86" s="18">
        <f t="shared" si="435"/>
        <v>371.09999999999997</v>
      </c>
      <c r="BF86" s="138">
        <f t="shared" si="436"/>
        <v>3.476466740482099</v>
      </c>
      <c r="BG86" s="20">
        <f t="shared" si="437"/>
        <v>1.6203527105486362</v>
      </c>
      <c r="BH86" s="18"/>
      <c r="BI86" s="18"/>
      <c r="BJ86" s="18"/>
      <c r="BK86" s="18"/>
      <c r="BL86" s="18"/>
      <c r="BM86" s="18"/>
      <c r="BN86" s="160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9">
        <f>Input!A87</f>
        <v>10815</v>
      </c>
      <c r="B87" s="139" t="str">
        <f>Input!B87</f>
        <v>Hu1-13</v>
      </c>
      <c r="C87" s="139">
        <f>Input!O87</f>
        <v>2.0735014593464181</v>
      </c>
      <c r="D87" s="139">
        <f>C87*Input!P87/100</f>
        <v>2.2073541029559683E-2</v>
      </c>
      <c r="E87" s="140">
        <f>Input!M87</f>
        <v>2.731821509510151</v>
      </c>
      <c r="F87" s="141">
        <f>E87*Input!N87/100</f>
        <v>2.8379138758112993E-4</v>
      </c>
      <c r="G87" s="142">
        <f t="shared" ref="G87" si="438">E87*137.88</f>
        <v>376.66354973125959</v>
      </c>
      <c r="H87" s="141">
        <f>G87*Input!L87/100</f>
        <v>2.3443996858677024E-2</v>
      </c>
      <c r="I87" s="139">
        <v>0</v>
      </c>
      <c r="J87" s="143">
        <f>(((C87*Constants!$B$24*0.000000001*Input!G87*(Constants!$B$4/Constants!$B$3))-(I87*0.000000000000001))/Input!F87)*1000000000000</f>
        <v>748.61187164522505</v>
      </c>
      <c r="K87" s="139">
        <f>J87*Input!P87/100</f>
        <v>7.9693770117649123</v>
      </c>
      <c r="L87" s="144">
        <f>(J87/Constants!$B$4)*602200000000*Constants!$B$17/(365.2425*24*60)</f>
        <v>10.335418082932589</v>
      </c>
      <c r="M87" s="145">
        <f>L87*Input!P87/100</f>
        <v>0.11002609816497388</v>
      </c>
      <c r="N87" s="139">
        <v>0</v>
      </c>
      <c r="O87" s="143">
        <f>(((G87*Constants!$B$23*0.000000001*Input!G87*(Constants!$B$7/Constants!$B$6))-(N87*0.000000001))/Input!F87)*1000000</f>
        <v>13.698955666212258</v>
      </c>
      <c r="P87" s="139">
        <f>O87*Input!N87/100</f>
        <v>1.4230965029716971E-3</v>
      </c>
      <c r="Q87" s="146">
        <f>(O87/Constants!$B$7)*602200000000000000*Constants!$B$18/(365.2425*24*60)</f>
        <v>10.221075191872732</v>
      </c>
      <c r="R87" s="147">
        <f>Q87*Input!N87/100</f>
        <v>1.061801842168213E-3</v>
      </c>
      <c r="S87" s="145">
        <f>Input!S87*Constants!$B$17/Constants!$B$18</f>
        <v>0.99748797649500354</v>
      </c>
      <c r="T87" s="139">
        <f>S87*Input!T87/100</f>
        <v>1.5335529820364564E-3</v>
      </c>
      <c r="U87" s="145">
        <f>S87</f>
        <v>0.99748797649500354</v>
      </c>
      <c r="V87" s="139">
        <f>U87*Input!T87/100</f>
        <v>1.5335529820364564E-3</v>
      </c>
      <c r="W87" s="148">
        <v>0</v>
      </c>
      <c r="X87" s="143">
        <f>(((Constants!$B$25*0.000000001*Input!G87/Input!W87*(Constants!$B$11/Constants!$B$9))-(W87*0.000000001))/Input!F87)*1000000000</f>
        <v>0.95601394336765255</v>
      </c>
      <c r="Y87" s="143">
        <f>X87*Input!X87/100</f>
        <v>3.6425457326753857E-3</v>
      </c>
      <c r="Z87" s="143">
        <f>(X87/Constants!$B$11)*6.022E+23*0.000000001*Constants!$B$19/(365.2425*24*60)</f>
        <v>2.333939102934317E-4</v>
      </c>
      <c r="AA87" s="143">
        <f>Z87*Input!X87/100</f>
        <v>8.8926317222637149E-7</v>
      </c>
      <c r="AB87" s="144">
        <v>0</v>
      </c>
      <c r="AC87" s="144">
        <v>0</v>
      </c>
      <c r="AD87" s="143">
        <f>(((Input!G87*Constants!$B$25*0.000000001*Input!U87*(Constants!$B$10/Constants!$B$9))-((AB87*0.000000000000001)+(Input!G87*AC87*0.000000000000001)))/Input!F87)*1000000000000</f>
        <v>223.82441769615875</v>
      </c>
      <c r="AE87" s="143">
        <f>AD87*Input!V87/100</f>
        <v>0.66309903163093853</v>
      </c>
      <c r="AF87" s="143">
        <f>(AD87/Constants!$B$10)*602200000000*Constants!$B$16/(365.2425*24*60)</f>
        <v>10.216615164391257</v>
      </c>
      <c r="AG87" s="143">
        <f>AF87*Input!V87/100</f>
        <v>3.0267598556875726E-2</v>
      </c>
      <c r="AH87" s="139">
        <f t="shared" ref="AH87" si="439">AF87/Z87</f>
        <v>43774.129117364457</v>
      </c>
      <c r="AI87" s="148">
        <f t="shared" ref="AI87" si="440">AH87*SQRT((AG87/AF87)^2+(AA87/Z87)^2)</f>
        <v>211.27115922571195</v>
      </c>
      <c r="AJ87" s="145">
        <f t="shared" si="421"/>
        <v>-2.5120235049964634</v>
      </c>
      <c r="AK87" s="148">
        <f t="shared" ref="AK87" si="441">V87*1000</f>
        <v>1.5335529820364564</v>
      </c>
      <c r="AL87" s="148">
        <f t="shared" ref="AL87" si="442">AF87/Q87</f>
        <v>0.99956364400048425</v>
      </c>
      <c r="AM87" s="148">
        <f t="shared" ref="AM87" si="443">AL87*SQRT((R87/Q87)^2+(AG87/AF87)^2)</f>
        <v>2.9631130072145214E-3</v>
      </c>
      <c r="AN87" s="139">
        <f>AF87/Q87</f>
        <v>0.99956364400048425</v>
      </c>
      <c r="AO87" s="143">
        <f t="shared" ref="AO87" si="444">AN87*SQRT((R87/Q87)^2+(AG87/AF87)^2)</f>
        <v>2.9631130072145214E-3</v>
      </c>
      <c r="AP87" s="139" t="str">
        <f t="shared" ref="AP87" si="445">ThU_Alter_Kombi(AN87,U87)</f>
        <v>Out of range</v>
      </c>
      <c r="AQ87" s="139" t="e">
        <f t="shared" si="427"/>
        <v>#VALUE!</v>
      </c>
      <c r="AR87" s="139" t="e">
        <f>(AQ87/AP87)*100</f>
        <v>#VALUE!</v>
      </c>
      <c r="AS87" s="147">
        <f t="shared" si="428"/>
        <v>2.283457521954387E-5</v>
      </c>
      <c r="AT87" s="147">
        <f t="shared" si="429"/>
        <v>8.7035231163799022E-8</v>
      </c>
      <c r="AU87" s="139">
        <v>0.75</v>
      </c>
      <c r="AV87" s="139">
        <f t="shared" ref="AV87" si="446">AU87/2</f>
        <v>0.375</v>
      </c>
      <c r="AW87" s="139" t="str">
        <f t="shared" si="431"/>
        <v>Out of range</v>
      </c>
      <c r="AX87" s="149">
        <f t="shared" si="432"/>
        <v>274.48690572319998</v>
      </c>
      <c r="AY87" s="149" t="e">
        <f t="shared" si="433"/>
        <v>#VALUE!</v>
      </c>
      <c r="AZ87" s="150" t="e">
        <f t="shared" si="434"/>
        <v>#VALUE!</v>
      </c>
      <c r="BA87" s="139" t="str">
        <f>Input!B87</f>
        <v>Hu1-13</v>
      </c>
      <c r="BB87" s="151">
        <f>Input!E87</f>
        <v>0</v>
      </c>
      <c r="BC87" s="139" t="e">
        <f>((U87-1)*EXP(Constants!$B$17*AW87*1000))*1000</f>
        <v>#VALUE!</v>
      </c>
      <c r="BD87" s="145" t="e">
        <f>SQRT((EXP(Constants!$B$17*AW87*1000)*V87)^2+((U87-1)*Constants!$B$17*EXP(Constants!$B$17*AW87*1000)*AY87*1000)^2)*1000</f>
        <v>#VALUE!</v>
      </c>
      <c r="BE87" s="139" t="e">
        <f t="shared" si="435"/>
        <v>#VALUE!</v>
      </c>
      <c r="BF87" s="152" t="e">
        <f t="shared" si="436"/>
        <v>#VALUE!</v>
      </c>
      <c r="BG87" s="161" t="e">
        <f t="shared" si="437"/>
        <v>#VALUE!</v>
      </c>
      <c r="BH87" s="139"/>
      <c r="BI87" s="18"/>
      <c r="BJ87" s="18"/>
      <c r="BK87" s="18"/>
      <c r="BL87" s="18"/>
      <c r="BM87" s="18"/>
      <c r="BN87" s="160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10974</v>
      </c>
      <c r="B88" s="18" t="str">
        <f>Input!B88</f>
        <v>EO-C-52</v>
      </c>
      <c r="C88" s="18">
        <f>Input!O88</f>
        <v>1.6473468005037861</v>
      </c>
      <c r="D88" s="18">
        <f>C88*Input!P88/100</f>
        <v>4.849131007523013E-3</v>
      </c>
      <c r="E88" s="153">
        <f>Input!M88</f>
        <v>2.1590690336961664</v>
      </c>
      <c r="F88" s="154">
        <f>E88*Input!N88/100</f>
        <v>1.0734396179269303E-4</v>
      </c>
      <c r="G88" s="21">
        <f>E88*137.88</f>
        <v>297.69243836602743</v>
      </c>
      <c r="H88" s="154">
        <f>G88*Input!L88/100</f>
        <v>7.8103414385448629E-3</v>
      </c>
      <c r="I88" s="18">
        <v>0.3</v>
      </c>
      <c r="J88" s="130">
        <f>(((C88*Constants!$B$24*0.000000001*Input!G88*(Constants!$B$4/Constants!$B$3))-(I88*0.000000000000001))/Input!F88)*1000000000000</f>
        <v>53.841556221040285</v>
      </c>
      <c r="K88" s="18">
        <f>J88*Input!P88/100</f>
        <v>0.15848803645042803</v>
      </c>
      <c r="L88" s="135">
        <f>(J88/Constants!$B$4)*602200000000*Constants!$B$17/(365.2425*24*60)</f>
        <v>0.74334246471032539</v>
      </c>
      <c r="M88" s="133">
        <f>L88*Input!P88/100</f>
        <v>2.1881033148169432E-3</v>
      </c>
      <c r="N88" s="18">
        <v>5.0000000000000001E-3</v>
      </c>
      <c r="O88" s="130">
        <f>(((G88*Constants!$B$23*0.000000001*Input!G88*(Constants!$B$7/Constants!$B$6))-(N88*0.000000001))/Input!F88)*1000000</f>
        <v>0.98012975527018908</v>
      </c>
      <c r="P88" s="18">
        <f>O88*Input!N88/100</f>
        <v>4.8729804077404263E-5</v>
      </c>
      <c r="Q88" s="131">
        <f>(O88/Constants!$B$7)*602200000000000000*Constants!$B$18/(365.2425*24*60)</f>
        <v>0.73129515639774156</v>
      </c>
      <c r="R88" s="132">
        <f>Q88*Input!N88/100</f>
        <v>3.6358318378154983E-5</v>
      </c>
      <c r="S88" s="133">
        <f>Input!S88*Constants!$B$17/Constants!$B$18</f>
        <v>1.0105386836392942</v>
      </c>
      <c r="T88" s="18">
        <f>S88*Input!T88/100</f>
        <v>8.502187820769964E-4</v>
      </c>
      <c r="U88" s="18">
        <f>S88*1/((U87+U89)/2)</f>
        <v>1.011528644431186</v>
      </c>
      <c r="V88" s="18">
        <f>U88*Input!T88/100</f>
        <v>8.5105168760789111E-4</v>
      </c>
      <c r="W88" s="134">
        <v>3.0000000000000001E-3</v>
      </c>
      <c r="X88" s="130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5.5165738040991862E-2</v>
      </c>
      <c r="Y88" s="130">
        <f>X88*Input!X88/100</f>
        <v>1.6139829958065392E-4</v>
      </c>
      <c r="Z88" s="130">
        <f>(X88/Constants!$B$11)*6.022E+23*0.000000001*Constants!$B$19/(365.2425*24*60)</f>
        <v>1.3467740094098983E-5</v>
      </c>
      <c r="AA88" s="130">
        <f>Z88*Input!X88/100</f>
        <v>3.940254272981154E-8</v>
      </c>
      <c r="AB88" s="135">
        <v>0.05</v>
      </c>
      <c r="AC88" s="135">
        <v>0</v>
      </c>
      <c r="AD88" s="130">
        <f>(((Input!G88*Constants!$B$25*0.000000001*Input!U88*(Constants!$B$10/Constants!$B$9))-((AB88*0.000000000000001)+(Input!G88*AC88*0.000000000000001)))/Input!F88)*1000000000000</f>
        <v>0.1213748049074128</v>
      </c>
      <c r="AE88" s="130">
        <f>AD88*Input!V88/100</f>
        <v>1.1786612271513159E-3</v>
      </c>
      <c r="AF88" s="130">
        <f>(AD88/Constants!$B$10)*602200000000*Constants!$B$16/(365.2425*24*60)</f>
        <v>5.5402341047322886E-3</v>
      </c>
      <c r="AG88" s="130">
        <f>AF88*Input!V88/100</f>
        <v>5.3800779606365541E-5</v>
      </c>
      <c r="AH88" s="18">
        <f>AF88/Z88</f>
        <v>411.37073228490607</v>
      </c>
      <c r="AI88" s="134">
        <f>AH88*SQRT((AG88/AF88)^2+(AA88/Z88)^2)</f>
        <v>4.1721533240922568</v>
      </c>
      <c r="AJ88" s="133">
        <f t="shared" si="421"/>
        <v>11.528644431185953</v>
      </c>
      <c r="AK88" s="134">
        <f>V88*1000</f>
        <v>0.85105168760789107</v>
      </c>
      <c r="AL88" s="134">
        <f>AF88/Q88</f>
        <v>7.575920688471004E-3</v>
      </c>
      <c r="AM88" s="134">
        <f>AL88*SQRT((R88/Q88)^2+(AG88/AF88)^2)</f>
        <v>7.3570136826280817E-5</v>
      </c>
      <c r="AN88" s="18">
        <f>AL88*1/((AN87+AN89)/2)</f>
        <v>7.583652175888053E-3</v>
      </c>
      <c r="AO88" s="130">
        <f>AN88*SQRT((R88/Q88)^2+(AG88/AF88)^2)</f>
        <v>7.3645217679226983E-5</v>
      </c>
      <c r="AP88" s="18">
        <f>ThU_Alter_Kombi(AN88,U88)</f>
        <v>0.8206</v>
      </c>
      <c r="AQ88" s="18">
        <f t="shared" si="427"/>
        <v>8.0000000000000002E-3</v>
      </c>
      <c r="AR88" s="155">
        <f>(AQ88/AP88)</f>
        <v>9.7489641725566657E-3</v>
      </c>
      <c r="AS88" s="132">
        <f t="shared" si="428"/>
        <v>1.8416285102227672E-5</v>
      </c>
      <c r="AT88" s="132">
        <f t="shared" si="429"/>
        <v>5.3888271042772401E-8</v>
      </c>
      <c r="AU88" s="18">
        <v>0.75</v>
      </c>
      <c r="AV88" s="18">
        <f>AU88/2</f>
        <v>0.375</v>
      </c>
      <c r="AW88" s="18">
        <f t="shared" si="431"/>
        <v>0.81910000000000005</v>
      </c>
      <c r="AX88" s="136">
        <f t="shared" si="432"/>
        <v>7.2418596E-3</v>
      </c>
      <c r="AY88" s="136">
        <f t="shared" si="433"/>
        <v>8.0743090541211156E-3</v>
      </c>
      <c r="AZ88" s="155">
        <f t="shared" si="434"/>
        <v>8.8412398974484184E-3</v>
      </c>
      <c r="BA88" s="18" t="str">
        <f>Input!B88</f>
        <v>EO-C-52</v>
      </c>
      <c r="BB88" s="137">
        <f>Input!E88</f>
        <v>52</v>
      </c>
      <c r="BC88" s="18">
        <f>((U88-1)*EXP(Constants!$B$17*AW88*1000))*1000</f>
        <v>11.555324285701472</v>
      </c>
      <c r="BD88" s="133">
        <f>SQRT((EXP(Constants!$B$17*AW88*1000)*V88)^2+((U88-1)*Constants!$B$17*EXP(Constants!$B$17*AW88*1000)*AY88*1000)^2)*1000</f>
        <v>0.85302125166473519</v>
      </c>
      <c r="BE88" s="18">
        <f t="shared" si="435"/>
        <v>761.1</v>
      </c>
      <c r="BF88" s="138">
        <f t="shared" si="436"/>
        <v>4.037154527060558</v>
      </c>
      <c r="BG88" s="20">
        <f t="shared" si="437"/>
        <v>0.98575376072776411</v>
      </c>
      <c r="BH88" s="18"/>
      <c r="BI88" s="18"/>
      <c r="BJ88" s="18"/>
      <c r="BK88" s="18"/>
      <c r="BL88" s="18"/>
      <c r="BM88" s="18"/>
      <c r="BN88" s="160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9">
        <f>Input!A89</f>
        <v>10815</v>
      </c>
      <c r="B89" s="139" t="str">
        <f>Input!B89</f>
        <v>Hu1-13</v>
      </c>
      <c r="C89" s="139">
        <f>Input!O89</f>
        <v>2.1198429614448568</v>
      </c>
      <c r="D89" s="139">
        <f>C89*Input!P89/100</f>
        <v>2.0932563942542656E-2</v>
      </c>
      <c r="E89" s="140">
        <f>Input!M89</f>
        <v>2.7316378613512997</v>
      </c>
      <c r="F89" s="141">
        <f>E89*Input!N89/100</f>
        <v>3.2189695912373818E-4</v>
      </c>
      <c r="G89" s="142">
        <f t="shared" ref="G89" si="447">E89*137.88</f>
        <v>376.63822832311718</v>
      </c>
      <c r="H89" s="141">
        <f>G89*Input!L89/100</f>
        <v>2.291271728832751E-2</v>
      </c>
      <c r="I89" s="139">
        <v>0</v>
      </c>
      <c r="J89" s="143">
        <f>(((C89*Constants!$B$24*0.000000001*Input!G89*(Constants!$B$4/Constants!$B$3))-(I89*0.000000000000001))/Input!F89)*1000000000000</f>
        <v>765.34289368737882</v>
      </c>
      <c r="K89" s="139">
        <f>J89*Input!P89/100</f>
        <v>7.5574414480034227</v>
      </c>
      <c r="L89" s="144">
        <f>(J89/Constants!$B$4)*602200000000*Constants!$B$17/(365.2425*24*60)</f>
        <v>10.566408418926576</v>
      </c>
      <c r="M89" s="145">
        <f>L89*Input!P89/100</f>
        <v>0.10433887032907703</v>
      </c>
      <c r="N89" s="139">
        <v>0</v>
      </c>
      <c r="O89" s="143">
        <f>(((G89*Constants!$B$23*0.000000001*Input!G89*(Constants!$B$7/Constants!$B$6))-(N89*0.000000001))/Input!F89)*1000000</f>
        <v>13.698034746606961</v>
      </c>
      <c r="P89" s="139">
        <f>O89*Input!N89/100</f>
        <v>1.6141801932423227E-3</v>
      </c>
      <c r="Q89" s="146">
        <f>(O89/Constants!$B$7)*602200000000000000*Constants!$B$18/(365.2425*24*60)</f>
        <v>10.220388074638342</v>
      </c>
      <c r="R89" s="147">
        <f>Q89*Input!N89/100</f>
        <v>1.2043733500835027E-3</v>
      </c>
      <c r="S89" s="145">
        <f>Input!S89*Constants!$B$17/Constants!$B$18</f>
        <v>1.0005546675816783</v>
      </c>
      <c r="T89" s="139">
        <f>S89*Input!T89/100</f>
        <v>1.4934712431183422E-3</v>
      </c>
      <c r="U89" s="145">
        <f>S89</f>
        <v>1.0005546675816783</v>
      </c>
      <c r="V89" s="139">
        <f>U89*Input!T89/100</f>
        <v>1.4934712431183422E-3</v>
      </c>
      <c r="W89" s="148">
        <v>0</v>
      </c>
      <c r="X89" s="143">
        <f>(((Constants!$B$25*0.000000001*Input!G89/Input!W89*(Constants!$B$11/Constants!$B$9))-(W89*0.000000001))/Input!F89)*1000000000</f>
        <v>0.95864294742776734</v>
      </c>
      <c r="Y89" s="143">
        <f>X89*Input!X89/100</f>
        <v>4.8260230017940012E-3</v>
      </c>
      <c r="Z89" s="143">
        <f>(X89/Constants!$B$11)*6.022E+23*0.000000001*Constants!$B$19/(365.2425*24*60)</f>
        <v>2.3403573517687015E-4</v>
      </c>
      <c r="AA89" s="143">
        <f>Z89*Input!X89/100</f>
        <v>1.1781882339362316E-6</v>
      </c>
      <c r="AB89" s="144">
        <v>0</v>
      </c>
      <c r="AC89" s="144">
        <v>0</v>
      </c>
      <c r="AD89" s="143">
        <f>(((Input!G89*Constants!$B$25*0.000000001*Input!U89*(Constants!$B$10/Constants!$B$9))-((AB89*0.000000000000001)+(Input!G89*AC89*0.000000000000001)))/Input!F89)*1000000000000</f>
        <v>223.54823356118499</v>
      </c>
      <c r="AE89" s="143">
        <f>AD89*Input!V89/100</f>
        <v>0.63754650784354228</v>
      </c>
      <c r="AF89" s="143">
        <f>(AD89/Constants!$B$10)*602200000000*Constants!$B$16/(365.2425*24*60)</f>
        <v>10.204008554931125</v>
      </c>
      <c r="AG89" s="143">
        <f>AF89*Input!V89/100</f>
        <v>2.9101236527648119E-2</v>
      </c>
      <c r="AH89" s="139">
        <f t="shared" ref="AH89" si="448">AF89/Z89</f>
        <v>43600.215784224354</v>
      </c>
      <c r="AI89" s="148">
        <f t="shared" ref="AI89" si="449">AH89*SQRT((AG89/AF89)^2+(AA89/Z89)^2)</f>
        <v>252.26776919101283</v>
      </c>
      <c r="AJ89" s="145">
        <f t="shared" si="421"/>
        <v>0.55466758167832531</v>
      </c>
      <c r="AK89" s="148">
        <f t="shared" ref="AK89" si="450">V89*1000</f>
        <v>1.4934712431183421</v>
      </c>
      <c r="AL89" s="148">
        <f t="shared" ref="AL89" si="451">AF89/Q89</f>
        <v>0.99839736812461533</v>
      </c>
      <c r="AM89" s="148">
        <f t="shared" ref="AM89" si="452">AL89*SQRT((R89/Q89)^2+(AG89/AF89)^2)</f>
        <v>2.8498005932531775E-3</v>
      </c>
      <c r="AN89" s="139">
        <f>AF89/Q89</f>
        <v>0.99839736812461533</v>
      </c>
      <c r="AO89" s="143">
        <f t="shared" ref="AO89" si="453">AN89*SQRT((R89/Q89)^2+(AG89/AF89)^2)</f>
        <v>2.8498005932531775E-3</v>
      </c>
      <c r="AP89" s="139">
        <f t="shared" ref="AP89" si="454">ThU_Alter_Kombi(AN89,U89)</f>
        <v>658.17380000000003</v>
      </c>
      <c r="AQ89" s="139" t="e">
        <f t="shared" si="427"/>
        <v>#VALUE!</v>
      </c>
      <c r="AR89" s="139" t="e">
        <f>(AQ89/AP89)*100</f>
        <v>#VALUE!</v>
      </c>
      <c r="AS89" s="147">
        <f t="shared" si="428"/>
        <v>2.2898908873883611E-5</v>
      </c>
      <c r="AT89" s="147">
        <f t="shared" si="429"/>
        <v>1.1530980639298335E-7</v>
      </c>
      <c r="AU89" s="139">
        <v>0.75</v>
      </c>
      <c r="AV89" s="139">
        <f t="shared" ref="AV89" si="455">AU89/2</f>
        <v>0.375</v>
      </c>
      <c r="AW89" s="139">
        <f t="shared" si="431"/>
        <v>658.17190000000005</v>
      </c>
      <c r="AX89" s="149">
        <f t="shared" si="432"/>
        <v>294.27386722990002</v>
      </c>
      <c r="AY89" s="149">
        <f t="shared" si="433"/>
        <v>160.42090195659154</v>
      </c>
      <c r="AZ89" s="150">
        <f t="shared" si="434"/>
        <v>0.4471079169893154</v>
      </c>
      <c r="BA89" s="139" t="str">
        <f>Input!B89</f>
        <v>Hu1-13</v>
      </c>
      <c r="BB89" s="151">
        <f>Input!E89</f>
        <v>0</v>
      </c>
      <c r="BC89" s="139">
        <f>((U89-1)*EXP(Constants!$B$17*AW89*1000))*1000</f>
        <v>3.553788777029014</v>
      </c>
      <c r="BD89" s="145">
        <f>SQRT((EXP(Constants!$B$17*AW89*1000)*V89)^2+((U89-1)*Constants!$B$17*EXP(Constants!$B$17*AW89*1000)*AY89*1000)^2)*1000</f>
        <v>9.7030726029497973</v>
      </c>
      <c r="BE89" s="139">
        <f t="shared" si="435"/>
        <v>658113.9</v>
      </c>
      <c r="BF89" s="152">
        <f t="shared" si="436"/>
        <v>80210.450978295761</v>
      </c>
      <c r="BG89" s="161">
        <f t="shared" si="437"/>
        <v>24.373708746391561</v>
      </c>
      <c r="BH89" s="139"/>
      <c r="BI89" s="18"/>
      <c r="BJ89" s="18"/>
      <c r="BK89" s="18"/>
      <c r="BL89" s="18"/>
      <c r="BM89" s="18"/>
      <c r="BN89" s="160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10975</v>
      </c>
      <c r="B90" s="18" t="str">
        <f>Input!B90</f>
        <v>EO-C-69</v>
      </c>
      <c r="C90" s="18">
        <f>Input!O90</f>
        <v>1.6824084844101703</v>
      </c>
      <c r="D90" s="18">
        <f>C90*Input!P90/100</f>
        <v>4.4514779266589446E-3</v>
      </c>
      <c r="E90" s="153">
        <f>Input!M90</f>
        <v>2.2093651405425705</v>
      </c>
      <c r="F90" s="154">
        <f>E90*Input!N90/100</f>
        <v>1.2516819282719225E-4</v>
      </c>
      <c r="G90" s="21">
        <f>E90*137.88</f>
        <v>304.6272655780096</v>
      </c>
      <c r="H90" s="154">
        <f>G90*Input!L90/100</f>
        <v>9.4966746870359213E-3</v>
      </c>
      <c r="I90" s="18">
        <v>0.3</v>
      </c>
      <c r="J90" s="130">
        <f>(((C90*Constants!$B$24*0.000000001*Input!G90*(Constants!$B$4/Constants!$B$3))-(I90*0.000000000000001))/Input!F90)*1000000000000</f>
        <v>57.587282240405827</v>
      </c>
      <c r="K90" s="18">
        <f>J90*Input!P90/100</f>
        <v>0.15236996135294545</v>
      </c>
      <c r="L90" s="135">
        <f>(J90/Constants!$B$4)*602200000000*Constants!$B$17/(365.2425*24*60)</f>
        <v>0.79505637134285134</v>
      </c>
      <c r="M90" s="133">
        <f>L90*Input!P90/100</f>
        <v>2.1036364951066248E-3</v>
      </c>
      <c r="N90" s="18">
        <v>5.0000000000000001E-3</v>
      </c>
      <c r="O90" s="130">
        <f>(((G90*Constants!$B$23*0.000000001*Input!G90*(Constants!$B$7/Constants!$B$6))-(N90*0.000000001))/Input!F90)*1000000</f>
        <v>1.0503814850105311</v>
      </c>
      <c r="P90" s="18">
        <f>O90*Input!N90/100</f>
        <v>5.9507751727097289E-5</v>
      </c>
      <c r="Q90" s="131">
        <f>(O90/Constants!$B$7)*602200000000000000*Constants!$B$18/(365.2425*24*60)</f>
        <v>0.78371143027518642</v>
      </c>
      <c r="R90" s="132">
        <f>Q90*Input!N90/100</f>
        <v>4.439996885325576E-5</v>
      </c>
      <c r="S90" s="133">
        <f>Input!S90*Constants!$B$17/Constants!$B$18</f>
        <v>1.0114859171134847</v>
      </c>
      <c r="T90" s="18">
        <f>S90*Input!T90/100</f>
        <v>6.6071326731026632E-4</v>
      </c>
      <c r="U90" s="18">
        <f>S90*1/((U89+U91)/2)</f>
        <v>1.0109863862105051</v>
      </c>
      <c r="V90" s="18">
        <f>U90*Input!T90/100</f>
        <v>6.6038696845682103E-4</v>
      </c>
      <c r="W90" s="134">
        <v>3.0000000000000001E-3</v>
      </c>
      <c r="X90" s="130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6.0419876623099715E-2</v>
      </c>
      <c r="Y90" s="130">
        <f>X90*Input!X90/100</f>
        <v>1.5890867750543945E-4</v>
      </c>
      <c r="Z90" s="130">
        <f>(X90/Constants!$B$11)*6.022E+23*0.000000001*Constants!$B$19/(365.2425*24*60)</f>
        <v>1.4750445181623156E-5</v>
      </c>
      <c r="AA90" s="130">
        <f>Z90*Input!X90/100</f>
        <v>3.8794745494929893E-8</v>
      </c>
      <c r="AB90" s="135">
        <v>0.05</v>
      </c>
      <c r="AC90" s="135">
        <v>0</v>
      </c>
      <c r="AD90" s="130">
        <f>(((Input!G90*Constants!$B$25*0.000000001*Input!U90*(Constants!$B$10/Constants!$B$9))-((AB90*0.000000000000001)+(Input!G90*AC90*0.000000000000001)))/Input!F90)*1000000000000</f>
        <v>0.14036269070837573</v>
      </c>
      <c r="AE90" s="130">
        <f>AD90*Input!V90/100</f>
        <v>1.4107094536638088E-3</v>
      </c>
      <c r="AF90" s="130">
        <f>(AD90/Constants!$B$10)*602200000000*Constants!$B$16/(365.2425*24*60)</f>
        <v>6.4069488448425093E-3</v>
      </c>
      <c r="AG90" s="130">
        <f>AF90*Input!V90/100</f>
        <v>6.4392776021501632E-5</v>
      </c>
      <c r="AH90" s="18">
        <f>AF90/Z90</f>
        <v>434.35630355242478</v>
      </c>
      <c r="AI90" s="134">
        <f>AH90*SQRT((AG90/AF90)^2+(AA90/Z90)^2)</f>
        <v>4.5124792697962484</v>
      </c>
      <c r="AJ90" s="133">
        <f t="shared" si="421"/>
        <v>10.986386210505072</v>
      </c>
      <c r="AK90" s="134">
        <f>V90*1000</f>
        <v>0.66038696845682099</v>
      </c>
      <c r="AL90" s="134">
        <f>AF90/Q90</f>
        <v>8.1751376812161883E-3</v>
      </c>
      <c r="AM90" s="134">
        <f>AL90*SQRT((R90/Q90)^2+(AG90/AF90)^2)</f>
        <v>8.2165190599160393E-5</v>
      </c>
      <c r="AN90" s="18">
        <f>AL90*1/((AN89+AN91)/2)</f>
        <v>8.1857079654436629E-3</v>
      </c>
      <c r="AO90" s="130">
        <f>AN90*SQRT((R90/Q90)^2+(AG90/AF90)^2)</f>
        <v>8.2271428494117601E-5</v>
      </c>
      <c r="AP90" s="18">
        <f>ThU_Alter_Kombi(AN90,U90)</f>
        <v>0.88649999999999995</v>
      </c>
      <c r="AQ90" s="18">
        <f t="shared" si="427"/>
        <v>8.2000000000000007E-3</v>
      </c>
      <c r="AR90" s="155">
        <f>(AQ90/AP90)</f>
        <v>9.24985899605189E-3</v>
      </c>
      <c r="AS90" s="132">
        <f t="shared" si="428"/>
        <v>1.8821270957403031E-5</v>
      </c>
      <c r="AT90" s="132">
        <f t="shared" si="429"/>
        <v>4.9512796829631439E-8</v>
      </c>
      <c r="AU90" s="18">
        <v>0.75</v>
      </c>
      <c r="AV90" s="18">
        <f>AU90/2</f>
        <v>0.375</v>
      </c>
      <c r="AW90" s="18">
        <f t="shared" si="431"/>
        <v>0.88500000000000001</v>
      </c>
      <c r="AX90" s="136">
        <f t="shared" si="432"/>
        <v>9.5611432999999999E-3</v>
      </c>
      <c r="AY90" s="136">
        <f t="shared" si="433"/>
        <v>9.0095780629600181E-3</v>
      </c>
      <c r="AZ90" s="155">
        <f t="shared" si="434"/>
        <v>1.0803551751412429E-2</v>
      </c>
      <c r="BA90" s="18" t="str">
        <f>Input!B90</f>
        <v>EO-C-69</v>
      </c>
      <c r="BB90" s="137">
        <f>Input!E90</f>
        <v>69</v>
      </c>
      <c r="BC90" s="18">
        <f>((U90-1)*EXP(Constants!$B$17*AW90*1000))*1000</f>
        <v>11.013859256854737</v>
      </c>
      <c r="BD90" s="133">
        <f>SQRT((EXP(Constants!$B$17*AW90*1000)*V90)^2+((U90-1)*Constants!$B$17*EXP(Constants!$B$17*AW90*1000)*AY90*1000)^2)*1000</f>
        <v>0.66203842072852381</v>
      </c>
      <c r="BE90" s="18">
        <f t="shared" si="435"/>
        <v>827</v>
      </c>
      <c r="BF90" s="138">
        <f t="shared" si="436"/>
        <v>4.5047890314800094</v>
      </c>
      <c r="BG90" s="20">
        <f t="shared" si="437"/>
        <v>1.018031419543505</v>
      </c>
      <c r="BH90" s="18"/>
      <c r="BI90" s="18"/>
      <c r="BJ90" s="18"/>
      <c r="BK90" s="18"/>
      <c r="BL90" s="18"/>
      <c r="BM90" s="18"/>
      <c r="BN90" s="160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9">
        <f>Input!A91</f>
        <v>10815</v>
      </c>
      <c r="B91" s="139" t="str">
        <f>Input!B91</f>
        <v>Hu1-13</v>
      </c>
      <c r="C91" s="139">
        <f>Input!O91</f>
        <v>2.1111553963969691</v>
      </c>
      <c r="D91" s="139">
        <f>C91*Input!P91/100</f>
        <v>2.1386099235358343E-2</v>
      </c>
      <c r="E91" s="140">
        <f>Input!M91</f>
        <v>2.7316369034936909</v>
      </c>
      <c r="F91" s="141">
        <f>E91*Input!N91/100</f>
        <v>3.534329745744076E-4</v>
      </c>
      <c r="G91" s="142">
        <f t="shared" ref="G91" si="456">E91*137.88</f>
        <v>376.6380962537101</v>
      </c>
      <c r="H91" s="141">
        <f>G91*Input!L91/100</f>
        <v>2.0215790382991407E-2</v>
      </c>
      <c r="I91" s="139">
        <v>0</v>
      </c>
      <c r="J91" s="143">
        <f>(((C91*Constants!$B$24*0.000000001*Input!G91*(Constants!$B$4/Constants!$B$3))-(I91*0.000000000000001))/Input!F91)*1000000000000</f>
        <v>762.20635655053559</v>
      </c>
      <c r="K91" s="139">
        <f>J91*Input!P91/100</f>
        <v>7.7211847156444966</v>
      </c>
      <c r="L91" s="144">
        <f>(J91/Constants!$B$4)*602200000000*Constants!$B$17/(365.2425*24*60)</f>
        <v>10.52310504120873</v>
      </c>
      <c r="M91" s="145">
        <f>L91*Input!P91/100</f>
        <v>0.10659952794544207</v>
      </c>
      <c r="N91" s="139">
        <v>0</v>
      </c>
      <c r="O91" s="143">
        <f>(((G91*Constants!$B$23*0.000000001*Input!G91*(Constants!$B$7/Constants!$B$6))-(N91*0.000000001))/Input!F91)*1000000</f>
        <v>13.698029943346988</v>
      </c>
      <c r="P91" s="139">
        <f>O91*Input!N91/100</f>
        <v>1.7723202752512573E-3</v>
      </c>
      <c r="Q91" s="146">
        <f>(O91/Constants!$B$7)*602200000000000000*Constants!$B$18/(365.2425*24*60)</f>
        <v>10.220384490826365</v>
      </c>
      <c r="R91" s="147">
        <f>Q91*Input!N91/100</f>
        <v>1.3223649480159571E-3</v>
      </c>
      <c r="S91" s="145">
        <f>Input!S91*Constants!$B$17/Constants!$B$18</f>
        <v>1.0004335374224504</v>
      </c>
      <c r="T91" s="139">
        <f>S91*Input!T91/100</f>
        <v>2.0037336703829785E-3</v>
      </c>
      <c r="U91" s="145">
        <f>S91</f>
        <v>1.0004335374224504</v>
      </c>
      <c r="V91" s="139">
        <f>U91*Input!T91/100</f>
        <v>2.0037336703829785E-3</v>
      </c>
      <c r="W91" s="148">
        <v>0</v>
      </c>
      <c r="X91" s="143">
        <f>(((Constants!$B$25*0.000000001*Input!G91/Input!W91*(Constants!$B$11/Constants!$B$9))-(W91*0.000000001))/Input!F91)*1000000000</f>
        <v>0.95343191829028939</v>
      </c>
      <c r="Y91" s="143">
        <f>X91*Input!X91/100</f>
        <v>6.8415494499160382E-3</v>
      </c>
      <c r="Z91" s="143">
        <f>(X91/Constants!$B$11)*6.022E+23*0.000000001*Constants!$B$19/(365.2425*24*60)</f>
        <v>2.3276355449845375E-4</v>
      </c>
      <c r="AA91" s="143">
        <f>Z91*Input!X91/100</f>
        <v>1.6702433993347221E-6</v>
      </c>
      <c r="AB91" s="144">
        <v>0</v>
      </c>
      <c r="AC91" s="144">
        <v>0</v>
      </c>
      <c r="AD91" s="143">
        <f>(((Input!G91*Constants!$B$25*0.000000001*Input!U91*(Constants!$B$10/Constants!$B$9))-((AB91*0.000000000000001)+(Input!G91*AC91*0.000000000000001)))/Input!F91)*1000000000000</f>
        <v>223.68756959209378</v>
      </c>
      <c r="AE91" s="143">
        <f>AD91*Input!V91/100</f>
        <v>0.73585545088483217</v>
      </c>
      <c r="AF91" s="143">
        <f>(AD91/Constants!$B$10)*602200000000*Constants!$B$16/(365.2425*24*60)</f>
        <v>10.21036864120313</v>
      </c>
      <c r="AG91" s="143">
        <f>AF91*Input!V91/100</f>
        <v>3.3588613948794227E-2</v>
      </c>
      <c r="AH91" s="139">
        <f t="shared" ref="AH91" si="457">AF91/Z91</f>
        <v>43865.839148245854</v>
      </c>
      <c r="AI91" s="148">
        <f t="shared" ref="AI91" si="458">AH91*SQRT((AG91/AF91)^2+(AA91/Z91)^2)</f>
        <v>346.2697122088303</v>
      </c>
      <c r="AJ91" s="145">
        <f t="shared" si="421"/>
        <v>0.43353742245044735</v>
      </c>
      <c r="AK91" s="148">
        <f t="shared" ref="AK91" si="459">V91*1000</f>
        <v>2.0037336703829784</v>
      </c>
      <c r="AL91" s="148">
        <f t="shared" ref="AL91" si="460">AF91/Q91</f>
        <v>0.99902001244354111</v>
      </c>
      <c r="AM91" s="148">
        <f t="shared" ref="AM91" si="461">AL91*SQRT((R91/Q91)^2+(AG91/AF91)^2)</f>
        <v>3.2889744343861985E-3</v>
      </c>
      <c r="AN91" s="139">
        <f>AF91/Q91</f>
        <v>0.99902001244354111</v>
      </c>
      <c r="AO91" s="143">
        <f t="shared" ref="AO91" si="462">AN91*SQRT((R91/Q91)^2+(AG91/AF91)^2)</f>
        <v>3.2889744343861985E-3</v>
      </c>
      <c r="AP91" s="139">
        <f t="shared" ref="AP91" si="463">ThU_Alter_Kombi(AN91,U91)</f>
        <v>702.07529999999997</v>
      </c>
      <c r="AQ91" s="139" t="e">
        <f t="shared" si="427"/>
        <v>#VALUE!</v>
      </c>
      <c r="AR91" s="139" t="e">
        <f>(AQ91/AP91)*100</f>
        <v>#VALUE!</v>
      </c>
      <c r="AS91" s="147">
        <f t="shared" si="428"/>
        <v>2.2774442067945502E-5</v>
      </c>
      <c r="AT91" s="147">
        <f t="shared" si="429"/>
        <v>1.6344931938426882E-7</v>
      </c>
      <c r="AU91" s="139">
        <v>0.75</v>
      </c>
      <c r="AV91" s="139">
        <f t="shared" ref="AV91" si="464">AU91/2</f>
        <v>0.375</v>
      </c>
      <c r="AW91" s="139">
        <f t="shared" si="431"/>
        <v>702.07339999999999</v>
      </c>
      <c r="AX91" s="149">
        <f t="shared" si="432"/>
        <v>321.3435580094</v>
      </c>
      <c r="AY91" s="149">
        <f t="shared" si="433"/>
        <v>294.24687551259495</v>
      </c>
      <c r="AZ91" s="150">
        <f t="shared" si="434"/>
        <v>0.45770649907744687</v>
      </c>
      <c r="BA91" s="139" t="str">
        <f>Input!B91</f>
        <v>Hu1-13</v>
      </c>
      <c r="BB91" s="151">
        <f>Input!E91</f>
        <v>0</v>
      </c>
      <c r="BC91" s="139">
        <f>((U91-1)*EXP(Constants!$B$17*AW91*1000))*1000</f>
        <v>3.1440635863081643</v>
      </c>
      <c r="BD91" s="145">
        <f>SQRT((EXP(Constants!$B$17*AW91*1000)*V91)^2+((U91-1)*Constants!$B$17*EXP(Constants!$B$17*AW91*1000)*AY91*1000)^2)*1000</f>
        <v>14.763978958179875</v>
      </c>
      <c r="BE91" s="139">
        <f t="shared" si="435"/>
        <v>702015.4</v>
      </c>
      <c r="BF91" s="152">
        <f t="shared" si="436"/>
        <v>147123.43775629747</v>
      </c>
      <c r="BG91" s="161">
        <f t="shared" si="437"/>
        <v>41.911127171688165</v>
      </c>
      <c r="BH91" s="139"/>
      <c r="BI91" s="18"/>
      <c r="BJ91" s="18"/>
      <c r="BK91" s="18"/>
      <c r="BL91" s="18"/>
      <c r="BM91" s="18"/>
      <c r="BN91" s="160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10976</v>
      </c>
      <c r="B92" s="18" t="str">
        <f>Input!B92</f>
        <v>EO-C-105,5</v>
      </c>
      <c r="C92" s="18">
        <f>Input!O92</f>
        <v>1.7636902623846278</v>
      </c>
      <c r="D92" s="18">
        <f>C92*Input!P92/100</f>
        <v>4.1900924874561964E-3</v>
      </c>
      <c r="E92" s="153">
        <f>Input!M92</f>
        <v>2.3119375273997975</v>
      </c>
      <c r="F92" s="154">
        <f>E92*Input!N92/100</f>
        <v>1.1577022411945651E-4</v>
      </c>
      <c r="G92" s="21">
        <f>E92*137.88</f>
        <v>318.76994627788406</v>
      </c>
      <c r="H92" s="154">
        <f>G92*Input!L92/100</f>
        <v>1.0969540552452983E-2</v>
      </c>
      <c r="I92" s="18">
        <v>0.3</v>
      </c>
      <c r="J92" s="130">
        <f>(((C92*Constants!$B$24*0.000000001*Input!G92*(Constants!$B$4/Constants!$B$3))-(I92*0.000000000000001))/Input!F92)*1000000000000</f>
        <v>62.167224411205602</v>
      </c>
      <c r="K92" s="18">
        <f>J92*Input!P92/100</f>
        <v>0.14769397185376584</v>
      </c>
      <c r="L92" s="135">
        <f>(J92/Constants!$B$4)*602200000000*Constants!$B$17/(365.2425*24*60)</f>
        <v>0.85828755818849956</v>
      </c>
      <c r="M92" s="133">
        <f>L92*Input!P92/100</f>
        <v>2.0390792682499197E-3</v>
      </c>
      <c r="N92" s="18">
        <v>5.0000000000000001E-3</v>
      </c>
      <c r="O92" s="130">
        <f>(((G92*Constants!$B$23*0.000000001*Input!G92*(Constants!$B$7/Constants!$B$6))-(N92*0.000000001))/Input!F92)*1000000</f>
        <v>1.1318778254377848</v>
      </c>
      <c r="P92" s="18">
        <f>O92*Input!N92/100</f>
        <v>5.6678758821892422E-5</v>
      </c>
      <c r="Q92" s="131">
        <f>(O92/Constants!$B$7)*602200000000000000*Constants!$B$18/(365.2425*24*60)</f>
        <v>0.84451754160701009</v>
      </c>
      <c r="R92" s="132">
        <f>Q92*Input!N92/100</f>
        <v>4.2289198521128065E-5</v>
      </c>
      <c r="S92" s="133">
        <f>Input!S92*Constants!$B$17/Constants!$B$18</f>
        <v>1.0127266918911624</v>
      </c>
      <c r="T92" s="18">
        <f>S92*Input!T92/100</f>
        <v>6.25670680848107E-4</v>
      </c>
      <c r="U92" s="18">
        <f>S92*1/((U91+U93)/2)</f>
        <v>1.0125310537678927</v>
      </c>
      <c r="V92" s="18">
        <f>U92*Input!T92/100</f>
        <v>6.2554981404488552E-4</v>
      </c>
      <c r="W92" s="134">
        <v>3.0000000000000001E-3</v>
      </c>
      <c r="X92" s="130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3.0934691230020926E-2</v>
      </c>
      <c r="Y92" s="130">
        <f>X92*Input!X92/100</f>
        <v>1.0384391909267533E-4</v>
      </c>
      <c r="Z92" s="130">
        <f>(X92/Constants!$B$11)*6.022E+23*0.000000001*Constants!$B$19/(365.2425*24*60)</f>
        <v>7.5521582085523429E-6</v>
      </c>
      <c r="AA92" s="130">
        <f>Z92*Input!X92/100</f>
        <v>2.5351657792624518E-8</v>
      </c>
      <c r="AB92" s="135">
        <v>0.05</v>
      </c>
      <c r="AC92" s="135">
        <v>0</v>
      </c>
      <c r="AD92" s="130">
        <f>(((Input!G92*Constants!$B$25*0.000000001*Input!U92*(Constants!$B$10/Constants!$B$9))-((AB92*0.000000000000001)+(Input!G92*AC92*0.000000000000001)))/Input!F92)*1000000000000</f>
        <v>0.18373136771217721</v>
      </c>
      <c r="AE92" s="130">
        <f>AD92*Input!V92/100</f>
        <v>1.4596662990192023E-3</v>
      </c>
      <c r="AF92" s="130">
        <f>(AD92/Constants!$B$10)*602200000000*Constants!$B$16/(365.2425*24*60)</f>
        <v>8.3865410970967117E-3</v>
      </c>
      <c r="AG92" s="130">
        <f>AF92*Input!V92/100</f>
        <v>6.6627443953655723E-5</v>
      </c>
      <c r="AH92" s="18">
        <f>AF92/Z92</f>
        <v>1110.4827077906662</v>
      </c>
      <c r="AI92" s="134">
        <f>AH92*SQRT((AG92/AF92)^2+(AA92/Z92)^2)</f>
        <v>9.5775365877907568</v>
      </c>
      <c r="AJ92" s="133">
        <f t="shared" ref="AJ92:AJ97" si="465">(U92-1)*1000</f>
        <v>12.531053767892653</v>
      </c>
      <c r="AK92" s="134">
        <f>V92*1000</f>
        <v>0.62554981404488552</v>
      </c>
      <c r="AL92" s="134">
        <f>AF92/Q92</f>
        <v>9.9305706322430961E-3</v>
      </c>
      <c r="AM92" s="134">
        <f>AL92*SQRT((R92/Q92)^2+(AG92/AF92)^2)</f>
        <v>7.8895658359455585E-5</v>
      </c>
      <c r="AN92" s="18">
        <f>AL92*1/((AN91+AN93)/2)</f>
        <v>9.9362619254129581E-3</v>
      </c>
      <c r="AO92" s="130">
        <f>AN92*SQRT((R92/Q92)^2+(AG92/AF92)^2)</f>
        <v>7.8940874121790033E-5</v>
      </c>
      <c r="AP92" s="18">
        <f>ThU_Alter_Kombi(AN92,U92)</f>
        <v>1.0753999999999999</v>
      </c>
      <c r="AQ92" s="18">
        <f t="shared" ref="AQ92:AQ97" si="466">Montealter(AN92,AO92,U92,V92)</f>
        <v>9.7999999999999997E-3</v>
      </c>
      <c r="AR92" s="155">
        <f>(AQ92/AP92)</f>
        <v>9.1128882276362289E-3</v>
      </c>
      <c r="AS92" s="132">
        <f t="shared" ref="AS92:AS97" si="467">Z92/Q92</f>
        <v>8.9425711562859208E-6</v>
      </c>
      <c r="AT92" s="132">
        <f t="shared" ref="AT92:AT97" si="468">AS92*SQRT((Y92/X92)^2+(P92/O92)^2)</f>
        <v>3.0022441245589117E-8</v>
      </c>
      <c r="AU92" s="18">
        <v>0.75</v>
      </c>
      <c r="AV92" s="18">
        <f>AU92/2</f>
        <v>0.375</v>
      </c>
      <c r="AW92" s="18">
        <f t="shared" ref="AW92:AW97" si="469">marincorr_age(AN92,U92,AS92,AU92)</f>
        <v>1.0746</v>
      </c>
      <c r="AX92" s="136">
        <f t="shared" ref="AX92:AX97" si="470">marincorr_age_error(AN92, AO92, U92, V92, AS92, AT92, AU92, AV92)</f>
        <v>9.1604340000000003E-3</v>
      </c>
      <c r="AY92" s="136">
        <f t="shared" ref="AY92:AY97" si="471">SQRT(((AU92*EXP(-0.0000091577*AW92*1000))/(0.0000091577*(EXP(-0.0000091577*AW92*1000)+(AJ92/1000)*EXP(-(0.0000091577-0.0000028263)*AW92*1000)-AS92*AU92*EXP(-0.0000091577*AW92*1000))))^2*AT92^2+((AS92*EXP(-0.0000091577*AW92*1000))/(0.0000091577*(EXP(-0.0000091577*AW92*1000)+(AJ92/1000)*EXP(-(0.0000091577-0.0000028263)*AW92*1000)-AS92*AU92*EXP(-0.0000091577*AW92*1000))))^2*AV92^2+((0.0000091577/(0.0000091577-0.0000028263))*(EXP(-(0.0000091577-0.0000028263)*AW92*1000)-1)/(0.0000091577*(EXP(-0.0000091577*AW92*1000)+(AJ92/1000)*EXP(-(0.0000091577-0.0000028263)*AW92*1000)-AS92*AU92*EXP(-0.0000091577*AW92*1000))))^2*T92^2+(1/(0.0000091577*(EXP(-0.0000091577*AW92*1000)+(AJ92/1000)*EXP(-(0.0000091577-0.0000028263)*AW92*1000)-AS92*AU92*EXP(-0.0000091577*AW92*1000))))^2*AO92^2)/1000</f>
        <v>8.6309231277869533E-3</v>
      </c>
      <c r="AZ92" s="155">
        <f t="shared" ref="AZ92:AZ97" si="472">AX92/AW92</f>
        <v>8.524505862646567E-3</v>
      </c>
      <c r="BA92" s="18" t="str">
        <f>Input!B92</f>
        <v>EO-C-105,5</v>
      </c>
      <c r="BB92" s="137">
        <f>Input!E92</f>
        <v>105.5</v>
      </c>
      <c r="BC92" s="18">
        <f>((U92-1)*EXP(Constants!$B$17*AW92*1000))*1000</f>
        <v>12.569112941739238</v>
      </c>
      <c r="BD92" s="133">
        <f>SQRT((EXP(Constants!$B$17*AW92*1000)*V92)^2+((U92-1)*Constants!$B$17*EXP(Constants!$B$17*AW92*1000)*AY92*1000)^2)*1000</f>
        <v>0.62744980150604701</v>
      </c>
      <c r="BE92" s="18">
        <f t="shared" ref="BE92:BE97" si="473">AW92*1000-58</f>
        <v>1016.5999999999999</v>
      </c>
      <c r="BF92" s="138">
        <f t="shared" ref="BF92:BF97" si="474">AY92/2*1000</f>
        <v>4.3154615638934768</v>
      </c>
      <c r="BG92" s="20">
        <f t="shared" ref="BG92:BG97" si="475">AY92/AW92*100</f>
        <v>0.80317542599915803</v>
      </c>
      <c r="BH92" s="18"/>
      <c r="BI92" s="18"/>
      <c r="BJ92" s="18"/>
      <c r="BK92" s="18"/>
      <c r="BL92" s="18"/>
      <c r="BM92" s="18"/>
      <c r="BN92" s="160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9">
        <f>Input!A93</f>
        <v>10815</v>
      </c>
      <c r="B93" s="139" t="str">
        <f>Input!B93</f>
        <v>Hu1-13</v>
      </c>
      <c r="C93" s="139">
        <f>Input!O93</f>
        <v>2.0670439891529506</v>
      </c>
      <c r="D93" s="139">
        <f>C93*Input!P93/100</f>
        <v>2.1561026044222376E-2</v>
      </c>
      <c r="E93" s="140">
        <f>Input!M93</f>
        <v>2.7317765604839144</v>
      </c>
      <c r="F93" s="141">
        <f>E93*Input!N93/100</f>
        <v>4.3888608503800559E-4</v>
      </c>
      <c r="G93" s="142">
        <f t="shared" ref="G93" si="476">E93*137.88</f>
        <v>376.65735215952208</v>
      </c>
      <c r="H93" s="141">
        <f>G93*Input!L93/100</f>
        <v>2.8942421801774965E-2</v>
      </c>
      <c r="I93" s="139">
        <v>0</v>
      </c>
      <c r="J93" s="143">
        <f>(((C93*Constants!$B$24*0.000000001*Input!G93*(Constants!$B$4/Constants!$B$3))-(I93*0.000000000000001))/Input!F93)*1000000000000</f>
        <v>746.28048247458571</v>
      </c>
      <c r="K93" s="139">
        <f>J93*Input!P93/100</f>
        <v>7.7843398608672594</v>
      </c>
      <c r="L93" s="144">
        <f>(J93/Constants!$B$4)*602200000000*Constants!$B$17/(365.2425*24*60)</f>
        <v>10.303230666855919</v>
      </c>
      <c r="M93" s="145">
        <f>L93*Input!P93/100</f>
        <v>0.10747145484733724</v>
      </c>
      <c r="N93" s="139">
        <v>0</v>
      </c>
      <c r="O93" s="143">
        <f>(((G93*Constants!$B$23*0.000000001*Input!G93*(Constants!$B$7/Constants!$B$6))-(N93*0.000000001))/Input!F93)*1000000</f>
        <v>13.698730265425457</v>
      </c>
      <c r="P93" s="139">
        <f>O93*Input!N93/100</f>
        <v>2.2008323020090647E-3</v>
      </c>
      <c r="Q93" s="146">
        <f>(O93/Constants!$B$7)*602200000000000000*Constants!$B$18/(365.2425*24*60)</f>
        <v>10.220907015666723</v>
      </c>
      <c r="R93" s="147">
        <f>Q93*Input!N93/100</f>
        <v>1.6420866664324935E-3</v>
      </c>
      <c r="S93" s="145">
        <f>Input!S93*Constants!$B$17/Constants!$B$18</f>
        <v>0.99995289640106844</v>
      </c>
      <c r="T93" s="139">
        <f>S93*Input!T93/100</f>
        <v>1.7123020010106104E-3</v>
      </c>
      <c r="U93" s="145">
        <f>S93</f>
        <v>0.99995289640106844</v>
      </c>
      <c r="V93" s="139">
        <f>U93*Input!T93/100</f>
        <v>1.7123020010106104E-3</v>
      </c>
      <c r="W93" s="148">
        <v>0</v>
      </c>
      <c r="X93" s="143">
        <f>(((Constants!$B$25*0.000000001*Input!G93/Input!W93*(Constants!$B$11/Constants!$B$9))-(W93*0.000000001))/Input!F93)*1000000000</f>
        <v>0.95828594088461205</v>
      </c>
      <c r="Y93" s="143">
        <f>X93*Input!X93/100</f>
        <v>5.7850927580718149E-3</v>
      </c>
      <c r="Z93" s="143">
        <f>(X93/Constants!$B$11)*6.022E+23*0.000000001*Constants!$B$19/(365.2425*24*60)</f>
        <v>2.3394857833811749E-4</v>
      </c>
      <c r="AA93" s="143">
        <f>Z93*Input!X93/100</f>
        <v>1.4123281669515862E-6</v>
      </c>
      <c r="AB93" s="144">
        <v>0</v>
      </c>
      <c r="AC93" s="144">
        <v>0</v>
      </c>
      <c r="AD93" s="143">
        <f>(((Input!G93*Constants!$B$25*0.000000001*Input!U93*(Constants!$B$10/Constants!$B$9))-((AB93*0.000000000000001)+(Input!G93*AC93*0.000000000000001)))/Input!F93)*1000000000000</f>
        <v>223.88136830338402</v>
      </c>
      <c r="AE93" s="143">
        <f>AD93*Input!V93/100</f>
        <v>0.64181235854657426</v>
      </c>
      <c r="AF93" s="143">
        <f>(AD93/Constants!$B$10)*602200000000*Constants!$B$16/(365.2425*24*60)</f>
        <v>10.219214712927508</v>
      </c>
      <c r="AG93" s="143">
        <f>AF93*Input!V93/100</f>
        <v>2.9295954134557253E-2</v>
      </c>
      <c r="AH93" s="139">
        <f t="shared" ref="AH93" si="477">AF93/Z93</f>
        <v>43681.456777899475</v>
      </c>
      <c r="AI93" s="148">
        <f t="shared" ref="AI93" si="478">AH93*SQRT((AG93/AF93)^2+(AA93/Z93)^2)</f>
        <v>291.92365193590302</v>
      </c>
      <c r="AJ93" s="145">
        <f t="shared" si="465"/>
        <v>-4.7103598931563795E-2</v>
      </c>
      <c r="AK93" s="148">
        <f t="shared" ref="AK93" si="479">V93*1000</f>
        <v>1.7123020010106105</v>
      </c>
      <c r="AL93" s="148">
        <f t="shared" ref="AL93" si="480">AF93/Q93</f>
        <v>0.99983442734224848</v>
      </c>
      <c r="AM93" s="148">
        <f t="shared" ref="AM93" si="481">AL93*SQRT((R93/Q93)^2+(AG93/AF93)^2)</f>
        <v>2.8707749342794363E-3</v>
      </c>
      <c r="AN93" s="139">
        <f>AF93/Q93</f>
        <v>0.99983442734224848</v>
      </c>
      <c r="AO93" s="143">
        <f t="shared" ref="AO93" si="482">AN93*SQRT((R93/Q93)^2+(AG93/AF93)^2)</f>
        <v>2.8707749342794363E-3</v>
      </c>
      <c r="AP93" s="139" t="str">
        <f t="shared" ref="AP93" si="483">ThU_Alter_Kombi(AN93,U93)</f>
        <v>Out of range</v>
      </c>
      <c r="AQ93" s="139" t="e">
        <f t="shared" si="466"/>
        <v>#VALUE!</v>
      </c>
      <c r="AR93" s="139" t="e">
        <f>(AQ93/AP93)*100</f>
        <v>#VALUE!</v>
      </c>
      <c r="AS93" s="147">
        <f t="shared" si="467"/>
        <v>2.2889218929349266E-5</v>
      </c>
      <c r="AT93" s="147">
        <f t="shared" si="468"/>
        <v>1.3822924058310977E-7</v>
      </c>
      <c r="AU93" s="139">
        <v>0.75</v>
      </c>
      <c r="AV93" s="139">
        <f t="shared" ref="AV93" si="484">AU93/2</f>
        <v>0.375</v>
      </c>
      <c r="AW93" s="139" t="str">
        <f t="shared" si="469"/>
        <v>Out of range</v>
      </c>
      <c r="AX93" s="149">
        <f t="shared" si="470"/>
        <v>335.98487202389998</v>
      </c>
      <c r="AY93" s="149" t="e">
        <f t="shared" si="471"/>
        <v>#VALUE!</v>
      </c>
      <c r="AZ93" s="150" t="e">
        <f t="shared" si="472"/>
        <v>#VALUE!</v>
      </c>
      <c r="BA93" s="139" t="str">
        <f>Input!B93</f>
        <v>Hu1-13</v>
      </c>
      <c r="BB93" s="151">
        <f>Input!E93</f>
        <v>0</v>
      </c>
      <c r="BC93" s="139" t="e">
        <f>((U93-1)*EXP(Constants!$B$17*AW93*1000))*1000</f>
        <v>#VALUE!</v>
      </c>
      <c r="BD93" s="145" t="e">
        <f>SQRT((EXP(Constants!$B$17*AW93*1000)*V93)^2+((U93-1)*Constants!$B$17*EXP(Constants!$B$17*AW93*1000)*AY93*1000)^2)*1000</f>
        <v>#VALUE!</v>
      </c>
      <c r="BE93" s="139" t="e">
        <f t="shared" si="473"/>
        <v>#VALUE!</v>
      </c>
      <c r="BF93" s="152" t="e">
        <f t="shared" si="474"/>
        <v>#VALUE!</v>
      </c>
      <c r="BG93" s="161" t="e">
        <f t="shared" si="475"/>
        <v>#VALUE!</v>
      </c>
      <c r="BH93" s="139"/>
      <c r="BI93" s="18"/>
      <c r="BJ93" s="18"/>
      <c r="BK93" s="18"/>
      <c r="BL93" s="18"/>
      <c r="BM93" s="18"/>
      <c r="BN93" s="160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10977</v>
      </c>
      <c r="B94" s="18" t="str">
        <f>Input!B94</f>
        <v>EO-C-117</v>
      </c>
      <c r="C94" s="18">
        <f>Input!O94</f>
        <v>0.67905900983874856</v>
      </c>
      <c r="D94" s="18">
        <f>C94*Input!P94/100</f>
        <v>2.383854660485614E-3</v>
      </c>
      <c r="E94" s="153">
        <f>Input!M94</f>
        <v>0.8868778427996451</v>
      </c>
      <c r="F94" s="154">
        <f>E94*Input!N94/100</f>
        <v>5.7824915375582727E-5</v>
      </c>
      <c r="G94" s="21">
        <f>E94*137.88</f>
        <v>122.28271696521506</v>
      </c>
      <c r="H94" s="154">
        <f>G94*Input!L94/100</f>
        <v>6.8401919600318897E-3</v>
      </c>
      <c r="I94" s="18">
        <v>0.3</v>
      </c>
      <c r="J94" s="130">
        <f>(((C94*Constants!$B$24*0.000000001*Input!G94*(Constants!$B$4/Constants!$B$3))-(I94*0.000000000000001))/Input!F94)*1000000000000</f>
        <v>29.042283451573677</v>
      </c>
      <c r="K94" s="18">
        <f>J94*Input!P94/100</f>
        <v>0.10195370616409068</v>
      </c>
      <c r="L94" s="135">
        <f>(J94/Constants!$B$4)*602200000000*Constants!$B$17/(365.2425*24*60)</f>
        <v>0.40096096912726936</v>
      </c>
      <c r="M94" s="133">
        <f>L94*Input!P94/100</f>
        <v>1.4075841143081872E-3</v>
      </c>
      <c r="N94" s="18">
        <v>5.0000000000000001E-3</v>
      </c>
      <c r="O94" s="130">
        <f>(((G94*Constants!$B$23*0.000000001*Input!G94*(Constants!$B$7/Constants!$B$6))-(N94*0.000000001))/Input!F94)*1000000</f>
        <v>0.52683368617156934</v>
      </c>
      <c r="P94" s="18">
        <f>O94*Input!N94/100</f>
        <v>3.4349841488552632E-5</v>
      </c>
      <c r="Q94" s="131">
        <f>(O94/Constants!$B$7)*602200000000000000*Constants!$B$18/(365.2425*24*60)</f>
        <v>0.39308154951201346</v>
      </c>
      <c r="R94" s="132">
        <f>Q94*Input!N94/100</f>
        <v>2.5629129784641643E-5</v>
      </c>
      <c r="S94" s="133">
        <f>Input!S94*Constants!$B$17/Constants!$B$18</f>
        <v>1.0153795428629762</v>
      </c>
      <c r="T94" s="18">
        <f>S94*Input!T94/100</f>
        <v>1.7094104941373029E-3</v>
      </c>
      <c r="U94" s="18">
        <f>S94*1/((U93+U95)/2)</f>
        <v>1.0156343315189207</v>
      </c>
      <c r="V94" s="18">
        <f>U94*Input!T94/100</f>
        <v>1.7098394356157088E-3</v>
      </c>
      <c r="W94" s="134">
        <v>3.0000000000000001E-3</v>
      </c>
      <c r="X94" s="130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0.91299721660683386</v>
      </c>
      <c r="Y94" s="130">
        <f>X94*Input!X94/100</f>
        <v>2.4230379649848449E-3</v>
      </c>
      <c r="Z94" s="130">
        <f>(X94/Constants!$B$11)*6.022E+23*0.000000001*Constants!$B$19/(365.2425*24*60)</f>
        <v>2.2289213661493777E-4</v>
      </c>
      <c r="AA94" s="130">
        <f>Z94*Input!X94/100</f>
        <v>5.9154190099481661E-7</v>
      </c>
      <c r="AB94" s="135">
        <v>0.05</v>
      </c>
      <c r="AC94" s="135">
        <v>0</v>
      </c>
      <c r="AD94" s="130">
        <f>(((Input!G94*Constants!$B$25*0.000000001*Input!U94*(Constants!$B$10/Constants!$B$9))-((AB94*0.000000000000001)+(Input!G94*AC94*0.000000000000001)))/Input!F94)*1000000000000</f>
        <v>0.13372121928946001</v>
      </c>
      <c r="AE94" s="130">
        <f>AD94*Input!V94/100</f>
        <v>2.8031646064691986E-3</v>
      </c>
      <c r="AF94" s="130">
        <f>(AD94/Constants!$B$10)*602200000000*Constants!$B$16/(365.2425*24*60)</f>
        <v>6.1037944423390413E-3</v>
      </c>
      <c r="AG94" s="130">
        <f>AF94*Input!V94/100</f>
        <v>1.2795232227797085E-4</v>
      </c>
      <c r="AH94" s="18">
        <f>AF94/Z94</f>
        <v>27.384521208497301</v>
      </c>
      <c r="AI94" s="134">
        <f>AH94*SQRT((AG94/AF94)^2+(AA94/Z94)^2)</f>
        <v>0.57863714336471184</v>
      </c>
      <c r="AJ94" s="133">
        <f t="shared" si="465"/>
        <v>15.634331518920686</v>
      </c>
      <c r="AK94" s="134">
        <f>V94*1000</f>
        <v>1.7098394356157087</v>
      </c>
      <c r="AL94" s="134">
        <f>AF94/Q94</f>
        <v>1.5528061416051011E-2</v>
      </c>
      <c r="AM94" s="134">
        <f>AL94*SQRT((R94/Q94)^2+(AG94/AF94)^2)</f>
        <v>3.2551245750501057E-4</v>
      </c>
      <c r="AN94" s="18">
        <f>AL94*1/((AN93+AN95)/2)</f>
        <v>1.5533332673163416E-2</v>
      </c>
      <c r="AO94" s="130">
        <f>AN94*SQRT((R94/Q94)^2+(AG94/AF94)^2)</f>
        <v>3.2562295808913539E-4</v>
      </c>
      <c r="AP94" s="18">
        <f>ThU_Alter_Kombi(AN94,U94)</f>
        <v>1.6806000000000001</v>
      </c>
      <c r="AQ94" s="18">
        <f t="shared" si="466"/>
        <v>3.6700000000000003E-2</v>
      </c>
      <c r="AR94" s="155">
        <f>(AQ94/AP94)</f>
        <v>2.1837439009877425E-2</v>
      </c>
      <c r="AS94" s="132">
        <f t="shared" si="467"/>
        <v>5.6703790063828904E-4</v>
      </c>
      <c r="AT94" s="132">
        <f t="shared" si="468"/>
        <v>1.5053374814701343E-6</v>
      </c>
      <c r="AU94" s="18">
        <v>0.75</v>
      </c>
      <c r="AV94" s="18">
        <f>AU94/2</f>
        <v>0.375</v>
      </c>
      <c r="AW94" s="18">
        <f t="shared" si="469"/>
        <v>1.6349</v>
      </c>
      <c r="AX94" s="136">
        <f t="shared" si="470"/>
        <v>4.3118558500000001E-2</v>
      </c>
      <c r="AY94" s="136">
        <f t="shared" si="471"/>
        <v>4.2362948153304734E-2</v>
      </c>
      <c r="AZ94" s="155">
        <f t="shared" si="472"/>
        <v>2.6373820111321795E-2</v>
      </c>
      <c r="BA94" s="18" t="str">
        <f>Input!B94</f>
        <v>EO-C-117</v>
      </c>
      <c r="BB94" s="137">
        <f>Input!E94</f>
        <v>117</v>
      </c>
      <c r="BC94" s="18">
        <f>((U94-1)*EXP(Constants!$B$17*AW94*1000))*1000</f>
        <v>15.706631637524016</v>
      </c>
      <c r="BD94" s="133">
        <f>SQRT((EXP(Constants!$B$17*AW94*1000)*V94)^2+((U94-1)*Constants!$B$17*EXP(Constants!$B$17*AW94*1000)*AY94*1000)^2)*1000</f>
        <v>1.7177475217162874</v>
      </c>
      <c r="BE94" s="18">
        <f t="shared" si="473"/>
        <v>1576.9</v>
      </c>
      <c r="BF94" s="138">
        <f t="shared" si="474"/>
        <v>21.181474076652368</v>
      </c>
      <c r="BG94" s="20">
        <f t="shared" si="475"/>
        <v>2.5911644842684405</v>
      </c>
      <c r="BH94" s="18"/>
      <c r="BI94" s="18"/>
      <c r="BJ94" s="18"/>
      <c r="BK94" s="18"/>
      <c r="BL94" s="18"/>
      <c r="BM94" s="18"/>
      <c r="BN94" s="160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9">
        <f>Input!A95</f>
        <v>10815</v>
      </c>
      <c r="B95" s="139" t="str">
        <f>Input!B95</f>
        <v>Hu1-13</v>
      </c>
      <c r="C95" s="139">
        <f>Input!O95</f>
        <v>2.1101255070833997</v>
      </c>
      <c r="D95" s="139">
        <f>C95*Input!P95/100</f>
        <v>2.6451934284832276E-2</v>
      </c>
      <c r="E95" s="140">
        <f>Input!M95</f>
        <v>2.7315507089613664</v>
      </c>
      <c r="F95" s="141">
        <f>E95*Input!N95/100</f>
        <v>2.6490074119358431E-4</v>
      </c>
      <c r="G95" s="142">
        <f t="shared" ref="G95" si="485">E95*137.88</f>
        <v>376.62621175159319</v>
      </c>
      <c r="H95" s="141">
        <f>G95*Input!L95/100</f>
        <v>2.5114374572236243E-2</v>
      </c>
      <c r="I95" s="139">
        <v>0</v>
      </c>
      <c r="J95" s="143">
        <f>(((C95*Constants!$B$24*0.000000001*Input!G95*(Constants!$B$4/Constants!$B$3))-(I95*0.000000000000001))/Input!F95)*1000000000000</f>
        <v>761.83452784352266</v>
      </c>
      <c r="K95" s="139">
        <f>J95*Input!P95/100</f>
        <v>9.5501413535761817</v>
      </c>
      <c r="L95" s="144">
        <f>(J95/Constants!$B$4)*602200000000*Constants!$B$17/(365.2425*24*60)</f>
        <v>10.517971533061484</v>
      </c>
      <c r="M95" s="145">
        <f>L95*Input!P95/100</f>
        <v>0.1318503050497852</v>
      </c>
      <c r="N95" s="139">
        <v>0</v>
      </c>
      <c r="O95" s="143">
        <f>(((G95*Constants!$B$23*0.000000001*Input!G95*(Constants!$B$7/Constants!$B$6))-(N95*0.000000001))/Input!F95)*1000000</f>
        <v>13.697597713396066</v>
      </c>
      <c r="P95" s="139">
        <f>O95*Input!N95/100</f>
        <v>1.3283677198252894E-3</v>
      </c>
      <c r="Q95" s="146">
        <f>(O95/Constants!$B$7)*602200000000000000*Constants!$B$18/(365.2425*24*60)</f>
        <v>10.220061995087553</v>
      </c>
      <c r="R95" s="147">
        <f>Q95*Input!N95/100</f>
        <v>9.9112273063841011E-4</v>
      </c>
      <c r="S95" s="145">
        <f>Input!S95*Constants!$B$17/Constants!$B$18</f>
        <v>0.99954537054789649</v>
      </c>
      <c r="T95" s="139">
        <f>S95*Input!T95/100</f>
        <v>1.9820554119514507E-3</v>
      </c>
      <c r="U95" s="145">
        <f>S95</f>
        <v>0.99954537054789649</v>
      </c>
      <c r="V95" s="139">
        <f>U95*Input!T95/100</f>
        <v>1.9820554119514507E-3</v>
      </c>
      <c r="W95" s="148">
        <v>0</v>
      </c>
      <c r="X95" s="143">
        <f>(((Constants!$B$25*0.000000001*Input!G95/Input!W95*(Constants!$B$11/Constants!$B$9))-(W95*0.000000001))/Input!F95)*1000000000</f>
        <v>0.95844343079763894</v>
      </c>
      <c r="Y95" s="143">
        <f>X95*Input!X95/100</f>
        <v>6.3565344348324813E-3</v>
      </c>
      <c r="Z95" s="143">
        <f>(X95/Constants!$B$11)*6.022E+23*0.000000001*Constants!$B$19/(365.2425*24*60)</f>
        <v>2.3398702671733636E-4</v>
      </c>
      <c r="AA95" s="143">
        <f>Z95*Input!X95/100</f>
        <v>1.5518355542329837E-6</v>
      </c>
      <c r="AB95" s="144">
        <v>0</v>
      </c>
      <c r="AC95" s="144">
        <v>0</v>
      </c>
      <c r="AD95" s="143">
        <f>(((Input!G95*Constants!$B$25*0.000000001*Input!U95*(Constants!$B$10/Constants!$B$9))-((AB95*0.000000000000001)+(Input!G95*AC95*0.000000000000001)))/Input!F95)*1000000000000</f>
        <v>223.78504069035679</v>
      </c>
      <c r="AE95" s="143">
        <f>AD95*Input!V95/100</f>
        <v>0.54736758962720555</v>
      </c>
      <c r="AF95" s="143">
        <f>(AD95/Constants!$B$10)*602200000000*Constants!$B$16/(365.2425*24*60)</f>
        <v>10.214817774639302</v>
      </c>
      <c r="AG95" s="143">
        <f>AF95*Input!V95/100</f>
        <v>2.4984959524268976E-2</v>
      </c>
      <c r="AH95" s="139">
        <f t="shared" ref="AH95" si="486">AF95/Z95</f>
        <v>43655.487733425158</v>
      </c>
      <c r="AI95" s="148">
        <f t="shared" ref="AI95" si="487">AH95*SQRT((AG95/AF95)^2+(AA95/Z95)^2)</f>
        <v>308.59215475283457</v>
      </c>
      <c r="AJ95" s="145">
        <f t="shared" si="465"/>
        <v>-0.45462945210350547</v>
      </c>
      <c r="AK95" s="148">
        <f t="shared" ref="AK95" si="488">V95*1000</f>
        <v>1.9820554119514509</v>
      </c>
      <c r="AL95" s="148">
        <f t="shared" ref="AL95" si="489">AF95/Q95</f>
        <v>0.9994868699964079</v>
      </c>
      <c r="AM95" s="148">
        <f t="shared" ref="AM95" si="490">AL95*SQRT((R95/Q95)^2+(AG95/AF95)^2)</f>
        <v>2.446618226715924E-3</v>
      </c>
      <c r="AN95" s="139">
        <f>AF95/Q95</f>
        <v>0.9994868699964079</v>
      </c>
      <c r="AO95" s="143">
        <f t="shared" ref="AO95" si="491">AN95*SQRT((R95/Q95)^2+(AG95/AF95)^2)</f>
        <v>2.446618226715924E-3</v>
      </c>
      <c r="AP95" s="139" t="str">
        <f t="shared" ref="AP95" si="492">ThU_Alter_Kombi(AN95,U95)</f>
        <v>Out of range</v>
      </c>
      <c r="AQ95" s="139" t="e">
        <f t="shared" si="466"/>
        <v>#VALUE!</v>
      </c>
      <c r="AR95" s="139" t="e">
        <f>(AQ95/AP95)*100</f>
        <v>#VALUE!</v>
      </c>
      <c r="AS95" s="147">
        <f t="shared" si="467"/>
        <v>2.2894873517382401E-5</v>
      </c>
      <c r="AT95" s="147">
        <f t="shared" si="468"/>
        <v>1.5185832039578454E-7</v>
      </c>
      <c r="AU95" s="139">
        <v>0.75</v>
      </c>
      <c r="AV95" s="139">
        <f t="shared" ref="AV95" si="493">AU95/2</f>
        <v>0.375</v>
      </c>
      <c r="AW95" s="139" t="str">
        <f t="shared" si="469"/>
        <v>Out of range</v>
      </c>
      <c r="AX95" s="149">
        <f t="shared" si="470"/>
        <v>348.86643800259998</v>
      </c>
      <c r="AY95" s="149" t="e">
        <f t="shared" si="471"/>
        <v>#VALUE!</v>
      </c>
      <c r="AZ95" s="150" t="e">
        <f t="shared" si="472"/>
        <v>#VALUE!</v>
      </c>
      <c r="BA95" s="139" t="str">
        <f>Input!B95</f>
        <v>Hu1-13</v>
      </c>
      <c r="BB95" s="151">
        <f>Input!E95</f>
        <v>0</v>
      </c>
      <c r="BC95" s="139" t="e">
        <f>((U95-1)*EXP(Constants!$B$17*AW95*1000))*1000</f>
        <v>#VALUE!</v>
      </c>
      <c r="BD95" s="145" t="e">
        <f>SQRT((EXP(Constants!$B$17*AW95*1000)*V95)^2+((U95-1)*Constants!$B$17*EXP(Constants!$B$17*AW95*1000)*AY95*1000)^2)*1000</f>
        <v>#VALUE!</v>
      </c>
      <c r="BE95" s="139" t="e">
        <f t="shared" si="473"/>
        <v>#VALUE!</v>
      </c>
      <c r="BF95" s="152" t="e">
        <f t="shared" si="474"/>
        <v>#VALUE!</v>
      </c>
      <c r="BG95" s="161" t="e">
        <f t="shared" si="475"/>
        <v>#VALUE!</v>
      </c>
      <c r="BH95" s="139"/>
      <c r="BI95" s="18"/>
      <c r="BJ95" s="18"/>
      <c r="BK95" s="18"/>
      <c r="BL95" s="18"/>
      <c r="BM95" s="18"/>
      <c r="BN95" s="160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>
        <f>Input!A96</f>
        <v>10978</v>
      </c>
      <c r="B96" s="18" t="str">
        <f>Input!B96</f>
        <v>EO-C-162,5</v>
      </c>
      <c r="C96" s="18">
        <f>Input!O96</f>
        <v>0.93933548074877193</v>
      </c>
      <c r="D96" s="18">
        <f>C96*Input!P96/100</f>
        <v>3.1535146834859129E-3</v>
      </c>
      <c r="E96" s="153">
        <f>Input!M96</f>
        <v>1.2237815586222553</v>
      </c>
      <c r="F96" s="154">
        <f>E96*Input!N96/100</f>
        <v>6.1150955022109825E-5</v>
      </c>
      <c r="G96" s="21">
        <f>E96*137.88</f>
        <v>168.73500130283657</v>
      </c>
      <c r="H96" s="154">
        <f>G96*Input!L96/100</f>
        <v>7.6183133591309236E-3</v>
      </c>
      <c r="I96" s="18">
        <v>0.3</v>
      </c>
      <c r="J96" s="130">
        <f>(((C96*Constants!$B$24*0.000000001*Input!G96*(Constants!$B$4/Constants!$B$3))-(I96*0.000000000000001))/Input!F96)*1000000000000</f>
        <v>34.947785968916953</v>
      </c>
      <c r="K96" s="18">
        <f>J96*Input!P96/100</f>
        <v>0.11732587394702929</v>
      </c>
      <c r="L96" s="135">
        <f>(J96/Constants!$B$4)*602200000000*Constants!$B$17/(365.2425*24*60)</f>
        <v>0.48249298834627419</v>
      </c>
      <c r="M96" s="133">
        <f>L96*Input!P96/100</f>
        <v>1.6198139584976626E-3</v>
      </c>
      <c r="N96" s="18">
        <v>5.0000000000000001E-3</v>
      </c>
      <c r="O96" s="130">
        <f>(((G96*Constants!$B$23*0.000000001*Input!G96*(Constants!$B$7/Constants!$B$6))-(N96*0.000000001))/Input!F96)*1000000</f>
        <v>0.63239510087084172</v>
      </c>
      <c r="P96" s="18">
        <f>O96*Input!N96/100</f>
        <v>3.160005484401338E-5</v>
      </c>
      <c r="Q96" s="131">
        <f>(O96/Constants!$B$7)*602200000000000000*Constants!$B$18/(365.2425*24*60)</f>
        <v>0.47184311231222731</v>
      </c>
      <c r="R96" s="132">
        <f>Q96*Input!N96/100</f>
        <v>2.3577456887797064E-5</v>
      </c>
      <c r="S96" s="133">
        <f>Input!S96*Constants!$B$17/Constants!$B$18</f>
        <v>1.0161640237022231</v>
      </c>
      <c r="T96" s="18">
        <f>S96*Input!T96/100</f>
        <v>1.1802046937405351E-3</v>
      </c>
      <c r="U96" s="18">
        <f>S96*1/((U95+U97)/2)</f>
        <v>1.016018411906271</v>
      </c>
      <c r="V96" s="18">
        <f>U96*Input!T96/100</f>
        <v>1.1800355756444027E-3</v>
      </c>
      <c r="W96" s="134">
        <v>3.0000000000000001E-3</v>
      </c>
      <c r="X96" s="130">
        <f>IF((((Constants!$B$25*0.000000001*Input!G96/Input!W96*(Constants!$B$11/Constants!$B$9))-(W96*0.000000001))/Input!F96)*1000000000&lt;0, "n.d.", (((Constants!$B$25*0.000000001*Input!G96/Input!W96*(Constants!$B$11/Constants!$B$9))-(W96*0.000000001))/Input!F96)*1000000000)</f>
        <v>4.0091616638882527E-2</v>
      </c>
      <c r="Y96" s="130">
        <f>X96*Input!X96/100</f>
        <v>1.1404580276822049E-4</v>
      </c>
      <c r="Z96" s="130">
        <f>(X96/Constants!$B$11)*6.022E+23*0.000000001*Constants!$B$19/(365.2425*24*60)</f>
        <v>9.7876597326316854E-6</v>
      </c>
      <c r="AA96" s="130">
        <f>Z96*Input!X96/100</f>
        <v>2.7842267411775788E-8</v>
      </c>
      <c r="AB96" s="135">
        <v>0.05</v>
      </c>
      <c r="AC96" s="135">
        <v>0</v>
      </c>
      <c r="AD96" s="130">
        <f>(((Input!G96*Constants!$B$25*0.000000001*Input!U96*(Constants!$B$10/Constants!$B$9))-((AB96*0.000000000000001)+(Input!G96*AC96*0.000000000000001)))/Input!F96)*1000000000000</f>
        <v>0.14461112521317412</v>
      </c>
      <c r="AE96" s="130">
        <f>AD96*Input!V96/100</f>
        <v>1.715093366096558E-3</v>
      </c>
      <c r="AF96" s="130">
        <f>(AD96/Constants!$B$10)*602200000000*Constants!$B$16/(365.2425*24*60)</f>
        <v>6.6008714777411595E-3</v>
      </c>
      <c r="AG96" s="130">
        <f>AF96*Input!V96/100</f>
        <v>7.8286583174297104E-5</v>
      </c>
      <c r="AH96" s="18">
        <f>AF96/Z96</f>
        <v>674.40753541258744</v>
      </c>
      <c r="AI96" s="134">
        <f>AH96*SQRT((AG96/AF96)^2+(AA96/Z96)^2)</f>
        <v>8.2253505421473374</v>
      </c>
      <c r="AJ96" s="133">
        <f t="shared" si="465"/>
        <v>16.018411906270956</v>
      </c>
      <c r="AK96" s="134">
        <f>V96*1000</f>
        <v>1.1800355756444028</v>
      </c>
      <c r="AL96" s="134">
        <f>AF96/Q96</f>
        <v>1.3989547172563664E-2</v>
      </c>
      <c r="AM96" s="134">
        <f>AL96*SQRT((R96/Q96)^2+(AG96/AF96)^2)</f>
        <v>1.6591802649425696E-4</v>
      </c>
      <c r="AN96" s="18">
        <f>AL96*1/((AN95+AN97)/2)</f>
        <v>1.3994769429954406E-2</v>
      </c>
      <c r="AO96" s="130">
        <f>AN96*SQRT((R96/Q96)^2+(AG96/AF96)^2)</f>
        <v>1.6597996321239579E-4</v>
      </c>
      <c r="AP96" s="18">
        <f>ThU_Alter_Kombi(AN96,U96)</f>
        <v>1.5124</v>
      </c>
      <c r="AQ96" s="18">
        <f t="shared" si="466"/>
        <v>1.7999999999999999E-2</v>
      </c>
      <c r="AR96" s="155">
        <f>(AQ96/AP96)</f>
        <v>1.1901613329806928E-2</v>
      </c>
      <c r="AS96" s="132">
        <f t="shared" si="467"/>
        <v>2.0743462132292416E-5</v>
      </c>
      <c r="AT96" s="132">
        <f t="shared" si="468"/>
        <v>5.9016571258123077E-8</v>
      </c>
      <c r="AU96" s="18">
        <v>0.75</v>
      </c>
      <c r="AV96" s="18">
        <f>AU96/2</f>
        <v>0.375</v>
      </c>
      <c r="AW96" s="18">
        <f t="shared" si="469"/>
        <v>1.5106999999999999</v>
      </c>
      <c r="AX96" s="136">
        <f t="shared" si="470"/>
        <v>1.8363467200000001E-2</v>
      </c>
      <c r="AY96" s="136">
        <f t="shared" si="471"/>
        <v>1.8192137955298664E-2</v>
      </c>
      <c r="AZ96" s="155">
        <f t="shared" si="472"/>
        <v>1.2155601509234131E-2</v>
      </c>
      <c r="BA96" s="18" t="str">
        <f>Input!B96</f>
        <v>EO-C-162,5</v>
      </c>
      <c r="BB96" s="137">
        <f>Input!E96</f>
        <v>162.5</v>
      </c>
      <c r="BC96" s="18">
        <f>((U96-1)*EXP(Constants!$B$17*AW96*1000))*1000</f>
        <v>16.086848757445406</v>
      </c>
      <c r="BD96" s="133">
        <f>SQRT((EXP(Constants!$B$17*AW96*1000)*V96)^2+((U96-1)*Constants!$B$17*EXP(Constants!$B$17*AW96*1000)*AY96*1000)^2)*1000</f>
        <v>1.1850774318141275</v>
      </c>
      <c r="BE96" s="18">
        <f t="shared" si="473"/>
        <v>1452.6999999999998</v>
      </c>
      <c r="BF96" s="138">
        <f t="shared" si="474"/>
        <v>9.0960689776493311</v>
      </c>
      <c r="BG96" s="20">
        <f t="shared" si="475"/>
        <v>1.2042191007677676</v>
      </c>
      <c r="BH96" s="18"/>
      <c r="BI96" s="18"/>
      <c r="BJ96" s="18"/>
      <c r="BK96" s="18"/>
      <c r="BL96" s="18"/>
      <c r="BM96" s="18"/>
      <c r="BN96" s="160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9">
        <f>Input!A97</f>
        <v>10815</v>
      </c>
      <c r="B97" s="139" t="str">
        <f>Input!B97</f>
        <v>Hu1-13</v>
      </c>
      <c r="C97" s="139">
        <f>Input!O97</f>
        <v>2.1176817292903585</v>
      </c>
      <c r="D97" s="139">
        <f>C97*Input!P97/100</f>
        <v>1.864192285097421E-2</v>
      </c>
      <c r="E97" s="140">
        <f>Input!M97</f>
        <v>2.7315295776223261</v>
      </c>
      <c r="F97" s="141">
        <f>E97*Input!N97/100</f>
        <v>2.9752171659824832E-4</v>
      </c>
      <c r="G97" s="142">
        <f t="shared" ref="G97" si="494">E97*137.88</f>
        <v>376.6232981625663</v>
      </c>
      <c r="H97" s="141">
        <f>G97*Input!L97/100</f>
        <v>2.4164449114874885E-2</v>
      </c>
      <c r="I97" s="139">
        <v>0</v>
      </c>
      <c r="J97" s="143">
        <f>(((C97*Constants!$B$24*0.000000001*Input!G97*(Constants!$B$4/Constants!$B$3))-(I97*0.000000000000001))/Input!F97)*1000000000000</f>
        <v>764.56260774113764</v>
      </c>
      <c r="K97" s="139">
        <f>J97*Input!P97/100</f>
        <v>6.7304340171202872</v>
      </c>
      <c r="L97" s="144">
        <f>(J97/Constants!$B$4)*602200000000*Constants!$B$17/(365.2425*24*60)</f>
        <v>10.555635705075654</v>
      </c>
      <c r="M97" s="145">
        <f>L97*Input!P97/100</f>
        <v>9.2921114507112337E-2</v>
      </c>
      <c r="N97" s="139">
        <v>0</v>
      </c>
      <c r="O97" s="143">
        <f>(((G97*Constants!$B$23*0.000000001*Input!G97*(Constants!$B$7/Constants!$B$6))-(N97*0.000000001))/Input!F97)*1000000</f>
        <v>13.69749174846546</v>
      </c>
      <c r="P97" s="139">
        <f>O97*Input!N97/100</f>
        <v>1.4919484275331013E-3</v>
      </c>
      <c r="Q97" s="146">
        <f>(O97/Constants!$B$7)*602200000000000000*Constants!$B$18/(365.2425*24*60)</f>
        <v>10.219982932453158</v>
      </c>
      <c r="R97" s="147">
        <f>Q97*Input!N97/100</f>
        <v>1.1131736923438434E-3</v>
      </c>
      <c r="S97" s="145">
        <f>Input!S97*Constants!$B$17/Constants!$B$18</f>
        <v>1.0007412616513742</v>
      </c>
      <c r="T97" s="139">
        <f>S97*Input!T97/100</f>
        <v>1.3590261602317102E-3</v>
      </c>
      <c r="U97" s="145">
        <f>S97</f>
        <v>1.0007412616513742</v>
      </c>
      <c r="V97" s="139">
        <f>U97*Input!T97/100</f>
        <v>1.3590261602317102E-3</v>
      </c>
      <c r="W97" s="148">
        <v>0</v>
      </c>
      <c r="X97" s="143">
        <f>(((Constants!$B$25*0.000000001*Input!G97/Input!W97*(Constants!$B$11/Constants!$B$9))-(W97*0.000000001))/Input!F97)*1000000000</f>
        <v>0.96129150388554896</v>
      </c>
      <c r="Y97" s="143">
        <f>X97*Input!X97/100</f>
        <v>5.7002698217474314E-3</v>
      </c>
      <c r="Z97" s="143">
        <f>(X97/Constants!$B$11)*6.022E+23*0.000000001*Constants!$B$19/(365.2425*24*60)</f>
        <v>2.3468233343268332E-4</v>
      </c>
      <c r="AA97" s="143">
        <f>Z97*Input!X97/100</f>
        <v>1.3916201459769329E-6</v>
      </c>
      <c r="AB97" s="144">
        <v>0</v>
      </c>
      <c r="AC97" s="144">
        <v>0</v>
      </c>
      <c r="AD97" s="143">
        <f>(((Input!G97*Constants!$B$25*0.000000001*Input!U97*(Constants!$B$10/Constants!$B$9))-((AB97*0.000000000000001)+(Input!G97*AC97*0.000000000000001)))/Input!F97)*1000000000000</f>
        <v>223.84598853195223</v>
      </c>
      <c r="AE97" s="143">
        <f>AD97*Input!V97/100</f>
        <v>0.67857482296057781</v>
      </c>
      <c r="AF97" s="143">
        <f>(AD97/Constants!$B$10)*602200000000*Constants!$B$16/(365.2425*24*60)</f>
        <v>10.217599779610387</v>
      </c>
      <c r="AG97" s="143">
        <f>AF97*Input!V97/100</f>
        <v>3.0974001397132335E-2</v>
      </c>
      <c r="AH97" s="139">
        <f t="shared" ref="AH97" si="495">AF97/Z97</f>
        <v>43538.001476967678</v>
      </c>
      <c r="AI97" s="148">
        <f t="shared" ref="AI97" si="496">AH97*SQRT((AG97/AF97)^2+(AA97/Z97)^2)</f>
        <v>289.95189760155495</v>
      </c>
      <c r="AJ97" s="145">
        <f t="shared" si="465"/>
        <v>0.74126165137422539</v>
      </c>
      <c r="AK97" s="148">
        <f t="shared" ref="AK97" si="497">V97*1000</f>
        <v>1.3590261602317102</v>
      </c>
      <c r="AL97" s="148">
        <f t="shared" ref="AL97" si="498">AF97/Q97</f>
        <v>0.9997668144009122</v>
      </c>
      <c r="AM97" s="148">
        <f t="shared" ref="AM97" si="499">AL97*SQRT((R97/Q97)^2+(AG97/AF97)^2)</f>
        <v>3.0326849842111088E-3</v>
      </c>
      <c r="AN97" s="139">
        <f>AF97/Q97</f>
        <v>0.9997668144009122</v>
      </c>
      <c r="AO97" s="143">
        <f t="shared" ref="AO97" si="500">AN97*SQRT((R97/Q97)^2+(AG97/AF97)^2)</f>
        <v>3.0326849842111088E-3</v>
      </c>
      <c r="AP97" s="139">
        <f t="shared" ref="AP97" si="501">ThU_Alter_Kombi(AN97,U97)</f>
        <v>725.22059999999999</v>
      </c>
      <c r="AQ97" s="139" t="e">
        <f t="shared" si="466"/>
        <v>#VALUE!</v>
      </c>
      <c r="AR97" s="139" t="e">
        <f>(AQ97/AP97)*100</f>
        <v>#VALUE!</v>
      </c>
      <c r="AS97" s="147">
        <f t="shared" si="467"/>
        <v>2.296308467281865E-5</v>
      </c>
      <c r="AT97" s="147">
        <f t="shared" si="468"/>
        <v>1.361895515485281E-7</v>
      </c>
      <c r="AU97" s="139">
        <v>0.75</v>
      </c>
      <c r="AV97" s="139">
        <f t="shared" ref="AV97" si="502">AU97/2</f>
        <v>0.375</v>
      </c>
      <c r="AW97" s="139">
        <f t="shared" si="469"/>
        <v>725.21870000000001</v>
      </c>
      <c r="AX97" s="149">
        <f t="shared" si="470"/>
        <v>321.4687919786</v>
      </c>
      <c r="AY97" s="149">
        <f t="shared" si="471"/>
        <v>299.71878617964148</v>
      </c>
      <c r="AZ97" s="150">
        <f t="shared" si="472"/>
        <v>0.44327151516997559</v>
      </c>
      <c r="BA97" s="139" t="str">
        <f>Input!B97</f>
        <v>Hu1-13</v>
      </c>
      <c r="BB97" s="151">
        <f>Input!E97</f>
        <v>0</v>
      </c>
      <c r="BC97" s="139">
        <f>((U97-1)*EXP(Constants!$B$17*AW97*1000))*1000</f>
        <v>5.7385643986024322</v>
      </c>
      <c r="BD97" s="145">
        <f>SQRT((EXP(Constants!$B$17*AW97*1000)*V97)^2+((U97-1)*Constants!$B$17*EXP(Constants!$B$17*AW97*1000)*AY97*1000)^2)*1000</f>
        <v>11.586728360145194</v>
      </c>
      <c r="BE97" s="139">
        <f t="shared" si="473"/>
        <v>725160.70000000007</v>
      </c>
      <c r="BF97" s="152">
        <f t="shared" si="474"/>
        <v>149859.39308982075</v>
      </c>
      <c r="BG97" s="161">
        <f t="shared" si="475"/>
        <v>41.328055409994455</v>
      </c>
      <c r="BH97" s="139"/>
      <c r="BI97" s="18"/>
      <c r="BJ97" s="18"/>
      <c r="BK97" s="18"/>
      <c r="BL97" s="18"/>
      <c r="BM97" s="18"/>
      <c r="BN97" s="160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10979</v>
      </c>
      <c r="B98" s="18" t="str">
        <f>Input!B98</f>
        <v>E1-Top</v>
      </c>
      <c r="C98" s="18">
        <f>Input!O98</f>
        <v>2.5139252448995255</v>
      </c>
      <c r="D98" s="18">
        <f>C98*Input!P98/100</f>
        <v>5.8839911535433949E-3</v>
      </c>
      <c r="E98" s="153">
        <f>Input!M98</f>
        <v>3.3019775836894092</v>
      </c>
      <c r="F98" s="154">
        <f>E98*Input!N98/100</f>
        <v>1.6614643368969344E-4</v>
      </c>
      <c r="G98" s="21">
        <f>E98*137.88</f>
        <v>455.27666923909572</v>
      </c>
      <c r="H98" s="154">
        <f>G98*Input!L98/100</f>
        <v>1.5905397919593139E-2</v>
      </c>
      <c r="I98" s="18">
        <v>0.3</v>
      </c>
      <c r="J98" s="130">
        <f>(((C98*Constants!$B$24*0.000000001*Input!G98*(Constants!$B$4/Constants!$B$3))-(I98*0.000000000000001))/Input!F98)*1000000000000</f>
        <v>97.095198048341132</v>
      </c>
      <c r="K98" s="18">
        <f>J98*Input!P98/100</f>
        <v>0.22725707040298912</v>
      </c>
      <c r="L98" s="135">
        <f>(J98/Constants!$B$4)*602200000000*Constants!$B$17/(365.2425*24*60)</f>
        <v>1.340507015296605</v>
      </c>
      <c r="M98" s="133">
        <f>L98*Input!P98/100</f>
        <v>3.1375361838109576E-3</v>
      </c>
      <c r="N98" s="18">
        <v>5.0000000000000001E-3</v>
      </c>
      <c r="O98" s="130">
        <f>(((G98*Constants!$B$23*0.000000001*Input!G98*(Constants!$B$7/Constants!$B$6))-(N98*0.000000001))/Input!F98)*1000000</f>
        <v>1.7713460473774605</v>
      </c>
      <c r="P98" s="18">
        <f>O98*Input!N98/100</f>
        <v>8.9129263037959652E-5</v>
      </c>
      <c r="Q98" s="131">
        <f>(O98/Constants!$B$7)*602200000000000000*Constants!$B$18/(365.2425*24*60)</f>
        <v>1.321638056375841</v>
      </c>
      <c r="R98" s="132">
        <f>Q98*Input!N98/100</f>
        <v>6.6501193339439299E-5</v>
      </c>
      <c r="S98" s="133">
        <f>Input!S98*Constants!$B$17/Constants!$B$18</f>
        <v>1.0096795525584863</v>
      </c>
      <c r="T98" s="18">
        <f>S98*Input!T98/100</f>
        <v>6.2768675345833904E-4</v>
      </c>
      <c r="U98" s="18">
        <f>S98*1/((U97+U99)/2)</f>
        <v>1.0089316702025082</v>
      </c>
      <c r="V98" s="18">
        <f>U98*Input!T98/100</f>
        <v>6.2722181797776697E-4</v>
      </c>
      <c r="W98" s="134">
        <v>3.0000000000000001E-3</v>
      </c>
      <c r="X98" s="130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0.51125464550759181</v>
      </c>
      <c r="Y98" s="130">
        <f>X98*Input!X98/100</f>
        <v>9.3188497613540635E-4</v>
      </c>
      <c r="Z98" s="130">
        <f>(X98/Constants!$B$11)*6.022E+23*0.000000001*Constants!$B$19/(365.2425*24*60)</f>
        <v>1.2481378718219281E-4</v>
      </c>
      <c r="AA98" s="130">
        <f>Z98*Input!X98/100</f>
        <v>2.2750324933315502E-7</v>
      </c>
      <c r="AB98" s="135">
        <v>0.05</v>
      </c>
      <c r="AC98" s="135">
        <v>0</v>
      </c>
      <c r="AD98" s="130">
        <f>(((Input!G98*Constants!$B$25*0.000000001*Input!U98*(Constants!$B$10/Constants!$B$9))-((AB98*0.000000000000001)+(Input!G98*AC98*0.000000000000001)))/Input!F98)*1000000000000</f>
        <v>0.17628826663847141</v>
      </c>
      <c r="AE98" s="130">
        <f>AD98*Input!V98/100</f>
        <v>1.6704961332360518E-3</v>
      </c>
      <c r="AF98" s="130">
        <f>(AD98/Constants!$B$10)*602200000000*Constants!$B$16/(365.2425*24*60)</f>
        <v>8.0467957731394819E-3</v>
      </c>
      <c r="AG98" s="130">
        <f>AF98*Input!V98/100</f>
        <v>7.6250912668717738E-5</v>
      </c>
      <c r="AH98" s="18">
        <f>AF98/Z98</f>
        <v>64.470407915701145</v>
      </c>
      <c r="AI98" s="134">
        <f>AH98*SQRT((AG98/AF98)^2+(AA98/Z98)^2)</f>
        <v>0.62211681343098268</v>
      </c>
      <c r="AJ98" s="133">
        <f t="shared" ref="AJ98:AJ99" si="503">(U98-1)*1000</f>
        <v>8.9316702025081796</v>
      </c>
      <c r="AK98" s="134">
        <f>V98*1000</f>
        <v>0.62722181797776699</v>
      </c>
      <c r="AL98" s="134">
        <f>AF98/Q98</f>
        <v>6.0885018665436897E-3</v>
      </c>
      <c r="AM98" s="134">
        <f>AL98*SQRT((R98/Q98)^2+(AG98/AF98)^2)</f>
        <v>5.7695060522828857E-5</v>
      </c>
      <c r="AN98" s="18">
        <f>AL98*1/((AN97+AN99)/2)</f>
        <v>6.0899219486416816E-3</v>
      </c>
      <c r="AO98" s="130">
        <f>AN98*SQRT((R98/Q98)^2+(AG98/AF98)^2)</f>
        <v>5.7708517318012128E-5</v>
      </c>
      <c r="AP98" s="18">
        <f>ThU_Alter_Kombi(AN98,U98)</f>
        <v>0.66020000000000001</v>
      </c>
      <c r="AQ98" s="18">
        <f t="shared" ref="AQ98:AQ99" si="504">Montealter(AN98,AO98,U98,V98)</f>
        <v>6.6E-3</v>
      </c>
      <c r="AR98" s="155">
        <f>(AQ98/AP98)</f>
        <v>9.9969706149651612E-3</v>
      </c>
      <c r="AS98" s="132">
        <f t="shared" ref="AS98:AS99" si="505">Z98/Q98</f>
        <v>9.4438705498881977E-5</v>
      </c>
      <c r="AT98" s="132">
        <f t="shared" ref="AT98:AT99" si="506">AS98*SQRT((Y98/X98)^2+(P98/O98)^2)</f>
        <v>1.7220290850667066E-7</v>
      </c>
      <c r="AU98" s="18">
        <v>0.75</v>
      </c>
      <c r="AV98" s="18">
        <f>AU98/2</f>
        <v>0.375</v>
      </c>
      <c r="AW98" s="18">
        <f t="shared" ref="AW98:AW99" si="507">marincorr_age(AN98,U98,AS98,AU98)</f>
        <v>0.65249999999999997</v>
      </c>
      <c r="AX98" s="136">
        <f t="shared" ref="AX98:AX99" si="508">marincorr_age_error(AN98, AO98, U98, V98, AS98, AT98, AU98, AV98)</f>
        <v>7.8517897999999999E-3</v>
      </c>
      <c r="AY98" s="136">
        <f t="shared" ref="AY98:AY99" si="509">SQRT(((AU98*EXP(-0.0000091577*AW98*1000))/(0.0000091577*(EXP(-0.0000091577*AW98*1000)+(AJ98/1000)*EXP(-(0.0000091577-0.0000028263)*AW98*1000)-AS98*AU98*EXP(-0.0000091577*AW98*1000))))^2*AT98^2+((AS98*EXP(-0.0000091577*AW98*1000))/(0.0000091577*(EXP(-0.0000091577*AW98*1000)+(AJ98/1000)*EXP(-(0.0000091577-0.0000028263)*AW98*1000)-AS98*AU98*EXP(-0.0000091577*AW98*1000))))^2*AV98^2+((0.0000091577/(0.0000091577-0.0000028263))*(EXP(-(0.0000091577-0.0000028263)*AW98*1000)-1)/(0.0000091577*(EXP(-0.0000091577*AW98*1000)+(AJ98/1000)*EXP(-(0.0000091577-0.0000028263)*AW98*1000)-AS98*AU98*EXP(-0.0000091577*AW98*1000))))^2*T98^2+(1/(0.0000091577*(EXP(-0.0000091577*AW98*1000)+(AJ98/1000)*EXP(-(0.0000091577-0.0000028263)*AW98*1000)-AS98*AU98*EXP(-0.0000091577*AW98*1000))))^2*AO98^2)/1000</f>
        <v>7.3717920351287205E-3</v>
      </c>
      <c r="AZ98" s="155">
        <f t="shared" ref="AZ98:AZ99" si="510">AX98/AW98</f>
        <v>1.2033394329501916E-2</v>
      </c>
      <c r="BA98" s="18" t="str">
        <f>Input!B98</f>
        <v>E1-Top</v>
      </c>
      <c r="BB98" s="137" t="str">
        <f>Input!E98</f>
        <v>Top</v>
      </c>
      <c r="BC98" s="18">
        <f>((U98-1)*EXP(Constants!$B$17*AW98*1000))*1000</f>
        <v>8.9481320795193344</v>
      </c>
      <c r="BD98" s="133">
        <f>SQRT((EXP(Constants!$B$17*AW98*1000)*V98)^2+((U98-1)*Constants!$B$17*EXP(Constants!$B$17*AW98*1000)*AY98*1000)^2)*1000</f>
        <v>0.62837787216135477</v>
      </c>
      <c r="BE98" s="18">
        <f t="shared" ref="BE98:BE99" si="511">AW98*1000-58</f>
        <v>594.5</v>
      </c>
      <c r="BF98" s="138">
        <f t="shared" ref="BF98:BF99" si="512">AY98/2*1000</f>
        <v>3.6858960175643602</v>
      </c>
      <c r="BG98" s="20">
        <f t="shared" ref="BG98:BG99" si="513">AY98/AW98*100</f>
        <v>1.12977655710785</v>
      </c>
      <c r="BH98" s="18"/>
      <c r="BI98" s="18"/>
      <c r="BJ98" s="18"/>
      <c r="BK98" s="18"/>
      <c r="BL98" s="18"/>
      <c r="BM98" s="18"/>
      <c r="BN98" s="160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9">
        <f>Input!A99</f>
        <v>10815</v>
      </c>
      <c r="B99" s="139" t="str">
        <f>Input!B99</f>
        <v>Hu1-13</v>
      </c>
      <c r="C99" s="139">
        <f>Input!O99</f>
        <v>2.1176817292903585</v>
      </c>
      <c r="D99" s="139">
        <f>C99*Input!P99/100</f>
        <v>1.864192285097421E-2</v>
      </c>
      <c r="E99" s="140">
        <f>Input!M99</f>
        <v>2.7315295776223261</v>
      </c>
      <c r="F99" s="141">
        <f>E99*Input!N99/100</f>
        <v>2.9752171659824832E-4</v>
      </c>
      <c r="G99" s="142">
        <f t="shared" ref="G99" si="514">E99*137.88</f>
        <v>376.6232981625663</v>
      </c>
      <c r="H99" s="141">
        <f>G99*Input!L99/100</f>
        <v>2.4164449114874885E-2</v>
      </c>
      <c r="I99" s="139">
        <v>0</v>
      </c>
      <c r="J99" s="143">
        <f>(((C99*Constants!$B$24*0.000000001*Input!G99*(Constants!$B$4/Constants!$B$3))-(I99*0.000000000000001))/Input!F99)*1000000000000</f>
        <v>764.56260774113764</v>
      </c>
      <c r="K99" s="139">
        <f>J99*Input!P99/100</f>
        <v>6.7304340171202872</v>
      </c>
      <c r="L99" s="144">
        <f>(J99/Constants!$B$4)*602200000000*Constants!$B$17/(365.2425*24*60)</f>
        <v>10.555635705075654</v>
      </c>
      <c r="M99" s="145">
        <f>L99*Input!P99/100</f>
        <v>9.2921114507112337E-2</v>
      </c>
      <c r="N99" s="139">
        <v>0</v>
      </c>
      <c r="O99" s="143">
        <f>(((G99*Constants!$B$23*0.000000001*Input!G99*(Constants!$B$7/Constants!$B$6))-(N99*0.000000001))/Input!F99)*1000000</f>
        <v>13.69749174846546</v>
      </c>
      <c r="P99" s="139">
        <f>O99*Input!N99/100</f>
        <v>1.4919484275331013E-3</v>
      </c>
      <c r="Q99" s="146">
        <f>(O99/Constants!$B$7)*602200000000000000*Constants!$B$18/(365.2425*24*60)</f>
        <v>10.219982932453158</v>
      </c>
      <c r="R99" s="147">
        <f>Q99*Input!N99/100</f>
        <v>1.1131736923438434E-3</v>
      </c>
      <c r="S99" s="145">
        <f>Input!S99*Constants!$B$17/Constants!$B$18</f>
        <v>1.0007412616513742</v>
      </c>
      <c r="T99" s="139">
        <f>S99*Input!T99/100</f>
        <v>1.3590261602317102E-3</v>
      </c>
      <c r="U99" s="145">
        <f>S99</f>
        <v>1.0007412616513742</v>
      </c>
      <c r="V99" s="139">
        <f>U99*Input!T99/100</f>
        <v>1.3590261602317102E-3</v>
      </c>
      <c r="W99" s="148">
        <v>0</v>
      </c>
      <c r="X99" s="143">
        <f>(((Constants!$B$25*0.000000001*Input!G99/Input!W99*(Constants!$B$11/Constants!$B$9))-(W99*0.000000001))/Input!F99)*1000000000</f>
        <v>0.96129150388554896</v>
      </c>
      <c r="Y99" s="143">
        <f>X99*Input!X99/100</f>
        <v>5.7002698217474314E-3</v>
      </c>
      <c r="Z99" s="143">
        <f>(X99/Constants!$B$11)*6.022E+23*0.000000001*Constants!$B$19/(365.2425*24*60)</f>
        <v>2.3468233343268332E-4</v>
      </c>
      <c r="AA99" s="143">
        <f>Z99*Input!X99/100</f>
        <v>1.3916201459769329E-6</v>
      </c>
      <c r="AB99" s="144">
        <v>0</v>
      </c>
      <c r="AC99" s="144">
        <v>0</v>
      </c>
      <c r="AD99" s="143">
        <f>(((Input!G99*Constants!$B$25*0.000000001*Input!U99*(Constants!$B$10/Constants!$B$9))-((AB99*0.000000000000001)+(Input!G99*AC99*0.000000000000001)))/Input!F99)*1000000000000</f>
        <v>223.84598853195223</v>
      </c>
      <c r="AE99" s="143">
        <f>AD99*Input!V99/100</f>
        <v>0.67857482296057781</v>
      </c>
      <c r="AF99" s="143">
        <f>(AD99/Constants!$B$10)*602200000000*Constants!$B$16/(365.2425*24*60)</f>
        <v>10.217599779610387</v>
      </c>
      <c r="AG99" s="143">
        <f>AF99*Input!V99/100</f>
        <v>3.0974001397132335E-2</v>
      </c>
      <c r="AH99" s="139">
        <f t="shared" ref="AH99" si="515">AF99/Z99</f>
        <v>43538.001476967678</v>
      </c>
      <c r="AI99" s="148">
        <f t="shared" ref="AI99" si="516">AH99*SQRT((AG99/AF99)^2+(AA99/Z99)^2)</f>
        <v>289.95189760155495</v>
      </c>
      <c r="AJ99" s="145">
        <f t="shared" si="503"/>
        <v>0.74126165137422539</v>
      </c>
      <c r="AK99" s="148">
        <f t="shared" ref="AK99" si="517">V99*1000</f>
        <v>1.3590261602317102</v>
      </c>
      <c r="AL99" s="148">
        <f t="shared" ref="AL99" si="518">AF99/Q99</f>
        <v>0.9997668144009122</v>
      </c>
      <c r="AM99" s="148">
        <f t="shared" ref="AM99" si="519">AL99*SQRT((R99/Q99)^2+(AG99/AF99)^2)</f>
        <v>3.0326849842111088E-3</v>
      </c>
      <c r="AN99" s="139">
        <f>AF99/Q99</f>
        <v>0.9997668144009122</v>
      </c>
      <c r="AO99" s="143">
        <f t="shared" ref="AO99" si="520">AN99*SQRT((R99/Q99)^2+(AG99/AF99)^2)</f>
        <v>3.0326849842111088E-3</v>
      </c>
      <c r="AP99" s="139">
        <f t="shared" ref="AP99" si="521">ThU_Alter_Kombi(AN99,U99)</f>
        <v>725.22059999999999</v>
      </c>
      <c r="AQ99" s="139" t="e">
        <f t="shared" si="504"/>
        <v>#VALUE!</v>
      </c>
      <c r="AR99" s="139" t="e">
        <f>(AQ99/AP99)*100</f>
        <v>#VALUE!</v>
      </c>
      <c r="AS99" s="147">
        <f t="shared" si="505"/>
        <v>2.296308467281865E-5</v>
      </c>
      <c r="AT99" s="147">
        <f t="shared" si="506"/>
        <v>1.361895515485281E-7</v>
      </c>
      <c r="AU99" s="139">
        <v>0.75</v>
      </c>
      <c r="AV99" s="139">
        <f t="shared" ref="AV99" si="522">AU99/2</f>
        <v>0.375</v>
      </c>
      <c r="AW99" s="139">
        <f t="shared" si="507"/>
        <v>725.21870000000001</v>
      </c>
      <c r="AX99" s="149">
        <f t="shared" si="508"/>
        <v>326.3801291309</v>
      </c>
      <c r="AY99" s="149">
        <f t="shared" si="509"/>
        <v>299.71878617964148</v>
      </c>
      <c r="AZ99" s="150">
        <f t="shared" si="510"/>
        <v>0.45004373043731499</v>
      </c>
      <c r="BA99" s="139" t="str">
        <f>Input!B99</f>
        <v>Hu1-13</v>
      </c>
      <c r="BB99" s="151">
        <f>Input!E99</f>
        <v>0</v>
      </c>
      <c r="BC99" s="139">
        <f>((U99-1)*EXP(Constants!$B$17*AW99*1000))*1000</f>
        <v>5.7385643986024322</v>
      </c>
      <c r="BD99" s="145">
        <f>SQRT((EXP(Constants!$B$17*AW99*1000)*V99)^2+((U99-1)*Constants!$B$17*EXP(Constants!$B$17*AW99*1000)*AY99*1000)^2)*1000</f>
        <v>11.586728360145194</v>
      </c>
      <c r="BE99" s="139">
        <f t="shared" si="511"/>
        <v>725160.70000000007</v>
      </c>
      <c r="BF99" s="152">
        <f t="shared" si="512"/>
        <v>149859.39308982075</v>
      </c>
      <c r="BG99" s="161">
        <f t="shared" si="513"/>
        <v>41.328055409994455</v>
      </c>
      <c r="BH99" s="139"/>
      <c r="BI99" s="18"/>
      <c r="BJ99" s="18"/>
      <c r="BK99" s="18"/>
      <c r="BL99" s="18"/>
      <c r="BM99" s="18"/>
      <c r="BN99" s="160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1" spans="1:110" ht="15" customHeight="1" x14ac:dyDescent="0.2">
      <c r="A101" s="139">
        <f>Input!A101</f>
        <v>10815</v>
      </c>
      <c r="B101" s="139" t="str">
        <f>Input!B101</f>
        <v>Hu1-13</v>
      </c>
      <c r="C101" s="139">
        <f>Input!O101</f>
        <v>2.0944607493512666</v>
      </c>
      <c r="D101" s="139">
        <f>C101*Input!P101/100</f>
        <v>2.8587260716751349E-2</v>
      </c>
      <c r="E101" s="140">
        <f>Input!M101</f>
        <v>2.7320952971418051</v>
      </c>
      <c r="F101" s="141">
        <f>E101*Input!N101/100</f>
        <v>3.5432315321400808E-4</v>
      </c>
      <c r="G101" s="142">
        <f t="shared" ref="G101" si="523">E101*137.88</f>
        <v>376.70129956991207</v>
      </c>
      <c r="H101" s="141">
        <f>G101*Input!L101/100</f>
        <v>3.2130312950588907E-2</v>
      </c>
      <c r="I101" s="139">
        <v>0</v>
      </c>
      <c r="J101" s="143">
        <f>(((C101*Constants!$B$24*0.000000001*Input!G101*(Constants!$B$4/Constants!$B$3))-(I101*0.000000000000001))/Input!F101)*1000000000000</f>
        <v>756.17896220508896</v>
      </c>
      <c r="K101" s="139">
        <f>J101*Input!P101/100</f>
        <v>10.321074361395873</v>
      </c>
      <c r="L101" s="144">
        <f>(J101/Constants!$B$4)*602200000000*Constants!$B$17/(365.2425*24*60)</f>
        <v>10.439890169964452</v>
      </c>
      <c r="M101" s="145">
        <f>L101*Input!P101/100</f>
        <v>0.14249389120109501</v>
      </c>
      <c r="N101" s="139">
        <v>0</v>
      </c>
      <c r="O101" s="143">
        <f>(((G101*Constants!$B$23*0.000000001*Input!G101*(Constants!$B$7/Constants!$B$6))-(N101*0.000000001))/Input!F101)*1000000</f>
        <v>13.70032859801433</v>
      </c>
      <c r="P101" s="139">
        <f>O101*Input!N101/100</f>
        <v>1.7767841531717004E-3</v>
      </c>
      <c r="Q101" s="146">
        <f>(O101/Constants!$B$7)*602200000000000000*Constants!$B$18/(365.2425*24*60)</f>
        <v>10.222099564790216</v>
      </c>
      <c r="R101" s="147">
        <f>Q101*Input!N101/100</f>
        <v>1.3256955399956602E-3</v>
      </c>
      <c r="S101" s="145">
        <f>Input!S101*Constants!$B$17/Constants!$B$18</f>
        <v>0.99850581634786773</v>
      </c>
      <c r="T101" s="139">
        <f>S101*Input!T101/100</f>
        <v>2.0422767355193655E-3</v>
      </c>
      <c r="U101" s="145">
        <f>S101</f>
        <v>0.99850581634786773</v>
      </c>
      <c r="V101" s="139">
        <f>U101*Input!T101/100</f>
        <v>2.0422767355193655E-3</v>
      </c>
      <c r="W101" s="148">
        <v>0</v>
      </c>
      <c r="X101" s="143">
        <f>(((Constants!$B$25*0.000000001*Input!G101/Input!W101*(Constants!$B$11/Constants!$B$9))-(W101*0.000000001))/Input!F101)*1000000000</f>
        <v>0.94827812014602331</v>
      </c>
      <c r="Y101" s="143">
        <f>X101*Input!X101/100</f>
        <v>5.4481595850410748E-3</v>
      </c>
      <c r="Z101" s="143">
        <f>(X101/Constants!$B$11)*6.022E+23*0.000000001*Constants!$B$19/(365.2425*24*60)</f>
        <v>2.3150534575568579E-4</v>
      </c>
      <c r="AA101" s="143">
        <f>Z101*Input!X101/100</f>
        <v>1.3300718867929442E-6</v>
      </c>
      <c r="AB101" s="144">
        <v>0</v>
      </c>
      <c r="AC101" s="144">
        <v>0</v>
      </c>
      <c r="AD101" s="143">
        <f>(((Input!G101*Constants!$B$25*0.000000001*Input!U101*(Constants!$B$10/Constants!$B$9))-((AB101*0.000000000000001)+(Input!G101*AC101*0.000000000000001)))/Input!F101)*1000000000000</f>
        <v>223.80681085349693</v>
      </c>
      <c r="AE101" s="143">
        <f>AD101*Input!V101/100</f>
        <v>0.7421348395727595</v>
      </c>
      <c r="AF101" s="143">
        <f>(AD101/Constants!$B$10)*602200000000*Constants!$B$16/(365.2425*24*60)</f>
        <v>10.215811488288413</v>
      </c>
      <c r="AG101" s="143">
        <f>AF101*Input!V101/100</f>
        <v>3.3875240843002329E-2</v>
      </c>
      <c r="AH101" s="139">
        <f t="shared" ref="AH101" si="524">AF101/Z101</f>
        <v>44127.756337296203</v>
      </c>
      <c r="AI101" s="148">
        <f t="shared" ref="AI101" si="525">AH101*SQRT((AG101/AF101)^2+(AA101/Z101)^2)</f>
        <v>292.72467228135639</v>
      </c>
      <c r="AJ101" s="145">
        <f t="shared" ref="AJ101:AJ111" si="526">(U101-1)*1000</f>
        <v>-1.4941836521322749</v>
      </c>
      <c r="AK101" s="148">
        <f t="shared" ref="AK101" si="527">V101*1000</f>
        <v>2.0422767355193656</v>
      </c>
      <c r="AL101" s="148">
        <f t="shared" ref="AL101" si="528">AF101/Q101</f>
        <v>0.99938485470015737</v>
      </c>
      <c r="AM101" s="148">
        <f t="shared" ref="AM101" si="529">AL101*SQRT((R101/Q101)^2+(AG101/AF101)^2)</f>
        <v>3.3164556005589423E-3</v>
      </c>
      <c r="AN101" s="139">
        <f>AF101/Q101</f>
        <v>0.99938485470015737</v>
      </c>
      <c r="AO101" s="143">
        <f t="shared" ref="AO101" si="530">AN101*SQRT((R101/Q101)^2+(AG101/AF101)^2)</f>
        <v>3.3164556005589423E-3</v>
      </c>
      <c r="AP101" s="139" t="str">
        <f t="shared" ref="AP101" si="531">ThU_Alter_Kombi(AN101,U101)</f>
        <v>Out of range</v>
      </c>
      <c r="AQ101" s="139" t="e">
        <f t="shared" ref="AQ101:AQ111" si="532">Montealter(AN101,AO101,U101,V101)</f>
        <v>#VALUE!</v>
      </c>
      <c r="AR101" s="139" t="e">
        <f>(AQ101/AP101)*100</f>
        <v>#VALUE!</v>
      </c>
      <c r="AS101" s="147">
        <f t="shared" ref="AS101:AS111" si="533">Z101/Q101</f>
        <v>2.2647533834741794E-5</v>
      </c>
      <c r="AT101" s="147">
        <f t="shared" ref="AT101:AT111" si="534">AS101*SQRT((Y101/X101)^2+(P101/O101)^2)</f>
        <v>1.3015043517556717E-7</v>
      </c>
      <c r="AU101" s="139">
        <v>0.75</v>
      </c>
      <c r="AV101" s="139">
        <f t="shared" ref="AV101" si="535">AU101/2</f>
        <v>0.375</v>
      </c>
      <c r="AW101" s="139" t="str">
        <f t="shared" ref="AW101:AW111" si="536">marincorr_age(AN101,U101,AS101,AU101)</f>
        <v>Out of range</v>
      </c>
      <c r="AX101" s="149">
        <f t="shared" ref="AX101:AX111" si="537">marincorr_age_error(AN101, AO101, U101, V101, AS101, AT101, AU101, AV101)</f>
        <v>306.52464221600002</v>
      </c>
      <c r="AY101" s="149" t="e">
        <f t="shared" ref="AY101:AY111" si="538">SQRT(((AU101*EXP(-0.0000091577*AW101*1000))/(0.0000091577*(EXP(-0.0000091577*AW101*1000)+(AJ101/1000)*EXP(-(0.0000091577-0.0000028263)*AW101*1000)-AS101*AU101*EXP(-0.0000091577*AW101*1000))))^2*AT101^2+((AS101*EXP(-0.0000091577*AW101*1000))/(0.0000091577*(EXP(-0.0000091577*AW101*1000)+(AJ101/1000)*EXP(-(0.0000091577-0.0000028263)*AW101*1000)-AS101*AU101*EXP(-0.0000091577*AW101*1000))))^2*AV101^2+((0.0000091577/(0.0000091577-0.0000028263))*(EXP(-(0.0000091577-0.0000028263)*AW101*1000)-1)/(0.0000091577*(EXP(-0.0000091577*AW101*1000)+(AJ101/1000)*EXP(-(0.0000091577-0.0000028263)*AW101*1000)-AS101*AU101*EXP(-0.0000091577*AW101*1000))))^2*T101^2+(1/(0.0000091577*(EXP(-0.0000091577*AW101*1000)+(AJ101/1000)*EXP(-(0.0000091577-0.0000028263)*AW101*1000)-AS101*AU101*EXP(-0.0000091577*AW101*1000))))^2*AO101^2)/1000</f>
        <v>#VALUE!</v>
      </c>
      <c r="AZ101" s="150" t="e">
        <f t="shared" ref="AZ101:AZ111" si="539">AX101/AW101</f>
        <v>#VALUE!</v>
      </c>
      <c r="BA101" s="139" t="str">
        <f>Input!B101</f>
        <v>Hu1-13</v>
      </c>
      <c r="BB101" s="151">
        <f>Input!E101</f>
        <v>0</v>
      </c>
      <c r="BC101" s="139" t="e">
        <f>((U101-1)*EXP(Constants!$B$17*AW101*1000))*1000</f>
        <v>#VALUE!</v>
      </c>
      <c r="BD101" s="145" t="e">
        <f>SQRT((EXP(Constants!$B$17*AW101*1000)*V101)^2+((U101-1)*Constants!$B$17*EXP(Constants!$B$17*AW101*1000)*AY101*1000)^2)*1000</f>
        <v>#VALUE!</v>
      </c>
      <c r="BE101" s="139" t="e">
        <f t="shared" ref="BE101:BE111" si="540">AW101*1000-58</f>
        <v>#VALUE!</v>
      </c>
      <c r="BF101" s="152" t="e">
        <f t="shared" ref="BF101:BF111" si="541">AY101/2*1000</f>
        <v>#VALUE!</v>
      </c>
      <c r="BG101" s="161" t="e">
        <f t="shared" ref="BG101:BG111" si="542">AY101/AW101*100</f>
        <v>#VALUE!</v>
      </c>
      <c r="BH101" s="139"/>
      <c r="BI101" s="18"/>
      <c r="BJ101" s="18"/>
      <c r="BK101" s="18"/>
      <c r="BL101" s="18"/>
      <c r="BM101" s="18"/>
      <c r="BN101" s="160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10980</v>
      </c>
      <c r="B102" s="18" t="str">
        <f>Input!B102</f>
        <v>E1-59,5</v>
      </c>
      <c r="C102" s="18">
        <f>Input!O102</f>
        <v>2.4358882416489895</v>
      </c>
      <c r="D102" s="18">
        <f>C102*Input!P102/100</f>
        <v>5.2204327206366785E-3</v>
      </c>
      <c r="E102" s="153">
        <f>Input!M102</f>
        <v>3.1641826272085374</v>
      </c>
      <c r="F102" s="154">
        <f>E102*Input!N102/100</f>
        <v>1.700462087412392E-4</v>
      </c>
      <c r="G102" s="21">
        <f>E102*137.88</f>
        <v>436.27750063951311</v>
      </c>
      <c r="H102" s="154">
        <f>G102*Input!L102/100</f>
        <v>1.2910793018961236E-2</v>
      </c>
      <c r="I102" s="18">
        <v>0.3</v>
      </c>
      <c r="J102" s="130">
        <f>(((C102*Constants!$B$24*0.000000001*Input!G102*(Constants!$B$4/Constants!$B$3))-(I102*0.000000000000001))/Input!F102)*1000000000000</f>
        <v>84.423673177940159</v>
      </c>
      <c r="K102" s="18">
        <f>J102*Input!P102/100</f>
        <v>0.18093116848255009</v>
      </c>
      <c r="L102" s="135">
        <f>(J102/Constants!$B$4)*602200000000*Constants!$B$17/(365.2425*24*60)</f>
        <v>1.1655625450786145</v>
      </c>
      <c r="M102" s="133">
        <f>L102*Input!P102/100</f>
        <v>2.4979556714629322E-3</v>
      </c>
      <c r="N102" s="18">
        <v>5.0000000000000001E-3</v>
      </c>
      <c r="O102" s="130">
        <f>(((G102*Constants!$B$23*0.000000001*Input!G102*(Constants!$B$7/Constants!$B$6))-(N102*0.000000001))/Input!F102)*1000000</f>
        <v>1.5231835442797512</v>
      </c>
      <c r="P102" s="18">
        <f>O102*Input!N102/100</f>
        <v>8.1857344356358111E-5</v>
      </c>
      <c r="Q102" s="131">
        <f>(O102/Constants!$B$7)*602200000000000000*Constants!$B$18/(365.2425*24*60)</f>
        <v>1.1364788613416421</v>
      </c>
      <c r="R102" s="132">
        <f>Q102*Input!N102/100</f>
        <v>6.1075463857216289E-5</v>
      </c>
      <c r="S102" s="133">
        <f>Input!S102*Constants!$B$17/Constants!$B$18</f>
        <v>1.0157482475181194</v>
      </c>
      <c r="T102" s="18">
        <f>S102*Input!T102/100</f>
        <v>4.9371119443475419E-4</v>
      </c>
      <c r="U102" s="18">
        <f>S102*1/((U101+U103)/2)</f>
        <v>1.0165115999419223</v>
      </c>
      <c r="V102" s="18">
        <f>U102*Input!T102/100</f>
        <v>4.9408222695964527E-4</v>
      </c>
      <c r="W102" s="134">
        <v>3.0000000000000001E-3</v>
      </c>
      <c r="X102" s="130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5.6292414467813037E-2</v>
      </c>
      <c r="Y102" s="130">
        <f>X102*Input!X102/100</f>
        <v>1.340477024629726E-4</v>
      </c>
      <c r="Z102" s="130">
        <f>(X102/Constants!$B$11)*6.022E+23*0.000000001*Constants!$B$19/(365.2425*24*60)</f>
        <v>1.3742798233904899E-5</v>
      </c>
      <c r="AA102" s="130">
        <f>Z102*Input!X102/100</f>
        <v>3.2725377763294907E-8</v>
      </c>
      <c r="AB102" s="135">
        <v>0.05</v>
      </c>
      <c r="AC102" s="135">
        <v>0</v>
      </c>
      <c r="AD102" s="130">
        <f>(((Input!G102*Constants!$B$25*0.000000001*Input!U102*(Constants!$B$10/Constants!$B$9))-((AB102*0.000000000000001)+(Input!G102*AC102*0.000000000000001)))/Input!F102)*1000000000000</f>
        <v>0.1119676337634672</v>
      </c>
      <c r="AE102" s="130">
        <f>AD102*Input!V102/100</f>
        <v>1.0536023139884815E-3</v>
      </c>
      <c r="AF102" s="130">
        <f>(AD102/Constants!$B$10)*602200000000*Constants!$B$16/(365.2425*24*60)</f>
        <v>5.1108374895080877E-3</v>
      </c>
      <c r="AG102" s="130">
        <f>AF102*Input!V102/100</f>
        <v>4.809238191761941E-5</v>
      </c>
      <c r="AH102" s="18">
        <f>AF102/Z102</f>
        <v>371.89205593509519</v>
      </c>
      <c r="AI102" s="134">
        <f>AH102*SQRT((AG102/AF102)^2+(AA102/Z102)^2)</f>
        <v>3.6097744889327696</v>
      </c>
      <c r="AJ102" s="133">
        <f t="shared" si="526"/>
        <v>16.511599941922306</v>
      </c>
      <c r="AK102" s="134">
        <f>V102*1000</f>
        <v>0.49408222695964527</v>
      </c>
      <c r="AL102" s="134">
        <f>AF102/Q102</f>
        <v>4.4970809958353427E-3</v>
      </c>
      <c r="AM102" s="134">
        <f>AL102*SQRT((R102/Q102)^2+(AG102/AF102)^2)</f>
        <v>4.2317695347304572E-5</v>
      </c>
      <c r="AN102" s="18">
        <f>AL102*1/((AN101+AN103)/2)</f>
        <v>4.4995514266348534E-3</v>
      </c>
      <c r="AO102" s="130">
        <f>AN102*SQRT((R102/Q102)^2+(AG102/AF102)^2)</f>
        <v>4.2340942190767501E-5</v>
      </c>
      <c r="AP102" s="18">
        <f>ThU_Alter_Kombi(AN102,U102)</f>
        <v>0.48380000000000001</v>
      </c>
      <c r="AQ102" s="18">
        <f t="shared" si="532"/>
        <v>6.3E-3</v>
      </c>
      <c r="AR102" s="155">
        <f>(AQ102/AP102)</f>
        <v>1.3021909880115751E-2</v>
      </c>
      <c r="AS102" s="132">
        <f t="shared" si="533"/>
        <v>1.2092436297214694E-5</v>
      </c>
      <c r="AT102" s="132">
        <f t="shared" si="534"/>
        <v>2.8802744759829685E-8</v>
      </c>
      <c r="AU102" s="18">
        <v>0.75</v>
      </c>
      <c r="AV102" s="18">
        <f>AU102/2</f>
        <v>0.375</v>
      </c>
      <c r="AW102" s="18">
        <f t="shared" si="536"/>
        <v>0.48280000000000001</v>
      </c>
      <c r="AX102" s="136">
        <f t="shared" si="537"/>
        <v>4.2963630000000001E-3</v>
      </c>
      <c r="AY102" s="136">
        <f t="shared" si="538"/>
        <v>4.6004387852817763E-3</v>
      </c>
      <c r="AZ102" s="155">
        <f t="shared" si="539"/>
        <v>8.898846313173156E-3</v>
      </c>
      <c r="BA102" s="18" t="str">
        <f>Input!B102</f>
        <v>E1-59,5</v>
      </c>
      <c r="BB102" s="137">
        <f>Input!E102</f>
        <v>59.5</v>
      </c>
      <c r="BC102" s="18">
        <f>((U102-1)*EXP(Constants!$B$17*AW102*1000))*1000</f>
        <v>16.534112173975075</v>
      </c>
      <c r="BD102" s="133">
        <f>SQRT((EXP(Constants!$B$17*AW102*1000)*V102)^2+((U102-1)*Constants!$B$17*EXP(Constants!$B$17*AW102*1000)*AY102*1000)^2)*1000</f>
        <v>0.49475591471066921</v>
      </c>
      <c r="BE102" s="18">
        <f t="shared" si="540"/>
        <v>424.8</v>
      </c>
      <c r="BF102" s="138">
        <f t="shared" si="541"/>
        <v>2.300219392640888</v>
      </c>
      <c r="BG102" s="20">
        <f t="shared" si="542"/>
        <v>0.95286635983466772</v>
      </c>
      <c r="BH102" s="18"/>
      <c r="BI102" s="18"/>
      <c r="BJ102" s="18"/>
      <c r="BK102" s="18"/>
      <c r="BL102" s="18"/>
      <c r="BM102" s="18"/>
      <c r="BN102" s="160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9">
        <f>Input!A103</f>
        <v>10815</v>
      </c>
      <c r="B103" s="139" t="str">
        <f>Input!B103</f>
        <v>Hu1-13</v>
      </c>
      <c r="C103" s="139">
        <f>Input!O103</f>
        <v>2.1038939432563128</v>
      </c>
      <c r="D103" s="139">
        <f>C103*Input!P103/100</f>
        <v>2.436438849236151E-2</v>
      </c>
      <c r="E103" s="140">
        <f>Input!M103</f>
        <v>2.7320087963297319</v>
      </c>
      <c r="F103" s="141">
        <f>E103*Input!N103/100</f>
        <v>3.9437246249031659E-4</v>
      </c>
      <c r="G103" s="142">
        <f t="shared" ref="G103" si="543">E103*137.88</f>
        <v>376.68937283794344</v>
      </c>
      <c r="H103" s="141">
        <f>G103*Input!L103/100</f>
        <v>2.749794905506044E-2</v>
      </c>
      <c r="I103" s="139">
        <v>0</v>
      </c>
      <c r="J103" s="143">
        <f>(((C103*Constants!$B$24*0.000000001*Input!G103*(Constants!$B$4/Constants!$B$3))-(I103*0.000000000000001))/Input!F103)*1000000000000</f>
        <v>759.58469935227913</v>
      </c>
      <c r="K103" s="139">
        <f>J103*Input!P103/100</f>
        <v>8.7964589504110293</v>
      </c>
      <c r="L103" s="144">
        <f>(J103/Constants!$B$4)*602200000000*Constants!$B$17/(365.2425*24*60)</f>
        <v>10.486910152721906</v>
      </c>
      <c r="M103" s="145">
        <f>L103*Input!P103/100</f>
        <v>0.12144488264933362</v>
      </c>
      <c r="N103" s="139">
        <v>0</v>
      </c>
      <c r="O103" s="143">
        <f>(((G103*Constants!$B$23*0.000000001*Input!G103*(Constants!$B$7/Constants!$B$6))-(N103*0.000000001))/Input!F103)*1000000</f>
        <v>13.699894832197071</v>
      </c>
      <c r="P103" s="139">
        <f>O103*Input!N103/100</f>
        <v>1.9776148847288847E-3</v>
      </c>
      <c r="Q103" s="146">
        <f>(O103/Constants!$B$7)*602200000000000000*Constants!$B$18/(365.2425*24*60)</f>
        <v>10.221775923109647</v>
      </c>
      <c r="R103" s="147">
        <f>Q103*Input!N103/100</f>
        <v>1.4755395177484809E-3</v>
      </c>
      <c r="S103" s="145">
        <f>Input!S103*Constants!$B$17/Constants!$B$18</f>
        <v>0.99999227767516863</v>
      </c>
      <c r="T103" s="139">
        <f>S103*Input!T103/100</f>
        <v>1.6834238698575359E-3</v>
      </c>
      <c r="U103" s="145">
        <f>S103</f>
        <v>0.99999227767516863</v>
      </c>
      <c r="V103" s="139">
        <f>U103*Input!T103/100</f>
        <v>1.6834238698575359E-3</v>
      </c>
      <c r="W103" s="148">
        <v>0</v>
      </c>
      <c r="X103" s="143">
        <f>(((Constants!$B$25*0.000000001*Input!G103/Input!W103*(Constants!$B$11/Constants!$B$9))-(W103*0.000000001))/Input!F103)*1000000000</f>
        <v>0.94201439144868926</v>
      </c>
      <c r="Y103" s="143">
        <f>X103*Input!X103/100</f>
        <v>4.5442142618854755E-3</v>
      </c>
      <c r="Z103" s="143">
        <f>(X103/Constants!$B$11)*6.022E+23*0.000000001*Constants!$B$19/(365.2425*24*60)</f>
        <v>2.2997616708226782E-4</v>
      </c>
      <c r="AA103" s="143">
        <f>Z103*Input!X103/100</f>
        <v>1.1093896100056791E-6</v>
      </c>
      <c r="AB103" s="144">
        <v>0</v>
      </c>
      <c r="AC103" s="144">
        <v>0</v>
      </c>
      <c r="AD103" s="143">
        <f>(((Input!G103*Constants!$B$25*0.000000001*Input!U103*(Constants!$B$10/Constants!$B$9))-((AB103*0.000000000000001)+(Input!G103*AC103*0.000000000000001)))/Input!F103)*1000000000000</f>
        <v>223.82933210935767</v>
      </c>
      <c r="AE103" s="143">
        <f>AD103*Input!V103/100</f>
        <v>0.76220018917670174</v>
      </c>
      <c r="AF103" s="143">
        <f>(AD103/Constants!$B$10)*602200000000*Constants!$B$16/(365.2425*24*60)</f>
        <v>10.216839486066835</v>
      </c>
      <c r="AG103" s="143">
        <f>AF103*Input!V103/100</f>
        <v>3.4791137138645706E-2</v>
      </c>
      <c r="AH103" s="139">
        <f t="shared" ref="AH103" si="544">AF103/Z103</f>
        <v>44425.644690443223</v>
      </c>
      <c r="AI103" s="148">
        <f t="shared" ref="AI103" si="545">AH103*SQRT((AG103/AF103)^2+(AA103/Z103)^2)</f>
        <v>262.32287874539719</v>
      </c>
      <c r="AJ103" s="145">
        <f t="shared" si="526"/>
        <v>-7.7223248313718074E-3</v>
      </c>
      <c r="AK103" s="148">
        <f t="shared" ref="AK103" si="546">V103*1000</f>
        <v>1.6834238698575359</v>
      </c>
      <c r="AL103" s="148">
        <f t="shared" ref="AL103" si="547">AF103/Q103</f>
        <v>0.99951706659586903</v>
      </c>
      <c r="AM103" s="148">
        <f t="shared" ref="AM103" si="548">AL103*SQRT((R103/Q103)^2+(AG103/AF103)^2)</f>
        <v>3.4066861742873258E-3</v>
      </c>
      <c r="AN103" s="139">
        <f>AF103/Q103</f>
        <v>0.99951706659586903</v>
      </c>
      <c r="AO103" s="143">
        <f t="shared" ref="AO103" si="549">AN103*SQRT((R103/Q103)^2+(AG103/AF103)^2)</f>
        <v>3.4066861742873258E-3</v>
      </c>
      <c r="AP103" s="139">
        <f t="shared" ref="AP103" si="550">ThU_Alter_Kombi(AN103,U103)</f>
        <v>835.17790000000002</v>
      </c>
      <c r="AQ103" s="139" t="e">
        <f t="shared" si="532"/>
        <v>#VALUE!</v>
      </c>
      <c r="AR103" s="139" t="e">
        <f>(AQ103/AP103)*100</f>
        <v>#VALUE!</v>
      </c>
      <c r="AS103" s="147">
        <f t="shared" si="533"/>
        <v>2.2498650803167379E-5</v>
      </c>
      <c r="AT103" s="147">
        <f t="shared" si="534"/>
        <v>1.0858056511100603E-7</v>
      </c>
      <c r="AU103" s="139">
        <v>0.75</v>
      </c>
      <c r="AV103" s="139">
        <f t="shared" ref="AV103" si="551">AU103/2</f>
        <v>0.375</v>
      </c>
      <c r="AW103" s="139">
        <f t="shared" si="536"/>
        <v>835.17610000000002</v>
      </c>
      <c r="AX103" s="149">
        <f t="shared" si="537"/>
        <v>333.99662423630002</v>
      </c>
      <c r="AY103" s="149">
        <f t="shared" si="538"/>
        <v>957.34712239912733</v>
      </c>
      <c r="AZ103" s="150">
        <f t="shared" si="539"/>
        <v>0.39991161652769996</v>
      </c>
      <c r="BA103" s="139" t="str">
        <f>Input!B103</f>
        <v>Hu1-13</v>
      </c>
      <c r="BB103" s="151">
        <f>Input!E103</f>
        <v>0</v>
      </c>
      <c r="BC103" s="139">
        <f>((U103-1)*EXP(Constants!$B$17*AW103*1000))*1000</f>
        <v>-8.1535012353758665E-2</v>
      </c>
      <c r="BD103" s="145">
        <f>SQRT((EXP(Constants!$B$17*AW103*1000)*V103)^2+((U103-1)*Constants!$B$17*EXP(Constants!$B$17*AW103*1000)*AY103*1000)^2)*1000</f>
        <v>17.775544252810906</v>
      </c>
      <c r="BE103" s="139">
        <f t="shared" si="540"/>
        <v>835118.1</v>
      </c>
      <c r="BF103" s="152">
        <f t="shared" si="541"/>
        <v>478673.56119956367</v>
      </c>
      <c r="BG103" s="161">
        <f t="shared" si="542"/>
        <v>114.62817511170726</v>
      </c>
      <c r="BH103" s="139"/>
      <c r="BI103" s="18"/>
      <c r="BJ103" s="18"/>
      <c r="BK103" s="18"/>
      <c r="BL103" s="18"/>
      <c r="BM103" s="18"/>
      <c r="BN103" s="160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10981</v>
      </c>
      <c r="B104" s="18" t="str">
        <f>Input!B104</f>
        <v>E1-92</v>
      </c>
      <c r="C104" s="18">
        <f>Input!O104</f>
        <v>2.027007897312739</v>
      </c>
      <c r="D104" s="18">
        <f>C104*Input!P104/100</f>
        <v>5.0715256430339979E-3</v>
      </c>
      <c r="E104" s="153">
        <f>Input!M104</f>
        <v>2.6309594080379197</v>
      </c>
      <c r="F104" s="154">
        <f>E104*Input!N104/100</f>
        <v>1.5448566045191944E-4</v>
      </c>
      <c r="G104" s="21">
        <f>E104*137.88</f>
        <v>362.75668318026834</v>
      </c>
      <c r="H104" s="154">
        <f>G104*Input!L104/100</f>
        <v>1.1713080130013787E-2</v>
      </c>
      <c r="I104" s="18">
        <v>0.3</v>
      </c>
      <c r="J104" s="130">
        <f>(((C104*Constants!$B$24*0.000000001*Input!G104*(Constants!$B$4/Constants!$B$3))-(I104*0.000000000000001))/Input!F104)*1000000000000</f>
        <v>94.044086457413556</v>
      </c>
      <c r="K104" s="18">
        <f>J104*Input!P104/100</f>
        <v>0.23529607194761362</v>
      </c>
      <c r="L104" s="135">
        <f>(J104/Constants!$B$4)*602200000000*Constants!$B$17/(365.2425*24*60)</f>
        <v>1.298383032089373</v>
      </c>
      <c r="M104" s="133">
        <f>L104*Input!P104/100</f>
        <v>3.2485235259572102E-3</v>
      </c>
      <c r="N104" s="18">
        <v>5.0000000000000001E-3</v>
      </c>
      <c r="O104" s="130">
        <f>(((G104*Constants!$B$23*0.000000001*Input!G104*(Constants!$B$7/Constants!$B$6))-(N104*0.000000001))/Input!F104)*1000000</f>
        <v>1.6954078749826986</v>
      </c>
      <c r="P104" s="18">
        <f>O104*Input!N104/100</f>
        <v>9.9551594943616273E-5</v>
      </c>
      <c r="Q104" s="131">
        <f>(O104/Constants!$B$7)*602200000000000000*Constants!$B$18/(365.2425*24*60)</f>
        <v>1.2649790095921043</v>
      </c>
      <c r="R104" s="132">
        <f>Q104*Input!N104/100</f>
        <v>7.4277511525877015E-5</v>
      </c>
      <c r="S104" s="133">
        <f>Input!S104*Constants!$B$17/Constants!$B$18</f>
        <v>1.0183772501141328</v>
      </c>
      <c r="T104" s="18">
        <f>S104*Input!T104/100</f>
        <v>5.7958069199503517E-4</v>
      </c>
      <c r="U104" s="18">
        <f>S104*1/((U103+U105)/2)</f>
        <v>1.0180986059241921</v>
      </c>
      <c r="V104" s="18">
        <f>U104*Input!T104/100</f>
        <v>5.7942210951255322E-4</v>
      </c>
      <c r="W104" s="134">
        <v>3.0000000000000001E-3</v>
      </c>
      <c r="X104" s="130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3.7021776969281057E-2</v>
      </c>
      <c r="Y104" s="130">
        <f>X104*Input!X104/100</f>
        <v>1.2100650450584137E-4</v>
      </c>
      <c r="Z104" s="130">
        <f>(X104/Constants!$B$11)*6.022E+23*0.000000001*Constants!$B$19/(365.2425*24*60)</f>
        <v>9.0382126252617803E-6</v>
      </c>
      <c r="AA104" s="130">
        <f>Z104*Input!X104/100</f>
        <v>2.9541599736581487E-8</v>
      </c>
      <c r="AB104" s="135">
        <v>0.05</v>
      </c>
      <c r="AC104" s="135">
        <v>0</v>
      </c>
      <c r="AD104" s="130">
        <f>(((Input!G104*Constants!$B$25*0.000000001*Input!U104*(Constants!$B$10/Constants!$B$9))-((AB104*0.000000000000001)+(Input!G104*AC104*0.000000000000001)))/Input!F104)*1000000000000</f>
        <v>0.17113800167791099</v>
      </c>
      <c r="AE104" s="130">
        <f>AD104*Input!V104/100</f>
        <v>1.7054413416024256E-3</v>
      </c>
      <c r="AF104" s="130">
        <f>(AD104/Constants!$B$10)*602200000000*Constants!$B$16/(365.2425*24*60)</f>
        <v>7.8117084862460414E-3</v>
      </c>
      <c r="AG104" s="130">
        <f>AF104*Input!V104/100</f>
        <v>7.7846010064227853E-5</v>
      </c>
      <c r="AH104" s="18">
        <f>AF104/Z104</f>
        <v>864.29793258153018</v>
      </c>
      <c r="AI104" s="134">
        <f>AH104*SQRT((AG104/AF104)^2+(AA104/Z104)^2)</f>
        <v>9.0644384733371286</v>
      </c>
      <c r="AJ104" s="133">
        <f t="shared" si="526"/>
        <v>18.0986059241921</v>
      </c>
      <c r="AK104" s="134">
        <f>V104*1000</f>
        <v>0.57942210951255324</v>
      </c>
      <c r="AL104" s="134">
        <f>AF104/Q104</f>
        <v>6.1753660946239309E-3</v>
      </c>
      <c r="AM104" s="134">
        <f>AL104*SQRT((R104/Q104)^2+(AG104/AF104)^2)</f>
        <v>6.1540437296258026E-5</v>
      </c>
      <c r="AN104" s="18">
        <f>AL104*1/((AN103+AN105)/2)</f>
        <v>6.1794035006956108E-3</v>
      </c>
      <c r="AO104" s="130">
        <f>AN104*SQRT((R104/Q104)^2+(AG104/AF104)^2)</f>
        <v>6.1580671953019516E-5</v>
      </c>
      <c r="AP104" s="18">
        <f>ThU_Alter_Kombi(AN104,U104)</f>
        <v>0.66390000000000005</v>
      </c>
      <c r="AQ104" s="18">
        <f t="shared" si="532"/>
        <v>8.0999999999999996E-3</v>
      </c>
      <c r="AR104" s="155">
        <f>(AQ104/AP104)</f>
        <v>1.2200632625395389E-2</v>
      </c>
      <c r="AS104" s="132">
        <f t="shared" si="533"/>
        <v>7.1449506724828384E-6</v>
      </c>
      <c r="AT104" s="132">
        <f t="shared" si="534"/>
        <v>2.3357198951065394E-8</v>
      </c>
      <c r="AU104" s="18">
        <v>0.75</v>
      </c>
      <c r="AV104" s="18">
        <f>AU104/2</f>
        <v>0.375</v>
      </c>
      <c r="AW104" s="18">
        <f t="shared" si="536"/>
        <v>0.6633</v>
      </c>
      <c r="AX104" s="136">
        <f t="shared" si="537"/>
        <v>7.1090709999999998E-3</v>
      </c>
      <c r="AY104" s="136">
        <f t="shared" si="538"/>
        <v>6.6619909824723929E-3</v>
      </c>
      <c r="AZ104" s="155">
        <f t="shared" si="539"/>
        <v>1.0717731041760893E-2</v>
      </c>
      <c r="BA104" s="18" t="str">
        <f>Input!B104</f>
        <v>E1-92</v>
      </c>
      <c r="BB104" s="137">
        <f>Input!E104</f>
        <v>92</v>
      </c>
      <c r="BC104" s="18">
        <f>((U104-1)*EXP(Constants!$B$17*AW104*1000))*1000</f>
        <v>18.132515932766953</v>
      </c>
      <c r="BD104" s="133">
        <f>SQRT((EXP(Constants!$B$17*AW104*1000)*V104)^2+((U104-1)*Constants!$B$17*EXP(Constants!$B$17*AW104*1000)*AY104*1000)^2)*1000</f>
        <v>0.58050782961665881</v>
      </c>
      <c r="BE104" s="18">
        <f t="shared" si="540"/>
        <v>605.29999999999995</v>
      </c>
      <c r="BF104" s="138">
        <f t="shared" si="541"/>
        <v>3.3309954912361963</v>
      </c>
      <c r="BG104" s="20">
        <f t="shared" si="542"/>
        <v>1.0043707195043561</v>
      </c>
      <c r="BH104" s="18"/>
      <c r="BI104" s="18"/>
      <c r="BJ104" s="18"/>
      <c r="BK104" s="18"/>
      <c r="BL104" s="18"/>
      <c r="BM104" s="18"/>
      <c r="BN104" s="160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9">
        <f>Input!A105</f>
        <v>10815</v>
      </c>
      <c r="B105" s="139" t="str">
        <f>Input!B105</f>
        <v>Hu1-13</v>
      </c>
      <c r="C105" s="139">
        <f>Input!O105</f>
        <v>2.1085598087238773</v>
      </c>
      <c r="D105" s="139">
        <f>C105*Input!P105/100</f>
        <v>2.0726149409919813E-2</v>
      </c>
      <c r="E105" s="140">
        <f>Input!M105</f>
        <v>2.7317895964822472</v>
      </c>
      <c r="F105" s="141">
        <f>E105*Input!N105/100</f>
        <v>3.9091495241735821E-4</v>
      </c>
      <c r="G105" s="142">
        <f t="shared" ref="G105" si="552">E105*137.88</f>
        <v>376.65914956297223</v>
      </c>
      <c r="H105" s="141">
        <f>G105*Input!L105/100</f>
        <v>2.5331196997807108E-2</v>
      </c>
      <c r="I105" s="139">
        <v>0</v>
      </c>
      <c r="J105" s="143">
        <f>(((C105*Constants!$B$24*0.000000001*Input!G105*(Constants!$B$4/Constants!$B$3))-(I105*0.000000000000001))/Input!F105)*1000000000000</f>
        <v>761.26925195520778</v>
      </c>
      <c r="K105" s="139">
        <f>J105*Input!P105/100</f>
        <v>7.4829180523699028</v>
      </c>
      <c r="L105" s="144">
        <f>(J105/Constants!$B$4)*602200000000*Constants!$B$17/(365.2425*24*60)</f>
        <v>10.510167271789088</v>
      </c>
      <c r="M105" s="145">
        <f>L105*Input!P105/100</f>
        <v>0.10330999210792421</v>
      </c>
      <c r="N105" s="139">
        <v>0</v>
      </c>
      <c r="O105" s="143">
        <f>(((G105*Constants!$B$23*0.000000001*Input!G105*(Constants!$B$7/Constants!$B$6))-(N105*0.000000001))/Input!F105)*1000000</f>
        <v>13.698795635568638</v>
      </c>
      <c r="P105" s="139">
        <f>O105*Input!N105/100</f>
        <v>1.9602769008818239E-3</v>
      </c>
      <c r="Q105" s="146">
        <f>(O105/Constants!$B$7)*602200000000000000*Constants!$B$18/(365.2425*24*60)</f>
        <v>10.220955789687537</v>
      </c>
      <c r="R105" s="147">
        <f>Q105*Input!N105/100</f>
        <v>1.4626032880902329E-3</v>
      </c>
      <c r="S105" s="145">
        <f>Input!S105*Constants!$B$17/Constants!$B$18</f>
        <v>1.000555103861982</v>
      </c>
      <c r="T105" s="139">
        <f>S105*Input!T105/100</f>
        <v>1.705080864048539E-3</v>
      </c>
      <c r="U105" s="145">
        <f>S105</f>
        <v>1.000555103861982</v>
      </c>
      <c r="V105" s="139">
        <f>U105*Input!T105/100</f>
        <v>1.705080864048539E-3</v>
      </c>
      <c r="W105" s="148">
        <v>0</v>
      </c>
      <c r="X105" s="143">
        <f>(((Constants!$B$25*0.000000001*Input!G105/Input!W105*(Constants!$B$11/Constants!$B$9))-(W105*0.000000001))/Input!F105)*1000000000</f>
        <v>0.947008105368913</v>
      </c>
      <c r="Y105" s="143">
        <f>X105*Input!X105/100</f>
        <v>7.8589590586661331E-3</v>
      </c>
      <c r="Z105" s="143">
        <f>(X105/Constants!$B$11)*6.022E+23*0.000000001*Constants!$B$19/(365.2425*24*60)</f>
        <v>2.3119529409062732E-4</v>
      </c>
      <c r="AA105" s="143">
        <f>Z105*Input!X105/100</f>
        <v>1.9186259763919445E-6</v>
      </c>
      <c r="AB105" s="144">
        <v>0</v>
      </c>
      <c r="AC105" s="144">
        <v>0</v>
      </c>
      <c r="AD105" s="143">
        <f>(((Input!G105*Constants!$B$25*0.000000001*Input!U105*(Constants!$B$10/Constants!$B$9))-((AB105*0.000000000000001)+(Input!G105*AC105*0.000000000000001)))/Input!F105)*1000000000000</f>
        <v>223.73504747179254</v>
      </c>
      <c r="AE105" s="143">
        <f>AD105*Input!V105/100</f>
        <v>0.54375670567502488</v>
      </c>
      <c r="AF105" s="143">
        <f>(AD105/Constants!$B$10)*602200000000*Constants!$B$16/(365.2425*24*60)</f>
        <v>10.212535800759252</v>
      </c>
      <c r="AG105" s="143">
        <f>AF105*Input!V105/100</f>
        <v>2.4820138312524401E-2</v>
      </c>
      <c r="AH105" s="139">
        <f t="shared" ref="AH105" si="553">AF105/Z105</f>
        <v>44172.766755174489</v>
      </c>
      <c r="AI105" s="148">
        <f t="shared" ref="AI105" si="554">AH105*SQRT((AG105/AF105)^2+(AA105/Z105)^2)</f>
        <v>381.9743366114979</v>
      </c>
      <c r="AJ105" s="145">
        <f t="shared" si="526"/>
        <v>0.55510386198198702</v>
      </c>
      <c r="AK105" s="148">
        <f t="shared" ref="AK105" si="555">V105*1000</f>
        <v>1.7050808640485389</v>
      </c>
      <c r="AL105" s="148">
        <f t="shared" ref="AL105" si="556">AF105/Q105</f>
        <v>0.9991762033706495</v>
      </c>
      <c r="AM105" s="148">
        <f t="shared" ref="AM105" si="557">AL105*SQRT((R105/Q105)^2+(AG105/AF105)^2)</f>
        <v>2.4325635327395877E-3</v>
      </c>
      <c r="AN105" s="139">
        <f>AF105/Q105</f>
        <v>0.9991762033706495</v>
      </c>
      <c r="AO105" s="143">
        <f t="shared" ref="AO105" si="558">AN105*SQRT((R105/Q105)^2+(AG105/AF105)^2)</f>
        <v>2.4325635327395877E-3</v>
      </c>
      <c r="AP105" s="139">
        <f t="shared" ref="AP105" si="559">ThU_Alter_Kombi(AN105,U105)</f>
        <v>700.89679999999998</v>
      </c>
      <c r="AQ105" s="139" t="e">
        <f t="shared" si="532"/>
        <v>#VALUE!</v>
      </c>
      <c r="AR105" s="139" t="e">
        <f>(AQ105/AP105)*100</f>
        <v>#VALUE!</v>
      </c>
      <c r="AS105" s="147">
        <f t="shared" si="533"/>
        <v>2.2619733305557635E-5</v>
      </c>
      <c r="AT105" s="147">
        <f t="shared" si="534"/>
        <v>1.8774283275542076E-7</v>
      </c>
      <c r="AU105" s="139">
        <v>0.75</v>
      </c>
      <c r="AV105" s="139">
        <f t="shared" ref="AV105" si="560">AU105/2</f>
        <v>0.375</v>
      </c>
      <c r="AW105" s="139">
        <f t="shared" si="536"/>
        <v>700.89499999999998</v>
      </c>
      <c r="AX105" s="149">
        <f t="shared" si="537"/>
        <v>325.44424506569999</v>
      </c>
      <c r="AY105" s="149">
        <f t="shared" si="538"/>
        <v>229.62213943784772</v>
      </c>
      <c r="AZ105" s="150">
        <f t="shared" si="539"/>
        <v>0.4643266752733291</v>
      </c>
      <c r="BA105" s="139" t="str">
        <f>Input!B105</f>
        <v>Hu1-13</v>
      </c>
      <c r="BB105" s="151">
        <f>Input!E105</f>
        <v>0</v>
      </c>
      <c r="BC105" s="139">
        <f>((U105-1)*EXP(Constants!$B$17*AW105*1000))*1000</f>
        <v>4.0123122643568045</v>
      </c>
      <c r="BD105" s="145">
        <f>SQRT((EXP(Constants!$B$17*AW105*1000)*V105)^2+((U105-1)*Constants!$B$17*EXP(Constants!$B$17*AW105*1000)*AY105*1000)^2)*1000</f>
        <v>12.59565990945544</v>
      </c>
      <c r="BE105" s="139">
        <f t="shared" si="540"/>
        <v>700837</v>
      </c>
      <c r="BF105" s="152">
        <f t="shared" si="541"/>
        <v>114811.06971892386</v>
      </c>
      <c r="BG105" s="161">
        <f t="shared" si="542"/>
        <v>32.761275146469551</v>
      </c>
      <c r="BH105" s="139"/>
      <c r="BI105" s="18"/>
      <c r="BJ105" s="18"/>
      <c r="BK105" s="18"/>
      <c r="BL105" s="18"/>
      <c r="BM105" s="18"/>
      <c r="BN105" s="160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6" spans="1:110" ht="15" customHeight="1" x14ac:dyDescent="0.2">
      <c r="A106" s="18">
        <f>Input!A106</f>
        <v>10985</v>
      </c>
      <c r="B106" s="18" t="str">
        <f>Input!B106</f>
        <v>E8-48</v>
      </c>
      <c r="C106" s="18">
        <f>Input!O106</f>
        <v>1.8419857125718044</v>
      </c>
      <c r="D106" s="18">
        <f>C106*Input!P106/100</f>
        <v>6.2873066884762772E-3</v>
      </c>
      <c r="E106" s="153">
        <f>Input!M106</f>
        <v>2.3947955646790535</v>
      </c>
      <c r="F106" s="154">
        <f>E106*Input!N106/100</f>
        <v>1.3992674360124984E-4</v>
      </c>
      <c r="G106" s="21">
        <f>E106*137.88</f>
        <v>330.19441245794786</v>
      </c>
      <c r="H106" s="154">
        <f>G106*Input!L106/100</f>
        <v>1.2099156842057368E-2</v>
      </c>
      <c r="I106" s="18">
        <v>0.3</v>
      </c>
      <c r="J106" s="130">
        <f>(((C106*Constants!$B$24*0.000000001*Input!G106*(Constants!$B$4/Constants!$B$3))-(I106*0.000000000000001))/Input!F106)*1000000000000</f>
        <v>72.553937078585875</v>
      </c>
      <c r="K106" s="18">
        <f>J106*Input!P106/100</f>
        <v>0.24765059292049071</v>
      </c>
      <c r="L106" s="135">
        <f>(J106/Constants!$B$4)*602200000000*Constants!$B$17/(365.2425*24*60)</f>
        <v>1.0016876590828943</v>
      </c>
      <c r="M106" s="133">
        <f>L106*Input!P106/100</f>
        <v>3.4190914053957517E-3</v>
      </c>
      <c r="N106" s="18">
        <v>5.0000000000000001E-3</v>
      </c>
      <c r="O106" s="130">
        <f>(((G106*Constants!$B$23*0.000000001*Input!G106*(Constants!$B$7/Constants!$B$6))-(N106*0.000000001))/Input!F106)*1000000</f>
        <v>1.3101691526602217</v>
      </c>
      <c r="P106" s="18">
        <f>O106*Input!N106/100</f>
        <v>7.6552548285315893E-5</v>
      </c>
      <c r="Q106" s="131">
        <f>(O106/Constants!$B$7)*602200000000000000*Constants!$B$18/(365.2425*24*60)</f>
        <v>0.97754440190220693</v>
      </c>
      <c r="R106" s="132">
        <f>Q106*Input!N106/100</f>
        <v>5.711744538918038E-5</v>
      </c>
      <c r="S106" s="133">
        <f>Input!S106*Constants!$B$17/Constants!$B$18</f>
        <v>1.0165244555656878</v>
      </c>
      <c r="T106" s="18">
        <f>S106*Input!T106/100</f>
        <v>9.487380774563332E-4</v>
      </c>
      <c r="U106" s="18">
        <f>S106*1/((U105+U107)/2)</f>
        <v>1.0157042023263128</v>
      </c>
      <c r="V106" s="18">
        <f>U106*Input!T106/100</f>
        <v>9.4797252235621617E-4</v>
      </c>
      <c r="W106" s="134">
        <v>3.0000000000000001E-3</v>
      </c>
      <c r="X106" s="130">
        <f>IF((((Constants!$B$25*0.000000001*Input!G106/Input!W106*(Constants!$B$11/Constants!$B$9))-(W106*0.000000001))/Input!F106)*1000000000&lt;0, "n.d.", (((Constants!$B$25*0.000000001*Input!G106/Input!W106*(Constants!$B$11/Constants!$B$9))-(W106*0.000000001))/Input!F106)*1000000000)</f>
        <v>8.0182880509575588E-2</v>
      </c>
      <c r="Y106" s="130">
        <f>X106*Input!X106/100</f>
        <v>2.7996384021700783E-4</v>
      </c>
      <c r="Z106" s="130">
        <f>(X106/Constants!$B$11)*6.022E+23*0.000000001*Constants!$B$19/(365.2425*24*60)</f>
        <v>1.9575233343143769E-5</v>
      </c>
      <c r="AA106" s="130">
        <f>Z106*Input!X106/100</f>
        <v>6.8348224272587355E-8</v>
      </c>
      <c r="AB106" s="135">
        <v>0.05</v>
      </c>
      <c r="AC106" s="135">
        <v>0</v>
      </c>
      <c r="AD106" s="130">
        <f>(((Input!G106*Constants!$B$25*0.000000001*Input!U106*(Constants!$B$10/Constants!$B$9))-((AB106*0.000000000000001)+(Input!G106*AC106*0.000000000000001)))/Input!F106)*1000000000000</f>
        <v>0.11517147384311834</v>
      </c>
      <c r="AE106" s="130">
        <f>AD106*Input!V106/100</f>
        <v>1.7621264384941704E-3</v>
      </c>
      <c r="AF106" s="130">
        <f>(AD106/Constants!$B$10)*602200000000*Constants!$B$16/(365.2425*24*60)</f>
        <v>5.2570789115967296E-3</v>
      </c>
      <c r="AG106" s="130">
        <f>AF106*Input!V106/100</f>
        <v>8.0433439203819574E-5</v>
      </c>
      <c r="AH106" s="18">
        <f>AF106/Z106</f>
        <v>268.55766260574478</v>
      </c>
      <c r="AI106" s="134">
        <f>AH106*SQRT((AG106/AF106)^2+(AA106/Z106)^2)</f>
        <v>4.2145742564259407</v>
      </c>
      <c r="AJ106" s="133">
        <f t="shared" si="526"/>
        <v>15.704202326312755</v>
      </c>
      <c r="AK106" s="134">
        <f>V106*1000</f>
        <v>0.94797252235621621</v>
      </c>
      <c r="AL106" s="134">
        <f>AF106/Q106</f>
        <v>5.3778415603086289E-3</v>
      </c>
      <c r="AM106" s="134">
        <f>AL106*SQRT((R106/Q106)^2+(AG106/AF106)^2)</f>
        <v>8.2281710754719694E-5</v>
      </c>
      <c r="AN106" s="18">
        <f>AL106*1/((AN105+AN107)/2)</f>
        <v>5.3824151165749552E-3</v>
      </c>
      <c r="AO106" s="130">
        <f>AN106*SQRT((R106/Q106)^2+(AG106/AF106)^2)</f>
        <v>8.2351686790570905E-5</v>
      </c>
      <c r="AP106" s="18">
        <f>ThU_Alter_Kombi(AN106,U106)</f>
        <v>0.57940000000000003</v>
      </c>
      <c r="AQ106" s="18">
        <f t="shared" si="532"/>
        <v>9.7000000000000003E-3</v>
      </c>
      <c r="AR106" s="155">
        <f>(AQ106/AP106)</f>
        <v>1.6741456679323436E-2</v>
      </c>
      <c r="AS106" s="132">
        <f t="shared" si="533"/>
        <v>2.0024904551703488E-5</v>
      </c>
      <c r="AT106" s="132">
        <f t="shared" si="534"/>
        <v>6.9928070453240413E-8</v>
      </c>
      <c r="AU106" s="18">
        <v>0.75</v>
      </c>
      <c r="AV106" s="18">
        <f>AU106/2</f>
        <v>0.375</v>
      </c>
      <c r="AW106" s="18">
        <f t="shared" si="536"/>
        <v>0.57779999999999998</v>
      </c>
      <c r="AX106" s="136">
        <f t="shared" si="537"/>
        <v>9.5173696000000006E-3</v>
      </c>
      <c r="AY106" s="136">
        <f t="shared" si="538"/>
        <v>8.9533912103666718E-3</v>
      </c>
      <c r="AZ106" s="155">
        <f t="shared" si="539"/>
        <v>1.647173693319488E-2</v>
      </c>
      <c r="BA106" s="18" t="str">
        <f>Input!B106</f>
        <v>E8-48</v>
      </c>
      <c r="BB106" s="137">
        <f>Input!E106</f>
        <v>48</v>
      </c>
      <c r="BC106" s="18">
        <f>((U106-1)*EXP(Constants!$B$17*AW106*1000))*1000</f>
        <v>15.729830271585431</v>
      </c>
      <c r="BD106" s="133">
        <f>SQRT((EXP(Constants!$B$17*AW106*1000)*V106)^2+((U106-1)*Constants!$B$17*EXP(Constants!$B$17*AW106*1000)*AY106*1000)^2)*1000</f>
        <v>0.94951961743957158</v>
      </c>
      <c r="BE106" s="18">
        <f t="shared" si="540"/>
        <v>519.79999999999995</v>
      </c>
      <c r="BF106" s="138">
        <f t="shared" si="541"/>
        <v>4.4766956051833358</v>
      </c>
      <c r="BG106" s="20">
        <f t="shared" si="542"/>
        <v>1.5495658031094968</v>
      </c>
      <c r="BH106" s="18"/>
      <c r="BI106" s="18"/>
      <c r="BJ106" s="18"/>
      <c r="BK106" s="18"/>
      <c r="BL106" s="18"/>
      <c r="BM106" s="18"/>
      <c r="BN106" s="160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</row>
    <row r="107" spans="1:110" ht="15" customHeight="1" x14ac:dyDescent="0.2">
      <c r="A107" s="139">
        <f>Input!A107</f>
        <v>10815</v>
      </c>
      <c r="B107" s="139" t="str">
        <f>Input!B107</f>
        <v>Hu1-13</v>
      </c>
      <c r="C107" s="139">
        <f>Input!O107</f>
        <v>2.122476870502485</v>
      </c>
      <c r="D107" s="139">
        <f>C107*Input!P107/100</f>
        <v>2.6812973009004103E-2</v>
      </c>
      <c r="E107" s="140">
        <f>Input!M107</f>
        <v>2.7324420880837752</v>
      </c>
      <c r="F107" s="141">
        <f>E107*Input!N107/100</f>
        <v>3.8531328119495873E-4</v>
      </c>
      <c r="G107" s="142">
        <f t="shared" ref="G107" si="561">E107*137.88</f>
        <v>376.74911510499089</v>
      </c>
      <c r="H107" s="141">
        <f>G107*Input!L107/100</f>
        <v>2.2923883636312863E-2</v>
      </c>
      <c r="I107" s="139">
        <v>0</v>
      </c>
      <c r="J107" s="143">
        <f>(((C107*Constants!$B$24*0.000000001*Input!G107*(Constants!$B$4/Constants!$B$3))-(I107*0.000000000000001))/Input!F107)*1000000000000</f>
        <v>766.29383374121221</v>
      </c>
      <c r="K107" s="139">
        <f>J107*Input!P107/100</f>
        <v>9.6804898873668748</v>
      </c>
      <c r="L107" s="144">
        <f>(J107/Constants!$B$4)*602200000000*Constants!$B$17/(365.2425*24*60)</f>
        <v>10.579537202212601</v>
      </c>
      <c r="M107" s="145">
        <f>L107*Input!P107/100</f>
        <v>0.13364991128667714</v>
      </c>
      <c r="N107" s="139">
        <v>0</v>
      </c>
      <c r="O107" s="143">
        <f>(((G107*Constants!$B$23*0.000000001*Input!G107*(Constants!$B$7/Constants!$B$6))-(N107*0.000000001))/Input!F107)*1000000</f>
        <v>13.702067611241567</v>
      </c>
      <c r="P107" s="139">
        <f>O107*Input!N107/100</f>
        <v>1.9321868351636917E-3</v>
      </c>
      <c r="Q107" s="146">
        <f>(O107/Constants!$B$7)*602200000000000000*Constants!$B$18/(365.2425*24*60)</f>
        <v>10.223397078658305</v>
      </c>
      <c r="R107" s="147">
        <f>Q107*Input!N107/100</f>
        <v>1.4416447069512471E-3</v>
      </c>
      <c r="S107" s="145">
        <f>Input!S107*Constants!$B$17/Constants!$B$18</f>
        <v>1.0010600381006018</v>
      </c>
      <c r="T107" s="139">
        <f>S107*Input!T107/100</f>
        <v>2.1576482743319251E-3</v>
      </c>
      <c r="U107" s="145">
        <f>S107</f>
        <v>1.0010600381006018</v>
      </c>
      <c r="V107" s="139">
        <f>U107*Input!T107/100</f>
        <v>2.1576482743319251E-3</v>
      </c>
      <c r="W107" s="148">
        <v>0</v>
      </c>
      <c r="X107" s="143">
        <f>(((Constants!$B$25*0.000000001*Input!G107/Input!W107*(Constants!$B$11/Constants!$B$9))-(W107*0.000000001))/Input!F107)*1000000000</f>
        <v>0.9373241909886153</v>
      </c>
      <c r="Y107" s="143">
        <f>X107*Input!X107/100</f>
        <v>4.7620449510039275E-3</v>
      </c>
      <c r="Z107" s="143">
        <f>(X107/Constants!$B$11)*6.022E+23*0.000000001*Constants!$B$19/(365.2425*24*60)</f>
        <v>2.2883113752173584E-4</v>
      </c>
      <c r="AA107" s="143">
        <f>Z107*Input!X107/100</f>
        <v>1.1625691234091953E-6</v>
      </c>
      <c r="AB107" s="144">
        <v>0</v>
      </c>
      <c r="AC107" s="144">
        <v>0</v>
      </c>
      <c r="AD107" s="143">
        <f>(((Input!G107*Constants!$B$25*0.000000001*Input!U107*(Constants!$B$10/Constants!$B$9))-((AB107*0.000000000000001)+(Input!G107*AC107*0.000000000000001)))/Input!F107)*1000000000000</f>
        <v>223.77687374410041</v>
      </c>
      <c r="AE107" s="143">
        <f>AD107*Input!V107/100</f>
        <v>0.78273470712180793</v>
      </c>
      <c r="AF107" s="143">
        <f>(AD107/Constants!$B$10)*602200000000*Constants!$B$16/(365.2425*24*60)</f>
        <v>10.214444988918119</v>
      </c>
      <c r="AG107" s="143">
        <f>AF107*Input!V107/100</f>
        <v>3.5728448936843842E-2</v>
      </c>
      <c r="AH107" s="139">
        <f t="shared" ref="AH107" si="562">AF107/Z107</f>
        <v>44637.47853347924</v>
      </c>
      <c r="AI107" s="148">
        <f t="shared" ref="AI107" si="563">AH107*SQRT((AG107/AF107)^2+(AA107/Z107)^2)</f>
        <v>275.33040168546506</v>
      </c>
      <c r="AJ107" s="145">
        <f t="shared" si="526"/>
        <v>1.0600381006018456</v>
      </c>
      <c r="AK107" s="148">
        <f t="shared" ref="AK107" si="564">V107*1000</f>
        <v>2.1576482743319252</v>
      </c>
      <c r="AL107" s="148">
        <f t="shared" ref="AL107" si="565">AF107/Q107</f>
        <v>0.99912435273018263</v>
      </c>
      <c r="AM107" s="148">
        <f t="shared" ref="AM107" si="566">AL107*SQRT((R107/Q107)^2+(AG107/AF107)^2)</f>
        <v>3.4976115255773823E-3</v>
      </c>
      <c r="AN107" s="139">
        <f>AF107/Q107</f>
        <v>0.99912435273018263</v>
      </c>
      <c r="AO107" s="143">
        <f t="shared" ref="AO107" si="567">AN107*SQRT((R107/Q107)^2+(AG107/AF107)^2)</f>
        <v>3.4976115255773823E-3</v>
      </c>
      <c r="AP107" s="139">
        <f t="shared" ref="AP107" si="568">ThU_Alter_Kombi(AN107,U107)</f>
        <v>658.54679999999996</v>
      </c>
      <c r="AQ107" s="139" t="e">
        <f t="shared" si="532"/>
        <v>#VALUE!</v>
      </c>
      <c r="AR107" s="139" t="e">
        <f>(AQ107/AP107)*100</f>
        <v>#VALUE!</v>
      </c>
      <c r="AS107" s="147">
        <f t="shared" si="533"/>
        <v>2.238308223393071E-5</v>
      </c>
      <c r="AT107" s="147">
        <f t="shared" si="534"/>
        <v>1.1376031395101042E-7</v>
      </c>
      <c r="AU107" s="139">
        <v>0.75</v>
      </c>
      <c r="AV107" s="139">
        <f t="shared" ref="AV107" si="569">AU107/2</f>
        <v>0.375</v>
      </c>
      <c r="AW107" s="139">
        <f t="shared" si="536"/>
        <v>658.54499999999996</v>
      </c>
      <c r="AX107" s="149">
        <f t="shared" si="537"/>
        <v>301.64068587330001</v>
      </c>
      <c r="AY107" s="149">
        <f t="shared" si="538"/>
        <v>210.06971372686067</v>
      </c>
      <c r="AZ107" s="150">
        <f t="shared" si="539"/>
        <v>0.4580411146896568</v>
      </c>
      <c r="BA107" s="139" t="str">
        <f>Input!B107</f>
        <v>Hu1-13</v>
      </c>
      <c r="BB107" s="151">
        <f>Input!E107</f>
        <v>0</v>
      </c>
      <c r="BC107" s="139">
        <f>((U107-1)*EXP(Constants!$B$17*AW107*1000))*1000</f>
        <v>6.7988831370570368</v>
      </c>
      <c r="BD107" s="145">
        <f>SQRT((EXP(Constants!$B$17*AW107*1000)*V107)^2+((U107-1)*Constants!$B$17*EXP(Constants!$B$17*AW107*1000)*AY107*1000)^2)*1000</f>
        <v>14.413759274778901</v>
      </c>
      <c r="BE107" s="139">
        <f t="shared" si="540"/>
        <v>658487</v>
      </c>
      <c r="BF107" s="152">
        <f t="shared" si="541"/>
        <v>105034.85686343034</v>
      </c>
      <c r="BG107" s="161">
        <f t="shared" si="542"/>
        <v>31.899067448217007</v>
      </c>
      <c r="BH107" s="139"/>
      <c r="BI107" s="18"/>
      <c r="BJ107" s="18"/>
      <c r="BK107" s="18"/>
      <c r="BL107" s="18"/>
      <c r="BM107" s="18"/>
      <c r="BN107" s="160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10986</v>
      </c>
      <c r="B108" s="18" t="str">
        <f>Input!B108</f>
        <v>EO-B-85,5</v>
      </c>
      <c r="C108" s="18">
        <f>Input!O108</f>
        <v>0.78355142863349991</v>
      </c>
      <c r="D108" s="18">
        <f>C108*Input!P108/100</f>
        <v>3.0536898250838941E-3</v>
      </c>
      <c r="E108" s="153">
        <f>Input!M108</f>
        <v>1.0162012839634218</v>
      </c>
      <c r="F108" s="154">
        <f>E108*Input!N108/100</f>
        <v>7.5622365465916565E-5</v>
      </c>
      <c r="G108" s="21">
        <f>E108*137.88</f>
        <v>140.11383303287658</v>
      </c>
      <c r="H108" s="154">
        <f>G108*Input!L108/100</f>
        <v>8.5708115267446264E-3</v>
      </c>
      <c r="I108" s="18">
        <v>0.3</v>
      </c>
      <c r="J108" s="130">
        <f>(((C108*Constants!$B$24*0.000000001*Input!G108*(Constants!$B$4/Constants!$B$3))-(I108*0.000000000000001))/Input!F108)*1000000000000</f>
        <v>31.136811030363837</v>
      </c>
      <c r="K108" s="18">
        <f>J108*Input!P108/100</f>
        <v>0.12134769914822777</v>
      </c>
      <c r="L108" s="135">
        <f>(J108/Constants!$B$4)*602200000000*Constants!$B$17/(365.2425*24*60)</f>
        <v>0.42987824793752044</v>
      </c>
      <c r="M108" s="133">
        <f>L108*Input!P108/100</f>
        <v>1.675339720892411E-3</v>
      </c>
      <c r="N108" s="18">
        <v>5.0000000000000001E-3</v>
      </c>
      <c r="O108" s="130">
        <f>(((G108*Constants!$B$23*0.000000001*Input!G108*(Constants!$B$7/Constants!$B$6))-(N108*0.000000001))/Input!F108)*1000000</f>
        <v>0.56088297912826335</v>
      </c>
      <c r="P108" s="18">
        <f>O108*Input!N108/100</f>
        <v>4.1739071088180516E-5</v>
      </c>
      <c r="Q108" s="131">
        <f>(O108/Constants!$B$7)*602200000000000000*Constants!$B$18/(365.2425*24*60)</f>
        <v>0.41848643379810874</v>
      </c>
      <c r="R108" s="132">
        <f>Q108*Input!N108/100</f>
        <v>3.1142387377998834E-5</v>
      </c>
      <c r="S108" s="133">
        <f>Input!S108*Constants!$B$17/Constants!$B$18</f>
        <v>1.0174665337074498</v>
      </c>
      <c r="T108" s="18">
        <f>S108*Input!T108/100</f>
        <v>1.7282171945428176E-3</v>
      </c>
      <c r="U108" s="18">
        <f>S108*1/((U107+U109)/2)</f>
        <v>1.0167428405112784</v>
      </c>
      <c r="V108" s="18">
        <f>U108*Input!T108/100</f>
        <v>1.7269879658814683E-3</v>
      </c>
      <c r="W108" s="134">
        <v>3.0000000000000001E-3</v>
      </c>
      <c r="X108" s="130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0.20918024220312009</v>
      </c>
      <c r="Y108" s="130">
        <f>X108*Input!X108/100</f>
        <v>7.7917229632220859E-4</v>
      </c>
      <c r="Z108" s="130">
        <f>(X108/Constants!$B$11)*6.022E+23*0.000000001*Constants!$B$19/(365.2425*24*60)</f>
        <v>5.1067659653514244E-5</v>
      </c>
      <c r="AA108" s="130">
        <f>Z108*Input!X108/100</f>
        <v>1.9022114718364256E-7</v>
      </c>
      <c r="AB108" s="135">
        <v>0.05</v>
      </c>
      <c r="AC108" s="135">
        <v>0</v>
      </c>
      <c r="AD108" s="130">
        <f>(((Input!G108*Constants!$B$25*0.000000001*Input!U108*(Constants!$B$10/Constants!$B$9))-((AB108*0.000000000000001)+(Input!G108*AC108*0.000000000000001)))/Input!F108)*1000000000000</f>
        <v>0.19162319802274158</v>
      </c>
      <c r="AE108" s="130">
        <f>AD108*Input!V108/100</f>
        <v>2.6918740875475416E-3</v>
      </c>
      <c r="AF108" s="130">
        <f>(AD108/Constants!$B$10)*602200000000*Constants!$B$16/(365.2425*24*60)</f>
        <v>8.7467689670298592E-3</v>
      </c>
      <c r="AG108" s="130">
        <f>AF108*Input!V108/100</f>
        <v>1.2287239214804431E-4</v>
      </c>
      <c r="AH108" s="18">
        <f>AF108/Z108</f>
        <v>171.27804615240373</v>
      </c>
      <c r="AI108" s="134">
        <f>AH108*SQRT((AG108/AF108)^2+(AA108/Z108)^2)</f>
        <v>2.4892183523684062</v>
      </c>
      <c r="AJ108" s="133">
        <f t="shared" si="526"/>
        <v>16.742840511278388</v>
      </c>
      <c r="AK108" s="134">
        <f>V108*1000</f>
        <v>1.7269879658814682</v>
      </c>
      <c r="AL108" s="134">
        <f>AF108/Q108</f>
        <v>2.0900961800949518E-2</v>
      </c>
      <c r="AM108" s="134">
        <f>AL108*SQRT((R108/Q108)^2+(AG108/AF108)^2)</f>
        <v>2.9361553032777746E-4</v>
      </c>
      <c r="AN108" s="18">
        <f>AL108*1/((AN107+AN109)/2)</f>
        <v>2.0945755307026793E-2</v>
      </c>
      <c r="AO108" s="130">
        <f>AN108*SQRT((R108/Q108)^2+(AG108/AF108)^2)</f>
        <v>2.9424478697000157E-4</v>
      </c>
      <c r="AP108" s="18">
        <f>ThU_Alter_Kombi(AN108,U108)</f>
        <v>2.2698</v>
      </c>
      <c r="AQ108" s="18">
        <f t="shared" si="532"/>
        <v>3.4799999999999998E-2</v>
      </c>
      <c r="AR108" s="155">
        <f>(AQ108/AP108)</f>
        <v>1.5331747290510176E-2</v>
      </c>
      <c r="AS108" s="132">
        <f t="shared" si="533"/>
        <v>1.2202942683239027E-4</v>
      </c>
      <c r="AT108" s="132">
        <f t="shared" si="534"/>
        <v>4.546362548455443E-7</v>
      </c>
      <c r="AU108" s="18">
        <v>0.75</v>
      </c>
      <c r="AV108" s="18">
        <f>AU108/2</f>
        <v>0.375</v>
      </c>
      <c r="AW108" s="18">
        <f t="shared" si="536"/>
        <v>2.2599999999999998</v>
      </c>
      <c r="AX108" s="136">
        <f t="shared" si="537"/>
        <v>3.5572108599999999E-2</v>
      </c>
      <c r="AY108" s="136">
        <f t="shared" si="538"/>
        <v>3.2865799826071657E-2</v>
      </c>
      <c r="AZ108" s="155">
        <f t="shared" si="539"/>
        <v>1.5739871061946905E-2</v>
      </c>
      <c r="BA108" s="18" t="str">
        <f>Input!B108</f>
        <v>EO-B-85,5</v>
      </c>
      <c r="BB108" s="137">
        <f>Input!E108</f>
        <v>85.5</v>
      </c>
      <c r="BC108" s="18">
        <f>((U108-1)*EXP(Constants!$B$17*AW108*1000))*1000</f>
        <v>16.849965180101655</v>
      </c>
      <c r="BD108" s="133">
        <f>SQRT((EXP(Constants!$B$17*AW108*1000)*V108)^2+((U108-1)*Constants!$B$17*EXP(Constants!$B$17*AW108*1000)*AY108*1000)^2)*1000</f>
        <v>1.7380383475586065</v>
      </c>
      <c r="BE108" s="18">
        <f t="shared" si="540"/>
        <v>2202</v>
      </c>
      <c r="BF108" s="138">
        <f t="shared" si="541"/>
        <v>16.432899913035829</v>
      </c>
      <c r="BG108" s="20">
        <f t="shared" si="542"/>
        <v>1.454238930357153</v>
      </c>
      <c r="BH108" s="18"/>
      <c r="BI108" s="18"/>
      <c r="BJ108" s="18"/>
      <c r="BK108" s="18"/>
      <c r="BL108" s="18"/>
      <c r="BM108" s="18"/>
      <c r="BN108" s="160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9">
        <f>Input!A109</f>
        <v>10815</v>
      </c>
      <c r="B109" s="139" t="str">
        <f>Input!B109</f>
        <v>Hu1-13</v>
      </c>
      <c r="C109" s="139">
        <f>Input!O109</f>
        <v>2.1129445929274548</v>
      </c>
      <c r="D109" s="139">
        <f>C109*Input!P109/100</f>
        <v>1.8928241084716316E-2</v>
      </c>
      <c r="E109" s="140">
        <f>Input!M109</f>
        <v>2.7330540443187208</v>
      </c>
      <c r="F109" s="141">
        <f>E109*Input!N109/100</f>
        <v>4.9957807526346818E-4</v>
      </c>
      <c r="G109" s="142">
        <f t="shared" ref="G109" si="570">E109*137.88</f>
        <v>376.83349163066521</v>
      </c>
      <c r="H109" s="141">
        <f>G109*Input!L109/100</f>
        <v>2.4973779173426199E-2</v>
      </c>
      <c r="I109" s="139">
        <v>0</v>
      </c>
      <c r="J109" s="143">
        <f>(((C109*Constants!$B$24*0.000000001*Input!G109*(Constants!$B$4/Constants!$B$3))-(I109*0.000000000000001))/Input!F109)*1000000000000</f>
        <v>762.85232366929051</v>
      </c>
      <c r="K109" s="139">
        <f>J109*Input!P109/100</f>
        <v>6.8338056486576955</v>
      </c>
      <c r="L109" s="144">
        <f>(J109/Constants!$B$4)*602200000000*Constants!$B$17/(365.2425*24*60)</f>
        <v>10.532023334510018</v>
      </c>
      <c r="M109" s="145">
        <f>L109*Input!P109/100</f>
        <v>9.4348274655542741E-2</v>
      </c>
      <c r="N109" s="139">
        <v>0</v>
      </c>
      <c r="O109" s="143">
        <f>(((G109*Constants!$B$23*0.000000001*Input!G109*(Constants!$B$7/Constants!$B$6))-(N109*0.000000001))/Input!F109)*1000000</f>
        <v>13.705136318806465</v>
      </c>
      <c r="P109" s="139">
        <f>O109*Input!N109/100</f>
        <v>2.50517754583207E-3</v>
      </c>
      <c r="Q109" s="146">
        <f>(O109/Constants!$B$7)*602200000000000000*Constants!$B$18/(365.2425*24*60)</f>
        <v>10.225686705074139</v>
      </c>
      <c r="R109" s="147">
        <f>Q109*Input!N109/100</f>
        <v>1.8691649705893749E-3</v>
      </c>
      <c r="S109" s="145">
        <f>Input!S109*Constants!$B$17/Constants!$B$18</f>
        <v>1.0003635139861922</v>
      </c>
      <c r="T109" s="139">
        <f>S109*Input!T109/100</f>
        <v>1.7623469562913037E-3</v>
      </c>
      <c r="U109" s="145">
        <f>S109</f>
        <v>1.0003635139861922</v>
      </c>
      <c r="V109" s="139">
        <f>U109*Input!T109/100</f>
        <v>1.7623469562913037E-3</v>
      </c>
      <c r="W109" s="148">
        <v>0</v>
      </c>
      <c r="X109" s="143">
        <f>(((Constants!$B$25*0.000000001*Input!G109/Input!W109*(Constants!$B$11/Constants!$B$9))-(W109*0.000000001))/Input!F109)*1000000000</f>
        <v>0.95343679236260048</v>
      </c>
      <c r="Y109" s="143">
        <f>X109*Input!X109/100</f>
        <v>5.7903985245424845E-3</v>
      </c>
      <c r="Z109" s="143">
        <f>(X109/Constants!$B$11)*6.022E+23*0.000000001*Constants!$B$19/(365.2425*24*60)</f>
        <v>2.327647444170774E-4</v>
      </c>
      <c r="AA109" s="143">
        <f>Z109*Input!X109/100</f>
        <v>1.4136234760757721E-6</v>
      </c>
      <c r="AB109" s="144">
        <v>0</v>
      </c>
      <c r="AC109" s="144">
        <v>0</v>
      </c>
      <c r="AD109" s="143">
        <f>(((Input!G109*Constants!$B$25*0.000000001*Input!U109*(Constants!$B$10/Constants!$B$9))-((AB109*0.000000000000001)+(Input!G109*AC109*0.000000000000001)))/Input!F109)*1000000000000</f>
        <v>223.26115261258232</v>
      </c>
      <c r="AE109" s="143">
        <f>AD109*Input!V109/100</f>
        <v>0.68705725298900133</v>
      </c>
      <c r="AF109" s="143">
        <f>(AD109/Constants!$B$10)*602200000000*Constants!$B$16/(365.2425*24*60)</f>
        <v>10.190904553128769</v>
      </c>
      <c r="AG109" s="143">
        <f>AF109*Input!V109/100</f>
        <v>3.1361187585982039E-2</v>
      </c>
      <c r="AH109" s="139">
        <f t="shared" ref="AH109" si="571">AF109/Z109</f>
        <v>43781.993611834485</v>
      </c>
      <c r="AI109" s="148">
        <f t="shared" ref="AI109" si="572">AH109*SQRT((AG109/AF109)^2+(AA109/Z109)^2)</f>
        <v>298.08365384435967</v>
      </c>
      <c r="AJ109" s="145">
        <f t="shared" si="526"/>
        <v>0.36351398619216546</v>
      </c>
      <c r="AK109" s="148">
        <f t="shared" ref="AK109" si="573">V109*1000</f>
        <v>1.7623469562913037</v>
      </c>
      <c r="AL109" s="148">
        <f t="shared" ref="AL109" si="574">AF109/Q109</f>
        <v>0.99659855098747452</v>
      </c>
      <c r="AM109" s="148">
        <f t="shared" ref="AM109" si="575">AL109*SQRT((R109/Q109)^2+(AG109/AF109)^2)</f>
        <v>3.0723083682970935E-3</v>
      </c>
      <c r="AN109" s="139">
        <f>AF109/Q109</f>
        <v>0.99659855098747452</v>
      </c>
      <c r="AO109" s="143">
        <f t="shared" ref="AO109" si="576">AN109*SQRT((R109/Q109)^2+(AG109/AF109)^2)</f>
        <v>3.0723083682970935E-3</v>
      </c>
      <c r="AP109" s="139">
        <f t="shared" ref="AP109" si="577">ThU_Alter_Kombi(AN109,U109)</f>
        <v>604.42650000000003</v>
      </c>
      <c r="AQ109" s="139" t="e">
        <f t="shared" si="532"/>
        <v>#VALUE!</v>
      </c>
      <c r="AR109" s="139" t="e">
        <f>(AQ109/AP109)*100</f>
        <v>#VALUE!</v>
      </c>
      <c r="AS109" s="147">
        <f t="shared" si="533"/>
        <v>2.2762749449538294E-5</v>
      </c>
      <c r="AT109" s="147">
        <f t="shared" si="534"/>
        <v>1.3830500270265253E-7</v>
      </c>
      <c r="AU109" s="139">
        <v>0.75</v>
      </c>
      <c r="AV109" s="139">
        <f t="shared" ref="AV109" si="578">AU109/2</f>
        <v>0.375</v>
      </c>
      <c r="AW109" s="139">
        <f t="shared" si="536"/>
        <v>604.42470000000003</v>
      </c>
      <c r="AX109" s="149">
        <f t="shared" si="537"/>
        <v>256.49499251819998</v>
      </c>
      <c r="AY109" s="149">
        <f t="shared" si="538"/>
        <v>109.29057928161502</v>
      </c>
      <c r="AZ109" s="150">
        <f t="shared" si="539"/>
        <v>0.42436219518858176</v>
      </c>
      <c r="BA109" s="139" t="str">
        <f>Input!B109</f>
        <v>Hu1-13</v>
      </c>
      <c r="BB109" s="151">
        <f>Input!E109</f>
        <v>0</v>
      </c>
      <c r="BC109" s="139">
        <f>((U109-1)*EXP(Constants!$B$17*AW109*1000))*1000</f>
        <v>2.0012765712961262</v>
      </c>
      <c r="BD109" s="145">
        <f>SQRT((EXP(Constants!$B$17*AW109*1000)*V109)^2+((U109-1)*Constants!$B$17*EXP(Constants!$B$17*AW109*1000)*AY109*1000)^2)*1000</f>
        <v>9.7219743093659137</v>
      </c>
      <c r="BE109" s="139">
        <f t="shared" si="540"/>
        <v>604366.70000000007</v>
      </c>
      <c r="BF109" s="152">
        <f t="shared" si="541"/>
        <v>54645.28964080751</v>
      </c>
      <c r="BG109" s="161">
        <f t="shared" si="542"/>
        <v>18.08175266193043</v>
      </c>
      <c r="BH109" s="139"/>
      <c r="BI109" s="18"/>
      <c r="BJ109" s="18"/>
      <c r="BK109" s="18"/>
      <c r="BL109" s="18"/>
      <c r="BM109" s="18"/>
      <c r="BN109" s="160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10987</v>
      </c>
      <c r="B110" s="18" t="str">
        <f>Input!B110</f>
        <v>EO-B-177</v>
      </c>
      <c r="C110" s="18">
        <f>Input!O110</f>
        <v>0.91072390935696046</v>
      </c>
      <c r="D110" s="18">
        <f>C110*Input!P110/100</f>
        <v>3.4536107955451534E-3</v>
      </c>
      <c r="E110" s="153">
        <f>Input!M110</f>
        <v>1.1768566969317371</v>
      </c>
      <c r="F110" s="154">
        <f>E110*Input!N110/100</f>
        <v>8.9082079416919477E-5</v>
      </c>
      <c r="G110" s="21">
        <f>E110*137.88</f>
        <v>162.26500137294792</v>
      </c>
      <c r="H110" s="154">
        <f>G110*Input!L110/100</f>
        <v>8.7296510866479542E-3</v>
      </c>
      <c r="I110" s="18">
        <v>0.3</v>
      </c>
      <c r="J110" s="130">
        <f>(((C110*Constants!$B$24*0.000000001*Input!G110*(Constants!$B$4/Constants!$B$3))-(I110*0.000000000000001))/Input!F110)*1000000000000</f>
        <v>33.505735491191516</v>
      </c>
      <c r="K110" s="18">
        <f>J110*Input!P110/100</f>
        <v>0.12705911046824656</v>
      </c>
      <c r="L110" s="135">
        <f>(J110/Constants!$B$4)*602200000000*Constants!$B$17/(365.2425*24*60)</f>
        <v>0.46258388037122944</v>
      </c>
      <c r="M110" s="133">
        <f>L110*Input!P110/100</f>
        <v>1.7541920956300144E-3</v>
      </c>
      <c r="N110" s="18">
        <v>5.0000000000000001E-3</v>
      </c>
      <c r="O110" s="130">
        <f>(((G110*Constants!$B$23*0.000000001*Input!G110*(Constants!$B$7/Constants!$B$6))-(N110*0.000000001))/Input!F110)*1000000</f>
        <v>0.60136941457807669</v>
      </c>
      <c r="P110" s="18">
        <f>O110*Input!N110/100</f>
        <v>4.5520612737319506E-5</v>
      </c>
      <c r="Q110" s="131">
        <f>(O110/Constants!$B$7)*602200000000000000*Constants!$B$18/(365.2425*24*60)</f>
        <v>0.44869420372352697</v>
      </c>
      <c r="R110" s="132">
        <f>Q110*Input!N110/100</f>
        <v>3.3963874101426934E-5</v>
      </c>
      <c r="S110" s="133">
        <f>Input!S110*Constants!$B$17/Constants!$B$18</f>
        <v>1.0194478861207301</v>
      </c>
      <c r="T110" s="18">
        <f>S110*Input!T110/100</f>
        <v>1.36545184403836E-3</v>
      </c>
      <c r="U110" s="18">
        <f>S110*1/((U109+U111)/2)</f>
        <v>1.0190774372192881</v>
      </c>
      <c r="V110" s="18">
        <f>U110*Input!T110/100</f>
        <v>1.3649556635641224E-3</v>
      </c>
      <c r="W110" s="134">
        <v>3.0000000000000001E-3</v>
      </c>
      <c r="X110" s="130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0.1962925708856556</v>
      </c>
      <c r="Y110" s="130">
        <f>X110*Input!X110/100</f>
        <v>5.9996543970204815E-4</v>
      </c>
      <c r="Z110" s="130">
        <f>(X110/Constants!$B$11)*6.022E+23*0.000000001*Constants!$B$19/(365.2425*24*60)</f>
        <v>4.7921362442864876E-5</v>
      </c>
      <c r="AA110" s="130">
        <f>Z110*Input!X110/100</f>
        <v>1.4647095995244148E-7</v>
      </c>
      <c r="AB110" s="135">
        <v>0.05</v>
      </c>
      <c r="AC110" s="135">
        <v>0</v>
      </c>
      <c r="AD110" s="130">
        <f>(((Input!G110*Constants!$B$25*0.000000001*Input!U110*(Constants!$B$10/Constants!$B$9))-((AB110*0.000000000000001)+(Input!G110*AC110*0.000000000000001)))/Input!F110)*1000000000000</f>
        <v>0.21920176457570609</v>
      </c>
      <c r="AE110" s="130">
        <f>AD110*Input!V110/100</f>
        <v>2.6902819501425108E-3</v>
      </c>
      <c r="AF110" s="130">
        <f>(AD110/Constants!$B$10)*602200000000*Constants!$B$16/(365.2425*24*60)</f>
        <v>1.0005611072629254E-2</v>
      </c>
      <c r="AG110" s="130">
        <f>AF110*Input!V110/100</f>
        <v>1.2279971797190457E-4</v>
      </c>
      <c r="AH110" s="18">
        <f>AF110/Z110</f>
        <v>208.79229142449003</v>
      </c>
      <c r="AI110" s="134">
        <f>AH110*SQRT((AG110/AF110)^2+(AA110/Z110)^2)</f>
        <v>2.6407951889799497</v>
      </c>
      <c r="AJ110" s="133">
        <f t="shared" si="526"/>
        <v>19.077437219288118</v>
      </c>
      <c r="AK110" s="134">
        <f>V110*1000</f>
        <v>1.3649556635641225</v>
      </c>
      <c r="AL110" s="134">
        <f>AF110/Q110</f>
        <v>2.2299398988435422E-2</v>
      </c>
      <c r="AM110" s="134">
        <f>AL110*SQRT((R110/Q110)^2+(AG110/AF110)^2)</f>
        <v>2.7368763069222159E-4</v>
      </c>
      <c r="AN110" s="18">
        <f>AL110*1/((AN109+AN111)/2)</f>
        <v>2.2375508138497872E-2</v>
      </c>
      <c r="AO110" s="130">
        <f>AN110*SQRT((R110/Q110)^2+(AG110/AF110)^2)</f>
        <v>2.746217425472269E-4</v>
      </c>
      <c r="AP110" s="18">
        <f>ThU_Alter_Kombi(AN110,U110)</f>
        <v>2.4207999999999998</v>
      </c>
      <c r="AQ110" s="18">
        <f t="shared" si="532"/>
        <v>3.0499999999999999E-2</v>
      </c>
      <c r="AR110" s="155">
        <f>(AQ110/AP110)</f>
        <v>1.2599140779907468E-2</v>
      </c>
      <c r="AS110" s="132">
        <f t="shared" si="533"/>
        <v>1.0680183083531139E-4</v>
      </c>
      <c r="AT110" s="132">
        <f t="shared" si="534"/>
        <v>3.2653836133273259E-7</v>
      </c>
      <c r="AU110" s="18">
        <v>0.75</v>
      </c>
      <c r="AV110" s="18">
        <f>AU110/2</f>
        <v>0.375</v>
      </c>
      <c r="AW110" s="18">
        <f t="shared" si="536"/>
        <v>2.4121999999999999</v>
      </c>
      <c r="AX110" s="136">
        <f t="shared" si="537"/>
        <v>3.2251346399999999E-2</v>
      </c>
      <c r="AY110" s="136">
        <f t="shared" si="538"/>
        <v>3.0563431653914314E-2</v>
      </c>
      <c r="AZ110" s="155">
        <f t="shared" si="539"/>
        <v>1.3370096343586766E-2</v>
      </c>
      <c r="BA110" s="18" t="str">
        <f>Input!B110</f>
        <v>EO-B-177</v>
      </c>
      <c r="BB110" s="137">
        <f>Input!E110</f>
        <v>177</v>
      </c>
      <c r="BC110" s="18">
        <f>((U110-1)*EXP(Constants!$B$17*AW110*1000))*1000</f>
        <v>19.207747484924685</v>
      </c>
      <c r="BD110" s="133">
        <f>SQRT((EXP(Constants!$B$17*AW110*1000)*V110)^2+((U110-1)*Constants!$B$17*EXP(Constants!$B$17*AW110*1000)*AY110*1000)^2)*1000</f>
        <v>1.3742801227917945</v>
      </c>
      <c r="BE110" s="18">
        <f t="shared" si="540"/>
        <v>2354.1999999999998</v>
      </c>
      <c r="BF110" s="138">
        <f t="shared" si="541"/>
        <v>15.281715826957157</v>
      </c>
      <c r="BG110" s="20">
        <f t="shared" si="542"/>
        <v>1.2670355548426464</v>
      </c>
      <c r="BH110" s="18"/>
      <c r="BI110" s="18"/>
      <c r="BJ110" s="18"/>
      <c r="BK110" s="18"/>
      <c r="BL110" s="18"/>
      <c r="BM110" s="18"/>
      <c r="BN110" s="160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9">
        <f>Input!A111</f>
        <v>10815</v>
      </c>
      <c r="B111" s="139" t="str">
        <f>Input!B111</f>
        <v>Hu1-13</v>
      </c>
      <c r="C111" s="139">
        <f>Input!O111</f>
        <v>2.1129445929274548</v>
      </c>
      <c r="D111" s="139">
        <f>C111*Input!P111/100</f>
        <v>1.8928241084716316E-2</v>
      </c>
      <c r="E111" s="140">
        <f>Input!M111</f>
        <v>2.7330540443187208</v>
      </c>
      <c r="F111" s="141">
        <f>E111*Input!N111/100</f>
        <v>4.9957807526346818E-4</v>
      </c>
      <c r="G111" s="142">
        <f t="shared" ref="G111" si="579">E111*137.88</f>
        <v>376.83349163066521</v>
      </c>
      <c r="H111" s="141">
        <f>G111*Input!L111/100</f>
        <v>2.4973779173426199E-2</v>
      </c>
      <c r="I111" s="139">
        <v>0</v>
      </c>
      <c r="J111" s="143">
        <f>(((C111*Constants!$B$24*0.000000001*Input!G111*(Constants!$B$4/Constants!$B$3))-(I111*0.000000000000001))/Input!F111)*1000000000000</f>
        <v>762.85232366929051</v>
      </c>
      <c r="K111" s="139">
        <f>J111*Input!P111/100</f>
        <v>6.8338056486576955</v>
      </c>
      <c r="L111" s="144">
        <f>(J111/Constants!$B$4)*602200000000*Constants!$B$17/(365.2425*24*60)</f>
        <v>10.532023334510018</v>
      </c>
      <c r="M111" s="145">
        <f>L111*Input!P111/100</f>
        <v>9.4348274655542741E-2</v>
      </c>
      <c r="N111" s="139">
        <v>0</v>
      </c>
      <c r="O111" s="143">
        <f>(((G111*Constants!$B$23*0.000000001*Input!G111*(Constants!$B$7/Constants!$B$6))-(N111*0.000000001))/Input!F111)*1000000</f>
        <v>13.705136318806465</v>
      </c>
      <c r="P111" s="139">
        <f>O111*Input!N111/100</f>
        <v>2.50517754583207E-3</v>
      </c>
      <c r="Q111" s="146">
        <f>(O111/Constants!$B$7)*602200000000000000*Constants!$B$18/(365.2425*24*60)</f>
        <v>10.225686705074139</v>
      </c>
      <c r="R111" s="147">
        <f>Q111*Input!N111/100</f>
        <v>1.8691649705893749E-3</v>
      </c>
      <c r="S111" s="145">
        <f>Input!S111*Constants!$B$17/Constants!$B$18</f>
        <v>1.0003635139861922</v>
      </c>
      <c r="T111" s="139">
        <f>S111*Input!T111/100</f>
        <v>1.7623469562913037E-3</v>
      </c>
      <c r="U111" s="145">
        <f>S111</f>
        <v>1.0003635139861922</v>
      </c>
      <c r="V111" s="139">
        <f>U111*Input!T111/100</f>
        <v>1.7623469562913037E-3</v>
      </c>
      <c r="W111" s="148">
        <v>0</v>
      </c>
      <c r="X111" s="143">
        <f>(((Constants!$B$25*0.000000001*Input!G111/Input!W111*(Constants!$B$11/Constants!$B$9))-(W111*0.000000001))/Input!F111)*1000000000</f>
        <v>0.95343679236260048</v>
      </c>
      <c r="Y111" s="143">
        <f>X111*Input!X111/100</f>
        <v>5.7903985245424845E-3</v>
      </c>
      <c r="Z111" s="143">
        <f>(X111/Constants!$B$11)*6.022E+23*0.000000001*Constants!$B$19/(365.2425*24*60)</f>
        <v>2.327647444170774E-4</v>
      </c>
      <c r="AA111" s="143">
        <f>Z111*Input!X111/100</f>
        <v>1.4136234760757721E-6</v>
      </c>
      <c r="AB111" s="144">
        <v>0</v>
      </c>
      <c r="AC111" s="144">
        <v>0</v>
      </c>
      <c r="AD111" s="143">
        <f>(((Input!G111*Constants!$B$25*0.000000001*Input!U111*(Constants!$B$10/Constants!$B$9))-((AB111*0.000000000000001)+(Input!G111*AC111*0.000000000000001)))/Input!F111)*1000000000000</f>
        <v>223.26115261258232</v>
      </c>
      <c r="AE111" s="143">
        <f>AD111*Input!V111/100</f>
        <v>0.68705725298900133</v>
      </c>
      <c r="AF111" s="143">
        <f>(AD111/Constants!$B$10)*602200000000*Constants!$B$16/(365.2425*24*60)</f>
        <v>10.190904553128769</v>
      </c>
      <c r="AG111" s="143">
        <f>AF111*Input!V111/100</f>
        <v>3.1361187585982039E-2</v>
      </c>
      <c r="AH111" s="139">
        <f t="shared" ref="AH111" si="580">AF111/Z111</f>
        <v>43781.993611834485</v>
      </c>
      <c r="AI111" s="148">
        <f t="shared" ref="AI111" si="581">AH111*SQRT((AG111/AF111)^2+(AA111/Z111)^2)</f>
        <v>298.08365384435967</v>
      </c>
      <c r="AJ111" s="145">
        <f t="shared" si="526"/>
        <v>0.36351398619216546</v>
      </c>
      <c r="AK111" s="148">
        <f t="shared" ref="AK111" si="582">V111*1000</f>
        <v>1.7623469562913037</v>
      </c>
      <c r="AL111" s="148">
        <f t="shared" ref="AL111" si="583">AF111/Q111</f>
        <v>0.99659855098747452</v>
      </c>
      <c r="AM111" s="148">
        <f t="shared" ref="AM111" si="584">AL111*SQRT((R111/Q111)^2+(AG111/AF111)^2)</f>
        <v>3.0723083682970935E-3</v>
      </c>
      <c r="AN111" s="139">
        <f>AF111/Q111</f>
        <v>0.99659855098747452</v>
      </c>
      <c r="AO111" s="143">
        <f t="shared" ref="AO111" si="585">AN111*SQRT((R111/Q111)^2+(AG111/AF111)^2)</f>
        <v>3.0723083682970935E-3</v>
      </c>
      <c r="AP111" s="139">
        <f t="shared" ref="AP111" si="586">ThU_Alter_Kombi(AN111,U111)</f>
        <v>604.42650000000003</v>
      </c>
      <c r="AQ111" s="139" t="e">
        <f t="shared" si="532"/>
        <v>#VALUE!</v>
      </c>
      <c r="AR111" s="139" t="e">
        <f>(AQ111/AP111)*100</f>
        <v>#VALUE!</v>
      </c>
      <c r="AS111" s="147">
        <f t="shared" si="533"/>
        <v>2.2762749449538294E-5</v>
      </c>
      <c r="AT111" s="147">
        <f t="shared" si="534"/>
        <v>1.3830500270265253E-7</v>
      </c>
      <c r="AU111" s="139">
        <v>0.75</v>
      </c>
      <c r="AV111" s="139">
        <f t="shared" ref="AV111" si="587">AU111/2</f>
        <v>0.375</v>
      </c>
      <c r="AW111" s="139">
        <f t="shared" si="536"/>
        <v>604.42470000000003</v>
      </c>
      <c r="AX111" s="149">
        <f t="shared" si="537"/>
        <v>235.8503519484</v>
      </c>
      <c r="AY111" s="149">
        <f t="shared" si="538"/>
        <v>109.29057928161502</v>
      </c>
      <c r="AZ111" s="150">
        <f t="shared" si="539"/>
        <v>0.39020634323580755</v>
      </c>
      <c r="BA111" s="139" t="str">
        <f>Input!B111</f>
        <v>Hu1-13</v>
      </c>
      <c r="BB111" s="151">
        <f>Input!E111</f>
        <v>0</v>
      </c>
      <c r="BC111" s="139">
        <f>((U111-1)*EXP(Constants!$B$17*AW111*1000))*1000</f>
        <v>2.0012765712961262</v>
      </c>
      <c r="BD111" s="145">
        <f>SQRT((EXP(Constants!$B$17*AW111*1000)*V111)^2+((U111-1)*Constants!$B$17*EXP(Constants!$B$17*AW111*1000)*AY111*1000)^2)*1000</f>
        <v>9.7219743093659137</v>
      </c>
      <c r="BE111" s="139">
        <f t="shared" si="540"/>
        <v>604366.70000000007</v>
      </c>
      <c r="BF111" s="152">
        <f t="shared" si="541"/>
        <v>54645.28964080751</v>
      </c>
      <c r="BG111" s="161">
        <f t="shared" si="542"/>
        <v>18.08175266193043</v>
      </c>
      <c r="BH111" s="139"/>
      <c r="BI111" s="18"/>
      <c r="BJ111" s="18"/>
      <c r="BK111" s="18"/>
      <c r="BL111" s="18"/>
      <c r="BM111" s="18"/>
      <c r="BN111" s="160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3" spans="1:110" ht="15" customHeight="1" x14ac:dyDescent="0.2">
      <c r="A113" s="139">
        <f>Input!A113</f>
        <v>10815</v>
      </c>
      <c r="B113" s="139" t="str">
        <f>Input!B113</f>
        <v>Hu1-13</v>
      </c>
      <c r="C113" s="139">
        <f>Input!O113</f>
        <v>2.0683572937270798</v>
      </c>
      <c r="D113" s="139">
        <f>C113*Input!P113/100</f>
        <v>4.0601544941570512E-2</v>
      </c>
      <c r="E113" s="140">
        <f>Input!M113</f>
        <v>2.7324426853901573</v>
      </c>
      <c r="F113" s="141">
        <f>E113*Input!N113/100</f>
        <v>7.0372860828700023E-4</v>
      </c>
      <c r="G113" s="142">
        <f t="shared" ref="G113" si="588">E113*137.88</f>
        <v>376.74919746159486</v>
      </c>
      <c r="H113" s="141">
        <f>G113*Input!L113/100</f>
        <v>4.410055355789063E-2</v>
      </c>
      <c r="I113" s="139">
        <v>0</v>
      </c>
      <c r="J113" s="143">
        <f>(((C113*Constants!$B$24*0.000000001*Input!G113*(Constants!$B$4/Constants!$B$3))-(I113*0.000000000000001))/Input!F113)*1000000000000</f>
        <v>746.75463473083187</v>
      </c>
      <c r="K113" s="139">
        <f>J113*Input!P113/100</f>
        <v>14.658682015096078</v>
      </c>
      <c r="L113" s="144">
        <f>(J113/Constants!$B$4)*602200000000*Constants!$B$17/(365.2425*24*60)</f>
        <v>10.309776865211683</v>
      </c>
      <c r="M113" s="145">
        <f>L113*Input!P113/100</f>
        <v>0.20237938097057304</v>
      </c>
      <c r="N113" s="139">
        <v>0</v>
      </c>
      <c r="O113" s="143">
        <f>(((G113*Constants!$B$23*0.000000001*Input!G113*(Constants!$B$7/Constants!$B$6))-(N113*0.000000001))/Input!F113)*1000000</f>
        <v>13.702070606486174</v>
      </c>
      <c r="P113" s="139">
        <f>O113*Input!N113/100</f>
        <v>3.5289080829067408E-3</v>
      </c>
      <c r="Q113" s="146">
        <f>(O113/Constants!$B$7)*602200000000000000*Constants!$B$18/(365.2425*24*60)</f>
        <v>10.223399313472484</v>
      </c>
      <c r="R113" s="147">
        <f>Q113*Input!N113/100</f>
        <v>2.6329915753768073E-3</v>
      </c>
      <c r="S113" s="145">
        <f>Input!S113*Constants!$B$17/Constants!$B$18</f>
        <v>1.0027478220149557</v>
      </c>
      <c r="T113" s="139">
        <f>S113*Input!T113/100</f>
        <v>1.0674151318674212E-3</v>
      </c>
      <c r="U113" s="145">
        <f>S113</f>
        <v>1.0027478220149557</v>
      </c>
      <c r="V113" s="139">
        <f>U113*Input!T113/100</f>
        <v>1.0674151318674212E-3</v>
      </c>
      <c r="W113" s="148">
        <v>0</v>
      </c>
      <c r="X113" s="143">
        <f>(((Constants!$B$25*0.000000001*Input!G113/Input!W113*(Constants!$B$11/Constants!$B$9))-(W113*0.000000001))/Input!F113)*1000000000</f>
        <v>0.95956502139012501</v>
      </c>
      <c r="Y113" s="143">
        <f>X113*Input!X113/100</f>
        <v>1.1360603904160748E-2</v>
      </c>
      <c r="Z113" s="143">
        <f>(X113/Constants!$B$11)*6.022E+23*0.000000001*Constants!$B$19/(365.2425*24*60)</f>
        <v>2.3426084324056252E-4</v>
      </c>
      <c r="AA113" s="143">
        <f>Z113*Input!X113/100</f>
        <v>2.7734906869106431E-6</v>
      </c>
      <c r="AB113" s="144">
        <v>0</v>
      </c>
      <c r="AC113" s="144">
        <v>0</v>
      </c>
      <c r="AD113" s="143">
        <f>(((Input!G113*Constants!$B$25*0.000000001*Input!U113*(Constants!$B$10/Constants!$B$9))-((AB113*0.000000000000001)+(Input!G113*AC113*0.000000000000001)))/Input!F113)*1000000000000</f>
        <v>223.54023800319035</v>
      </c>
      <c r="AE113" s="143">
        <f>AD113*Input!V113/100</f>
        <v>1.4054226175732891</v>
      </c>
      <c r="AF113" s="143">
        <f>(AD113/Constants!$B$10)*602200000000*Constants!$B$16/(365.2425*24*60)</f>
        <v>10.203643592341715</v>
      </c>
      <c r="AG113" s="143">
        <f>AF113*Input!V113/100</f>
        <v>6.4151454854088255E-2</v>
      </c>
      <c r="AH113" s="139">
        <f t="shared" ref="AH113" si="589">AF113/Z113</f>
        <v>43556.761135123168</v>
      </c>
      <c r="AI113" s="148">
        <f t="shared" ref="AI113" si="590">AH113*SQRT((AG113/AF113)^2+(AA113/Z113)^2)</f>
        <v>583.88393604896942</v>
      </c>
      <c r="AJ113" s="145">
        <f t="shared" ref="AJ113:AJ123" si="591">(U113-1)*1000</f>
        <v>2.7478220149557142</v>
      </c>
      <c r="AK113" s="148">
        <f t="shared" ref="AK113" si="592">V113*1000</f>
        <v>1.0674151318674212</v>
      </c>
      <c r="AL113" s="148">
        <f t="shared" ref="AL113" si="593">AF113/Q113</f>
        <v>0.99806759762335262</v>
      </c>
      <c r="AM113" s="148">
        <f t="shared" ref="AM113" si="594">AL113*SQRT((R113/Q113)^2+(AG113/AF113)^2)</f>
        <v>6.2802258930109971E-3</v>
      </c>
      <c r="AN113" s="139">
        <f>AF113/Q113</f>
        <v>0.99806759762335262</v>
      </c>
      <c r="AO113" s="143">
        <f t="shared" ref="AO113" si="595">AN113*SQRT((R113/Q113)^2+(AG113/AF113)^2)</f>
        <v>6.2802258930109971E-3</v>
      </c>
      <c r="AP113" s="139">
        <f t="shared" ref="AP113" si="596">ThU_Alter_Kombi(AN113,U113)</f>
        <v>561.77059999999994</v>
      </c>
      <c r="AQ113" s="139" t="e">
        <f t="shared" ref="AQ113:AQ123" si="597">Montealter(AN113,AO113,U113,V113)</f>
        <v>#VALUE!</v>
      </c>
      <c r="AR113" s="139" t="e">
        <f>(AQ113/AP113)*100</f>
        <v>#VALUE!</v>
      </c>
      <c r="AS113" s="147">
        <f t="shared" ref="AS113:AS123" si="598">Z113/Q113</f>
        <v>2.2914183047888148E-5</v>
      </c>
      <c r="AT113" s="147">
        <f t="shared" ref="AT113:AT123" si="599">AS113*SQRT((Y113/X113)^2+(P113/O113)^2)</f>
        <v>2.713526828542189E-7</v>
      </c>
      <c r="AU113" s="139">
        <v>0.75</v>
      </c>
      <c r="AV113" s="139">
        <f t="shared" ref="AV113" si="600">AU113/2</f>
        <v>0.375</v>
      </c>
      <c r="AW113" s="139">
        <f t="shared" ref="AW113:AW123" si="601">marincorr_age(AN113,U113,AS113,AU113)</f>
        <v>561.76869999999997</v>
      </c>
      <c r="AX113" s="149">
        <f t="shared" ref="AX113:AX123" si="602">marincorr_age_error(AN113, AO113, U113, V113, AS113, AT113, AU113, AV113)</f>
        <v>235.38335699660001</v>
      </c>
      <c r="AY113" s="149">
        <f t="shared" ref="AY113:AY123" si="603">SQRT(((AU113*EXP(-0.0000091577*AW113*1000))/(0.0000091577*(EXP(-0.0000091577*AW113*1000)+(AJ113/1000)*EXP(-(0.0000091577-0.0000028263)*AW113*1000)-AS113*AU113*EXP(-0.0000091577*AW113*1000))))^2*AT113^2+((AS113*EXP(-0.0000091577*AW113*1000))/(0.0000091577*(EXP(-0.0000091577*AW113*1000)+(AJ113/1000)*EXP(-(0.0000091577-0.0000028263)*AW113*1000)-AS113*AU113*EXP(-0.0000091577*AW113*1000))))^2*AV113^2+((0.0000091577/(0.0000091577-0.0000028263))*(EXP(-(0.0000091577-0.0000028263)*AW113*1000)-1)/(0.0000091577*(EXP(-0.0000091577*AW113*1000)+(AJ113/1000)*EXP(-(0.0000091577-0.0000028263)*AW113*1000)-AS113*AU113*EXP(-0.0000091577*AW113*1000))))^2*T113^2+(1/(0.0000091577*(EXP(-0.0000091577*AW113*1000)+(AJ113/1000)*EXP(-(0.0000091577-0.0000028263)*AW113*1000)-AS113*AU113*EXP(-0.0000091577*AW113*1000))))^2*AO113^2)/1000</f>
        <v>119.30901821010893</v>
      </c>
      <c r="AZ113" s="150">
        <f t="shared" ref="AZ113:AZ123" si="604">AX113/AW113</f>
        <v>0.41900404382907064</v>
      </c>
      <c r="BA113" s="139" t="str">
        <f>Input!B113</f>
        <v>Hu1-13</v>
      </c>
      <c r="BB113" s="151">
        <f>Input!E113</f>
        <v>0</v>
      </c>
      <c r="BC113" s="139">
        <f>((U113-1)*EXP(Constants!$B$17*AW113*1000))*1000</f>
        <v>13.412050325158134</v>
      </c>
      <c r="BD113" s="145">
        <f>SQRT((EXP(Constants!$B$17*AW113*1000)*V113)^2+((U113-1)*Constants!$B$17*EXP(Constants!$B$17*AW113*1000)*AY113*1000)^2)*1000</f>
        <v>6.8946953998287928</v>
      </c>
      <c r="BE113" s="139">
        <f t="shared" ref="BE113:BE123" si="605">AW113*1000-58</f>
        <v>561710.69999999995</v>
      </c>
      <c r="BF113" s="152">
        <f t="shared" ref="BF113:BF123" si="606">AY113/2*1000</f>
        <v>59654.509105054465</v>
      </c>
      <c r="BG113" s="161">
        <f t="shared" ref="BG113:BG123" si="607">AY113/AW113*100</f>
        <v>21.238103548686308</v>
      </c>
      <c r="BH113" s="139"/>
      <c r="BI113" s="18"/>
      <c r="BJ113" s="18"/>
      <c r="BK113" s="18"/>
      <c r="BL113" s="18"/>
      <c r="BM113" s="18"/>
      <c r="BN113" s="160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11019</v>
      </c>
      <c r="B114" s="18" t="str">
        <f>Input!B114</f>
        <v>KMS6-7,3cm-a</v>
      </c>
      <c r="C114" s="18">
        <f>Input!O114</f>
        <v>0.52301295169144779</v>
      </c>
      <c r="D114" s="18">
        <f>C114*Input!P114/100</f>
        <v>2.4475706020943991E-3</v>
      </c>
      <c r="E114" s="153">
        <f>Input!M114</f>
        <v>0.76352235396653989</v>
      </c>
      <c r="F114" s="154">
        <f>E114*Input!N114/100</f>
        <v>9.3597839773518633E-5</v>
      </c>
      <c r="G114" s="21">
        <f>E114*137.88</f>
        <v>105.27446216490651</v>
      </c>
      <c r="H114" s="154">
        <f>G114*Input!L114/100</f>
        <v>1.2537027780859323E-2</v>
      </c>
      <c r="I114" s="18">
        <v>0.3</v>
      </c>
      <c r="J114" s="130">
        <f>(((C114*Constants!$B$24*0.000000001*Input!G114*(Constants!$B$4/Constants!$B$3))-(I114*0.000000000000001))/Input!F114)*1000000000000</f>
        <v>3.2485263626217247</v>
      </c>
      <c r="K114" s="18">
        <f>J114*Input!P114/100</f>
        <v>1.5202295850547665E-2</v>
      </c>
      <c r="L114" s="135">
        <f>(J114/Constants!$B$4)*602200000000*Constants!$B$17/(365.2425*24*60)</f>
        <v>4.4849513323020451E-2</v>
      </c>
      <c r="M114" s="133">
        <f>L114*Input!P114/100</f>
        <v>2.0988457355149072E-4</v>
      </c>
      <c r="N114" s="18">
        <v>5.0000000000000001E-3</v>
      </c>
      <c r="O114" s="130">
        <f>(((G114*Constants!$B$23*0.000000001*Input!G114*(Constants!$B$7/Constants!$B$6))-(N114*0.000000001))/Input!F114)*1000000</f>
        <v>6.5872269760917465E-2</v>
      </c>
      <c r="P114" s="18">
        <f>O114*Input!N114/100</f>
        <v>8.075077459841526E-6</v>
      </c>
      <c r="Q114" s="131">
        <f>(O114/Constants!$B$7)*602200000000000000*Constants!$B$18/(365.2425*24*60)</f>
        <v>4.914866787592314E-2</v>
      </c>
      <c r="R114" s="132">
        <f>Q114*Input!N114/100</f>
        <v>6.0249829190123924E-6</v>
      </c>
      <c r="S114" s="133">
        <f>Input!S114*Constants!$B$17/Constants!$B$18</f>
        <v>0.90983092222432504</v>
      </c>
      <c r="T114" s="18">
        <f>S114*Input!T114/100</f>
        <v>9.1939208460262666E-4</v>
      </c>
      <c r="U114" s="18">
        <f>S114*1/((U113+U115)/2)</f>
        <v>0.90917788629370333</v>
      </c>
      <c r="V114" s="18">
        <f>U114*Input!T114/100</f>
        <v>9.1873218609741115E-4</v>
      </c>
      <c r="W114" s="134">
        <v>3.0000000000000001E-3</v>
      </c>
      <c r="X114" s="130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1.4119917295290518</v>
      </c>
      <c r="Y114" s="130">
        <f>X114*Input!X114/100</f>
        <v>3.3171801018740872E-3</v>
      </c>
      <c r="Z114" s="130">
        <f>(X114/Constants!$B$11)*6.022E+23*0.000000001*Constants!$B$19/(365.2425*24*60)</f>
        <v>3.4471282907851532E-4</v>
      </c>
      <c r="AA114" s="130">
        <f>Z114*Input!X114/100</f>
        <v>8.0983090308989459E-7</v>
      </c>
      <c r="AB114" s="135">
        <v>0.05</v>
      </c>
      <c r="AC114" s="135">
        <v>0</v>
      </c>
      <c r="AD114" s="130">
        <f>(((Input!G114*Constants!$B$25*0.000000001*Input!U114*(Constants!$B$10/Constants!$B$9))-((AB114*0.000000000000001)+(Input!G114*AC114*0.000000000000001)))/Input!F114)*1000000000000</f>
        <v>1.3220700404244522E-2</v>
      </c>
      <c r="AE114" s="130">
        <f>AD114*Input!V114/100</f>
        <v>3.4250656975150971E-4</v>
      </c>
      <c r="AF114" s="130">
        <f>(AD114/Constants!$B$10)*602200000000*Constants!$B$16/(365.2425*24*60)</f>
        <v>6.0346770751900985E-4</v>
      </c>
      <c r="AG114" s="130">
        <f>AF114*Input!V114/100</f>
        <v>1.5633941329748671E-5</v>
      </c>
      <c r="AH114" s="18">
        <f>AF114/Z114</f>
        <v>1.7506389568737457</v>
      </c>
      <c r="AI114" s="134">
        <f>AH114*SQRT((AG114/AF114)^2+(AA114/Z114)^2)</f>
        <v>4.5539618806550643E-2</v>
      </c>
      <c r="AJ114" s="133">
        <f t="shared" si="591"/>
        <v>-90.822113706296676</v>
      </c>
      <c r="AK114" s="134">
        <f>V114*1000</f>
        <v>0.91873218609741114</v>
      </c>
      <c r="AL114" s="134">
        <f>AF114/Q114</f>
        <v>1.2278414321268624E-2</v>
      </c>
      <c r="AM114" s="134">
        <f>AL114*SQRT((R114/Q114)^2+(AG114/AF114)^2)</f>
        <v>3.1809847608260509E-4</v>
      </c>
      <c r="AN114" s="18">
        <f>AL114*1/((AN113+AN115)/2)</f>
        <v>1.2291067352537977E-2</v>
      </c>
      <c r="AO114" s="130">
        <f>AN114*SQRT((R114/Q114)^2+(AG114/AF114)^2)</f>
        <v>3.1842627980866399E-4</v>
      </c>
      <c r="AP114" s="18">
        <f>ThU_Alter_Kombi(AN114,U114)</f>
        <v>1.4844999999999999</v>
      </c>
      <c r="AQ114" s="18">
        <f t="shared" si="597"/>
        <v>3.7400000000000003E-2</v>
      </c>
      <c r="AR114" s="155">
        <f>(AQ114/AP114)</f>
        <v>2.5193667901650389E-2</v>
      </c>
      <c r="AS114" s="132">
        <f t="shared" si="598"/>
        <v>7.0136759341830014E-3</v>
      </c>
      <c r="AT114" s="132">
        <f t="shared" si="599"/>
        <v>1.6499585622964993E-5</v>
      </c>
      <c r="AU114" s="18">
        <v>0.75</v>
      </c>
      <c r="AV114" s="18">
        <f>AU114/2</f>
        <v>0.375</v>
      </c>
      <c r="AW114" s="18">
        <f t="shared" si="601"/>
        <v>0.85160000000000002</v>
      </c>
      <c r="AX114" s="136">
        <f t="shared" si="602"/>
        <v>0.3094414955</v>
      </c>
      <c r="AY114" s="136">
        <f t="shared" si="603"/>
        <v>0.3201712062487565</v>
      </c>
      <c r="AZ114" s="155">
        <f t="shared" si="604"/>
        <v>0.36336483736496006</v>
      </c>
      <c r="BA114" s="18" t="str">
        <f>Input!B114</f>
        <v>KMS6-7,3cm-a</v>
      </c>
      <c r="BB114" s="137">
        <f>Input!E114</f>
        <v>7.3</v>
      </c>
      <c r="BC114" s="18">
        <f>((U114-1)*EXP(Constants!$B$17*AW114*1000))*1000</f>
        <v>-91.040645921470983</v>
      </c>
      <c r="BD114" s="133">
        <f>SQRT((EXP(Constants!$B$17*AW114*1000)*V114)^2+((U114-1)*Constants!$B$17*EXP(Constants!$B$17*AW114*1000)*AY114*1000)^2)*1000</f>
        <v>0.92460921262914897</v>
      </c>
      <c r="BE114" s="18">
        <f t="shared" si="605"/>
        <v>793.6</v>
      </c>
      <c r="BF114" s="138">
        <f t="shared" si="606"/>
        <v>160.08560312437825</v>
      </c>
      <c r="BG114" s="20">
        <f t="shared" si="607"/>
        <v>37.596430982709784</v>
      </c>
      <c r="BH114" s="18"/>
      <c r="BI114" s="18"/>
      <c r="BJ114" s="18"/>
      <c r="BK114" s="18"/>
      <c r="BL114" s="18"/>
      <c r="BM114" s="18"/>
      <c r="BN114" s="160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9">
        <f>Input!A115</f>
        <v>10815</v>
      </c>
      <c r="B115" s="139" t="str">
        <f>Input!B115</f>
        <v>Hu1-13</v>
      </c>
      <c r="C115" s="139">
        <f>Input!O115</f>
        <v>2.0215620245421517</v>
      </c>
      <c r="D115" s="139">
        <f>C115*Input!P115/100</f>
        <v>3.792542909464882E-2</v>
      </c>
      <c r="E115" s="140">
        <f>Input!M115</f>
        <v>2.7316820477873596</v>
      </c>
      <c r="F115" s="141">
        <f>E115*Input!N115/100</f>
        <v>6.0705062123220482E-4</v>
      </c>
      <c r="G115" s="142">
        <f t="shared" ref="G115" si="608">E115*137.88</f>
        <v>376.64432074892113</v>
      </c>
      <c r="H115" s="141">
        <f>G115*Input!L115/100</f>
        <v>3.831526846615186E-2</v>
      </c>
      <c r="I115" s="139">
        <v>0</v>
      </c>
      <c r="J115" s="143">
        <f>(((C115*Constants!$B$24*0.000000001*Input!G115*(Constants!$B$4/Constants!$B$3))-(I115*0.000000000000001))/Input!F115)*1000000000000</f>
        <v>729.8597857348185</v>
      </c>
      <c r="K115" s="139">
        <f>J115*Input!P115/100</f>
        <v>13.692503725771427</v>
      </c>
      <c r="L115" s="144">
        <f>(J115/Constants!$B$4)*602200000000*Constants!$B$17/(365.2425*24*60)</f>
        <v>10.076524716220165</v>
      </c>
      <c r="M115" s="145">
        <f>L115*Input!P115/100</f>
        <v>0.18904021692435383</v>
      </c>
      <c r="N115" s="139">
        <v>0</v>
      </c>
      <c r="O115" s="143">
        <f>(((G115*Constants!$B$23*0.000000001*Input!G115*(Constants!$B$7/Constants!$B$6))-(N115*0.000000001))/Input!F115)*1000000</f>
        <v>13.698256323319248</v>
      </c>
      <c r="P115" s="139">
        <f>O115*Input!N115/100</f>
        <v>3.0441079398696646E-3</v>
      </c>
      <c r="Q115" s="146">
        <f>(O115/Constants!$B$7)*602200000000000000*Constants!$B$18/(365.2425*24*60)</f>
        <v>10.22055339762297</v>
      </c>
      <c r="R115" s="147">
        <f>Q115*Input!N115/100</f>
        <v>2.2712721249493343E-3</v>
      </c>
      <c r="S115" s="145">
        <f>Input!S115*Constants!$B$17/Constants!$B$18</f>
        <v>0.99868871959140448</v>
      </c>
      <c r="T115" s="139">
        <f>S115*Input!T115/100</f>
        <v>1.5338463040805341E-3</v>
      </c>
      <c r="U115" s="145">
        <f>S115</f>
        <v>0.99868871959140448</v>
      </c>
      <c r="V115" s="139">
        <f>U115*Input!T115/100</f>
        <v>1.5338463040805341E-3</v>
      </c>
      <c r="W115" s="148">
        <v>0</v>
      </c>
      <c r="X115" s="143">
        <f>(((Constants!$B$25*0.000000001*Input!G115/Input!W115*(Constants!$B$11/Constants!$B$9))-(W115*0.000000001))/Input!F115)*1000000000</f>
        <v>0.95533980597338564</v>
      </c>
      <c r="Y115" s="143">
        <f>X115*Input!X115/100</f>
        <v>1.0005109007066929E-2</v>
      </c>
      <c r="Z115" s="143">
        <f>(X115/Constants!$B$11)*6.022E+23*0.000000001*Constants!$B$19/(365.2425*24*60)</f>
        <v>2.3322933156148476E-4</v>
      </c>
      <c r="AA115" s="143">
        <f>Z115*Input!X115/100</f>
        <v>2.4425705611004521E-6</v>
      </c>
      <c r="AB115" s="144">
        <v>0</v>
      </c>
      <c r="AC115" s="144">
        <v>0</v>
      </c>
      <c r="AD115" s="143">
        <f>(((Input!G115*Constants!$B$25*0.000000001*Input!U115*(Constants!$B$10/Constants!$B$9))-((AB115*0.000000000000001)+(Input!G115*AC115*0.000000000000001)))/Input!F115)*1000000000000</f>
        <v>223.88237217330968</v>
      </c>
      <c r="AE115" s="143">
        <f>AD115*Input!V115/100</f>
        <v>1.1078426691303691</v>
      </c>
      <c r="AF115" s="143">
        <f>(AD115/Constants!$B$10)*602200000000*Constants!$B$16/(365.2425*24*60)</f>
        <v>10.219260535241316</v>
      </c>
      <c r="AG115" s="143">
        <f>AF115*Input!V115/100</f>
        <v>5.0568219185816131E-2</v>
      </c>
      <c r="AH115" s="139">
        <f t="shared" ref="AH115" si="609">AF115/Z115</f>
        <v>43816.360775991328</v>
      </c>
      <c r="AI115" s="148">
        <f t="shared" ref="AI115" si="610">AH115*SQRT((AG115/AF115)^2+(AA115/Z115)^2)</f>
        <v>507.52517995546725</v>
      </c>
      <c r="AJ115" s="145">
        <f t="shared" si="591"/>
        <v>-1.3112804085955165</v>
      </c>
      <c r="AK115" s="148">
        <f t="shared" ref="AK115" si="611">V115*1000</f>
        <v>1.5338463040805341</v>
      </c>
      <c r="AL115" s="148">
        <f t="shared" ref="AL115" si="612">AF115/Q115</f>
        <v>0.99987350368112604</v>
      </c>
      <c r="AM115" s="148">
        <f t="shared" ref="AM115" si="613">AL115*SQRT((R115/Q115)^2+(AG115/AF115)^2)</f>
        <v>4.9526856064680668E-3</v>
      </c>
      <c r="AN115" s="139">
        <f>AF115/Q115</f>
        <v>0.99987350368112604</v>
      </c>
      <c r="AO115" s="143">
        <f t="shared" ref="AO115" si="614">AN115*SQRT((R115/Q115)^2+(AG115/AF115)^2)</f>
        <v>4.9526856064680668E-3</v>
      </c>
      <c r="AP115" s="139" t="str">
        <f t="shared" ref="AP115" si="615">ThU_Alter_Kombi(AN115,U115)</f>
        <v>Out of range</v>
      </c>
      <c r="AQ115" s="139" t="e">
        <f t="shared" si="597"/>
        <v>#VALUE!</v>
      </c>
      <c r="AR115" s="139" t="e">
        <f>(AQ115/AP115)*100</f>
        <v>#VALUE!</v>
      </c>
      <c r="AS115" s="147">
        <f t="shared" si="598"/>
        <v>2.2819638280616755E-5</v>
      </c>
      <c r="AT115" s="147">
        <f t="shared" si="599"/>
        <v>2.390399323659398E-7</v>
      </c>
      <c r="AU115" s="139">
        <v>0.75</v>
      </c>
      <c r="AV115" s="139">
        <f t="shared" ref="AV115" si="616">AU115/2</f>
        <v>0.375</v>
      </c>
      <c r="AW115" s="139" t="str">
        <f t="shared" si="601"/>
        <v>Out of range</v>
      </c>
      <c r="AX115" s="149">
        <f t="shared" si="602"/>
        <v>323.35826026680002</v>
      </c>
      <c r="AY115" s="149" t="e">
        <f t="shared" si="603"/>
        <v>#VALUE!</v>
      </c>
      <c r="AZ115" s="150" t="e">
        <f t="shared" si="604"/>
        <v>#VALUE!</v>
      </c>
      <c r="BA115" s="139" t="str">
        <f>Input!B115</f>
        <v>Hu1-13</v>
      </c>
      <c r="BB115" s="151">
        <f>Input!E115</f>
        <v>0</v>
      </c>
      <c r="BC115" s="139" t="e">
        <f>((U115-1)*EXP(Constants!$B$17*AW115*1000))*1000</f>
        <v>#VALUE!</v>
      </c>
      <c r="BD115" s="145" t="e">
        <f>SQRT((EXP(Constants!$B$17*AW115*1000)*V115)^2+((U115-1)*Constants!$B$17*EXP(Constants!$B$17*AW115*1000)*AY115*1000)^2)*1000</f>
        <v>#VALUE!</v>
      </c>
      <c r="BE115" s="139" t="e">
        <f t="shared" si="605"/>
        <v>#VALUE!</v>
      </c>
      <c r="BF115" s="152" t="e">
        <f t="shared" si="606"/>
        <v>#VALUE!</v>
      </c>
      <c r="BG115" s="161" t="e">
        <f t="shared" si="607"/>
        <v>#VALUE!</v>
      </c>
      <c r="BH115" s="139"/>
      <c r="BI115" s="18"/>
      <c r="BJ115" s="18"/>
      <c r="BK115" s="18"/>
      <c r="BL115" s="18"/>
      <c r="BM115" s="18"/>
      <c r="BN115" s="160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6" spans="1:110" ht="15" customHeight="1" x14ac:dyDescent="0.2">
      <c r="A116" s="18">
        <f>Input!A116</f>
        <v>11020</v>
      </c>
      <c r="B116" s="18" t="str">
        <f>Input!B116</f>
        <v>KMS6-7,3cm-b</v>
      </c>
      <c r="C116" s="18">
        <f>Input!O116</f>
        <v>0.52187274870579914</v>
      </c>
      <c r="D116" s="18">
        <f>C116*Input!P116/100</f>
        <v>2.92737837889417E-3</v>
      </c>
      <c r="E116" s="153">
        <f>Input!M116</f>
        <v>0.75984951462756656</v>
      </c>
      <c r="F116" s="154">
        <f>E116*Input!N116/100</f>
        <v>1.0573638703927153E-4</v>
      </c>
      <c r="G116" s="21">
        <f>E116*137.88</f>
        <v>104.76805107684888</v>
      </c>
      <c r="H116" s="154">
        <f>G116*Input!L116/100</f>
        <v>1.1208884638630375E-2</v>
      </c>
      <c r="I116" s="18">
        <v>0.3</v>
      </c>
      <c r="J116" s="130">
        <f>(((C116*Constants!$B$24*0.000000001*Input!G116*(Constants!$B$4/Constants!$B$3))-(I116*0.000000000000001))/Input!F116)*1000000000000</f>
        <v>3.3610706837354392</v>
      </c>
      <c r="K116" s="18">
        <f>J116*Input!P116/100</f>
        <v>1.8853495749495217E-2</v>
      </c>
      <c r="L116" s="135">
        <f>(J116/Constants!$B$4)*602200000000*Constants!$B$17/(365.2425*24*60)</f>
        <v>4.6403312635625145E-2</v>
      </c>
      <c r="M116" s="133">
        <f>L116*Input!P116/100</f>
        <v>2.602934421378922E-4</v>
      </c>
      <c r="N116" s="18">
        <v>5.0000000000000001E-3</v>
      </c>
      <c r="O116" s="130">
        <f>(((G116*Constants!$B$23*0.000000001*Input!G116*(Constants!$B$7/Constants!$B$6))-(N116*0.000000001))/Input!F116)*1000000</f>
        <v>6.7974603103310119E-2</v>
      </c>
      <c r="P116" s="18">
        <f>O116*Input!N116/100</f>
        <v>9.4589636555802764E-6</v>
      </c>
      <c r="Q116" s="131">
        <f>(O116/Constants!$B$7)*602200000000000000*Constants!$B$18/(365.2425*24*60)</f>
        <v>5.0717262423898485E-2</v>
      </c>
      <c r="R116" s="132">
        <f>Q116*Input!N116/100</f>
        <v>7.0575291370082568E-6</v>
      </c>
      <c r="S116" s="133">
        <f>Input!S116*Constants!$B$17/Constants!$B$18</f>
        <v>0.90846539732760967</v>
      </c>
      <c r="T116" s="18">
        <f>S116*Input!T116/100</f>
        <v>1.1096517560272991E-3</v>
      </c>
      <c r="U116" s="18">
        <f>S116*1/((U115+U117)/2)</f>
        <v>0.90736745120781692</v>
      </c>
      <c r="V116" s="18">
        <f>U116*Input!T116/100</f>
        <v>1.1083106616461204E-3</v>
      </c>
      <c r="W116" s="134">
        <v>3.0000000000000001E-3</v>
      </c>
      <c r="X116" s="130">
        <f>IF((((Constants!$B$25*0.000000001*Input!G116/Input!W116*(Constants!$B$11/Constants!$B$9))-(W116*0.000000001))/Input!F116)*1000000000&lt;0, "n.d.", (((Constants!$B$25*0.000000001*Input!G116/Input!W116*(Constants!$B$11/Constants!$B$9))-(W116*0.000000001))/Input!F116)*1000000000)</f>
        <v>0.91209714526139662</v>
      </c>
      <c r="Y116" s="130">
        <f>X116*Input!X116/100</f>
        <v>2.3821997959724808E-3</v>
      </c>
      <c r="Z116" s="130">
        <f>(X116/Constants!$B$11)*6.022E+23*0.000000001*Constants!$B$19/(365.2425*24*60)</f>
        <v>2.2267240010135234E-4</v>
      </c>
      <c r="AA116" s="130">
        <f>Z116*Input!X116/100</f>
        <v>5.8157198369272745E-7</v>
      </c>
      <c r="AB116" s="135">
        <v>0.05</v>
      </c>
      <c r="AC116" s="135">
        <v>0</v>
      </c>
      <c r="AD116" s="130">
        <f>(((Input!G116*Constants!$B$25*0.000000001*Input!U116*(Constants!$B$10/Constants!$B$9))-((AB116*0.000000000000001)+(Input!G116*AC116*0.000000000000001)))/Input!F116)*1000000000000</f>
        <v>1.3131998218651603E-2</v>
      </c>
      <c r="AE116" s="130">
        <f>AD116*Input!V116/100</f>
        <v>5.5039488854312845E-4</v>
      </c>
      <c r="AF116" s="130">
        <f>(AD116/Constants!$B$10)*602200000000*Constants!$B$16/(365.2425*24*60)</f>
        <v>5.9941883696336981E-4</v>
      </c>
      <c r="AG116" s="130">
        <f>AF116*Input!V116/100</f>
        <v>2.5123142606927769E-5</v>
      </c>
      <c r="AH116" s="18">
        <f>AF116/Z116</f>
        <v>2.6919314503752432</v>
      </c>
      <c r="AI116" s="134">
        <f>AH116*SQRT((AG116/AF116)^2+(AA116/Z116)^2)</f>
        <v>0.11304442813321058</v>
      </c>
      <c r="AJ116" s="133">
        <f t="shared" si="591"/>
        <v>-92.632548792183073</v>
      </c>
      <c r="AK116" s="134">
        <f>V116*1000</f>
        <v>1.1083106616461205</v>
      </c>
      <c r="AL116" s="134">
        <f>AF116/Q116</f>
        <v>1.1818832648209293E-2</v>
      </c>
      <c r="AM116" s="134">
        <f>AL116*SQRT((R116/Q116)^2+(AG116/AF116)^2)</f>
        <v>4.9535956544597846E-4</v>
      </c>
      <c r="AN116" s="18">
        <f>AL116*1/((AN115+AN117)/2)</f>
        <v>1.1794852944133655E-2</v>
      </c>
      <c r="AO116" s="130">
        <f>AN116*SQRT((R116/Q116)^2+(AG116/AF116)^2)</f>
        <v>4.9435451053539631E-4</v>
      </c>
      <c r="AP116" s="18">
        <f>ThU_Alter_Kombi(AN116,U116)</f>
        <v>1.4271</v>
      </c>
      <c r="AQ116" s="18">
        <f t="shared" si="597"/>
        <v>6.3200000000000006E-2</v>
      </c>
      <c r="AR116" s="155">
        <f>(AQ116/AP116)</f>
        <v>4.4285614182608089E-2</v>
      </c>
      <c r="AS116" s="132">
        <f t="shared" si="598"/>
        <v>4.39046568090053E-3</v>
      </c>
      <c r="AT116" s="132">
        <f t="shared" si="599"/>
        <v>1.1483207595089831E-5</v>
      </c>
      <c r="AU116" s="18">
        <v>0.75</v>
      </c>
      <c r="AV116" s="18">
        <f>AU116/2</f>
        <v>0.375</v>
      </c>
      <c r="AW116" s="18">
        <f t="shared" si="601"/>
        <v>1.0305</v>
      </c>
      <c r="AX116" s="136">
        <f t="shared" si="602"/>
        <v>0.2258450491</v>
      </c>
      <c r="AY116" s="136">
        <f t="shared" si="603"/>
        <v>0.20786469343647451</v>
      </c>
      <c r="AZ116" s="155">
        <f t="shared" si="604"/>
        <v>0.21916064929645804</v>
      </c>
      <c r="BA116" s="18" t="str">
        <f>Input!B116</f>
        <v>KMS6-7,3cm-b</v>
      </c>
      <c r="BB116" s="137">
        <f>Input!E116</f>
        <v>7.3</v>
      </c>
      <c r="BC116" s="18">
        <f>((U116-1)*EXP(Constants!$B$17*AW116*1000))*1000</f>
        <v>-92.902328636130079</v>
      </c>
      <c r="BD116" s="133">
        <f>SQRT((EXP(Constants!$B$17*AW116*1000)*V116)^2+((U116-1)*Constants!$B$17*EXP(Constants!$B$17*AW116*1000)*AY116*1000)^2)*1000</f>
        <v>1.1128736230841869</v>
      </c>
      <c r="BE116" s="18">
        <f t="shared" si="605"/>
        <v>972.5</v>
      </c>
      <c r="BF116" s="138">
        <f t="shared" si="606"/>
        <v>103.93234671823726</v>
      </c>
      <c r="BG116" s="20">
        <f t="shared" si="607"/>
        <v>20.171246330565211</v>
      </c>
      <c r="BH116" s="18"/>
      <c r="BI116" s="18"/>
      <c r="BJ116" s="18"/>
      <c r="BK116" s="18"/>
      <c r="BL116" s="18"/>
      <c r="BM116" s="18"/>
      <c r="BN116" s="160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</row>
    <row r="117" spans="1:110" ht="15" customHeight="1" x14ac:dyDescent="0.2">
      <c r="A117" s="139">
        <f>Input!A117</f>
        <v>10815</v>
      </c>
      <c r="B117" s="139" t="str">
        <f>Input!B117</f>
        <v>Hu1-13</v>
      </c>
      <c r="C117" s="139">
        <f>Input!O117</f>
        <v>2.0999126067550171</v>
      </c>
      <c r="D117" s="139">
        <f>C117*Input!P117/100</f>
        <v>5.1405725306093525E-2</v>
      </c>
      <c r="E117" s="140">
        <f>Input!M117</f>
        <v>2.7323936413339078</v>
      </c>
      <c r="F117" s="141">
        <f>E117*Input!N117/100</f>
        <v>7.3534717877503722E-4</v>
      </c>
      <c r="G117" s="142">
        <f t="shared" ref="G117" si="617">E117*137.88</f>
        <v>376.74243526711922</v>
      </c>
      <c r="H117" s="141">
        <f>G117*Input!L117/100</f>
        <v>5.264540179904232E-2</v>
      </c>
      <c r="I117" s="139">
        <v>0</v>
      </c>
      <c r="J117" s="143">
        <f>(((C117*Constants!$B$24*0.000000001*Input!G117*(Constants!$B$4/Constants!$B$3))-(I117*0.000000000000001))/Input!F117)*1000000000000</f>
        <v>758.14728740523196</v>
      </c>
      <c r="K117" s="139">
        <f>J117*Input!P117/100</f>
        <v>18.559396744676064</v>
      </c>
      <c r="L117" s="144">
        <f>(J117/Constants!$B$4)*602200000000*Constants!$B$17/(365.2425*24*60)</f>
        <v>10.467065084813104</v>
      </c>
      <c r="M117" s="145">
        <f>L117*Input!P117/100</f>
        <v>0.25623307883387436</v>
      </c>
      <c r="N117" s="139">
        <v>0</v>
      </c>
      <c r="O117" s="143">
        <f>(((G117*Constants!$B$23*0.000000001*Input!G117*(Constants!$B$7/Constants!$B$6))-(N117*0.000000001))/Input!F117)*1000000</f>
        <v>13.701824670816547</v>
      </c>
      <c r="P117" s="139">
        <f>O117*Input!N117/100</f>
        <v>3.6874621443037819E-3</v>
      </c>
      <c r="Q117" s="146">
        <f>(O117/Constants!$B$7)*602200000000000000*Constants!$B$18/(365.2425*24*60)</f>
        <v>10.223215815764126</v>
      </c>
      <c r="R117" s="147">
        <f>Q117*Input!N117/100</f>
        <v>2.7512920519243049E-3</v>
      </c>
      <c r="S117" s="145">
        <f>Input!S117*Constants!$B$17/Constants!$B$18</f>
        <v>1.0037313498486691</v>
      </c>
      <c r="T117" s="139">
        <f>S117*Input!T117/100</f>
        <v>1.0561784191988773E-3</v>
      </c>
      <c r="U117" s="145">
        <f>S117</f>
        <v>1.0037313498486691</v>
      </c>
      <c r="V117" s="139">
        <f>U117*Input!T117/100</f>
        <v>1.0561784191988773E-3</v>
      </c>
      <c r="W117" s="148">
        <v>0</v>
      </c>
      <c r="X117" s="143">
        <f>(((Constants!$B$25*0.000000001*Input!G117/Input!W117*(Constants!$B$11/Constants!$B$9))-(W117*0.000000001))/Input!F117)*1000000000</f>
        <v>0.95732635138894018</v>
      </c>
      <c r="Y117" s="143">
        <f>X117*Input!X117/100</f>
        <v>1.2273409717057577E-2</v>
      </c>
      <c r="Z117" s="143">
        <f>(X117/Constants!$B$11)*6.022E+23*0.000000001*Constants!$B$19/(365.2425*24*60)</f>
        <v>2.3371431151991354E-4</v>
      </c>
      <c r="AA117" s="143">
        <f>Z117*Input!X117/100</f>
        <v>2.996336095692129E-6</v>
      </c>
      <c r="AB117" s="144">
        <v>0</v>
      </c>
      <c r="AC117" s="144">
        <v>0</v>
      </c>
      <c r="AD117" s="143">
        <f>(((Input!G117*Constants!$B$25*0.000000001*Input!U117*(Constants!$B$10/Constants!$B$9))-((AB117*0.000000000000001)+(Input!G117*AC117*0.000000000000001)))/Input!F117)*1000000000000</f>
        <v>224.90804247618243</v>
      </c>
      <c r="AE117" s="143">
        <f>AD117*Input!V117/100</f>
        <v>1.2610413158537164</v>
      </c>
      <c r="AF117" s="143">
        <f>(AD117/Constants!$B$10)*602200000000*Constants!$B$16/(365.2425*24*60)</f>
        <v>10.266077941840003</v>
      </c>
      <c r="AG117" s="143">
        <f>AF117*Input!V117/100</f>
        <v>5.7561073823341358E-2</v>
      </c>
      <c r="AH117" s="139">
        <f t="shared" ref="AH117" si="618">AF117/Z117</f>
        <v>43925.756514766472</v>
      </c>
      <c r="AI117" s="148">
        <f t="shared" ref="AI117" si="619">AH117*SQRT((AG117/AF117)^2+(AA117/Z117)^2)</f>
        <v>614.65140399222048</v>
      </c>
      <c r="AJ117" s="145">
        <f t="shared" si="591"/>
        <v>3.7313498486690744</v>
      </c>
      <c r="AK117" s="148">
        <f t="shared" ref="AK117" si="620">V117*1000</f>
        <v>1.0561784191988772</v>
      </c>
      <c r="AL117" s="148">
        <f t="shared" ref="AL117" si="621">AF117/Q117</f>
        <v>1.004192626551988</v>
      </c>
      <c r="AM117" s="148">
        <f t="shared" ref="AM117" si="622">AL117*SQRT((R117/Q117)^2+(AG117/AF117)^2)</f>
        <v>5.6369093703059177E-3</v>
      </c>
      <c r="AN117" s="139">
        <f>AF117/Q117</f>
        <v>1.004192626551988</v>
      </c>
      <c r="AO117" s="143">
        <f t="shared" ref="AO117" si="623">AN117*SQRT((R117/Q117)^2+(AG117/AF117)^2)</f>
        <v>5.6369093703059177E-3</v>
      </c>
      <c r="AP117" s="139">
        <f t="shared" ref="AP117" si="624">ThU_Alter_Kombi(AN117,U117)</f>
        <v>738.22749999999996</v>
      </c>
      <c r="AQ117" s="139" t="e">
        <f t="shared" si="597"/>
        <v>#VALUE!</v>
      </c>
      <c r="AR117" s="139" t="e">
        <f>(AQ117/AP117)*100</f>
        <v>#VALUE!</v>
      </c>
      <c r="AS117" s="147">
        <f t="shared" si="598"/>
        <v>2.2861134473902794E-5</v>
      </c>
      <c r="AT117" s="147">
        <f t="shared" si="599"/>
        <v>2.931559145186683E-7</v>
      </c>
      <c r="AU117" s="139">
        <v>0.75</v>
      </c>
      <c r="AV117" s="139">
        <f t="shared" ref="AV117" si="625">AU117/2</f>
        <v>0.375</v>
      </c>
      <c r="AW117" s="139">
        <f t="shared" si="601"/>
        <v>738.22569999999996</v>
      </c>
      <c r="AX117" s="149">
        <f t="shared" si="602"/>
        <v>314.52232929140001</v>
      </c>
      <c r="AY117" s="149">
        <f t="shared" si="603"/>
        <v>533.99690083294695</v>
      </c>
      <c r="AZ117" s="150">
        <f t="shared" si="604"/>
        <v>0.4260517200788323</v>
      </c>
      <c r="BA117" s="139" t="str">
        <f>Input!B117</f>
        <v>Hu1-13</v>
      </c>
      <c r="BB117" s="151">
        <f>Input!E117</f>
        <v>0</v>
      </c>
      <c r="BC117" s="139">
        <f>((U117-1)*EXP(Constants!$B$17*AW117*1000))*1000</f>
        <v>29.966715333938708</v>
      </c>
      <c r="BD117" s="145">
        <f>SQRT((EXP(Constants!$B$17*AW117*1000)*V117)^2+((U117-1)*Constants!$B$17*EXP(Constants!$B$17*AW117*1000)*AY117*1000)^2)*1000</f>
        <v>45.948686803976841</v>
      </c>
      <c r="BE117" s="139">
        <f t="shared" si="605"/>
        <v>738167.7</v>
      </c>
      <c r="BF117" s="152">
        <f t="shared" si="606"/>
        <v>266998.4504164735</v>
      </c>
      <c r="BG117" s="161">
        <f t="shared" si="607"/>
        <v>72.335181616265459</v>
      </c>
      <c r="BH117" s="139"/>
      <c r="BI117" s="18"/>
      <c r="BJ117" s="18"/>
      <c r="BK117" s="18"/>
      <c r="BL117" s="18"/>
      <c r="BM117" s="18"/>
      <c r="BN117" s="160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11021</v>
      </c>
      <c r="B118" s="18" t="str">
        <f>Input!B118</f>
        <v>KMS6-7,3cm-c</v>
      </c>
      <c r="C118" s="18">
        <f>Input!O118</f>
        <v>0.52511298732848477</v>
      </c>
      <c r="D118" s="18">
        <f>C118*Input!P118/100</f>
        <v>3.52414771199549E-3</v>
      </c>
      <c r="E118" s="153">
        <f>Input!M118</f>
        <v>0.76860044030155739</v>
      </c>
      <c r="F118" s="154">
        <f>E118*Input!N118/100</f>
        <v>9.9515803867711476E-5</v>
      </c>
      <c r="G118" s="21">
        <f>E118*137.88</f>
        <v>105.97462870877872</v>
      </c>
      <c r="H118" s="154">
        <f>G118*Input!L118/100</f>
        <v>1.193116333374135E-2</v>
      </c>
      <c r="I118" s="18">
        <v>0.3</v>
      </c>
      <c r="J118" s="130">
        <f>(((C118*Constants!$B$24*0.000000001*Input!G118*(Constants!$B$4/Constants!$B$3))-(I118*0.000000000000001))/Input!F118)*1000000000000</f>
        <v>3.6308121723177269</v>
      </c>
      <c r="K118" s="18">
        <f>J118*Input!P118/100</f>
        <v>2.4367171863061629E-2</v>
      </c>
      <c r="L118" s="135">
        <f>(J118/Constants!$B$4)*602200000000*Constants!$B$17/(365.2425*24*60)</f>
        <v>5.0127393383481281E-2</v>
      </c>
      <c r="M118" s="133">
        <f>L118*Input!P118/100</f>
        <v>3.3641586280208668E-4</v>
      </c>
      <c r="N118" s="18">
        <v>5.0000000000000001E-3</v>
      </c>
      <c r="O118" s="130">
        <f>(((G118*Constants!$B$23*0.000000001*Input!G118*(Constants!$B$7/Constants!$B$6))-(N118*0.000000001))/Input!F118)*1000000</f>
        <v>7.3817664149159898E-2</v>
      </c>
      <c r="P118" s="18">
        <f>O118*Input!N118/100</f>
        <v>9.5576632568128769E-6</v>
      </c>
      <c r="Q118" s="131">
        <f>(O118/Constants!$B$7)*602200000000000000*Constants!$B$18/(365.2425*24*60)</f>
        <v>5.5076891563193758E-2</v>
      </c>
      <c r="R118" s="132">
        <f>Q118*Input!N118/100</f>
        <v>7.1311709583402602E-6</v>
      </c>
      <c r="S118" s="133">
        <f>Input!S118*Constants!$B$17/Constants!$B$18</f>
        <v>0.90607963472532582</v>
      </c>
      <c r="T118" s="18">
        <f>S118*Input!T118/100</f>
        <v>1.571903506815254E-3</v>
      </c>
      <c r="U118" s="18">
        <f>S118*1/((U117+U119)/2)</f>
        <v>0.90480531130453423</v>
      </c>
      <c r="V118" s="18">
        <f>U118*Input!T118/100</f>
        <v>1.5696927591312864E-3</v>
      </c>
      <c r="W118" s="134">
        <v>3.0000000000000001E-3</v>
      </c>
      <c r="X118" s="130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4.7546731681316077</v>
      </c>
      <c r="Y118" s="130">
        <f>X118*Input!X118/100</f>
        <v>1.0005255785739192E-2</v>
      </c>
      <c r="Z118" s="130">
        <f>(X118/Constants!$B$11)*6.022E+23*0.000000001*Constants!$B$19/(365.2425*24*60)</f>
        <v>1.160769432889678E-3</v>
      </c>
      <c r="AA118" s="130">
        <f>Z118*Input!X118/100</f>
        <v>2.4426063945195199E-6</v>
      </c>
      <c r="AB118" s="135">
        <v>0.05</v>
      </c>
      <c r="AC118" s="135">
        <v>0</v>
      </c>
      <c r="AD118" s="130">
        <f>(((Input!G118*Constants!$B$25*0.000000001*Input!U118*(Constants!$B$10/Constants!$B$9))-((AB118*0.000000000000001)+(Input!G118*AC118*0.000000000000001)))/Input!F118)*1000000000000</f>
        <v>3.4608855235384511E-2</v>
      </c>
      <c r="AE118" s="130">
        <f>AD118*Input!V118/100</f>
        <v>5.8127600499488399E-4</v>
      </c>
      <c r="AF118" s="130">
        <f>(AD118/Constants!$B$10)*602200000000*Constants!$B$16/(365.2425*24*60)</f>
        <v>1.5797443320060044E-3</v>
      </c>
      <c r="AG118" s="130">
        <f>AF118*Input!V118/100</f>
        <v>2.6532731810294437E-5</v>
      </c>
      <c r="AH118" s="18">
        <f>AF118/Z118</f>
        <v>1.3609458409611195</v>
      </c>
      <c r="AI118" s="134">
        <f>AH118*SQRT((AG118/AF118)^2+(AA118/Z118)^2)</f>
        <v>2.3036587797768404E-2</v>
      </c>
      <c r="AJ118" s="133">
        <f t="shared" si="591"/>
        <v>-95.194688695465771</v>
      </c>
      <c r="AK118" s="134">
        <f>V118*1000</f>
        <v>1.5696927591312864</v>
      </c>
      <c r="AL118" s="134">
        <f>AF118/Q118</f>
        <v>2.8682525232809258E-2</v>
      </c>
      <c r="AM118" s="134">
        <f>AL118*SQRT((R118/Q118)^2+(AG118/AF118)^2)</f>
        <v>4.8175413393293162E-4</v>
      </c>
      <c r="AN118" s="18">
        <f>AL118*1/((AN117+AN119)/2)</f>
        <v>2.8581333985370404E-2</v>
      </c>
      <c r="AO118" s="130">
        <f>AN118*SQRT((R118/Q118)^2+(AG118/AF118)^2)</f>
        <v>4.8005451713225552E-4</v>
      </c>
      <c r="AP118" s="18">
        <f>ThU_Alter_Kombi(AN118,U118)</f>
        <v>3.5019999999999998</v>
      </c>
      <c r="AQ118" s="18">
        <f t="shared" si="597"/>
        <v>5.74E-2</v>
      </c>
      <c r="AR118" s="155">
        <f>(AQ118/AP118)</f>
        <v>1.6390633923472304E-2</v>
      </c>
      <c r="AS118" s="132">
        <f t="shared" si="598"/>
        <v>2.1075434723069691E-2</v>
      </c>
      <c r="AT118" s="132">
        <f t="shared" si="599"/>
        <v>4.4432895078704098E-5</v>
      </c>
      <c r="AU118" s="18">
        <v>0.75</v>
      </c>
      <c r="AV118" s="18">
        <f>AU118/2</f>
        <v>0.375</v>
      </c>
      <c r="AW118" s="18">
        <f t="shared" si="601"/>
        <v>1.5787</v>
      </c>
      <c r="AX118" s="136">
        <f t="shared" si="602"/>
        <v>0.98763111729999997</v>
      </c>
      <c r="AY118" s="136">
        <f t="shared" si="603"/>
        <v>0.97309902306107599</v>
      </c>
      <c r="AZ118" s="155">
        <f t="shared" si="604"/>
        <v>0.62559771793247609</v>
      </c>
      <c r="BA118" s="18" t="str">
        <f>Input!B118</f>
        <v>KMS6-7,3cm-c</v>
      </c>
      <c r="BB118" s="137">
        <f>Input!E118</f>
        <v>7.3</v>
      </c>
      <c r="BC118" s="18">
        <f>((U118-1)*EXP(Constants!$B$17*AW118*1000))*1000</f>
        <v>-95.619744900616112</v>
      </c>
      <c r="BD118" s="133">
        <f>SQRT((EXP(Constants!$B$17*AW118*1000)*V118)^2+((U118-1)*Constants!$B$17*EXP(Constants!$B$17*AW118*1000)*AY118*1000)^2)*1000</f>
        <v>1.5984177254490461</v>
      </c>
      <c r="BE118" s="18">
        <f t="shared" si="605"/>
        <v>1520.7</v>
      </c>
      <c r="BF118" s="138">
        <f t="shared" si="606"/>
        <v>486.54951153053798</v>
      </c>
      <c r="BG118" s="20">
        <f t="shared" si="607"/>
        <v>61.63926161152061</v>
      </c>
      <c r="BH118" s="18"/>
      <c r="BI118" s="18"/>
      <c r="BJ118" s="18"/>
      <c r="BK118" s="18"/>
      <c r="BL118" s="18"/>
      <c r="BM118" s="18"/>
      <c r="BN118" s="160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9">
        <f>Input!A119</f>
        <v>10815</v>
      </c>
      <c r="B119" s="139" t="str">
        <f>Input!B119</f>
        <v>Hu1-13</v>
      </c>
      <c r="C119" s="139">
        <f>Input!O119</f>
        <v>2.0455969959653908</v>
      </c>
      <c r="D119" s="139">
        <f>C119*Input!P119/100</f>
        <v>3.7165024970351193E-2</v>
      </c>
      <c r="E119" s="140">
        <f>Input!M119</f>
        <v>2.7321664668852979</v>
      </c>
      <c r="F119" s="141">
        <f>E119*Input!N119/100</f>
        <v>8.7735635951528737E-4</v>
      </c>
      <c r="G119" s="142">
        <f t="shared" ref="G119" si="626">E119*137.88</f>
        <v>376.71111245414488</v>
      </c>
      <c r="H119" s="141">
        <f>G119*Input!L119/100</f>
        <v>4.5938670174115889E-2</v>
      </c>
      <c r="I119" s="139">
        <v>0</v>
      </c>
      <c r="J119" s="143">
        <f>(((C119*Constants!$B$24*0.000000001*Input!G119*(Constants!$B$4/Constants!$B$3))-(I119*0.000000000000001))/Input!F119)*1000000000000</f>
        <v>738.53731275607367</v>
      </c>
      <c r="K119" s="139">
        <f>J119*Input!P119/100</f>
        <v>13.417969289284159</v>
      </c>
      <c r="L119" s="144">
        <f>(J119/Constants!$B$4)*602200000000*Constants!$B$17/(365.2425*24*60)</f>
        <v>10.196327611535615</v>
      </c>
      <c r="M119" s="145">
        <f>L119*Input!P119/100</f>
        <v>0.1852499642089882</v>
      </c>
      <c r="N119" s="139">
        <v>0</v>
      </c>
      <c r="O119" s="143">
        <f>(((G119*Constants!$B$23*0.000000001*Input!G119*(Constants!$B$7/Constants!$B$6))-(N119*0.000000001))/Input!F119)*1000000</f>
        <v>13.700685484859791</v>
      </c>
      <c r="P119" s="139">
        <f>O119*Input!N119/100</f>
        <v>4.3995794859322422E-3</v>
      </c>
      <c r="Q119" s="146">
        <f>(O119/Constants!$B$7)*602200000000000000*Constants!$B$18/(365.2425*24*60)</f>
        <v>10.222365845474037</v>
      </c>
      <c r="R119" s="147">
        <f>Q119*Input!N119/100</f>
        <v>3.2826175829772518E-3</v>
      </c>
      <c r="S119" s="145">
        <f>Input!S119*Constants!$B$17/Constants!$B$18</f>
        <v>0.99908544047046444</v>
      </c>
      <c r="T119" s="139">
        <f>S119*Input!T119/100</f>
        <v>1.0779844779901454E-3</v>
      </c>
      <c r="U119" s="145">
        <f>S119</f>
        <v>0.99908544047046444</v>
      </c>
      <c r="V119" s="139">
        <f>U119*Input!T119/100</f>
        <v>1.0779844779901454E-3</v>
      </c>
      <c r="W119" s="148">
        <v>0</v>
      </c>
      <c r="X119" s="143">
        <f>(((Constants!$B$25*0.000000001*Input!G119/Input!W119*(Constants!$B$11/Constants!$B$9))-(W119*0.000000001))/Input!F119)*1000000000</f>
        <v>0.93914495805611509</v>
      </c>
      <c r="Y119" s="143">
        <f>X119*Input!X119/100</f>
        <v>1.3664618249913212E-2</v>
      </c>
      <c r="Z119" s="143">
        <f>(X119/Constants!$B$11)*6.022E+23*0.000000001*Constants!$B$19/(365.2425*24*60)</f>
        <v>2.2927564562600088E-4</v>
      </c>
      <c r="AA119" s="143">
        <f>Z119*Input!X119/100</f>
        <v>3.3359750745682938E-6</v>
      </c>
      <c r="AB119" s="144">
        <v>0</v>
      </c>
      <c r="AC119" s="144">
        <v>0</v>
      </c>
      <c r="AD119" s="143">
        <f>(((Input!G119*Constants!$B$25*0.000000001*Input!U119*(Constants!$B$10/Constants!$B$9))-((AB119*0.000000000000001)+(Input!G119*AC119*0.000000000000001)))/Input!F119)*1000000000000</f>
        <v>224.59724021554155</v>
      </c>
      <c r="AE119" s="143">
        <f>AD119*Input!V119/100</f>
        <v>1.1101360769120381</v>
      </c>
      <c r="AF119" s="143">
        <f>(AD119/Constants!$B$10)*602200000000*Constants!$B$16/(365.2425*24*60)</f>
        <v>10.251891164892809</v>
      </c>
      <c r="AG119" s="143">
        <f>AF119*Input!V119/100</f>
        <v>5.0672903317071798E-2</v>
      </c>
      <c r="AH119" s="139">
        <f t="shared" ref="AH119" si="627">AF119/Z119</f>
        <v>44714.26145983208</v>
      </c>
      <c r="AI119" s="148">
        <f t="shared" ref="AI119" si="628">AH119*SQRT((AG119/AF119)^2+(AA119/Z119)^2)</f>
        <v>687.11063480232667</v>
      </c>
      <c r="AJ119" s="145">
        <f t="shared" si="591"/>
        <v>-0.91455952953556352</v>
      </c>
      <c r="AK119" s="148">
        <f t="shared" ref="AK119" si="629">V119*1000</f>
        <v>1.0779844779901455</v>
      </c>
      <c r="AL119" s="148">
        <f t="shared" ref="AL119" si="630">AF119/Q119</f>
        <v>1.0028883058838913</v>
      </c>
      <c r="AM119" s="148">
        <f t="shared" ref="AM119" si="631">AL119*SQRT((R119/Q119)^2+(AG119/AF119)^2)</f>
        <v>4.9675125522555645E-3</v>
      </c>
      <c r="AN119" s="139">
        <f>AF119/Q119</f>
        <v>1.0028883058838913</v>
      </c>
      <c r="AO119" s="143">
        <f t="shared" ref="AO119" si="632">AN119*SQRT((R119/Q119)^2+(AG119/AF119)^2)</f>
        <v>4.9675125522555645E-3</v>
      </c>
      <c r="AP119" s="139" t="str">
        <f t="shared" ref="AP119" si="633">ThU_Alter_Kombi(AN119,U119)</f>
        <v>Out of range</v>
      </c>
      <c r="AQ119" s="139" t="e">
        <f t="shared" si="597"/>
        <v>#VALUE!</v>
      </c>
      <c r="AR119" s="139" t="e">
        <f>(AQ119/AP119)*100</f>
        <v>#VALUE!</v>
      </c>
      <c r="AS119" s="147">
        <f t="shared" si="598"/>
        <v>2.2428824118783903E-5</v>
      </c>
      <c r="AT119" s="147">
        <f t="shared" si="599"/>
        <v>3.2642027138102121E-7</v>
      </c>
      <c r="AU119" s="139">
        <v>0.75</v>
      </c>
      <c r="AV119" s="139">
        <f t="shared" ref="AV119" si="634">AU119/2</f>
        <v>0.375</v>
      </c>
      <c r="AW119" s="139" t="str">
        <f t="shared" si="601"/>
        <v>Out of range</v>
      </c>
      <c r="AX119" s="149">
        <f t="shared" si="602"/>
        <v>214.11746963889999</v>
      </c>
      <c r="AY119" s="149" t="e">
        <f t="shared" si="603"/>
        <v>#VALUE!</v>
      </c>
      <c r="AZ119" s="150" t="e">
        <f t="shared" si="604"/>
        <v>#VALUE!</v>
      </c>
      <c r="BA119" s="139" t="str">
        <f>Input!B119</f>
        <v>Hu1-13</v>
      </c>
      <c r="BB119" s="151">
        <f>Input!E119</f>
        <v>0</v>
      </c>
      <c r="BC119" s="139" t="e">
        <f>((U119-1)*EXP(Constants!$B$17*AW119*1000))*1000</f>
        <v>#VALUE!</v>
      </c>
      <c r="BD119" s="145" t="e">
        <f>SQRT((EXP(Constants!$B$17*AW119*1000)*V119)^2+((U119-1)*Constants!$B$17*EXP(Constants!$B$17*AW119*1000)*AY119*1000)^2)*1000</f>
        <v>#VALUE!</v>
      </c>
      <c r="BE119" s="139" t="e">
        <f t="shared" si="605"/>
        <v>#VALUE!</v>
      </c>
      <c r="BF119" s="152" t="e">
        <f t="shared" si="606"/>
        <v>#VALUE!</v>
      </c>
      <c r="BG119" s="161" t="e">
        <f t="shared" si="607"/>
        <v>#VALUE!</v>
      </c>
      <c r="BH119" s="139"/>
      <c r="BI119" s="18"/>
      <c r="BJ119" s="18"/>
      <c r="BK119" s="18"/>
      <c r="BL119" s="18"/>
      <c r="BM119" s="18"/>
      <c r="BN119" s="160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11022</v>
      </c>
      <c r="B120" s="18" t="str">
        <f>Input!B120</f>
        <v>KMS6-7,3cm-d</v>
      </c>
      <c r="C120" s="18">
        <f>Input!O120</f>
        <v>0.35025056043404196</v>
      </c>
      <c r="D120" s="18">
        <f>C120*Input!P120/100</f>
        <v>2.2761713757394587E-3</v>
      </c>
      <c r="E120" s="153">
        <f>Input!M120</f>
        <v>0.51275688910192629</v>
      </c>
      <c r="F120" s="154">
        <f>E120*Input!N120/100</f>
        <v>6.9872947356554543E-5</v>
      </c>
      <c r="G120" s="21">
        <f>E120*137.88</f>
        <v>70.698919869373597</v>
      </c>
      <c r="H120" s="154">
        <f>G120*Input!L120/100</f>
        <v>1.0736401371921923E-2</v>
      </c>
      <c r="I120" s="18">
        <v>0.3</v>
      </c>
      <c r="J120" s="130">
        <f>(((C120*Constants!$B$24*0.000000001*Input!G120*(Constants!$B$4/Constants!$B$3))-(I120*0.000000000000001))/Input!F120)*1000000000000</f>
        <v>3.6754672276212372</v>
      </c>
      <c r="K120" s="18">
        <f>J120*Input!P120/100</f>
        <v>2.3885738499925632E-2</v>
      </c>
      <c r="L120" s="135">
        <f>(J120/Constants!$B$4)*602200000000*Constants!$B$17/(365.2425*24*60)</f>
        <v>5.0743906003116797E-2</v>
      </c>
      <c r="M120" s="133">
        <f>L120*Input!P120/100</f>
        <v>3.2976914068138673E-4</v>
      </c>
      <c r="N120" s="18">
        <v>5.0000000000000001E-3</v>
      </c>
      <c r="O120" s="130">
        <f>(((G120*Constants!$B$23*0.000000001*Input!G120*(Constants!$B$7/Constants!$B$6))-(N120*0.000000001))/Input!F120)*1000000</f>
        <v>7.4741624722354155E-2</v>
      </c>
      <c r="P120" s="18">
        <f>O120*Input!N120/100</f>
        <v>1.0184977950691737E-5</v>
      </c>
      <c r="Q120" s="131">
        <f>(O120/Constants!$B$7)*602200000000000000*Constants!$B$18/(365.2425*24*60)</f>
        <v>5.5766277726858562E-2</v>
      </c>
      <c r="R120" s="132">
        <f>Q120*Input!N120/100</f>
        <v>7.5992234735343117E-6</v>
      </c>
      <c r="S120" s="133">
        <f>Input!S120*Constants!$B$17/Constants!$B$18</f>
        <v>0.90474362487508231</v>
      </c>
      <c r="T120" s="18">
        <f>S120*Input!T120/100</f>
        <v>1.5374317451287661E-3</v>
      </c>
      <c r="U120" s="18">
        <f>S120*1/((U119+U121)/2)</f>
        <v>0.90424674968597918</v>
      </c>
      <c r="V120" s="18">
        <f>U120*Input!T120/100</f>
        <v>1.5365874046237976E-3</v>
      </c>
      <c r="W120" s="134">
        <v>3.0000000000000001E-3</v>
      </c>
      <c r="X120" s="130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11.837904980575667</v>
      </c>
      <c r="Y120" s="130">
        <f>X120*Input!X120/100</f>
        <v>2.8466206833753106E-2</v>
      </c>
      <c r="Z120" s="130">
        <f>(X120/Constants!$B$11)*6.022E+23*0.000000001*Constants!$B$19/(365.2425*24*60)</f>
        <v>2.8900153102015204E-3</v>
      </c>
      <c r="AA120" s="130">
        <f>Z120*Input!X120/100</f>
        <v>6.9495213644559105E-6</v>
      </c>
      <c r="AB120" s="135">
        <v>0.05</v>
      </c>
      <c r="AC120" s="135">
        <v>0</v>
      </c>
      <c r="AD120" s="130">
        <f>(((Input!G120*Constants!$B$25*0.000000001*Input!U120*(Constants!$B$10/Constants!$B$9))-((AB120*0.000000000000001)+(Input!G120*AC120*0.000000000000001)))/Input!F120)*1000000000000</f>
        <v>3.2171260884645558E-2</v>
      </c>
      <c r="AE120" s="130">
        <f>AD120*Input!V120/100</f>
        <v>9.8062365975233145E-4</v>
      </c>
      <c r="AF120" s="130">
        <f>(AD120/Constants!$B$10)*602200000000*Constants!$B$16/(365.2425*24*60)</f>
        <v>1.4684787084215337E-3</v>
      </c>
      <c r="AG120" s="130">
        <f>AF120*Input!V120/100</f>
        <v>4.4761222461379647E-5</v>
      </c>
      <c r="AH120" s="18">
        <f>AF120/Z120</f>
        <v>0.50812142871282462</v>
      </c>
      <c r="AI120" s="134">
        <f>AH120*SQRT((AG120/AF120)^2+(AA120/Z120)^2)</f>
        <v>1.5536351655967735E-2</v>
      </c>
      <c r="AJ120" s="133">
        <f t="shared" si="591"/>
        <v>-95.753250314020818</v>
      </c>
      <c r="AK120" s="134">
        <f>V120*1000</f>
        <v>1.5365874046237977</v>
      </c>
      <c r="AL120" s="134">
        <f>AF120/Q120</f>
        <v>2.6332736705399189E-2</v>
      </c>
      <c r="AM120" s="134">
        <f>AL120*SQRT((R120/Q120)^2+(AG120/AF120)^2)</f>
        <v>8.0266554597685155E-4</v>
      </c>
      <c r="AN120" s="18">
        <f>AL120*1/((AN119+AN121)/2)</f>
        <v>2.6278796534736332E-2</v>
      </c>
      <c r="AO120" s="130">
        <f>AN120*SQRT((R120/Q120)^2+(AG120/AF120)^2)</f>
        <v>8.0102135999574498E-4</v>
      </c>
      <c r="AP120" s="18">
        <f>ThU_Alter_Kombi(AN120,U120)</f>
        <v>3.2176</v>
      </c>
      <c r="AQ120" s="18">
        <f t="shared" si="597"/>
        <v>0.1004</v>
      </c>
      <c r="AR120" s="155">
        <f>(AQ120/AP120)</f>
        <v>3.1203381402287421E-2</v>
      </c>
      <c r="AS120" s="132">
        <f t="shared" si="598"/>
        <v>5.1823708305523325E-2</v>
      </c>
      <c r="AT120" s="132">
        <f t="shared" si="599"/>
        <v>1.2481864174382747E-4</v>
      </c>
      <c r="AU120" s="18">
        <v>0.75</v>
      </c>
      <c r="AV120" s="18">
        <f>AU120/2</f>
        <v>0.375</v>
      </c>
      <c r="AW120" s="18" t="str">
        <f t="shared" si="601"/>
        <v>Out of range</v>
      </c>
      <c r="AX120" s="136">
        <f t="shared" si="602"/>
        <v>0.9255504927</v>
      </c>
      <c r="AY120" s="136" t="e">
        <f t="shared" si="603"/>
        <v>#VALUE!</v>
      </c>
      <c r="AZ120" s="155" t="e">
        <f t="shared" si="604"/>
        <v>#VALUE!</v>
      </c>
      <c r="BA120" s="18" t="str">
        <f>Input!B120</f>
        <v>KMS6-7,3cm-d</v>
      </c>
      <c r="BB120" s="137">
        <f>Input!E120</f>
        <v>7.3</v>
      </c>
      <c r="BC120" s="18" t="e">
        <f>((U120-1)*EXP(Constants!$B$17*AW120*1000))*1000</f>
        <v>#VALUE!</v>
      </c>
      <c r="BD120" s="133" t="e">
        <f>SQRT((EXP(Constants!$B$17*AW120*1000)*V120)^2+((U120-1)*Constants!$B$17*EXP(Constants!$B$17*AW120*1000)*AY120*1000)^2)*1000</f>
        <v>#VALUE!</v>
      </c>
      <c r="BE120" s="18" t="e">
        <f t="shared" si="605"/>
        <v>#VALUE!</v>
      </c>
      <c r="BF120" s="138" t="e">
        <f t="shared" si="606"/>
        <v>#VALUE!</v>
      </c>
      <c r="BG120" s="20" t="e">
        <f t="shared" si="607"/>
        <v>#VALUE!</v>
      </c>
      <c r="BH120" s="18"/>
      <c r="BI120" s="18"/>
      <c r="BJ120" s="18"/>
      <c r="BK120" s="18"/>
      <c r="BL120" s="18"/>
      <c r="BM120" s="18"/>
      <c r="BN120" s="160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9">
        <f>Input!A121</f>
        <v>10815</v>
      </c>
      <c r="B121" s="139" t="str">
        <f>Input!B121</f>
        <v>Hu1-13</v>
      </c>
      <c r="C121" s="139">
        <f>Input!O121</f>
        <v>2.0500101305743312</v>
      </c>
      <c r="D121" s="139">
        <f>C121*Input!P121/100</f>
        <v>4.5161555716245777E-2</v>
      </c>
      <c r="E121" s="140">
        <f>Input!M121</f>
        <v>2.7325096168098462</v>
      </c>
      <c r="F121" s="141">
        <f>E121*Input!N121/100</f>
        <v>8.3861878247844929E-4</v>
      </c>
      <c r="G121" s="142">
        <f t="shared" ref="G121" si="635">E121*137.88</f>
        <v>376.75842596574159</v>
      </c>
      <c r="H121" s="141">
        <f>G121*Input!L121/100</f>
        <v>4.8024663130326078E-2</v>
      </c>
      <c r="I121" s="139">
        <v>0</v>
      </c>
      <c r="J121" s="143">
        <f>(((C121*Constants!$B$24*0.000000001*Input!G121*(Constants!$B$4/Constants!$B$3))-(I121*0.000000000000001))/Input!F121)*1000000000000</f>
        <v>740.13062003084292</v>
      </c>
      <c r="K121" s="139">
        <f>J121*Input!P121/100</f>
        <v>16.305017099821825</v>
      </c>
      <c r="L121" s="144">
        <f>(J121/Constants!$B$4)*602200000000*Constants!$B$17/(365.2425*24*60)</f>
        <v>10.218324987536517</v>
      </c>
      <c r="M121" s="145">
        <f>L121*Input!P121/100</f>
        <v>0.22510886476548767</v>
      </c>
      <c r="N121" s="139">
        <v>0</v>
      </c>
      <c r="O121" s="143">
        <f>(((G121*Constants!$B$23*0.000000001*Input!G121*(Constants!$B$7/Constants!$B$6))-(N121*0.000000001))/Input!F121)*1000000</f>
        <v>13.70240623988968</v>
      </c>
      <c r="P121" s="139">
        <f>O121*Input!N121/100</f>
        <v>4.2053265493488092E-3</v>
      </c>
      <c r="Q121" s="146">
        <f>(O121/Constants!$B$7)*602200000000000000*Constants!$B$18/(365.2425*24*60)</f>
        <v>10.223649736522074</v>
      </c>
      <c r="R121" s="147">
        <f>Q121*Input!N121/100</f>
        <v>3.1376814345992847E-3</v>
      </c>
      <c r="S121" s="145">
        <f>Input!S121*Constants!$B$17/Constants!$B$18</f>
        <v>1.0020135409508695</v>
      </c>
      <c r="T121" s="139">
        <f>S121*Input!T121/100</f>
        <v>1.4419097520528804E-3</v>
      </c>
      <c r="U121" s="145">
        <f>S121</f>
        <v>1.0020135409508695</v>
      </c>
      <c r="V121" s="139">
        <f>U121*Input!T121/100</f>
        <v>1.4419097520528804E-3</v>
      </c>
      <c r="W121" s="148">
        <v>0</v>
      </c>
      <c r="X121" s="143">
        <f>(((Constants!$B$25*0.000000001*Input!G121/Input!W121*(Constants!$B$11/Constants!$B$9))-(W121*0.000000001))/Input!F121)*1000000000</f>
        <v>0.95969732949998277</v>
      </c>
      <c r="Y121" s="143">
        <f>X121*Input!X121/100</f>
        <v>1.1716580784719943E-2</v>
      </c>
      <c r="Z121" s="143">
        <f>(X121/Constants!$B$11)*6.022E+23*0.000000001*Constants!$B$19/(365.2425*24*60)</f>
        <v>2.3429314392753203E-4</v>
      </c>
      <c r="AA121" s="143">
        <f>Z121*Input!X121/100</f>
        <v>2.8603961517358746E-6</v>
      </c>
      <c r="AB121" s="144">
        <v>0</v>
      </c>
      <c r="AC121" s="144">
        <v>0</v>
      </c>
      <c r="AD121" s="143">
        <f>(((Input!G121*Constants!$B$25*0.000000001*Input!U121*(Constants!$B$10/Constants!$B$9))-((AB121*0.000000000000001)+(Input!G121*AC121*0.000000000000001)))/Input!F121)*1000000000000</f>
        <v>224.25109377423817</v>
      </c>
      <c r="AE121" s="143">
        <f>AD121*Input!V121/100</f>
        <v>1.1799847108413972</v>
      </c>
      <c r="AF121" s="143">
        <f>(AD121/Constants!$B$10)*602200000000*Constants!$B$16/(365.2425*24*60)</f>
        <v>10.236091079192953</v>
      </c>
      <c r="AG121" s="143">
        <f>AF121*Input!V121/100</f>
        <v>5.3861190904101013E-2</v>
      </c>
      <c r="AH121" s="139">
        <f t="shared" ref="AH121" si="636">AF121/Z121</f>
        <v>43689.247186674074</v>
      </c>
      <c r="AI121" s="148">
        <f t="shared" ref="AI121" si="637">AH121*SQRT((AG121/AF121)^2+(AA121/Z121)^2)</f>
        <v>580.81714000302566</v>
      </c>
      <c r="AJ121" s="145">
        <f t="shared" si="591"/>
        <v>2.0135409508694746</v>
      </c>
      <c r="AK121" s="148">
        <f t="shared" ref="AK121" si="638">V121*1000</f>
        <v>1.4419097520528803</v>
      </c>
      <c r="AL121" s="148">
        <f t="shared" ref="AL121" si="639">AF121/Q121</f>
        <v>1.0012169179296544</v>
      </c>
      <c r="AM121" s="148">
        <f t="shared" ref="AM121" si="640">AL121*SQRT((R121/Q121)^2+(AG121/AF121)^2)</f>
        <v>5.2772473462153243E-3</v>
      </c>
      <c r="AN121" s="139">
        <f>AF121/Q121</f>
        <v>1.0012169179296544</v>
      </c>
      <c r="AO121" s="143">
        <f t="shared" ref="AO121" si="641">AN121*SQRT((R121/Q121)^2+(AG121/AF121)^2)</f>
        <v>5.2772473462153243E-3</v>
      </c>
      <c r="AP121" s="139">
        <f t="shared" ref="AP121" si="642">ThU_Alter_Kombi(AN121,U121)</f>
        <v>698.17719999999997</v>
      </c>
      <c r="AQ121" s="139" t="e">
        <f t="shared" si="597"/>
        <v>#VALUE!</v>
      </c>
      <c r="AR121" s="139" t="e">
        <f>(AQ121/AP121)*100</f>
        <v>#VALUE!</v>
      </c>
      <c r="AS121" s="147">
        <f t="shared" si="598"/>
        <v>2.2916781185349462E-5</v>
      </c>
      <c r="AT121" s="147">
        <f t="shared" si="599"/>
        <v>2.7987067977427076E-7</v>
      </c>
      <c r="AU121" s="139">
        <v>0.75</v>
      </c>
      <c r="AV121" s="139">
        <f t="shared" ref="AV121" si="643">AU121/2</f>
        <v>0.375</v>
      </c>
      <c r="AW121" s="139">
        <f t="shared" si="601"/>
        <v>698.17529999999999</v>
      </c>
      <c r="AX121" s="149">
        <f t="shared" si="602"/>
        <v>314.48622091599998</v>
      </c>
      <c r="AY121" s="149">
        <f t="shared" si="603"/>
        <v>364.6978639940429</v>
      </c>
      <c r="AZ121" s="150">
        <f t="shared" si="604"/>
        <v>0.45044019878102243</v>
      </c>
      <c r="BA121" s="139" t="str">
        <f>Input!B121</f>
        <v>Hu1-13</v>
      </c>
      <c r="BB121" s="151">
        <f>Input!E121</f>
        <v>0</v>
      </c>
      <c r="BC121" s="139">
        <f>((U121-1)*EXP(Constants!$B$17*AW121*1000))*1000</f>
        <v>14.442675877495638</v>
      </c>
      <c r="BD121" s="145">
        <f>SQRT((EXP(Constants!$B$17*AW121*1000)*V121)^2+((U121-1)*Constants!$B$17*EXP(Constants!$B$17*AW121*1000)*AY121*1000)^2)*1000</f>
        <v>18.108487208235076</v>
      </c>
      <c r="BE121" s="139">
        <f t="shared" si="605"/>
        <v>698117.3</v>
      </c>
      <c r="BF121" s="152">
        <f t="shared" si="606"/>
        <v>182348.93199702146</v>
      </c>
      <c r="BG121" s="161">
        <f t="shared" si="607"/>
        <v>52.23585881569327</v>
      </c>
      <c r="BH121" s="139"/>
      <c r="BI121" s="18"/>
      <c r="BJ121" s="18"/>
      <c r="BK121" s="18"/>
      <c r="BL121" s="18"/>
      <c r="BM121" s="18"/>
      <c r="BN121" s="160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11023</v>
      </c>
      <c r="B122" s="18" t="str">
        <f>Input!B122</f>
        <v>KMS6-7,3cm-e</v>
      </c>
      <c r="C122" s="18">
        <f>Input!O122</f>
        <v>0.18075867501666484</v>
      </c>
      <c r="D122" s="18">
        <f>C122*Input!P122/100</f>
        <v>1.140106438426025E-3</v>
      </c>
      <c r="E122" s="153">
        <f>Input!M122</f>
        <v>0.26288704125611789</v>
      </c>
      <c r="F122" s="154">
        <f>E122*Input!N122/100</f>
        <v>4.1566691579696974E-5</v>
      </c>
      <c r="G122" s="21">
        <f>E122*137.88</f>
        <v>36.246865248393533</v>
      </c>
      <c r="H122" s="154">
        <f>G122*Input!L122/100</f>
        <v>7.1157900069564132E-3</v>
      </c>
      <c r="I122" s="18">
        <v>0.3</v>
      </c>
      <c r="J122" s="130">
        <f>(((C122*Constants!$B$24*0.000000001*Input!G122*(Constants!$B$4/Constants!$B$3))-(I122*0.000000000000001))/Input!F122)*1000000000000</f>
        <v>5.1590278800239773</v>
      </c>
      <c r="K122" s="18">
        <f>J122*Input!P122/100</f>
        <v>3.2539743398165719E-2</v>
      </c>
      <c r="L122" s="135">
        <f>(J122/Constants!$B$4)*602200000000*Constants!$B$17/(365.2425*24*60)</f>
        <v>7.1226108028944579E-2</v>
      </c>
      <c r="M122" s="133">
        <f>L122*Input!P122/100</f>
        <v>4.4924728697165255E-4</v>
      </c>
      <c r="N122" s="18">
        <v>5.0000000000000001E-3</v>
      </c>
      <c r="O122" s="130">
        <f>(((G122*Constants!$B$23*0.000000001*Input!G122*(Constants!$B$7/Constants!$B$6))-(N122*0.000000001))/Input!F122)*1000000</f>
        <v>0.10422742802359954</v>
      </c>
      <c r="P122" s="18">
        <f>O122*Input!N122/100</f>
        <v>1.6480041519358093E-5</v>
      </c>
      <c r="Q122" s="131">
        <f>(O122/Constants!$B$7)*602200000000000000*Constants!$B$18/(365.2425*24*60)</f>
        <v>7.7766247649976694E-2</v>
      </c>
      <c r="R122" s="132">
        <f>Q122*Input!N122/100</f>
        <v>1.2296101077982251E-5</v>
      </c>
      <c r="S122" s="133">
        <f>Input!S122*Constants!$B$17/Constants!$B$18</f>
        <v>0.90265527117367883</v>
      </c>
      <c r="T122" s="18">
        <f>S122*Input!T122/100</f>
        <v>1.6207655302213251E-3</v>
      </c>
      <c r="U122" s="18">
        <f>S122*1/((U121+U123)/2)</f>
        <v>0.90131079756610699</v>
      </c>
      <c r="V122" s="18">
        <f>U122*Input!T122/100</f>
        <v>1.6183514563782603E-3</v>
      </c>
      <c r="W122" s="134">
        <v>3.0000000000000001E-3</v>
      </c>
      <c r="X122" s="130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14.409849400459695</v>
      </c>
      <c r="Y122" s="130">
        <f>X122*Input!X122/100</f>
        <v>4.0160865651094835E-2</v>
      </c>
      <c r="Z122" s="130">
        <f>(X122/Constants!$B$11)*6.022E+23*0.000000001*Constants!$B$19/(365.2425*24*60)</f>
        <v>3.5179100907939179E-3</v>
      </c>
      <c r="AA122" s="130">
        <f>Z122*Input!X122/100</f>
        <v>9.8045656552453792E-6</v>
      </c>
      <c r="AB122" s="135">
        <v>0.05</v>
      </c>
      <c r="AC122" s="135">
        <v>0</v>
      </c>
      <c r="AD122" s="130">
        <f>(((Input!G122*Constants!$B$25*0.000000001*Input!U122*(Constants!$B$10/Constants!$B$9))-((AB122*0.000000000000001)+(Input!G122*AC122*0.000000000000001)))/Input!F122)*1000000000000</f>
        <v>9.4270779935029761E-2</v>
      </c>
      <c r="AE122" s="130">
        <f>AD122*Input!V122/100</f>
        <v>1.9624944873821307E-3</v>
      </c>
      <c r="AF122" s="130">
        <f>(AD122/Constants!$B$10)*602200000000*Constants!$B$16/(365.2425*24*60)</f>
        <v>4.3030527667926796E-3</v>
      </c>
      <c r="AG122" s="130">
        <f>AF122*Input!V122/100</f>
        <v>8.9579372734213629E-5</v>
      </c>
      <c r="AH122" s="18">
        <f>AF122/Z122</f>
        <v>1.2231844065752038</v>
      </c>
      <c r="AI122" s="134">
        <f>AH122*SQRT((AG122/AF122)^2+(AA122/Z122)^2)</f>
        <v>2.5690991586914728E-2</v>
      </c>
      <c r="AJ122" s="133">
        <f t="shared" si="591"/>
        <v>-98.689202433893001</v>
      </c>
      <c r="AK122" s="134">
        <f>V122*1000</f>
        <v>1.6183514563782604</v>
      </c>
      <c r="AL122" s="134">
        <f>AF122/Q122</f>
        <v>5.533316698216658E-2</v>
      </c>
      <c r="AM122" s="134">
        <f>AL122*SQRT((R122/Q122)^2+(AG122/AF122)^2)</f>
        <v>1.1519387813809403E-3</v>
      </c>
      <c r="AN122" s="18">
        <f>AL122*1/((AN121+AN123)/2)</f>
        <v>5.5279324603537988E-2</v>
      </c>
      <c r="AO122" s="130">
        <f>AN122*SQRT((R122/Q122)^2+(AG122/AF122)^2)</f>
        <v>1.1508178781793569E-3</v>
      </c>
      <c r="AP122" s="18">
        <f>ThU_Alter_Kombi(AN122,U122)</f>
        <v>6.9095000000000004</v>
      </c>
      <c r="AQ122" s="18">
        <f t="shared" si="597"/>
        <v>0.15440000000000001</v>
      </c>
      <c r="AR122" s="155">
        <f>(AQ122/AP122)</f>
        <v>2.2346045299949345E-2</v>
      </c>
      <c r="AS122" s="132">
        <f t="shared" si="598"/>
        <v>4.5236978729228584E-2</v>
      </c>
      <c r="AT122" s="132">
        <f t="shared" si="599"/>
        <v>1.2628012412007372E-4</v>
      </c>
      <c r="AU122" s="18">
        <v>0.75</v>
      </c>
      <c r="AV122" s="18">
        <f>AU122/2</f>
        <v>0.375</v>
      </c>
      <c r="AW122" s="18">
        <f t="shared" si="601"/>
        <v>2.7191000000000001</v>
      </c>
      <c r="AX122" s="136">
        <f t="shared" si="602"/>
        <v>1.8691057347</v>
      </c>
      <c r="AY122" s="136">
        <f t="shared" si="603"/>
        <v>2.1427165623361035</v>
      </c>
      <c r="AZ122" s="155">
        <f t="shared" si="604"/>
        <v>0.68739867408333633</v>
      </c>
      <c r="BA122" s="18" t="str">
        <f>Input!B122</f>
        <v>KMS6-7,3cm-e</v>
      </c>
      <c r="BB122" s="137">
        <f>Input!E122</f>
        <v>7.3</v>
      </c>
      <c r="BC122" s="18">
        <f>((U122-1)*EXP(Constants!$B$17*AW122*1000))*1000</f>
        <v>-99.449403368239985</v>
      </c>
      <c r="BD122" s="133">
        <f>SQRT((EXP(Constants!$B$17*AW122*1000)*V122)^2+((U122-1)*Constants!$B$17*EXP(Constants!$B$17*AW122*1000)*AY122*1000)^2)*1000</f>
        <v>1.7381592382416025</v>
      </c>
      <c r="BE122" s="18">
        <f t="shared" si="605"/>
        <v>2661.1</v>
      </c>
      <c r="BF122" s="138">
        <f t="shared" si="606"/>
        <v>1071.3582811680517</v>
      </c>
      <c r="BG122" s="20">
        <f t="shared" si="607"/>
        <v>78.802418533194938</v>
      </c>
      <c r="BH122" s="18"/>
      <c r="BI122" s="18"/>
      <c r="BJ122" s="18"/>
      <c r="BK122" s="18"/>
      <c r="BL122" s="18"/>
      <c r="BM122" s="18"/>
      <c r="BN122" s="160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9">
        <f>Input!A123</f>
        <v>10815</v>
      </c>
      <c r="B123" s="139" t="str">
        <f>Input!B123</f>
        <v>Hu1-13</v>
      </c>
      <c r="C123" s="139">
        <f>Input!O123</f>
        <v>2.094340347831984</v>
      </c>
      <c r="D123" s="139">
        <f>C123*Input!P123/100</f>
        <v>4.8811426857080835E-2</v>
      </c>
      <c r="E123" s="140">
        <f>Input!M123</f>
        <v>2.7330467554246773</v>
      </c>
      <c r="F123" s="141">
        <f>E123*Input!N123/100</f>
        <v>6.7673832920478005E-4</v>
      </c>
      <c r="G123" s="142">
        <f t="shared" ref="G123" si="644">E123*137.88</f>
        <v>376.8324866379545</v>
      </c>
      <c r="H123" s="141">
        <f>G123*Input!L123/100</f>
        <v>3.80455496975683E-2</v>
      </c>
      <c r="I123" s="139">
        <v>0</v>
      </c>
      <c r="J123" s="143">
        <f>(((C123*Constants!$B$24*0.000000001*Input!G123*(Constants!$B$4/Constants!$B$3))-(I123*0.000000000000001))/Input!F123)*1000000000000</f>
        <v>756.13549273643127</v>
      </c>
      <c r="K123" s="139">
        <f>J123*Input!P123/100</f>
        <v>17.622757607641717</v>
      </c>
      <c r="L123" s="144">
        <f>(J123/Constants!$B$4)*602200000000*Constants!$B$17/(365.2425*24*60)</f>
        <v>10.439290025684837</v>
      </c>
      <c r="M123" s="145">
        <f>L123*Input!P123/100</f>
        <v>0.24330173558278193</v>
      </c>
      <c r="N123" s="139">
        <v>0</v>
      </c>
      <c r="O123" s="143">
        <f>(((G123*Constants!$B$23*0.000000001*Input!G123*(Constants!$B$7/Constants!$B$6))-(N123*0.000000001))/Input!F123)*1000000</f>
        <v>13.705099768015717</v>
      </c>
      <c r="P123" s="139">
        <f>O123*Input!N123/100</f>
        <v>3.3935629897962009E-3</v>
      </c>
      <c r="Q123" s="146">
        <f>(O123/Constants!$B$7)*602200000000000000*Constants!$B$18/(365.2425*24*60)</f>
        <v>10.225659433770423</v>
      </c>
      <c r="R123" s="147">
        <f>Q123*Input!N123/100</f>
        <v>2.5320077918504565E-3</v>
      </c>
      <c r="S123" s="145">
        <f>Input!S123*Constants!$B$17/Constants!$B$18</f>
        <v>1.0009698330666223</v>
      </c>
      <c r="T123" s="139">
        <f>S123*Input!T123/100</f>
        <v>1.3003538494307176E-3</v>
      </c>
      <c r="U123" s="145">
        <f>S123</f>
        <v>1.0009698330666223</v>
      </c>
      <c r="V123" s="139">
        <f>U123*Input!T123/100</f>
        <v>1.3003538494307176E-3</v>
      </c>
      <c r="W123" s="148">
        <v>0</v>
      </c>
      <c r="X123" s="143">
        <f>(((Constants!$B$25*0.000000001*Input!G123/Input!W123*(Constants!$B$11/Constants!$B$9))-(W123*0.000000001))/Input!F123)*1000000000</f>
        <v>0.96432765341995097</v>
      </c>
      <c r="Y123" s="143">
        <f>X123*Input!X123/100</f>
        <v>7.7492093177769826E-3</v>
      </c>
      <c r="Z123" s="143">
        <f>(X123/Constants!$B$11)*6.022E+23*0.000000001*Constants!$B$19/(365.2425*24*60)</f>
        <v>2.3542355568889172E-4</v>
      </c>
      <c r="AA123" s="143">
        <f>Z123*Input!X123/100</f>
        <v>1.8918325165710779E-6</v>
      </c>
      <c r="AB123" s="144">
        <v>0</v>
      </c>
      <c r="AC123" s="144">
        <v>0</v>
      </c>
      <c r="AD123" s="143">
        <f>(((Input!G123*Constants!$B$25*0.000000001*Input!U123*(Constants!$B$10/Constants!$B$9))-((AB123*0.000000000000001)+(Input!G123*AC123*0.000000000000001)))/Input!F123)*1000000000000</f>
        <v>224.18633993948998</v>
      </c>
      <c r="AE123" s="143">
        <f>AD123*Input!V123/100</f>
        <v>1.0205437561835</v>
      </c>
      <c r="AF123" s="143">
        <f>(AD123/Constants!$B$10)*602200000000*Constants!$B$16/(365.2425*24*60)</f>
        <v>10.233135347120241</v>
      </c>
      <c r="AG123" s="143">
        <f>AF123*Input!V123/100</f>
        <v>4.6583401948142769E-2</v>
      </c>
      <c r="AH123" s="139">
        <f t="shared" ref="AH123" si="645">AF123/Z123</f>
        <v>43466.913568509503</v>
      </c>
      <c r="AI123" s="148">
        <f t="shared" ref="AI123" si="646">AH123*SQRT((AG123/AF123)^2+(AA123/Z123)^2)</f>
        <v>401.44654436551957</v>
      </c>
      <c r="AJ123" s="145">
        <f t="shared" si="591"/>
        <v>0.9698330666223498</v>
      </c>
      <c r="AK123" s="148">
        <f t="shared" ref="AK123" si="647">V123*1000</f>
        <v>1.3003538494307176</v>
      </c>
      <c r="AL123" s="148">
        <f t="shared" ref="AL123" si="648">AF123/Q123</f>
        <v>1.000731093520006</v>
      </c>
      <c r="AM123" s="148">
        <f t="shared" ref="AM123" si="649">AL123*SQRT((R123/Q123)^2+(AG123/AF123)^2)</f>
        <v>4.562274418593801E-3</v>
      </c>
      <c r="AN123" s="139">
        <f>AF123/Q123</f>
        <v>1.000731093520006</v>
      </c>
      <c r="AO123" s="143">
        <f t="shared" ref="AO123" si="650">AN123*SQRT((R123/Q123)^2+(AG123/AF123)^2)</f>
        <v>4.562274418593801E-3</v>
      </c>
      <c r="AP123" s="139">
        <f t="shared" ref="AP123" si="651">ThU_Alter_Kombi(AN123,U123)</f>
        <v>798.38620000000003</v>
      </c>
      <c r="AQ123" s="139" t="e">
        <f t="shared" si="597"/>
        <v>#VALUE!</v>
      </c>
      <c r="AR123" s="139" t="e">
        <f>(AQ123/AP123)*100</f>
        <v>#VALUE!</v>
      </c>
      <c r="AS123" s="147">
        <f t="shared" si="598"/>
        <v>2.3022823829962616E-5</v>
      </c>
      <c r="AT123" s="147">
        <f t="shared" si="599"/>
        <v>1.8509617264044658E-7</v>
      </c>
      <c r="AU123" s="139">
        <v>0.75</v>
      </c>
      <c r="AV123" s="139">
        <f t="shared" ref="AV123" si="652">AU123/2</f>
        <v>0.375</v>
      </c>
      <c r="AW123" s="139">
        <f t="shared" si="601"/>
        <v>798.38440000000003</v>
      </c>
      <c r="AX123" s="149">
        <f t="shared" si="602"/>
        <v>325.05914028230001</v>
      </c>
      <c r="AY123" s="149">
        <f t="shared" si="603"/>
        <v>798.66985254035978</v>
      </c>
      <c r="AZ123" s="150">
        <f t="shared" si="604"/>
        <v>0.40714615701697077</v>
      </c>
      <c r="BA123" s="139" t="str">
        <f>Input!B123</f>
        <v>Hu1-13</v>
      </c>
      <c r="BB123" s="151">
        <f>Input!E123</f>
        <v>0</v>
      </c>
      <c r="BC123" s="139">
        <f>((U123-1)*EXP(Constants!$B$17*AW123*1000))*1000</f>
        <v>9.2299844270523828</v>
      </c>
      <c r="BD123" s="145">
        <f>SQRT((EXP(Constants!$B$17*AW123*1000)*V123)^2+((U123-1)*Constants!$B$17*EXP(Constants!$B$17*AW123*1000)*AY123*1000)^2)*1000</f>
        <v>24.206130904374064</v>
      </c>
      <c r="BE123" s="139">
        <f t="shared" si="605"/>
        <v>798326.4</v>
      </c>
      <c r="BF123" s="152">
        <f t="shared" si="606"/>
        <v>399334.92627017992</v>
      </c>
      <c r="BG123" s="161">
        <f t="shared" si="607"/>
        <v>100.0357537722881</v>
      </c>
      <c r="BH123" s="139"/>
      <c r="BI123" s="18"/>
      <c r="BJ123" s="18"/>
      <c r="BK123" s="18"/>
      <c r="BL123" s="18"/>
      <c r="BM123" s="18"/>
      <c r="BN123" s="160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11024</v>
      </c>
      <c r="B124" s="18" t="str">
        <f>Input!B124</f>
        <v>KMS6-19,9cm-a</v>
      </c>
      <c r="C124" s="18">
        <f>Input!O124</f>
        <v>0.67247471296534678</v>
      </c>
      <c r="D124" s="18">
        <f>C124*Input!P124/100</f>
        <v>4.6475070884223748E-3</v>
      </c>
      <c r="E124" s="153">
        <f>Input!M124</f>
        <v>0.97610907341097164</v>
      </c>
      <c r="F124" s="154">
        <f>E124*Input!N124/100</f>
        <v>1.0482022570485031E-4</v>
      </c>
      <c r="G124" s="21">
        <f>E124*137.88</f>
        <v>134.58591904190476</v>
      </c>
      <c r="H124" s="154">
        <f>G124*Input!L124/100</f>
        <v>1.0439340030144118E-2</v>
      </c>
      <c r="I124" s="18">
        <v>0.3</v>
      </c>
      <c r="J124" s="130">
        <f>(((C124*Constants!$B$24*0.000000001*Input!G124*(Constants!$B$4/Constants!$B$3))-(I124*0.000000000000001))/Input!F124)*1000000000000</f>
        <v>4.0497572716075849</v>
      </c>
      <c r="K124" s="18">
        <f>J124*Input!P124/100</f>
        <v>2.7988079348280542E-2</v>
      </c>
      <c r="L124" s="135">
        <f>(J124/Constants!$B$4)*602200000000*Constants!$B$17/(365.2425*24*60)</f>
        <v>5.5911395640138521E-2</v>
      </c>
      <c r="M124" s="133">
        <f>L124*Input!P124/100</f>
        <v>3.8640651098284767E-4</v>
      </c>
      <c r="N124" s="18">
        <v>5.0000000000000001E-3</v>
      </c>
      <c r="O124" s="130">
        <f>(((G124*Constants!$B$23*0.000000001*Input!G124*(Constants!$B$7/Constants!$B$6))-(N124*0.000000001))/Input!F124)*1000000</f>
        <v>8.1649192530954762E-2</v>
      </c>
      <c r="P124" s="18">
        <f>O124*Input!N124/100</f>
        <v>8.7679615145940484E-6</v>
      </c>
      <c r="Q124" s="131">
        <f>(O124/Constants!$B$7)*602200000000000000*Constants!$B$18/(365.2425*24*60)</f>
        <v>6.0920157459370176E-2</v>
      </c>
      <c r="R124" s="132">
        <f>Q124*Input!N124/100</f>
        <v>6.5419580954736646E-6</v>
      </c>
      <c r="S124" s="133">
        <f>Input!S124*Constants!$B$17/Constants!$B$18</f>
        <v>0.90965867272739342</v>
      </c>
      <c r="T124" s="18">
        <f>S124*Input!T124/100</f>
        <v>1.0859827432675535E-3</v>
      </c>
      <c r="U124" s="18">
        <f>S124*1/((U123+U125)/2)</f>
        <v>0.90829803292772959</v>
      </c>
      <c r="V124" s="18">
        <f>U124*Input!T124/100</f>
        <v>1.0843583632813684E-3</v>
      </c>
      <c r="W124" s="134">
        <v>3.0000000000000001E-3</v>
      </c>
      <c r="X124" s="130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36.176054836344065</v>
      </c>
      <c r="Y124" s="130">
        <f>X124*Input!X124/100</f>
        <v>8.924177580394059E-2</v>
      </c>
      <c r="Z124" s="130">
        <f>(X124/Constants!$B$11)*6.022E+23*0.000000001*Constants!$B$19/(365.2425*24*60)</f>
        <v>8.8317445114887167E-3</v>
      </c>
      <c r="AA124" s="130">
        <f>Z124*Input!X124/100</f>
        <v>2.1786802547085314E-5</v>
      </c>
      <c r="AB124" s="135">
        <v>0.05</v>
      </c>
      <c r="AC124" s="135">
        <v>0</v>
      </c>
      <c r="AD124" s="130">
        <f>(((Input!G124*Constants!$B$25*0.000000001*Input!U124*(Constants!$B$10/Constants!$B$9))-((AB124*0.000000000000001)+(Input!G124*AC124*0.000000000000001)))/Input!F124)*1000000000000</f>
        <v>0.11793019885906611</v>
      </c>
      <c r="AE124" s="130">
        <f>AD124*Input!V124/100</f>
        <v>9.311111883372272E-4</v>
      </c>
      <c r="AF124" s="130">
        <f>(AD124/Constants!$B$10)*602200000000*Constants!$B$16/(365.2425*24*60)</f>
        <v>5.3830027590590678E-3</v>
      </c>
      <c r="AG124" s="130">
        <f>AF124*Input!V124/100</f>
        <v>4.2501192606313838E-5</v>
      </c>
      <c r="AH124" s="18">
        <f>AF124/Z124</f>
        <v>0.60950616857820383</v>
      </c>
      <c r="AI124" s="134">
        <f>AH124*SQRT((AG124/AF124)^2+(AA124/Z124)^2)</f>
        <v>5.0417432090454888E-3</v>
      </c>
      <c r="AJ124" s="133">
        <f t="shared" ref="AJ124:AJ129" si="653">(U124-1)*1000</f>
        <v>-91.701967072270406</v>
      </c>
      <c r="AK124" s="134">
        <f>V124*1000</f>
        <v>1.0843583632813685</v>
      </c>
      <c r="AL124" s="134">
        <f>AF124/Q124</f>
        <v>8.8361602851226767E-2</v>
      </c>
      <c r="AM124" s="134">
        <f>AL124*SQRT((R124/Q124)^2+(AG124/AF124)^2)</f>
        <v>6.977185429976932E-4</v>
      </c>
      <c r="AN124" s="18">
        <f>AL124*1/((AN123+AN125)/2)</f>
        <v>8.8476005887286005E-2</v>
      </c>
      <c r="AO124" s="130">
        <f>AN124*SQRT((R124/Q124)^2+(AG124/AF124)^2)</f>
        <v>6.9862188921435424E-4</v>
      </c>
      <c r="AP124" s="18">
        <f>ThU_Alter_Kombi(AN124,U124)</f>
        <v>11.1942</v>
      </c>
      <c r="AQ124" s="18">
        <f t="shared" ref="AQ124:AQ129" si="654">Montealter(AN124,AO124,U124,V124)</f>
        <v>9.7699999999999995E-2</v>
      </c>
      <c r="AR124" s="155">
        <f>(AQ124/AP124)</f>
        <v>8.7277340051097885E-3</v>
      </c>
      <c r="AS124" s="132">
        <f t="shared" ref="AS124:AS129" si="655">Z124/Q124</f>
        <v>0.14497245049602706</v>
      </c>
      <c r="AT124" s="132">
        <f t="shared" ref="AT124:AT129" si="656">AS124*SQRT((Y124/X124)^2+(P124/O124)^2)</f>
        <v>3.579674810339851E-4</v>
      </c>
      <c r="AU124" s="18">
        <v>0.75</v>
      </c>
      <c r="AV124" s="18">
        <f>AU124/2</f>
        <v>0.375</v>
      </c>
      <c r="AW124" s="18" t="str">
        <f t="shared" ref="AW124:AW129" si="657">marincorr_age(AN124,U124,AS124,AU124)</f>
        <v>Out of range</v>
      </c>
      <c r="AX124" s="136">
        <f t="shared" ref="AX124:AX129" si="658">marincorr_age_error(AN124, AO124, U124, V124, AS124, AT124, AU124, AV124)</f>
        <v>3.2734436835</v>
      </c>
      <c r="AY124" s="136" t="e">
        <f t="shared" ref="AY124:AY129" si="659">SQRT(((AU124*EXP(-0.0000091577*AW124*1000))/(0.0000091577*(EXP(-0.0000091577*AW124*1000)+(AJ124/1000)*EXP(-(0.0000091577-0.0000028263)*AW124*1000)-AS124*AU124*EXP(-0.0000091577*AW124*1000))))^2*AT124^2+((AS124*EXP(-0.0000091577*AW124*1000))/(0.0000091577*(EXP(-0.0000091577*AW124*1000)+(AJ124/1000)*EXP(-(0.0000091577-0.0000028263)*AW124*1000)-AS124*AU124*EXP(-0.0000091577*AW124*1000))))^2*AV124^2+((0.0000091577/(0.0000091577-0.0000028263))*(EXP(-(0.0000091577-0.0000028263)*AW124*1000)-1)/(0.0000091577*(EXP(-0.0000091577*AW124*1000)+(AJ124/1000)*EXP(-(0.0000091577-0.0000028263)*AW124*1000)-AS124*AU124*EXP(-0.0000091577*AW124*1000))))^2*T124^2+(1/(0.0000091577*(EXP(-0.0000091577*AW124*1000)+(AJ124/1000)*EXP(-(0.0000091577-0.0000028263)*AW124*1000)-AS124*AU124*EXP(-0.0000091577*AW124*1000))))^2*AO124^2)/1000</f>
        <v>#VALUE!</v>
      </c>
      <c r="AZ124" s="155" t="e">
        <f t="shared" ref="AZ124:AZ129" si="660">AX124/AW124</f>
        <v>#VALUE!</v>
      </c>
      <c r="BA124" s="18" t="str">
        <f>Input!B124</f>
        <v>KMS6-19,9cm-a</v>
      </c>
      <c r="BB124" s="137">
        <f>Input!E124</f>
        <v>19.899999999999999</v>
      </c>
      <c r="BC124" s="18" t="e">
        <f>((U124-1)*EXP(Constants!$B$17*AW124*1000))*1000</f>
        <v>#VALUE!</v>
      </c>
      <c r="BD124" s="133" t="e">
        <f>SQRT((EXP(Constants!$B$17*AW124*1000)*V124)^2+((U124-1)*Constants!$B$17*EXP(Constants!$B$17*AW124*1000)*AY124*1000)^2)*1000</f>
        <v>#VALUE!</v>
      </c>
      <c r="BE124" s="18" t="e">
        <f t="shared" ref="BE124:BE129" si="661">AW124*1000-58</f>
        <v>#VALUE!</v>
      </c>
      <c r="BF124" s="138" t="e">
        <f t="shared" ref="BF124:BF129" si="662">AY124/2*1000</f>
        <v>#VALUE!</v>
      </c>
      <c r="BG124" s="20" t="e">
        <f t="shared" ref="BG124:BG129" si="663">AY124/AW124*100</f>
        <v>#VALUE!</v>
      </c>
      <c r="BH124" s="18"/>
      <c r="BI124" s="18"/>
      <c r="BJ124" s="18"/>
      <c r="BK124" s="18"/>
      <c r="BL124" s="18"/>
      <c r="BM124" s="18"/>
      <c r="BN124" s="160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9">
        <f>Input!A125</f>
        <v>10815</v>
      </c>
      <c r="B125" s="139" t="str">
        <f>Input!B125</f>
        <v>Hu1-13</v>
      </c>
      <c r="C125" s="139">
        <f>Input!O125</f>
        <v>2.1252192867376656</v>
      </c>
      <c r="D125" s="139">
        <f>C125*Input!P125/100</f>
        <v>4.2092143810368826E-2</v>
      </c>
      <c r="E125" s="140">
        <f>Input!M125</f>
        <v>2.7338655904241493</v>
      </c>
      <c r="F125" s="141">
        <f>E125*Input!N125/100</f>
        <v>1.0782482515662355E-3</v>
      </c>
      <c r="G125" s="142">
        <f t="shared" ref="G125" si="664">E125*137.88</f>
        <v>376.94538760768171</v>
      </c>
      <c r="H125" s="141">
        <f>G125*Input!L125/100</f>
        <v>3.3916665685173E-2</v>
      </c>
      <c r="I125" s="139">
        <v>0</v>
      </c>
      <c r="J125" s="143">
        <f>(((C125*Constants!$B$24*0.000000001*Input!G125*(Constants!$B$4/Constants!$B$3))-(I125*0.000000000000001))/Input!F125)*1000000000000</f>
        <v>767.28394895979329</v>
      </c>
      <c r="K125" s="139">
        <f>J125*Input!P125/100</f>
        <v>15.196844167822558</v>
      </c>
      <c r="L125" s="144">
        <f>(J125/Constants!$B$4)*602200000000*Constants!$B$17/(365.2425*24*60)</f>
        <v>10.593206842144735</v>
      </c>
      <c r="M125" s="145">
        <f>L125*Input!P125/100</f>
        <v>0.20980930701838646</v>
      </c>
      <c r="N125" s="139">
        <v>0</v>
      </c>
      <c r="O125" s="143">
        <f>(((G125*Constants!$B$23*0.000000001*Input!G125*(Constants!$B$7/Constants!$B$6))-(N125*0.000000001))/Input!F125)*1000000</f>
        <v>13.709205887070956</v>
      </c>
      <c r="P125" s="139">
        <f>O125*Input!N125/100</f>
        <v>5.4069692854952821E-3</v>
      </c>
      <c r="Q125" s="146">
        <f>(O125/Constants!$B$7)*602200000000000000*Constants!$B$18/(365.2425*24*60)</f>
        <v>10.228723094434272</v>
      </c>
      <c r="R125" s="147">
        <f>Q125*Input!N125/100</f>
        <v>4.034252024298606E-3</v>
      </c>
      <c r="S125" s="145">
        <f>Input!S125*Constants!$B$17/Constants!$B$18</f>
        <v>1.0020261875132703</v>
      </c>
      <c r="T125" s="139">
        <f>S125*Input!T125/100</f>
        <v>1.3727711632030577E-3</v>
      </c>
      <c r="U125" s="145">
        <f>S125</f>
        <v>1.0020261875132703</v>
      </c>
      <c r="V125" s="139">
        <f>U125*Input!T125/100</f>
        <v>1.3727711632030577E-3</v>
      </c>
      <c r="W125" s="148">
        <v>0</v>
      </c>
      <c r="X125" s="143">
        <f>(((Constants!$B$25*0.000000001*Input!G125/Input!W125*(Constants!$B$11/Constants!$B$9))-(W125*0.000000001))/Input!F125)*1000000000</f>
        <v>0.94191147293257971</v>
      </c>
      <c r="Y125" s="143">
        <f>X125*Input!X125/100</f>
        <v>1.1669879699989861E-2</v>
      </c>
      <c r="Z125" s="143">
        <f>(X125/Constants!$B$11)*6.022E+23*0.000000001*Constants!$B$19/(365.2425*24*60)</f>
        <v>2.2995104134526052E-4</v>
      </c>
      <c r="AA125" s="143">
        <f>Z125*Input!X125/100</f>
        <v>2.8489949071664665E-6</v>
      </c>
      <c r="AB125" s="144">
        <v>0</v>
      </c>
      <c r="AC125" s="144">
        <v>0</v>
      </c>
      <c r="AD125" s="143">
        <f>(((Input!G125*Constants!$B$25*0.000000001*Input!U125*(Constants!$B$10/Constants!$B$9))-((AB125*0.000000000000001)+(Input!G125*AC125*0.000000000000001)))/Input!F125)*1000000000000</f>
        <v>223.34633236992411</v>
      </c>
      <c r="AE125" s="143">
        <f>AD125*Input!V125/100</f>
        <v>1.0385648875263791</v>
      </c>
      <c r="AF125" s="143">
        <f>(AD125/Constants!$B$10)*602200000000*Constants!$B$16/(365.2425*24*60)</f>
        <v>10.194792640092267</v>
      </c>
      <c r="AG125" s="143">
        <f>AF125*Input!V125/100</f>
        <v>4.7405988534772819E-2</v>
      </c>
      <c r="AH125" s="139">
        <f t="shared" ref="AH125" si="665">AF125/Z125</f>
        <v>44334.622624236225</v>
      </c>
      <c r="AI125" s="148">
        <f t="shared" ref="AI125" si="666">AH125*SQRT((AG125/AF125)^2+(AA125/Z125)^2)</f>
        <v>586.69996521203825</v>
      </c>
      <c r="AJ125" s="145">
        <f t="shared" si="653"/>
        <v>2.0261875132703278</v>
      </c>
      <c r="AK125" s="148">
        <f t="shared" ref="AK125" si="667">V125*1000</f>
        <v>1.3727711632030577</v>
      </c>
      <c r="AL125" s="148">
        <f t="shared" ref="AL125" si="668">AF125/Q125</f>
        <v>0.99668282599609448</v>
      </c>
      <c r="AM125" s="148">
        <f t="shared" ref="AM125" si="669">AL125*SQRT((R125/Q125)^2+(AG125/AF125)^2)</f>
        <v>4.6512358472421212E-3</v>
      </c>
      <c r="AN125" s="139">
        <f>AF125/Q125</f>
        <v>0.99668282599609448</v>
      </c>
      <c r="AO125" s="143">
        <f t="shared" ref="AO125" si="670">AN125*SQRT((R125/Q125)^2+(AG125/AF125)^2)</f>
        <v>4.6512358472421212E-3</v>
      </c>
      <c r="AP125" s="139">
        <f t="shared" ref="AP125" si="671">ThU_Alter_Kombi(AN125,U125)</f>
        <v>555.04520000000002</v>
      </c>
      <c r="AQ125" s="139" t="e">
        <f t="shared" si="654"/>
        <v>#VALUE!</v>
      </c>
      <c r="AR125" s="139" t="e">
        <f>(AQ125/AP125)*100</f>
        <v>#VALUE!</v>
      </c>
      <c r="AS125" s="147">
        <f t="shared" si="655"/>
        <v>2.2480913719365728E-5</v>
      </c>
      <c r="AT125" s="147">
        <f t="shared" si="656"/>
        <v>2.7866998323056452E-7</v>
      </c>
      <c r="AU125" s="139">
        <v>0.75</v>
      </c>
      <c r="AV125" s="139">
        <f t="shared" ref="AV125" si="672">AU125/2</f>
        <v>0.375</v>
      </c>
      <c r="AW125" s="139">
        <f t="shared" si="657"/>
        <v>555.04340000000002</v>
      </c>
      <c r="AX125" s="149">
        <f t="shared" si="658"/>
        <v>199.0808660511</v>
      </c>
      <c r="AY125" s="149">
        <f t="shared" si="659"/>
        <v>87.790914295602235</v>
      </c>
      <c r="AZ125" s="150">
        <f t="shared" si="660"/>
        <v>0.35867621532136046</v>
      </c>
      <c r="BA125" s="139" t="str">
        <f>Input!B125</f>
        <v>Hu1-13</v>
      </c>
      <c r="BB125" s="151">
        <f>Input!E125</f>
        <v>0</v>
      </c>
      <c r="BC125" s="139">
        <f>((U125-1)*EXP(Constants!$B$17*AW125*1000))*1000</f>
        <v>9.7038404747940685</v>
      </c>
      <c r="BD125" s="145">
        <f>SQRT((EXP(Constants!$B$17*AW125*1000)*V125)^2+((U125-1)*Constants!$B$17*EXP(Constants!$B$17*AW125*1000)*AY125*1000)^2)*1000</f>
        <v>7.000272747319042</v>
      </c>
      <c r="BE125" s="139">
        <f t="shared" si="661"/>
        <v>554985.4</v>
      </c>
      <c r="BF125" s="152">
        <f t="shared" si="662"/>
        <v>43895.45714780112</v>
      </c>
      <c r="BG125" s="161">
        <f t="shared" si="663"/>
        <v>15.816945899294044</v>
      </c>
      <c r="BH125" s="139"/>
      <c r="BI125" s="18"/>
      <c r="BJ125" s="18"/>
      <c r="BK125" s="18"/>
      <c r="BL125" s="18"/>
      <c r="BM125" s="18"/>
      <c r="BN125" s="160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6" spans="1:110" ht="15" customHeight="1" x14ac:dyDescent="0.2">
      <c r="A126" s="18">
        <f>Input!A126</f>
        <v>11025</v>
      </c>
      <c r="B126" s="18" t="str">
        <f>Input!B126</f>
        <v>KMS6-19,9cm-b</v>
      </c>
      <c r="C126" s="18">
        <f>Input!O126</f>
        <v>0.39118183189537165</v>
      </c>
      <c r="D126" s="18">
        <f>C126*Input!P126/100</f>
        <v>2.9186882885615883E-3</v>
      </c>
      <c r="E126" s="153">
        <f>Input!M126</f>
        <v>0.55976982123737862</v>
      </c>
      <c r="F126" s="154">
        <f>E126*Input!N126/100</f>
        <v>8.683111052507383E-5</v>
      </c>
      <c r="G126" s="21">
        <f>E126*137.88</f>
        <v>77.181062952209757</v>
      </c>
      <c r="H126" s="154">
        <f>G126*Input!L126/100</f>
        <v>1.0292237940278313E-2</v>
      </c>
      <c r="I126" s="18">
        <v>0.3</v>
      </c>
      <c r="J126" s="130">
        <f>(((C126*Constants!$B$24*0.000000001*Input!G126*(Constants!$B$4/Constants!$B$3))-(I126*0.000000000000001))/Input!F126)*1000000000000</f>
        <v>4.6733195848549469</v>
      </c>
      <c r="K126" s="18">
        <f>J126*Input!P126/100</f>
        <v>3.486860081137378E-2</v>
      </c>
      <c r="L126" s="135">
        <f>(J126/Constants!$B$4)*602200000000*Constants!$B$17/(365.2425*24*60)</f>
        <v>6.4520365725008216E-2</v>
      </c>
      <c r="M126" s="133">
        <f>L126*Input!P126/100</f>
        <v>4.813997493259351E-4</v>
      </c>
      <c r="N126" s="18">
        <v>5.0000000000000001E-3</v>
      </c>
      <c r="O126" s="130">
        <f>(((G126*Constants!$B$23*0.000000001*Input!G126*(Constants!$B$7/Constants!$B$6))-(N126*0.000000001))/Input!F126)*1000000</f>
        <v>9.2889462290141694E-2</v>
      </c>
      <c r="P126" s="18">
        <f>O126*Input!N126/100</f>
        <v>1.4408949644517535E-5</v>
      </c>
      <c r="Q126" s="131">
        <f>(O126/Constants!$B$7)*602200000000000000*Constants!$B$18/(365.2425*24*60)</f>
        <v>6.9306756057462365E-2</v>
      </c>
      <c r="R126" s="132">
        <f>Q126*Input!N126/100</f>
        <v>1.0750816437472486E-5</v>
      </c>
      <c r="S126" s="133">
        <f>Input!S126*Constants!$B$17/Constants!$B$18</f>
        <v>0.91648487996046957</v>
      </c>
      <c r="T126" s="18">
        <f>S126*Input!T126/100</f>
        <v>1.412336975115551E-3</v>
      </c>
      <c r="U126" s="18">
        <f>S126*1/((U125+U127)/2)</f>
        <v>0.91449709768940624</v>
      </c>
      <c r="V126" s="18">
        <f>U126*Input!T126/100</f>
        <v>1.4092737293803644E-3</v>
      </c>
      <c r="W126" s="134">
        <v>3.0000000000000001E-3</v>
      </c>
      <c r="X126" s="130">
        <f>IF((((Constants!$B$25*0.000000001*Input!G126/Input!W126*(Constants!$B$11/Constants!$B$9))-(W126*0.000000001))/Input!F126)*1000000000&lt;0, "n.d.", (((Constants!$B$25*0.000000001*Input!G126/Input!W126*(Constants!$B$11/Constants!$B$9))-(W126*0.000000001))/Input!F126)*1000000000)</f>
        <v>24.364842902935369</v>
      </c>
      <c r="Y126" s="130">
        <f>X126*Input!X126/100</f>
        <v>4.9505057251384342E-2</v>
      </c>
      <c r="Z126" s="130">
        <f>(X126/Constants!$B$11)*6.022E+23*0.000000001*Constants!$B$19/(365.2425*24*60)</f>
        <v>5.9482458370529907E-3</v>
      </c>
      <c r="AA126" s="130">
        <f>Z126*Input!X126/100</f>
        <v>1.2085784910730562E-5</v>
      </c>
      <c r="AB126" s="135">
        <v>0.05</v>
      </c>
      <c r="AC126" s="135">
        <v>0</v>
      </c>
      <c r="AD126" s="130">
        <f>(((Input!G126*Constants!$B$25*0.000000001*Input!U126*(Constants!$B$10/Constants!$B$9))-((AB126*0.000000000000001)+(Input!G126*AC126*0.000000000000001)))/Input!F126)*1000000000000</f>
        <v>0.15204991900509177</v>
      </c>
      <c r="AE126" s="130">
        <f>AD126*Input!V126/100</f>
        <v>1.1427149174455093E-3</v>
      </c>
      <c r="AF126" s="130">
        <f>(AD126/Constants!$B$10)*602200000000*Constants!$B$16/(365.2425*24*60)</f>
        <v>6.9404201929419039E-3</v>
      </c>
      <c r="AG126" s="130">
        <f>AF126*Input!V126/100</f>
        <v>5.2159986271016476E-5</v>
      </c>
      <c r="AH126" s="18">
        <f>AF126/Z126</f>
        <v>1.16680116845683</v>
      </c>
      <c r="AI126" s="134">
        <f>AH126*SQRT((AG126/AF126)^2+(AA126/Z126)^2)</f>
        <v>9.0837880361123342E-3</v>
      </c>
      <c r="AJ126" s="133">
        <f t="shared" si="653"/>
        <v>-85.502902310593768</v>
      </c>
      <c r="AK126" s="134">
        <f>V126*1000</f>
        <v>1.4092737293803643</v>
      </c>
      <c r="AL126" s="134">
        <f>AF126/Q126</f>
        <v>0.10014060082667248</v>
      </c>
      <c r="AM126" s="134">
        <f>AL126*SQRT((R126/Q126)^2+(AG126/AF126)^2)</f>
        <v>7.5275627676547364E-4</v>
      </c>
      <c r="AN126" s="18">
        <f>AL126*1/((AN125+AN127)/2)</f>
        <v>0.10048178579214279</v>
      </c>
      <c r="AO126" s="130">
        <f>AN126*SQRT((R126/Q126)^2+(AG126/AF126)^2)</f>
        <v>7.5532096203973441E-4</v>
      </c>
      <c r="AP126" s="18">
        <f>ThU_Alter_Kombi(AN126,U126)</f>
        <v>12.7148</v>
      </c>
      <c r="AQ126" s="18">
        <f t="shared" si="654"/>
        <v>0.11</v>
      </c>
      <c r="AR126" s="155">
        <f>(AQ126/AP126)</f>
        <v>8.6513354515997103E-3</v>
      </c>
      <c r="AS126" s="132">
        <f t="shared" si="655"/>
        <v>8.5824906191270714E-2</v>
      </c>
      <c r="AT126" s="132">
        <f t="shared" si="656"/>
        <v>1.7488850543306467E-4</v>
      </c>
      <c r="AU126" s="18">
        <v>0.75</v>
      </c>
      <c r="AV126" s="18">
        <f>AU126/2</f>
        <v>0.375</v>
      </c>
      <c r="AW126" s="18">
        <f t="shared" si="657"/>
        <v>4.7366999999999999</v>
      </c>
      <c r="AX126" s="136">
        <f t="shared" si="658"/>
        <v>3.6473830844999999</v>
      </c>
      <c r="AY126" s="136">
        <f t="shared" si="659"/>
        <v>4.1409270723877105</v>
      </c>
      <c r="AZ126" s="155">
        <f t="shared" si="660"/>
        <v>0.77002619640255876</v>
      </c>
      <c r="BA126" s="18" t="str">
        <f>Input!B126</f>
        <v>KMS6-19,9cm-b</v>
      </c>
      <c r="BB126" s="137">
        <f>Input!E126</f>
        <v>19.899999999999999</v>
      </c>
      <c r="BC126" s="18">
        <f>((U126-1)*EXP(Constants!$B$17*AW126*1000))*1000</f>
        <v>-86.653514245205642</v>
      </c>
      <c r="BD126" s="133">
        <f>SQRT((EXP(Constants!$B$17*AW126*1000)*V126)^2+((U126-1)*Constants!$B$17*EXP(Constants!$B$17*AW126*1000)*AY126*1000)^2)*1000</f>
        <v>1.750794248404111</v>
      </c>
      <c r="BE126" s="18">
        <f t="shared" si="661"/>
        <v>4678.7</v>
      </c>
      <c r="BF126" s="138">
        <f t="shared" si="662"/>
        <v>2070.4635361938554</v>
      </c>
      <c r="BG126" s="20">
        <f t="shared" si="663"/>
        <v>87.422194194010828</v>
      </c>
      <c r="BH126" s="18"/>
      <c r="BI126" s="18"/>
      <c r="BJ126" s="18"/>
      <c r="BK126" s="18"/>
      <c r="BL126" s="18"/>
      <c r="BM126" s="18"/>
      <c r="BN126" s="160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</row>
    <row r="127" spans="1:110" ht="15" customHeight="1" x14ac:dyDescent="0.2">
      <c r="A127" s="139">
        <f>Input!A127</f>
        <v>10815</v>
      </c>
      <c r="B127" s="139" t="str">
        <f>Input!B127</f>
        <v>Hu1-13</v>
      </c>
      <c r="C127" s="139">
        <f>Input!O127</f>
        <v>2.0744092067549293</v>
      </c>
      <c r="D127" s="139">
        <f>C127*Input!P127/100</f>
        <v>5.7514822605414552E-2</v>
      </c>
      <c r="E127" s="140">
        <f>Input!M127</f>
        <v>2.733281881911227</v>
      </c>
      <c r="F127" s="141">
        <f>E127*Input!N127/100</f>
        <v>1.0052715442324049E-3</v>
      </c>
      <c r="G127" s="142">
        <f t="shared" ref="G127" si="673">E127*137.88</f>
        <v>376.86490587791997</v>
      </c>
      <c r="H127" s="141">
        <f>G127*Input!L127/100</f>
        <v>3.7922451026411667E-2</v>
      </c>
      <c r="I127" s="139">
        <v>0</v>
      </c>
      <c r="J127" s="143">
        <f>(((C127*Constants!$B$24*0.000000001*Input!G127*(Constants!$B$4/Constants!$B$3))-(I127*0.000000000000001))/Input!F127)*1000000000000</f>
        <v>748.93960253897649</v>
      </c>
      <c r="K127" s="139">
        <f>J127*Input!P127/100</f>
        <v>20.765010221673109</v>
      </c>
      <c r="L127" s="144">
        <f>(J127/Constants!$B$4)*602200000000*Constants!$B$17/(365.2425*24*60)</f>
        <v>10.339942771805301</v>
      </c>
      <c r="M127" s="145">
        <f>L127*Input!P127/100</f>
        <v>0.28668402180919272</v>
      </c>
      <c r="N127" s="139">
        <v>0</v>
      </c>
      <c r="O127" s="143">
        <f>(((G127*Constants!$B$23*0.000000001*Input!G127*(Constants!$B$7/Constants!$B$6))-(N127*0.000000001))/Input!F127)*1000000</f>
        <v>13.706278830155755</v>
      </c>
      <c r="P127" s="139">
        <f>O127*Input!N127/100</f>
        <v>5.0410212632866318E-3</v>
      </c>
      <c r="Q127" s="146">
        <f>(O127/Constants!$B$7)*602200000000000000*Constants!$B$18/(365.2425*24*60)</f>
        <v>10.226539156508627</v>
      </c>
      <c r="R127" s="147">
        <f>Q127*Input!N127/100</f>
        <v>3.7612106084089852E-3</v>
      </c>
      <c r="S127" s="145">
        <f>Input!S127*Constants!$B$17/Constants!$B$18</f>
        <v>1.0023210811135754</v>
      </c>
      <c r="T127" s="139">
        <f>S127*Input!T127/100</f>
        <v>1.3290484507096432E-3</v>
      </c>
      <c r="U127" s="145">
        <f>S127</f>
        <v>1.0023210811135754</v>
      </c>
      <c r="V127" s="139">
        <f>U127*Input!T127/100</f>
        <v>1.3290484507096432E-3</v>
      </c>
      <c r="W127" s="148">
        <v>0</v>
      </c>
      <c r="X127" s="143">
        <f>(((Constants!$B$25*0.000000001*Input!G127/Input!W127*(Constants!$B$11/Constants!$B$9))-(W127*0.000000001))/Input!F127)*1000000000</f>
        <v>0.96355140813224016</v>
      </c>
      <c r="Y127" s="143">
        <f>X127*Input!X127/100</f>
        <v>1.0341972924693917E-2</v>
      </c>
      <c r="Z127" s="143">
        <f>(X127/Constants!$B$11)*6.022E+23*0.000000001*Constants!$B$19/(365.2425*24*60)</f>
        <v>2.3523404911913659E-4</v>
      </c>
      <c r="AA127" s="143">
        <f>Z127*Input!X127/100</f>
        <v>2.5248099337761002E-6</v>
      </c>
      <c r="AB127" s="144">
        <v>0</v>
      </c>
      <c r="AC127" s="144">
        <v>0</v>
      </c>
      <c r="AD127" s="143">
        <f>(((Input!G127*Constants!$B$25*0.000000001*Input!U127*(Constants!$B$10/Constants!$B$9))-((AB127*0.000000000000001)+(Input!G127*AC127*0.000000000000001)))/Input!F127)*1000000000000</f>
        <v>223.2635532078553</v>
      </c>
      <c r="AE127" s="143">
        <f>AD127*Input!V127/100</f>
        <v>1.2391154511400804</v>
      </c>
      <c r="AF127" s="143">
        <f>(AD127/Constants!$B$10)*602200000000*Constants!$B$16/(365.2425*24*60)</f>
        <v>10.191014129904715</v>
      </c>
      <c r="AG127" s="143">
        <f>AF127*Input!V127/100</f>
        <v>5.6560253071827923E-2</v>
      </c>
      <c r="AH127" s="139">
        <f t="shared" ref="AH127" si="674">AF127/Z127</f>
        <v>43322.870001457042</v>
      </c>
      <c r="AI127" s="148">
        <f t="shared" ref="AI127" si="675">AH127*SQRT((AG127/AF127)^2+(AA127/Z127)^2)</f>
        <v>523.47911065184553</v>
      </c>
      <c r="AJ127" s="145">
        <f t="shared" si="653"/>
        <v>2.3210811135754295</v>
      </c>
      <c r="AK127" s="148">
        <f t="shared" ref="AK127" si="676">V127*1000</f>
        <v>1.3290484507096432</v>
      </c>
      <c r="AL127" s="148">
        <f t="shared" ref="AL127" si="677">AF127/Q127</f>
        <v>0.99652619267767606</v>
      </c>
      <c r="AM127" s="148">
        <f t="shared" ref="AM127" si="678">AL127*SQRT((R127/Q127)^2+(AG127/AF127)^2)</f>
        <v>5.5428632817457425E-3</v>
      </c>
      <c r="AN127" s="139">
        <f>AF127/Q127</f>
        <v>0.99652619267767606</v>
      </c>
      <c r="AO127" s="143">
        <f t="shared" ref="AO127" si="679">AN127*SQRT((R127/Q127)^2+(AG127/AF127)^2)</f>
        <v>5.5428632817457425E-3</v>
      </c>
      <c r="AP127" s="139">
        <f t="shared" ref="AP127" si="680">ThU_Alter_Kombi(AN127,U127)</f>
        <v>545.49009999999998</v>
      </c>
      <c r="AQ127" s="139" t="e">
        <f t="shared" si="654"/>
        <v>#VALUE!</v>
      </c>
      <c r="AR127" s="139" t="e">
        <f>(AQ127/AP127)*100</f>
        <v>#VALUE!</v>
      </c>
      <c r="AS127" s="147">
        <f t="shared" si="655"/>
        <v>2.3002312465544427E-5</v>
      </c>
      <c r="AT127" s="147">
        <f t="shared" si="656"/>
        <v>2.4703291819535524E-7</v>
      </c>
      <c r="AU127" s="139">
        <v>0.75</v>
      </c>
      <c r="AV127" s="139">
        <f t="shared" ref="AV127" si="681">AU127/2</f>
        <v>0.375</v>
      </c>
      <c r="AW127" s="139">
        <f t="shared" si="657"/>
        <v>545.48820000000001</v>
      </c>
      <c r="AX127" s="149">
        <f t="shared" si="658"/>
        <v>203.64994465929999</v>
      </c>
      <c r="AY127" s="149">
        <f t="shared" si="659"/>
        <v>93.316659619544183</v>
      </c>
      <c r="AZ127" s="150">
        <f t="shared" si="660"/>
        <v>0.37333519709372265</v>
      </c>
      <c r="BA127" s="139" t="str">
        <f>Input!B127</f>
        <v>Hu1-13</v>
      </c>
      <c r="BB127" s="151">
        <f>Input!E127</f>
        <v>0</v>
      </c>
      <c r="BC127" s="139">
        <f>((U127-1)*EXP(Constants!$B$17*AW127*1000))*1000</f>
        <v>10.820402843020355</v>
      </c>
      <c r="BD127" s="145">
        <f>SQRT((EXP(Constants!$B$17*AW127*1000)*V127)^2+((U127-1)*Constants!$B$17*EXP(Constants!$B$17*AW127*1000)*AY127*1000)^2)*1000</f>
        <v>6.8196028266113959</v>
      </c>
      <c r="BE127" s="139">
        <f t="shared" si="661"/>
        <v>545430.19999999995</v>
      </c>
      <c r="BF127" s="152">
        <f t="shared" si="662"/>
        <v>46658.329809772091</v>
      </c>
      <c r="BG127" s="161">
        <f t="shared" si="663"/>
        <v>17.106998761759499</v>
      </c>
      <c r="BH127" s="139"/>
      <c r="BI127" s="18"/>
      <c r="BJ127" s="18"/>
      <c r="BK127" s="18"/>
      <c r="BL127" s="18"/>
      <c r="BM127" s="18"/>
      <c r="BN127" s="160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11026</v>
      </c>
      <c r="B128" s="18" t="str">
        <f>Input!B128</f>
        <v>KMS6-19,9cm-c</v>
      </c>
      <c r="C128" s="18">
        <f>Input!O128</f>
        <v>0.66741031634904235</v>
      </c>
      <c r="D128" s="18">
        <f>C128*Input!P128/100</f>
        <v>7.1369831951839553E-3</v>
      </c>
      <c r="E128" s="153">
        <f>Input!M128</f>
        <v>0.97608281326369473</v>
      </c>
      <c r="F128" s="154">
        <f>E128*Input!N128/100</f>
        <v>1.6530064450327332E-4</v>
      </c>
      <c r="G128" s="21">
        <f>E128*137.88</f>
        <v>134.58229829279821</v>
      </c>
      <c r="H128" s="154">
        <f>G128*Input!L128/100</f>
        <v>1.8115725074242896E-2</v>
      </c>
      <c r="I128" s="18">
        <v>0.3</v>
      </c>
      <c r="J128" s="130">
        <f>(((C128*Constants!$B$24*0.000000001*Input!G128*(Constants!$B$4/Constants!$B$3))-(I128*0.000000000000001))/Input!F128)*1000000000000</f>
        <v>4.1860507405556273</v>
      </c>
      <c r="K128" s="18">
        <f>J128*Input!P128/100</f>
        <v>4.4763727886262449E-2</v>
      </c>
      <c r="L128" s="135">
        <f>(J128/Constants!$B$4)*602200000000*Constants!$B$17/(365.2425*24*60)</f>
        <v>5.7793078307627373E-2</v>
      </c>
      <c r="M128" s="133">
        <f>L128*Input!P128/100</f>
        <v>6.18012965301205E-4</v>
      </c>
      <c r="N128" s="18">
        <v>5.0000000000000001E-3</v>
      </c>
      <c r="O128" s="130">
        <f>(((G128*Constants!$B$23*0.000000001*Input!G128*(Constants!$B$7/Constants!$B$6))-(N128*0.000000001))/Input!F128)*1000000</f>
        <v>8.5035726213121374E-2</v>
      </c>
      <c r="P128" s="18">
        <f>O128*Input!N128/100</f>
        <v>1.4400889102670245E-5</v>
      </c>
      <c r="Q128" s="131">
        <f>(O128/Constants!$B$7)*602200000000000000*Constants!$B$18/(365.2425*24*60)</f>
        <v>6.3446920538880555E-2</v>
      </c>
      <c r="R128" s="132">
        <f>Q128*Input!N128/100</f>
        <v>1.0744802299875735E-5</v>
      </c>
      <c r="S128" s="133">
        <f>Input!S128*Constants!$B$17/Constants!$B$18</f>
        <v>0.88978934633034312</v>
      </c>
      <c r="T128" s="18">
        <f>S128*Input!T128/100</f>
        <v>1.1210824032723955E-3</v>
      </c>
      <c r="U128" s="18">
        <f>S128*1/((U127+U129)/2)</f>
        <v>0.89484650021085443</v>
      </c>
      <c r="V128" s="18">
        <f>U128*Input!T128/100</f>
        <v>1.1274541206338856E-3</v>
      </c>
      <c r="W128" s="134">
        <v>3.0000000000000001E-3</v>
      </c>
      <c r="X128" s="130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47.20571316280715</v>
      </c>
      <c r="Y128" s="130">
        <f>X128*Input!X128/100</f>
        <v>0.14434822354286073</v>
      </c>
      <c r="Z128" s="130">
        <f>(X128/Constants!$B$11)*6.022E+23*0.000000001*Constants!$B$19/(365.2425*24*60)</f>
        <v>1.1524440683832881E-2</v>
      </c>
      <c r="AA128" s="130">
        <f>Z128*Input!X128/100</f>
        <v>3.5240067961668379E-5</v>
      </c>
      <c r="AB128" s="135">
        <v>0.05</v>
      </c>
      <c r="AC128" s="135">
        <v>0</v>
      </c>
      <c r="AD128" s="130">
        <f>(((Input!G128*Constants!$B$25*0.000000001*Input!U128*(Constants!$B$10/Constants!$B$9))-((AB128*0.000000000000001)+(Input!G128*AC128*0.000000000000001)))/Input!F128)*1000000000000</f>
        <v>0.21721948540422248</v>
      </c>
      <c r="AE128" s="130">
        <f>AD128*Input!V128/100</f>
        <v>2.7156503277594927E-3</v>
      </c>
      <c r="AF128" s="130">
        <f>(AD128/Constants!$B$10)*602200000000*Constants!$B$16/(365.2425*24*60)</f>
        <v>9.915128614763874E-3</v>
      </c>
      <c r="AG128" s="130">
        <f>AF128*Input!V128/100</f>
        <v>1.2395767452608853E-4</v>
      </c>
      <c r="AH128" s="18">
        <f>AF128/Z128</f>
        <v>0.86035660096488342</v>
      </c>
      <c r="AI128" s="134">
        <f>AH128*SQRT((AG128/AF128)^2+(AA128/Z128)^2)</f>
        <v>1.1073136894339058E-2</v>
      </c>
      <c r="AJ128" s="133">
        <f t="shared" si="653"/>
        <v>-105.15349978914557</v>
      </c>
      <c r="AK128" s="134">
        <f>V128*1000</f>
        <v>1.1274541206338857</v>
      </c>
      <c r="AL128" s="134">
        <f>AF128/Q128</f>
        <v>0.15627438700807927</v>
      </c>
      <c r="AM128" s="134">
        <f>AL128*SQRT((R128/Q128)^2+(AG128/AF128)^2)</f>
        <v>1.9539017149243919E-3</v>
      </c>
      <c r="AN128" s="18">
        <f>AL128*1/((AN127+AN129)/2)</f>
        <v>0.15653823001117609</v>
      </c>
      <c r="AO128" s="130">
        <f>AN128*SQRT((R128/Q128)^2+(AG128/AF128)^2)</f>
        <v>1.9572005491485505E-3</v>
      </c>
      <c r="AP128" s="18">
        <f>ThU_Alter_Kombi(AN128,U128)</f>
        <v>21.048300000000001</v>
      </c>
      <c r="AQ128" s="18">
        <f t="shared" si="654"/>
        <v>0.29049999999999998</v>
      </c>
      <c r="AR128" s="155">
        <f>(AQ128/AP128)</f>
        <v>1.3801589677076056E-2</v>
      </c>
      <c r="AS128" s="132">
        <f t="shared" si="655"/>
        <v>0.18163908643557652</v>
      </c>
      <c r="AT128" s="132">
        <f t="shared" si="656"/>
        <v>5.5627712804328505E-4</v>
      </c>
      <c r="AU128" s="18">
        <v>0.75</v>
      </c>
      <c r="AV128" s="18">
        <f>AU128/2</f>
        <v>0.375</v>
      </c>
      <c r="AW128" s="18">
        <f t="shared" si="657"/>
        <v>2.9607999999999999</v>
      </c>
      <c r="AX128" s="136">
        <f t="shared" si="658"/>
        <v>5.9770563737</v>
      </c>
      <c r="AY128" s="136">
        <f t="shared" si="659"/>
        <v>9.8205321266579162</v>
      </c>
      <c r="AZ128" s="155">
        <f t="shared" si="660"/>
        <v>2.0187301991691435</v>
      </c>
      <c r="BA128" s="18" t="str">
        <f>Input!B128</f>
        <v>KMS6-19,9cm-c</v>
      </c>
      <c r="BB128" s="137">
        <f>Input!E128</f>
        <v>19.899999999999999</v>
      </c>
      <c r="BC128" s="18">
        <f>((U128-1)*EXP(Constants!$B$17*AW128*1000))*1000</f>
        <v>-106.03579657276919</v>
      </c>
      <c r="BD128" s="133">
        <f>SQRT((EXP(Constants!$B$17*AW128*1000)*V128)^2+((U128-1)*Constants!$B$17*EXP(Constants!$B$17*AW128*1000)*AY128*1000)^2)*1000</f>
        <v>3.1509478335851644</v>
      </c>
      <c r="BE128" s="18">
        <f t="shared" si="661"/>
        <v>2902.7999999999997</v>
      </c>
      <c r="BF128" s="138">
        <f t="shared" si="662"/>
        <v>4910.2660633289579</v>
      </c>
      <c r="BG128" s="20">
        <f t="shared" si="663"/>
        <v>331.68508938995933</v>
      </c>
      <c r="BH128" s="18"/>
      <c r="BI128" s="18"/>
      <c r="BJ128" s="18"/>
      <c r="BK128" s="18"/>
      <c r="BL128" s="18"/>
      <c r="BM128" s="18"/>
      <c r="BN128" s="160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9">
        <f>Input!A129</f>
        <v>10815</v>
      </c>
      <c r="B129" s="139" t="str">
        <f>Input!B129</f>
        <v>Hu1-13</v>
      </c>
      <c r="C129" s="139">
        <f>Input!O129</f>
        <v>2.0457586176977727</v>
      </c>
      <c r="D129" s="139">
        <f>C129*Input!P129/100</f>
        <v>6.4258973564422742E-2</v>
      </c>
      <c r="E129" s="140">
        <f>Input!M129</f>
        <v>2.7312855986339231</v>
      </c>
      <c r="F129" s="141">
        <f>E129*Input!N129/100</f>
        <v>1.0473287765320543E-3</v>
      </c>
      <c r="G129" s="142">
        <f t="shared" ref="G129" si="682">E129*137.88</f>
        <v>376.58965833964533</v>
      </c>
      <c r="H129" s="141">
        <f>G129*Input!L129/100</f>
        <v>4.0769414032693414E-2</v>
      </c>
      <c r="I129" s="139">
        <v>0</v>
      </c>
      <c r="J129" s="143">
        <f>(((C129*Constants!$B$24*0.000000001*Input!G129*(Constants!$B$4/Constants!$B$3))-(I129*0.000000000000001))/Input!F129)*1000000000000</f>
        <v>738.5956642691782</v>
      </c>
      <c r="K129" s="139">
        <f>J129*Input!P129/100</f>
        <v>23.199901911439497</v>
      </c>
      <c r="L129" s="144">
        <f>(J129/Constants!$B$4)*602200000000*Constants!$B$17/(365.2425*24*60)</f>
        <v>10.197133218962573</v>
      </c>
      <c r="M129" s="145">
        <f>L129*Input!P129/100</f>
        <v>0.32030040508279384</v>
      </c>
      <c r="N129" s="139">
        <v>0</v>
      </c>
      <c r="O129" s="143">
        <f>(((G129*Constants!$B$23*0.000000001*Input!G129*(Constants!$B$7/Constants!$B$6))-(N129*0.000000001))/Input!F129)*1000000</f>
        <v>13.69626829468783</v>
      </c>
      <c r="P129" s="139">
        <f>O129*Input!N129/100</f>
        <v>5.2519208988268005E-3</v>
      </c>
      <c r="Q129" s="146">
        <f>(O129/Constants!$B$7)*602200000000000000*Constants!$B$18/(365.2425*24*60)</f>
        <v>10.219070088192643</v>
      </c>
      <c r="R129" s="147">
        <f>Q129*Input!N129/100</f>
        <v>3.9185672044385169E-3</v>
      </c>
      <c r="S129" s="145">
        <f>Input!S129*Constants!$B$17/Constants!$B$18</f>
        <v>0.98637607783084758</v>
      </c>
      <c r="T129" s="139">
        <f>S129*Input!T129/100</f>
        <v>1.4373641427163708E-3</v>
      </c>
      <c r="U129" s="145">
        <f>S129</f>
        <v>0.98637607783084758</v>
      </c>
      <c r="V129" s="139">
        <f>U129*Input!T129/100</f>
        <v>1.4373641427163708E-3</v>
      </c>
      <c r="W129" s="148">
        <v>0</v>
      </c>
      <c r="X129" s="143">
        <f>(((Constants!$B$25*0.000000001*Input!G129/Input!W129*(Constants!$B$11/Constants!$B$9))-(W129*0.000000001))/Input!F129)*1000000000</f>
        <v>0.96642182819746192</v>
      </c>
      <c r="Y129" s="143">
        <f>X129*Input!X129/100</f>
        <v>1.0698344842842156E-2</v>
      </c>
      <c r="Z129" s="143">
        <f>(X129/Constants!$B$11)*6.022E+23*0.000000001*Constants!$B$19/(365.2425*24*60)</f>
        <v>2.3593481145409465E-4</v>
      </c>
      <c r="AA129" s="143">
        <f>Z129*Input!X129/100</f>
        <v>2.6118118400478805E-6</v>
      </c>
      <c r="AB129" s="144">
        <v>0</v>
      </c>
      <c r="AC129" s="144">
        <v>0</v>
      </c>
      <c r="AD129" s="143">
        <f>(((Input!G129*Constants!$B$25*0.000000001*Input!U129*(Constants!$B$10/Constants!$B$9))-((AB129*0.000000000000001)+(Input!G129*AC129*0.000000000000001)))/Input!F129)*1000000000000</f>
        <v>223.90122244561155</v>
      </c>
      <c r="AE129" s="143">
        <f>AD129*Input!V129/100</f>
        <v>1.0878253904808772</v>
      </c>
      <c r="AF129" s="143">
        <f>(AD129/Constants!$B$10)*602200000000*Constants!$B$16/(365.2425*24*60)</f>
        <v>10.220120968521272</v>
      </c>
      <c r="AG129" s="143">
        <f>AF129*Input!V129/100</f>
        <v>4.9654517121022354E-2</v>
      </c>
      <c r="AH129" s="139">
        <f t="shared" ref="AH129" si="683">AF129/Z129</f>
        <v>43317.562616272837</v>
      </c>
      <c r="AI129" s="148">
        <f t="shared" ref="AI129" si="684">AH129*SQRT((AG129/AF129)^2+(AA129/Z129)^2)</f>
        <v>523.67913323499738</v>
      </c>
      <c r="AJ129" s="145">
        <f t="shared" si="653"/>
        <v>-13.623922169152426</v>
      </c>
      <c r="AK129" s="148">
        <f t="shared" ref="AK129" si="685">V129*1000</f>
        <v>1.4373641427163708</v>
      </c>
      <c r="AL129" s="148">
        <f t="shared" ref="AL129" si="686">AF129/Q129</f>
        <v>1.0001028352207744</v>
      </c>
      <c r="AM129" s="148">
        <f t="shared" ref="AM129" si="687">AL129*SQRT((R129/Q129)^2+(AG129/AF129)^2)</f>
        <v>4.8741155962052328E-3</v>
      </c>
      <c r="AN129" s="139">
        <f>AF129/Q129</f>
        <v>1.0001028352207744</v>
      </c>
      <c r="AO129" s="143">
        <f t="shared" ref="AO129" si="688">AN129*SQRT((R129/Q129)^2+(AG129/AF129)^2)</f>
        <v>4.8741155962052328E-3</v>
      </c>
      <c r="AP129" s="139" t="str">
        <f t="shared" ref="AP129" si="689">ThU_Alter_Kombi(AN129,U129)</f>
        <v>Out of range</v>
      </c>
      <c r="AQ129" s="139" t="e">
        <f t="shared" si="654"/>
        <v>#VALUE!</v>
      </c>
      <c r="AR129" s="139" t="e">
        <f>(AQ129/AP129)*100</f>
        <v>#VALUE!</v>
      </c>
      <c r="AS129" s="147">
        <f t="shared" si="655"/>
        <v>2.30876987258067E-5</v>
      </c>
      <c r="AT129" s="147">
        <f t="shared" si="656"/>
        <v>2.557354297019185E-7</v>
      </c>
      <c r="AU129" s="139">
        <v>0.75</v>
      </c>
      <c r="AV129" s="139">
        <f t="shared" ref="AV129" si="690">AU129/2</f>
        <v>0.375</v>
      </c>
      <c r="AW129" s="139" t="str">
        <f t="shared" si="657"/>
        <v>Out of range</v>
      </c>
      <c r="AX129" s="149">
        <f t="shared" si="658"/>
        <v>0</v>
      </c>
      <c r="AY129" s="149" t="e">
        <f t="shared" si="659"/>
        <v>#VALUE!</v>
      </c>
      <c r="AZ129" s="150" t="e">
        <f t="shared" si="660"/>
        <v>#VALUE!</v>
      </c>
      <c r="BA129" s="139" t="str">
        <f>Input!B129</f>
        <v>Hu1-13</v>
      </c>
      <c r="BB129" s="151">
        <f>Input!E129</f>
        <v>0</v>
      </c>
      <c r="BC129" s="139" t="e">
        <f>((U129-1)*EXP(Constants!$B$17*AW129*1000))*1000</f>
        <v>#VALUE!</v>
      </c>
      <c r="BD129" s="145" t="e">
        <f>SQRT((EXP(Constants!$B$17*AW129*1000)*V129)^2+((U129-1)*Constants!$B$17*EXP(Constants!$B$17*AW129*1000)*AY129*1000)^2)*1000</f>
        <v>#VALUE!</v>
      </c>
      <c r="BE129" s="139" t="e">
        <f t="shared" si="661"/>
        <v>#VALUE!</v>
      </c>
      <c r="BF129" s="152" t="e">
        <f t="shared" si="662"/>
        <v>#VALUE!</v>
      </c>
      <c r="BG129" s="161" t="e">
        <f t="shared" si="663"/>
        <v>#VALUE!</v>
      </c>
      <c r="BH129" s="139"/>
      <c r="BI129" s="18"/>
      <c r="BJ129" s="18"/>
      <c r="BK129" s="18"/>
      <c r="BL129" s="18"/>
      <c r="BM129" s="18"/>
      <c r="BN129" s="160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1" spans="1:110" ht="15" customHeight="1" x14ac:dyDescent="0.2">
      <c r="A131" s="139">
        <f>Input!A131</f>
        <v>10815</v>
      </c>
      <c r="B131" s="139" t="str">
        <f>Input!B131</f>
        <v>Hu1-13</v>
      </c>
      <c r="C131" s="139">
        <f>Input!O131</f>
        <v>2.1773485139737994</v>
      </c>
      <c r="D131" s="139">
        <f>C131*Input!P131/100</f>
        <v>6.4826253567828493E-2</v>
      </c>
      <c r="E131" s="140">
        <f>Input!M131</f>
        <v>2.7329020348522368</v>
      </c>
      <c r="F131" s="141">
        <f>E131*Input!N131/100</f>
        <v>6.1026137499820433E-4</v>
      </c>
      <c r="G131" s="142">
        <f t="shared" ref="G131" si="691">E131*137.88</f>
        <v>376.81253256542641</v>
      </c>
      <c r="H131" s="141">
        <f>G131*Input!L131/100</f>
        <v>6.6667446111965317E-2</v>
      </c>
      <c r="I131" s="139">
        <v>0</v>
      </c>
      <c r="J131" s="143">
        <f>(((C131*Constants!$B$24*0.000000001*Input!G131*(Constants!$B$4/Constants!$B$3))-(I131*0.000000000000001))/Input!F131)*1000000000000</f>
        <v>786.10455706342213</v>
      </c>
      <c r="K131" s="139">
        <f>J131*Input!P131/100</f>
        <v>23.404711289885917</v>
      </c>
      <c r="L131" s="144">
        <f>(J131/Constants!$B$4)*602200000000*Constants!$B$17/(365.2425*24*60)</f>
        <v>10.8530462338158</v>
      </c>
      <c r="M131" s="145">
        <f>L131*Input!P131/100</f>
        <v>0.32312802595513895</v>
      </c>
      <c r="N131" s="139">
        <v>0</v>
      </c>
      <c r="O131" s="143">
        <f>(((G131*Constants!$B$23*0.000000001*Input!G131*(Constants!$B$7/Constants!$B$6))-(N131*0.000000001))/Input!F131)*1000000</f>
        <v>13.704374054165473</v>
      </c>
      <c r="P131" s="139">
        <f>O131*Input!N131/100</f>
        <v>3.0602085428345495E-3</v>
      </c>
      <c r="Q131" s="146">
        <f>(O131/Constants!$B$7)*602200000000000000*Constants!$B$18/(365.2425*24*60)</f>
        <v>10.225117963602051</v>
      </c>
      <c r="R131" s="147">
        <f>Q131*Input!N131/100</f>
        <v>2.2832851190452614E-3</v>
      </c>
      <c r="S131" s="145">
        <f>Input!S131*Constants!$B$17/Constants!$B$18</f>
        <v>0.99486908842823718</v>
      </c>
      <c r="T131" s="139">
        <f>S131*Input!T131/100</f>
        <v>1.7559739395661324E-3</v>
      </c>
      <c r="U131" s="145">
        <f>S131</f>
        <v>0.99486908842823718</v>
      </c>
      <c r="V131" s="139">
        <f>U131*Input!T131/100</f>
        <v>1.7559739395661324E-3</v>
      </c>
      <c r="W131" s="148">
        <v>0</v>
      </c>
      <c r="X131" s="143">
        <f>(((Constants!$B$25*0.000000001*Input!G131/Input!W131*(Constants!$B$11/Constants!$B$9))-(W131*0.000000001))/Input!F131)*1000000000</f>
        <v>0.9659167664776761</v>
      </c>
      <c r="Y131" s="143">
        <f>X131*Input!X131/100</f>
        <v>1.4766837971061568E-2</v>
      </c>
      <c r="Z131" s="143">
        <f>(X131/Constants!$B$11)*6.022E+23*0.000000001*Constants!$B$19/(365.2425*24*60)</f>
        <v>2.3581150956029063E-4</v>
      </c>
      <c r="AA131" s="143">
        <f>Z131*Input!X131/100</f>
        <v>3.6050625418652221E-6</v>
      </c>
      <c r="AB131" s="144">
        <v>0</v>
      </c>
      <c r="AC131" s="144">
        <v>0</v>
      </c>
      <c r="AD131" s="143">
        <f>(((Input!G131*Constants!$B$25*0.000000001*Input!U131*(Constants!$B$10/Constants!$B$9))-((AB131*0.000000000000001)+(Input!G131*AC131*0.000000000000001)))/Input!F131)*1000000000000</f>
        <v>222.60151304629153</v>
      </c>
      <c r="AE131" s="143">
        <f>AD131*Input!V131/100</f>
        <v>1.2829206058168368</v>
      </c>
      <c r="AF131" s="143">
        <f>(AD131/Constants!$B$10)*602200000000*Constants!$B$16/(365.2425*24*60)</f>
        <v>10.160794864179874</v>
      </c>
      <c r="AG131" s="143">
        <f>AF131*Input!V131/100</f>
        <v>5.8559768639233935E-2</v>
      </c>
      <c r="AH131" s="139">
        <f t="shared" ref="AH131" si="692">AF131/Z131</f>
        <v>43088.629910924821</v>
      </c>
      <c r="AI131" s="148">
        <f t="shared" ref="AI131" si="693">AH131*SQRT((AG131/AF131)^2+(AA131/Z131)^2)</f>
        <v>703.98903283030165</v>
      </c>
      <c r="AJ131" s="145">
        <f t="shared" ref="AJ131:AJ147" si="694">(U131-1)*1000</f>
        <v>-5.1309115717628195</v>
      </c>
      <c r="AK131" s="148">
        <f t="shared" ref="AK131" si="695">V131*1000</f>
        <v>1.7559739395661325</v>
      </c>
      <c r="AL131" s="148">
        <f t="shared" ref="AL131" si="696">AF131/Q131</f>
        <v>0.99370930490473108</v>
      </c>
      <c r="AM131" s="148">
        <f t="shared" ref="AM131" si="697">AL131*SQRT((R131/Q131)^2+(AG131/AF131)^2)</f>
        <v>5.7313477949849524E-3</v>
      </c>
      <c r="AN131" s="139">
        <f>AF131/Q131</f>
        <v>0.99370930490473108</v>
      </c>
      <c r="AO131" s="143">
        <f t="shared" ref="AO131" si="698">AN131*SQRT((R131/Q131)^2+(AG131/AF131)^2)</f>
        <v>5.7313477949849524E-3</v>
      </c>
      <c r="AP131" s="139" t="str">
        <f t="shared" ref="AP131" si="699">ThU_Alter_Kombi(AN131,U131)</f>
        <v>Out of range</v>
      </c>
      <c r="AQ131" s="139" t="e">
        <f t="shared" ref="AQ131:AQ147" si="700">Montealter(AN131,AO131,U131,V131)</f>
        <v>#VALUE!</v>
      </c>
      <c r="AR131" s="139" t="e">
        <f>(AQ131/AP131)*100</f>
        <v>#VALUE!</v>
      </c>
      <c r="AS131" s="147">
        <f t="shared" ref="AS131:AS147" si="701">Z131/Q131</f>
        <v>2.306198426264612E-5</v>
      </c>
      <c r="AT131" s="147">
        <f t="shared" ref="AT131:AT147" si="702">AS131*SQRT((Y131/X131)^2+(P131/O131)^2)</f>
        <v>3.5260689413528682E-7</v>
      </c>
      <c r="AU131" s="139">
        <v>0.75</v>
      </c>
      <c r="AV131" s="139">
        <f t="shared" ref="AV131" si="703">AU131/2</f>
        <v>0.375</v>
      </c>
      <c r="AW131" s="139" t="str">
        <f t="shared" ref="AW131:AW147" si="704">marincorr_age(AN131,U131,AS131,AU131)</f>
        <v>Out of range</v>
      </c>
      <c r="AX131" s="149">
        <f t="shared" ref="AX131:AX147" si="705">marincorr_age_error(AN131, AO131, U131, V131, AS131, AT131, AU131, AV131)</f>
        <v>310.65874612170001</v>
      </c>
      <c r="AY131" s="149" t="e">
        <f t="shared" ref="AY131:AY147" si="706"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#VALUE!</v>
      </c>
      <c r="AZ131" s="150" t="e">
        <f t="shared" ref="AZ131:AZ147" si="707">AX131/AW131</f>
        <v>#VALUE!</v>
      </c>
      <c r="BA131" s="139" t="str">
        <f>Input!B131</f>
        <v>Hu1-13</v>
      </c>
      <c r="BB131" s="151">
        <f>Input!E131</f>
        <v>0</v>
      </c>
      <c r="BC131" s="139" t="e">
        <f>((U131-1)*EXP(Constants!$B$17*AW131*1000))*1000</f>
        <v>#VALUE!</v>
      </c>
      <c r="BD131" s="145" t="e">
        <f>SQRT((EXP(Constants!$B$17*AW131*1000)*V131)^2+((U131-1)*Constants!$B$17*EXP(Constants!$B$17*AW131*1000)*AY131*1000)^2)*1000</f>
        <v>#VALUE!</v>
      </c>
      <c r="BE131" s="139" t="e">
        <f t="shared" ref="BE131:BE147" si="708">AW131*1000-58</f>
        <v>#VALUE!</v>
      </c>
      <c r="BF131" s="152" t="e">
        <f t="shared" ref="BF131:BF147" si="709">AY131/2*1000</f>
        <v>#VALUE!</v>
      </c>
      <c r="BG131" s="161" t="e">
        <f t="shared" ref="BG131:BG147" si="710">AY131/AW131*100</f>
        <v>#VALUE!</v>
      </c>
      <c r="BH131" s="139"/>
      <c r="BI131" s="18"/>
      <c r="BJ131" s="18"/>
      <c r="BK131" s="18"/>
      <c r="BL131" s="18"/>
      <c r="BM131" s="18"/>
      <c r="BN131" s="160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11027</v>
      </c>
      <c r="B132" s="18" t="str">
        <f>Input!B132</f>
        <v>KMS6-15,8cm-a</v>
      </c>
      <c r="C132" s="18">
        <f>Input!O132</f>
        <v>0.4406796857729221</v>
      </c>
      <c r="D132" s="18">
        <f>C132*Input!P132/100</f>
        <v>1.8786920075800002E-3</v>
      </c>
      <c r="E132" s="153">
        <f>Input!M132</f>
        <v>0.64564230451434201</v>
      </c>
      <c r="F132" s="154">
        <f>E132*Input!N132/100</f>
        <v>8.9489360480528087E-5</v>
      </c>
      <c r="G132" s="21">
        <f>E132*137.88</f>
        <v>89.021160946437476</v>
      </c>
      <c r="H132" s="154">
        <f>G132*Input!L132/100</f>
        <v>1.3579309865297977E-2</v>
      </c>
      <c r="I132" s="18">
        <v>0.3</v>
      </c>
      <c r="J132" s="130">
        <f>(((C132*Constants!$B$24*0.000000001*Input!G132*(Constants!$B$4/Constants!$B$3))-(I132*0.000000000000001))/Input!F132)*1000000000000</f>
        <v>4.2038214807611318</v>
      </c>
      <c r="K132" s="18">
        <f>J132*Input!P132/100</f>
        <v>1.7921601726086048E-2</v>
      </c>
      <c r="L132" s="135">
        <f>(J132/Constants!$B$4)*602200000000*Constants!$B$17/(365.2425*24*60)</f>
        <v>5.8038423107280926E-2</v>
      </c>
      <c r="M132" s="133">
        <f>L132*Input!P132/100</f>
        <v>2.4742761044896545E-4</v>
      </c>
      <c r="N132" s="18">
        <v>5.0000000000000001E-3</v>
      </c>
      <c r="O132" s="130">
        <f>(((G132*Constants!$B$23*0.000000001*Input!G132*(Constants!$B$7/Constants!$B$6))-(N132*0.000000001))/Input!F132)*1000000</f>
        <v>8.5550631414701747E-2</v>
      </c>
      <c r="P132" s="18">
        <f>O132*Input!N132/100</f>
        <v>1.1857759692134567E-5</v>
      </c>
      <c r="Q132" s="131">
        <f>(O132/Constants!$B$7)*602200000000000000*Constants!$B$18/(365.2425*24*60)</f>
        <v>6.3831101998422013E-2</v>
      </c>
      <c r="R132" s="132">
        <f>Q132*Input!N132/100</f>
        <v>8.8473206552084862E-6</v>
      </c>
      <c r="S132" s="133">
        <f>Input!S132*Constants!$B$17/Constants!$B$18</f>
        <v>0.90477500197262439</v>
      </c>
      <c r="T132" s="18">
        <f>S132*Input!T132/100</f>
        <v>1.3402102577747036E-3</v>
      </c>
      <c r="U132" s="18">
        <f>S132*1/((U131+U133)/2)</f>
        <v>0.90680042698531127</v>
      </c>
      <c r="V132" s="18">
        <f>U132*Input!T132/100</f>
        <v>1.343210446078357E-3</v>
      </c>
      <c r="W132" s="134">
        <v>3.0000000000000001E-3</v>
      </c>
      <c r="X132" s="130">
        <f>(((Constants!$B$25*0.000000001*Input!G132/Input!W132*(Constants!$B$11/Constants!$B$9)-(W132*0.000000001))/Input!F132)*1000000000)</f>
        <v>10.366017505995258</v>
      </c>
      <c r="Y132" s="130">
        <f>X132*Input!X132/100</f>
        <v>3.0999691846419038E-2</v>
      </c>
      <c r="Z132" s="130">
        <f>(X132/Constants!$B$11)*6.022E+23*0.000000001*Constants!$B$19/(365.2425*24*60)</f>
        <v>2.5306799934025526E-3</v>
      </c>
      <c r="AA132" s="130">
        <f>Z132*Input!X132/100</f>
        <v>7.5680269604025479E-6</v>
      </c>
      <c r="AB132" s="135">
        <v>0.05</v>
      </c>
      <c r="AC132" s="135">
        <v>0</v>
      </c>
      <c r="AD132" s="130">
        <f>(((Input!G132*Constants!$B$25*0.000000001*Input!U132*(Constants!$B$10/Constants!$B$9))-((AB132*0.000000000000001)+(Input!G132*AC132*0.000000000000001)))/Input!F132)*1000000000000</f>
        <v>7.3464696061977641E-2</v>
      </c>
      <c r="AE132" s="130">
        <f>AD132*Input!V132/100</f>
        <v>9.310007699116278E-4</v>
      </c>
      <c r="AF132" s="130">
        <f>(AD132/Constants!$B$10)*602200000000*Constants!$B$16/(365.2425*24*60)</f>
        <v>3.3533451602813062E-3</v>
      </c>
      <c r="AG132" s="130">
        <f>AF132*Input!V132/100</f>
        <v>4.2496152483466555E-5</v>
      </c>
      <c r="AH132" s="18">
        <f>AF132/Z132</f>
        <v>1.3250767260275618</v>
      </c>
      <c r="AI132" s="134">
        <f>AH132*SQRT((AG132/AF132)^2+(AA132/Z132)^2)</f>
        <v>1.7253603668251349E-2</v>
      </c>
      <c r="AJ132" s="133">
        <f t="shared" si="694"/>
        <v>-93.199573014688724</v>
      </c>
      <c r="AK132" s="134">
        <f>V132*1000</f>
        <v>1.3432104460783569</v>
      </c>
      <c r="AL132" s="134">
        <f>AF132/Q132</f>
        <v>5.2534658736805219E-2</v>
      </c>
      <c r="AM132" s="134">
        <f>AL132*SQRT((R132/Q132)^2+(AG132/AF132)^2)</f>
        <v>6.6579916128720225E-4</v>
      </c>
      <c r="AN132" s="18">
        <f>AL132*1/((AN131+AN133)/2)</f>
        <v>5.2598240101872883E-2</v>
      </c>
      <c r="AO132" s="130">
        <f>AN132*SQRT((R132/Q132)^2+(AG132/AF132)^2)</f>
        <v>6.666049611258883E-4</v>
      </c>
      <c r="AP132" s="18">
        <f>ThU_Alter_Kombi(AN132,U132)</f>
        <v>6.5223000000000004</v>
      </c>
      <c r="AQ132" s="18">
        <f t="shared" si="700"/>
        <v>8.2699999999999996E-2</v>
      </c>
      <c r="AR132" s="155">
        <f>(AQ132/AP132)</f>
        <v>1.2679576223111477E-2</v>
      </c>
      <c r="AS132" s="132">
        <f t="shared" si="701"/>
        <v>3.9646503258945996E-2</v>
      </c>
      <c r="AT132" s="132">
        <f t="shared" si="702"/>
        <v>1.1869059211060502E-4</v>
      </c>
      <c r="AU132" s="18">
        <v>0.75</v>
      </c>
      <c r="AV132" s="18">
        <f>AU132/2</f>
        <v>0.375</v>
      </c>
      <c r="AW132" s="18">
        <f t="shared" si="704"/>
        <v>2.8816000000000002</v>
      </c>
      <c r="AX132" s="136">
        <f t="shared" si="705"/>
        <v>1.7482770873</v>
      </c>
      <c r="AY132" s="136">
        <f t="shared" si="706"/>
        <v>1.8546586424919449</v>
      </c>
      <c r="AZ132" s="155">
        <f t="shared" si="707"/>
        <v>0.60670359775818983</v>
      </c>
      <c r="BA132" s="18" t="str">
        <f>Input!B132</f>
        <v>KMS6-15,8cm-a</v>
      </c>
      <c r="BB132" s="137">
        <f>Input!E132</f>
        <v>15.8</v>
      </c>
      <c r="BC132" s="18">
        <f>((U132-1)*EXP(Constants!$B$17*AW132*1000))*1000</f>
        <v>-93.960566448858103</v>
      </c>
      <c r="BD132" s="133">
        <f>SQRT((EXP(Constants!$B$17*AW132*1000)*V132)^2+((U132-1)*Constants!$B$17*EXP(Constants!$B$17*AW132*1000)*AY132*1000)^2)*1000</f>
        <v>1.4407120716722894</v>
      </c>
      <c r="BE132" s="18">
        <f t="shared" si="708"/>
        <v>2823.6000000000004</v>
      </c>
      <c r="BF132" s="138">
        <f t="shared" si="709"/>
        <v>927.32932124597244</v>
      </c>
      <c r="BG132" s="20">
        <f t="shared" si="710"/>
        <v>64.362112801636059</v>
      </c>
      <c r="BH132" s="18"/>
      <c r="BI132" s="18"/>
      <c r="BJ132" s="18"/>
      <c r="BK132" s="18"/>
      <c r="BL132" s="18"/>
      <c r="BM132" s="18"/>
      <c r="BN132" s="160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9">
        <f>Input!A133</f>
        <v>10815</v>
      </c>
      <c r="B133" s="139" t="str">
        <f>Input!B133</f>
        <v>Hu1-13</v>
      </c>
      <c r="C133" s="139">
        <f>Input!O133</f>
        <v>2.1214213042328738</v>
      </c>
      <c r="D133" s="139">
        <f>C133*Input!P133/100</f>
        <v>4.2631610911511769E-2</v>
      </c>
      <c r="E133" s="140">
        <f>Input!M133</f>
        <v>2.7308765459010829</v>
      </c>
      <c r="F133" s="141">
        <f>E133*Input!N133/100</f>
        <v>7.6775738933424723E-4</v>
      </c>
      <c r="G133" s="142">
        <f t="shared" ref="G133" si="711">E133*137.88</f>
        <v>376.5332581488413</v>
      </c>
      <c r="H133" s="141">
        <f>G133*Input!L133/100</f>
        <v>3.5641594596768501E-2</v>
      </c>
      <c r="I133" s="139">
        <v>0</v>
      </c>
      <c r="J133" s="143">
        <f>(((C133*Constants!$B$24*0.000000001*Input!G133*(Constants!$B$4/Constants!$B$3))-(I133*0.000000000000001))/Input!F133)*1000000000000</f>
        <v>765.91273468908605</v>
      </c>
      <c r="K133" s="139">
        <f>J133*Input!P133/100</f>
        <v>15.391612044380956</v>
      </c>
      <c r="L133" s="144">
        <f>(J133/Constants!$B$4)*602200000000*Constants!$B$17/(365.2425*24*60)</f>
        <v>10.574275706658067</v>
      </c>
      <c r="M133" s="145">
        <f>L133*Input!P133/100</f>
        <v>0.21249829380793878</v>
      </c>
      <c r="N133" s="139">
        <v>0</v>
      </c>
      <c r="O133" s="143">
        <f>(((G133*Constants!$B$23*0.000000001*Input!G133*(Constants!$B$7/Constants!$B$6))-(N133*0.000000001))/Input!F133)*1000000</f>
        <v>13.694217064315415</v>
      </c>
      <c r="P133" s="139">
        <f>O133*Input!N133/100</f>
        <v>3.8499859534317201E-3</v>
      </c>
      <c r="Q133" s="146">
        <f>(O133/Constants!$B$7)*602200000000000000*Constants!$B$18/(365.2425*24*60)</f>
        <v>10.217539622631389</v>
      </c>
      <c r="R133" s="147">
        <f>Q133*Input!N133/100</f>
        <v>2.8725544396597008E-3</v>
      </c>
      <c r="S133" s="145">
        <f>Input!S133*Constants!$B$17/Constants!$B$18</f>
        <v>1.0006637213225908</v>
      </c>
      <c r="T133" s="139">
        <f>S133*Input!T133/100</f>
        <v>1.9795698107581612E-3</v>
      </c>
      <c r="U133" s="145">
        <f>S133</f>
        <v>1.0006637213225908</v>
      </c>
      <c r="V133" s="139">
        <f>U133*Input!T133/100</f>
        <v>1.9795698107581612E-3</v>
      </c>
      <c r="W133" s="148">
        <v>0</v>
      </c>
      <c r="X133" s="143">
        <f>(((Constants!$B$25*0.000000001*Input!G133/Input!W133*(Constants!$B$11/Constants!$B$9))-(W133*0.000000001))/Input!F133)*1000000000</f>
        <v>0.97175381198704491</v>
      </c>
      <c r="Y133" s="143">
        <f>X133*Input!X133/100</f>
        <v>1.3123430936619534E-2</v>
      </c>
      <c r="Z133" s="143">
        <f>(X133/Constants!$B$11)*6.022E+23*0.000000001*Constants!$B$19/(365.2425*24*60)</f>
        <v>2.3723652107340032E-4</v>
      </c>
      <c r="AA133" s="143">
        <f>Z133*Input!X133/100</f>
        <v>3.2038537554943589E-6</v>
      </c>
      <c r="AB133" s="144">
        <v>0</v>
      </c>
      <c r="AC133" s="144">
        <v>0</v>
      </c>
      <c r="AD133" s="143">
        <f>(((Input!G133*Constants!$B$25*0.000000001*Input!U133*(Constants!$B$10/Constants!$B$9))-((AB133*0.000000000000001)+(Input!G133*AC133*0.000000000000001)))/Input!F133)*1000000000000</f>
        <v>224.71163710301468</v>
      </c>
      <c r="AE133" s="143">
        <f>AD133*Input!V133/100</f>
        <v>1.2083261491454216</v>
      </c>
      <c r="AF133" s="143">
        <f>(AD133/Constants!$B$10)*602200000000*Constants!$B$16/(365.2425*24*60)</f>
        <v>10.257112887291767</v>
      </c>
      <c r="AG133" s="143">
        <f>AF133*Input!V133/100</f>
        <v>5.5154854800730124E-2</v>
      </c>
      <c r="AH133" s="139">
        <f t="shared" ref="AH133" si="712">AF133/Z133</f>
        <v>43235.808891828441</v>
      </c>
      <c r="AI133" s="148">
        <f t="shared" ref="AI133" si="713">AH133*SQRT((AG133/AF133)^2+(AA133/Z133)^2)</f>
        <v>628.47784811364841</v>
      </c>
      <c r="AJ133" s="145">
        <f t="shared" si="694"/>
        <v>0.66372132259084893</v>
      </c>
      <c r="AK133" s="148">
        <f t="shared" ref="AK133" si="714">V133*1000</f>
        <v>1.9795698107581612</v>
      </c>
      <c r="AL133" s="148">
        <f t="shared" ref="AL133" si="715">AF133/Q133</f>
        <v>1.0038730718080824</v>
      </c>
      <c r="AM133" s="148">
        <f t="shared" ref="AM133" si="716">AL133*SQRT((R133/Q133)^2+(AG133/AF133)^2)</f>
        <v>5.4054292527470332E-3</v>
      </c>
      <c r="AN133" s="139">
        <f>AF133/Q133</f>
        <v>1.0038730718080824</v>
      </c>
      <c r="AO133" s="143">
        <f t="shared" ref="AO133" si="717">AN133*SQRT((R133/Q133)^2+(AG133/AF133)^2)</f>
        <v>5.4054292527470332E-3</v>
      </c>
      <c r="AP133" s="139" t="str">
        <f t="shared" ref="AP133" si="718">ThU_Alter_Kombi(AN133,U133)</f>
        <v>Out of range</v>
      </c>
      <c r="AQ133" s="139" t="e">
        <f t="shared" si="700"/>
        <v>#VALUE!</v>
      </c>
      <c r="AR133" s="139" t="e">
        <f>(AQ133/AP133)*100</f>
        <v>#VALUE!</v>
      </c>
      <c r="AS133" s="147">
        <f t="shared" si="701"/>
        <v>2.321855650531877E-5</v>
      </c>
      <c r="AT133" s="147">
        <f t="shared" si="702"/>
        <v>3.1363205136539668E-7</v>
      </c>
      <c r="AU133" s="139">
        <v>0.75</v>
      </c>
      <c r="AV133" s="139">
        <f t="shared" ref="AV133" si="719">AU133/2</f>
        <v>0.375</v>
      </c>
      <c r="AW133" s="139" t="str">
        <f t="shared" si="704"/>
        <v>Out of range</v>
      </c>
      <c r="AX133" s="149">
        <f t="shared" si="705"/>
        <v>274.59877774040001</v>
      </c>
      <c r="AY133" s="149" t="e">
        <f t="shared" si="706"/>
        <v>#VALUE!</v>
      </c>
      <c r="AZ133" s="150" t="e">
        <f t="shared" si="707"/>
        <v>#VALUE!</v>
      </c>
      <c r="BA133" s="139" t="str">
        <f>Input!B133</f>
        <v>Hu1-13</v>
      </c>
      <c r="BB133" s="151">
        <f>Input!E133</f>
        <v>0</v>
      </c>
      <c r="BC133" s="139" t="e">
        <f>((U133-1)*EXP(Constants!$B$17*AW133*1000))*1000</f>
        <v>#VALUE!</v>
      </c>
      <c r="BD133" s="145" t="e">
        <f>SQRT((EXP(Constants!$B$17*AW133*1000)*V133)^2+((U133-1)*Constants!$B$17*EXP(Constants!$B$17*AW133*1000)*AY133*1000)^2)*1000</f>
        <v>#VALUE!</v>
      </c>
      <c r="BE133" s="139" t="e">
        <f t="shared" si="708"/>
        <v>#VALUE!</v>
      </c>
      <c r="BF133" s="152" t="e">
        <f t="shared" si="709"/>
        <v>#VALUE!</v>
      </c>
      <c r="BG133" s="161" t="e">
        <f t="shared" si="710"/>
        <v>#VALUE!</v>
      </c>
      <c r="BH133" s="139"/>
      <c r="BI133" s="18"/>
      <c r="BJ133" s="18"/>
      <c r="BK133" s="18"/>
      <c r="BL133" s="18"/>
      <c r="BM133" s="18"/>
      <c r="BN133" s="160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11028</v>
      </c>
      <c r="B134" s="18" t="str">
        <f>Input!B134</f>
        <v>KMS6-15,8cm-b</v>
      </c>
      <c r="C134" s="18">
        <f>Input!O134</f>
        <v>0.31516328620442374</v>
      </c>
      <c r="D134" s="18">
        <f>C134*Input!P134/100</f>
        <v>3.6490462624420876E-3</v>
      </c>
      <c r="E134" s="153">
        <f>Input!M134</f>
        <v>0.46492576558914833</v>
      </c>
      <c r="F134" s="154">
        <f>E134*Input!N134/100</f>
        <v>8.1961719418132905E-5</v>
      </c>
      <c r="G134" s="21">
        <f>E134*137.88</f>
        <v>64.103964559431773</v>
      </c>
      <c r="H134" s="154">
        <f>G134*Input!L134/100</f>
        <v>1.2580753224303331E-2</v>
      </c>
      <c r="I134" s="18">
        <v>0.3</v>
      </c>
      <c r="J134" s="130">
        <f>(((C134*Constants!$B$24*0.000000001*Input!G134*(Constants!$B$4/Constants!$B$3))-(I134*0.000000000000001))/Input!F134)*1000000000000</f>
        <v>3.6354842316543423</v>
      </c>
      <c r="K134" s="18">
        <f>J134*Input!P134/100</f>
        <v>4.2092625405234195E-2</v>
      </c>
      <c r="L134" s="135">
        <f>(J134/Constants!$B$4)*602200000000*Constants!$B$17/(365.2425*24*60)</f>
        <v>5.0191896350080069E-2</v>
      </c>
      <c r="M134" s="133">
        <f>L134*Input!P134/100</f>
        <v>5.8113542978588709E-4</v>
      </c>
      <c r="N134" s="18">
        <v>5.0000000000000001E-3</v>
      </c>
      <c r="O134" s="130">
        <f>(((G134*Constants!$B$23*0.000000001*Input!G134*(Constants!$B$7/Constants!$B$6))-(N134*0.000000001))/Input!F134)*1000000</f>
        <v>7.4496137299835979E-2</v>
      </c>
      <c r="P134" s="18">
        <f>O134*Input!N134/100</f>
        <v>1.3132917026800237E-5</v>
      </c>
      <c r="Q134" s="131">
        <f>(O134/Constants!$B$7)*602200000000000000*Constants!$B$18/(365.2425*24*60)</f>
        <v>5.5583114464975332E-2</v>
      </c>
      <c r="R134" s="132">
        <f>Q134*Input!N134/100</f>
        <v>9.7987420129133101E-6</v>
      </c>
      <c r="S134" s="133">
        <f>Input!S134*Constants!$B$17/Constants!$B$18</f>
        <v>0.90632105631548221</v>
      </c>
      <c r="T134" s="18">
        <f>S134*Input!T134/100</f>
        <v>2.0539658699885912E-3</v>
      </c>
      <c r="U134" s="18">
        <f>S134*1/((U133+U135)/2)</f>
        <v>0.90527166726572161</v>
      </c>
      <c r="V134" s="18">
        <f>U134*Input!T134/100</f>
        <v>2.051587673788107E-3</v>
      </c>
      <c r="W134" s="134">
        <v>3.0000000000000001E-3</v>
      </c>
      <c r="X134" s="130">
        <f>(((Constants!$B$25*0.000000001*Input!G134/Input!W134*(Constants!$B$11/Constants!$B$9)-(W134*0.000000001))/Input!F134)*1000000000)</f>
        <v>2.7207575781258306</v>
      </c>
      <c r="Y134" s="130">
        <f>X134*Input!X134/100</f>
        <v>8.6029438364580227E-3</v>
      </c>
      <c r="Z134" s="130">
        <f>(X134/Constants!$B$11)*6.022E+23*0.000000001*Constants!$B$19/(365.2425*24*60)</f>
        <v>6.6422488345974941E-4</v>
      </c>
      <c r="AA134" s="130">
        <f>Z134*Input!X134/100</f>
        <v>2.1002567127345234E-6</v>
      </c>
      <c r="AB134" s="135">
        <v>0.05</v>
      </c>
      <c r="AC134" s="135">
        <v>0</v>
      </c>
      <c r="AD134" s="130">
        <f>(((Input!G134*Constants!$B$25*0.000000001*Input!U134*(Constants!$B$10/Constants!$B$9))-((AB134*0.000000000000001)+(Input!G134*AC134*0.000000000000001)))/Input!F134)*1000000000000</f>
        <v>4.9090700914082831E-2</v>
      </c>
      <c r="AE134" s="130">
        <f>AD134*Input!V134/100</f>
        <v>1.1731794563566644E-3</v>
      </c>
      <c r="AF134" s="130">
        <f>(AD134/Constants!$B$10)*602200000000*Constants!$B$16/(365.2425*24*60)</f>
        <v>2.2407778586081488E-3</v>
      </c>
      <c r="AG134" s="130">
        <f>AF134*Input!V134/100</f>
        <v>5.3550560514075184E-5</v>
      </c>
      <c r="AH134" s="18">
        <f>AF134/Z134</f>
        <v>3.373522905279617</v>
      </c>
      <c r="AI134" s="134">
        <f>AH134*SQRT((AG134/AF134)^2+(AA134/Z134)^2)</f>
        <v>8.1323740213368606E-2</v>
      </c>
      <c r="AJ134" s="133">
        <f t="shared" si="694"/>
        <v>-94.728332734278382</v>
      </c>
      <c r="AK134" s="134">
        <f>V134*1000</f>
        <v>2.0515876737881071</v>
      </c>
      <c r="AL134" s="134">
        <f>AF134/Q134</f>
        <v>4.0314003275583508E-2</v>
      </c>
      <c r="AM134" s="134">
        <f>AL134*SQRT((R134/Q134)^2+(AG134/AF134)^2)</f>
        <v>9.6345838131141077E-4</v>
      </c>
      <c r="AN134" s="18">
        <f>AL134*1/((AN133+AN135)/2)</f>
        <v>4.0194930148395189E-2</v>
      </c>
      <c r="AO134" s="130">
        <f>AN134*SQRT((R134/Q134)^2+(AG134/AF134)^2)</f>
        <v>9.6061267031629293E-4</v>
      </c>
      <c r="AP134" s="18">
        <f>ThU_Alter_Kombi(AN134,U134)</f>
        <v>4.9561999999999999</v>
      </c>
      <c r="AQ134" s="18">
        <f t="shared" si="700"/>
        <v>0.12540000000000001</v>
      </c>
      <c r="AR134" s="155">
        <f>(AQ134/AP134)</f>
        <v>2.5301642387312865E-2</v>
      </c>
      <c r="AS134" s="132">
        <f t="shared" si="701"/>
        <v>1.1950119921371056E-2</v>
      </c>
      <c r="AT134" s="132">
        <f t="shared" si="702"/>
        <v>3.7844558471075089E-5</v>
      </c>
      <c r="AU134" s="18">
        <v>0.75</v>
      </c>
      <c r="AV134" s="18">
        <f>AU134/2</f>
        <v>0.375</v>
      </c>
      <c r="AW134" s="18">
        <f t="shared" si="704"/>
        <v>3.8698000000000001</v>
      </c>
      <c r="AX134" s="136">
        <f t="shared" si="705"/>
        <v>0.51946844739999998</v>
      </c>
      <c r="AY134" s="136">
        <f t="shared" si="706"/>
        <v>0.55999605852795098</v>
      </c>
      <c r="AZ134" s="155">
        <f t="shared" si="707"/>
        <v>0.1342365102589281</v>
      </c>
      <c r="BA134" s="18" t="str">
        <f>Input!B134</f>
        <v>KMS6-15,8cm-b</v>
      </c>
      <c r="BB134" s="137">
        <f>Input!E134</f>
        <v>15.8</v>
      </c>
      <c r="BC134" s="18">
        <f>((U134-1)*EXP(Constants!$B$17*AW134*1000))*1000</f>
        <v>-95.768512109679818</v>
      </c>
      <c r="BD134" s="133">
        <f>SQRT((EXP(Constants!$B$17*AW134*1000)*V134)^2+((U134-1)*Constants!$B$17*EXP(Constants!$B$17*AW134*1000)*AY134*1000)^2)*1000</f>
        <v>2.0796299793095936</v>
      </c>
      <c r="BE134" s="18">
        <f t="shared" si="708"/>
        <v>3811.8</v>
      </c>
      <c r="BF134" s="138">
        <f t="shared" si="709"/>
        <v>279.99802926397547</v>
      </c>
      <c r="BG134" s="20">
        <f t="shared" si="710"/>
        <v>14.470930242595252</v>
      </c>
      <c r="BH134" s="18"/>
      <c r="BI134" s="18"/>
      <c r="BJ134" s="18"/>
      <c r="BK134" s="18"/>
      <c r="BL134" s="18"/>
      <c r="BM134" s="18"/>
      <c r="BN134" s="160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9">
        <f>Input!A135</f>
        <v>10815</v>
      </c>
      <c r="B135" s="139" t="str">
        <f>Input!B135</f>
        <v>Hu1-13</v>
      </c>
      <c r="C135" s="139">
        <f>Input!O135</f>
        <v>2.0846878475194006</v>
      </c>
      <c r="D135" s="139">
        <f>C135*Input!P135/100</f>
        <v>5.2570512404794795E-2</v>
      </c>
      <c r="E135" s="140">
        <f>Input!M135</f>
        <v>2.7312708986349192</v>
      </c>
      <c r="F135" s="141">
        <f>E135*Input!N135/100</f>
        <v>9.2506825595682965E-4</v>
      </c>
      <c r="G135" s="142">
        <f t="shared" ref="G135" si="720">E135*137.88</f>
        <v>376.58763150378263</v>
      </c>
      <c r="H135" s="141">
        <f>G135*Input!L135/100</f>
        <v>5.0546730095004939E-2</v>
      </c>
      <c r="I135" s="139">
        <v>0</v>
      </c>
      <c r="J135" s="143">
        <f>(((C135*Constants!$B$24*0.000000001*Input!G135*(Constants!$B$4/Constants!$B$3))-(I135*0.000000000000001))/Input!F135)*1000000000000</f>
        <v>752.65057774276806</v>
      </c>
      <c r="K135" s="139">
        <f>J135*Input!P135/100</f>
        <v>18.97992861654744</v>
      </c>
      <c r="L135" s="144">
        <f>(J135/Constants!$B$4)*602200000000*Constants!$B$17/(365.2425*24*60)</f>
        <v>10.391176904844484</v>
      </c>
      <c r="M135" s="145">
        <f>L135*Input!P135/100</f>
        <v>0.26203898824783667</v>
      </c>
      <c r="N135" s="139">
        <v>0</v>
      </c>
      <c r="O135" s="143">
        <f>(((G135*Constants!$B$23*0.000000001*Input!G135*(Constants!$B$7/Constants!$B$6))-(N135*0.000000001))/Input!F135)*1000000</f>
        <v>13.696194580269101</v>
      </c>
      <c r="P135" s="139">
        <f>O135*Input!N135/100</f>
        <v>4.6388349247770714E-3</v>
      </c>
      <c r="Q135" s="146">
        <f>(O135/Constants!$B$7)*602200000000000000*Constants!$B$18/(365.2425*24*60)</f>
        <v>10.219015088334631</v>
      </c>
      <c r="R135" s="147">
        <f>Q135*Input!N135/100</f>
        <v>3.4611310324753823E-3</v>
      </c>
      <c r="S135" s="145">
        <f>Input!S135*Constants!$B$17/Constants!$B$18</f>
        <v>1.0016546745528265</v>
      </c>
      <c r="T135" s="139">
        <f>S135*Input!T135/100</f>
        <v>1.427215389150764E-3</v>
      </c>
      <c r="U135" s="145">
        <f>S135</f>
        <v>1.0016546745528265</v>
      </c>
      <c r="V135" s="139">
        <f>U135*Input!T135/100</f>
        <v>1.427215389150764E-3</v>
      </c>
      <c r="W135" s="148">
        <v>0</v>
      </c>
      <c r="X135" s="143">
        <f>(((Constants!$B$25*0.000000001*Input!G135/Input!W135*(Constants!$B$11/Constants!$B$9))-(W135*0.000000001))/Input!F135)*1000000000</f>
        <v>0.95576334923276607</v>
      </c>
      <c r="Y135" s="143">
        <f>X135*Input!X135/100</f>
        <v>1.0972754989631031E-2</v>
      </c>
      <c r="Z135" s="143">
        <f>(X135/Constants!$B$11)*6.022E+23*0.000000001*Constants!$B$19/(365.2425*24*60)</f>
        <v>2.3333273216371553E-4</v>
      </c>
      <c r="AA135" s="143">
        <f>Z135*Input!X135/100</f>
        <v>2.6788042282108008E-6</v>
      </c>
      <c r="AB135" s="144">
        <v>0</v>
      </c>
      <c r="AC135" s="144">
        <v>0</v>
      </c>
      <c r="AD135" s="143">
        <f>(((Input!G135*Constants!$B$25*0.000000001*Input!U135*(Constants!$B$10/Constants!$B$9))-((AB135*0.000000000000001)+(Input!G135*AC135*0.000000000000001)))/Input!F135)*1000000000000</f>
        <v>224.33632597375123</v>
      </c>
      <c r="AE135" s="143">
        <f>AD135*Input!V135/100</f>
        <v>1.2404635428927195</v>
      </c>
      <c r="AF135" s="143">
        <f>(AD135/Constants!$B$10)*602200000000*Constants!$B$16/(365.2425*24*60)</f>
        <v>10.239981559914417</v>
      </c>
      <c r="AG135" s="143">
        <f>AF135*Input!V135/100</f>
        <v>5.6621787621028465E-2</v>
      </c>
      <c r="AH135" s="139">
        <f t="shared" ref="AH135" si="721">AF135/Z135</f>
        <v>43885.748325826993</v>
      </c>
      <c r="AI135" s="148">
        <f t="shared" ref="AI135" si="722">AH135*SQRT((AG135/AF135)^2+(AA135/Z135)^2)</f>
        <v>559.22874015525417</v>
      </c>
      <c r="AJ135" s="145">
        <f t="shared" si="694"/>
        <v>1.6546745528265294</v>
      </c>
      <c r="AK135" s="148">
        <f t="shared" ref="AK135" si="723">V135*1000</f>
        <v>1.427215389150764</v>
      </c>
      <c r="AL135" s="148">
        <f t="shared" ref="AL135" si="724">AF135/Q135</f>
        <v>1.0020517115787138</v>
      </c>
      <c r="AM135" s="148">
        <f t="shared" ref="AM135" si="725">AL135*SQRT((R135/Q135)^2+(AG135/AF135)^2)</f>
        <v>5.5512108384402565E-3</v>
      </c>
      <c r="AN135" s="139">
        <f>AF135/Q135</f>
        <v>1.0020517115787138</v>
      </c>
      <c r="AO135" s="143">
        <f t="shared" ref="AO135" si="726">AN135*SQRT((R135/Q135)^2+(AG135/AF135)^2)</f>
        <v>5.5512108384402565E-3</v>
      </c>
      <c r="AP135" s="139">
        <f t="shared" ref="AP135" si="727">ThU_Alter_Kombi(AN135,U135)</f>
        <v>874.43029999999999</v>
      </c>
      <c r="AQ135" s="139" t="e">
        <f t="shared" si="700"/>
        <v>#VALUE!</v>
      </c>
      <c r="AR135" s="139" t="e">
        <f>(AQ135/AP135)*100</f>
        <v>#VALUE!</v>
      </c>
      <c r="AS135" s="147">
        <f t="shared" si="701"/>
        <v>2.2833191863086016E-5</v>
      </c>
      <c r="AT135" s="147">
        <f t="shared" si="702"/>
        <v>2.6225322915729865E-7</v>
      </c>
      <c r="AU135" s="139">
        <v>0.75</v>
      </c>
      <c r="AV135" s="139">
        <f t="shared" ref="AV135" si="728">AU135/2</f>
        <v>0.375</v>
      </c>
      <c r="AW135" s="139">
        <f t="shared" si="704"/>
        <v>874.42840000000001</v>
      </c>
      <c r="AX135" s="149">
        <f t="shared" si="705"/>
        <v>334.7739474393</v>
      </c>
      <c r="AY135" s="149">
        <f t="shared" si="706"/>
        <v>1904.6891835130775</v>
      </c>
      <c r="AZ135" s="150">
        <f t="shared" si="707"/>
        <v>0.38284889584933424</v>
      </c>
      <c r="BA135" s="139" t="str">
        <f>Input!B135</f>
        <v>Hu1-13</v>
      </c>
      <c r="BB135" s="151">
        <f>Input!E135</f>
        <v>0</v>
      </c>
      <c r="BC135" s="139">
        <f>((U135-1)*EXP(Constants!$B$17*AW135*1000))*1000</f>
        <v>19.517153687788134</v>
      </c>
      <c r="BD135" s="145">
        <f>SQRT((EXP(Constants!$B$17*AW135*1000)*V135)^2+((U135-1)*Constants!$B$17*EXP(Constants!$B$17*AW135*1000)*AY135*1000)^2)*1000</f>
        <v>106.24966076140623</v>
      </c>
      <c r="BE135" s="139">
        <f t="shared" si="708"/>
        <v>874370.4</v>
      </c>
      <c r="BF135" s="152">
        <f t="shared" si="709"/>
        <v>952344.59175653872</v>
      </c>
      <c r="BG135" s="161">
        <f t="shared" si="710"/>
        <v>217.82105699141033</v>
      </c>
      <c r="BH135" s="139"/>
      <c r="BI135" s="18"/>
      <c r="BJ135" s="18"/>
      <c r="BK135" s="18"/>
      <c r="BL135" s="18"/>
      <c r="BM135" s="18"/>
      <c r="BN135" s="160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11029</v>
      </c>
      <c r="B136" s="18" t="str">
        <f>Input!B136</f>
        <v>KMS6-15,8cm-c</v>
      </c>
      <c r="C136" s="18">
        <f>Input!O136</f>
        <v>0.3534705964772436</v>
      </c>
      <c r="D136" s="18">
        <f>C136*Input!P136/100</f>
        <v>2.5958334724506932E-3</v>
      </c>
      <c r="E136" s="153">
        <f>Input!M136</f>
        <v>0.50856782200987938</v>
      </c>
      <c r="F136" s="154">
        <f>E136*Input!N136/100</f>
        <v>8.7984584493293327E-5</v>
      </c>
      <c r="G136" s="21">
        <f>E136*137.88</f>
        <v>70.121331298722168</v>
      </c>
      <c r="H136" s="154">
        <f>G136*Input!L136/100</f>
        <v>1.0017635701821372E-2</v>
      </c>
      <c r="I136" s="18">
        <v>0.3</v>
      </c>
      <c r="J136" s="130">
        <f>(((C136*Constants!$B$24*0.000000001*Input!G136*(Constants!$B$4/Constants!$B$3))-(I136*0.000000000000001))/Input!F136)*1000000000000</f>
        <v>4.6703142919576823</v>
      </c>
      <c r="K136" s="18">
        <f>J136*Input!P136/100</f>
        <v>3.4298066902176155E-2</v>
      </c>
      <c r="L136" s="135">
        <f>(J136/Constants!$B$4)*602200000000*Constants!$B$17/(365.2425*24*60)</f>
        <v>6.4478874319740198E-2</v>
      </c>
      <c r="M136" s="133">
        <f>L136*Input!P136/100</f>
        <v>4.735228952371961E-4</v>
      </c>
      <c r="N136" s="18">
        <v>5.0000000000000001E-3</v>
      </c>
      <c r="O136" s="130">
        <f>(((G136*Constants!$B$23*0.000000001*Input!G136*(Constants!$B$7/Constants!$B$6))-(N136*0.000000001))/Input!F136)*1000000</f>
        <v>9.33374487279445E-2</v>
      </c>
      <c r="P136" s="18">
        <f>O136*Input!N136/100</f>
        <v>1.6147810161360812E-5</v>
      </c>
      <c r="Q136" s="131">
        <f>(O136/Constants!$B$7)*602200000000000000*Constants!$B$18/(365.2425*24*60)</f>
        <v>6.9641008038218488E-2</v>
      </c>
      <c r="R136" s="132">
        <f>Q136*Input!N136/100</f>
        <v>1.2048216365166977E-5</v>
      </c>
      <c r="S136" s="133">
        <f>Input!S136*Constants!$B$17/Constants!$B$18</f>
        <v>0.92155353642110338</v>
      </c>
      <c r="T136" s="18">
        <f>S136*Input!T136/100</f>
        <v>1.3049774398906178E-3</v>
      </c>
      <c r="U136" s="18">
        <f>S136*1/((U135+U137)/2)</f>
        <v>0.91929784334762066</v>
      </c>
      <c r="V136" s="18">
        <f>U136*Input!T136/100</f>
        <v>1.3017832374315353E-3</v>
      </c>
      <c r="W136" s="134">
        <v>3.0000000000000001E-3</v>
      </c>
      <c r="X136" s="130">
        <f>(((Constants!$B$25*0.000000001*Input!G136/Input!W136*(Constants!$B$11/Constants!$B$9)-(W136*0.000000001))/Input!F136)*1000000000)</f>
        <v>19.691366065655675</v>
      </c>
      <c r="Y136" s="130">
        <f>X136*Input!X136/100</f>
        <v>4.2150011071634463E-2</v>
      </c>
      <c r="Z136" s="130">
        <f>(X136/Constants!$B$11)*6.022E+23*0.000000001*Constants!$B$19/(365.2425*24*60)</f>
        <v>4.8072990534985842E-3</v>
      </c>
      <c r="AA136" s="130">
        <f>Z136*Input!X136/100</f>
        <v>1.0290180358945868E-5</v>
      </c>
      <c r="AB136" s="135">
        <v>0.05</v>
      </c>
      <c r="AC136" s="135">
        <v>0</v>
      </c>
      <c r="AD136" s="130">
        <f>(((Input!G136*Constants!$B$25*0.000000001*Input!U136*(Constants!$B$10/Constants!$B$9))-((AB136*0.000000000000001)+(Input!G136*AC136*0.000000000000001)))/Input!F136)*1000000000000</f>
        <v>0.13801076458947825</v>
      </c>
      <c r="AE136" s="130">
        <f>AD136*Input!V136/100</f>
        <v>1.4676392545047304E-3</v>
      </c>
      <c r="AF136" s="130">
        <f>(AD136/Constants!$B$10)*602200000000*Constants!$B$16/(365.2425*24*60)</f>
        <v>6.2995936049666046E-3</v>
      </c>
      <c r="AG136" s="130">
        <f>AF136*Input!V136/100</f>
        <v>6.6991374836429388E-5</v>
      </c>
      <c r="AH136" s="18">
        <f>AF136/Z136</f>
        <v>1.3104226583078873</v>
      </c>
      <c r="AI136" s="134">
        <f>AH136*SQRT((AG136/AF136)^2+(AA136/Z136)^2)</f>
        <v>1.4214847945223593E-2</v>
      </c>
      <c r="AJ136" s="133">
        <f t="shared" si="694"/>
        <v>-80.702156652379344</v>
      </c>
      <c r="AK136" s="134">
        <f>V136*1000</f>
        <v>1.3017832374315352</v>
      </c>
      <c r="AL136" s="134">
        <f>AF136/Q136</f>
        <v>9.0458104821076579E-2</v>
      </c>
      <c r="AM136" s="134">
        <f>AL136*SQRT((R136/Q136)^2+(AG136/AF136)^2)</f>
        <v>9.6208026563370267E-4</v>
      </c>
      <c r="AN136" s="18">
        <f>AL136*1/((AN135+AN137)/2)</f>
        <v>9.042142225425881E-2</v>
      </c>
      <c r="AO136" s="130">
        <f>AN136*SQRT((R136/Q136)^2+(AG136/AF136)^2)</f>
        <v>9.6169012288532243E-4</v>
      </c>
      <c r="AP136" s="18">
        <f>ThU_Alter_Kombi(AN136,U136)</f>
        <v>11.307</v>
      </c>
      <c r="AQ136" s="18">
        <f t="shared" si="700"/>
        <v>0.1321</v>
      </c>
      <c r="AR136" s="155">
        <f>(AQ136/AP136)</f>
        <v>1.1683028212611656E-2</v>
      </c>
      <c r="AS136" s="132">
        <f t="shared" si="701"/>
        <v>6.902971667010295E-2</v>
      </c>
      <c r="AT136" s="132">
        <f t="shared" si="702"/>
        <v>1.4824218727698763E-4</v>
      </c>
      <c r="AU136" s="18">
        <v>0.75</v>
      </c>
      <c r="AV136" s="18">
        <f>AU136/2</f>
        <v>0.375</v>
      </c>
      <c r="AW136" s="18">
        <f t="shared" si="704"/>
        <v>4.9729000000000001</v>
      </c>
      <c r="AX136" s="136">
        <f t="shared" si="705"/>
        <v>3.0516404348999999</v>
      </c>
      <c r="AY136" s="136">
        <f t="shared" si="706"/>
        <v>3.265157437548095</v>
      </c>
      <c r="AZ136" s="155">
        <f t="shared" si="707"/>
        <v>0.61365409215950451</v>
      </c>
      <c r="BA136" s="18" t="str">
        <f>Input!B136</f>
        <v>KMS6-15,8cm-c</v>
      </c>
      <c r="BB136" s="137">
        <f>Input!E136</f>
        <v>15.8</v>
      </c>
      <c r="BC136" s="18">
        <f>((U136-1)*EXP(Constants!$B$17*AW136*1000))*1000</f>
        <v>-81.842700745444915</v>
      </c>
      <c r="BD136" s="133">
        <f>SQRT((EXP(Constants!$B$17*AW136*1000)*V136)^2+((U136-1)*Constants!$B$17*EXP(Constants!$B$17*AW136*1000)*AY136*1000)^2)*1000</f>
        <v>1.5203949311225078</v>
      </c>
      <c r="BE136" s="18">
        <f t="shared" si="708"/>
        <v>4914.9000000000005</v>
      </c>
      <c r="BF136" s="138">
        <f t="shared" si="709"/>
        <v>1632.5787187740475</v>
      </c>
      <c r="BG136" s="20">
        <f t="shared" si="710"/>
        <v>65.659020642846116</v>
      </c>
      <c r="BH136" s="18"/>
      <c r="BI136" s="18"/>
      <c r="BJ136" s="18"/>
      <c r="BK136" s="18"/>
      <c r="BL136" s="18"/>
      <c r="BM136" s="18"/>
      <c r="BN136" s="160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9">
        <f>Input!A137</f>
        <v>10815</v>
      </c>
      <c r="B137" s="139" t="str">
        <f>Input!B137</f>
        <v>Hu1-13</v>
      </c>
      <c r="C137" s="139">
        <f>Input!O137</f>
        <v>2.1099678827112829</v>
      </c>
      <c r="D137" s="139">
        <f>C137*Input!P137/100</f>
        <v>7.6676086157332457E-2</v>
      </c>
      <c r="E137" s="140">
        <f>Input!M137</f>
        <v>2.732887258325289</v>
      </c>
      <c r="F137" s="141">
        <f>E137*Input!N137/100</f>
        <v>1.0577164815569124E-3</v>
      </c>
      <c r="G137" s="142">
        <f t="shared" ref="G137" si="729">E137*137.88</f>
        <v>376.81049517789086</v>
      </c>
      <c r="H137" s="141">
        <f>G137*Input!L137/100</f>
        <v>5.8491258947042081E-2</v>
      </c>
      <c r="I137" s="139">
        <v>0</v>
      </c>
      <c r="J137" s="143">
        <f>(((C137*Constants!$B$24*0.000000001*Input!G137*(Constants!$B$4/Constants!$B$3))-(I137*0.000000000000001))/Input!F137)*1000000000000</f>
        <v>761.77761952754543</v>
      </c>
      <c r="K137" s="139">
        <f>J137*Input!P137/100</f>
        <v>27.682945729280679</v>
      </c>
      <c r="L137" s="144">
        <f>(J137/Constants!$B$4)*602200000000*Constants!$B$17/(365.2425*24*60)</f>
        <v>10.517185850573268</v>
      </c>
      <c r="M137" s="145">
        <f>L137*Input!P137/100</f>
        <v>0.38219380257816921</v>
      </c>
      <c r="N137" s="139">
        <v>0</v>
      </c>
      <c r="O137" s="143">
        <f>(((G137*Constants!$B$23*0.000000001*Input!G137*(Constants!$B$7/Constants!$B$6))-(N137*0.000000001))/Input!F137)*1000000</f>
        <v>13.704299955990736</v>
      </c>
      <c r="P137" s="139">
        <f>O137*Input!N137/100</f>
        <v>5.3040109457474505E-3</v>
      </c>
      <c r="Q137" s="146">
        <f>(O137/Constants!$B$7)*602200000000000000*Constants!$B$18/(365.2425*24*60)</f>
        <v>10.225062677415714</v>
      </c>
      <c r="R137" s="147">
        <f>Q137*Input!N137/100</f>
        <v>3.9574326697555057E-3</v>
      </c>
      <c r="S137" s="145">
        <f>Input!S137*Constants!$B$17/Constants!$B$18</f>
        <v>1.0032527514567215</v>
      </c>
      <c r="T137" s="139">
        <f>S137*Input!T137/100</f>
        <v>1.8490387779145703E-3</v>
      </c>
      <c r="U137" s="145">
        <f>S137</f>
        <v>1.0032527514567215</v>
      </c>
      <c r="V137" s="139">
        <f>U137*Input!T137/100</f>
        <v>1.8490387779145703E-3</v>
      </c>
      <c r="W137" s="148">
        <v>0</v>
      </c>
      <c r="X137" s="143">
        <f>(((Constants!$B$25*0.000000001*Input!G137/Input!W137*(Constants!$B$11/Constants!$B$9))-(W137*0.000000001))/Input!F137)*1000000000</f>
        <v>0.95656163245557491</v>
      </c>
      <c r="Y137" s="143">
        <f>X137*Input!X137/100</f>
        <v>1.4886440835858725E-2</v>
      </c>
      <c r="Z137" s="143">
        <f>(X137/Constants!$B$11)*6.022E+23*0.000000001*Constants!$B$19/(365.2425*24*60)</f>
        <v>2.3352761890588658E-4</v>
      </c>
      <c r="AA137" s="143">
        <f>Z137*Input!X137/100</f>
        <v>3.6342614677710233E-6</v>
      </c>
      <c r="AB137" s="144">
        <v>0</v>
      </c>
      <c r="AC137" s="144">
        <v>0</v>
      </c>
      <c r="AD137" s="143">
        <f>(((Input!G137*Constants!$B$25*0.000000001*Input!U137*(Constants!$B$10/Constants!$B$9))-((AB137*0.000000000000001)+(Input!G137*AC137*0.000000000000001)))/Input!F137)*1000000000000</f>
        <v>223.73163631452601</v>
      </c>
      <c r="AE137" s="143">
        <f>AD137*Input!V137/100</f>
        <v>1.4071056441868797</v>
      </c>
      <c r="AF137" s="143">
        <f>(AD137/Constants!$B$10)*602200000000*Constants!$B$16/(365.2425*24*60)</f>
        <v>10.212380096205585</v>
      </c>
      <c r="AG137" s="143">
        <f>AF137*Input!V137/100</f>
        <v>6.4228277728908947E-2</v>
      </c>
      <c r="AH137" s="139">
        <f t="shared" ref="AH137" si="730">AF137/Z137</f>
        <v>43730.930602779161</v>
      </c>
      <c r="AI137" s="148">
        <f t="shared" ref="AI137" si="731">AH137*SQRT((AG137/AF137)^2+(AA137/Z137)^2)</f>
        <v>734.03450246178488</v>
      </c>
      <c r="AJ137" s="145">
        <f t="shared" si="694"/>
        <v>3.2527514567215476</v>
      </c>
      <c r="AK137" s="148">
        <f t="shared" ref="AK137" si="732">V137*1000</f>
        <v>1.8490387779145703</v>
      </c>
      <c r="AL137" s="148">
        <f t="shared" ref="AL137" si="733">AF137/Q137</f>
        <v>0.99875965736247851</v>
      </c>
      <c r="AM137" s="148">
        <f t="shared" ref="AM137" si="734">AL137*SQRT((R137/Q137)^2+(AG137/AF137)^2)</f>
        <v>6.2933383798290214E-3</v>
      </c>
      <c r="AN137" s="139">
        <f>AF137/Q137</f>
        <v>0.99875965736247851</v>
      </c>
      <c r="AO137" s="143">
        <f t="shared" ref="AO137" si="735">AN137*SQRT((R137/Q137)^2+(AG137/AF137)^2)</f>
        <v>6.2933383798290214E-3</v>
      </c>
      <c r="AP137" s="139">
        <f t="shared" ref="AP137" si="736">ThU_Alter_Kombi(AN137,U137)</f>
        <v>561.46029999999996</v>
      </c>
      <c r="AQ137" s="139" t="e">
        <f t="shared" si="700"/>
        <v>#VALUE!</v>
      </c>
      <c r="AR137" s="139" t="e">
        <f>(AQ137/AP137)*100</f>
        <v>#VALUE!</v>
      </c>
      <c r="AS137" s="147">
        <f t="shared" si="701"/>
        <v>2.2838746937139405E-5</v>
      </c>
      <c r="AT137" s="147">
        <f t="shared" si="702"/>
        <v>3.5553671434418947E-7</v>
      </c>
      <c r="AU137" s="139">
        <v>0.75</v>
      </c>
      <c r="AV137" s="139">
        <f t="shared" ref="AV137" si="737">AU137/2</f>
        <v>0.375</v>
      </c>
      <c r="AW137" s="139">
        <f t="shared" si="704"/>
        <v>561.45839999999998</v>
      </c>
      <c r="AX137" s="149">
        <f t="shared" si="705"/>
        <v>231.07565197060001</v>
      </c>
      <c r="AY137" s="149">
        <f t="shared" si="706"/>
        <v>125.14654873041174</v>
      </c>
      <c r="AZ137" s="150">
        <f t="shared" si="707"/>
        <v>0.4115632644744473</v>
      </c>
      <c r="BA137" s="139" t="str">
        <f>Input!B137</f>
        <v>Hu1-13</v>
      </c>
      <c r="BB137" s="151">
        <f>Input!E137</f>
        <v>0</v>
      </c>
      <c r="BC137" s="139">
        <f>((U137-1)*EXP(Constants!$B$17*AW137*1000))*1000</f>
        <v>15.862701447223397</v>
      </c>
      <c r="BD137" s="145">
        <f>SQRT((EXP(Constants!$B$17*AW137*1000)*V137)^2+((U137-1)*Constants!$B$17*EXP(Constants!$B$17*AW137*1000)*AY137*1000)^2)*1000</f>
        <v>10.615803775332106</v>
      </c>
      <c r="BE137" s="139">
        <f t="shared" si="708"/>
        <v>561400.4</v>
      </c>
      <c r="BF137" s="152">
        <f t="shared" si="709"/>
        <v>62573.274365205871</v>
      </c>
      <c r="BG137" s="161">
        <f t="shared" si="710"/>
        <v>22.289549631889333</v>
      </c>
      <c r="BH137" s="139"/>
      <c r="BI137" s="18"/>
      <c r="BJ137" s="18"/>
      <c r="BK137" s="18"/>
      <c r="BL137" s="18"/>
      <c r="BM137" s="18"/>
      <c r="BN137" s="160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8" spans="1:110" ht="15" customHeight="1" x14ac:dyDescent="0.2">
      <c r="A138" s="18">
        <f>Input!A138</f>
        <v>11030</v>
      </c>
      <c r="B138" s="18" t="str">
        <f>Input!B138</f>
        <v>KMS6-15,8cm-d</v>
      </c>
      <c r="C138" s="18">
        <f>Input!O138</f>
        <v>0.27823361165914862</v>
      </c>
      <c r="D138" s="18">
        <f>C138*Input!P138/100</f>
        <v>1.6776838434987165E-3</v>
      </c>
      <c r="E138" s="153">
        <f>Input!M138</f>
        <v>0.4046473673175589</v>
      </c>
      <c r="F138" s="154">
        <f>E138*Input!N138/100</f>
        <v>7.9619939578068165E-5</v>
      </c>
      <c r="G138" s="21">
        <f>E138*137.88</f>
        <v>55.792779005745018</v>
      </c>
      <c r="H138" s="154">
        <f>G138*Input!L138/100</f>
        <v>1.1025705073560727E-2</v>
      </c>
      <c r="I138" s="18">
        <v>0.3</v>
      </c>
      <c r="J138" s="130">
        <f>(((C138*Constants!$B$24*0.000000001*Input!G138*(Constants!$B$4/Constants!$B$3))-(I138*0.000000000000001))/Input!F138)*1000000000000</f>
        <v>4.0475883014890499</v>
      </c>
      <c r="K138" s="18">
        <f>J138*Input!P138/100</f>
        <v>2.4406014277173007E-2</v>
      </c>
      <c r="L138" s="135">
        <f>(J138/Constants!$B$4)*602200000000*Constants!$B$17/(365.2425*24*60)</f>
        <v>5.5881450599412436E-2</v>
      </c>
      <c r="M138" s="133">
        <f>L138*Input!P138/100</f>
        <v>3.36952125456203E-4</v>
      </c>
      <c r="N138" s="18">
        <v>5.0000000000000001E-3</v>
      </c>
      <c r="O138" s="130">
        <f>(((G138*Constants!$B$23*0.000000001*Input!G138*(Constants!$B$7/Constants!$B$6))-(N138*0.000000001))/Input!F138)*1000000</f>
        <v>8.1768867729324596E-2</v>
      </c>
      <c r="P138" s="18">
        <f>O138*Input!N138/100</f>
        <v>1.6089150291855524E-5</v>
      </c>
      <c r="Q138" s="131">
        <f>(O138/Constants!$B$7)*602200000000000000*Constants!$B$18/(365.2425*24*60)</f>
        <v>6.1009449609147497E-2</v>
      </c>
      <c r="R138" s="132">
        <f>Q138*Input!N138/100</f>
        <v>1.2004449018840146E-5</v>
      </c>
      <c r="S138" s="133">
        <f>Input!S138*Constants!$B$17/Constants!$B$18</f>
        <v>0.90640249736719214</v>
      </c>
      <c r="T138" s="18">
        <f>S138*Input!T138/100</f>
        <v>1.4490758689454438E-3</v>
      </c>
      <c r="U138" s="18">
        <f>S138*1/((U137+U139)/2)</f>
        <v>0.90477338344182723</v>
      </c>
      <c r="V138" s="18">
        <f>U138*Input!T138/100</f>
        <v>1.4464713861865521E-3</v>
      </c>
      <c r="W138" s="134">
        <v>3.0000000000000001E-3</v>
      </c>
      <c r="X138" s="130">
        <f>(((Constants!$B$25*0.000000001*Input!G138/Input!W138*(Constants!$B$11/Constants!$B$9)-(W138*0.000000001))/Input!F138)*1000000000)</f>
        <v>5.4424112676836076</v>
      </c>
      <c r="Y138" s="130">
        <f>X138*Input!X138/100</f>
        <v>1.6205832830359285E-2</v>
      </c>
      <c r="Z138" s="130">
        <f>(X138/Constants!$B$11)*6.022E+23*0.000000001*Constants!$B$19/(365.2425*24*60)</f>
        <v>1.3286685366901822E-3</v>
      </c>
      <c r="AA138" s="130">
        <f>Z138*Input!X138/100</f>
        <v>3.9563677078971805E-6</v>
      </c>
      <c r="AB138" s="135">
        <v>0.05</v>
      </c>
      <c r="AC138" s="135">
        <v>0</v>
      </c>
      <c r="AD138" s="130">
        <f>(((Input!G138*Constants!$B$25*0.000000001*Input!U138*(Constants!$B$10/Constants!$B$9))-((AB138*0.000000000000001)+(Input!G138*AC138*0.000000000000001)))/Input!F138)*1000000000000</f>
        <v>5.4629574415207445E-2</v>
      </c>
      <c r="AE138" s="130">
        <f>AD138*Input!V138/100</f>
        <v>9.1895949209881613E-4</v>
      </c>
      <c r="AF138" s="130">
        <f>(AD138/Constants!$B$10)*602200000000*Constants!$B$16/(365.2425*24*60)</f>
        <v>2.4936034421066096E-3</v>
      </c>
      <c r="AG138" s="130">
        <f>AF138*Input!V138/100</f>
        <v>4.1946520308535488E-5</v>
      </c>
      <c r="AH138" s="18">
        <f>AF138/Z138</f>
        <v>1.8767686396175016</v>
      </c>
      <c r="AI138" s="134">
        <f>AH138*SQRT((AG138/AF138)^2+(AA138/Z138)^2)</f>
        <v>3.2061147604542241E-2</v>
      </c>
      <c r="AJ138" s="133">
        <f t="shared" si="694"/>
        <v>-95.226616558172765</v>
      </c>
      <c r="AK138" s="134">
        <f>V138*1000</f>
        <v>1.4464713861865521</v>
      </c>
      <c r="AL138" s="134">
        <f>AF138/Q138</f>
        <v>4.0872413340584036E-2</v>
      </c>
      <c r="AM138" s="134">
        <f>AL138*SQRT((R138/Q138)^2+(AG138/AF138)^2)</f>
        <v>6.8758839924172664E-4</v>
      </c>
      <c r="AN138" s="18">
        <f>AL138*1/((AN137+AN139)/2)</f>
        <v>4.1003520797272347E-2</v>
      </c>
      <c r="AO138" s="130">
        <f>AN138*SQRT((R138/Q138)^2+(AG138/AF138)^2)</f>
        <v>6.8979399364893187E-4</v>
      </c>
      <c r="AP138" s="18">
        <f>ThU_Alter_Kombi(AN138,U138)</f>
        <v>5.0612000000000004</v>
      </c>
      <c r="AQ138" s="18">
        <f t="shared" si="700"/>
        <v>9.1600000000000001E-2</v>
      </c>
      <c r="AR138" s="155">
        <f>(AQ138/AP138)</f>
        <v>1.8098474670038726E-2</v>
      </c>
      <c r="AS138" s="132">
        <f t="shared" si="701"/>
        <v>2.1778077743729838E-2</v>
      </c>
      <c r="AT138" s="132">
        <f t="shared" si="702"/>
        <v>6.4989866336062036E-5</v>
      </c>
      <c r="AU138" s="18">
        <v>0.75</v>
      </c>
      <c r="AV138" s="18">
        <f>AU138/2</f>
        <v>0.375</v>
      </c>
      <c r="AW138" s="18">
        <f t="shared" si="704"/>
        <v>3.0722</v>
      </c>
      <c r="AX138" s="136">
        <f t="shared" si="705"/>
        <v>0.94310626549999999</v>
      </c>
      <c r="AY138" s="136">
        <f t="shared" si="706"/>
        <v>1.0085290779388334</v>
      </c>
      <c r="AZ138" s="155">
        <f t="shared" si="707"/>
        <v>0.30698075174142309</v>
      </c>
      <c r="BA138" s="18" t="str">
        <f>Input!B138</f>
        <v>KMS6-15,8cm-d</v>
      </c>
      <c r="BB138" s="137">
        <f>Input!E138</f>
        <v>15.8</v>
      </c>
      <c r="BC138" s="18">
        <f>((U138-1)*EXP(Constants!$B$17*AW138*1000))*1000</f>
        <v>-96.055814268142029</v>
      </c>
      <c r="BD138" s="133">
        <f>SQRT((EXP(Constants!$B$17*AW138*1000)*V138)^2+((U138-1)*Constants!$B$17*EXP(Constants!$B$17*AW138*1000)*AY138*1000)^2)*1000</f>
        <v>1.4844582505145911</v>
      </c>
      <c r="BE138" s="18">
        <f t="shared" si="708"/>
        <v>3014.2</v>
      </c>
      <c r="BF138" s="138">
        <f t="shared" si="709"/>
        <v>504.26453896941672</v>
      </c>
      <c r="BG138" s="20">
        <f t="shared" si="710"/>
        <v>32.827585376565111</v>
      </c>
      <c r="BH138" s="18"/>
      <c r="BI138" s="18"/>
      <c r="BJ138" s="18"/>
      <c r="BK138" s="18"/>
      <c r="BL138" s="18"/>
      <c r="BM138" s="18"/>
      <c r="BN138" s="160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</row>
    <row r="139" spans="1:110" ht="15" customHeight="1" x14ac:dyDescent="0.2">
      <c r="A139" s="139">
        <f>Input!A139</f>
        <v>10815</v>
      </c>
      <c r="B139" s="139" t="str">
        <f>Input!B139</f>
        <v>Hu1-13</v>
      </c>
      <c r="C139" s="139">
        <f>Input!O139</f>
        <v>2.0058356892098357</v>
      </c>
      <c r="D139" s="139">
        <f>C139*Input!P139/100</f>
        <v>4.4815883181360677E-2</v>
      </c>
      <c r="E139" s="140">
        <f>Input!M139</f>
        <v>2.732068159986254</v>
      </c>
      <c r="F139" s="141">
        <f>E139*Input!N139/100</f>
        <v>9.9600833387696519E-4</v>
      </c>
      <c r="G139" s="142">
        <f t="shared" ref="G139" si="738">E139*137.88</f>
        <v>376.69755789890468</v>
      </c>
      <c r="H139" s="141">
        <f>G139*Input!L139/100</f>
        <v>5.2528421499351108E-2</v>
      </c>
      <c r="I139" s="139">
        <v>0</v>
      </c>
      <c r="J139" s="143">
        <f>(((C139*Constants!$B$24*0.000000001*Input!G139*(Constants!$B$4/Constants!$B$3))-(I139*0.000000000000001))/Input!F139)*1000000000000</f>
        <v>724.18198827093033</v>
      </c>
      <c r="K139" s="139">
        <f>J139*Input!P139/100</f>
        <v>16.180216337251707</v>
      </c>
      <c r="L139" s="144">
        <f>(J139/Constants!$B$4)*602200000000*Constants!$B$17/(365.2425*24*60)</f>
        <v>9.9981364180884054</v>
      </c>
      <c r="M139" s="145">
        <f>L139*Input!P139/100</f>
        <v>0.22338585167006844</v>
      </c>
      <c r="N139" s="139">
        <v>0</v>
      </c>
      <c r="O139" s="143">
        <f>(((G139*Constants!$B$23*0.000000001*Input!G139*(Constants!$B$7/Constants!$B$6))-(N139*0.000000001))/Input!F139)*1000000</f>
        <v>13.700192516396442</v>
      </c>
      <c r="P139" s="139">
        <f>O139*Input!N139/100</f>
        <v>4.9945700923209558E-3</v>
      </c>
      <c r="Q139" s="146">
        <f>(O139/Constants!$B$7)*602200000000000000*Constants!$B$18/(365.2425*24*60)</f>
        <v>10.221998031470262</v>
      </c>
      <c r="R139" s="147">
        <f>Q139*Input!N139/100</f>
        <v>3.7265524254964195E-3</v>
      </c>
      <c r="S139" s="145">
        <f>Input!S139*Constants!$B$17/Constants!$B$18</f>
        <v>1.0003484020590188</v>
      </c>
      <c r="T139" s="139">
        <f>S139*Input!T139/100</f>
        <v>1.1977998135995125E-3</v>
      </c>
      <c r="U139" s="145">
        <f>S139</f>
        <v>1.0003484020590188</v>
      </c>
      <c r="V139" s="139">
        <f>U139*Input!T139/100</f>
        <v>1.1977998135995125E-3</v>
      </c>
      <c r="W139" s="148">
        <v>0</v>
      </c>
      <c r="X139" s="143">
        <f>(((Constants!$B$25*0.000000001*Input!G139/Input!W139*(Constants!$B$11/Constants!$B$9))-(W139*0.000000001))/Input!F139)*1000000000</f>
        <v>0.96114655400790561</v>
      </c>
      <c r="Y139" s="143">
        <f>X139*Input!X139/100</f>
        <v>1.3654905510334365E-2</v>
      </c>
      <c r="Z139" s="143">
        <f>(X139/Constants!$B$11)*6.022E+23*0.000000001*Constants!$B$19/(365.2425*24*60)</f>
        <v>2.3464694648150499E-4</v>
      </c>
      <c r="AA139" s="143">
        <f>Z139*Input!X139/100</f>
        <v>3.333603880836555E-6</v>
      </c>
      <c r="AB139" s="144">
        <v>0</v>
      </c>
      <c r="AC139" s="144">
        <v>0</v>
      </c>
      <c r="AD139" s="143">
        <f>(((Input!G139*Constants!$B$25*0.000000001*Input!U139*(Constants!$B$10/Constants!$B$9))-((AB139*0.000000000000001)+(Input!G139*AC139*0.000000000000001)))/Input!F139)*1000000000000</f>
        <v>222.78801307712064</v>
      </c>
      <c r="AE139" s="143">
        <f>AD139*Input!V139/100</f>
        <v>1.4270094351948492</v>
      </c>
      <c r="AF139" s="143">
        <f>(AD139/Constants!$B$10)*602200000000*Constants!$B$16/(365.2425*24*60)</f>
        <v>10.169307782755697</v>
      </c>
      <c r="AG139" s="143">
        <f>AF139*Input!V139/100</f>
        <v>6.5136799574443002E-2</v>
      </c>
      <c r="AH139" s="139">
        <f t="shared" ref="AH139" si="739">AF139/Z139</f>
        <v>43338.760359948887</v>
      </c>
      <c r="AI139" s="148">
        <f t="shared" ref="AI139" si="740">AH139*SQRT((AG139/AF139)^2+(AA139/Z139)^2)</f>
        <v>675.39368590183949</v>
      </c>
      <c r="AJ139" s="145">
        <f t="shared" si="694"/>
        <v>0.34840205901875976</v>
      </c>
      <c r="AK139" s="148">
        <f t="shared" ref="AK139" si="741">V139*1000</f>
        <v>1.1977998135995125</v>
      </c>
      <c r="AL139" s="148">
        <f t="shared" ref="AL139" si="742">AF139/Q139</f>
        <v>0.99484540609846051</v>
      </c>
      <c r="AM139" s="148">
        <f t="shared" ref="AM139" si="743">AL139*SQRT((R139/Q139)^2+(AG139/AF139)^2)</f>
        <v>6.3825309052111083E-3</v>
      </c>
      <c r="AN139" s="139">
        <f>AF139/Q139</f>
        <v>0.99484540609846051</v>
      </c>
      <c r="AO139" s="143">
        <f t="shared" ref="AO139" si="744">AN139*SQRT((R139/Q139)^2+(AG139/AF139)^2)</f>
        <v>6.3825309052111083E-3</v>
      </c>
      <c r="AP139" s="139">
        <f t="shared" ref="AP139" si="745">ThU_Alter_Kombi(AN139,U139)</f>
        <v>564.54570000000001</v>
      </c>
      <c r="AQ139" s="139" t="e">
        <f t="shared" si="700"/>
        <v>#VALUE!</v>
      </c>
      <c r="AR139" s="139" t="e">
        <f>(AQ139/AP139)*100</f>
        <v>#VALUE!</v>
      </c>
      <c r="AS139" s="147">
        <f t="shared" si="701"/>
        <v>2.295509603495345E-5</v>
      </c>
      <c r="AT139" s="147">
        <f t="shared" si="702"/>
        <v>3.2622793029869864E-7</v>
      </c>
      <c r="AU139" s="139">
        <v>0.75</v>
      </c>
      <c r="AV139" s="139">
        <f t="shared" ref="AV139" si="746">AU139/2</f>
        <v>0.375</v>
      </c>
      <c r="AW139" s="139">
        <f t="shared" si="704"/>
        <v>564.54380000000003</v>
      </c>
      <c r="AX139" s="149">
        <f t="shared" si="705"/>
        <v>238.7442443649</v>
      </c>
      <c r="AY139" s="149">
        <f t="shared" si="706"/>
        <v>126.57551905535846</v>
      </c>
      <c r="AZ139" s="150">
        <f t="shared" si="707"/>
        <v>0.42289764649775624</v>
      </c>
      <c r="BA139" s="139" t="str">
        <f>Input!B139</f>
        <v>Hu1-13</v>
      </c>
      <c r="BB139" s="151">
        <f>Input!E139</f>
        <v>0</v>
      </c>
      <c r="BC139" s="139">
        <f>((U139-1)*EXP(Constants!$B$17*AW139*1000))*1000</f>
        <v>1.7139117860473527</v>
      </c>
      <c r="BD139" s="145">
        <f>SQRT((EXP(Constants!$B$17*AW139*1000)*V139)^2+((U139-1)*Constants!$B$17*EXP(Constants!$B$17*AW139*1000)*AY139*1000)^2)*1000</f>
        <v>5.92411591772143</v>
      </c>
      <c r="BE139" s="139">
        <f t="shared" si="708"/>
        <v>564485.80000000005</v>
      </c>
      <c r="BF139" s="152">
        <f t="shared" si="709"/>
        <v>63287.759527679227</v>
      </c>
      <c r="BG139" s="161">
        <f t="shared" si="710"/>
        <v>22.420850083794818</v>
      </c>
      <c r="BH139" s="139"/>
      <c r="BI139" s="18"/>
      <c r="BJ139" s="18"/>
      <c r="BK139" s="18"/>
      <c r="BL139" s="18"/>
      <c r="BM139" s="18"/>
      <c r="BN139" s="160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11031</v>
      </c>
      <c r="B140" s="18" t="str">
        <f>Input!B140</f>
        <v>KMS6-15,8cm-e</v>
      </c>
      <c r="C140" s="18">
        <f>Input!O140</f>
        <v>0.44098877211892662</v>
      </c>
      <c r="D140" s="18">
        <f>C140*Input!P140/100</f>
        <v>2.7039076765894838E-3</v>
      </c>
      <c r="E140" s="153">
        <f>Input!M140</f>
        <v>0.64863747822727102</v>
      </c>
      <c r="F140" s="154">
        <f>E140*Input!N140/100</f>
        <v>9.1190112262340428E-5</v>
      </c>
      <c r="G140" s="21">
        <f>E140*137.88</f>
        <v>89.434135497976129</v>
      </c>
      <c r="H140" s="154">
        <f>G140*Input!L140/100</f>
        <v>1.1223419439115838E-2</v>
      </c>
      <c r="I140" s="18">
        <v>0.3</v>
      </c>
      <c r="J140" s="130">
        <f>(((C140*Constants!$B$24*0.000000001*Input!G140*(Constants!$B$4/Constants!$B$3))-(I140*0.000000000000001))/Input!F140)*1000000000000</f>
        <v>4.0392050178814882</v>
      </c>
      <c r="K140" s="18">
        <f>J140*Input!P140/100</f>
        <v>2.4766248362040274E-2</v>
      </c>
      <c r="L140" s="135">
        <f>(J140/Constants!$B$4)*602200000000*Constants!$B$17/(365.2425*24*60)</f>
        <v>5.5765710061125857E-2</v>
      </c>
      <c r="M140" s="133">
        <f>L140*Input!P140/100</f>
        <v>3.4192555697104587E-4</v>
      </c>
      <c r="N140" s="18">
        <v>5.0000000000000001E-3</v>
      </c>
      <c r="O140" s="130">
        <f>(((G140*Constants!$B$23*0.000000001*Input!G140*(Constants!$B$7/Constants!$B$6))-(N140*0.000000001))/Input!F140)*1000000</f>
        <v>8.2524808303470934E-2</v>
      </c>
      <c r="P140" s="18">
        <f>O140*Input!N140/100</f>
        <v>1.1601929870270086E-5</v>
      </c>
      <c r="Q140" s="131">
        <f>(O140/Constants!$B$7)*602200000000000000*Constants!$B$18/(365.2425*24*60)</f>
        <v>6.1573472563685144E-2</v>
      </c>
      <c r="R140" s="132">
        <f>Q140*Input!N140/100</f>
        <v>8.6564407144806208E-6</v>
      </c>
      <c r="S140" s="133">
        <f>Input!S140*Constants!$B$17/Constants!$B$18</f>
        <v>0.90413720941855646</v>
      </c>
      <c r="T140" s="18">
        <f>S140*Input!T140/100</f>
        <v>1.0109563500749718E-3</v>
      </c>
      <c r="U140" s="18">
        <f>S140*1/((U139+U141)/2)</f>
        <v>0.90391611540289041</v>
      </c>
      <c r="V140" s="18">
        <f>U140*Input!T140/100</f>
        <v>1.0107091349434931E-3</v>
      </c>
      <c r="W140" s="134">
        <v>3.0000000000000001E-3</v>
      </c>
      <c r="X140" s="130">
        <f>(((Constants!$B$25*0.000000001*Input!G140/Input!W140*(Constants!$B$11/Constants!$B$9)-(W140*0.000000001))/Input!F140)*1000000000)</f>
        <v>16.604440415662307</v>
      </c>
      <c r="Y140" s="130">
        <f>X140*Input!X140/100</f>
        <v>5.4953505413914028E-2</v>
      </c>
      <c r="Z140" s="130">
        <f>(X140/Constants!$B$11)*6.022E+23*0.000000001*Constants!$B$19/(365.2425*24*60)</f>
        <v>4.0536807059469568E-3</v>
      </c>
      <c r="AA140" s="130">
        <f>Z140*Input!X140/100</f>
        <v>1.3415927248617819E-5</v>
      </c>
      <c r="AB140" s="135">
        <v>0.05</v>
      </c>
      <c r="AC140" s="135">
        <v>0</v>
      </c>
      <c r="AD140" s="130">
        <f>(((Input!G140*Constants!$B$25*0.000000001*Input!U140*(Constants!$B$10/Constants!$B$9))-((AB140*0.000000000000001)+(Input!G140*AC140*0.000000000000001)))/Input!F140)*1000000000000</f>
        <v>9.7726897530787935E-2</v>
      </c>
      <c r="AE140" s="130">
        <f>AD140*Input!V140/100</f>
        <v>1.4496289784529477E-3</v>
      </c>
      <c r="AF140" s="130">
        <f>(AD140/Constants!$B$10)*602200000000*Constants!$B$16/(365.2425*24*60)</f>
        <v>4.4608095647425587E-3</v>
      </c>
      <c r="AG140" s="130">
        <f>AF140*Input!V140/100</f>
        <v>6.6169283746817786E-5</v>
      </c>
      <c r="AH140" s="18">
        <f>AF140/Z140</f>
        <v>1.1004343677582507</v>
      </c>
      <c r="AI140" s="134">
        <f>AH140*SQRT((AG140/AF140)^2+(AA140/Z140)^2)</f>
        <v>1.6724613437482175E-2</v>
      </c>
      <c r="AJ140" s="133">
        <f t="shared" si="694"/>
        <v>-96.083884597109588</v>
      </c>
      <c r="AK140" s="134">
        <f>V140*1000</f>
        <v>1.0107091349434931</v>
      </c>
      <c r="AL140" s="134">
        <f>AF140/Q140</f>
        <v>7.2446938251351095E-2</v>
      </c>
      <c r="AM140" s="134">
        <f>AL140*SQRT((R140/Q140)^2+(AG140/AF140)^2)</f>
        <v>1.0746877317843336E-3</v>
      </c>
      <c r="AN140" s="18">
        <f>AL140*1/((AN139+AN141)/2)</f>
        <v>7.2553861512146572E-2</v>
      </c>
      <c r="AO140" s="130">
        <f>AN140*SQRT((R140/Q140)^2+(AG140/AF140)^2)</f>
        <v>1.0762738459720804E-3</v>
      </c>
      <c r="AP140" s="18">
        <f>ThU_Alter_Kombi(AN140,U140)</f>
        <v>9.1369000000000007</v>
      </c>
      <c r="AQ140" s="18">
        <f t="shared" si="700"/>
        <v>0.1497</v>
      </c>
      <c r="AR140" s="155">
        <f>(AQ140/AP140)</f>
        <v>1.6384112773478968E-2</v>
      </c>
      <c r="AS140" s="132">
        <f t="shared" si="701"/>
        <v>6.5834856102264722E-2</v>
      </c>
      <c r="AT140" s="132">
        <f t="shared" si="702"/>
        <v>2.1808135123160865E-4</v>
      </c>
      <c r="AU140" s="18">
        <v>0.75</v>
      </c>
      <c r="AV140" s="18">
        <f>AU140/2</f>
        <v>0.375</v>
      </c>
      <c r="AW140" s="18">
        <f t="shared" si="704"/>
        <v>2.9998999999999998</v>
      </c>
      <c r="AX140" s="136">
        <f t="shared" si="705"/>
        <v>2.8176434616999999</v>
      </c>
      <c r="AY140" s="136">
        <f t="shared" si="706"/>
        <v>3.1610379410507581</v>
      </c>
      <c r="AZ140" s="155">
        <f t="shared" si="707"/>
        <v>0.93924579542651421</v>
      </c>
      <c r="BA140" s="18" t="str">
        <f>Input!B140</f>
        <v>KMS6-15,8cm-e</v>
      </c>
      <c r="BB140" s="137">
        <f>Input!E140</f>
        <v>15.8</v>
      </c>
      <c r="BC140" s="18">
        <f>((U140-1)*EXP(Constants!$B$17*AW140*1000))*1000</f>
        <v>-96.900773915535964</v>
      </c>
      <c r="BD140" s="133">
        <f>SQRT((EXP(Constants!$B$17*AW140*1000)*V140)^2+((U140-1)*Constants!$B$17*EXP(Constants!$B$17*AW140*1000)*AY140*1000)^2)*1000</f>
        <v>1.3364853163726431</v>
      </c>
      <c r="BE140" s="18">
        <f t="shared" si="708"/>
        <v>2941.8999999999996</v>
      </c>
      <c r="BF140" s="138">
        <f t="shared" si="709"/>
        <v>1580.518970525379</v>
      </c>
      <c r="BG140" s="20">
        <f t="shared" si="710"/>
        <v>105.37144374981693</v>
      </c>
      <c r="BH140" s="18"/>
      <c r="BI140" s="18"/>
      <c r="BJ140" s="18"/>
      <c r="BK140" s="18"/>
      <c r="BL140" s="18"/>
      <c r="BM140" s="18"/>
      <c r="BN140" s="160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9">
        <f>Input!A141</f>
        <v>10815</v>
      </c>
      <c r="B141" s="139" t="str">
        <f>Input!B141</f>
        <v>Hu1-13</v>
      </c>
      <c r="C141" s="139">
        <f>Input!O141</f>
        <v>2.0463075991354045</v>
      </c>
      <c r="D141" s="139">
        <f>C141*Input!P141/100</f>
        <v>5.9619289410317862E-2</v>
      </c>
      <c r="E141" s="140">
        <f>Input!M141</f>
        <v>2.7309200279546122</v>
      </c>
      <c r="F141" s="141">
        <f>E141*Input!N141/100</f>
        <v>1.0573709150600121E-3</v>
      </c>
      <c r="G141" s="142">
        <f t="shared" ref="G141" si="747">E141*137.88</f>
        <v>376.53925345438194</v>
      </c>
      <c r="H141" s="141">
        <f>G141*Input!L141/100</f>
        <v>4.6878419729630603E-2</v>
      </c>
      <c r="I141" s="139">
        <v>0</v>
      </c>
      <c r="J141" s="143">
        <f>(((C141*Constants!$B$24*0.000000001*Input!G141*(Constants!$B$4/Constants!$B$3))-(I141*0.000000000000001))/Input!F141)*1000000000000</f>
        <v>738.79386717840271</v>
      </c>
      <c r="K141" s="139">
        <f>J141*Input!P141/100</f>
        <v>21.524801745586718</v>
      </c>
      <c r="L141" s="144">
        <f>(J141/Constants!$B$4)*602200000000*Constants!$B$17/(365.2425*24*60)</f>
        <v>10.199869630192051</v>
      </c>
      <c r="M141" s="145">
        <f>L141*Input!P141/100</f>
        <v>0.29717378740462425</v>
      </c>
      <c r="N141" s="139">
        <v>0</v>
      </c>
      <c r="O141" s="143">
        <f>(((G141*Constants!$B$23*0.000000001*Input!G141*(Constants!$B$7/Constants!$B$6))-(N141*0.000000001))/Input!F141)*1000000</f>
        <v>13.694435108840471</v>
      </c>
      <c r="P141" s="139">
        <f>O141*Input!N141/100</f>
        <v>5.30227807260611E-3</v>
      </c>
      <c r="Q141" s="146">
        <f>(O141/Constants!$B$7)*602200000000000000*Constants!$B$18/(365.2425*24*60)</f>
        <v>10.217702310177803</v>
      </c>
      <c r="R141" s="147">
        <f>Q141*Input!N141/100</f>
        <v>3.9561397371329623E-3</v>
      </c>
      <c r="S141" s="145">
        <f>Input!S141*Constants!$B$17/Constants!$B$18</f>
        <v>1.0001407893867331</v>
      </c>
      <c r="T141" s="139">
        <f>S141*Input!T141/100</f>
        <v>1.4142265482348705E-3</v>
      </c>
      <c r="U141" s="145">
        <f>S141</f>
        <v>1.0001407893867331</v>
      </c>
      <c r="V141" s="139">
        <f>U141*Input!T141/100</f>
        <v>1.4142265482348705E-3</v>
      </c>
      <c r="W141" s="148">
        <v>0</v>
      </c>
      <c r="X141" s="143">
        <f>(((Constants!$B$25*0.000000001*Input!G141/Input!W141*(Constants!$B$11/Constants!$B$9))-(W141*0.000000001))/Input!F141)*1000000000</f>
        <v>0.95986612923706061</v>
      </c>
      <c r="Y141" s="143">
        <f>X141*Input!X141/100</f>
        <v>1.4532917233594178E-2</v>
      </c>
      <c r="Z141" s="143">
        <f>(X141/Constants!$B$11)*6.022E+23*0.000000001*Constants!$B$19/(365.2425*24*60)</f>
        <v>2.3433435340043399E-4</v>
      </c>
      <c r="AA141" s="143">
        <f>Z141*Input!X141/100</f>
        <v>3.5479549274888886E-6</v>
      </c>
      <c r="AB141" s="144">
        <v>0</v>
      </c>
      <c r="AC141" s="144">
        <v>0</v>
      </c>
      <c r="AD141" s="143">
        <f>(((Input!G141*Constants!$B$25*0.000000001*Input!U141*(Constants!$B$10/Constants!$B$9))-((AB141*0.000000000000001)+(Input!G141*AC141*0.000000000000001)))/Input!F141)*1000000000000</f>
        <v>224.34230729952225</v>
      </c>
      <c r="AE141" s="143">
        <f>AD141*Input!V141/100</f>
        <v>1.2734544798635792</v>
      </c>
      <c r="AF141" s="143">
        <f>(AD141/Constants!$B$10)*602200000000*Constants!$B$16/(365.2425*24*60)</f>
        <v>10.240254581527537</v>
      </c>
      <c r="AG141" s="143">
        <f>AF141*Input!V141/100</f>
        <v>5.8127680992329511E-2</v>
      </c>
      <c r="AH141" s="139">
        <f t="shared" ref="AH141" si="748">AF141/Z141</f>
        <v>43699.331459219895</v>
      </c>
      <c r="AI141" s="148">
        <f t="shared" ref="AI141" si="749">AH141*SQRT((AG141/AF141)^2+(AA141/Z141)^2)</f>
        <v>706.60368865935925</v>
      </c>
      <c r="AJ141" s="145">
        <f t="shared" si="694"/>
        <v>0.14078938673312003</v>
      </c>
      <c r="AK141" s="148">
        <f t="shared" ref="AK141" si="750">V141*1000</f>
        <v>1.4142265482348704</v>
      </c>
      <c r="AL141" s="148">
        <f t="shared" ref="AL141" si="751">AF141/Q141</f>
        <v>1.0022071763949583</v>
      </c>
      <c r="AM141" s="148">
        <f t="shared" ref="AM141" si="752">AL141*SQRT((R141/Q141)^2+(AG141/AF141)^2)</f>
        <v>5.7021376878876803E-3</v>
      </c>
      <c r="AN141" s="139">
        <f>AF141/Q141</f>
        <v>1.0022071763949583</v>
      </c>
      <c r="AO141" s="143">
        <f t="shared" ref="AO141" si="753">AN141*SQRT((R141/Q141)^2+(AG141/AF141)^2)</f>
        <v>5.7021376878876803E-3</v>
      </c>
      <c r="AP141" s="139" t="str">
        <f t="shared" ref="AP141" si="754">ThU_Alter_Kombi(AN141,U141)</f>
        <v>Out of range</v>
      </c>
      <c r="AQ141" s="139" t="e">
        <f t="shared" si="700"/>
        <v>#VALUE!</v>
      </c>
      <c r="AR141" s="139" t="e">
        <f>(AQ141/AP141)*100</f>
        <v>#VALUE!</v>
      </c>
      <c r="AS141" s="147">
        <f t="shared" si="701"/>
        <v>2.2934153519721818E-5</v>
      </c>
      <c r="AT141" s="147">
        <f t="shared" si="702"/>
        <v>3.4734960404288209E-7</v>
      </c>
      <c r="AU141" s="139">
        <v>0.75</v>
      </c>
      <c r="AV141" s="139">
        <f t="shared" ref="AV141" si="755">AU141/2</f>
        <v>0.375</v>
      </c>
      <c r="AW141" s="139" t="str">
        <f t="shared" si="704"/>
        <v>Out of range</v>
      </c>
      <c r="AX141" s="149">
        <f t="shared" si="705"/>
        <v>317.5141916179</v>
      </c>
      <c r="AY141" s="149" t="e">
        <f t="shared" si="706"/>
        <v>#VALUE!</v>
      </c>
      <c r="AZ141" s="150" t="e">
        <f t="shared" si="707"/>
        <v>#VALUE!</v>
      </c>
      <c r="BA141" s="139" t="str">
        <f>Input!B141</f>
        <v>Hu1-13</v>
      </c>
      <c r="BB141" s="151">
        <f>Input!E141</f>
        <v>0</v>
      </c>
      <c r="BC141" s="139" t="e">
        <f>((U141-1)*EXP(Constants!$B$17*AW141*1000))*1000</f>
        <v>#VALUE!</v>
      </c>
      <c r="BD141" s="145" t="e">
        <f>SQRT((EXP(Constants!$B$17*AW141*1000)*V141)^2+((U141-1)*Constants!$B$17*EXP(Constants!$B$17*AW141*1000)*AY141*1000)^2)*1000</f>
        <v>#VALUE!</v>
      </c>
      <c r="BE141" s="139" t="e">
        <f t="shared" si="708"/>
        <v>#VALUE!</v>
      </c>
      <c r="BF141" s="152" t="e">
        <f t="shared" si="709"/>
        <v>#VALUE!</v>
      </c>
      <c r="BG141" s="161" t="e">
        <f t="shared" si="710"/>
        <v>#VALUE!</v>
      </c>
      <c r="BH141" s="139"/>
      <c r="BI141" s="18"/>
      <c r="BJ141" s="18"/>
      <c r="BK141" s="18"/>
      <c r="BL141" s="18"/>
      <c r="BM141" s="18"/>
      <c r="BN141" s="160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11032</v>
      </c>
      <c r="B142" s="18" t="str">
        <f>Input!B142</f>
        <v>KMS6-0,7cm-a</v>
      </c>
      <c r="C142" s="18">
        <f>Input!O142</f>
        <v>0.55656388835923876</v>
      </c>
      <c r="D142" s="18">
        <f>C142*Input!P142/100</f>
        <v>4.8635721781268579E-3</v>
      </c>
      <c r="E142" s="153">
        <f>Input!M142</f>
        <v>0.82209273956545714</v>
      </c>
      <c r="F142" s="154">
        <f>E142*Input!N142/100</f>
        <v>9.8210870437822524E-5</v>
      </c>
      <c r="G142" s="21">
        <f>E142*137.88</f>
        <v>113.35014693128522</v>
      </c>
      <c r="H142" s="154">
        <f>G142*Input!L142/100</f>
        <v>1.5913528277312194E-2</v>
      </c>
      <c r="I142" s="18">
        <v>0.3</v>
      </c>
      <c r="J142" s="130">
        <f>(((C142*Constants!$B$24*0.000000001*Input!G142*(Constants!$B$4/Constants!$B$3))-(I142*0.000000000000001))/Input!F142)*1000000000000</f>
        <v>3.9645419979087784</v>
      </c>
      <c r="K142" s="18">
        <f>J142*Input!P142/100</f>
        <v>3.464442548884699E-2</v>
      </c>
      <c r="L142" s="135">
        <f>(J142/Constants!$B$4)*602200000000*Constants!$B$17/(365.2425*24*60)</f>
        <v>5.4734904170943538E-2</v>
      </c>
      <c r="M142" s="133">
        <f>L142*Input!P142/100</f>
        <v>4.7830476009326549E-4</v>
      </c>
      <c r="N142" s="18">
        <v>5.0000000000000001E-3</v>
      </c>
      <c r="O142" s="130">
        <f>(((G142*Constants!$B$23*0.000000001*Input!G142*(Constants!$B$7/Constants!$B$6))-(N142*0.000000001))/Input!F142)*1000000</f>
        <v>8.1340675974479262E-2</v>
      </c>
      <c r="P142" s="18">
        <f>O142*Input!N142/100</f>
        <v>9.7173204493657006E-6</v>
      </c>
      <c r="Q142" s="131">
        <f>(O142/Constants!$B$7)*602200000000000000*Constants!$B$18/(365.2425*24*60)</f>
        <v>6.0689966852253217E-2</v>
      </c>
      <c r="R142" s="132">
        <f>Q142*Input!N142/100</f>
        <v>7.2502945039424003E-6</v>
      </c>
      <c r="S142" s="133">
        <f>Input!S142*Constants!$B$17/Constants!$B$18</f>
        <v>0.89731383737964643</v>
      </c>
      <c r="T142" s="18">
        <f>S142*Input!T142/100</f>
        <v>1.0750287255316903E-3</v>
      </c>
      <c r="U142" s="18">
        <f>S142*1/((U141+U143)/2)</f>
        <v>0.89937351337403115</v>
      </c>
      <c r="V142" s="18">
        <f>U142*Input!T142/100</f>
        <v>1.0774963246781802E-3</v>
      </c>
      <c r="W142" s="134">
        <v>3.0000000000000001E-3</v>
      </c>
      <c r="X142" s="130">
        <f>(((Constants!$B$25*0.000000001*Input!G142/Input!W142*(Constants!$B$11/Constants!$B$9)-(W142*0.000000001))/Input!F142)*1000000000)</f>
        <v>68.038864597534555</v>
      </c>
      <c r="Y142" s="130">
        <f>X142*Input!X142/100</f>
        <v>0.14314264847659058</v>
      </c>
      <c r="Z142" s="130">
        <f>(X142/Constants!$B$11)*6.022E+23*0.000000001*Constants!$B$19/(365.2425*24*60)</f>
        <v>1.6610486458393667E-2</v>
      </c>
      <c r="AA142" s="130">
        <f>Z142*Input!X142/100</f>
        <v>3.4945748113280097E-5</v>
      </c>
      <c r="AB142" s="135">
        <v>0.05</v>
      </c>
      <c r="AC142" s="135">
        <v>0</v>
      </c>
      <c r="AD142" s="130">
        <f>(((Input!G142*Constants!$B$25*0.000000001*Input!U142*(Constants!$B$10/Constants!$B$9))-((AB142*0.000000000000001)+(Input!G142*AC142*0.000000000000001)))/Input!F142)*1000000000000</f>
        <v>0.14911091602188378</v>
      </c>
      <c r="AE142" s="130">
        <f>AD142*Input!V142/100</f>
        <v>1.2656676825730376E-3</v>
      </c>
      <c r="AF142" s="130">
        <f>(AD142/Constants!$B$10)*602200000000*Constants!$B$16/(365.2425*24*60)</f>
        <v>6.8062674371545734E-3</v>
      </c>
      <c r="AG142" s="130">
        <f>AF142*Input!V142/100</f>
        <v>5.7772247424806116E-5</v>
      </c>
      <c r="AH142" s="18">
        <f>AF142/Z142</f>
        <v>0.40975726112555888</v>
      </c>
      <c r="AI142" s="134">
        <f>AH142*SQRT((AG142/AF142)^2+(AA142/Z142)^2)</f>
        <v>3.5833007019536755E-3</v>
      </c>
      <c r="AJ142" s="133">
        <f t="shared" si="694"/>
        <v>-100.62648662596885</v>
      </c>
      <c r="AK142" s="134">
        <f>V142*1000</f>
        <v>1.0774963246781801</v>
      </c>
      <c r="AL142" s="134">
        <f>AF142/Q142</f>
        <v>0.11214814886493679</v>
      </c>
      <c r="AM142" s="134">
        <f>AL142*SQRT((R142/Q142)^2+(AG142/AF142)^2)</f>
        <v>9.520184656070875E-4</v>
      </c>
      <c r="AN142" s="18">
        <f>AL142*1/((AN141+AN143)/2)</f>
        <v>0.11185015019152378</v>
      </c>
      <c r="AO142" s="130">
        <f>AN142*SQRT((R142/Q142)^2+(AG142/AF142)^2)</f>
        <v>9.4948877392080501E-4</v>
      </c>
      <c r="AP142" s="18">
        <f>ThU_Alter_Kombi(AN142,U142)</f>
        <v>14.517099999999999</v>
      </c>
      <c r="AQ142" s="18">
        <f t="shared" si="700"/>
        <v>0.13370000000000001</v>
      </c>
      <c r="AR142" s="155">
        <f>(AQ142/AP142)</f>
        <v>9.2098284092552926E-3</v>
      </c>
      <c r="AS142" s="132">
        <f t="shared" si="701"/>
        <v>0.27369410991492371</v>
      </c>
      <c r="AT142" s="132">
        <f t="shared" si="702"/>
        <v>5.767352450083375E-4</v>
      </c>
      <c r="AU142" s="18">
        <v>0.75</v>
      </c>
      <c r="AV142" s="18">
        <f>AU142/2</f>
        <v>0.375</v>
      </c>
      <c r="AW142" s="18" t="str">
        <f t="shared" si="704"/>
        <v>Out of range</v>
      </c>
      <c r="AX142" s="136">
        <f t="shared" si="705"/>
        <v>3.0425756868999998</v>
      </c>
      <c r="AY142" s="136" t="e">
        <f t="shared" si="706"/>
        <v>#VALUE!</v>
      </c>
      <c r="AZ142" s="155" t="e">
        <f t="shared" si="707"/>
        <v>#VALUE!</v>
      </c>
      <c r="BA142" s="18" t="str">
        <f>Input!B142</f>
        <v>KMS6-0,7cm-a</v>
      </c>
      <c r="BB142" s="137">
        <f>Input!E142</f>
        <v>0.7</v>
      </c>
      <c r="BC142" s="18" t="e">
        <f>((U142-1)*EXP(Constants!$B$17*AW142*1000))*1000</f>
        <v>#VALUE!</v>
      </c>
      <c r="BD142" s="133" t="e">
        <f>SQRT((EXP(Constants!$B$17*AW142*1000)*V142)^2+((U142-1)*Constants!$B$17*EXP(Constants!$B$17*AW142*1000)*AY142*1000)^2)*1000</f>
        <v>#VALUE!</v>
      </c>
      <c r="BE142" s="18" t="e">
        <f t="shared" si="708"/>
        <v>#VALUE!</v>
      </c>
      <c r="BF142" s="138" t="e">
        <f t="shared" si="709"/>
        <v>#VALUE!</v>
      </c>
      <c r="BG142" s="20" t="e">
        <f t="shared" si="710"/>
        <v>#VALUE!</v>
      </c>
      <c r="BH142" s="18"/>
      <c r="BI142" s="18"/>
      <c r="BJ142" s="18"/>
      <c r="BK142" s="18"/>
      <c r="BL142" s="18"/>
      <c r="BM142" s="18"/>
      <c r="BN142" s="160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9">
        <f>Input!A143</f>
        <v>10815</v>
      </c>
      <c r="B143" s="139" t="str">
        <f>Input!B143</f>
        <v>Hu1-13</v>
      </c>
      <c r="C143" s="139">
        <f>Input!O143</f>
        <v>2.0814004934958894</v>
      </c>
      <c r="D143" s="139">
        <f>C143*Input!P143/100</f>
        <v>6.1807227608445613E-2</v>
      </c>
      <c r="E143" s="140">
        <f>Input!M143</f>
        <v>2.7326859093918561</v>
      </c>
      <c r="F143" s="141">
        <f>E143*Input!N143/100</f>
        <v>1.2865250497644956E-3</v>
      </c>
      <c r="G143" s="142">
        <f t="shared" ref="G143" si="756">E143*137.88</f>
        <v>376.78273318694909</v>
      </c>
      <c r="H143" s="141">
        <f>G143*Input!L143/100</f>
        <v>5.1202313266761668E-2</v>
      </c>
      <c r="I143" s="139">
        <v>0</v>
      </c>
      <c r="J143" s="143">
        <f>(((C143*Constants!$B$24*0.000000001*Input!G143*(Constants!$B$4/Constants!$B$3))-(I143*0.000000000000001))/Input!F143)*1000000000000</f>
        <v>751.46371952416951</v>
      </c>
      <c r="K143" s="139">
        <f>J143*Input!P143/100</f>
        <v>22.314729576194946</v>
      </c>
      <c r="L143" s="144">
        <f>(J143/Constants!$B$4)*602200000000*Constants!$B$17/(365.2425*24*60)</f>
        <v>10.374791009350437</v>
      </c>
      <c r="M143" s="145">
        <f>L143*Input!P143/100</f>
        <v>0.30807961817476331</v>
      </c>
      <c r="N143" s="139">
        <v>0</v>
      </c>
      <c r="O143" s="143">
        <f>(((G143*Constants!$B$23*0.000000001*Input!G143*(Constants!$B$7/Constants!$B$6))-(N143*0.000000001))/Input!F143)*1000000</f>
        <v>13.703290274317558</v>
      </c>
      <c r="P143" s="139">
        <f>O143*Input!N143/100</f>
        <v>6.4513913368211048E-3</v>
      </c>
      <c r="Q143" s="146">
        <f>(O143/Constants!$B$7)*602200000000000000*Constants!$B$18/(365.2425*24*60)</f>
        <v>10.224309332959912</v>
      </c>
      <c r="R143" s="147">
        <f>Q143*Input!N143/100</f>
        <v>4.8135169973929273E-3</v>
      </c>
      <c r="S143" s="145">
        <f>Input!S143*Constants!$B$17/Constants!$B$18</f>
        <v>0.99527896455585785</v>
      </c>
      <c r="T143" s="139">
        <f>S143*Input!T143/100</f>
        <v>1.0879013536455543E-3</v>
      </c>
      <c r="U143" s="145">
        <f>S143</f>
        <v>0.99527896455585785</v>
      </c>
      <c r="V143" s="139">
        <f>U143*Input!T143/100</f>
        <v>1.0879013536455543E-3</v>
      </c>
      <c r="W143" s="148">
        <v>0</v>
      </c>
      <c r="X143" s="143">
        <f>(((Constants!$B$25*0.000000001*Input!G143/Input!W143*(Constants!$B$11/Constants!$B$9))-(W143*0.000000001))/Input!F143)*1000000000</f>
        <v>0.9638172448341078</v>
      </c>
      <c r="Y143" s="143">
        <f>X143*Input!X143/100</f>
        <v>1.3414241945858853E-2</v>
      </c>
      <c r="Z143" s="143">
        <f>(X143/Constants!$B$11)*6.022E+23*0.000000001*Constants!$B$19/(365.2425*24*60)</f>
        <v>2.3529894845222561E-4</v>
      </c>
      <c r="AA143" s="143">
        <f>Z143*Input!X143/100</f>
        <v>3.2748501244004997E-6</v>
      </c>
      <c r="AB143" s="144">
        <v>0</v>
      </c>
      <c r="AC143" s="144">
        <v>0</v>
      </c>
      <c r="AD143" s="143">
        <f>(((Input!G143*Constants!$B$25*0.000000001*Input!U143*(Constants!$B$10/Constants!$B$9))-((AB143*0.000000000000001)+(Input!G143*AC143*0.000000000000001)))/Input!F143)*1000000000000</f>
        <v>224.69214287789987</v>
      </c>
      <c r="AE143" s="143">
        <f>AD143*Input!V143/100</f>
        <v>0.9326011779448935</v>
      </c>
      <c r="AF143" s="143">
        <f>(AD143/Constants!$B$10)*602200000000*Constants!$B$16/(365.2425*24*60)</f>
        <v>10.256223060355206</v>
      </c>
      <c r="AG143" s="143">
        <f>AF143*Input!V143/100</f>
        <v>4.2569204177960736E-2</v>
      </c>
      <c r="AH143" s="139">
        <f t="shared" ref="AH143" si="757">AF143/Z143</f>
        <v>43588.053103593018</v>
      </c>
      <c r="AI143" s="148">
        <f t="shared" ref="AI143" si="758">AH143*SQRT((AG143/AF143)^2+(AA143/Z143)^2)</f>
        <v>633.0527723244162</v>
      </c>
      <c r="AJ143" s="145">
        <f t="shared" si="694"/>
        <v>-4.721035444142152</v>
      </c>
      <c r="AK143" s="148">
        <f t="shared" ref="AK143" si="759">V143*1000</f>
        <v>1.0879013536455544</v>
      </c>
      <c r="AL143" s="148">
        <f t="shared" ref="AL143" si="760">AF143/Q143</f>
        <v>1.0031213577715625</v>
      </c>
      <c r="AM143" s="148">
        <f t="shared" ref="AM143" si="761">AL143*SQRT((R143/Q143)^2+(AG143/AF143)^2)</f>
        <v>4.1902268028164626E-3</v>
      </c>
      <c r="AN143" s="139">
        <f>AF143/Q143</f>
        <v>1.0031213577715625</v>
      </c>
      <c r="AO143" s="143">
        <f t="shared" ref="AO143" si="762">AN143*SQRT((R143/Q143)^2+(AG143/AF143)^2)</f>
        <v>4.1902268028164626E-3</v>
      </c>
      <c r="AP143" s="139" t="str">
        <f t="shared" ref="AP143" si="763">ThU_Alter_Kombi(AN143,U143)</f>
        <v>Out of range</v>
      </c>
      <c r="AQ143" s="139" t="e">
        <f t="shared" si="700"/>
        <v>#VALUE!</v>
      </c>
      <c r="AR143" s="139" t="e">
        <f>(AQ143/AP143)*100</f>
        <v>#VALUE!</v>
      </c>
      <c r="AS143" s="147">
        <f t="shared" si="701"/>
        <v>2.3013676600501203E-5</v>
      </c>
      <c r="AT143" s="147">
        <f t="shared" si="702"/>
        <v>3.2048357268523743E-7</v>
      </c>
      <c r="AU143" s="139">
        <v>0.75</v>
      </c>
      <c r="AV143" s="139">
        <f t="shared" ref="AV143" si="764">AU143/2</f>
        <v>0.375</v>
      </c>
      <c r="AW143" s="139" t="str">
        <f t="shared" si="704"/>
        <v>Out of range</v>
      </c>
      <c r="AX143" s="149">
        <f t="shared" si="705"/>
        <v>0</v>
      </c>
      <c r="AY143" s="149" t="e">
        <f t="shared" si="706"/>
        <v>#VALUE!</v>
      </c>
      <c r="AZ143" s="150" t="e">
        <f t="shared" si="707"/>
        <v>#VALUE!</v>
      </c>
      <c r="BA143" s="139" t="str">
        <f>Input!B143</f>
        <v>Hu1-13</v>
      </c>
      <c r="BB143" s="151">
        <f>Input!E143</f>
        <v>0</v>
      </c>
      <c r="BC143" s="139" t="e">
        <f>((U143-1)*EXP(Constants!$B$17*AW143*1000))*1000</f>
        <v>#VALUE!</v>
      </c>
      <c r="BD143" s="145" t="e">
        <f>SQRT((EXP(Constants!$B$17*AW143*1000)*V143)^2+((U143-1)*Constants!$B$17*EXP(Constants!$B$17*AW143*1000)*AY143*1000)^2)*1000</f>
        <v>#VALUE!</v>
      </c>
      <c r="BE143" s="139" t="e">
        <f t="shared" si="708"/>
        <v>#VALUE!</v>
      </c>
      <c r="BF143" s="152" t="e">
        <f t="shared" si="709"/>
        <v>#VALUE!</v>
      </c>
      <c r="BG143" s="161" t="e">
        <f t="shared" si="710"/>
        <v>#VALUE!</v>
      </c>
      <c r="BH143" s="139"/>
      <c r="BI143" s="18"/>
      <c r="BJ143" s="18"/>
      <c r="BK143" s="18"/>
      <c r="BL143" s="18"/>
      <c r="BM143" s="18"/>
      <c r="BN143" s="160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11033</v>
      </c>
      <c r="B144" s="18" t="str">
        <f>Input!B144</f>
        <v>KMS6-0,7cm-b</v>
      </c>
      <c r="C144" s="18">
        <f>Input!O144</f>
        <v>0.70082239963835058</v>
      </c>
      <c r="D144" s="18">
        <f>C144*Input!P144/100</f>
        <v>5.905178003118159E-3</v>
      </c>
      <c r="E144" s="153">
        <f>Input!M144</f>
        <v>1.0386800701718042</v>
      </c>
      <c r="F144" s="154">
        <f>E144*Input!N144/100</f>
        <v>1.1055659212535469E-4</v>
      </c>
      <c r="G144" s="21">
        <f>E144*137.88</f>
        <v>143.21320807528835</v>
      </c>
      <c r="H144" s="154">
        <f>G144*Input!L144/100</f>
        <v>1.1361832836602867E-2</v>
      </c>
      <c r="I144" s="18">
        <v>0.3</v>
      </c>
      <c r="J144" s="130">
        <f>(((C144*Constants!$B$24*0.000000001*Input!G144*(Constants!$B$4/Constants!$B$3))-(I144*0.000000000000001))/Input!F144)*1000000000000</f>
        <v>4.301377233044442</v>
      </c>
      <c r="K144" s="18">
        <f>J144*Input!P144/100</f>
        <v>3.6243702017508012E-2</v>
      </c>
      <c r="L144" s="135">
        <f>(J144/Constants!$B$4)*602200000000*Constants!$B$17/(365.2425*24*60)</f>
        <v>5.9385288585151477E-2</v>
      </c>
      <c r="M144" s="133">
        <f>L144*Input!P144/100</f>
        <v>5.0038454827189337E-4</v>
      </c>
      <c r="N144" s="18">
        <v>5.0000000000000001E-3</v>
      </c>
      <c r="O144" s="130">
        <f>(((G144*Constants!$B$23*0.000000001*Input!G144*(Constants!$B$7/Constants!$B$6))-(N144*0.000000001))/Input!F144)*1000000</f>
        <v>8.8548727993711315E-2</v>
      </c>
      <c r="P144" s="18">
        <f>O144*Input!N144/100</f>
        <v>9.4250827421772425E-6</v>
      </c>
      <c r="Q144" s="131">
        <f>(O144/Constants!$B$7)*602200000000000000*Constants!$B$18/(365.2425*24*60)</f>
        <v>6.6068044091908348E-2</v>
      </c>
      <c r="R144" s="132">
        <f>Q144*Input!N144/100</f>
        <v>7.0322498842024488E-6</v>
      </c>
      <c r="S144" s="133">
        <f>Input!S144*Constants!$B$17/Constants!$B$18</f>
        <v>0.89289525907173151</v>
      </c>
      <c r="T144" s="18">
        <f>S144*Input!T144/100</f>
        <v>8.6865801590940174E-4</v>
      </c>
      <c r="U144" s="18">
        <f>S144*1/((U143+U145)/2)</f>
        <v>0.89547095661540166</v>
      </c>
      <c r="V144" s="18">
        <f>U144*Input!T144/100</f>
        <v>8.71163797293204E-4</v>
      </c>
      <c r="W144" s="134">
        <v>3.0000000000000001E-3</v>
      </c>
      <c r="X144" s="130">
        <f>(((Constants!$B$25*0.000000001*Input!G144/Input!W144*(Constants!$B$11/Constants!$B$9)-(W144*0.000000001))/Input!F144)*1000000000)</f>
        <v>4.3939389580135177</v>
      </c>
      <c r="Y144" s="130">
        <f>X144*Input!X144/100</f>
        <v>1.1474899831523236E-2</v>
      </c>
      <c r="Z144" s="130">
        <f>(X144/Constants!$B$11)*6.022E+23*0.000000001*Constants!$B$19/(365.2425*24*60)</f>
        <v>1.0727025501206938E-3</v>
      </c>
      <c r="AA144" s="130">
        <f>Z144*Input!X144/100</f>
        <v>2.8013940178220897E-6</v>
      </c>
      <c r="AB144" s="135">
        <v>0.05</v>
      </c>
      <c r="AC144" s="135">
        <v>0</v>
      </c>
      <c r="AD144" s="130">
        <f>(((Input!G144*Constants!$B$25*0.000000001*Input!U144*(Constants!$B$10/Constants!$B$9))-((AB144*0.000000000000001)+(Input!G144*AC144*0.000000000000001)))/Input!F144)*1000000000000</f>
        <v>2.3535269279719193E-2</v>
      </c>
      <c r="AE144" s="130">
        <f>AD144*Input!V144/100</f>
        <v>3.6854157727134255E-4</v>
      </c>
      <c r="AF144" s="130">
        <f>(AD144/Constants!$B$10)*602200000000*Constants!$B$16/(365.2425*24*60)</f>
        <v>1.0742830987619158E-3</v>
      </c>
      <c r="AG144" s="130">
        <f>AF144*Input!V144/100</f>
        <v>1.6822326651466539E-5</v>
      </c>
      <c r="AH144" s="18">
        <f>AF144/Z144</f>
        <v>1.0014734267584655</v>
      </c>
      <c r="AI144" s="134">
        <f>AH144*SQRT((AG144/AF144)^2+(AA144/Z144)^2)</f>
        <v>1.5898783689065953E-2</v>
      </c>
      <c r="AJ144" s="133">
        <f t="shared" si="694"/>
        <v>-104.52904338459834</v>
      </c>
      <c r="AK144" s="134">
        <f>V144*1000</f>
        <v>0.87116379729320403</v>
      </c>
      <c r="AL144" s="134">
        <f>AF144/Q144</f>
        <v>1.6260252797365437E-2</v>
      </c>
      <c r="AM144" s="134">
        <f>AL144*SQRT((R144/Q144)^2+(AG144/AF144)^2)</f>
        <v>2.5462711209278389E-4</v>
      </c>
      <c r="AN144" s="18">
        <f>AL144*1/((AN143+AN145)/2)</f>
        <v>1.6239437608623591E-2</v>
      </c>
      <c r="AO144" s="130">
        <f>AN144*SQRT((R144/Q144)^2+(AG144/AF144)^2)</f>
        <v>2.5430115704995325E-4</v>
      </c>
      <c r="AP144" s="18">
        <f>ThU_Alter_Kombi(AN144,U144)</f>
        <v>1.9964</v>
      </c>
      <c r="AQ144" s="18">
        <f t="shared" si="700"/>
        <v>3.1800000000000002E-2</v>
      </c>
      <c r="AR144" s="155">
        <f>(AQ144/AP144)</f>
        <v>1.5928671608896015E-2</v>
      </c>
      <c r="AS144" s="132">
        <f t="shared" si="701"/>
        <v>1.6236329754645673E-2</v>
      </c>
      <c r="AT144" s="132">
        <f t="shared" si="702"/>
        <v>4.2436852741315784E-5</v>
      </c>
      <c r="AU144" s="18">
        <v>0.75</v>
      </c>
      <c r="AV144" s="18">
        <f>AU144/2</f>
        <v>0.375</v>
      </c>
      <c r="AW144" s="18">
        <f t="shared" si="704"/>
        <v>0.50270000000000004</v>
      </c>
      <c r="AX144" s="136">
        <f t="shared" si="705"/>
        <v>0.58238479440000002</v>
      </c>
      <c r="AY144" s="136">
        <f t="shared" si="706"/>
        <v>0.75350935186097656</v>
      </c>
      <c r="AZ144" s="155">
        <f t="shared" si="707"/>
        <v>1.1585136152775015</v>
      </c>
      <c r="BA144" s="18" t="str">
        <f>Input!B144</f>
        <v>KMS6-0,7cm-b</v>
      </c>
      <c r="BB144" s="137">
        <f>Input!E144</f>
        <v>0.7</v>
      </c>
      <c r="BC144" s="18">
        <f>((U144-1)*EXP(Constants!$B$17*AW144*1000))*1000</f>
        <v>-104.6774387018001</v>
      </c>
      <c r="BD144" s="133">
        <f>SQRT((EXP(Constants!$B$17*AW144*1000)*V144)^2+((U144-1)*Constants!$B$17*EXP(Constants!$B$17*AW144*1000)*AY144*1000)^2)*1000</f>
        <v>0.90034968748188804</v>
      </c>
      <c r="BE144" s="18">
        <f t="shared" si="708"/>
        <v>444.70000000000005</v>
      </c>
      <c r="BF144" s="138">
        <f t="shared" si="709"/>
        <v>376.7546759304883</v>
      </c>
      <c r="BG144" s="20">
        <f t="shared" si="710"/>
        <v>149.89245113606057</v>
      </c>
      <c r="BH144" s="18"/>
      <c r="BI144" s="18"/>
      <c r="BJ144" s="18"/>
      <c r="BK144" s="18"/>
      <c r="BL144" s="18"/>
      <c r="BM144" s="18"/>
      <c r="BN144" s="160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9">
        <f>Input!A145</f>
        <v>10815</v>
      </c>
      <c r="B145" s="139" t="str">
        <f>Input!B145</f>
        <v>Hu1-13</v>
      </c>
      <c r="C145" s="139">
        <f>Input!O145</f>
        <v>2.1003576924973575</v>
      </c>
      <c r="D145" s="139">
        <f>C145*Input!P145/100</f>
        <v>3.818730513354282E-2</v>
      </c>
      <c r="E145" s="140">
        <f>Input!M145</f>
        <v>2.7308814421781755</v>
      </c>
      <c r="F145" s="141">
        <f>E145*Input!N145/100</f>
        <v>1.0221365257814864E-3</v>
      </c>
      <c r="G145" s="142">
        <f t="shared" ref="G145" si="765">E145*137.88</f>
        <v>376.53393324752682</v>
      </c>
      <c r="H145" s="141">
        <f>G145*Input!L145/100</f>
        <v>4.7308083973119898E-2</v>
      </c>
      <c r="I145" s="139">
        <v>0</v>
      </c>
      <c r="J145" s="143">
        <f>(((C145*Constants!$B$24*0.000000001*Input!G145*(Constants!$B$4/Constants!$B$3))-(I145*0.000000000000001))/Input!F145)*1000000000000</f>
        <v>758.30798006793248</v>
      </c>
      <c r="K145" s="139">
        <f>J145*Input!P145/100</f>
        <v>13.78705080734294</v>
      </c>
      <c r="L145" s="144">
        <f>(J145/Constants!$B$4)*602200000000*Constants!$B$17/(365.2425*24*60)</f>
        <v>10.469283625441133</v>
      </c>
      <c r="M145" s="145">
        <f>L145*Input!P145/100</f>
        <v>0.19034554436247622</v>
      </c>
      <c r="N145" s="139">
        <v>0</v>
      </c>
      <c r="O145" s="143">
        <f>(((G145*Constants!$B$23*0.000000001*Input!G145*(Constants!$B$7/Constants!$B$6))-(N145*0.000000001))/Input!F145)*1000000</f>
        <v>13.694241617121149</v>
      </c>
      <c r="P145" s="139">
        <f>O145*Input!N145/100</f>
        <v>5.1255921745808255E-3</v>
      </c>
      <c r="Q145" s="146">
        <f>(O145/Constants!$B$7)*602200000000000000*Constants!$B$18/(365.2425*24*60)</f>
        <v>10.217557941989424</v>
      </c>
      <c r="R145" s="147">
        <f>Q145*Input!N145/100</f>
        <v>3.824310720888009E-3</v>
      </c>
      <c r="S145" s="145">
        <f>Input!S145*Constants!$B$17/Constants!$B$18</f>
        <v>0.99896831387424234</v>
      </c>
      <c r="T145" s="139">
        <f>S145*Input!T145/100</f>
        <v>1.3130489559414445E-3</v>
      </c>
      <c r="U145" s="145">
        <f>S145</f>
        <v>0.99896831387424234</v>
      </c>
      <c r="V145" s="139">
        <f>U145*Input!T145/100</f>
        <v>1.3130489559414445E-3</v>
      </c>
      <c r="W145" s="148">
        <v>0</v>
      </c>
      <c r="X145" s="143">
        <f>(((Constants!$B$25*0.000000001*Input!G145/Input!W145*(Constants!$B$11/Constants!$B$9))-(W145*0.000000001))/Input!F145)*1000000000</f>
        <v>0.94752912475368445</v>
      </c>
      <c r="Y145" s="143">
        <f>X145*Input!X145/100</f>
        <v>1.7729912584256366E-2</v>
      </c>
      <c r="Z145" s="143">
        <f>(X145/Constants!$B$11)*6.022E+23*0.000000001*Constants!$B$19/(365.2425*24*60)</f>
        <v>2.3132249176634545E-4</v>
      </c>
      <c r="AA145" s="143">
        <f>Z145*Input!X145/100</f>
        <v>4.3284448473874944E-6</v>
      </c>
      <c r="AB145" s="144">
        <v>0</v>
      </c>
      <c r="AC145" s="144">
        <v>0</v>
      </c>
      <c r="AD145" s="143">
        <f>(((Input!G145*Constants!$B$25*0.000000001*Input!U145*(Constants!$B$10/Constants!$B$9))-((AB145*0.000000000000001)+(Input!G145*AC145*0.000000000000001)))/Input!F145)*1000000000000</f>
        <v>223.72020622855439</v>
      </c>
      <c r="AE145" s="143">
        <f>AD145*Input!V145/100</f>
        <v>1.147663369391144</v>
      </c>
      <c r="AF145" s="143">
        <f>(AD145/Constants!$B$10)*602200000000*Constants!$B$16/(365.2425*24*60)</f>
        <v>10.211858362290805</v>
      </c>
      <c r="AG145" s="143">
        <f>AF145*Input!V145/100</f>
        <v>5.2385861667938821E-2</v>
      </c>
      <c r="AH145" s="139">
        <f t="shared" ref="AH145" si="766">AF145/Z145</f>
        <v>44145.548858282287</v>
      </c>
      <c r="AI145" s="148">
        <f t="shared" ref="AI145" si="767">AH145*SQRT((AG145/AF145)^2+(AA145/Z145)^2)</f>
        <v>856.52023803912311</v>
      </c>
      <c r="AJ145" s="145">
        <f t="shared" si="694"/>
        <v>-1.0316861257576582</v>
      </c>
      <c r="AK145" s="148">
        <f t="shared" ref="AK145" si="768">V145*1000</f>
        <v>1.3130489559414444</v>
      </c>
      <c r="AL145" s="148">
        <f t="shared" ref="AL145" si="769">AF145/Q145</f>
        <v>0.99944217789309542</v>
      </c>
      <c r="AM145" s="148">
        <f t="shared" ref="AM145" si="770">AL145*SQRT((R145/Q145)^2+(AG145/AF145)^2)</f>
        <v>5.1406719442396286E-3</v>
      </c>
      <c r="AN145" s="139">
        <f>AF145/Q145</f>
        <v>0.99944217789309542</v>
      </c>
      <c r="AO145" s="143">
        <f t="shared" ref="AO145" si="771">AN145*SQRT((R145/Q145)^2+(AG145/AF145)^2)</f>
        <v>5.1406719442396286E-3</v>
      </c>
      <c r="AP145" s="139" t="str">
        <f t="shared" ref="AP145" si="772">ThU_Alter_Kombi(AN145,U145)</f>
        <v>Out of range</v>
      </c>
      <c r="AQ145" s="139" t="e">
        <f t="shared" si="700"/>
        <v>#VALUE!</v>
      </c>
      <c r="AR145" s="139" t="e">
        <f>(AQ145/AP145)*100</f>
        <v>#VALUE!</v>
      </c>
      <c r="AS145" s="147">
        <f t="shared" si="701"/>
        <v>2.2639704426408712E-5</v>
      </c>
      <c r="AT145" s="147">
        <f t="shared" si="702"/>
        <v>4.237128599320476E-7</v>
      </c>
      <c r="AU145" s="139">
        <v>0.75</v>
      </c>
      <c r="AV145" s="139">
        <f t="shared" ref="AV145" si="773">AU145/2</f>
        <v>0.375</v>
      </c>
      <c r="AW145" s="139" t="str">
        <f t="shared" si="704"/>
        <v>Out of range</v>
      </c>
      <c r="AX145" s="149">
        <f t="shared" si="705"/>
        <v>321.52022058580002</v>
      </c>
      <c r="AY145" s="149" t="e">
        <f t="shared" si="706"/>
        <v>#VALUE!</v>
      </c>
      <c r="AZ145" s="150" t="e">
        <f t="shared" si="707"/>
        <v>#VALUE!</v>
      </c>
      <c r="BA145" s="139" t="str">
        <f>Input!B145</f>
        <v>Hu1-13</v>
      </c>
      <c r="BB145" s="151">
        <f>Input!E145</f>
        <v>0</v>
      </c>
      <c r="BC145" s="139" t="e">
        <f>((U145-1)*EXP(Constants!$B$17*AW145*1000))*1000</f>
        <v>#VALUE!</v>
      </c>
      <c r="BD145" s="145" t="e">
        <f>SQRT((EXP(Constants!$B$17*AW145*1000)*V145)^2+((U145-1)*Constants!$B$17*EXP(Constants!$B$17*AW145*1000)*AY145*1000)^2)*1000</f>
        <v>#VALUE!</v>
      </c>
      <c r="BE145" s="139" t="e">
        <f t="shared" si="708"/>
        <v>#VALUE!</v>
      </c>
      <c r="BF145" s="152" t="e">
        <f t="shared" si="709"/>
        <v>#VALUE!</v>
      </c>
      <c r="BG145" s="161" t="e">
        <f t="shared" si="710"/>
        <v>#VALUE!</v>
      </c>
      <c r="BH145" s="139"/>
      <c r="BI145" s="18"/>
      <c r="BJ145" s="18"/>
      <c r="BK145" s="18"/>
      <c r="BL145" s="18"/>
      <c r="BM145" s="18"/>
      <c r="BN145" s="160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11034</v>
      </c>
      <c r="B146" s="18" t="str">
        <f>Input!B146</f>
        <v>KMS6-0,7cm-c</v>
      </c>
      <c r="C146" s="18">
        <f>Input!O146</f>
        <v>0.83382289341818716</v>
      </c>
      <c r="D146" s="18">
        <f>C146*Input!P146/100</f>
        <v>5.8011920585008901E-3</v>
      </c>
      <c r="E146" s="153">
        <f>Input!M146</f>
        <v>1.2395570539176062</v>
      </c>
      <c r="F146" s="154">
        <f>E146*Input!N146/100</f>
        <v>1.2506450093823667E-4</v>
      </c>
      <c r="G146" s="21">
        <f>E146*137.88</f>
        <v>170.91012659415952</v>
      </c>
      <c r="H146" s="154">
        <f>G146*Input!L146/100</f>
        <v>1.6502437146370674E-2</v>
      </c>
      <c r="I146" s="18">
        <v>0.3</v>
      </c>
      <c r="J146" s="130">
        <f>(((C146*Constants!$B$24*0.000000001*Input!G146*(Constants!$B$4/Constants!$B$3))-(I146*0.000000000000001))/Input!F146)*1000000000000</f>
        <v>4.5599663364498983</v>
      </c>
      <c r="K146" s="18">
        <f>J146*Input!P146/100</f>
        <v>3.17252508978276E-2</v>
      </c>
      <c r="L146" s="135">
        <f>(J146/Constants!$B$4)*602200000000*Constants!$B$17/(365.2425*24*60)</f>
        <v>6.2955398272982702E-2</v>
      </c>
      <c r="M146" s="133">
        <f>L146*Input!P146/100</f>
        <v>4.3800231366137476E-4</v>
      </c>
      <c r="N146" s="18">
        <v>5.0000000000000001E-3</v>
      </c>
      <c r="O146" s="130">
        <f>(((G146*Constants!$B$23*0.000000001*Input!G146*(Constants!$B$7/Constants!$B$6))-(N146*0.000000001))/Input!F146)*1000000</f>
        <v>9.41571556610733E-2</v>
      </c>
      <c r="P146" s="18">
        <f>O146*Input!N146/100</f>
        <v>9.4999400352722575E-6</v>
      </c>
      <c r="Q146" s="131">
        <f>(O146/Constants!$B$7)*602200000000000000*Constants!$B$18/(365.2425*24*60)</f>
        <v>7.0252608396884755E-2</v>
      </c>
      <c r="R146" s="132">
        <f>Q146*Input!N146/100</f>
        <v>7.0881024645032456E-6</v>
      </c>
      <c r="S146" s="133">
        <f>Input!S146*Constants!$B$17/Constants!$B$18</f>
        <v>0.89197257033108601</v>
      </c>
      <c r="T146" s="18">
        <f>S146*Input!T146/100</f>
        <v>1.2040688764135487E-3</v>
      </c>
      <c r="U146" s="18">
        <f>S146*1/((U145+U147)/2)</f>
        <v>0.89152147705833984</v>
      </c>
      <c r="V146" s="18">
        <f>U146*Input!T146/100</f>
        <v>1.2034599480808404E-3</v>
      </c>
      <c r="W146" s="134">
        <v>3.0000000000000001E-3</v>
      </c>
      <c r="X146" s="130">
        <f>(((Constants!$B$25*0.000000001*Input!G146/Input!W146*(Constants!$B$11/Constants!$B$9)-(W146*0.000000001))/Input!F146)*1000000000)</f>
        <v>2.8020604550303418</v>
      </c>
      <c r="Y146" s="130">
        <f>X146*Input!X146/100</f>
        <v>6.5235804058739874E-3</v>
      </c>
      <c r="Z146" s="130">
        <f>(X146/Constants!$B$11)*6.022E+23*0.000000001*Constants!$B$19/(365.2425*24*60)</f>
        <v>6.8407354413095893E-4</v>
      </c>
      <c r="AA146" s="130">
        <f>Z146*Input!X146/100</f>
        <v>1.5926168761484396E-6</v>
      </c>
      <c r="AB146" s="135">
        <v>0.05</v>
      </c>
      <c r="AC146" s="135">
        <v>0</v>
      </c>
      <c r="AD146" s="130">
        <f>(((Input!G146*Constants!$B$25*0.000000001*Input!U146*(Constants!$B$10/Constants!$B$9))-((AB146*0.000000000000001)+(Input!G146*AC146*0.000000000000001)))/Input!F146)*1000000000000</f>
        <v>2.1153972300111193E-2</v>
      </c>
      <c r="AE146" s="130">
        <f>AD146*Input!V146/100</f>
        <v>4.4336577693436296E-4</v>
      </c>
      <c r="AF146" s="130">
        <f>(AD146/Constants!$B$10)*602200000000*Constants!$B$16/(365.2425*24*60)</f>
        <v>9.6558720631550522E-4</v>
      </c>
      <c r="AG146" s="130">
        <f>AF146*Input!V146/100</f>
        <v>2.0237727262397178E-5</v>
      </c>
      <c r="AH146" s="18">
        <f>AF146/Z146</f>
        <v>1.4115254340703656</v>
      </c>
      <c r="AI146" s="134">
        <f>AH146*SQRT((AG146/AF146)^2+(AA146/Z146)^2)</f>
        <v>2.9766098003237651E-2</v>
      </c>
      <c r="AJ146" s="133">
        <f t="shared" si="694"/>
        <v>-108.47852294166016</v>
      </c>
      <c r="AK146" s="134">
        <f>V146*1000</f>
        <v>1.2034599480808403</v>
      </c>
      <c r="AL146" s="134">
        <f>AF146/Q146</f>
        <v>1.3744503276811039E-2</v>
      </c>
      <c r="AM146" s="134">
        <f>AL146*SQRT((R146/Q146)^2+(AG146/AF146)^2)</f>
        <v>2.8807416854606185E-4</v>
      </c>
      <c r="AN146" s="18">
        <f>AL146*1/((AN145+AN147)/2)</f>
        <v>1.3799924372253695E-2</v>
      </c>
      <c r="AO146" s="130">
        <f>AN146*SQRT((R146/Q146)^2+(AG146/AF146)^2)</f>
        <v>2.8923575188363439E-4</v>
      </c>
      <c r="AP146" s="18">
        <f>ThU_Alter_Kombi(AN146,U146)</f>
        <v>1.7016</v>
      </c>
      <c r="AQ146" s="18">
        <f t="shared" si="700"/>
        <v>3.3399999999999999E-2</v>
      </c>
      <c r="AR146" s="155">
        <f>(AQ146/AP146)</f>
        <v>1.9628584861307006E-2</v>
      </c>
      <c r="AS146" s="132">
        <f t="shared" si="701"/>
        <v>9.7373401463808577E-3</v>
      </c>
      <c r="AT146" s="132">
        <f t="shared" si="702"/>
        <v>2.269113924043347E-5</v>
      </c>
      <c r="AU146" s="18">
        <v>0.75</v>
      </c>
      <c r="AV146" s="18">
        <f>AU146/2</f>
        <v>0.375</v>
      </c>
      <c r="AW146" s="18">
        <f t="shared" si="704"/>
        <v>0.80430000000000001</v>
      </c>
      <c r="AX146" s="136">
        <f t="shared" si="705"/>
        <v>0.42651219330000001</v>
      </c>
      <c r="AY146" s="136">
        <f t="shared" si="706"/>
        <v>0.45251306723491308</v>
      </c>
      <c r="AZ146" s="155">
        <f t="shared" si="707"/>
        <v>0.53028993323386797</v>
      </c>
      <c r="BA146" s="18" t="str">
        <f>Input!B146</f>
        <v>KMS6-0,7cm-c</v>
      </c>
      <c r="BB146" s="137">
        <f>Input!E146</f>
        <v>0.7</v>
      </c>
      <c r="BC146" s="18">
        <f>((U146-1)*EXP(Constants!$B$17*AW146*1000))*1000</f>
        <v>-108.7250252810566</v>
      </c>
      <c r="BD146" s="133">
        <f>SQRT((EXP(Constants!$B$17*AW146*1000)*V146)^2+((U146-1)*Constants!$B$17*EXP(Constants!$B$17*AW146*1000)*AY146*1000)^2)*1000</f>
        <v>1.2141594430611555</v>
      </c>
      <c r="BE146" s="18">
        <f t="shared" si="708"/>
        <v>746.30000000000007</v>
      </c>
      <c r="BF146" s="138">
        <f t="shared" si="709"/>
        <v>226.25653361745654</v>
      </c>
      <c r="BG146" s="20">
        <f t="shared" si="710"/>
        <v>56.261726623761419</v>
      </c>
      <c r="BH146" s="18"/>
      <c r="BI146" s="18"/>
      <c r="BJ146" s="18"/>
      <c r="BK146" s="18"/>
      <c r="BL146" s="18"/>
      <c r="BM146" s="18"/>
      <c r="BN146" s="160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9">
        <f>Input!A147</f>
        <v>10815</v>
      </c>
      <c r="B147" s="139" t="str">
        <f>Input!B147</f>
        <v>Hu1-13</v>
      </c>
      <c r="C147" s="139">
        <f>Input!O147</f>
        <v>2.1064013086366269</v>
      </c>
      <c r="D147" s="139">
        <f>C147*Input!P147/100</f>
        <v>5.7454743234318498E-2</v>
      </c>
      <c r="E147" s="140">
        <f>Input!M147</f>
        <v>2.7322717343345477</v>
      </c>
      <c r="F147" s="141">
        <f>E147*Input!N147/100</f>
        <v>9.174640436117545E-4</v>
      </c>
      <c r="G147" s="142">
        <f t="shared" ref="G147" si="774">E147*137.88</f>
        <v>376.72562673004745</v>
      </c>
      <c r="H147" s="141">
        <f>G147*Input!L147/100</f>
        <v>5.9021419097695545E-2</v>
      </c>
      <c r="I147" s="139">
        <v>0</v>
      </c>
      <c r="J147" s="143">
        <f>(((C147*Constants!$B$24*0.000000001*Input!G147*(Constants!$B$4/Constants!$B$3))-(I147*0.000000000000001))/Input!F147)*1000000000000</f>
        <v>760.4899523878122</v>
      </c>
      <c r="K147" s="139">
        <f>J147*Input!P147/100</f>
        <v>20.743319313166271</v>
      </c>
      <c r="L147" s="144">
        <f>(J147/Constants!$B$4)*602200000000*Constants!$B$17/(365.2425*24*60)</f>
        <v>10.499408175993318</v>
      </c>
      <c r="M147" s="145">
        <f>L147*Input!P147/100</f>
        <v>0.2863845547335182</v>
      </c>
      <c r="N147" s="139">
        <v>0</v>
      </c>
      <c r="O147" s="143">
        <f>(((G147*Constants!$B$23*0.000000001*Input!G147*(Constants!$B$7/Constants!$B$6))-(N147*0.000000001))/Input!F147)*1000000</f>
        <v>13.701213357605264</v>
      </c>
      <c r="P147" s="139">
        <f>O147*Input!N147/100</f>
        <v>4.6007029430831688E-3</v>
      </c>
      <c r="Q147" s="146">
        <f>(O147/Constants!$B$7)*602200000000000000*Constants!$B$18/(365.2425*24*60)</f>
        <v>10.222759702287265</v>
      </c>
      <c r="R147" s="147">
        <f>Q147*Input!N147/100</f>
        <v>3.4326799693721001E-3</v>
      </c>
      <c r="S147" s="145">
        <f>Input!S147*Constants!$B$17/Constants!$B$18</f>
        <v>1.0020436488980615</v>
      </c>
      <c r="T147" s="139">
        <f>S147*Input!T147/100</f>
        <v>1.7995802819021378E-3</v>
      </c>
      <c r="U147" s="145">
        <f>S147</f>
        <v>1.0020436488980615</v>
      </c>
      <c r="V147" s="139">
        <f>U147*Input!T147/100</f>
        <v>1.7995802819021378E-3</v>
      </c>
      <c r="W147" s="148">
        <v>0</v>
      </c>
      <c r="X147" s="143">
        <f>(((Constants!$B$25*0.000000001*Input!G147/Input!W147*(Constants!$B$11/Constants!$B$9))-(W147*0.000000001))/Input!F147)*1000000000</f>
        <v>0.95171406999877672</v>
      </c>
      <c r="Y147" s="143">
        <f>X147*Input!X147/100</f>
        <v>1.0898828529028865E-2</v>
      </c>
      <c r="Z147" s="143">
        <f>(X147/Constants!$B$11)*6.022E+23*0.000000001*Constants!$B$19/(365.2425*24*60)</f>
        <v>2.323441721946406E-4</v>
      </c>
      <c r="AA147" s="143">
        <f>Z147*Input!X147/100</f>
        <v>2.6607563892291716E-6</v>
      </c>
      <c r="AB147" s="144">
        <v>0</v>
      </c>
      <c r="AC147" s="144">
        <v>0</v>
      </c>
      <c r="AD147" s="143">
        <f>(((Input!G147*Constants!$B$25*0.000000001*Input!U147*(Constants!$B$10/Constants!$B$9))-((AB147*0.000000000000001)+(Input!G147*AC147*0.000000000000001)))/Input!F147)*1000000000000</f>
        <v>222.28510242830305</v>
      </c>
      <c r="AE147" s="143">
        <f>AD147*Input!V147/100</f>
        <v>1.4209004900211701</v>
      </c>
      <c r="AF147" s="143">
        <f>(AD147/Constants!$B$10)*602200000000*Constants!$B$16/(365.2425*24*60)</f>
        <v>10.146352090012563</v>
      </c>
      <c r="AG147" s="143">
        <f>AF147*Input!V147/100</f>
        <v>6.485795268837817E-2</v>
      </c>
      <c r="AH147" s="139">
        <f t="shared" ref="AH147" si="775">AF147/Z147</f>
        <v>43669.492521261549</v>
      </c>
      <c r="AI147" s="148">
        <f t="shared" ref="AI147" si="776">AH147*SQRT((AG147/AF147)^2+(AA147/Z147)^2)</f>
        <v>572.72708937852985</v>
      </c>
      <c r="AJ147" s="145">
        <f t="shared" si="694"/>
        <v>2.0436488980615231</v>
      </c>
      <c r="AK147" s="148">
        <f t="shared" ref="AK147" si="777">V147*1000</f>
        <v>1.7995802819021378</v>
      </c>
      <c r="AL147" s="148">
        <f t="shared" ref="AL147" si="778">AF147/Q147</f>
        <v>0.99252573527111221</v>
      </c>
      <c r="AM147" s="148">
        <f t="shared" ref="AM147" si="779">AL147*SQRT((R147/Q147)^2+(AG147/AF147)^2)</f>
        <v>6.3532137420932375E-3</v>
      </c>
      <c r="AN147" s="139">
        <f>AF147/Q147</f>
        <v>0.99252573527111221</v>
      </c>
      <c r="AO147" s="143">
        <f t="shared" ref="AO147" si="780">AN147*SQRT((R147/Q147)^2+(AG147/AF147)^2)</f>
        <v>6.3532137420932375E-3</v>
      </c>
      <c r="AP147" s="139">
        <f t="shared" ref="AP147" si="781">ThU_Alter_Kombi(AN147,U147)</f>
        <v>498.92809999999997</v>
      </c>
      <c r="AQ147" s="139" t="e">
        <f t="shared" si="700"/>
        <v>#VALUE!</v>
      </c>
      <c r="AR147" s="139" t="e">
        <f>(AQ147/AP147)*100</f>
        <v>#VALUE!</v>
      </c>
      <c r="AS147" s="147">
        <f t="shared" si="701"/>
        <v>2.2728126157817771E-5</v>
      </c>
      <c r="AT147" s="147">
        <f t="shared" si="702"/>
        <v>2.6038956640805085E-7</v>
      </c>
      <c r="AU147" s="139">
        <v>0.75</v>
      </c>
      <c r="AV147" s="139">
        <f t="shared" ref="AV147" si="782">AU147/2</f>
        <v>0.375</v>
      </c>
      <c r="AW147" s="139">
        <f t="shared" si="704"/>
        <v>498.92630000000003</v>
      </c>
      <c r="AX147" s="149">
        <f t="shared" si="705"/>
        <v>165.6736748877</v>
      </c>
      <c r="AY147" s="149">
        <f t="shared" si="706"/>
        <v>71.281431034867225</v>
      </c>
      <c r="AZ147" s="150">
        <f t="shared" si="707"/>
        <v>0.33206041631339134</v>
      </c>
      <c r="BA147" s="139" t="str">
        <f>Input!B147</f>
        <v>Hu1-13</v>
      </c>
      <c r="BB147" s="151">
        <f>Input!E147</f>
        <v>0</v>
      </c>
      <c r="BC147" s="139">
        <f>((U147-1)*EXP(Constants!$B$17*AW147*1000))*1000</f>
        <v>8.35396970598166</v>
      </c>
      <c r="BD147" s="145">
        <f>SQRT((EXP(Constants!$B$17*AW147*1000)*V147)^2+((U147-1)*Constants!$B$17*EXP(Constants!$B$17*AW147*1000)*AY147*1000)^2)*1000</f>
        <v>7.5457798623757384</v>
      </c>
      <c r="BE147" s="139">
        <f t="shared" si="708"/>
        <v>498868.30000000005</v>
      </c>
      <c r="BF147" s="152">
        <f t="shared" si="709"/>
        <v>35640.715517433615</v>
      </c>
      <c r="BG147" s="161">
        <f t="shared" si="710"/>
        <v>14.286966037843108</v>
      </c>
      <c r="BH147" s="139"/>
      <c r="BI147" s="18"/>
      <c r="BJ147" s="18"/>
      <c r="BK147" s="18"/>
      <c r="BL147" s="18"/>
      <c r="BM147" s="18"/>
      <c r="BN147" s="160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9" spans="1:110" ht="15" customHeight="1" x14ac:dyDescent="0.2">
      <c r="A149" s="139">
        <f>Input!A149</f>
        <v>10815</v>
      </c>
      <c r="B149" s="139" t="str">
        <f>Input!B149</f>
        <v>Hu1-13</v>
      </c>
      <c r="C149" s="139">
        <f>Input!O149</f>
        <v>2.0828997591435825</v>
      </c>
      <c r="D149" s="139">
        <f>C149*Input!P149/100</f>
        <v>1.2751038111872125E-2</v>
      </c>
      <c r="E149" s="140">
        <f>Input!M149</f>
        <v>2.7324085575737813</v>
      </c>
      <c r="F149" s="141">
        <f>E149*Input!N149/100</f>
        <v>4.0684395439408107E-4</v>
      </c>
      <c r="G149" s="142">
        <f t="shared" ref="G149" si="783">E149*137.88</f>
        <v>376.74449191827296</v>
      </c>
      <c r="H149" s="141">
        <f>G149*Input!L149/100</f>
        <v>2.579894210144093E-2</v>
      </c>
      <c r="I149" s="139">
        <v>0</v>
      </c>
      <c r="J149" s="143">
        <f>(((C149*Constants!$B$24*0.000000001*Input!G149*(Constants!$B$4/Constants!$B$3))-(I149*0.000000000000001))/Input!F149)*1000000000000</f>
        <v>752.00501070945108</v>
      </c>
      <c r="K149" s="139">
        <f>J149*Input!P149/100</f>
        <v>4.6036034666486421</v>
      </c>
      <c r="L149" s="144">
        <f>(J149/Constants!$B$4)*602200000000*Constants!$B$17/(365.2425*24*60)</f>
        <v>10.382264135166883</v>
      </c>
      <c r="M149" s="145">
        <f>L149*Input!P149/100</f>
        <v>6.3557857306329568E-2</v>
      </c>
      <c r="N149" s="139">
        <v>0</v>
      </c>
      <c r="O149" s="143">
        <f>(((G149*Constants!$B$23*0.000000001*Input!G149*(Constants!$B$7/Constants!$B$6))-(N149*0.000000001))/Input!F149)*1000000</f>
        <v>13.701899469593855</v>
      </c>
      <c r="P149" s="139">
        <f>O149*Input!N149/100</f>
        <v>2.0401542615097012E-3</v>
      </c>
      <c r="Q149" s="146">
        <f>(O149/Constants!$B$7)*602200000000000000*Constants!$B$18/(365.2425*24*60)</f>
        <v>10.223271624684584</v>
      </c>
      <c r="R149" s="147">
        <f>Q149*Input!N149/100</f>
        <v>1.5222014449862034E-3</v>
      </c>
      <c r="S149" s="145">
        <f>Input!S149*Constants!$B$17/Constants!$B$18</f>
        <v>0.9988053814198361</v>
      </c>
      <c r="T149" s="139">
        <f>S149*Input!T149/100</f>
        <v>1.2498267601594455E-3</v>
      </c>
      <c r="U149" s="145">
        <f>S149</f>
        <v>0.9988053814198361</v>
      </c>
      <c r="V149" s="139">
        <f>U149*Input!T149/100</f>
        <v>1.2498267601594455E-3</v>
      </c>
      <c r="W149" s="148">
        <v>0</v>
      </c>
      <c r="X149" s="143">
        <f>(((Constants!$B$25*0.000000001*Input!G149/Input!W149*(Constants!$B$11/Constants!$B$9))-(W149*0.000000001))/Input!F149)*1000000000</f>
        <v>0.98072543924548461</v>
      </c>
      <c r="Y149" s="143">
        <f>X149*Input!X149/100</f>
        <v>3.8662519571025255E-3</v>
      </c>
      <c r="Z149" s="143">
        <f>(X149/Constants!$B$11)*6.022E+23*0.000000001*Constants!$B$19/(365.2425*24*60)</f>
        <v>2.3942678532850765E-4</v>
      </c>
      <c r="AA149" s="143">
        <f>Z149*Input!X149/100</f>
        <v>9.4387709374733748E-7</v>
      </c>
      <c r="AB149" s="144">
        <v>0</v>
      </c>
      <c r="AC149" s="144">
        <v>0</v>
      </c>
      <c r="AD149" s="143">
        <f>(((Input!G149*Constants!$B$25*0.000000001*Input!U149*(Constants!$B$10/Constants!$B$9))-((AB149*0.000000000000001)+(Input!G149*AC149*0.000000000000001)))/Input!F149)*1000000000000</f>
        <v>222.7646830885283</v>
      </c>
      <c r="AE149" s="143">
        <f>AD149*Input!V149/100</f>
        <v>0.59829703436607484</v>
      </c>
      <c r="AF149" s="143">
        <f>(AD149/Constants!$B$10)*602200000000*Constants!$B$16/(365.2425*24*60)</f>
        <v>10.168242869831133</v>
      </c>
      <c r="AG149" s="143">
        <f>AF149*Input!V149/100</f>
        <v>2.7309668073894254E-2</v>
      </c>
      <c r="AH149" s="139">
        <f t="shared" ref="AH149" si="784">AF149/Z149</f>
        <v>42469.111615393012</v>
      </c>
      <c r="AI149" s="148">
        <f t="shared" ref="AI149" si="785">AH149*SQRT((AG149/AF149)^2+(AA149/Z149)^2)</f>
        <v>202.58544389350061</v>
      </c>
      <c r="AJ149" s="145">
        <f t="shared" ref="AJ149:AJ151" si="786">(U149-1)*1000</f>
        <v>-1.1946185801638975</v>
      </c>
      <c r="AK149" s="148">
        <f t="shared" ref="AK149" si="787">V149*1000</f>
        <v>1.2498267601594455</v>
      </c>
      <c r="AL149" s="148">
        <f t="shared" ref="AL149" si="788">AF149/Q149</f>
        <v>0.99461730482435962</v>
      </c>
      <c r="AM149" s="148">
        <f t="shared" ref="AM149" si="789">AL149*SQRT((R149/Q149)^2+(AG149/AF149)^2)</f>
        <v>2.6754256434820783E-3</v>
      </c>
      <c r="AN149" s="139">
        <f>AF149/Q149</f>
        <v>0.99461730482435962</v>
      </c>
      <c r="AO149" s="143">
        <f t="shared" ref="AO149" si="790">AN149*SQRT((R149/Q149)^2+(AG149/AF149)^2)</f>
        <v>2.6754256434820783E-3</v>
      </c>
      <c r="AP149" s="139">
        <f t="shared" ref="AP149" si="791">ThU_Alter_Kombi(AN149,U149)</f>
        <v>610.80290000000002</v>
      </c>
      <c r="AQ149" s="139" t="e">
        <f t="shared" ref="AQ149:AQ151" si="792">Montealter(AN149,AO149,U149,V149)</f>
        <v>#VALUE!</v>
      </c>
      <c r="AR149" s="139" t="e">
        <f>(AQ149/AP149)*100</f>
        <v>#VALUE!</v>
      </c>
      <c r="AS149" s="147">
        <f t="shared" ref="AS149:AS151" si="793">Z149/Q149</f>
        <v>2.3419781271427836E-5</v>
      </c>
      <c r="AT149" s="147">
        <f t="shared" ref="AT149:AT151" si="794">AS149*SQRT((Y149/X149)^2+(P149/O149)^2)</f>
        <v>9.2392153910251447E-8</v>
      </c>
      <c r="AU149" s="139">
        <v>0.75</v>
      </c>
      <c r="AV149" s="139">
        <f t="shared" ref="AV149" si="795">AU149/2</f>
        <v>0.375</v>
      </c>
      <c r="AW149" s="139">
        <f t="shared" ref="AW149:AW151" si="796">marincorr_age(AN149,U149,AS149,AU149)</f>
        <v>610.80100000000004</v>
      </c>
      <c r="AX149" s="149">
        <f t="shared" ref="AX149:AX151" si="797">marincorr_age_error(AN149, AO149, U149, V149, AS149, AT149, AU149, AV149)</f>
        <v>233.7539841112</v>
      </c>
      <c r="AY149" s="149">
        <f t="shared" ref="AY149:AY151" si="798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94.755940155243337</v>
      </c>
      <c r="AZ149" s="150">
        <f t="shared" ref="AZ149:AZ151" si="799">AX149/AW149</f>
        <v>0.38270072267596156</v>
      </c>
      <c r="BA149" s="139" t="str">
        <f>Input!B149</f>
        <v>Hu1-13</v>
      </c>
      <c r="BB149" s="151">
        <f>Input!E149</f>
        <v>0</v>
      </c>
      <c r="BC149" s="139">
        <f>((U149-1)*EXP(Constants!$B$17*AW149*1000))*1000</f>
        <v>-6.6962256022747706</v>
      </c>
      <c r="BD149" s="145">
        <f>SQRT((EXP(Constants!$B$17*AW149*1000)*V149)^2+((U149-1)*Constants!$B$17*EXP(Constants!$B$17*AW149*1000)*AY149*1000)^2)*1000</f>
        <v>7.2309016121848275</v>
      </c>
      <c r="BE149" s="139">
        <f t="shared" ref="BE149:BE151" si="800">AW149*1000-58</f>
        <v>610743</v>
      </c>
      <c r="BF149" s="152">
        <f t="shared" ref="BF149:BF151" si="801">AY149/2*1000</f>
        <v>47377.97007762167</v>
      </c>
      <c r="BG149" s="161">
        <f t="shared" ref="BG149:BG151" si="802">AY149/AW149*100</f>
        <v>15.513389820128539</v>
      </c>
      <c r="BH149" s="139"/>
      <c r="BI149" s="18"/>
      <c r="BJ149" s="18"/>
      <c r="BK149" s="18"/>
      <c r="BL149" s="18"/>
      <c r="BM149" s="18"/>
      <c r="BN149" s="160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0" spans="1:110" ht="15" customHeight="1" x14ac:dyDescent="0.2">
      <c r="A150" s="18">
        <f>Input!A150</f>
        <v>11065</v>
      </c>
      <c r="B150" s="18" t="str">
        <f>Input!B150</f>
        <v>NAH14-103</v>
      </c>
      <c r="C150" s="18">
        <f>Input!O150</f>
        <v>2.1027878908068534</v>
      </c>
      <c r="D150" s="18">
        <f>C150*Input!P150/100</f>
        <v>8.3168945497178806E-3</v>
      </c>
      <c r="E150" s="153">
        <f>Input!M150</f>
        <v>2.7451756854962199</v>
      </c>
      <c r="F150" s="154">
        <f>E150*Input!N150/100</f>
        <v>1.7187231140713776E-4</v>
      </c>
      <c r="G150" s="21">
        <f>E150*137.88</f>
        <v>378.50482351621878</v>
      </c>
      <c r="H150" s="154">
        <f>G150*Input!L150/100</f>
        <v>1.2071421034204806E-2</v>
      </c>
      <c r="I150" s="18">
        <v>0.3</v>
      </c>
      <c r="J150" s="130">
        <f>(((C150*Constants!$B$24*0.000000001*Input!G150*(Constants!$B$4/Constants!$B$3))-(I150*0.000000000000001))/Input!F150)*1000000000000</f>
        <v>88.360543889770909</v>
      </c>
      <c r="K150" s="18">
        <f>J150*Input!P150/100</f>
        <v>0.34948143324382708</v>
      </c>
      <c r="L150" s="135">
        <f>(J150/Constants!$B$4)*602200000000*Constants!$B$17/(365.2425*24*60)</f>
        <v>1.2199154164214112</v>
      </c>
      <c r="M150" s="133">
        <f>L150*Input!P150/100</f>
        <v>4.8249792203525592E-3</v>
      </c>
      <c r="N150" s="18">
        <v>5.0000000000000001E-3</v>
      </c>
      <c r="O150" s="130">
        <f>(((G150*Constants!$B$23*0.000000001*Input!G150*(Constants!$B$7/Constants!$B$6))-(N150*0.000000001))/Input!F150)*1000000</f>
        <v>1.6022015773651077</v>
      </c>
      <c r="P150" s="18">
        <f>O150*Input!N150/100</f>
        <v>1.0031200913544675E-4</v>
      </c>
      <c r="Q150" s="131">
        <f>(O150/Constants!$B$7)*602200000000000000*Constants!$B$18/(365.2425*24*60)</f>
        <v>1.1954358561198164</v>
      </c>
      <c r="R150" s="132">
        <f>Q150*Input!N150/100</f>
        <v>7.4844872339434212E-5</v>
      </c>
      <c r="S150" s="133">
        <f>Input!S150*Constants!$B$17/Constants!$B$18</f>
        <v>1.0162939946733789</v>
      </c>
      <c r="T150" s="18">
        <f>S150*Input!T150/100</f>
        <v>6.0610984178951913E-4</v>
      </c>
      <c r="U150" s="18">
        <f>S150*1/((U149+U151)/2)</f>
        <v>1.0164757229097818</v>
      </c>
      <c r="V150" s="18">
        <f>U150*Input!T150/100</f>
        <v>6.0621822309767624E-4</v>
      </c>
      <c r="W150" s="134">
        <v>3.0000000000000001E-3</v>
      </c>
      <c r="X150" s="130">
        <f>(((Constants!$B$25*0.000000001*Input!G150/Input!W150*(Constants!$B$11/Constants!$B$9)-(W150*0.000000001))/Input!F150)*1000000000)</f>
        <v>4.5929235273592495E-2</v>
      </c>
      <c r="Y150" s="130">
        <f>X150*Input!X150/100</f>
        <v>1.9187062449076196E-4</v>
      </c>
      <c r="Z150" s="130">
        <f>(X150/Constants!$B$11)*6.022E+23*0.000000001*Constants!$B$19/(365.2425*24*60)</f>
        <v>1.1212811164165569E-5</v>
      </c>
      <c r="AA150" s="130">
        <f>Z150*Input!X150/100</f>
        <v>4.6841822371956863E-8</v>
      </c>
      <c r="AB150" s="135">
        <v>0.05</v>
      </c>
      <c r="AC150" s="135">
        <v>0</v>
      </c>
      <c r="AD150" s="130">
        <f>(((Input!G150*Constants!$B$25*0.000000001*Input!U150*(Constants!$B$10/Constants!$B$9))-((AB150*0.000000000000001)+(Input!G150*AC150*0.000000000000001)))/Input!F150)*1000000000000</f>
        <v>2.5522704979896464</v>
      </c>
      <c r="AE150" s="130">
        <f>AD150*Input!V150/100</f>
        <v>1.0281393564363585E-2</v>
      </c>
      <c r="AF150" s="130">
        <f>(AD150/Constants!$B$10)*602200000000*Constants!$B$16/(365.2425*24*60)</f>
        <v>0.1165000929826476</v>
      </c>
      <c r="AG150" s="130">
        <f>AF150*Input!V150/100</f>
        <v>4.6930108199072686E-4</v>
      </c>
      <c r="AH150" s="18">
        <f>AF150/Z150</f>
        <v>10389.909477381025</v>
      </c>
      <c r="AI150" s="134">
        <f>AH150*SQRT((AG150/AF150)^2+(AA150/Z150)^2)</f>
        <v>60.296569485306115</v>
      </c>
      <c r="AJ150" s="133">
        <f t="shared" si="786"/>
        <v>16.47572290978183</v>
      </c>
      <c r="AK150" s="134">
        <f>V150*1000</f>
        <v>0.60621822309767626</v>
      </c>
      <c r="AL150" s="134">
        <f>AF150/Q150</f>
        <v>9.7454072827284355E-2</v>
      </c>
      <c r="AM150" s="134">
        <f>AL150*SQRT((R150/Q150)^2+(AG150/AF150)^2)</f>
        <v>3.9262479690798405E-4</v>
      </c>
      <c r="AN150" s="18">
        <f>AL150*1/((AN149+AN151)/2)</f>
        <v>9.8035464393342278E-2</v>
      </c>
      <c r="AO150" s="130">
        <f>AN150*SQRT((R150/Q150)^2+(AG150/AF150)^2)</f>
        <v>3.9496711815659993E-4</v>
      </c>
      <c r="AP150" s="18">
        <f>ThU_Alter_Kombi(AN150,U150)</f>
        <v>11.0564</v>
      </c>
      <c r="AQ150" s="18">
        <f t="shared" si="792"/>
        <v>4.3999999999999997E-2</v>
      </c>
      <c r="AR150" s="155">
        <f>(AQ150/AP150)</f>
        <v>3.9795955283817514E-3</v>
      </c>
      <c r="AS150" s="132">
        <f t="shared" si="793"/>
        <v>9.3796844947921063E-6</v>
      </c>
      <c r="AT150" s="132">
        <f t="shared" si="794"/>
        <v>3.9188286393617916E-8</v>
      </c>
      <c r="AU150" s="18">
        <v>0.75</v>
      </c>
      <c r="AV150" s="18">
        <f>AU150/2</f>
        <v>0.375</v>
      </c>
      <c r="AW150" s="18">
        <f t="shared" si="796"/>
        <v>11.0557</v>
      </c>
      <c r="AX150" s="136">
        <f t="shared" si="797"/>
        <v>4.6768463500000003E-2</v>
      </c>
      <c r="AY150" s="136">
        <f t="shared" si="798"/>
        <v>4.7454363274892206E-2</v>
      </c>
      <c r="AZ150" s="155">
        <f t="shared" si="799"/>
        <v>4.2302580117043699E-3</v>
      </c>
      <c r="BA150" s="18" t="str">
        <f>Input!B150</f>
        <v>NAH14-103</v>
      </c>
      <c r="BB150" s="137">
        <f>Input!E150</f>
        <v>103</v>
      </c>
      <c r="BC150" s="18">
        <f>((U150-1)*EXP(Constants!$B$17*AW150*1000))*1000</f>
        <v>16.997866010209172</v>
      </c>
      <c r="BD150" s="133">
        <f>SQRT((EXP(Constants!$B$17*AW150*1000)*V150)^2+((U150-1)*Constants!$B$17*EXP(Constants!$B$17*AW150*1000)*AY150*1000)^2)*1000</f>
        <v>0.6254344307915225</v>
      </c>
      <c r="BE150" s="18">
        <f t="shared" si="800"/>
        <v>10997.7</v>
      </c>
      <c r="BF150" s="138">
        <f t="shared" si="801"/>
        <v>23.727181637446101</v>
      </c>
      <c r="BG150" s="20">
        <f t="shared" si="802"/>
        <v>0.42922983867952469</v>
      </c>
      <c r="BH150" s="18"/>
      <c r="BI150" s="18"/>
      <c r="BJ150" s="18"/>
      <c r="BK150" s="18"/>
      <c r="BL150" s="18"/>
      <c r="BM150" s="18"/>
      <c r="BN150" s="160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</row>
    <row r="151" spans="1:110" ht="15" customHeight="1" x14ac:dyDescent="0.2">
      <c r="A151" s="139">
        <f>Input!A151</f>
        <v>10815</v>
      </c>
      <c r="B151" s="139" t="str">
        <f>Input!B151</f>
        <v>Hu1-13</v>
      </c>
      <c r="C151" s="139">
        <f>Input!O151</f>
        <v>2.1248711908418585</v>
      </c>
      <c r="D151" s="139">
        <f>C151*Input!P151/100</f>
        <v>2.398653228340987E-2</v>
      </c>
      <c r="E151" s="140">
        <f>Input!M151</f>
        <v>2.7315917439794979</v>
      </c>
      <c r="F151" s="141">
        <f>E151*Input!N151/100</f>
        <v>3.8572333647639572E-4</v>
      </c>
      <c r="G151" s="142">
        <f t="shared" ref="G151" si="803">E151*137.88</f>
        <v>376.63186965989314</v>
      </c>
      <c r="H151" s="141">
        <f>G151*Input!L151/100</f>
        <v>3.387927418318528E-2</v>
      </c>
      <c r="I151" s="139">
        <v>0</v>
      </c>
      <c r="J151" s="143">
        <f>(((C151*Constants!$B$24*0.000000001*Input!G151*(Constants!$B$4/Constants!$B$3))-(I151*0.000000000000001))/Input!F151)*1000000000000</f>
        <v>767.15827327295096</v>
      </c>
      <c r="K151" s="139">
        <f>J151*Input!P151/100</f>
        <v>8.660038673241214</v>
      </c>
      <c r="L151" s="144">
        <f>(J151/Constants!$B$4)*602200000000*Constants!$B$17/(365.2425*24*60)</f>
        <v>10.591471749748294</v>
      </c>
      <c r="M151" s="145">
        <f>L151*Input!P151/100</f>
        <v>0.11956144925354616</v>
      </c>
      <c r="N151" s="139">
        <v>0</v>
      </c>
      <c r="O151" s="143">
        <f>(((G151*Constants!$B$23*0.000000001*Input!G151*(Constants!$B$7/Constants!$B$6))-(N151*0.000000001))/Input!F151)*1000000</f>
        <v>13.697803487050084</v>
      </c>
      <c r="P151" s="139">
        <f>O151*Input!N151/100</f>
        <v>1.934243092902913E-3</v>
      </c>
      <c r="Q151" s="146">
        <f>(O151/Constants!$B$7)*602200000000000000*Constants!$B$18/(365.2425*24*60)</f>
        <v>10.220215527082361</v>
      </c>
      <c r="R151" s="147">
        <f>Q151*Input!N151/100</f>
        <v>1.4431789235352377E-3</v>
      </c>
      <c r="S151" s="145">
        <f>Input!S151*Constants!$B$17/Constants!$B$18</f>
        <v>1.0008370532545845</v>
      </c>
      <c r="T151" s="139">
        <f>S151*Input!T151/100</f>
        <v>1.3118184642805062E-3</v>
      </c>
      <c r="U151" s="145">
        <f>S151</f>
        <v>1.0008370532545845</v>
      </c>
      <c r="V151" s="139">
        <f>U151*Input!T151/100</f>
        <v>1.3118184642805062E-3</v>
      </c>
      <c r="W151" s="148">
        <v>0</v>
      </c>
      <c r="X151" s="143">
        <f>(((Constants!$B$25*0.000000001*Input!G151/Input!W151*(Constants!$B$11/Constants!$B$9))-(W151*0.000000001))/Input!F151)*1000000000</f>
        <v>0.9957314656512114</v>
      </c>
      <c r="Y151" s="143">
        <f>X151*Input!X151/100</f>
        <v>5.6914661935231516E-3</v>
      </c>
      <c r="Z151" s="143">
        <f>(X151/Constants!$B$11)*6.022E+23*0.000000001*Constants!$B$19/(365.2425*24*60)</f>
        <v>2.4309024149993315E-4</v>
      </c>
      <c r="AA151" s="143">
        <f>Z151*Input!X151/100</f>
        <v>1.3894708957172592E-6</v>
      </c>
      <c r="AB151" s="144">
        <v>0</v>
      </c>
      <c r="AC151" s="144">
        <v>0</v>
      </c>
      <c r="AD151" s="143">
        <f>(((Input!G151*Constants!$B$25*0.000000001*Input!U151*(Constants!$B$10/Constants!$B$9))-((AB151*0.000000000000001)+(Input!G151*AC151*0.000000000000001)))/Input!F151)*1000000000000</f>
        <v>222.45281565942645</v>
      </c>
      <c r="AE151" s="143">
        <f>AD151*Input!V151/100</f>
        <v>0.65319286363251861</v>
      </c>
      <c r="AF151" s="143">
        <f>(AD151/Constants!$B$10)*602200000000*Constants!$B$16/(365.2425*24*60)</f>
        <v>10.154007472557511</v>
      </c>
      <c r="AG151" s="143">
        <f>AF151*Input!V151/100</f>
        <v>2.9815424896667428E-2</v>
      </c>
      <c r="AH151" s="139">
        <f t="shared" ref="AH151" si="804">AF151/Z151</f>
        <v>41770.526903525679</v>
      </c>
      <c r="AI151" s="148">
        <f t="shared" ref="AI151" si="805">AH151*SQRT((AG151/AF151)^2+(AA151/Z151)^2)</f>
        <v>268.41614606845144</v>
      </c>
      <c r="AJ151" s="145">
        <f t="shared" si="786"/>
        <v>0.83705325458449664</v>
      </c>
      <c r="AK151" s="148">
        <f t="shared" ref="AK151" si="806">V151*1000</f>
        <v>1.3118184642805062</v>
      </c>
      <c r="AL151" s="148">
        <f t="shared" ref="AL151" si="807">AF151/Q151</f>
        <v>0.99352185339444099</v>
      </c>
      <c r="AM151" s="148">
        <f t="shared" ref="AM151" si="808">AL151*SQRT((R151/Q151)^2+(AG151/AF151)^2)</f>
        <v>2.9206704584191418E-3</v>
      </c>
      <c r="AN151" s="139">
        <f>AF151/Q151</f>
        <v>0.99352185339444099</v>
      </c>
      <c r="AO151" s="143">
        <f t="shared" ref="AO151" si="809">AN151*SQRT((R151/Q151)^2+(AG151/AF151)^2)</f>
        <v>2.9206704584191418E-3</v>
      </c>
      <c r="AP151" s="139">
        <f t="shared" ref="AP151" si="810">ThU_Alter_Kombi(AN151,U151)</f>
        <v>531.44159999999999</v>
      </c>
      <c r="AQ151" s="139" t="e">
        <f t="shared" si="792"/>
        <v>#VALUE!</v>
      </c>
      <c r="AR151" s="139" t="e">
        <f>(AQ151/AP151)*100</f>
        <v>#VALUE!</v>
      </c>
      <c r="AS151" s="147">
        <f t="shared" si="793"/>
        <v>2.3785236314808898E-5</v>
      </c>
      <c r="AT151" s="147">
        <f t="shared" si="794"/>
        <v>1.359946702799133E-7</v>
      </c>
      <c r="AU151" s="139">
        <v>0.75</v>
      </c>
      <c r="AV151" s="139">
        <f t="shared" ref="AV151" si="811">AU151/2</f>
        <v>0.375</v>
      </c>
      <c r="AW151" s="139">
        <f t="shared" si="796"/>
        <v>531.43970000000002</v>
      </c>
      <c r="AX151" s="149">
        <f t="shared" si="797"/>
        <v>105.9029399945</v>
      </c>
      <c r="AY151" s="149">
        <f t="shared" si="798"/>
        <v>48.721020932348374</v>
      </c>
      <c r="AZ151" s="150">
        <f t="shared" si="799"/>
        <v>0.19927555279460679</v>
      </c>
      <c r="BA151" s="139" t="str">
        <f>Input!B151</f>
        <v>Hu1-13</v>
      </c>
      <c r="BB151" s="151">
        <f>Input!E151</f>
        <v>0</v>
      </c>
      <c r="BC151" s="139">
        <f>((U151-1)*EXP(Constants!$B$17*AW151*1000))*1000</f>
        <v>3.750492387943213</v>
      </c>
      <c r="BD151" s="145">
        <f>SQRT((EXP(Constants!$B$17*AW151*1000)*V151)^2+((U151-1)*Constants!$B$17*EXP(Constants!$B$17*AW151*1000)*AY151*1000)^2)*1000</f>
        <v>5.9002977830028049</v>
      </c>
      <c r="BE151" s="139">
        <f t="shared" si="800"/>
        <v>531381.70000000007</v>
      </c>
      <c r="BF151" s="152">
        <f t="shared" si="801"/>
        <v>24360.510466174186</v>
      </c>
      <c r="BG151" s="161">
        <f t="shared" si="802"/>
        <v>9.1677420660045481</v>
      </c>
      <c r="BH151" s="139"/>
      <c r="BI151" s="18"/>
      <c r="BJ151" s="18"/>
      <c r="BK151" s="18"/>
      <c r="BL151" s="18"/>
      <c r="BM151" s="18"/>
      <c r="BN151" s="160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3" spans="1:110" ht="15" customHeight="1" x14ac:dyDescent="0.2">
      <c r="A153" s="139">
        <f>Input!A153</f>
        <v>10815</v>
      </c>
      <c r="B153" s="139" t="str">
        <f>Input!B153</f>
        <v>Hu1-13</v>
      </c>
      <c r="C153" s="139">
        <f>Input!O153</f>
        <v>2.0782336718392362</v>
      </c>
      <c r="D153" s="139">
        <f>C153*Input!P153/100</f>
        <v>2.0116392896827678E-2</v>
      </c>
      <c r="E153" s="140">
        <f>Input!M153</f>
        <v>2.7320611540064972</v>
      </c>
      <c r="F153" s="141">
        <f>E153*Input!N153/100</f>
        <v>3.5492446889564042E-4</v>
      </c>
      <c r="G153" s="142">
        <f t="shared" ref="G153" si="812">E153*137.88</f>
        <v>376.69659191441582</v>
      </c>
      <c r="H153" s="141">
        <f>G153*Input!L153/100</f>
        <v>2.9939581070939292E-2</v>
      </c>
      <c r="I153" s="139">
        <v>0</v>
      </c>
      <c r="J153" s="143">
        <f>(((C153*Constants!$B$24*0.000000001*Input!G153*(Constants!$B$4/Constants!$B$3))-(I153*0.000000000000001))/Input!F153)*1000000000000</f>
        <v>750.32037801511592</v>
      </c>
      <c r="K153" s="139">
        <f>J153*Input!P153/100</f>
        <v>7.2627730592442852</v>
      </c>
      <c r="L153" s="144">
        <f>(J153/Constants!$B$4)*602200000000*Constants!$B$17/(365.2425*24*60)</f>
        <v>10.359005910348907</v>
      </c>
      <c r="M153" s="145">
        <f>L153*Input!P153/100</f>
        <v>0.10027064604757234</v>
      </c>
      <c r="N153" s="139">
        <v>0</v>
      </c>
      <c r="O153" s="143">
        <f>(((G153*Constants!$B$23*0.000000001*Input!G153*(Constants!$B$7/Constants!$B$6))-(N153*0.000000001))/Input!F153)*1000000</f>
        <v>13.700157384303896</v>
      </c>
      <c r="P153" s="139">
        <f>O153*Input!N153/100</f>
        <v>1.779799502760026E-3</v>
      </c>
      <c r="Q153" s="146">
        <f>(O153/Constants!$B$7)*602200000000000000*Constants!$B$18/(365.2425*24*60)</f>
        <v>10.221971818686727</v>
      </c>
      <c r="R153" s="147">
        <f>Q153*Input!N153/100</f>
        <v>1.3279453549175429E-3</v>
      </c>
      <c r="S153" s="145">
        <f>Input!S153*Constants!$B$17/Constants!$B$18</f>
        <v>0.99991676377641037</v>
      </c>
      <c r="T153" s="139">
        <f>S153*Input!T153/100</f>
        <v>2.1794300247089866E-3</v>
      </c>
      <c r="U153" s="145">
        <f>S153</f>
        <v>0.99991676377641037</v>
      </c>
      <c r="V153" s="139">
        <f>U153*Input!T153/100</f>
        <v>2.1794300247089866E-3</v>
      </c>
      <c r="W153" s="148">
        <v>0</v>
      </c>
      <c r="X153" s="143">
        <f>(((Constants!$B$25*0.000000001*Input!G153/Input!W153*(Constants!$B$11/Constants!$B$9))-(W153*0.000000001))/Input!F153)*1000000000</f>
        <v>1.0023872267977969</v>
      </c>
      <c r="Y153" s="143">
        <f>X153*Input!X153/100</f>
        <v>5.6375799949115821E-3</v>
      </c>
      <c r="Z153" s="143">
        <f>(X153/Constants!$B$11)*6.022E+23*0.000000001*Constants!$B$19/(365.2425*24*60)</f>
        <v>2.4471512796812487E-4</v>
      </c>
      <c r="AA153" s="143">
        <f>Z153*Input!X153/100</f>
        <v>1.3763155325637685E-6</v>
      </c>
      <c r="AB153" s="144">
        <v>0</v>
      </c>
      <c r="AC153" s="144">
        <v>0</v>
      </c>
      <c r="AD153" s="143">
        <f>(((Input!G153*Constants!$B$25*0.000000001*Input!U153*(Constants!$B$10/Constants!$B$9))-((AB153*0.000000000000001)+(Input!G153*AC153*0.000000000000001)))/Input!F153)*1000000000000</f>
        <v>223.75306762603205</v>
      </c>
      <c r="AE153" s="143">
        <f>AD153*Input!V153/100</f>
        <v>0.93351113912099126</v>
      </c>
      <c r="AF153" s="143">
        <f>(AD153/Constants!$B$10)*602200000000*Constants!$B$16/(365.2425*24*60)</f>
        <v>10.213358342745346</v>
      </c>
      <c r="AG153" s="143">
        <f>AF153*Input!V153/100</f>
        <v>4.2610739964120355E-2</v>
      </c>
      <c r="AH153" s="139">
        <f t="shared" ref="AH153" si="813">AF153/Z153</f>
        <v>41735.70480724705</v>
      </c>
      <c r="AI153" s="148">
        <f t="shared" ref="AI153" si="814">AH153*SQRT((AG153/AF153)^2+(AA153/Z153)^2)</f>
        <v>292.26077514899782</v>
      </c>
      <c r="AJ153" s="145">
        <f t="shared" ref="AJ153:AJ165" si="815">(U153-1)*1000</f>
        <v>-8.323622358963334E-2</v>
      </c>
      <c r="AK153" s="148">
        <f t="shared" ref="AK153" si="816">V153*1000</f>
        <v>2.1794300247089864</v>
      </c>
      <c r="AL153" s="148">
        <f t="shared" ref="AL153" si="817">AF153/Q153</f>
        <v>0.99915735671217221</v>
      </c>
      <c r="AM153" s="148">
        <f t="shared" ref="AM153" si="818">AL153*SQRT((R153/Q153)^2+(AG153/AF153)^2)</f>
        <v>4.1705644742379968E-3</v>
      </c>
      <c r="AN153" s="139">
        <f>AF153/Q153</f>
        <v>0.99915735671217221</v>
      </c>
      <c r="AO153" s="143">
        <f t="shared" ref="AO153" si="819">AN153*SQRT((R153/Q153)^2+(AG153/AF153)^2)</f>
        <v>4.1705644742379968E-3</v>
      </c>
      <c r="AP153" s="139">
        <f t="shared" ref="AP153" si="820">ThU_Alter_Kombi(AN153,U153)</f>
        <v>788.59069999999997</v>
      </c>
      <c r="AQ153" s="139" t="e">
        <f t="shared" ref="AQ153:AQ165" si="821">Montealter(AN153,AO153,U153,V153)</f>
        <v>#VALUE!</v>
      </c>
      <c r="AR153" s="139" t="e">
        <f>(AQ153/AP153)*100</f>
        <v>#VALUE!</v>
      </c>
      <c r="AS153" s="147">
        <f t="shared" ref="AS153:AS165" si="822">Z153/Q153</f>
        <v>2.3940109825069423E-5</v>
      </c>
      <c r="AT153" s="147">
        <f t="shared" ref="AT153:AT165" si="823">AS153*SQRT((Y153/X153)^2+(P153/O153)^2)</f>
        <v>1.3467877586604335E-7</v>
      </c>
      <c r="AU153" s="139">
        <v>0.75</v>
      </c>
      <c r="AV153" s="139">
        <f t="shared" ref="AV153" si="824">AU153/2</f>
        <v>0.375</v>
      </c>
      <c r="AW153" s="139">
        <f t="shared" ref="AW153:AW165" si="825">marincorr_age(AN153,U153,AS153,AU153)</f>
        <v>788.58870000000002</v>
      </c>
      <c r="AX153" s="149">
        <f t="shared" ref="AX153:AX165" si="826">marincorr_age_error(AN153, AO153, U153, V153, AS153, AT153, AU153, AV153)</f>
        <v>323.27662004600001</v>
      </c>
      <c r="AY153" s="149">
        <f t="shared" ref="AY153:AY165" si="827">SQRT(((AU153*EXP(-0.0000091577*AW153*1000))/(0.0000091577*(EXP(-0.0000091577*AW153*1000)+(AJ153/1000)*EXP(-(0.0000091577-0.0000028263)*AW153*1000)-AS153*AU153*EXP(-0.0000091577*AW153*1000))))^2*AT153^2+((AS153*EXP(-0.0000091577*AW153*1000))/(0.0000091577*(EXP(-0.0000091577*AW153*1000)+(AJ153/1000)*EXP(-(0.0000091577-0.0000028263)*AW153*1000)-AS153*AU153*EXP(-0.0000091577*AW153*1000))))^2*AV153^2+((0.0000091577/(0.0000091577-0.0000028263))*(EXP(-(0.0000091577-0.0000028263)*AW153*1000)-1)/(0.0000091577*(EXP(-0.0000091577*AW153*1000)+(AJ153/1000)*EXP(-(0.0000091577-0.0000028263)*AW153*1000)-AS153*AU153*EXP(-0.0000091577*AW153*1000))))^2*T153^2+(1/(0.0000091577*(EXP(-0.0000091577*AW153*1000)+(AJ153/1000)*EXP(-(0.0000091577-0.0000028263)*AW153*1000)-AS153*AU153*EXP(-0.0000091577*AW153*1000))))^2*AO153^2)/1000</f>
        <v>780.07907866262735</v>
      </c>
      <c r="AZ153" s="150">
        <f t="shared" ref="AZ153:AZ165" si="828">AX153/AW153</f>
        <v>0.40994325691707223</v>
      </c>
      <c r="BA153" s="139" t="str">
        <f>Input!B153</f>
        <v>Hu1-13</v>
      </c>
      <c r="BB153" s="151">
        <f>Input!E153</f>
        <v>0</v>
      </c>
      <c r="BC153" s="139">
        <f>((U153-1)*EXP(Constants!$B$17*AW153*1000))*1000</f>
        <v>-0.7705675023949079</v>
      </c>
      <c r="BD153" s="145">
        <f>SQRT((EXP(Constants!$B$17*AW153*1000)*V153)^2+((U153-1)*Constants!$B$17*EXP(Constants!$B$17*AW153*1000)*AY153*1000)^2)*1000</f>
        <v>20.247473149679088</v>
      </c>
      <c r="BE153" s="139">
        <f t="shared" ref="BE153:BE165" si="829">AW153*1000-58</f>
        <v>788530.70000000007</v>
      </c>
      <c r="BF153" s="152">
        <f t="shared" ref="BF153:BF165" si="830">AY153/2*1000</f>
        <v>390039.53933131369</v>
      </c>
      <c r="BG153" s="161">
        <f t="shared" ref="BG153:BG165" si="831">AY153/AW153*100</f>
        <v>98.920904986671417</v>
      </c>
      <c r="BH153" s="139"/>
      <c r="BI153" s="18"/>
      <c r="BJ153" s="18"/>
      <c r="BK153" s="18"/>
      <c r="BL153" s="18"/>
      <c r="BM153" s="18"/>
      <c r="BN153" s="160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11051</v>
      </c>
      <c r="B154" s="18" t="str">
        <f>Input!B154</f>
        <v>E4-Top</v>
      </c>
      <c r="C154" s="18">
        <f>Input!O154</f>
        <v>0.89514720418947968</v>
      </c>
      <c r="D154" s="18">
        <f>C154*Input!P154/100</f>
        <v>2.1513744541757623E-3</v>
      </c>
      <c r="E154" s="153">
        <f>Input!M154</f>
        <v>1.176448753920829</v>
      </c>
      <c r="F154" s="154">
        <f>E154*Input!N154/100</f>
        <v>6.326316873629064E-5</v>
      </c>
      <c r="G154" s="21">
        <f>E154*137.88</f>
        <v>162.20875419060391</v>
      </c>
      <c r="H154" s="154">
        <f>G154*Input!L154/100</f>
        <v>9.2090278128523495E-3</v>
      </c>
      <c r="I154" s="18">
        <v>0.3</v>
      </c>
      <c r="J154" s="130">
        <f>(((C154*Constants!$B$24*0.000000001*Input!G154*(Constants!$B$4/Constants!$B$3))-(I154*0.000000000000001))/Input!F154)*1000000000000</f>
        <v>61.692110937338335</v>
      </c>
      <c r="K154" s="18">
        <f>J154*Input!P154/100</f>
        <v>0.14826928003974729</v>
      </c>
      <c r="L154" s="135">
        <f>(J154/Constants!$B$4)*602200000000*Constants!$B$17/(365.2425*24*60)</f>
        <v>0.85172808915622134</v>
      </c>
      <c r="M154" s="133">
        <f>L154*Input!P154/100</f>
        <v>2.04702203653061E-3</v>
      </c>
      <c r="N154" s="18">
        <v>5.0000000000000001E-3</v>
      </c>
      <c r="O154" s="130">
        <f>(((G154*Constants!$B$23*0.000000001*Input!G154*(Constants!$B$7/Constants!$B$6))-(N154*0.000000001))/Input!F154)*1000000</f>
        <v>1.1261448746634397</v>
      </c>
      <c r="P154" s="18">
        <f>O154*Input!N154/100</f>
        <v>6.0558093151022627E-5</v>
      </c>
      <c r="Q154" s="131">
        <f>(O154/Constants!$B$7)*602200000000000000*Constants!$B$18/(365.2425*24*60)</f>
        <v>0.84024006802700479</v>
      </c>
      <c r="R154" s="132">
        <f>Q154*Input!N154/100</f>
        <v>4.518365039312368E-5</v>
      </c>
      <c r="S154" s="133">
        <f>Input!S154*Constants!$B$17/Constants!$B$18</f>
        <v>1.0080780171091357</v>
      </c>
      <c r="T154" s="18">
        <f>S154*Input!T154/100</f>
        <v>1.0791414864333982E-3</v>
      </c>
      <c r="U154" s="18">
        <f>S154*1/((U153+U155)/2)</f>
        <v>1.0084019735616068</v>
      </c>
      <c r="V154" s="18">
        <f>U154*Input!T154/100</f>
        <v>1.0794882798776813E-3</v>
      </c>
      <c r="W154" s="134">
        <v>3.0000000000000001E-3</v>
      </c>
      <c r="X154" s="130">
        <f>(((Constants!$B$25*0.000000001*Input!G154/Input!W154*(Constants!$B$11/Constants!$B$9)-(W154*0.000000001))/Input!F154)*1000000000)</f>
        <v>8.6459869432277277</v>
      </c>
      <c r="Y154" s="130">
        <f>X154*Input!X154/100</f>
        <v>1.7731651332936537E-2</v>
      </c>
      <c r="Z154" s="130">
        <f>(X154/Constants!$B$11)*6.022E+23*0.000000001*Constants!$B$19/(365.2425*24*60)</f>
        <v>2.1107649266260188E-3</v>
      </c>
      <c r="AA154" s="130">
        <f>Z154*Input!X154/100</f>
        <v>4.3288693321518632E-6</v>
      </c>
      <c r="AB154" s="135">
        <v>0.05</v>
      </c>
      <c r="AC154" s="135">
        <v>0</v>
      </c>
      <c r="AD154" s="130">
        <f>(((Input!G154*Constants!$B$25*0.000000001*Input!U154*(Constants!$B$10/Constants!$B$9))-((AB154*0.000000000000001)+(Input!G154*AC154*0.000000000000001)))/Input!F154)*1000000000000</f>
        <v>0.40542142619064186</v>
      </c>
      <c r="AE154" s="130">
        <f>AD154*Input!V154/100</f>
        <v>3.2010218737162648E-3</v>
      </c>
      <c r="AF154" s="130">
        <f>(AD154/Constants!$B$10)*602200000000*Constants!$B$16/(365.2425*24*60)</f>
        <v>1.8505732008253218E-2</v>
      </c>
      <c r="AG154" s="130">
        <f>AF154*Input!V154/100</f>
        <v>1.4611278319487378E-4</v>
      </c>
      <c r="AH154" s="18">
        <f>AF154/Z154</f>
        <v>8.767310738782248</v>
      </c>
      <c r="AI154" s="134">
        <f>AH154*SQRT((AG154/AF154)^2+(AA154/Z154)^2)</f>
        <v>7.1519754223957871E-2</v>
      </c>
      <c r="AJ154" s="133">
        <f t="shared" si="815"/>
        <v>8.4019735616067681</v>
      </c>
      <c r="AK154" s="134">
        <f>V154*1000</f>
        <v>1.0794882798776813</v>
      </c>
      <c r="AL154" s="134">
        <f>AF154/Q154</f>
        <v>2.2024338891273219E-2</v>
      </c>
      <c r="AM154" s="134">
        <f>AL154*SQRT((R154/Q154)^2+(AG154/AF154)^2)</f>
        <v>1.7389812453456443E-4</v>
      </c>
      <c r="AN154" s="18">
        <f>AL154*1/((AN153+AN155)/2)</f>
        <v>2.2054017885676867E-2</v>
      </c>
      <c r="AO154" s="130">
        <f>AN154*SQRT((R154/Q154)^2+(AG154/AF154)^2)</f>
        <v>1.7413246171446095E-4</v>
      </c>
      <c r="AP154" s="18">
        <f>ThU_Alter_Kombi(AN154,U154)</f>
        <v>2.4112</v>
      </c>
      <c r="AQ154" s="18">
        <f t="shared" si="821"/>
        <v>2.12E-2</v>
      </c>
      <c r="AR154" s="155">
        <f>(AQ154/AP154)</f>
        <v>8.7923025879230263E-3</v>
      </c>
      <c r="AS154" s="132">
        <f t="shared" si="822"/>
        <v>2.5120974432728195E-3</v>
      </c>
      <c r="AT154" s="132">
        <f t="shared" si="823"/>
        <v>5.1537142036301233E-6</v>
      </c>
      <c r="AU154" s="18">
        <v>0.75</v>
      </c>
      <c r="AV154" s="18">
        <f>AU154/2</f>
        <v>0.375</v>
      </c>
      <c r="AW154" s="18">
        <f t="shared" si="825"/>
        <v>2.2073</v>
      </c>
      <c r="AX154" s="136">
        <f t="shared" si="826"/>
        <v>0.1033011632</v>
      </c>
      <c r="AY154" s="136">
        <f t="shared" si="827"/>
        <v>0.10402734124680911</v>
      </c>
      <c r="AZ154" s="155">
        <f t="shared" si="828"/>
        <v>4.6799783989489425E-2</v>
      </c>
      <c r="BA154" s="18" t="str">
        <f>Input!B154</f>
        <v>E4-Top</v>
      </c>
      <c r="BB154" s="137" t="str">
        <f>Input!E154</f>
        <v>Top</v>
      </c>
      <c r="BC154" s="18">
        <f>((U154-1)*EXP(Constants!$B$17*AW154*1000))*1000</f>
        <v>8.4544739187982945</v>
      </c>
      <c r="BD154" s="133">
        <f>SQRT((EXP(Constants!$B$17*AW154*1000)*V154)^2+((U154-1)*Constants!$B$17*EXP(Constants!$B$17*AW154*1000)*AY154*1000)^2)*1000</f>
        <v>1.0862363783575866</v>
      </c>
      <c r="BE154" s="18">
        <f t="shared" si="829"/>
        <v>2149.3000000000002</v>
      </c>
      <c r="BF154" s="138">
        <f t="shared" si="830"/>
        <v>52.013670623404558</v>
      </c>
      <c r="BG154" s="20">
        <f t="shared" si="831"/>
        <v>4.7128773273596298</v>
      </c>
      <c r="BH154" s="18"/>
      <c r="BI154" s="18"/>
      <c r="BJ154" s="18"/>
      <c r="BK154" s="18"/>
      <c r="BL154" s="18"/>
      <c r="BM154" s="18"/>
      <c r="BN154" s="160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9">
        <f>Input!A155</f>
        <v>10815</v>
      </c>
      <c r="B155" s="139" t="str">
        <f>Input!B155</f>
        <v>Hu1-13</v>
      </c>
      <c r="C155" s="139">
        <f>Input!O155</f>
        <v>2.0844667047667018</v>
      </c>
      <c r="D155" s="139">
        <f>C155*Input!P155/100</f>
        <v>2.4894982229843276E-2</v>
      </c>
      <c r="E155" s="140">
        <f>Input!M155</f>
        <v>2.7315263416882076</v>
      </c>
      <c r="F155" s="141">
        <f>E155*Input!N155/100</f>
        <v>3.1457912100827642E-4</v>
      </c>
      <c r="G155" s="142">
        <f t="shared" ref="G155" si="832">E155*137.88</f>
        <v>376.62285199197004</v>
      </c>
      <c r="H155" s="141">
        <f>G155*Input!L155/100</f>
        <v>2.8316343409619839E-2</v>
      </c>
      <c r="I155" s="139">
        <v>0</v>
      </c>
      <c r="J155" s="143">
        <f>(((C155*Constants!$B$24*0.000000001*Input!G155*(Constants!$B$4/Constants!$B$3))-(I155*0.000000000000001))/Input!F155)*1000000000000</f>
        <v>752.57073690674997</v>
      </c>
      <c r="K155" s="139">
        <f>J155*Input!P155/100</f>
        <v>8.9880232095578076</v>
      </c>
      <c r="L155" s="144">
        <f>(J155/Constants!$B$4)*602200000000*Constants!$B$17/(365.2425*24*60)</f>
        <v>10.390074613454788</v>
      </c>
      <c r="M155" s="145">
        <f>L155*Input!P155/100</f>
        <v>0.12408963994349459</v>
      </c>
      <c r="N155" s="139">
        <v>0</v>
      </c>
      <c r="O155" s="143">
        <f>(((G155*Constants!$B$23*0.000000001*Input!G155*(Constants!$B$7/Constants!$B$6))-(N155*0.000000001))/Input!F155)*1000000</f>
        <v>13.697475521593434</v>
      </c>
      <c r="P155" s="139">
        <f>O155*Input!N155/100</f>
        <v>1.5774842599365613E-3</v>
      </c>
      <c r="Q155" s="146">
        <f>(O155/Constants!$B$7)*602200000000000000*Constants!$B$18/(365.2425*24*60)</f>
        <v>10.219970825247094</v>
      </c>
      <c r="R155" s="147">
        <f>Q155*Input!N155/100</f>
        <v>1.176993752492773E-3</v>
      </c>
      <c r="S155" s="145">
        <f>Input!S155*Constants!$B$17/Constants!$B$18</f>
        <v>0.99944072170861542</v>
      </c>
      <c r="T155" s="139">
        <f>S155*Input!T155/100</f>
        <v>1.6050152022937662E-3</v>
      </c>
      <c r="U155" s="145">
        <f>S155</f>
        <v>0.99944072170861542</v>
      </c>
      <c r="V155" s="139">
        <f>U155*Input!T155/100</f>
        <v>1.6050152022937662E-3</v>
      </c>
      <c r="W155" s="148">
        <v>0</v>
      </c>
      <c r="X155" s="143">
        <f>(((Constants!$B$25*0.000000001*Input!G155/Input!W155*(Constants!$B$11/Constants!$B$9))-(W155*0.000000001))/Input!F155)*1000000000</f>
        <v>1.0130234200777388</v>
      </c>
      <c r="Y155" s="143">
        <f>X155*Input!X155/100</f>
        <v>5.098499943939642E-3</v>
      </c>
      <c r="Z155" s="143">
        <f>(X155/Constants!$B$11)*6.022E+23*0.000000001*Constants!$B$19/(365.2425*24*60)</f>
        <v>2.4731176660238764E-4</v>
      </c>
      <c r="AA155" s="143">
        <f>Z155*Input!X155/100</f>
        <v>1.2447086643476859E-6</v>
      </c>
      <c r="AB155" s="144">
        <v>0</v>
      </c>
      <c r="AC155" s="144">
        <v>0</v>
      </c>
      <c r="AD155" s="143">
        <f>(((Input!G155*Constants!$B$25*0.000000001*Input!U155*(Constants!$B$10/Constants!$B$9))-((AB155*0.000000000000001)+(Input!G155*AC155*0.000000000000001)))/Input!F155)*1000000000000</f>
        <v>223.48398199198274</v>
      </c>
      <c r="AE155" s="143">
        <f>AD155*Input!V155/100</f>
        <v>0.80668192103617531</v>
      </c>
      <c r="AF155" s="143">
        <f>(AD155/Constants!$B$10)*602200000000*Constants!$B$16/(365.2425*24*60)</f>
        <v>10.201075749105003</v>
      </c>
      <c r="AG155" s="143">
        <f>AF155*Input!V155/100</f>
        <v>3.6821535523824583E-2</v>
      </c>
      <c r="AH155" s="139">
        <f t="shared" ref="AH155" si="833">AF155/Z155</f>
        <v>41247.838262000907</v>
      </c>
      <c r="AI155" s="148">
        <f t="shared" ref="AI155" si="834">AH155*SQRT((AG155/AF155)^2+(AA155/Z155)^2)</f>
        <v>255.46916321032012</v>
      </c>
      <c r="AJ155" s="145">
        <f t="shared" si="815"/>
        <v>-0.55927829138457952</v>
      </c>
      <c r="AK155" s="148">
        <f t="shared" ref="AK155" si="835">V155*1000</f>
        <v>1.6050152022937663</v>
      </c>
      <c r="AL155" s="148">
        <f t="shared" ref="AL155" si="836">AF155/Q155</f>
        <v>0.99815116144016647</v>
      </c>
      <c r="AM155" s="148">
        <f t="shared" ref="AM155" si="837">AL155*SQRT((R155/Q155)^2+(AG155/AF155)^2)</f>
        <v>3.604733623000296E-3</v>
      </c>
      <c r="AN155" s="139">
        <f>AF155/Q155</f>
        <v>0.99815116144016647</v>
      </c>
      <c r="AO155" s="143">
        <f t="shared" ref="AO155" si="838">AN155*SQRT((R155/Q155)^2+(AG155/AF155)^2)</f>
        <v>3.604733623000296E-3</v>
      </c>
      <c r="AP155" s="139">
        <f t="shared" ref="AP155" si="839">ThU_Alter_Kombi(AN155,U155)</f>
        <v>748.15350000000001</v>
      </c>
      <c r="AQ155" s="139" t="e">
        <f t="shared" si="821"/>
        <v>#VALUE!</v>
      </c>
      <c r="AR155" s="139" t="e">
        <f>(AQ155/AP155)*100</f>
        <v>#VALUE!</v>
      </c>
      <c r="AS155" s="147">
        <f t="shared" si="822"/>
        <v>2.4198872074217321E-5</v>
      </c>
      <c r="AT155" s="147">
        <f t="shared" si="823"/>
        <v>1.2182368329083893E-7</v>
      </c>
      <c r="AU155" s="139">
        <v>0.75</v>
      </c>
      <c r="AV155" s="139">
        <f t="shared" ref="AV155" si="840">AU155/2</f>
        <v>0.375</v>
      </c>
      <c r="AW155" s="139">
        <f t="shared" si="825"/>
        <v>748.15150000000006</v>
      </c>
      <c r="AX155" s="149">
        <f t="shared" si="826"/>
        <v>343.90262109439999</v>
      </c>
      <c r="AY155" s="149">
        <f t="shared" si="827"/>
        <v>443.44487551110336</v>
      </c>
      <c r="AZ155" s="150">
        <f t="shared" si="828"/>
        <v>0.45966976086314065</v>
      </c>
      <c r="BA155" s="139" t="str">
        <f>Input!B155</f>
        <v>Hu1-13</v>
      </c>
      <c r="BB155" s="151">
        <f>Input!E155</f>
        <v>0</v>
      </c>
      <c r="BC155" s="139">
        <f>((U155-1)*EXP(Constants!$B$17*AW155*1000))*1000</f>
        <v>-4.6191944585963771</v>
      </c>
      <c r="BD155" s="145">
        <f>SQRT((EXP(Constants!$B$17*AW155*1000)*V155)^2+((U155-1)*Constants!$B$17*EXP(Constants!$B$17*AW155*1000)*AY155*1000)^2)*1000</f>
        <v>14.461699310705175</v>
      </c>
      <c r="BE155" s="139">
        <f t="shared" si="829"/>
        <v>748093.5</v>
      </c>
      <c r="BF155" s="152">
        <f t="shared" si="830"/>
        <v>221722.43775555168</v>
      </c>
      <c r="BG155" s="161">
        <f t="shared" si="831"/>
        <v>59.272069294936024</v>
      </c>
      <c r="BH155" s="139"/>
      <c r="BI155" s="18"/>
      <c r="BJ155" s="18"/>
      <c r="BK155" s="18"/>
      <c r="BL155" s="18"/>
      <c r="BM155" s="18"/>
      <c r="BN155" s="160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6" spans="1:110" ht="15" customHeight="1" x14ac:dyDescent="0.2">
      <c r="A156" s="18">
        <f>Input!A156</f>
        <v>11052</v>
      </c>
      <c r="B156" s="18" t="str">
        <f>Input!B156</f>
        <v>E4-10</v>
      </c>
      <c r="C156" s="18">
        <f>Input!O156</f>
        <v>1.4636410179915931</v>
      </c>
      <c r="D156" s="18">
        <f>C156*Input!P156/100</f>
        <v>4.7502410582158884E-3</v>
      </c>
      <c r="E156" s="153">
        <f>Input!M156</f>
        <v>1.9209735371407597</v>
      </c>
      <c r="F156" s="154">
        <f>E156*Input!N156/100</f>
        <v>1.25897297028931E-4</v>
      </c>
      <c r="G156" s="21">
        <f>E156*137.88</f>
        <v>264.86383130096795</v>
      </c>
      <c r="H156" s="154">
        <f>G156*Input!L156/100</f>
        <v>1.2490971941568913E-2</v>
      </c>
      <c r="I156" s="18">
        <v>0.3</v>
      </c>
      <c r="J156" s="130">
        <f>(((C156*Constants!$B$24*0.000000001*Input!G156*(Constants!$B$4/Constants!$B$3))-(I156*0.000000000000001))/Input!F156)*1000000000000</f>
        <v>63.262477234324521</v>
      </c>
      <c r="K156" s="18">
        <f>J156*Input!P156/100</f>
        <v>0.20531811633381153</v>
      </c>
      <c r="L156" s="135">
        <f>(J156/Constants!$B$4)*602200000000*Constants!$B$17/(365.2425*24*60)</f>
        <v>0.87340873948711895</v>
      </c>
      <c r="M156" s="133">
        <f>L156*Input!P156/100</f>
        <v>2.8346445637396911E-3</v>
      </c>
      <c r="N156" s="18">
        <v>5.0000000000000001E-3</v>
      </c>
      <c r="O156" s="130">
        <f>(((G156*Constants!$B$23*0.000000001*Input!G156*(Constants!$B$7/Constants!$B$6))-(N156*0.000000001))/Input!F156)*1000000</f>
        <v>1.1532353176726484</v>
      </c>
      <c r="P156" s="18">
        <f>O156*Input!N156/100</f>
        <v>7.5581056441512143E-5</v>
      </c>
      <c r="Q156" s="131">
        <f>(O156/Constants!$B$7)*602200000000000000*Constants!$B$18/(365.2425*24*60)</f>
        <v>0.86045280991222794</v>
      </c>
      <c r="R156" s="132">
        <f>Q156*Input!N156/100</f>
        <v>5.6392595157837541E-5</v>
      </c>
      <c r="S156" s="133">
        <f>Input!S156*Constants!$B$17/Constants!$B$18</f>
        <v>1.0081481510176888</v>
      </c>
      <c r="T156" s="18">
        <f>S156*Input!T156/100</f>
        <v>8.9248869751469551E-4</v>
      </c>
      <c r="U156" s="18">
        <f>S156*1/((U155+U157)/2)</f>
        <v>1.0080768555702548</v>
      </c>
      <c r="V156" s="18">
        <f>U156*Input!T156/100</f>
        <v>8.9242558141320303E-4</v>
      </c>
      <c r="W156" s="134">
        <v>3.0000000000000001E-3</v>
      </c>
      <c r="X156" s="130">
        <f>(((Constants!$B$25*0.000000001*Input!G156/Input!W156*(Constants!$B$11/Constants!$B$9)-(W156*0.000000001))/Input!F156)*1000000000)</f>
        <v>2.2912917012859912</v>
      </c>
      <c r="Y156" s="130">
        <f>X156*Input!X156/100</f>
        <v>4.1230640071918687E-3</v>
      </c>
      <c r="Z156" s="130">
        <f>(X156/Constants!$B$11)*6.022E+23*0.000000001*Constants!$B$19/(365.2425*24*60)</f>
        <v>5.593783788364374E-4</v>
      </c>
      <c r="AA156" s="130">
        <f>Z156*Input!X156/100</f>
        <v>1.006573217581772E-6</v>
      </c>
      <c r="AB156" s="135">
        <v>0.05</v>
      </c>
      <c r="AC156" s="135">
        <v>0</v>
      </c>
      <c r="AD156" s="130">
        <f>(((Input!G156*Constants!$B$25*0.000000001*Input!U156*(Constants!$B$10/Constants!$B$9))-((AB156*0.000000000000001)+(Input!G156*AC156*0.000000000000001)))/Input!F156)*1000000000000</f>
        <v>0.22181473171039531</v>
      </c>
      <c r="AE156" s="130">
        <f>AD156*Input!V156/100</f>
        <v>2.1853871476762029E-3</v>
      </c>
      <c r="AF156" s="130">
        <f>(AD156/Constants!$B$10)*602200000000*Constants!$B$16/(365.2425*24*60)</f>
        <v>1.0124881704167595E-2</v>
      </c>
      <c r="AG156" s="130">
        <f>AF156*Input!V156/100</f>
        <v>9.9753457209140006E-5</v>
      </c>
      <c r="AH156" s="18">
        <f>AF156/Z156</f>
        <v>18.100237848356517</v>
      </c>
      <c r="AI156" s="134">
        <f>AH156*SQRT((AG156/AF156)^2+(AA156/Z156)^2)</f>
        <v>0.18127910065421596</v>
      </c>
      <c r="AJ156" s="133">
        <f t="shared" si="815"/>
        <v>8.0768555702548372</v>
      </c>
      <c r="AK156" s="134">
        <f>V156*1000</f>
        <v>0.89242558141320305</v>
      </c>
      <c r="AL156" s="134">
        <f>AF156/Q156</f>
        <v>1.1766922703408223E-2</v>
      </c>
      <c r="AM156" s="134">
        <f>AL156*SQRT((R156/Q156)^2+(AG156/AF156)^2)</f>
        <v>1.1593391652016855E-4</v>
      </c>
      <c r="AN156" s="18">
        <f>AL156*1/((AN155+AN157)/2)</f>
        <v>1.1789044949680888E-2</v>
      </c>
      <c r="AO156" s="130">
        <f>AN156*SQRT((R156/Q156)^2+(AG156/AF156)^2)</f>
        <v>1.1615187653548086E-4</v>
      </c>
      <c r="AP156" s="18">
        <f>ThU_Alter_Kombi(AN156,U156)</f>
        <v>1.2827</v>
      </c>
      <c r="AQ156" s="18">
        <f t="shared" si="821"/>
        <v>1.2699999999999999E-2</v>
      </c>
      <c r="AR156" s="155">
        <f>(AQ156/AP156)</f>
        <v>9.9009900990099011E-3</v>
      </c>
      <c r="AS156" s="132">
        <f t="shared" si="822"/>
        <v>6.5009768390842705E-4</v>
      </c>
      <c r="AT156" s="132">
        <f t="shared" si="823"/>
        <v>1.1705936684092143E-6</v>
      </c>
      <c r="AU156" s="18">
        <v>0.75</v>
      </c>
      <c r="AV156" s="18">
        <f>AU156/2</f>
        <v>0.375</v>
      </c>
      <c r="AW156" s="18">
        <f t="shared" si="825"/>
        <v>1.23</v>
      </c>
      <c r="AX156" s="136">
        <f t="shared" si="826"/>
        <v>2.8352496800000002E-2</v>
      </c>
      <c r="AY156" s="136">
        <f t="shared" si="827"/>
        <v>2.9347445055768057E-2</v>
      </c>
      <c r="AZ156" s="155">
        <f t="shared" si="828"/>
        <v>2.3050810406504068E-2</v>
      </c>
      <c r="BA156" s="18" t="str">
        <f>Input!B156</f>
        <v>E4-10</v>
      </c>
      <c r="BB156" s="137">
        <f>Input!E156</f>
        <v>10</v>
      </c>
      <c r="BC156" s="18">
        <f>((U156-1)*EXP(Constants!$B$17*AW156*1000))*1000</f>
        <v>8.1049401310579015</v>
      </c>
      <c r="BD156" s="133">
        <f>SQRT((EXP(Constants!$B$17*AW156*1000)*V156)^2+((U156-1)*Constants!$B$17*EXP(Constants!$B$17*AW156*1000)*AY156*1000)^2)*1000</f>
        <v>0.89552894412657913</v>
      </c>
      <c r="BE156" s="18">
        <f t="shared" si="829"/>
        <v>1172</v>
      </c>
      <c r="BF156" s="138">
        <f t="shared" si="830"/>
        <v>14.673722527884028</v>
      </c>
      <c r="BG156" s="20">
        <f t="shared" si="831"/>
        <v>2.3859711427453707</v>
      </c>
      <c r="BH156" s="18"/>
      <c r="BI156" s="18"/>
      <c r="BJ156" s="18"/>
      <c r="BK156" s="18"/>
      <c r="BL156" s="18"/>
      <c r="BM156" s="18"/>
      <c r="BN156" s="160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</row>
    <row r="157" spans="1:110" ht="15" customHeight="1" x14ac:dyDescent="0.2">
      <c r="A157" s="139">
        <f>Input!A157</f>
        <v>10815</v>
      </c>
      <c r="B157" s="139" t="str">
        <f>Input!B157</f>
        <v>Hu1-13</v>
      </c>
      <c r="C157" s="139">
        <f>Input!O157</f>
        <v>2.120905043560803</v>
      </c>
      <c r="D157" s="139">
        <f>C157*Input!P157/100</f>
        <v>1.6779706181419728E-2</v>
      </c>
      <c r="E157" s="140">
        <f>Input!M157</f>
        <v>2.7321921895168897</v>
      </c>
      <c r="F157" s="141">
        <f>E157*Input!N157/100</f>
        <v>3.7458212146875155E-4</v>
      </c>
      <c r="G157" s="142">
        <f t="shared" ref="G157" si="841">E157*137.88</f>
        <v>376.71465909058873</v>
      </c>
      <c r="H157" s="141">
        <f>G157*Input!L157/100</f>
        <v>3.0550081015168082E-2</v>
      </c>
      <c r="I157" s="139">
        <v>0</v>
      </c>
      <c r="J157" s="143">
        <f>(((C157*Constants!$B$24*0.000000001*Input!G157*(Constants!$B$4/Constants!$B$3))-(I157*0.000000000000001))/Input!F157)*1000000000000</f>
        <v>765.72634520465442</v>
      </c>
      <c r="K157" s="139">
        <f>J157*Input!P157/100</f>
        <v>6.0581038867891799</v>
      </c>
      <c r="L157" s="144">
        <f>(J157/Constants!$B$4)*602200000000*Constants!$B$17/(365.2425*24*60)</f>
        <v>10.571702392874476</v>
      </c>
      <c r="M157" s="145">
        <f>L157*Input!P157/100</f>
        <v>8.3638850559770508E-2</v>
      </c>
      <c r="N157" s="139">
        <v>0</v>
      </c>
      <c r="O157" s="143">
        <f>(((G157*Constants!$B$23*0.000000001*Input!G157*(Constants!$B$7/Constants!$B$6))-(N157*0.000000001))/Input!F157)*1000000</f>
        <v>13.700814473224721</v>
      </c>
      <c r="P157" s="139">
        <f>O157*Input!N157/100</f>
        <v>1.8783745048834774E-3</v>
      </c>
      <c r="Q157" s="146">
        <f>(O157/Constants!$B$7)*602200000000000000*Constants!$B$18/(365.2425*24*60)</f>
        <v>10.222462086370713</v>
      </c>
      <c r="R157" s="147">
        <f>Q157*Input!N157/100</f>
        <v>1.4014942102677258E-3</v>
      </c>
      <c r="S157" s="145">
        <f>Input!S157*Constants!$B$17/Constants!$B$18</f>
        <v>1.000700726727662</v>
      </c>
      <c r="T157" s="139">
        <f>S157*Input!T157/100</f>
        <v>1.5567985225316259E-3</v>
      </c>
      <c r="U157" s="145">
        <f>S157</f>
        <v>1.000700726727662</v>
      </c>
      <c r="V157" s="139">
        <f>U157*Input!T157/100</f>
        <v>1.5567985225316259E-3</v>
      </c>
      <c r="W157" s="148">
        <v>0</v>
      </c>
      <c r="X157" s="143">
        <f>(((Constants!$B$25*0.000000001*Input!G157/Input!W157*(Constants!$B$11/Constants!$B$9))-(W157*0.000000001))/Input!F157)*1000000000</f>
        <v>1.0026933737422072</v>
      </c>
      <c r="Y157" s="143">
        <f>X157*Input!X157/100</f>
        <v>5.1527487646476433E-3</v>
      </c>
      <c r="Z157" s="143">
        <f>(X157/Constants!$B$11)*6.022E+23*0.000000001*Constants!$B$19/(365.2425*24*60)</f>
        <v>2.4478986833459751E-4</v>
      </c>
      <c r="AA157" s="143">
        <f>Z157*Input!X157/100</f>
        <v>1.2579525552780282E-6</v>
      </c>
      <c r="AB157" s="144">
        <v>0</v>
      </c>
      <c r="AC157" s="144">
        <v>0</v>
      </c>
      <c r="AD157" s="143">
        <f>(((Input!G157*Constants!$B$25*0.000000001*Input!U157*(Constants!$B$10/Constants!$B$9))-((AB157*0.000000000000001)+(Input!G157*AC157*0.000000000000001)))/Input!F157)*1000000000000</f>
        <v>223.52606571733503</v>
      </c>
      <c r="AE157" s="143">
        <f>AD157*Input!V157/100</f>
        <v>0.78084965674791307</v>
      </c>
      <c r="AF157" s="143">
        <f>(AD157/Constants!$B$10)*602200000000*Constants!$B$16/(365.2425*24*60)</f>
        <v>10.20299668888018</v>
      </c>
      <c r="AG157" s="143">
        <f>AF157*Input!V157/100</f>
        <v>3.5642404552438382E-2</v>
      </c>
      <c r="AH157" s="139">
        <f t="shared" ref="AH157" si="842">AF157/Z157</f>
        <v>41680.633100933512</v>
      </c>
      <c r="AI157" s="148">
        <f t="shared" ref="AI157" si="843">AH157*SQRT((AG157/AF157)^2+(AA157/Z157)^2)</f>
        <v>258.99644815964012</v>
      </c>
      <c r="AJ157" s="145">
        <f t="shared" si="815"/>
        <v>0.70072672766197108</v>
      </c>
      <c r="AK157" s="148">
        <f t="shared" ref="AK157" si="844">V157*1000</f>
        <v>1.5567985225316259</v>
      </c>
      <c r="AL157" s="148">
        <f t="shared" ref="AL157" si="845">AF157/Q157</f>
        <v>0.99809582101395267</v>
      </c>
      <c r="AM157" s="148">
        <f t="shared" ref="AM157" si="846">AL157*SQRT((R157/Q157)^2+(AG157/AF157)^2)</f>
        <v>3.489359306521226E-3</v>
      </c>
      <c r="AN157" s="139">
        <f>AF157/Q157</f>
        <v>0.99809582101395267</v>
      </c>
      <c r="AO157" s="143">
        <f t="shared" ref="AO157" si="847">AN157*SQRT((R157/Q157)^2+(AG157/AF157)^2)</f>
        <v>3.489359306521226E-3</v>
      </c>
      <c r="AP157" s="139">
        <f t="shared" ref="AP157" si="848">ThU_Alter_Kombi(AN157,U157)</f>
        <v>637.20669999999996</v>
      </c>
      <c r="AQ157" s="139" t="e">
        <f t="shared" si="821"/>
        <v>#VALUE!</v>
      </c>
      <c r="AR157" s="139" t="e">
        <f>(AQ157/AP157)*100</f>
        <v>#VALUE!</v>
      </c>
      <c r="AS157" s="147">
        <f t="shared" si="822"/>
        <v>2.3946273047172082E-5</v>
      </c>
      <c r="AT157" s="147">
        <f t="shared" si="823"/>
        <v>1.2310147412965563E-7</v>
      </c>
      <c r="AU157" s="139">
        <v>0.75</v>
      </c>
      <c r="AV157" s="139">
        <f t="shared" ref="AV157" si="849">AU157/2</f>
        <v>0.375</v>
      </c>
      <c r="AW157" s="139">
        <f t="shared" si="825"/>
        <v>637.2047</v>
      </c>
      <c r="AX157" s="149">
        <f t="shared" si="826"/>
        <v>291.51754553360001</v>
      </c>
      <c r="AY157" s="149">
        <f t="shared" si="827"/>
        <v>153.71869025093432</v>
      </c>
      <c r="AZ157" s="150">
        <f t="shared" si="828"/>
        <v>0.45749434292245494</v>
      </c>
      <c r="BA157" s="139" t="str">
        <f>Input!B157</f>
        <v>Hu1-13</v>
      </c>
      <c r="BB157" s="151">
        <f>Input!E157</f>
        <v>0</v>
      </c>
      <c r="BC157" s="139">
        <f>((U157-1)*EXP(Constants!$B$17*AW157*1000))*1000</f>
        <v>4.2316525713908515</v>
      </c>
      <c r="BD157" s="145">
        <f>SQRT((EXP(Constants!$B$17*AW157*1000)*V157)^2+((U157-1)*Constants!$B$17*EXP(Constants!$B$17*AW157*1000)*AY157*1000)^2)*1000</f>
        <v>9.5789677955202581</v>
      </c>
      <c r="BE157" s="139">
        <f t="shared" si="829"/>
        <v>637146.69999999995</v>
      </c>
      <c r="BF157" s="152">
        <f t="shared" si="830"/>
        <v>76859.345125467153</v>
      </c>
      <c r="BG157" s="161">
        <f t="shared" si="831"/>
        <v>24.12391029930167</v>
      </c>
      <c r="BH157" s="139"/>
      <c r="BI157" s="18"/>
      <c r="BJ157" s="18"/>
      <c r="BK157" s="18"/>
      <c r="BL157" s="18"/>
      <c r="BM157" s="18"/>
      <c r="BN157" s="160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11053</v>
      </c>
      <c r="B158" s="18" t="str">
        <f>Input!B158</f>
        <v>E4-37</v>
      </c>
      <c r="C158" s="18">
        <f>Input!O158</f>
        <v>1.3934932150467656</v>
      </c>
      <c r="D158" s="18">
        <f>C158*Input!P158/100</f>
        <v>3.3069179109777467E-3</v>
      </c>
      <c r="E158" s="153">
        <f>Input!M158</f>
        <v>1.8279617895844618</v>
      </c>
      <c r="F158" s="154">
        <f>E158*Input!N158/100</f>
        <v>7.7907724897408035E-5</v>
      </c>
      <c r="G158" s="21">
        <f>E158*137.88</f>
        <v>252.03937154790557</v>
      </c>
      <c r="H158" s="154">
        <f>G158*Input!L158/100</f>
        <v>1.4593097096728529E-2</v>
      </c>
      <c r="I158" s="18">
        <v>0.3</v>
      </c>
      <c r="J158" s="130">
        <f>(((C158*Constants!$B$24*0.000000001*Input!G158*(Constants!$B$4/Constants!$B$3))-(I158*0.000000000000001))/Input!F158)*1000000000000</f>
        <v>40.871052757993091</v>
      </c>
      <c r="K158" s="18">
        <f>J158*Input!P158/100</f>
        <v>9.6991657330307068E-2</v>
      </c>
      <c r="L158" s="135">
        <f>(J158/Constants!$B$4)*602200000000*Constants!$B$17/(365.2425*24*60)</f>
        <v>0.56427026306048556</v>
      </c>
      <c r="M158" s="133">
        <f>L158*Input!P158/100</f>
        <v>1.339077520721349E-3</v>
      </c>
      <c r="N158" s="18">
        <v>5.0000000000000001E-3</v>
      </c>
      <c r="O158" s="130">
        <f>(((G158*Constants!$B$23*0.000000001*Input!G158*(Constants!$B$7/Constants!$B$6))-(N158*0.000000001))/Input!F158)*1000000</f>
        <v>0.74466860784049616</v>
      </c>
      <c r="P158" s="18">
        <f>O158*Input!N158/100</f>
        <v>3.1737773387791361E-5</v>
      </c>
      <c r="Q158" s="131">
        <f>(O158/Constants!$B$7)*602200000000000000*Constants!$B$18/(365.2425*24*60)</f>
        <v>0.55561270648811556</v>
      </c>
      <c r="R158" s="132">
        <f>Q158*Input!N158/100</f>
        <v>2.3680211552135592E-5</v>
      </c>
      <c r="S158" s="133">
        <f>Input!S158*Constants!$B$17/Constants!$B$18</f>
        <v>1.0078866591927862</v>
      </c>
      <c r="T158" s="18">
        <f>S158*Input!T158/100</f>
        <v>9.2432616452457978E-4</v>
      </c>
      <c r="U158" s="18">
        <f>S158*1/((U157+U159)/2)</f>
        <v>1.0065246901651013</v>
      </c>
      <c r="V158" s="18">
        <f>U158*Input!T158/100</f>
        <v>9.2307711177040458E-4</v>
      </c>
      <c r="W158" s="134">
        <v>3.0000000000000001E-3</v>
      </c>
      <c r="X158" s="130">
        <f>(((Constants!$B$25*0.000000001*Input!G158/Input!W158*(Constants!$B$11/Constants!$B$9)-(W158*0.000000001))/Input!F158)*1000000000)</f>
        <v>1.1864534525142549</v>
      </c>
      <c r="Y158" s="130">
        <f>X158*Input!X158/100</f>
        <v>3.0993463491790535E-3</v>
      </c>
      <c r="Z158" s="130">
        <f>(X158/Constants!$B$11)*6.022E+23*0.000000001*Constants!$B$19/(365.2425*24*60)</f>
        <v>2.8965164429296732E-4</v>
      </c>
      <c r="AA158" s="130">
        <f>Z158*Input!X158/100</f>
        <v>7.5665064176829307E-7</v>
      </c>
      <c r="AB158" s="135">
        <v>0.05</v>
      </c>
      <c r="AC158" s="135">
        <v>0</v>
      </c>
      <c r="AD158" s="130">
        <f>(((Input!G158*Constants!$B$25*0.000000001*Input!U158*(Constants!$B$10/Constants!$B$9))-((AB158*0.000000000000001)+(Input!G158*AC158*0.000000000000001)))/Input!F158)*1000000000000</f>
        <v>0.19186702162441949</v>
      </c>
      <c r="AE158" s="130">
        <f>AD158*Input!V158/100</f>
        <v>1.8598683397377622E-3</v>
      </c>
      <c r="AF158" s="130">
        <f>(AD158/Constants!$B$10)*602200000000*Constants!$B$16/(365.2425*24*60)</f>
        <v>8.7578984583158419E-3</v>
      </c>
      <c r="AG158" s="130">
        <f>AF158*Input!V158/100</f>
        <v>8.4894933623062518E-5</v>
      </c>
      <c r="AH158" s="18">
        <f>AF158/Z158</f>
        <v>30.235970107104556</v>
      </c>
      <c r="AI158" s="134">
        <f>AH158*SQRT((AG158/AF158)^2+(AA158/Z158)^2)</f>
        <v>0.30354938525327119</v>
      </c>
      <c r="AJ158" s="133">
        <f t="shared" si="815"/>
        <v>6.5246901651012656</v>
      </c>
      <c r="AK158" s="134">
        <f>V158*1000</f>
        <v>0.92307711177040452</v>
      </c>
      <c r="AL158" s="134">
        <f>AF158/Q158</f>
        <v>1.5762595700289608E-2</v>
      </c>
      <c r="AM158" s="134">
        <f>AL158*SQRT((R158/Q158)^2+(AG158/AF158)^2)</f>
        <v>1.5279663909098846E-4</v>
      </c>
      <c r="AN158" s="18">
        <f>AL158*1/((AN157+AN159)/2)</f>
        <v>1.5802615425265686E-2</v>
      </c>
      <c r="AO158" s="130">
        <f>AN158*SQRT((R158/Q158)^2+(AG158/AF158)^2)</f>
        <v>1.5318457516382561E-4</v>
      </c>
      <c r="AP158" s="18">
        <f>ThU_Alter_Kombi(AN158,U158)</f>
        <v>1.7256</v>
      </c>
      <c r="AQ158" s="18">
        <f t="shared" si="821"/>
        <v>1.52E-2</v>
      </c>
      <c r="AR158" s="155">
        <f>(AQ158/AP158)</f>
        <v>8.8085303662494199E-3</v>
      </c>
      <c r="AS158" s="132">
        <f t="shared" si="822"/>
        <v>5.2131933073269786E-4</v>
      </c>
      <c r="AT158" s="132">
        <f t="shared" si="823"/>
        <v>1.3620123006231873E-6</v>
      </c>
      <c r="AU158" s="18">
        <v>0.75</v>
      </c>
      <c r="AV158" s="18">
        <f>AU158/2</f>
        <v>0.375</v>
      </c>
      <c r="AW158" s="18">
        <f t="shared" si="825"/>
        <v>1.6832</v>
      </c>
      <c r="AX158" s="136">
        <f t="shared" si="826"/>
        <v>2.7425837299999999E-2</v>
      </c>
      <c r="AY158" s="136">
        <f t="shared" si="827"/>
        <v>2.7159624195164597E-2</v>
      </c>
      <c r="AZ158" s="155">
        <f t="shared" si="828"/>
        <v>1.6293867217205323E-2</v>
      </c>
      <c r="BA158" s="18" t="str">
        <f>Input!B158</f>
        <v>E4-37</v>
      </c>
      <c r="BB158" s="137">
        <f>Input!E158</f>
        <v>37</v>
      </c>
      <c r="BC158" s="18">
        <f>((U158-1)*EXP(Constants!$B$17*AW158*1000))*1000</f>
        <v>6.5557567658725233</v>
      </c>
      <c r="BD158" s="133">
        <f>SQRT((EXP(Constants!$B$17*AW158*1000)*V158)^2+((U158-1)*Constants!$B$17*EXP(Constants!$B$17*AW158*1000)*AY158*1000)^2)*1000</f>
        <v>0.92747237889756939</v>
      </c>
      <c r="BE158" s="18">
        <f t="shared" si="829"/>
        <v>1625.2</v>
      </c>
      <c r="BF158" s="138">
        <f t="shared" si="830"/>
        <v>13.579812097582298</v>
      </c>
      <c r="BG158" s="20">
        <f t="shared" si="831"/>
        <v>1.6135708290853492</v>
      </c>
      <c r="BH158" s="18"/>
      <c r="BI158" s="18"/>
      <c r="BJ158" s="18"/>
      <c r="BK158" s="18"/>
      <c r="BL158" s="18"/>
      <c r="BM158" s="18"/>
      <c r="BN158" s="160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9">
        <f>Input!A159</f>
        <v>10815</v>
      </c>
      <c r="B159" s="139" t="str">
        <f>Input!B159</f>
        <v>Hu1-13</v>
      </c>
      <c r="C159" s="139">
        <f>Input!O159</f>
        <v>2.0946026472365094</v>
      </c>
      <c r="D159" s="139">
        <f>C159*Input!P159/100</f>
        <v>1.7825759143976137E-2</v>
      </c>
      <c r="E159" s="140">
        <f>Input!M159</f>
        <v>2.7312807073389962</v>
      </c>
      <c r="F159" s="141">
        <f>E159*Input!N159/100</f>
        <v>3.1125540782435521E-4</v>
      </c>
      <c r="G159" s="142">
        <f t="shared" ref="G159" si="850">E159*137.88</f>
        <v>376.58898392790076</v>
      </c>
      <c r="H159" s="141">
        <f>G159*Input!L159/100</f>
        <v>2.2340564334326359E-2</v>
      </c>
      <c r="I159" s="139">
        <v>0</v>
      </c>
      <c r="J159" s="143">
        <f>(((C159*Constants!$B$24*0.000000001*Input!G159*(Constants!$B$4/Constants!$B$3))-(I159*0.000000000000001))/Input!F159)*1000000000000</f>
        <v>756.23019266888991</v>
      </c>
      <c r="K159" s="139">
        <f>J159*Input!P159/100</f>
        <v>6.4357682779134677</v>
      </c>
      <c r="L159" s="144">
        <f>(J159/Constants!$B$4)*602200000000*Constants!$B$17/(365.2425*24*60)</f>
        <v>10.440597463399167</v>
      </c>
      <c r="M159" s="145">
        <f>L159*Input!P159/100</f>
        <v>8.8852926805619181E-2</v>
      </c>
      <c r="N159" s="139">
        <v>0</v>
      </c>
      <c r="O159" s="143">
        <f>(((G159*Constants!$B$23*0.000000001*Input!G159*(Constants!$B$7/Constants!$B$6))-(N159*0.000000001))/Input!F159)*1000000</f>
        <v>13.696243766865598</v>
      </c>
      <c r="P159" s="139">
        <f>O159*Input!N159/100</f>
        <v>1.560817212182806E-3</v>
      </c>
      <c r="Q159" s="146">
        <f>(O159/Constants!$B$7)*602200000000000000*Constants!$B$18/(365.2425*24*60)</f>
        <v>10.219051787475317</v>
      </c>
      <c r="R159" s="147">
        <f>Q159*Input!N159/100</f>
        <v>1.1645581221813447E-3</v>
      </c>
      <c r="S159" s="145">
        <f>Input!S159*Constants!$B$17/Constants!$B$18</f>
        <v>1.0020055536865053</v>
      </c>
      <c r="T159" s="139">
        <f>S159*Input!T159/100</f>
        <v>1.593777960300346E-3</v>
      </c>
      <c r="U159" s="145">
        <f>S159</f>
        <v>1.0020055536865053</v>
      </c>
      <c r="V159" s="139">
        <f>U159*Input!T159/100</f>
        <v>1.593777960300346E-3</v>
      </c>
      <c r="W159" s="148">
        <v>0</v>
      </c>
      <c r="X159" s="143">
        <f>(((Constants!$B$25*0.000000001*Input!G159/Input!W159*(Constants!$B$11/Constants!$B$9))-(W159*0.000000001))/Input!F159)*1000000000</f>
        <v>1.0060090358253662</v>
      </c>
      <c r="Y159" s="143">
        <f>X159*Input!X159/100</f>
        <v>5.6964977366627308E-3</v>
      </c>
      <c r="Z159" s="143">
        <f>(X159/Constants!$B$11)*6.022E+23*0.000000001*Constants!$B$19/(365.2425*24*60)</f>
        <v>2.4559932864024343E-4</v>
      </c>
      <c r="AA159" s="143">
        <f>Z159*Input!X159/100</f>
        <v>1.3906992580610344E-6</v>
      </c>
      <c r="AB159" s="144">
        <v>0</v>
      </c>
      <c r="AC159" s="144">
        <v>0</v>
      </c>
      <c r="AD159" s="143">
        <f>(((Input!G159*Constants!$B$25*0.000000001*Input!U159*(Constants!$B$10/Constants!$B$9))-((AB159*0.000000000000001)+(Input!G159*AC159*0.000000000000001)))/Input!F159)*1000000000000</f>
        <v>223.17017259374057</v>
      </c>
      <c r="AE159" s="143">
        <f>AD159*Input!V159/100</f>
        <v>0.90016739045018002</v>
      </c>
      <c r="AF159" s="143">
        <f>(AD159/Constants!$B$10)*602200000000*Constants!$B$16/(365.2425*24*60)</f>
        <v>10.186751709351837</v>
      </c>
      <c r="AG159" s="143">
        <f>AF159*Input!V159/100</f>
        <v>4.1088742266932959E-2</v>
      </c>
      <c r="AH159" s="139">
        <f t="shared" ref="AH159" si="851">AF159/Z159</f>
        <v>41477.115453656232</v>
      </c>
      <c r="AI159" s="148">
        <f t="shared" ref="AI159" si="852">AH159*SQRT((AG159/AF159)^2+(AA159/Z159)^2)</f>
        <v>288.35721146007683</v>
      </c>
      <c r="AJ159" s="145">
        <f t="shared" si="815"/>
        <v>2.0055536865053458</v>
      </c>
      <c r="AK159" s="148">
        <f t="shared" ref="AK159" si="853">V159*1000</f>
        <v>1.5937779603003459</v>
      </c>
      <c r="AL159" s="148">
        <f t="shared" ref="AL159" si="854">AF159/Q159</f>
        <v>0.9968392294319256</v>
      </c>
      <c r="AM159" s="148">
        <f t="shared" ref="AM159" si="855">AL159*SQRT((R159/Q159)^2+(AG159/AF159)^2)</f>
        <v>4.0224023657019509E-3</v>
      </c>
      <c r="AN159" s="139">
        <f>AF159/Q159</f>
        <v>0.9968392294319256</v>
      </c>
      <c r="AO159" s="143">
        <f t="shared" ref="AO159" si="856">AN159*SQRT((R159/Q159)^2+(AG159/AF159)^2)</f>
        <v>4.0224023657019509E-3</v>
      </c>
      <c r="AP159" s="139">
        <f t="shared" ref="AP159" si="857">ThU_Alter_Kombi(AN159,U159)</f>
        <v>558.34490000000005</v>
      </c>
      <c r="AQ159" s="139" t="e">
        <f t="shared" si="821"/>
        <v>#VALUE!</v>
      </c>
      <c r="AR159" s="139" t="e">
        <f>(AQ159/AP159)*100</f>
        <v>#VALUE!</v>
      </c>
      <c r="AS159" s="147">
        <f t="shared" si="822"/>
        <v>2.4033475291832369E-5</v>
      </c>
      <c r="AT159" s="147">
        <f t="shared" si="823"/>
        <v>1.3611643204641108E-7</v>
      </c>
      <c r="AU159" s="139">
        <v>0.75</v>
      </c>
      <c r="AV159" s="139">
        <f t="shared" ref="AV159" si="858">AU159/2</f>
        <v>0.375</v>
      </c>
      <c r="AW159" s="139">
        <f t="shared" si="825"/>
        <v>558.34299999999996</v>
      </c>
      <c r="AX159" s="149">
        <f t="shared" si="826"/>
        <v>221.37317018389999</v>
      </c>
      <c r="AY159" s="149">
        <f t="shared" si="827"/>
        <v>82.732931571746505</v>
      </c>
      <c r="AZ159" s="150">
        <f t="shared" si="828"/>
        <v>0.39648239555953957</v>
      </c>
      <c r="BA159" s="139" t="str">
        <f>Input!B159</f>
        <v>Hu1-13</v>
      </c>
      <c r="BB159" s="151">
        <f>Input!E159</f>
        <v>0</v>
      </c>
      <c r="BC159" s="139">
        <f>((U159-1)*EXP(Constants!$B$17*AW159*1000))*1000</f>
        <v>9.6948771980057007</v>
      </c>
      <c r="BD159" s="145">
        <f>SQRT((EXP(Constants!$B$17*AW159*1000)*V159)^2+((U159-1)*Constants!$B$17*EXP(Constants!$B$17*AW159*1000)*AY159*1000)^2)*1000</f>
        <v>8.0299780949370998</v>
      </c>
      <c r="BE159" s="139">
        <f t="shared" si="829"/>
        <v>558285</v>
      </c>
      <c r="BF159" s="152">
        <f t="shared" si="830"/>
        <v>41366.465785873253</v>
      </c>
      <c r="BG159" s="161">
        <f t="shared" si="831"/>
        <v>14.817581947252229</v>
      </c>
      <c r="BH159" s="139"/>
      <c r="BI159" s="18"/>
      <c r="BJ159" s="18"/>
      <c r="BK159" s="18"/>
      <c r="BL159" s="18"/>
      <c r="BM159" s="18"/>
      <c r="BN159" s="160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11054</v>
      </c>
      <c r="B160" s="18" t="str">
        <f>Input!B160</f>
        <v>E4-40</v>
      </c>
      <c r="C160" s="18">
        <f>Input!O160</f>
        <v>0.94741185054513266</v>
      </c>
      <c r="D160" s="18">
        <f>C160*Input!P160/100</f>
        <v>2.0833431853577527E-3</v>
      </c>
      <c r="E160" s="153">
        <f>Input!M160</f>
        <v>1.2477379500929082</v>
      </c>
      <c r="F160" s="154">
        <f>E160*Input!N160/100</f>
        <v>6.8197074822164507E-5</v>
      </c>
      <c r="G160" s="21">
        <f>E160*137.88</f>
        <v>172.03810855881019</v>
      </c>
      <c r="H160" s="154">
        <f>G160*Input!L160/100</f>
        <v>7.9057112603290146E-3</v>
      </c>
      <c r="I160" s="18">
        <v>0.3</v>
      </c>
      <c r="J160" s="130">
        <f>(((C160*Constants!$B$24*0.000000001*Input!G160*(Constants!$B$4/Constants!$B$3))-(I160*0.000000000000001))/Input!F160)*1000000000000</f>
        <v>36.025821859422813</v>
      </c>
      <c r="K160" s="18">
        <f>J160*Input!P160/100</f>
        <v>7.9220193862421462E-2</v>
      </c>
      <c r="L160" s="135">
        <f>(J160/Constants!$B$4)*602200000000*Constants!$B$17/(365.2425*24*60)</f>
        <v>0.49737647077395447</v>
      </c>
      <c r="M160" s="133">
        <f>L160*Input!P160/100</f>
        <v>1.0937227356275767E-3</v>
      </c>
      <c r="N160" s="18">
        <v>5.0000000000000001E-3</v>
      </c>
      <c r="O160" s="130">
        <f>(((G160*Constants!$B$23*0.000000001*Input!G160*(Constants!$B$7/Constants!$B$6))-(N160*0.000000001))/Input!F160)*1000000</f>
        <v>0.65899841584163565</v>
      </c>
      <c r="P160" s="18">
        <f>O160*Input!N160/100</f>
        <v>3.6018592100603722E-5</v>
      </c>
      <c r="Q160" s="131">
        <f>(O160/Constants!$B$7)*602200000000000000*Constants!$B$18/(365.2425*24*60)</f>
        <v>0.49169239785595831</v>
      </c>
      <c r="R160" s="132">
        <f>Q160*Input!N160/100</f>
        <v>2.6874219256996579E-5</v>
      </c>
      <c r="S160" s="133">
        <f>Input!S160*Constants!$B$17/Constants!$B$18</f>
        <v>1.0081420441482027</v>
      </c>
      <c r="T160" s="18">
        <f>S160*Input!T160/100</f>
        <v>9.7759823995961759E-4</v>
      </c>
      <c r="U160" s="18">
        <f>S160*1/((U159+U161)/2)</f>
        <v>1.0075488542597208</v>
      </c>
      <c r="V160" s="18">
        <f>U160*Input!T160/100</f>
        <v>9.7702302201854697E-4</v>
      </c>
      <c r="W160" s="134">
        <v>3.0000000000000001E-3</v>
      </c>
      <c r="X160" s="130">
        <f>(((Constants!$B$25*0.000000001*Input!G160/Input!W160*(Constants!$B$11/Constants!$B$9)-(W160*0.000000001))/Input!F160)*1000000000)</f>
        <v>1.1795990106676366</v>
      </c>
      <c r="Y160" s="130">
        <f>X160*Input!X160/100</f>
        <v>2.2489584947156627E-3</v>
      </c>
      <c r="Z160" s="130">
        <f>(X160/Constants!$B$11)*6.022E+23*0.000000001*Constants!$B$19/(365.2425*24*60)</f>
        <v>2.8797825344280275E-4</v>
      </c>
      <c r="AA160" s="130">
        <f>Z160*Input!X160/100</f>
        <v>5.4904347453378227E-7</v>
      </c>
      <c r="AB160" s="135">
        <v>0.05</v>
      </c>
      <c r="AC160" s="135">
        <v>0</v>
      </c>
      <c r="AD160" s="130">
        <f>(((Input!G160*Constants!$B$25*0.000000001*Input!U160*(Constants!$B$10/Constants!$B$9))-((AB160*0.000000000000001)+(Input!G160*AC160*0.000000000000001)))/Input!F160)*1000000000000</f>
        <v>0.191185669204743</v>
      </c>
      <c r="AE160" s="130">
        <f>AD160*Input!V160/100</f>
        <v>1.555187538938444E-3</v>
      </c>
      <c r="AF160" s="130">
        <f>(AD160/Constants!$B$10)*602200000000*Constants!$B$16/(365.2425*24*60)</f>
        <v>8.7267976716598888E-3</v>
      </c>
      <c r="AG160" s="130">
        <f>AF160*Input!V160/100</f>
        <v>7.0987574802315733E-5</v>
      </c>
      <c r="AH160" s="18">
        <f>AF160/Z160</f>
        <v>30.303669000455187</v>
      </c>
      <c r="AI160" s="134">
        <f>AH160*SQRT((AG160/AF160)^2+(AA160/Z160)^2)</f>
        <v>0.25318340628428126</v>
      </c>
      <c r="AJ160" s="133">
        <f t="shared" si="815"/>
        <v>7.5488542597208497</v>
      </c>
      <c r="AK160" s="134">
        <f>V160*1000</f>
        <v>0.97702302201854696</v>
      </c>
      <c r="AL160" s="134">
        <f>AF160/Q160</f>
        <v>1.7748490132679276E-2</v>
      </c>
      <c r="AM160" s="134">
        <f>AL160*SQRT((R160/Q160)^2+(AG160/AF160)^2)</f>
        <v>1.443772113121038E-4</v>
      </c>
      <c r="AN160" s="18">
        <f>AL160*1/((AN159+AN161)/2)</f>
        <v>1.7791201447838304E-2</v>
      </c>
      <c r="AO160" s="130">
        <f>AN160*SQRT((R160/Q160)^2+(AG160/AF160)^2)</f>
        <v>1.4472465160296992E-4</v>
      </c>
      <c r="AP160" s="18">
        <f>ThU_Alter_Kombi(AN160,U160)</f>
        <v>1.9427000000000001</v>
      </c>
      <c r="AQ160" s="18">
        <f t="shared" si="821"/>
        <v>1.4800000000000001E-2</v>
      </c>
      <c r="AR160" s="155">
        <f>(AQ160/AP160)</f>
        <v>7.6182632418798583E-3</v>
      </c>
      <c r="AS160" s="132">
        <f t="shared" si="822"/>
        <v>5.8568782982722917E-4</v>
      </c>
      <c r="AT160" s="132">
        <f t="shared" si="823"/>
        <v>1.1170989124238468E-6</v>
      </c>
      <c r="AU160" s="18">
        <v>0.75</v>
      </c>
      <c r="AV160" s="18">
        <f>AU160/2</f>
        <v>0.375</v>
      </c>
      <c r="AW160" s="18">
        <f t="shared" si="825"/>
        <v>1.8951</v>
      </c>
      <c r="AX160" s="136">
        <f t="shared" si="826"/>
        <v>2.8791967200000001E-2</v>
      </c>
      <c r="AY160" s="136">
        <f t="shared" si="827"/>
        <v>2.8730686462082804E-2</v>
      </c>
      <c r="AZ160" s="155">
        <f t="shared" si="828"/>
        <v>1.5192848504036727E-2</v>
      </c>
      <c r="BA160" s="18" t="str">
        <f>Input!B160</f>
        <v>E4-40</v>
      </c>
      <c r="BB160" s="137">
        <f>Input!E160</f>
        <v>40</v>
      </c>
      <c r="BC160" s="18">
        <f>((U160-1)*EXP(Constants!$B$17*AW160*1000))*1000</f>
        <v>7.5893343297554452</v>
      </c>
      <c r="BD160" s="133">
        <f>SQRT((EXP(Constants!$B$17*AW160*1000)*V160)^2+((U160-1)*Constants!$B$17*EXP(Constants!$B$17*AW160*1000)*AY160*1000)^2)*1000</f>
        <v>0.98226241517286961</v>
      </c>
      <c r="BE160" s="18">
        <f t="shared" si="829"/>
        <v>1837.1</v>
      </c>
      <c r="BF160" s="138">
        <f t="shared" si="830"/>
        <v>14.365343231041402</v>
      </c>
      <c r="BG160" s="20">
        <f t="shared" si="831"/>
        <v>1.5160512090170866</v>
      </c>
      <c r="BH160" s="18"/>
      <c r="BI160" s="18"/>
      <c r="BJ160" s="18"/>
      <c r="BK160" s="18"/>
      <c r="BL160" s="18"/>
      <c r="BM160" s="18"/>
      <c r="BN160" s="160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9">
        <f>Input!A161</f>
        <v>10815</v>
      </c>
      <c r="B161" s="139" t="str">
        <f>Input!B161</f>
        <v>Hu1-13</v>
      </c>
      <c r="C161" s="139">
        <f>Input!O161</f>
        <v>2.0625450452540401</v>
      </c>
      <c r="D161" s="139">
        <f>C161*Input!P161/100</f>
        <v>1.5489153219747252E-2</v>
      </c>
      <c r="E161" s="140">
        <f>Input!M161</f>
        <v>2.7320450690653231</v>
      </c>
      <c r="F161" s="141">
        <f>E161*Input!N161/100</f>
        <v>3.2687633125296297E-4</v>
      </c>
      <c r="G161" s="142">
        <f t="shared" ref="G161" si="859">E161*137.88</f>
        <v>376.69437412272674</v>
      </c>
      <c r="H161" s="141">
        <f>G161*Input!L161/100</f>
        <v>3.2762684210243732E-2</v>
      </c>
      <c r="I161" s="139">
        <v>0</v>
      </c>
      <c r="J161" s="143">
        <f>(((C161*Constants!$B$24*0.000000001*Input!G161*(Constants!$B$4/Constants!$B$3))-(I161*0.000000000000001))/Input!F161)*1000000000000</f>
        <v>744.6561948246258</v>
      </c>
      <c r="K161" s="139">
        <f>J161*Input!P161/100</f>
        <v>5.5921658167964789</v>
      </c>
      <c r="L161" s="144">
        <f>(J161/Constants!$B$4)*602200000000*Constants!$B$17/(365.2425*24*60)</f>
        <v>10.28080557237754</v>
      </c>
      <c r="M161" s="145">
        <f>L161*Input!P161/100</f>
        <v>7.720605816556779E-2</v>
      </c>
      <c r="N161" s="139">
        <v>0</v>
      </c>
      <c r="O161" s="143">
        <f>(((G161*Constants!$B$23*0.000000001*Input!G161*(Constants!$B$7/Constants!$B$6))-(N161*0.000000001))/Input!F161)*1000000</f>
        <v>13.70007672497265</v>
      </c>
      <c r="P161" s="139">
        <f>O161*Input!N161/100</f>
        <v>1.6391496862367804E-3</v>
      </c>
      <c r="Q161" s="146">
        <f>(O161/Constants!$B$7)*602200000000000000*Constants!$B$18/(365.2425*24*60)</f>
        <v>10.221911637085322</v>
      </c>
      <c r="R161" s="147">
        <f>Q161*Input!N161/100</f>
        <v>1.2230036071350504E-3</v>
      </c>
      <c r="S161" s="145">
        <f>Input!S161*Constants!$B$17/Constants!$B$18</f>
        <v>0.99917193738199017</v>
      </c>
      <c r="T161" s="139">
        <f>S161*Input!T161/100</f>
        <v>1.3935119409903577E-3</v>
      </c>
      <c r="U161" s="145">
        <f>S161</f>
        <v>0.99917193738199017</v>
      </c>
      <c r="V161" s="139">
        <f>U161*Input!T161/100</f>
        <v>1.3935119409903577E-3</v>
      </c>
      <c r="W161" s="148">
        <v>0</v>
      </c>
      <c r="X161" s="143">
        <f>(((Constants!$B$25*0.000000001*Input!G161/Input!W161*(Constants!$B$11/Constants!$B$9))-(W161*0.000000001))/Input!F161)*1000000000</f>
        <v>1.0120945053258239</v>
      </c>
      <c r="Y161" s="143">
        <f>X161*Input!X161/100</f>
        <v>5.920858561476343E-3</v>
      </c>
      <c r="Z161" s="143">
        <f>(X161/Constants!$B$11)*6.022E+23*0.000000001*Constants!$B$19/(365.2425*24*60)</f>
        <v>2.4708498848081029E-4</v>
      </c>
      <c r="AA161" s="143">
        <f>Z161*Input!X161/100</f>
        <v>1.4454729886987378E-6</v>
      </c>
      <c r="AB161" s="144">
        <v>0</v>
      </c>
      <c r="AC161" s="144">
        <v>0</v>
      </c>
      <c r="AD161" s="143">
        <f>(((Input!G161*Constants!$B$25*0.000000001*Input!U161*(Constants!$B$10/Constants!$B$9))-((AB161*0.000000000000001)+(Input!G161*AC161*0.000000000000001)))/Input!F161)*1000000000000</f>
        <v>223.57304946530638</v>
      </c>
      <c r="AE161" s="143">
        <f>AD161*Input!V161/100</f>
        <v>0.86847426827466478</v>
      </c>
      <c r="AF161" s="143">
        <f>(AD161/Constants!$B$10)*602200000000*Constants!$B$16/(365.2425*24*60)</f>
        <v>10.205141293463296</v>
      </c>
      <c r="AG161" s="143">
        <f>AF161*Input!V161/100</f>
        <v>3.9642088519508387E-2</v>
      </c>
      <c r="AH161" s="139">
        <f t="shared" ref="AH161" si="860">AF161/Z161</f>
        <v>41302.150147643923</v>
      </c>
      <c r="AI161" s="148">
        <f t="shared" ref="AI161" si="861">AH161*SQRT((AG161/AF161)^2+(AA161/Z161)^2)</f>
        <v>290.03764838329204</v>
      </c>
      <c r="AJ161" s="145">
        <f t="shared" si="815"/>
        <v>-0.82806261800982828</v>
      </c>
      <c r="AK161" s="148">
        <f t="shared" ref="AK161" si="862">V161*1000</f>
        <v>1.3935119409903578</v>
      </c>
      <c r="AL161" s="148">
        <f t="shared" ref="AL161" si="863">AF161/Q161</f>
        <v>0.99835937305883349</v>
      </c>
      <c r="AM161" s="148">
        <f t="shared" ref="AM161" si="864">AL161*SQRT((R161/Q161)^2+(AG161/AF161)^2)</f>
        <v>3.8799873395309768E-3</v>
      </c>
      <c r="AN161" s="139">
        <f>AF161/Q161</f>
        <v>0.99835937305883349</v>
      </c>
      <c r="AO161" s="143">
        <f t="shared" ref="AO161" si="865">AN161*SQRT((R161/Q161)^2+(AG161/AF161)^2)</f>
        <v>3.8799873395309768E-3</v>
      </c>
      <c r="AP161" s="139">
        <f t="shared" ref="AP161" si="866">ThU_Alter_Kombi(AN161,U161)</f>
        <v>840.28560000000004</v>
      </c>
      <c r="AQ161" s="139" t="e">
        <f t="shared" si="821"/>
        <v>#VALUE!</v>
      </c>
      <c r="AR161" s="139" t="e">
        <f>(AQ161/AP161)*100</f>
        <v>#VALUE!</v>
      </c>
      <c r="AS161" s="147">
        <f t="shared" si="822"/>
        <v>2.4172091997389261E-5</v>
      </c>
      <c r="AT161" s="147">
        <f t="shared" si="823"/>
        <v>1.4143883379955241E-7</v>
      </c>
      <c r="AU161" s="139">
        <v>0.75</v>
      </c>
      <c r="AV161" s="139">
        <f t="shared" ref="AV161" si="867">AU161/2</f>
        <v>0.375</v>
      </c>
      <c r="AW161" s="139">
        <f t="shared" si="825"/>
        <v>840.28359999999998</v>
      </c>
      <c r="AX161" s="149">
        <f t="shared" si="826"/>
        <v>336.81040045719999</v>
      </c>
      <c r="AY161" s="149">
        <f t="shared" si="827"/>
        <v>1057.5136339112207</v>
      </c>
      <c r="AZ161" s="150">
        <f t="shared" si="828"/>
        <v>0.40082943479701377</v>
      </c>
      <c r="BA161" s="139" t="str">
        <f>Input!B161</f>
        <v>Hu1-13</v>
      </c>
      <c r="BB161" s="151">
        <f>Input!E161</f>
        <v>0</v>
      </c>
      <c r="BC161" s="139">
        <f>((U161-1)*EXP(Constants!$B$17*AW161*1000))*1000</f>
        <v>-8.869906316032802</v>
      </c>
      <c r="BD161" s="145">
        <f>SQRT((EXP(Constants!$B$17*AW161*1000)*V161)^2+((U161-1)*Constants!$B$17*EXP(Constants!$B$17*AW161*1000)*AY161*1000)^2)*1000</f>
        <v>30.38956964511782</v>
      </c>
      <c r="BE161" s="139">
        <f t="shared" si="829"/>
        <v>840225.6</v>
      </c>
      <c r="BF161" s="152">
        <f t="shared" si="830"/>
        <v>528756.81695561041</v>
      </c>
      <c r="BG161" s="161">
        <f t="shared" si="831"/>
        <v>125.85199019845452</v>
      </c>
      <c r="BH161" s="139"/>
      <c r="BI161" s="18"/>
      <c r="BJ161" s="18"/>
      <c r="BK161" s="18"/>
      <c r="BL161" s="18"/>
      <c r="BM161" s="18"/>
      <c r="BN161" s="160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2" spans="1:110" ht="15" customHeight="1" x14ac:dyDescent="0.2">
      <c r="A162" s="18">
        <f>Input!A162</f>
        <v>11055</v>
      </c>
      <c r="B162" s="18" t="str">
        <f>Input!B162</f>
        <v>E8-26</v>
      </c>
      <c r="C162" s="18">
        <f>Input!O162</f>
        <v>1.3581270125806622</v>
      </c>
      <c r="D162" s="18">
        <f>C162*Input!P162/100</f>
        <v>4.4623018223472408E-3</v>
      </c>
      <c r="E162" s="153">
        <f>Input!M162</f>
        <v>1.767520694757571</v>
      </c>
      <c r="F162" s="154">
        <f>E162*Input!N162/100</f>
        <v>1.0716898088771301E-4</v>
      </c>
      <c r="G162" s="21">
        <f>E162*137.88</f>
        <v>243.70575339317389</v>
      </c>
      <c r="H162" s="154">
        <f>G162*Input!L162/100</f>
        <v>1.5958689906769848E-2</v>
      </c>
      <c r="I162" s="18">
        <v>0.3</v>
      </c>
      <c r="J162" s="130">
        <f>(((C162*Constants!$B$24*0.000000001*Input!G162*(Constants!$B$4/Constants!$B$3))-(I162*0.000000000000001))/Input!F162)*1000000000000</f>
        <v>48.817968255275723</v>
      </c>
      <c r="K162" s="18">
        <f>J162*Input!P162/100</f>
        <v>0.16039774387144706</v>
      </c>
      <c r="L162" s="135">
        <f>(J162/Constants!$B$4)*602200000000*Constants!$B$17/(365.2425*24*60)</f>
        <v>0.67398625507867882</v>
      </c>
      <c r="M162" s="133">
        <f>L162*Input!P162/100</f>
        <v>2.2144689461406006E-3</v>
      </c>
      <c r="N162" s="18">
        <v>5.0000000000000001E-3</v>
      </c>
      <c r="O162" s="130">
        <f>(((G162*Constants!$B$23*0.000000001*Input!G162*(Constants!$B$7/Constants!$B$6))-(N162*0.000000001))/Input!F162)*1000000</f>
        <v>0.88244678505748275</v>
      </c>
      <c r="P162" s="18">
        <f>O162*Input!N162/100</f>
        <v>5.3504846038150793E-5</v>
      </c>
      <c r="Q162" s="131">
        <f>(O162/Constants!$B$7)*602200000000000000*Constants!$B$18/(365.2425*24*60)</f>
        <v>0.6584118645733803</v>
      </c>
      <c r="R162" s="132">
        <f>Q162*Input!N162/100</f>
        <v>3.9921076307616367E-5</v>
      </c>
      <c r="S162" s="133">
        <f>Input!S162*Constants!$B$17/Constants!$B$18</f>
        <v>1.0128087984108767</v>
      </c>
      <c r="T162" s="18">
        <f>S162*Input!T162/100</f>
        <v>9.0696378495007867E-4</v>
      </c>
      <c r="U162" s="18">
        <f>S162*1/((U161+U163)/2)</f>
        <v>1.0136755800952879</v>
      </c>
      <c r="V162" s="18">
        <f>U162*Input!T162/100</f>
        <v>9.0773998239075291E-4</v>
      </c>
      <c r="W162" s="134">
        <v>3.0000000000000001E-3</v>
      </c>
      <c r="X162" s="130">
        <f>(((Constants!$B$25*0.000000001*Input!G162/Input!W162*(Constants!$B$11/Constants!$B$9)-(W162*0.000000001))/Input!F162)*1000000000)</f>
        <v>5.1445823536665602E-2</v>
      </c>
      <c r="Y162" s="130">
        <f>X162*Input!X162/100</f>
        <v>1.7930964456496764E-4</v>
      </c>
      <c r="Z162" s="130">
        <f>(X162/Constants!$B$11)*6.022E+23*0.000000001*Constants!$B$19/(365.2425*24*60)</f>
        <v>1.255958870347844E-5</v>
      </c>
      <c r="AA162" s="130">
        <f>Z162*Input!X162/100</f>
        <v>4.377528109153224E-8</v>
      </c>
      <c r="AB162" s="135">
        <v>0.05</v>
      </c>
      <c r="AC162" s="135">
        <v>0</v>
      </c>
      <c r="AD162" s="130">
        <f>(((Input!G162*Constants!$B$25*0.000000001*Input!U162*(Constants!$B$10/Constants!$B$9))-((AB162*0.000000000000001)+(Input!G162*AC162*0.000000000000001)))/Input!F162)*1000000000000</f>
        <v>6.7988779475631395E-2</v>
      </c>
      <c r="AE162" s="130">
        <f>AD162*Input!V162/100</f>
        <v>1.2760806113998554E-3</v>
      </c>
      <c r="AF162" s="130">
        <f>(AD162/Constants!$B$10)*602200000000*Constants!$B$16/(365.2425*24*60)</f>
        <v>3.1033932872423582E-3</v>
      </c>
      <c r="AG162" s="130">
        <f>AF162*Input!V162/100</f>
        <v>5.8247552521778201E-5</v>
      </c>
      <c r="AH162" s="18">
        <f>AF162/Z162</f>
        <v>247.09354426414123</v>
      </c>
      <c r="AI162" s="134">
        <f>AH162*SQRT((AG162/AF162)^2+(AA162/Z162)^2)</f>
        <v>4.7169826757817717</v>
      </c>
      <c r="AJ162" s="133">
        <f t="shared" si="815"/>
        <v>13.675580095287909</v>
      </c>
      <c r="AK162" s="134">
        <f>V162*1000</f>
        <v>0.90773998239075293</v>
      </c>
      <c r="AL162" s="134">
        <f>AF162/Q162</f>
        <v>4.7134528616874331E-3</v>
      </c>
      <c r="AM162" s="134">
        <f>AL162*SQRT((R162/Q162)^2+(AG162/AF162)^2)</f>
        <v>8.846720356387789E-5</v>
      </c>
      <c r="AN162" s="18">
        <f>AL162*1/((AN161+AN163)/2)</f>
        <v>4.7289564321472757E-3</v>
      </c>
      <c r="AO162" s="130">
        <f>AN162*SQRT((R162/Q162)^2+(AG162/AF162)^2)</f>
        <v>8.8758191415901677E-5</v>
      </c>
      <c r="AP162" s="18">
        <f>ThU_Alter_Kombi(AN162,U162)</f>
        <v>0.50990000000000002</v>
      </c>
      <c r="AQ162" s="18">
        <f t="shared" si="821"/>
        <v>0.01</v>
      </c>
      <c r="AR162" s="155">
        <f>(AQ162/AP162)</f>
        <v>1.9611688566385566E-2</v>
      </c>
      <c r="AS162" s="132">
        <f t="shared" si="822"/>
        <v>1.9075580771340534E-5</v>
      </c>
      <c r="AT162" s="132">
        <f t="shared" si="823"/>
        <v>6.649622622671459E-8</v>
      </c>
      <c r="AU162" s="18">
        <v>0.75</v>
      </c>
      <c r="AV162" s="18">
        <f>AU162/2</f>
        <v>0.375</v>
      </c>
      <c r="AW162" s="18">
        <f t="shared" si="825"/>
        <v>0.50839999999999996</v>
      </c>
      <c r="AX162" s="136">
        <f t="shared" si="826"/>
        <v>8.9677851999999999E-3</v>
      </c>
      <c r="AY162" s="136">
        <f t="shared" si="827"/>
        <v>9.647658204417155E-3</v>
      </c>
      <c r="AZ162" s="155">
        <f t="shared" si="828"/>
        <v>1.7639231313926043E-2</v>
      </c>
      <c r="BA162" s="18" t="str">
        <f>Input!B162</f>
        <v>E8-26</v>
      </c>
      <c r="BB162" s="137">
        <f>Input!E162</f>
        <v>26</v>
      </c>
      <c r="BC162" s="18">
        <f>((U162-1)*EXP(Constants!$B$17*AW162*1000))*1000</f>
        <v>13.695215014941358</v>
      </c>
      <c r="BD162" s="133">
        <f>SQRT((EXP(Constants!$B$17*AW162*1000)*V162)^2+((U162-1)*Constants!$B$17*EXP(Constants!$B$17*AW162*1000)*AY162*1000)^2)*1000</f>
        <v>0.90904336018445375</v>
      </c>
      <c r="BE162" s="18">
        <f t="shared" si="829"/>
        <v>450.4</v>
      </c>
      <c r="BF162" s="138">
        <f t="shared" si="830"/>
        <v>4.8238291022085775</v>
      </c>
      <c r="BG162" s="20">
        <f t="shared" si="831"/>
        <v>1.8976511023637204</v>
      </c>
      <c r="BH162" s="18"/>
      <c r="BI162" s="18"/>
      <c r="BJ162" s="18"/>
      <c r="BK162" s="18"/>
      <c r="BL162" s="18"/>
      <c r="BM162" s="18"/>
      <c r="BN162" s="160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</row>
    <row r="163" spans="1:110" ht="15" customHeight="1" x14ac:dyDescent="0.2">
      <c r="A163" s="139">
        <f>Input!A163</f>
        <v>10815</v>
      </c>
      <c r="B163" s="139" t="str">
        <f>Input!B163</f>
        <v>Hu1-13</v>
      </c>
      <c r="C163" s="139">
        <f>Input!O163</f>
        <v>2.0944495607165274</v>
      </c>
      <c r="D163" s="139">
        <f>C163*Input!P163/100</f>
        <v>1.6907240174867163E-2</v>
      </c>
      <c r="E163" s="140">
        <f>Input!M163</f>
        <v>2.7322574395233308</v>
      </c>
      <c r="F163" s="141">
        <f>E163*Input!N163/100</f>
        <v>3.1548832308284514E-4</v>
      </c>
      <c r="G163" s="142">
        <f t="shared" ref="G163" si="868">E163*137.88</f>
        <v>376.72365576147683</v>
      </c>
      <c r="H163" s="141">
        <f>G163*Input!L163/100</f>
        <v>9.7291302393309756E-2</v>
      </c>
      <c r="I163" s="139">
        <v>0</v>
      </c>
      <c r="J163" s="143">
        <f>(((C163*Constants!$B$24*0.000000001*Input!G163*(Constants!$B$4/Constants!$B$3))-(I163*0.000000000000001))/Input!F163)*1000000000000</f>
        <v>756.17492268789681</v>
      </c>
      <c r="K163" s="139">
        <f>J163*Input!P163/100</f>
        <v>6.1041484463928031</v>
      </c>
      <c r="L163" s="144">
        <f>(J163/Constants!$B$4)*602200000000*Constants!$B$17/(365.2425*24*60)</f>
        <v>10.439834399944477</v>
      </c>
      <c r="M163" s="145">
        <f>L163*Input!P163/100</f>
        <v>8.4274546829056357E-2</v>
      </c>
      <c r="N163" s="139">
        <v>0</v>
      </c>
      <c r="O163" s="143">
        <f>(((G163*Constants!$B$23*0.000000001*Input!G163*(Constants!$B$7/Constants!$B$6))-(N163*0.000000001))/Input!F163)*1000000</f>
        <v>13.701141675035798</v>
      </c>
      <c r="P163" s="139">
        <f>O163*Input!N163/100</f>
        <v>1.5820435325199955E-3</v>
      </c>
      <c r="Q163" s="146">
        <f>(O163/Constants!$B$7)*602200000000000000*Constants!$B$18/(365.2425*24*60)</f>
        <v>10.222706218434165</v>
      </c>
      <c r="R163" s="147">
        <f>Q163*Input!N163/100</f>
        <v>1.1803955204107803E-3</v>
      </c>
      <c r="S163" s="145">
        <f>Input!S163*Constants!$B$17/Constants!$B$18</f>
        <v>0.99911788689427439</v>
      </c>
      <c r="T163" s="139">
        <f>S163*Input!T163/100</f>
        <v>1.4286922755079757E-3</v>
      </c>
      <c r="U163" s="145">
        <f>S163</f>
        <v>0.99911788689427439</v>
      </c>
      <c r="V163" s="139">
        <f>U163*Input!T163/100</f>
        <v>1.4286922755079757E-3</v>
      </c>
      <c r="W163" s="148">
        <v>0</v>
      </c>
      <c r="X163" s="143">
        <f>(((Constants!$B$25*0.000000001*Input!G163/Input!W163*(Constants!$B$11/Constants!$B$9))-(W163*0.000000001))/Input!F163)*1000000000</f>
        <v>0.99594154394105472</v>
      </c>
      <c r="Y163" s="143">
        <f>X163*Input!X163/100</f>
        <v>7.0929091031336315E-3</v>
      </c>
      <c r="Z163" s="143">
        <f>(X163/Constants!$B$11)*6.022E+23*0.000000001*Constants!$B$19/(365.2425*24*60)</f>
        <v>2.4314152840204832E-4</v>
      </c>
      <c r="AA163" s="143">
        <f>Z163*Input!X163/100</f>
        <v>1.7316084168236918E-6</v>
      </c>
      <c r="AB163" s="144">
        <v>0</v>
      </c>
      <c r="AC163" s="144">
        <v>0</v>
      </c>
      <c r="AD163" s="143">
        <f>(((Input!G163*Constants!$B$25*0.000000001*Input!U163*(Constants!$B$10/Constants!$B$9))-((AB163*0.000000000000001)+(Input!G163*AC163*0.000000000000001)))/Input!F163)*1000000000000</f>
        <v>222.85682907787495</v>
      </c>
      <c r="AE163" s="143">
        <f>AD163*Input!V163/100</f>
        <v>1.0901461664996426</v>
      </c>
      <c r="AF163" s="143">
        <f>(AD163/Constants!$B$10)*602200000000*Constants!$B$16/(365.2425*24*60)</f>
        <v>10.172448935111172</v>
      </c>
      <c r="AG163" s="143">
        <f>AF163*Input!V163/100</f>
        <v>4.9760450493754993E-2</v>
      </c>
      <c r="AH163" s="139">
        <f t="shared" ref="AH163" si="869">AF163/Z163</f>
        <v>41837.562681971998</v>
      </c>
      <c r="AI163" s="148">
        <f t="shared" ref="AI163" si="870">AH163*SQRT((AG163/AF163)^2+(AA163/Z163)^2)</f>
        <v>361.47467994591915</v>
      </c>
      <c r="AJ163" s="145">
        <f t="shared" si="815"/>
        <v>-0.88211310572561263</v>
      </c>
      <c r="AK163" s="148">
        <f t="shared" ref="AK163" si="871">V163*1000</f>
        <v>1.4286922755079756</v>
      </c>
      <c r="AL163" s="148">
        <f t="shared" ref="AL163" si="872">AF163/Q163</f>
        <v>0.99508375940292926</v>
      </c>
      <c r="AM163" s="148">
        <f t="shared" ref="AM163" si="873">AL163*SQRT((R163/Q163)^2+(AG163/AF163)^2)</f>
        <v>4.8689956055578991E-3</v>
      </c>
      <c r="AN163" s="139">
        <f>AF163/Q163</f>
        <v>0.99508375940292926</v>
      </c>
      <c r="AO163" s="143">
        <f t="shared" ref="AO163" si="874">AN163*SQRT((R163/Q163)^2+(AG163/AF163)^2)</f>
        <v>4.8689956055578991E-3</v>
      </c>
      <c r="AP163" s="139">
        <f t="shared" ref="AP163" si="875">ThU_Alter_Kombi(AN163,U163)</f>
        <v>611.529</v>
      </c>
      <c r="AQ163" s="139" t="e">
        <f t="shared" si="821"/>
        <v>#VALUE!</v>
      </c>
      <c r="AR163" s="139" t="e">
        <f>(AQ163/AP163)*100</f>
        <v>#VALUE!</v>
      </c>
      <c r="AS163" s="147">
        <f t="shared" si="822"/>
        <v>2.3784458166625358E-5</v>
      </c>
      <c r="AT163" s="147">
        <f t="shared" si="823"/>
        <v>1.6941071761817308E-7</v>
      </c>
      <c r="AU163" s="139">
        <v>0.75</v>
      </c>
      <c r="AV163" s="139">
        <f t="shared" ref="AV163" si="876">AU163/2</f>
        <v>0.375</v>
      </c>
      <c r="AW163" s="139">
        <f t="shared" si="825"/>
        <v>611.52700000000004</v>
      </c>
      <c r="AX163" s="149">
        <f t="shared" si="826"/>
        <v>259.73061846550002</v>
      </c>
      <c r="AY163" s="149">
        <f t="shared" si="827"/>
        <v>156.51101544267007</v>
      </c>
      <c r="AZ163" s="150">
        <f t="shared" si="828"/>
        <v>0.42472469484667069</v>
      </c>
      <c r="BA163" s="139" t="str">
        <f>Input!B163</f>
        <v>Hu1-13</v>
      </c>
      <c r="BB163" s="151">
        <f>Input!E163</f>
        <v>0</v>
      </c>
      <c r="BC163" s="139">
        <f>((U163-1)*EXP(Constants!$B$17*AW163*1000))*1000</f>
        <v>-4.9546716154083423</v>
      </c>
      <c r="BD163" s="145">
        <f>SQRT((EXP(Constants!$B$17*AW163*1000)*V163)^2+((U163-1)*Constants!$B$17*EXP(Constants!$B$17*AW163*1000)*AY163*1000)^2)*1000</f>
        <v>8.3177542464346832</v>
      </c>
      <c r="BE163" s="139">
        <f t="shared" si="829"/>
        <v>611469</v>
      </c>
      <c r="BF163" s="152">
        <f t="shared" si="830"/>
        <v>78255.507721335031</v>
      </c>
      <c r="BG163" s="161">
        <f t="shared" si="831"/>
        <v>25.593475912375098</v>
      </c>
      <c r="BH163" s="139"/>
      <c r="BI163" s="18"/>
      <c r="BJ163" s="18"/>
      <c r="BK163" s="18"/>
      <c r="BL163" s="18"/>
      <c r="BM163" s="18"/>
      <c r="BN163" s="160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11056</v>
      </c>
      <c r="B164" s="18" t="str">
        <f>Input!B164</f>
        <v>E8-29</v>
      </c>
      <c r="C164" s="18">
        <f>Input!O164</f>
        <v>1.3838567360229601</v>
      </c>
      <c r="D164" s="18">
        <f>C164*Input!P164/100</f>
        <v>4.3589722630062834E-3</v>
      </c>
      <c r="E164" s="153">
        <f>Input!M164</f>
        <v>1.799889091364397</v>
      </c>
      <c r="F164" s="154">
        <f>E164*Input!N164/100</f>
        <v>9.2259134739310352E-5</v>
      </c>
      <c r="G164" s="21">
        <f>E164*137.88</f>
        <v>248.16870791732305</v>
      </c>
      <c r="H164" s="154">
        <f>G164*Input!L164/100</f>
        <v>1.0959269216995367E-2</v>
      </c>
      <c r="I164" s="18">
        <v>0.3</v>
      </c>
      <c r="J164" s="130">
        <f>(((C164*Constants!$B$24*0.000000001*Input!G164*(Constants!$B$4/Constants!$B$3))-(I164*0.000000000000001))/Input!F164)*1000000000000</f>
        <v>56.844586186426938</v>
      </c>
      <c r="K164" s="18">
        <f>J164*Input!P164/100</f>
        <v>0.17905319823842955</v>
      </c>
      <c r="L164" s="135">
        <f>(J164/Constants!$B$4)*602200000000*Constants!$B$17/(365.2425*24*60)</f>
        <v>0.78480262769122278</v>
      </c>
      <c r="M164" s="133">
        <f>L164*Input!P164/100</f>
        <v>2.472028207104618E-3</v>
      </c>
      <c r="N164" s="18">
        <v>5.0000000000000001E-3</v>
      </c>
      <c r="O164" s="130">
        <f>(((G164*Constants!$B$23*0.000000001*Input!G164*(Constants!$B$7/Constants!$B$6))-(N164*0.000000001))/Input!F164)*1000000</f>
        <v>1.0269003902420826</v>
      </c>
      <c r="P164" s="18">
        <f>O164*Input!N164/100</f>
        <v>5.2637099653388512E-5</v>
      </c>
      <c r="Q164" s="131">
        <f>(O164/Constants!$B$7)*602200000000000000*Constants!$B$18/(365.2425*24*60)</f>
        <v>0.76619169803692877</v>
      </c>
      <c r="R164" s="132">
        <f>Q164*Input!N164/100</f>
        <v>3.9273632716861002E-5</v>
      </c>
      <c r="S164" s="133">
        <f>Input!S164*Constants!$B$17/Constants!$B$18</f>
        <v>1.0147804589981648</v>
      </c>
      <c r="T164" s="18">
        <f>S164*Input!T164/100</f>
        <v>9.7706964523405857E-4</v>
      </c>
      <c r="U164" s="18">
        <f>S164*1/((U163+U165)/2)</f>
        <v>1.0148056803634948</v>
      </c>
      <c r="V164" s="18">
        <f>U164*Input!T164/100</f>
        <v>9.7709392933438468E-4</v>
      </c>
      <c r="W164" s="134">
        <v>3.0000000000000001E-3</v>
      </c>
      <c r="X164" s="130">
        <f>(((Constants!$B$25*0.000000001*Input!G164/Input!W164*(Constants!$B$11/Constants!$B$9)-(W164*0.000000001))/Input!F164)*1000000000)</f>
        <v>3.5423883089919658E-2</v>
      </c>
      <c r="Y164" s="130">
        <f>X164*Input!X164/100</f>
        <v>1.1168491357657702E-4</v>
      </c>
      <c r="Z164" s="130">
        <f>(X164/Constants!$B$11)*6.022E+23*0.000000001*Constants!$B$19/(365.2425*24*60)</f>
        <v>8.6481150714286372E-6</v>
      </c>
      <c r="AA164" s="130">
        <f>Z164*Input!X164/100</f>
        <v>2.7265898035544558E-8</v>
      </c>
      <c r="AB164" s="135">
        <v>0.05</v>
      </c>
      <c r="AC164" s="135">
        <v>0</v>
      </c>
      <c r="AD164" s="130">
        <f>(((Input!G164*Constants!$B$25*0.000000001*Input!U164*(Constants!$B$10/Constants!$B$9))-((AB164*0.000000000000001)+(Input!G164*AC164*0.000000000000001)))/Input!F164)*1000000000000</f>
        <v>8.6636947797137709E-2</v>
      </c>
      <c r="AE164" s="130">
        <f>AD164*Input!V164/100</f>
        <v>1.2846660149269562E-3</v>
      </c>
      <c r="AF164" s="130">
        <f>(AD164/Constants!$B$10)*602200000000*Constants!$B$16/(365.2425*24*60)</f>
        <v>3.9546013959137474E-3</v>
      </c>
      <c r="AG164" s="130">
        <f>AF164*Input!V164/100</f>
        <v>5.8639439004809161E-5</v>
      </c>
      <c r="AH164" s="18">
        <f>AF164/Z164</f>
        <v>457.27899816907291</v>
      </c>
      <c r="AI164" s="134">
        <f>AH164*SQRT((AG164/AF164)^2+(AA164/Z164)^2)</f>
        <v>6.9321805545924651</v>
      </c>
      <c r="AJ164" s="133">
        <f t="shared" si="815"/>
        <v>14.805680363494833</v>
      </c>
      <c r="AK164" s="134">
        <f>V164*1000</f>
        <v>0.97709392933438466</v>
      </c>
      <c r="AL164" s="134">
        <f>AF164/Q164</f>
        <v>5.1613733299980813E-3</v>
      </c>
      <c r="AM164" s="134">
        <f>AL164*SQRT((R164/Q164)^2+(AG164/AF164)^2)</f>
        <v>7.6534096509651138E-5</v>
      </c>
      <c r="AN164" s="18">
        <f>AL164*1/((AN163+AN165)/2)</f>
        <v>5.1793410717009816E-3</v>
      </c>
      <c r="AO164" s="130">
        <f>AN164*SQRT((R164/Q164)^2+(AG164/AF164)^2)</f>
        <v>7.6800526544765603E-5</v>
      </c>
      <c r="AP164" s="18">
        <f>ThU_Alter_Kombi(AN164,U164)</f>
        <v>0.55800000000000005</v>
      </c>
      <c r="AQ164" s="18">
        <f t="shared" si="821"/>
        <v>7.7000000000000002E-3</v>
      </c>
      <c r="AR164" s="155">
        <f>(AQ164/AP164)</f>
        <v>1.3799283154121864E-2</v>
      </c>
      <c r="AS164" s="132">
        <f t="shared" si="822"/>
        <v>1.1287142752376594E-5</v>
      </c>
      <c r="AT164" s="132">
        <f t="shared" si="823"/>
        <v>3.5590964158109128E-8</v>
      </c>
      <c r="AU164" s="18">
        <v>0.75</v>
      </c>
      <c r="AV164" s="18">
        <f>AU164/2</f>
        <v>0.375</v>
      </c>
      <c r="AW164" s="18">
        <f t="shared" si="825"/>
        <v>0.55710000000000004</v>
      </c>
      <c r="AX164" s="136">
        <f t="shared" si="826"/>
        <v>8.4692893000000002E-3</v>
      </c>
      <c r="AY164" s="136">
        <f t="shared" si="827"/>
        <v>8.3361024214006034E-3</v>
      </c>
      <c r="AZ164" s="155">
        <f t="shared" si="828"/>
        <v>1.5202457907018487E-2</v>
      </c>
      <c r="BA164" s="18" t="str">
        <f>Input!B164</f>
        <v>E8-29</v>
      </c>
      <c r="BB164" s="137">
        <f>Input!E164</f>
        <v>29</v>
      </c>
      <c r="BC164" s="18">
        <f>((U164-1)*EXP(Constants!$B$17*AW164*1000))*1000</f>
        <v>14.828975711775788</v>
      </c>
      <c r="BD164" s="133">
        <f>SQRT((EXP(Constants!$B$17*AW164*1000)*V164)^2+((U164-1)*Constants!$B$17*EXP(Constants!$B$17*AW164*1000)*AY164*1000)^2)*1000</f>
        <v>0.97863135709219395</v>
      </c>
      <c r="BE164" s="18">
        <f t="shared" si="829"/>
        <v>499.1</v>
      </c>
      <c r="BF164" s="138">
        <f t="shared" si="830"/>
        <v>4.1680512107003018</v>
      </c>
      <c r="BG164" s="20">
        <f t="shared" si="831"/>
        <v>1.496338614503788</v>
      </c>
      <c r="BH164" s="18"/>
      <c r="BI164" s="18"/>
      <c r="BJ164" s="18"/>
      <c r="BK164" s="18"/>
      <c r="BL164" s="18"/>
      <c r="BM164" s="18"/>
      <c r="BN164" s="160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9">
        <f>Input!A165</f>
        <v>10815</v>
      </c>
      <c r="B165" s="139" t="str">
        <f>Input!B165</f>
        <v>Hu1-13</v>
      </c>
      <c r="C165" s="139">
        <f>Input!O165</f>
        <v>2.0865293671159817</v>
      </c>
      <c r="D165" s="139">
        <f>C165*Input!P165/100</f>
        <v>1.8882925282701517E-2</v>
      </c>
      <c r="E165" s="140">
        <f>Input!M165</f>
        <v>2.7321617323482275</v>
      </c>
      <c r="F165" s="141">
        <f>E165*Input!N165/100</f>
        <v>3.3505243511145957E-4</v>
      </c>
      <c r="G165" s="142">
        <f t="shared" ref="G165" si="877">E165*137.88</f>
        <v>376.71045965617361</v>
      </c>
      <c r="H165" s="141">
        <f>G165*Input!L165/100</f>
        <v>2.363727429028022E-2</v>
      </c>
      <c r="I165" s="139">
        <v>0</v>
      </c>
      <c r="J165" s="143">
        <f>(((C165*Constants!$B$24*0.000000001*Input!G165*(Constants!$B$4/Constants!$B$3))-(I165*0.000000000000001))/Input!F165)*1000000000000</f>
        <v>753.31543545273178</v>
      </c>
      <c r="K165" s="139">
        <f>J165*Input!P165/100</f>
        <v>6.8174449428532737</v>
      </c>
      <c r="L165" s="144">
        <f>(J165/Constants!$B$4)*602200000000*Constants!$B$17/(365.2425*24*60)</f>
        <v>10.400356003731913</v>
      </c>
      <c r="M165" s="145">
        <f>L165*Input!P165/100</f>
        <v>9.4122396946378264E-2</v>
      </c>
      <c r="N165" s="139">
        <v>0</v>
      </c>
      <c r="O165" s="143">
        <f>(((G165*Constants!$B$23*0.000000001*Input!G165*(Constants!$B$7/Constants!$B$6))-(N165*0.000000001))/Input!F165)*1000000</f>
        <v>13.700661743113411</v>
      </c>
      <c r="P165" s="139">
        <f>O165*Input!N165/100</f>
        <v>1.6801494674779701E-3</v>
      </c>
      <c r="Q165" s="146">
        <f>(O165/Constants!$B$7)*602200000000000000*Constants!$B$18/(365.2425*24*60)</f>
        <v>10.222348131264223</v>
      </c>
      <c r="R165" s="147">
        <f>Q165*Input!N165/100</f>
        <v>1.2535943950116859E-3</v>
      </c>
      <c r="S165" s="145">
        <f>Input!S165*Constants!$B$17/Constants!$B$18</f>
        <v>1.0008324063178784</v>
      </c>
      <c r="T165" s="139">
        <f>S165*Input!T165/100</f>
        <v>1.3639228288384606E-3</v>
      </c>
      <c r="U165" s="145">
        <f>S165</f>
        <v>1.0008324063178784</v>
      </c>
      <c r="V165" s="139">
        <f>U165*Input!T165/100</f>
        <v>1.3639228288384606E-3</v>
      </c>
      <c r="W165" s="148">
        <v>0</v>
      </c>
      <c r="X165" s="143">
        <f>(((Constants!$B$25*0.000000001*Input!G165/Input!W165*(Constants!$B$11/Constants!$B$9))-(W165*0.000000001))/Input!F165)*1000000000</f>
        <v>0.99912683483689069</v>
      </c>
      <c r="Y165" s="143">
        <f>X165*Input!X165/100</f>
        <v>4.8787035328129672E-3</v>
      </c>
      <c r="Z165" s="143">
        <f>(X165/Constants!$B$11)*6.022E+23*0.000000001*Constants!$B$19/(365.2425*24*60)</f>
        <v>2.4391916088613375E-4</v>
      </c>
      <c r="AA165" s="143">
        <f>Z165*Input!X165/100</f>
        <v>1.1910492546526654E-6</v>
      </c>
      <c r="AB165" s="144">
        <v>0</v>
      </c>
      <c r="AC165" s="144">
        <v>0</v>
      </c>
      <c r="AD165" s="143">
        <f>(((Input!G165*Constants!$B$25*0.000000001*Input!U165*(Constants!$B$10/Constants!$B$9))-((AB165*0.000000000000001)+(Input!G165*AC165*0.000000000000001)))/Input!F165)*1000000000000</f>
        <v>223.49718928213261</v>
      </c>
      <c r="AE165" s="143">
        <f>AD165*Input!V165/100</f>
        <v>0.84092030351011882</v>
      </c>
      <c r="AF165" s="143">
        <f>(AD165/Constants!$B$10)*602200000000*Constants!$B$16/(365.2425*24*60)</f>
        <v>10.201678604692496</v>
      </c>
      <c r="AG165" s="143">
        <f>AF165*Input!V165/100</f>
        <v>3.838436937898676E-2</v>
      </c>
      <c r="AH165" s="139">
        <f t="shared" ref="AH165" si="878">AF165/Z165</f>
        <v>41824.014840125004</v>
      </c>
      <c r="AI165" s="148">
        <f t="shared" ref="AI165" si="879">AH165*SQRT((AG165/AF165)^2+(AA165/Z165)^2)</f>
        <v>257.82116355317442</v>
      </c>
      <c r="AJ165" s="145">
        <f t="shared" si="815"/>
        <v>0.83240631787839803</v>
      </c>
      <c r="AK165" s="148">
        <f t="shared" ref="AK165" si="880">V165*1000</f>
        <v>1.3639228288384606</v>
      </c>
      <c r="AL165" s="148">
        <f t="shared" ref="AL165" si="881">AF165/Q165</f>
        <v>0.9979780060015262</v>
      </c>
      <c r="AM165" s="148">
        <f t="shared" ref="AM165" si="882">AL165*SQRT((R165/Q165)^2+(AG165/AF165)^2)</f>
        <v>3.7569403167499191E-3</v>
      </c>
      <c r="AN165" s="139">
        <f>AF165/Q165</f>
        <v>0.9979780060015262</v>
      </c>
      <c r="AO165" s="143">
        <f t="shared" ref="AO165" si="883">AN165*SQRT((R165/Q165)^2+(AG165/AF165)^2)</f>
        <v>3.7569403167499191E-3</v>
      </c>
      <c r="AP165" s="139">
        <f t="shared" ref="AP165" si="884">ThU_Alter_Kombi(AN165,U165)</f>
        <v>626.35749999999996</v>
      </c>
      <c r="AQ165" s="139" t="e">
        <f t="shared" si="821"/>
        <v>#VALUE!</v>
      </c>
      <c r="AR165" s="139" t="e">
        <f>(AQ165/AP165)*100</f>
        <v>#VALUE!</v>
      </c>
      <c r="AS165" s="147">
        <f t="shared" si="822"/>
        <v>2.3861363138291756E-5</v>
      </c>
      <c r="AT165" s="147">
        <f t="shared" si="823"/>
        <v>1.165509916920307E-7</v>
      </c>
      <c r="AU165" s="139">
        <v>0.75</v>
      </c>
      <c r="AV165" s="139">
        <f t="shared" ref="AV165" si="885">AU165/2</f>
        <v>0.375</v>
      </c>
      <c r="AW165" s="139">
        <f t="shared" si="825"/>
        <v>626.35559999999998</v>
      </c>
      <c r="AX165" s="149">
        <f t="shared" si="826"/>
        <v>270.6282214881</v>
      </c>
      <c r="AY165" s="149">
        <f t="shared" si="827"/>
        <v>142.28226125632125</v>
      </c>
      <c r="AZ165" s="150">
        <f t="shared" si="828"/>
        <v>0.43206801613668017</v>
      </c>
      <c r="BA165" s="139" t="str">
        <f>Input!B165</f>
        <v>Hu1-13</v>
      </c>
      <c r="BB165" s="151">
        <f>Input!E165</f>
        <v>0</v>
      </c>
      <c r="BC165" s="139">
        <f>((U165-1)*EXP(Constants!$B$17*AW165*1000))*1000</f>
        <v>4.8752846378633699</v>
      </c>
      <c r="BD165" s="145">
        <f>SQRT((EXP(Constants!$B$17*AW165*1000)*V165)^2+((U165-1)*Constants!$B$17*EXP(Constants!$B$17*AW165*1000)*AY165*1000)^2)*1000</f>
        <v>8.2246594769146384</v>
      </c>
      <c r="BE165" s="139">
        <f t="shared" si="829"/>
        <v>626297.59999999998</v>
      </c>
      <c r="BF165" s="152">
        <f t="shared" si="830"/>
        <v>71141.130628160623</v>
      </c>
      <c r="BG165" s="161">
        <f t="shared" si="831"/>
        <v>22.715891940029152</v>
      </c>
      <c r="BH165" s="139"/>
      <c r="BI165" s="18"/>
      <c r="BJ165" s="18"/>
      <c r="BK165" s="18"/>
      <c r="BL165" s="18"/>
      <c r="BM165" s="18"/>
      <c r="BN165" s="160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7" spans="1:110" ht="15" customHeight="1" x14ac:dyDescent="0.2">
      <c r="A167" s="139">
        <f>Input!A167</f>
        <v>10815</v>
      </c>
      <c r="B167" s="139" t="str">
        <f>Input!B167</f>
        <v>Hu1-13</v>
      </c>
      <c r="C167" s="139">
        <f>Input!O167</f>
        <v>2.0939713828117559</v>
      </c>
      <c r="D167" s="139">
        <f>C167*Input!P167/100</f>
        <v>1.8116204962484058E-2</v>
      </c>
      <c r="E167" s="140">
        <f>Input!M167</f>
        <v>2.7318882762138914</v>
      </c>
      <c r="F167" s="141">
        <f>E167*Input!N167/100</f>
        <v>3.8132954254504808E-4</v>
      </c>
      <c r="G167" s="142">
        <f t="shared" ref="G167" si="886">E167*137.88</f>
        <v>376.67275552437133</v>
      </c>
      <c r="H167" s="141">
        <f>G167*Input!L167/100</f>
        <v>2.4756735939698529E-2</v>
      </c>
      <c r="I167" s="139">
        <v>0</v>
      </c>
      <c r="J167" s="143">
        <f>(((C167*Constants!$B$24*0.000000001*Input!G167*(Constants!$B$4/Constants!$B$3))-(I167*0.000000000000001))/Input!F167)*1000000000000</f>
        <v>756.00228251218971</v>
      </c>
      <c r="K167" s="139">
        <f>J167*Input!P167/100</f>
        <v>6.5406301225119661</v>
      </c>
      <c r="L167" s="144">
        <f>(J167/Constants!$B$4)*602200000000*Constants!$B$17/(365.2425*24*60)</f>
        <v>10.43745091063389</v>
      </c>
      <c r="M167" s="145">
        <f>L167*Input!P167/100</f>
        <v>9.0300660999963631E-2</v>
      </c>
      <c r="N167" s="139">
        <v>0</v>
      </c>
      <c r="O167" s="143">
        <f>(((G167*Constants!$B$23*0.000000001*Input!G167*(Constants!$B$7/Constants!$B$6))-(N167*0.000000001))/Input!F167)*1000000</f>
        <v>13.699290473633365</v>
      </c>
      <c r="P167" s="139">
        <f>O167*Input!N167/100</f>
        <v>1.9122100325208692E-3</v>
      </c>
      <c r="Q167" s="146">
        <f>(O167/Constants!$B$7)*602200000000000000*Constants!$B$18/(365.2425*24*60)</f>
        <v>10.221324998639707</v>
      </c>
      <c r="R167" s="147">
        <f>Q167*Input!N167/100</f>
        <v>1.4267395998116494E-3</v>
      </c>
      <c r="S167" s="145">
        <f>Input!S167*Constants!$B$17/Constants!$B$18</f>
        <v>0.99866005539804958</v>
      </c>
      <c r="T167" s="139">
        <f>S167*Input!T167/100</f>
        <v>1.4277020191852919E-3</v>
      </c>
      <c r="U167" s="145">
        <f>S167</f>
        <v>0.99866005539804958</v>
      </c>
      <c r="V167" s="139">
        <f>U167*Input!T167/100</f>
        <v>1.4277020191852919E-3</v>
      </c>
      <c r="W167" s="148">
        <v>0</v>
      </c>
      <c r="X167" s="143">
        <f>(((Constants!$B$25*0.000000001*Input!G167/Input!W167*(Constants!$B$11/Constants!$B$9))-(W167*0.000000001))/Input!F167)*1000000000</f>
        <v>1.0225784496179009</v>
      </c>
      <c r="Y167" s="143">
        <f>X167*Input!X167/100</f>
        <v>6.0527650162076826E-3</v>
      </c>
      <c r="Z167" s="143">
        <f>(X167/Constants!$B$11)*6.022E+23*0.000000001*Constants!$B$19/(365.2425*24*60)</f>
        <v>2.4964445821511872E-4</v>
      </c>
      <c r="AA167" s="143">
        <f>Z167*Input!X167/100</f>
        <v>1.4776756186669196E-6</v>
      </c>
      <c r="AB167" s="144">
        <v>0</v>
      </c>
      <c r="AC167" s="144">
        <v>0</v>
      </c>
      <c r="AD167" s="143">
        <f>(((Input!G167*Constants!$B$25*0.000000001*Input!U167*(Constants!$B$10/Constants!$B$9))-((AB167*0.000000000000001)+(Input!G167*AC167*0.000000000000001)))/Input!F167)*1000000000000</f>
        <v>223.98894129485771</v>
      </c>
      <c r="AE167" s="143">
        <f>AD167*Input!V167/100</f>
        <v>1.0232752135186527</v>
      </c>
      <c r="AF167" s="143">
        <f>(AD167/Constants!$B$10)*602200000000*Constants!$B$16/(365.2425*24*60)</f>
        <v>10.224124954032037</v>
      </c>
      <c r="AG167" s="143">
        <f>AF167*Input!V167/100</f>
        <v>4.6708081144087733E-2</v>
      </c>
      <c r="AH167" s="139">
        <f t="shared" ref="AH167" si="887">AF167/Z167</f>
        <v>40954.744307690198</v>
      </c>
      <c r="AI167" s="148">
        <f t="shared" ref="AI167" si="888">AH167*SQRT((AG167/AF167)^2+(AA167/Z167)^2)</f>
        <v>306.2211020888862</v>
      </c>
      <c r="AJ167" s="145">
        <f t="shared" ref="AJ167:AJ177" si="889">(U167-1)*1000</f>
        <v>-1.3399446019504158</v>
      </c>
      <c r="AK167" s="148">
        <f t="shared" ref="AK167" si="890">V167*1000</f>
        <v>1.4277020191852918</v>
      </c>
      <c r="AL167" s="148">
        <f t="shared" ref="AL167" si="891">AF167/Q167</f>
        <v>1.0002739327232724</v>
      </c>
      <c r="AM167" s="148">
        <f t="shared" ref="AM167" si="892">AL167*SQRT((R167/Q167)^2+(AG167/AF167)^2)</f>
        <v>4.5718024341087279E-3</v>
      </c>
      <c r="AN167" s="139">
        <f>AF167/Q167</f>
        <v>1.0002739327232724</v>
      </c>
      <c r="AO167" s="143">
        <f t="shared" ref="AO167" si="893">AN167*SQRT((R167/Q167)^2+(AG167/AF167)^2)</f>
        <v>4.5718024341087279E-3</v>
      </c>
      <c r="AP167" s="139" t="str">
        <f t="shared" ref="AP167" si="894">ThU_Alter_Kombi(AN167,U167)</f>
        <v>Out of range</v>
      </c>
      <c r="AQ167" s="139" t="e">
        <f t="shared" ref="AQ167:AQ177" si="895">Montealter(AN167,AO167,U167,V167)</f>
        <v>#VALUE!</v>
      </c>
      <c r="AR167" s="139" t="e">
        <f>(AQ167/AP167)*100</f>
        <v>#VALUE!</v>
      </c>
      <c r="AS167" s="147">
        <f t="shared" ref="AS167:AS177" si="896">Z167/Q167</f>
        <v>2.4423884207609322E-5</v>
      </c>
      <c r="AT167" s="147">
        <f t="shared" ref="AT167:AT177" si="897">AS167*SQRT((Y167/X167)^2+(P167/O167)^2)</f>
        <v>1.4460810480321408E-7</v>
      </c>
      <c r="AU167" s="139">
        <v>0.75</v>
      </c>
      <c r="AV167" s="139">
        <f t="shared" ref="AV167" si="898">AU167/2</f>
        <v>0.375</v>
      </c>
      <c r="AW167" s="139" t="str">
        <f t="shared" ref="AW167:AW177" si="899">marincorr_age(AN167,U167,AS167,AU167)</f>
        <v>Out of range</v>
      </c>
      <c r="AX167" s="149">
        <f t="shared" ref="AX167:AX177" si="900">marincorr_age_error(AN167, AO167, U167, V167, AS167, AT167, AU167, AV167)</f>
        <v>303.82209279289998</v>
      </c>
      <c r="AY167" s="149" t="e">
        <f t="shared" ref="AY167:AY177" si="901">SQRT(((AU167*EXP(-0.0000091577*AW167*1000))/(0.0000091577*(EXP(-0.0000091577*AW167*1000)+(AJ167/1000)*EXP(-(0.0000091577-0.0000028263)*AW167*1000)-AS167*AU167*EXP(-0.0000091577*AW167*1000))))^2*AT167^2+((AS167*EXP(-0.0000091577*AW167*1000))/(0.0000091577*(EXP(-0.0000091577*AW167*1000)+(AJ167/1000)*EXP(-(0.0000091577-0.0000028263)*AW167*1000)-AS167*AU167*EXP(-0.0000091577*AW167*1000))))^2*AV167^2+((0.0000091577/(0.0000091577-0.0000028263))*(EXP(-(0.0000091577-0.0000028263)*AW167*1000)-1)/(0.0000091577*(EXP(-0.0000091577*AW167*1000)+(AJ167/1000)*EXP(-(0.0000091577-0.0000028263)*AW167*1000)-AS167*AU167*EXP(-0.0000091577*AW167*1000))))^2*T167^2+(1/(0.0000091577*(EXP(-0.0000091577*AW167*1000)+(AJ167/1000)*EXP(-(0.0000091577-0.0000028263)*AW167*1000)-AS167*AU167*EXP(-0.0000091577*AW167*1000))))^2*AO167^2)/1000</f>
        <v>#VALUE!</v>
      </c>
      <c r="AZ167" s="150" t="e">
        <f t="shared" ref="AZ167:AZ177" si="902">AX167/AW167</f>
        <v>#VALUE!</v>
      </c>
      <c r="BA167" s="139" t="str">
        <f>Input!B167</f>
        <v>Hu1-13</v>
      </c>
      <c r="BB167" s="151">
        <f>Input!E167</f>
        <v>0</v>
      </c>
      <c r="BC167" s="139" t="e">
        <f>((U167-1)*EXP(Constants!$B$17*AW167*1000))*1000</f>
        <v>#VALUE!</v>
      </c>
      <c r="BD167" s="145" t="e">
        <f>SQRT((EXP(Constants!$B$17*AW167*1000)*V167)^2+((U167-1)*Constants!$B$17*EXP(Constants!$B$17*AW167*1000)*AY167*1000)^2)*1000</f>
        <v>#VALUE!</v>
      </c>
      <c r="BE167" s="139" t="e">
        <f t="shared" ref="BE167:BE177" si="903">AW167*1000-58</f>
        <v>#VALUE!</v>
      </c>
      <c r="BF167" s="152" t="e">
        <f t="shared" ref="BF167:BF177" si="904">AY167/2*1000</f>
        <v>#VALUE!</v>
      </c>
      <c r="BG167" s="161" t="e">
        <f t="shared" ref="BG167:BG177" si="905">AY167/AW167*100</f>
        <v>#VALUE!</v>
      </c>
      <c r="BH167" s="139"/>
      <c r="BI167" s="18"/>
      <c r="BJ167" s="18"/>
      <c r="BK167" s="18"/>
      <c r="BL167" s="18"/>
      <c r="BM167" s="18"/>
      <c r="BN167" s="160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8" spans="1:110" ht="15" customHeight="1" x14ac:dyDescent="0.2">
      <c r="A168" s="18">
        <f>Input!A168</f>
        <v>11057</v>
      </c>
      <c r="B168" s="18" t="str">
        <f>Input!B168</f>
        <v>E8-60,5</v>
      </c>
      <c r="C168" s="18">
        <f>Input!O168</f>
        <v>0.75155352828619681</v>
      </c>
      <c r="D168" s="18">
        <f>C168*Input!P168/100</f>
        <v>1.7807380013972376E-3</v>
      </c>
      <c r="E168" s="153">
        <f>Input!M168</f>
        <v>0.99049640511685255</v>
      </c>
      <c r="F168" s="154">
        <f>E168*Input!N168/100</f>
        <v>7.5403208214250552E-5</v>
      </c>
      <c r="G168" s="21">
        <f>E168*137.88</f>
        <v>136.56964433751162</v>
      </c>
      <c r="H168" s="154">
        <f>G168*Input!L168/100</f>
        <v>7.9433432631250758E-3</v>
      </c>
      <c r="I168" s="18">
        <v>0.3</v>
      </c>
      <c r="J168" s="130">
        <f>(((C168*Constants!$B$24*0.000000001*Input!G168*(Constants!$B$4/Constants!$B$3))-(I168*0.000000000000001))/Input!F168)*1000000000000</f>
        <v>28.602665986188981</v>
      </c>
      <c r="K168" s="18">
        <f>J168*Input!P168/100</f>
        <v>6.7771425914300215E-2</v>
      </c>
      <c r="L168" s="135">
        <f>(J168/Constants!$B$4)*602200000000*Constants!$B$17/(365.2425*24*60)</f>
        <v>0.39489156190383806</v>
      </c>
      <c r="M168" s="133">
        <f>L168*Input!P168/100</f>
        <v>9.3565978236681406E-4</v>
      </c>
      <c r="N168" s="18">
        <v>5.0000000000000001E-3</v>
      </c>
      <c r="O168" s="130">
        <f>(((G168*Constants!$B$23*0.000000001*Input!G168*(Constants!$B$7/Constants!$B$6))-(N168*0.000000001))/Input!F168)*1000000</f>
        <v>0.52358396500415205</v>
      </c>
      <c r="P168" s="18">
        <f>O168*Input!N168/100</f>
        <v>3.985871178017386E-5</v>
      </c>
      <c r="Q168" s="131">
        <f>(O168/Constants!$B$7)*602200000000000000*Constants!$B$18/(365.2425*24*60)</f>
        <v>0.3906568650897756</v>
      </c>
      <c r="R168" s="132">
        <f>Q168*Input!N168/100</f>
        <v>2.9739412264919435E-5</v>
      </c>
      <c r="S168" s="133">
        <f>Input!S168*Constants!$B$17/Constants!$B$18</f>
        <v>1.007655736517006</v>
      </c>
      <c r="T168" s="18">
        <f>S168*Input!T168/100</f>
        <v>1.470709168158419E-3</v>
      </c>
      <c r="U168" s="18">
        <f>S168*1/((U167+U169)/2)</f>
        <v>1.0078621330195243</v>
      </c>
      <c r="V168" s="18">
        <f>U168*Input!T168/100</f>
        <v>1.4710104111499772E-3</v>
      </c>
      <c r="W168" s="134">
        <v>3.0000000000000001E-3</v>
      </c>
      <c r="X168" s="130">
        <f>(((Constants!$B$25*0.000000001*Input!G168/Input!W168*(Constants!$B$11/Constants!$B$9)-(W168*0.000000001))/Input!F168)*1000000000)</f>
        <v>6.9892753652333536E-2</v>
      </c>
      <c r="Y168" s="130">
        <f>X168*Input!X168/100</f>
        <v>2.8738125153244918E-4</v>
      </c>
      <c r="Z168" s="130">
        <f>(X168/Constants!$B$11)*6.022E+23*0.000000001*Constants!$B$19/(365.2425*24*60)</f>
        <v>1.7063080710550228E-5</v>
      </c>
      <c r="AA168" s="130">
        <f>Z168*Input!X168/100</f>
        <v>7.015905417018002E-8</v>
      </c>
      <c r="AB168" s="135">
        <v>0.05</v>
      </c>
      <c r="AC168" s="135">
        <v>0</v>
      </c>
      <c r="AD168" s="130">
        <f>(((Input!G168*Constants!$B$25*0.000000001*Input!U168*(Constants!$B$10/Constants!$B$9))-((AB168*0.000000000000001)+(Input!G168*AC168*0.000000000000001)))/Input!F168)*1000000000000</f>
        <v>0.12082069989284128</v>
      </c>
      <c r="AE168" s="130">
        <f>AD168*Input!V168/100</f>
        <v>1.7815597519649426E-3</v>
      </c>
      <c r="AF168" s="130">
        <f>(AD168/Constants!$B$10)*602200000000*Constants!$B$16/(365.2425*24*60)</f>
        <v>5.5149416109427085E-3</v>
      </c>
      <c r="AG168" s="130">
        <f>AF168*Input!V168/100</f>
        <v>8.1320485787670751E-5</v>
      </c>
      <c r="AH168" s="18">
        <f>AF168/Z168</f>
        <v>323.20902095556397</v>
      </c>
      <c r="AI168" s="134">
        <f>AH168*SQRT((AG168/AF168)^2+(AA168/Z168)^2)</f>
        <v>4.9476932266326354</v>
      </c>
      <c r="AJ168" s="133">
        <f t="shared" si="889"/>
        <v>7.86213301952432</v>
      </c>
      <c r="AK168" s="134">
        <f>V168*1000</f>
        <v>1.4710104111499771</v>
      </c>
      <c r="AL168" s="134">
        <f>AF168/Q168</f>
        <v>1.4117098926894162E-2</v>
      </c>
      <c r="AM168" s="134">
        <f>AL168*SQRT((R168/Q168)^2+(AG168/AF168)^2)</f>
        <v>2.0816623689256771E-4</v>
      </c>
      <c r="AN168" s="18">
        <f>AL168*1/((AN167+AN169)/2)</f>
        <v>1.4117524562162004E-2</v>
      </c>
      <c r="AO168" s="130">
        <f>AN168*SQRT((R168/Q168)^2+(AG168/AF168)^2)</f>
        <v>2.081725131744337E-4</v>
      </c>
      <c r="AP168" s="18">
        <f>ThU_Alter_Kombi(AN168,U168)</f>
        <v>1.5382</v>
      </c>
      <c r="AQ168" s="18">
        <f t="shared" si="895"/>
        <v>2.4400000000000002E-2</v>
      </c>
      <c r="AR168" s="155">
        <f>(AQ168/AP168)</f>
        <v>1.5862696658431933E-2</v>
      </c>
      <c r="AS168" s="132">
        <f t="shared" si="896"/>
        <v>4.3677923608558668E-5</v>
      </c>
      <c r="AT168" s="132">
        <f t="shared" si="897"/>
        <v>1.7962330661924148E-7</v>
      </c>
      <c r="AU168" s="18">
        <v>0.75</v>
      </c>
      <c r="AV168" s="18">
        <f>AU168/2</f>
        <v>0.375</v>
      </c>
      <c r="AW168" s="18">
        <f t="shared" si="899"/>
        <v>1.5347</v>
      </c>
      <c r="AX168" s="136">
        <f t="shared" si="900"/>
        <v>2.31044132E-2</v>
      </c>
      <c r="AY168" s="136">
        <f t="shared" si="901"/>
        <v>2.3053636662555339E-2</v>
      </c>
      <c r="AZ168" s="155">
        <f t="shared" si="902"/>
        <v>1.5054677265915164E-2</v>
      </c>
      <c r="BA168" s="18" t="str">
        <f>Input!B168</f>
        <v>E8-60,5</v>
      </c>
      <c r="BB168" s="137">
        <f>Input!E168</f>
        <v>60.5</v>
      </c>
      <c r="BC168" s="18">
        <f>((U168-1)*EXP(Constants!$B$17*AW168*1000))*1000</f>
        <v>7.8962578836689215</v>
      </c>
      <c r="BD168" s="133">
        <f>SQRT((EXP(Constants!$B$17*AW168*1000)*V168)^2+((U168-1)*Constants!$B$17*EXP(Constants!$B$17*AW168*1000)*AY168*1000)^2)*1000</f>
        <v>1.4773952856518802</v>
      </c>
      <c r="BE168" s="18">
        <f t="shared" si="903"/>
        <v>1476.7</v>
      </c>
      <c r="BF168" s="138">
        <f t="shared" si="904"/>
        <v>11.526818331277669</v>
      </c>
      <c r="BG168" s="20">
        <f t="shared" si="905"/>
        <v>1.5021591622177195</v>
      </c>
      <c r="BH168" s="18"/>
      <c r="BI168" s="18"/>
      <c r="BJ168" s="18"/>
      <c r="BK168" s="18"/>
      <c r="BL168" s="18"/>
      <c r="BM168" s="18"/>
      <c r="BN168" s="160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</row>
    <row r="169" spans="1:110" ht="15" customHeight="1" x14ac:dyDescent="0.2">
      <c r="A169" s="139">
        <f>Input!A169</f>
        <v>10815</v>
      </c>
      <c r="B169" s="139" t="str">
        <f>Input!B169</f>
        <v>Hu1-13</v>
      </c>
      <c r="C169" s="139">
        <f>Input!O169</f>
        <v>2.0977374780746136</v>
      </c>
      <c r="D169" s="139">
        <f>C169*Input!P169/100</f>
        <v>1.2613619421502395E-2</v>
      </c>
      <c r="E169" s="140">
        <f>Input!M169</f>
        <v>2.7316471618040996</v>
      </c>
      <c r="F169" s="141">
        <f>E169*Input!N169/100</f>
        <v>3.3434142537504881E-4</v>
      </c>
      <c r="G169" s="142">
        <f t="shared" ref="G169" si="906">E169*137.88</f>
        <v>376.63951066954922</v>
      </c>
      <c r="H169" s="141">
        <f>G169*Input!L169/100</f>
        <v>2.6511259272559488E-2</v>
      </c>
      <c r="I169" s="139">
        <v>0</v>
      </c>
      <c r="J169" s="143">
        <f>(((C169*Constants!$B$24*0.000000001*Input!G169*(Constants!$B$4/Constants!$B$3))-(I169*0.000000000000001))/Input!F169)*1000000000000</f>
        <v>757.36198429142598</v>
      </c>
      <c r="K169" s="139">
        <f>J169*Input!P169/100</f>
        <v>4.5539901603579649</v>
      </c>
      <c r="L169" s="144">
        <f>(J169/Constants!$B$4)*602200000000*Constants!$B$17/(365.2425*24*60)</f>
        <v>10.456223103393311</v>
      </c>
      <c r="M169" s="145">
        <f>L169*Input!P169/100</f>
        <v>6.2872890526596559E-2</v>
      </c>
      <c r="N169" s="139">
        <v>0</v>
      </c>
      <c r="O169" s="143">
        <f>(((G169*Constants!$B$23*0.000000001*Input!G169*(Constants!$B$7/Constants!$B$6))-(N169*0.000000001))/Input!F169)*1000000</f>
        <v>13.698081384533392</v>
      </c>
      <c r="P169" s="139">
        <f>O169*Input!N169/100</f>
        <v>1.6765840475471919E-3</v>
      </c>
      <c r="Q169" s="146">
        <f>(O169/Constants!$B$7)*602200000000000000*Constants!$B$18/(365.2425*24*60)</f>
        <v>10.220422872163383</v>
      </c>
      <c r="R169" s="147">
        <f>Q169*Input!N169/100</f>
        <v>1.2509341611886824E-3</v>
      </c>
      <c r="S169" s="145">
        <f>Input!S169*Constants!$B$17/Constants!$B$18</f>
        <v>1.0009303717134443</v>
      </c>
      <c r="T169" s="139">
        <f>S169*Input!T169/100</f>
        <v>1.725468594911747E-3</v>
      </c>
      <c r="U169" s="145">
        <f>S169</f>
        <v>1.0009303717134443</v>
      </c>
      <c r="V169" s="139">
        <f>U169*Input!T169/100</f>
        <v>1.725468594911747E-3</v>
      </c>
      <c r="W169" s="148">
        <v>0</v>
      </c>
      <c r="X169" s="143">
        <f>(((Constants!$B$25*0.000000001*Input!G169/Input!W169*(Constants!$B$11/Constants!$B$9))-(W169*0.000000001))/Input!F169)*1000000000</f>
        <v>1.023225077161392</v>
      </c>
      <c r="Y169" s="143">
        <f>X169*Input!X169/100</f>
        <v>6.3763296900017988E-3</v>
      </c>
      <c r="Z169" s="143">
        <f>(X169/Constants!$B$11)*6.022E+23*0.000000001*Constants!$B$19/(365.2425*24*60)</f>
        <v>2.498023209031326E-4</v>
      </c>
      <c r="AA169" s="143">
        <f>Z169*Input!X169/100</f>
        <v>1.5566682159752888E-6</v>
      </c>
      <c r="AB169" s="144">
        <v>0</v>
      </c>
      <c r="AC169" s="144">
        <v>0</v>
      </c>
      <c r="AD169" s="143">
        <f>(((Input!G169*Constants!$B$25*0.000000001*Input!U169*(Constants!$B$10/Constants!$B$9))-((AB169*0.000000000000001)+(Input!G169*AC169*0.000000000000001)))/Input!F169)*1000000000000</f>
        <v>223.83299944642022</v>
      </c>
      <c r="AE169" s="143">
        <f>AD169*Input!V169/100</f>
        <v>0.83828085330006341</v>
      </c>
      <c r="AF169" s="143">
        <f>(AD169/Constants!$B$10)*602200000000*Constants!$B$16/(365.2425*24*60)</f>
        <v>10.21700688411854</v>
      </c>
      <c r="AG169" s="143">
        <f>AF169*Input!V169/100</f>
        <v>3.8263889909770359E-2</v>
      </c>
      <c r="AH169" s="139">
        <f t="shared" ref="AH169" si="907">AF169/Z169</f>
        <v>40900.368127806352</v>
      </c>
      <c r="AI169" s="148">
        <f t="shared" ref="AI169" si="908">AH169*SQRT((AG169/AF169)^2+(AA169/Z169)^2)</f>
        <v>297.36212118229054</v>
      </c>
      <c r="AJ169" s="145">
        <f t="shared" si="889"/>
        <v>0.93037171344434455</v>
      </c>
      <c r="AK169" s="148">
        <f t="shared" ref="AK169" si="909">V169*1000</f>
        <v>1.725468594911747</v>
      </c>
      <c r="AL169" s="148">
        <f t="shared" ref="AL169" si="910">AF169/Q169</f>
        <v>0.99966576842391264</v>
      </c>
      <c r="AM169" s="148">
        <f t="shared" ref="AM169" si="911">AL169*SQRT((R169/Q169)^2+(AG169/AF169)^2)</f>
        <v>3.7458644539068576E-3</v>
      </c>
      <c r="AN169" s="139">
        <f>AF169/Q169</f>
        <v>0.99966576842391264</v>
      </c>
      <c r="AO169" s="143">
        <f t="shared" ref="AO169" si="912">AN169*SQRT((R169/Q169)^2+(AG169/AF169)^2)</f>
        <v>3.7458644539068576E-3</v>
      </c>
      <c r="AP169" s="139">
        <f t="shared" ref="AP169" si="913">ThU_Alter_Kombi(AN169,U169)</f>
        <v>697.84630000000004</v>
      </c>
      <c r="AQ169" s="139" t="e">
        <f t="shared" si="895"/>
        <v>#VALUE!</v>
      </c>
      <c r="AR169" s="139" t="e">
        <f>(AQ169/AP169)*100</f>
        <v>#VALUE!</v>
      </c>
      <c r="AS169" s="147">
        <f t="shared" si="896"/>
        <v>2.4441485839446126E-5</v>
      </c>
      <c r="AT169" s="147">
        <f t="shared" si="897"/>
        <v>1.5233894594162777E-7</v>
      </c>
      <c r="AU169" s="139">
        <v>0.75</v>
      </c>
      <c r="AV169" s="139">
        <f t="shared" ref="AV169" si="914">AU169/2</f>
        <v>0.375</v>
      </c>
      <c r="AW169" s="139">
        <f t="shared" si="899"/>
        <v>697.84429999999998</v>
      </c>
      <c r="AX169" s="149">
        <f t="shared" si="900"/>
        <v>315.8729893885</v>
      </c>
      <c r="AY169" s="149">
        <f t="shared" si="901"/>
        <v>290.04491386825066</v>
      </c>
      <c r="AZ169" s="150">
        <f t="shared" si="902"/>
        <v>0.4526410681988805</v>
      </c>
      <c r="BA169" s="139" t="str">
        <f>Input!B169</f>
        <v>Hu1-13</v>
      </c>
      <c r="BB169" s="151">
        <f>Input!E169</f>
        <v>0</v>
      </c>
      <c r="BC169" s="139">
        <f>((U169-1)*EXP(Constants!$B$17*AW169*1000))*1000</f>
        <v>6.6671161455343446</v>
      </c>
      <c r="BD169" s="145">
        <f>SQRT((EXP(Constants!$B$17*AW169*1000)*V169)^2+((U169-1)*Constants!$B$17*EXP(Constants!$B$17*AW169*1000)*AY169*1000)^2)*1000</f>
        <v>13.515558031911533</v>
      </c>
      <c r="BE169" s="139">
        <f t="shared" si="903"/>
        <v>697786.29999999993</v>
      </c>
      <c r="BF169" s="152">
        <f t="shared" si="904"/>
        <v>145022.45693412534</v>
      </c>
      <c r="BG169" s="161">
        <f t="shared" si="905"/>
        <v>41.562983873086111</v>
      </c>
      <c r="BH169" s="139"/>
      <c r="BI169" s="18"/>
      <c r="BJ169" s="18"/>
      <c r="BK169" s="18"/>
      <c r="BL169" s="18"/>
      <c r="BM169" s="18"/>
      <c r="BN169" s="160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11058</v>
      </c>
      <c r="B170" s="18" t="str">
        <f>Input!B170</f>
        <v>E1-35</v>
      </c>
      <c r="C170" s="18">
        <f>Input!O170</f>
        <v>2.022027858593249</v>
      </c>
      <c r="D170" s="18">
        <f>C170*Input!P170/100</f>
        <v>3.1778927555309376E-3</v>
      </c>
      <c r="E170" s="153">
        <f>Input!M170</f>
        <v>2.6488144405417882</v>
      </c>
      <c r="F170" s="154">
        <f>E170*Input!N170/100</f>
        <v>1.3540322549389285E-4</v>
      </c>
      <c r="G170" s="21">
        <f>E170*137.88</f>
        <v>365.21853506190172</v>
      </c>
      <c r="H170" s="154">
        <f>G170*Input!L170/100</f>
        <v>2.1416742855809908E-2</v>
      </c>
      <c r="I170" s="18">
        <v>0.3</v>
      </c>
      <c r="J170" s="130">
        <f>(((C170*Constants!$B$24*0.000000001*Input!G170*(Constants!$B$4/Constants!$B$3))-(I170*0.000000000000001))/Input!F170)*1000000000000</f>
        <v>80.969271868319964</v>
      </c>
      <c r="K170" s="18">
        <f>J170*Input!P170/100</f>
        <v>0.12725426180327903</v>
      </c>
      <c r="L170" s="135">
        <f>(J170/Constants!$B$4)*602200000000*Constants!$B$17/(365.2425*24*60)</f>
        <v>1.1178706995262715</v>
      </c>
      <c r="M170" s="133">
        <f>L170*Input!P170/100</f>
        <v>1.7568863764895611E-3</v>
      </c>
      <c r="N170" s="18">
        <v>5.0000000000000001E-3</v>
      </c>
      <c r="O170" s="130">
        <f>(((G170*Constants!$B$23*0.000000001*Input!G170*(Constants!$B$7/Constants!$B$6))-(N170*0.000000001))/Input!F170)*1000000</f>
        <v>1.4732241852574022</v>
      </c>
      <c r="P170" s="18">
        <f>O170*Input!N170/100</f>
        <v>7.5308901788780319E-5</v>
      </c>
      <c r="Q170" s="131">
        <f>(O170/Constants!$B$7)*602200000000000000*Constants!$B$18/(365.2425*24*60)</f>
        <v>1.0992031464953889</v>
      </c>
      <c r="R170" s="132">
        <f>Q170*Input!N170/100</f>
        <v>5.6189534921921096E-5</v>
      </c>
      <c r="S170" s="133">
        <f>Input!S170*Constants!$B$17/Constants!$B$18</f>
        <v>1.0128107269876854</v>
      </c>
      <c r="T170" s="18">
        <f>S170*Input!T170/100</f>
        <v>6.681544114881115E-4</v>
      </c>
      <c r="U170" s="18">
        <f>S170*1/((U169+U171)/2)</f>
        <v>1.0123543315673198</v>
      </c>
      <c r="V170" s="18">
        <f>U170*Input!T170/100</f>
        <v>6.6785332599861703E-4</v>
      </c>
      <c r="W170" s="134">
        <v>3.0000000000000001E-3</v>
      </c>
      <c r="X170" s="130">
        <f>(((Constants!$B$25*0.000000001*Input!G170/Input!W170*(Constants!$B$11/Constants!$B$9)-(W170*0.000000001))/Input!F170)*1000000000)</f>
        <v>1.7583349417636222E-2</v>
      </c>
      <c r="Y170" s="130">
        <f>X170*Input!X170/100</f>
        <v>7.4864550781821336E-5</v>
      </c>
      <c r="Z170" s="130">
        <f>(X170/Constants!$B$11)*6.022E+23*0.000000001*Constants!$B$19/(365.2425*24*60)</f>
        <v>4.2926640402143633E-6</v>
      </c>
      <c r="AA170" s="130">
        <f>Z170*Input!X170/100</f>
        <v>1.8276857121749045E-8</v>
      </c>
      <c r="AB170" s="135">
        <v>0.05</v>
      </c>
      <c r="AC170" s="135">
        <v>0</v>
      </c>
      <c r="AD170" s="130">
        <f>(((Input!G170*Constants!$B$25*0.000000001*Input!U170*(Constants!$B$10/Constants!$B$9))-((AB170*0.000000000000001)+(Input!G170*AC170*0.000000000000001)))/Input!F170)*1000000000000</f>
        <v>8.0267810346561622E-2</v>
      </c>
      <c r="AE170" s="130">
        <f>AD170*Input!V170/100</f>
        <v>1.1102225941269073E-3</v>
      </c>
      <c r="AF170" s="130">
        <f>(AD170/Constants!$B$10)*602200000000*Constants!$B$16/(365.2425*24*60)</f>
        <v>3.663877859440699E-3</v>
      </c>
      <c r="AG170" s="130">
        <f>AF170*Input!V170/100</f>
        <v>5.067685245317819E-5</v>
      </c>
      <c r="AH170" s="18">
        <f>AF170/Z170</f>
        <v>853.5207566017059</v>
      </c>
      <c r="AI170" s="134">
        <f>AH170*SQRT((AG170/AF170)^2+(AA170/Z170)^2)</f>
        <v>12.352123514120953</v>
      </c>
      <c r="AJ170" s="133">
        <f t="shared" si="889"/>
        <v>12.354331567319798</v>
      </c>
      <c r="AK170" s="134">
        <f>V170*1000</f>
        <v>0.66785332599861702</v>
      </c>
      <c r="AL170" s="134">
        <f>AF170/Q170</f>
        <v>3.3332126742197867E-3</v>
      </c>
      <c r="AM170" s="134">
        <f>AL170*SQRT((R170/Q170)^2+(AG170/AF170)^2)</f>
        <v>4.6103578496969921E-5</v>
      </c>
      <c r="AN170" s="18">
        <f>AL170*1/((AN169+AN171)/2)</f>
        <v>3.3356153010018733E-3</v>
      </c>
      <c r="AO170" s="130">
        <f>AN170*SQRT((R170/Q170)^2+(AG170/AF170)^2)</f>
        <v>4.6136810607631081E-5</v>
      </c>
      <c r="AP170" s="18">
        <f>ThU_Alter_Kombi(AN170,U170)</f>
        <v>0.3599</v>
      </c>
      <c r="AQ170" s="18">
        <f t="shared" si="895"/>
        <v>4.5999999999999999E-3</v>
      </c>
      <c r="AR170" s="155">
        <f>(AQ170/AP170)</f>
        <v>1.2781328146707419E-2</v>
      </c>
      <c r="AS170" s="132">
        <f t="shared" si="896"/>
        <v>3.9052508664124085E-6</v>
      </c>
      <c r="AT170" s="132">
        <f t="shared" si="897"/>
        <v>1.6628568076745441E-8</v>
      </c>
      <c r="AU170" s="18">
        <v>0.75</v>
      </c>
      <c r="AV170" s="18">
        <f>AU170/2</f>
        <v>0.375</v>
      </c>
      <c r="AW170" s="18">
        <f t="shared" si="899"/>
        <v>0.35959999999999998</v>
      </c>
      <c r="AX170" s="136">
        <f t="shared" si="900"/>
        <v>4.9457640000000001E-3</v>
      </c>
      <c r="AY170" s="136">
        <f t="shared" si="901"/>
        <v>5.0010779704808871E-3</v>
      </c>
      <c r="AZ170" s="155">
        <f t="shared" si="902"/>
        <v>1.3753515016685206E-2</v>
      </c>
      <c r="BA170" s="18" t="str">
        <f>Input!B170</f>
        <v>E1-35</v>
      </c>
      <c r="BB170" s="137">
        <f>Input!E170</f>
        <v>35</v>
      </c>
      <c r="BC170" s="18">
        <f>((U170-1)*EXP(Constants!$B$17*AW170*1000))*1000</f>
        <v>12.366875264508833</v>
      </c>
      <c r="BD170" s="133">
        <f>SQRT((EXP(Constants!$B$17*AW170*1000)*V170)^2+((U170-1)*Constants!$B$17*EXP(Constants!$B$17*AW170*1000)*AY170*1000)^2)*1000</f>
        <v>0.66853143887927724</v>
      </c>
      <c r="BE170" s="18">
        <f t="shared" si="903"/>
        <v>301.59999999999997</v>
      </c>
      <c r="BF170" s="138">
        <f t="shared" si="904"/>
        <v>2.5005389852404436</v>
      </c>
      <c r="BG170" s="20">
        <f t="shared" si="905"/>
        <v>1.3907335846721043</v>
      </c>
      <c r="BH170" s="18"/>
      <c r="BI170" s="18"/>
      <c r="BJ170" s="18"/>
      <c r="BK170" s="18"/>
      <c r="BL170" s="18"/>
      <c r="BM170" s="18"/>
      <c r="BN170" s="160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9">
        <f>Input!A171</f>
        <v>10815</v>
      </c>
      <c r="B171" s="139" t="str">
        <f>Input!B171</f>
        <v>Hu1-13</v>
      </c>
      <c r="C171" s="139">
        <f>Input!O171</f>
        <v>2.0706971171680282</v>
      </c>
      <c r="D171" s="139">
        <f>C171*Input!P171/100</f>
        <v>1.6010769046784543E-2</v>
      </c>
      <c r="E171" s="140">
        <f>Input!M171</f>
        <v>2.7324356567121284</v>
      </c>
      <c r="F171" s="141">
        <f>E171*Input!N171/100</f>
        <v>2.8989205209032195E-4</v>
      </c>
      <c r="G171" s="142">
        <f t="shared" ref="G171" si="915">E171*137.88</f>
        <v>376.74822834746823</v>
      </c>
      <c r="H171" s="141">
        <f>G171*Input!L171/100</f>
        <v>2.5172477996163241E-2</v>
      </c>
      <c r="I171" s="139">
        <v>0</v>
      </c>
      <c r="J171" s="143">
        <f>(((C171*Constants!$B$24*0.000000001*Input!G171*(Constants!$B$4/Constants!$B$3))-(I171*0.000000000000001))/Input!F171)*1000000000000</f>
        <v>747.59939883627885</v>
      </c>
      <c r="K171" s="139">
        <f>J171*Input!P171/100</f>
        <v>5.7804887132178964</v>
      </c>
      <c r="L171" s="144">
        <f>(J171/Constants!$B$4)*602200000000*Constants!$B$17/(365.2425*24*60)</f>
        <v>10.321439771641501</v>
      </c>
      <c r="M171" s="145">
        <f>L171*Input!P171/100</f>
        <v>7.9806064848372008E-2</v>
      </c>
      <c r="N171" s="139">
        <v>0</v>
      </c>
      <c r="O171" s="143">
        <f>(((G171*Constants!$B$23*0.000000001*Input!G171*(Constants!$B$7/Constants!$B$6))-(N171*0.000000001))/Input!F171)*1000000</f>
        <v>13.70203536057118</v>
      </c>
      <c r="P171" s="139">
        <f>O171*Input!N171/100</f>
        <v>1.4536888137632034E-3</v>
      </c>
      <c r="Q171" s="146">
        <f>(O171/Constants!$B$7)*602200000000000000*Constants!$B$18/(365.2425*24*60)</f>
        <v>10.223373015763654</v>
      </c>
      <c r="R171" s="147">
        <f>Q171*Input!N171/100</f>
        <v>1.0846274002992129E-3</v>
      </c>
      <c r="S171" s="145">
        <f>Input!S171*Constants!$B$17/Constants!$B$18</f>
        <v>0.99997127982521994</v>
      </c>
      <c r="T171" s="139">
        <f>S171*Input!T171/100</f>
        <v>1.3661324004673502E-3</v>
      </c>
      <c r="U171" s="145">
        <f>S171</f>
        <v>0.99997127982521994</v>
      </c>
      <c r="V171" s="139">
        <f>U171*Input!T171/100</f>
        <v>1.3661324004673502E-3</v>
      </c>
      <c r="W171" s="148">
        <v>0</v>
      </c>
      <c r="X171" s="143">
        <f>(((Constants!$B$25*0.000000001*Input!G171/Input!W171*(Constants!$B$11/Constants!$B$9))-(W171*0.000000001))/Input!F171)*1000000000</f>
        <v>1.0092321298396421</v>
      </c>
      <c r="Y171" s="143">
        <f>X171*Input!X171/100</f>
        <v>5.526626487268458E-3</v>
      </c>
      <c r="Z171" s="143">
        <f>(X171/Constants!$B$11)*6.022E+23*0.000000001*Constants!$B$19/(365.2425*24*60)</f>
        <v>2.4638619008766688E-4</v>
      </c>
      <c r="AA171" s="143">
        <f>Z171*Input!X171/100</f>
        <v>1.3492281943620051E-6</v>
      </c>
      <c r="AB171" s="144">
        <v>0</v>
      </c>
      <c r="AC171" s="144">
        <v>0</v>
      </c>
      <c r="AD171" s="143">
        <f>(((Input!G171*Constants!$B$25*0.000000001*Input!U171*(Constants!$B$10/Constants!$B$9))-((AB171*0.000000000000001)+(Input!G171*AC171*0.000000000000001)))/Input!F171)*1000000000000</f>
        <v>223.72467412443851</v>
      </c>
      <c r="AE171" s="143">
        <f>AD171*Input!V171/100</f>
        <v>0.64189409209171799</v>
      </c>
      <c r="AF171" s="143">
        <f>(AD171/Constants!$B$10)*602200000000*Constants!$B$16/(365.2425*24*60)</f>
        <v>10.212062302385062</v>
      </c>
      <c r="AG171" s="143">
        <f>AF171*Input!V171/100</f>
        <v>2.9299684916861291E-2</v>
      </c>
      <c r="AH171" s="139">
        <f t="shared" ref="AH171" si="916">AF171/Z171</f>
        <v>41447.381035241866</v>
      </c>
      <c r="AI171" s="148">
        <f t="shared" ref="AI171" si="917">AH171*SQRT((AG171/AF171)^2+(AA171/Z171)^2)</f>
        <v>256.23476738488966</v>
      </c>
      <c r="AJ171" s="145">
        <f t="shared" si="889"/>
        <v>-2.8720174780061392E-2</v>
      </c>
      <c r="AK171" s="148">
        <f t="shared" ref="AK171" si="918">V171*1000</f>
        <v>1.3661324004673503</v>
      </c>
      <c r="AL171" s="148">
        <f t="shared" ref="AL171" si="919">AF171/Q171</f>
        <v>0.99889364172067752</v>
      </c>
      <c r="AM171" s="148">
        <f t="shared" ref="AM171" si="920">AL171*SQRT((R171/Q171)^2+(AG171/AF171)^2)</f>
        <v>2.8679095653119527E-3</v>
      </c>
      <c r="AN171" s="139">
        <f>AF171/Q171</f>
        <v>0.99889364172067752</v>
      </c>
      <c r="AO171" s="143">
        <f t="shared" ref="AO171" si="921">AN171*SQRT((R171/Q171)^2+(AG171/AF171)^2)</f>
        <v>2.8679095653119527E-3</v>
      </c>
      <c r="AP171" s="139">
        <f t="shared" ref="AP171" si="922">ThU_Alter_Kombi(AN171,U171)</f>
        <v>746.36620000000005</v>
      </c>
      <c r="AQ171" s="139" t="e">
        <f t="shared" si="895"/>
        <v>#VALUE!</v>
      </c>
      <c r="AR171" s="139" t="e">
        <f>(AQ171/AP171)*100</f>
        <v>#VALUE!</v>
      </c>
      <c r="AS171" s="147">
        <f t="shared" si="896"/>
        <v>2.4100283703603334E-5</v>
      </c>
      <c r="AT171" s="147">
        <f t="shared" si="897"/>
        <v>1.3199962320523304E-7</v>
      </c>
      <c r="AU171" s="139">
        <v>0.75</v>
      </c>
      <c r="AV171" s="139">
        <f t="shared" ref="AV171" si="923">AU171/2</f>
        <v>0.375</v>
      </c>
      <c r="AW171" s="139">
        <f t="shared" si="899"/>
        <v>746.36429999999996</v>
      </c>
      <c r="AX171" s="149">
        <f t="shared" si="900"/>
        <v>339.92027515780001</v>
      </c>
      <c r="AY171" s="149">
        <f t="shared" si="901"/>
        <v>352.69535553966716</v>
      </c>
      <c r="AZ171" s="150">
        <f t="shared" si="902"/>
        <v>0.45543479927670716</v>
      </c>
      <c r="BA171" s="139" t="str">
        <f>Input!B171</f>
        <v>Hu1-13</v>
      </c>
      <c r="BB171" s="151">
        <f>Input!E171</f>
        <v>0</v>
      </c>
      <c r="BC171" s="139">
        <f>((U171-1)*EXP(Constants!$B$17*AW171*1000))*1000</f>
        <v>-0.23601247558488311</v>
      </c>
      <c r="BD171" s="145">
        <f>SQRT((EXP(Constants!$B$17*AW171*1000)*V171)^2+((U171-1)*Constants!$B$17*EXP(Constants!$B$17*AW171*1000)*AY171*1000)^2)*1000</f>
        <v>11.228861610745465</v>
      </c>
      <c r="BE171" s="139">
        <f t="shared" si="903"/>
        <v>746306.29999999993</v>
      </c>
      <c r="BF171" s="152">
        <f t="shared" si="904"/>
        <v>176347.67776983359</v>
      </c>
      <c r="BG171" s="161">
        <f t="shared" si="905"/>
        <v>47.255121331455321</v>
      </c>
      <c r="BH171" s="139"/>
      <c r="BI171" s="18"/>
      <c r="BJ171" s="18"/>
      <c r="BK171" s="18"/>
      <c r="BL171" s="18"/>
      <c r="BM171" s="18"/>
      <c r="BN171" s="160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11059</v>
      </c>
      <c r="B172" s="18" t="str">
        <f>Input!B172</f>
        <v>E1-62</v>
      </c>
      <c r="C172" s="18">
        <f>Input!O172</f>
        <v>1.4265252681391838</v>
      </c>
      <c r="D172" s="18">
        <f>C172*Input!P172/100</f>
        <v>4.5480789075710232E-3</v>
      </c>
      <c r="E172" s="153">
        <f>Input!M172</f>
        <v>1.8607111307553206</v>
      </c>
      <c r="F172" s="154">
        <f>E172*Input!N172/100</f>
        <v>8.218205137516633E-4</v>
      </c>
      <c r="G172" s="21">
        <f>E172*137.88</f>
        <v>256.5548507085436</v>
      </c>
      <c r="H172" s="154">
        <f>G172*Input!L172/100</f>
        <v>8.4555685565579977E-2</v>
      </c>
      <c r="I172" s="18">
        <v>0.3</v>
      </c>
      <c r="J172" s="130">
        <f>(((C172*Constants!$B$24*0.000000001*Input!G172*(Constants!$B$4/Constants!$B$3))-(I172*0.000000000000001))/Input!F172)*1000000000000</f>
        <v>72.512778350939229</v>
      </c>
      <c r="K172" s="18">
        <f>J172*Input!P172/100</f>
        <v>0.23118681814691974</v>
      </c>
      <c r="L172" s="135">
        <f>(J172/Constants!$B$4)*602200000000*Constants!$B$17/(365.2425*24*60)</f>
        <v>1.0011194171485862</v>
      </c>
      <c r="M172" s="133">
        <f>L172*Input!P172/100</f>
        <v>3.1917907146731561E-3</v>
      </c>
      <c r="N172" s="18">
        <v>5.0000000000000001E-3</v>
      </c>
      <c r="O172" s="130">
        <f>(((G172*Constants!$B$23*0.000000001*Input!G172*(Constants!$B$7/Constants!$B$6))-(N172*0.000000001))/Input!F172)*1000000</f>
        <v>1.3137075115691219</v>
      </c>
      <c r="P172" s="18">
        <f>O172*Input!N172/100</f>
        <v>5.8022535805377746E-4</v>
      </c>
      <c r="Q172" s="131">
        <f>(O172/Constants!$B$7)*602200000000000000*Constants!$B$18/(365.2425*24*60)</f>
        <v>0.98018444493504209</v>
      </c>
      <c r="R172" s="132">
        <f>Q172*Input!N172/100</f>
        <v>4.3291818423255913E-4</v>
      </c>
      <c r="S172" s="133">
        <f>Input!S172*Constants!$B$17/Constants!$B$18</f>
        <v>1.0160988850379749</v>
      </c>
      <c r="T172" s="18">
        <f>S172*Input!T172/100</f>
        <v>9.4788246960956926E-4</v>
      </c>
      <c r="U172" s="18">
        <f>S172*1/((U171+U173)/2)</f>
        <v>1.0166496557264098</v>
      </c>
      <c r="V172" s="18">
        <f>U172*Input!T172/100</f>
        <v>9.483962639735133E-4</v>
      </c>
      <c r="W172" s="134">
        <v>3.0000000000000001E-3</v>
      </c>
      <c r="X172" s="130">
        <f>(((Constants!$B$25*0.000000001*Input!G172/Input!W172*(Constants!$B$11/Constants!$B$9)-(W172*0.000000001))/Input!F172)*1000000000)</f>
        <v>0.23069688191229162</v>
      </c>
      <c r="Y172" s="130">
        <f>X172*Input!X172/100</f>
        <v>2.1793087276382795E-3</v>
      </c>
      <c r="Z172" s="130">
        <f>(X172/Constants!$B$11)*6.022E+23*0.000000001*Constants!$B$19/(365.2425*24*60)</f>
        <v>5.6320567012175245E-5</v>
      </c>
      <c r="AA172" s="130">
        <f>Z172*Input!X172/100</f>
        <v>5.3203971470162493E-7</v>
      </c>
      <c r="AB172" s="135">
        <v>0.05</v>
      </c>
      <c r="AC172" s="135">
        <v>0</v>
      </c>
      <c r="AD172" s="130">
        <f>(((Input!G172*Constants!$B$25*0.000000001*Input!U172*(Constants!$B$10/Constants!$B$9))-((AB172*0.000000000000001)+(Input!G172*AC172*0.000000000000001)))/Input!F172)*1000000000000</f>
        <v>0.14284552547400139</v>
      </c>
      <c r="AE172" s="130">
        <f>AD172*Input!V172/100</f>
        <v>3.2360798366505928E-3</v>
      </c>
      <c r="AF172" s="130">
        <f>(AD172/Constants!$B$10)*602200000000*Constants!$B$16/(365.2425*24*60)</f>
        <v>6.520279497406088E-3</v>
      </c>
      <c r="AG172" s="130">
        <f>AF172*Input!V172/100</f>
        <v>1.4771302734801052E-4</v>
      </c>
      <c r="AH172" s="18">
        <f>AF172/Z172</f>
        <v>115.77084257686094</v>
      </c>
      <c r="AI172" s="134">
        <f>AH172*SQRT((AG172/AF172)^2+(AA172/Z172)^2)</f>
        <v>2.8416041451603724</v>
      </c>
      <c r="AJ172" s="133">
        <f t="shared" si="889"/>
        <v>16.649655726409751</v>
      </c>
      <c r="AK172" s="134">
        <f>V172*1000</f>
        <v>0.94839626397351329</v>
      </c>
      <c r="AL172" s="134">
        <f>AF172/Q172</f>
        <v>6.6520944411010263E-3</v>
      </c>
      <c r="AM172" s="134">
        <f>AL172*SQRT((R172/Q172)^2+(AG172/AF172)^2)</f>
        <v>1.5072785316363831E-4</v>
      </c>
      <c r="AN172" s="18">
        <f>AL172*1/((AN171+AN173)/2)</f>
        <v>6.6577389864849717E-3</v>
      </c>
      <c r="AO172" s="130">
        <f>AN172*SQRT((R172/Q172)^2+(AG172/AF172)^2)</f>
        <v>1.5085575125879314E-4</v>
      </c>
      <c r="AP172" s="18">
        <f>ThU_Alter_Kombi(AN172,U172)</f>
        <v>0.71640000000000004</v>
      </c>
      <c r="AQ172" s="18">
        <f t="shared" si="895"/>
        <v>1.54E-2</v>
      </c>
      <c r="AR172" s="155">
        <f>(AQ172/AP172)</f>
        <v>2.1496370742601897E-2</v>
      </c>
      <c r="AS172" s="132">
        <f t="shared" si="896"/>
        <v>5.7459152002669938E-5</v>
      </c>
      <c r="AT172" s="132">
        <f t="shared" si="897"/>
        <v>5.433884494567031E-7</v>
      </c>
      <c r="AU172" s="18">
        <v>0.75</v>
      </c>
      <c r="AV172" s="18">
        <f>AU172/2</f>
        <v>0.375</v>
      </c>
      <c r="AW172" s="18">
        <f t="shared" si="899"/>
        <v>0.71179999999999999</v>
      </c>
      <c r="AX172" s="136">
        <f t="shared" si="900"/>
        <v>1.5964496799999998E-2</v>
      </c>
      <c r="AY172" s="136">
        <f t="shared" si="901"/>
        <v>1.6486373312173376E-2</v>
      </c>
      <c r="AZ172" s="155">
        <f t="shared" si="902"/>
        <v>2.2428346164652991E-2</v>
      </c>
      <c r="BA172" s="18" t="str">
        <f>Input!B172</f>
        <v>E1-62</v>
      </c>
      <c r="BB172" s="137">
        <f>Input!E172</f>
        <v>62</v>
      </c>
      <c r="BC172" s="18">
        <f>((U172-1)*EXP(Constants!$B$17*AW172*1000))*1000</f>
        <v>16.683134207844791</v>
      </c>
      <c r="BD172" s="133">
        <f>SQRT((EXP(Constants!$B$17*AW172*1000)*V172)^2+((U172-1)*Constants!$B$17*EXP(Constants!$B$17*AW172*1000)*AY172*1000)^2)*1000</f>
        <v>0.95030357935678056</v>
      </c>
      <c r="BE172" s="18">
        <f t="shared" si="903"/>
        <v>653.79999999999995</v>
      </c>
      <c r="BF172" s="138">
        <f t="shared" si="904"/>
        <v>8.2431866560866887</v>
      </c>
      <c r="BG172" s="20">
        <f t="shared" si="905"/>
        <v>2.3161524743148885</v>
      </c>
      <c r="BH172" s="18"/>
      <c r="BI172" s="18"/>
      <c r="BJ172" s="18"/>
      <c r="BK172" s="18"/>
      <c r="BL172" s="18"/>
      <c r="BM172" s="18"/>
      <c r="BN172" s="160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9">
        <f>Input!A173</f>
        <v>10815</v>
      </c>
      <c r="B173" s="139" t="str">
        <f>Input!B173</f>
        <v>Hu1-13</v>
      </c>
      <c r="C173" s="139">
        <f>Input!O173</f>
        <v>2.0867017893257618</v>
      </c>
      <c r="D173" s="139">
        <f>C173*Input!P173/100</f>
        <v>2.7447745996178746E-2</v>
      </c>
      <c r="E173" s="140">
        <f>Input!M173</f>
        <v>2.7327028932228314</v>
      </c>
      <c r="F173" s="141">
        <f>E173*Input!N173/100</f>
        <v>1.0991596712747486E-3</v>
      </c>
      <c r="G173" s="142">
        <f t="shared" ref="G173" si="924">E173*137.88</f>
        <v>376.78507491756397</v>
      </c>
      <c r="H173" s="141">
        <f>G173*Input!L173/100</f>
        <v>0.2416172282251777</v>
      </c>
      <c r="I173" s="139">
        <v>0</v>
      </c>
      <c r="J173" s="143">
        <f>(((C173*Constants!$B$24*0.000000001*Input!G173*(Constants!$B$4/Constants!$B$3))-(I173*0.000000000000001))/Input!F173)*1000000000000</f>
        <v>753.3776863436558</v>
      </c>
      <c r="K173" s="139">
        <f>J173*Input!P173/100</f>
        <v>9.9096667668219904</v>
      </c>
      <c r="L173" s="144">
        <f>(J173/Constants!$B$4)*602200000000*Constants!$B$17/(365.2425*24*60)</f>
        <v>10.401215446399206</v>
      </c>
      <c r="M173" s="145">
        <f>L173*Input!P173/100</f>
        <v>0.13681395256604514</v>
      </c>
      <c r="N173" s="139">
        <v>0</v>
      </c>
      <c r="O173" s="143">
        <f>(((G173*Constants!$B$23*0.000000001*Input!G173*(Constants!$B$7/Constants!$B$6))-(N173*0.000000001))/Input!F173)*1000000</f>
        <v>13.7033754412096</v>
      </c>
      <c r="P173" s="139">
        <f>O173*Input!N173/100</f>
        <v>5.511831411555577E-3</v>
      </c>
      <c r="Q173" s="146">
        <f>(O173/Constants!$B$7)*602200000000000000*Constants!$B$18/(365.2425*24*60)</f>
        <v>10.224372877745997</v>
      </c>
      <c r="R173" s="147">
        <f>Q173*Input!N173/100</f>
        <v>4.1124918333291178E-3</v>
      </c>
      <c r="S173" s="145">
        <f>Input!S173*Constants!$B$17/Constants!$B$18</f>
        <v>0.99894521872404429</v>
      </c>
      <c r="T173" s="139">
        <f>S173*Input!T173/100</f>
        <v>1.7949440320164059E-3</v>
      </c>
      <c r="U173" s="145">
        <f>S173</f>
        <v>0.99894521872404429</v>
      </c>
      <c r="V173" s="139">
        <f>U173*Input!T173/100</f>
        <v>1.7949440320164059E-3</v>
      </c>
      <c r="W173" s="148">
        <v>0</v>
      </c>
      <c r="X173" s="143">
        <f>(((Constants!$B$25*0.000000001*Input!G173/Input!W173*(Constants!$B$11/Constants!$B$9))-(W173*0.000000001))/Input!F173)*1000000000</f>
        <v>0.96757314225731583</v>
      </c>
      <c r="Y173" s="143">
        <f>X173*Input!X173/100</f>
        <v>1.29078394761448E-2</v>
      </c>
      <c r="Z173" s="143">
        <f>(X173/Constants!$B$11)*6.022E+23*0.000000001*Constants!$B$19/(365.2425*24*60)</f>
        <v>2.362158844366273E-4</v>
      </c>
      <c r="AA173" s="143">
        <f>Z173*Input!X173/100</f>
        <v>3.1512209101941948E-6</v>
      </c>
      <c r="AB173" s="144">
        <v>0</v>
      </c>
      <c r="AC173" s="144">
        <v>0</v>
      </c>
      <c r="AD173" s="143">
        <f>(((Input!G173*Constants!$B$25*0.000000001*Input!U173*(Constants!$B$10/Constants!$B$9))-((AB173*0.000000000000001)+(Input!G173*AC173*0.000000000000001)))/Input!F173)*1000000000000</f>
        <v>223.86237826000354</v>
      </c>
      <c r="AE173" s="143">
        <f>AD173*Input!V173/100</f>
        <v>1.5274214041794465</v>
      </c>
      <c r="AF173" s="143">
        <f>(AD173/Constants!$B$10)*602200000000*Constants!$B$16/(365.2425*24*60)</f>
        <v>10.21834789970324</v>
      </c>
      <c r="AG173" s="143">
        <f>AF173*Input!V173/100</f>
        <v>6.9720171020569294E-2</v>
      </c>
      <c r="AH173" s="139">
        <f t="shared" ref="AH173" si="925">AF173/Z173</f>
        <v>43258.512966111084</v>
      </c>
      <c r="AI173" s="148">
        <f t="shared" ref="AI173" si="926">AH173*SQRT((AG173/AF173)^2+(AA173/Z173)^2)</f>
        <v>648.18641585258058</v>
      </c>
      <c r="AJ173" s="145">
        <f t="shared" si="889"/>
        <v>-1.0547812759557074</v>
      </c>
      <c r="AK173" s="148">
        <f t="shared" ref="AK173" si="927">V173*1000</f>
        <v>1.7949440320164058</v>
      </c>
      <c r="AL173" s="148">
        <f t="shared" ref="AL173" si="928">AF173/Q173</f>
        <v>0.99941072395199204</v>
      </c>
      <c r="AM173" s="148">
        <f t="shared" ref="AM173" si="929">AL173*SQRT((R173/Q173)^2+(AG173/AF173)^2)</f>
        <v>6.8308553444120504E-3</v>
      </c>
      <c r="AN173" s="139">
        <f>AF173/Q173</f>
        <v>0.99941072395199204</v>
      </c>
      <c r="AO173" s="143">
        <f t="shared" ref="AO173" si="930">AN173*SQRT((R173/Q173)^2+(AG173/AF173)^2)</f>
        <v>6.8308553444120504E-3</v>
      </c>
      <c r="AP173" s="139" t="str">
        <f t="shared" ref="AP173" si="931">ThU_Alter_Kombi(AN173,U173)</f>
        <v>Out of range</v>
      </c>
      <c r="AQ173" s="139" t="e">
        <f t="shared" si="895"/>
        <v>#VALUE!</v>
      </c>
      <c r="AR173" s="139" t="e">
        <f>(AQ173/AP173)*100</f>
        <v>#VALUE!</v>
      </c>
      <c r="AS173" s="147">
        <f t="shared" si="896"/>
        <v>2.3103214961062922E-5</v>
      </c>
      <c r="AT173" s="147">
        <f t="shared" si="897"/>
        <v>3.0834682600228652E-7</v>
      </c>
      <c r="AU173" s="139">
        <v>0.75</v>
      </c>
      <c r="AV173" s="139">
        <f t="shared" ref="AV173" si="932">AU173/2</f>
        <v>0.375</v>
      </c>
      <c r="AW173" s="139" t="str">
        <f t="shared" si="899"/>
        <v>Out of range</v>
      </c>
      <c r="AX173" s="149">
        <f t="shared" si="900"/>
        <v>306.03554001290001</v>
      </c>
      <c r="AY173" s="149" t="e">
        <f t="shared" si="901"/>
        <v>#VALUE!</v>
      </c>
      <c r="AZ173" s="150" t="e">
        <f t="shared" si="902"/>
        <v>#VALUE!</v>
      </c>
      <c r="BA173" s="139" t="str">
        <f>Input!B173</f>
        <v>Hu1-13</v>
      </c>
      <c r="BB173" s="151">
        <f>Input!E173</f>
        <v>0</v>
      </c>
      <c r="BC173" s="139" t="e">
        <f>((U173-1)*EXP(Constants!$B$17*AW173*1000))*1000</f>
        <v>#VALUE!</v>
      </c>
      <c r="BD173" s="145" t="e">
        <f>SQRT((EXP(Constants!$B$17*AW173*1000)*V173)^2+((U173-1)*Constants!$B$17*EXP(Constants!$B$17*AW173*1000)*AY173*1000)^2)*1000</f>
        <v>#VALUE!</v>
      </c>
      <c r="BE173" s="139" t="e">
        <f t="shared" si="903"/>
        <v>#VALUE!</v>
      </c>
      <c r="BF173" s="152" t="e">
        <f t="shared" si="904"/>
        <v>#VALUE!</v>
      </c>
      <c r="BG173" s="161" t="e">
        <f t="shared" si="905"/>
        <v>#VALUE!</v>
      </c>
      <c r="BH173" s="139"/>
      <c r="BI173" s="18"/>
      <c r="BJ173" s="18"/>
      <c r="BK173" s="18"/>
      <c r="BL173" s="18"/>
      <c r="BM173" s="18"/>
      <c r="BN173" s="160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11060</v>
      </c>
      <c r="B174" s="18" t="str">
        <f>Input!B174</f>
        <v>E1-75</v>
      </c>
      <c r="C174" s="18">
        <f>Input!O174</f>
        <v>1.4751735913158517</v>
      </c>
      <c r="D174" s="18">
        <f>C174*Input!P174/100</f>
        <v>4.0846528050635014E-3</v>
      </c>
      <c r="E174" s="153">
        <f>Input!M174</f>
        <v>1.9279460621728324</v>
      </c>
      <c r="F174" s="154">
        <f>E174*Input!N174/100</f>
        <v>9.8195049832756727E-5</v>
      </c>
      <c r="G174" s="21">
        <f>E174*137.88</f>
        <v>265.82520305239012</v>
      </c>
      <c r="H174" s="154">
        <f>G174*Input!L174/100</f>
        <v>3.336957312758717E-2</v>
      </c>
      <c r="I174" s="18">
        <v>0.3</v>
      </c>
      <c r="J174" s="130">
        <f>(((C174*Constants!$B$24*0.000000001*Input!G174*(Constants!$B$4/Constants!$B$3))-(I174*0.000000000000001))/Input!F174)*1000000000000</f>
        <v>66.227816727502329</v>
      </c>
      <c r="K174" s="18">
        <f>J174*Input!P174/100</f>
        <v>0.183380206208764</v>
      </c>
      <c r="L174" s="135">
        <f>(J174/Constants!$B$4)*602200000000*Constants!$B$17/(365.2425*24*60)</f>
        <v>0.91434854365088258</v>
      </c>
      <c r="M174" s="133">
        <f>L174*Input!P174/100</f>
        <v>2.5317673564762468E-3</v>
      </c>
      <c r="N174" s="18">
        <v>5.0000000000000001E-3</v>
      </c>
      <c r="O174" s="130">
        <f>(((G174*Constants!$B$23*0.000000001*Input!G174*(Constants!$B$7/Constants!$B$6))-(N174*0.000000001))/Input!F174)*1000000</f>
        <v>1.2022003184993602</v>
      </c>
      <c r="P174" s="18">
        <f>O174*Input!N174/100</f>
        <v>6.1231028450534514E-5</v>
      </c>
      <c r="Q174" s="131">
        <f>(O174/Constants!$B$7)*602200000000000000*Constants!$B$18/(365.2425*24*60)</f>
        <v>0.89698661346736519</v>
      </c>
      <c r="R174" s="132">
        <f>Q174*Input!N174/100</f>
        <v>4.568574138919434E-5</v>
      </c>
      <c r="S174" s="133">
        <f>Input!S174*Constants!$B$17/Constants!$B$18</f>
        <v>1.0152472781365065</v>
      </c>
      <c r="T174" s="18">
        <f>S174*Input!T174/100</f>
        <v>9.253486176944507E-4</v>
      </c>
      <c r="U174" s="18">
        <f>S174*1/((U173+U175)/2)</f>
        <v>1.0155423996445905</v>
      </c>
      <c r="V174" s="18">
        <f>U174*Input!T174/100</f>
        <v>9.2561760662496879E-4</v>
      </c>
      <c r="W174" s="134">
        <v>3.0000000000000001E-3</v>
      </c>
      <c r="X174" s="130">
        <f>(((Constants!$B$25*0.000000001*Input!G174/Input!W174*(Constants!$B$11/Constants!$B$9)-(W174*0.000000001))/Input!F174)*1000000000)</f>
        <v>0.1408894694503445</v>
      </c>
      <c r="Y174" s="130">
        <f>X174*Input!X174/100</f>
        <v>3.9998098243343802E-4</v>
      </c>
      <c r="Z174" s="130">
        <f>(X174/Constants!$B$11)*6.022E+23*0.000000001*Constants!$B$19/(365.2425*24*60)</f>
        <v>3.4395674270555302E-5</v>
      </c>
      <c r="AA174" s="130">
        <f>Z174*Input!X174/100</f>
        <v>9.764828868949648E-8</v>
      </c>
      <c r="AB174" s="135">
        <v>0.05</v>
      </c>
      <c r="AC174" s="135">
        <v>0</v>
      </c>
      <c r="AD174" s="130">
        <f>(((Input!G174*Constants!$B$25*0.000000001*Input!U174*(Constants!$B$10/Constants!$B$9))-((AB174*0.000000000000001)+(Input!G174*AC174*0.000000000000001)))/Input!F174)*1000000000000</f>
        <v>0.16374283064589779</v>
      </c>
      <c r="AE174" s="130">
        <f>AD174*Input!V174/100</f>
        <v>1.7423716306038317E-3</v>
      </c>
      <c r="AF174" s="130">
        <f>(AD174/Constants!$B$10)*602200000000*Constants!$B$16/(365.2425*24*60)</f>
        <v>7.4741509610813973E-3</v>
      </c>
      <c r="AG174" s="130">
        <f>AF174*Input!V174/100</f>
        <v>7.953171779227971E-5</v>
      </c>
      <c r="AH174" s="18">
        <f>AF174/Z174</f>
        <v>217.29915518707261</v>
      </c>
      <c r="AI174" s="134">
        <f>AH174*SQRT((AG174/AF174)^2+(AA174/Z174)^2)</f>
        <v>2.3931393264983041</v>
      </c>
      <c r="AJ174" s="133">
        <f t="shared" si="889"/>
        <v>15.542399644590477</v>
      </c>
      <c r="AK174" s="134">
        <f>V174*1000</f>
        <v>0.92561760662496884</v>
      </c>
      <c r="AL174" s="134">
        <f>AF174/Q174</f>
        <v>8.3325111533042156E-3</v>
      </c>
      <c r="AM174" s="134">
        <f>AL174*SQRT((R174/Q174)^2+(AG174/AF174)^2)</f>
        <v>8.8666461287377824E-5</v>
      </c>
      <c r="AN174" s="18">
        <f>AL174*1/((AN173+AN175)/2)</f>
        <v>8.3257654389638711E-3</v>
      </c>
      <c r="AO174" s="130">
        <f>AN174*SQRT((R174/Q174)^2+(AG174/AF174)^2)</f>
        <v>8.8594679970988382E-5</v>
      </c>
      <c r="AP174" s="18">
        <f>ThU_Alter_Kombi(AN174,U174)</f>
        <v>0.89770000000000005</v>
      </c>
      <c r="AQ174" s="18">
        <f t="shared" si="895"/>
        <v>1.01E-2</v>
      </c>
      <c r="AR174" s="155">
        <f>(AQ174/AP174)</f>
        <v>1.1250974713155842E-2</v>
      </c>
      <c r="AS174" s="132">
        <f t="shared" si="896"/>
        <v>3.8345805560683222E-5</v>
      </c>
      <c r="AT174" s="132">
        <f t="shared" si="897"/>
        <v>1.0888011094830525E-7</v>
      </c>
      <c r="AU174" s="18">
        <v>0.75</v>
      </c>
      <c r="AV174" s="18">
        <f>AU174/2</f>
        <v>0.375</v>
      </c>
      <c r="AW174" s="18">
        <f t="shared" si="899"/>
        <v>0.89459999999999995</v>
      </c>
      <c r="AX174" s="136">
        <f t="shared" si="900"/>
        <v>8.7853232999999999E-3</v>
      </c>
      <c r="AY174" s="136">
        <f t="shared" si="901"/>
        <v>9.7626617159700078E-3</v>
      </c>
      <c r="AZ174" s="155">
        <f t="shared" si="902"/>
        <v>9.8203926894701553E-3</v>
      </c>
      <c r="BA174" s="18" t="str">
        <f>Input!B174</f>
        <v>E1-75</v>
      </c>
      <c r="BB174" s="137">
        <f>Input!E174</f>
        <v>75</v>
      </c>
      <c r="BC174" s="18">
        <f>((U174-1)*EXP(Constants!$B$17*AW174*1000))*1000</f>
        <v>15.581687790793618</v>
      </c>
      <c r="BD174" s="133">
        <f>SQRT((EXP(Constants!$B$17*AW174*1000)*V174)^2+((U174-1)*Constants!$B$17*EXP(Constants!$B$17*AW174*1000)*AY174*1000)^2)*1000</f>
        <v>0.9279574861812796</v>
      </c>
      <c r="BE174" s="18">
        <f t="shared" si="903"/>
        <v>836.59999999999991</v>
      </c>
      <c r="BF174" s="138">
        <f t="shared" si="904"/>
        <v>4.8813308579850041</v>
      </c>
      <c r="BG174" s="20">
        <f t="shared" si="905"/>
        <v>1.0912879181723685</v>
      </c>
      <c r="BH174" s="18"/>
      <c r="BI174" s="18"/>
      <c r="BJ174" s="18"/>
      <c r="BK174" s="18"/>
      <c r="BL174" s="18"/>
      <c r="BM174" s="18"/>
      <c r="BN174" s="160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9">
        <f>Input!A175</f>
        <v>10815</v>
      </c>
      <c r="B175" s="139" t="str">
        <f>Input!B175</f>
        <v>Hu1-13</v>
      </c>
      <c r="C175" s="139">
        <f>Input!O175</f>
        <v>2.0820871517552582</v>
      </c>
      <c r="D175" s="139">
        <f>C175*Input!P175/100</f>
        <v>3.3499146311980955E-2</v>
      </c>
      <c r="E175" s="140">
        <f>Input!M175</f>
        <v>2.7325129761678273</v>
      </c>
      <c r="F175" s="141">
        <f>E175*Input!N175/100</f>
        <v>5.0766333812532905E-4</v>
      </c>
      <c r="G175" s="142">
        <f t="shared" ref="G175" si="933">E175*137.88</f>
        <v>376.75888915402004</v>
      </c>
      <c r="H175" s="141">
        <f>G175*Input!L175/100</f>
        <v>8.1577942161821793E-2</v>
      </c>
      <c r="I175" s="139">
        <v>0</v>
      </c>
      <c r="J175" s="143">
        <f>(((C175*Constants!$B$24*0.000000001*Input!G175*(Constants!$B$4/Constants!$B$3))-(I175*0.000000000000001))/Input!F175)*1000000000000</f>
        <v>751.71162893479925</v>
      </c>
      <c r="K175" s="139">
        <f>J175*Input!P175/100</f>
        <v>12.094449466668816</v>
      </c>
      <c r="L175" s="144">
        <f>(J175/Constants!$B$4)*602200000000*Constants!$B$17/(365.2425*24*60)</f>
        <v>10.378213674021678</v>
      </c>
      <c r="M175" s="145">
        <f>L175*Input!P175/100</f>
        <v>0.16697730353408374</v>
      </c>
      <c r="N175" s="139">
        <v>0</v>
      </c>
      <c r="O175" s="143">
        <f>(((G175*Constants!$B$23*0.000000001*Input!G175*(Constants!$B$7/Constants!$B$6))-(N175*0.000000001))/Input!F175)*1000000</f>
        <v>13.702423085681358</v>
      </c>
      <c r="P175" s="139">
        <f>O175*Input!N175/100</f>
        <v>2.5457217970244429E-3</v>
      </c>
      <c r="Q175" s="146">
        <f>(O175/Constants!$B$7)*602200000000000000*Constants!$B$18/(365.2425*24*60)</f>
        <v>10.223662305516939</v>
      </c>
      <c r="R175" s="147">
        <f>Q175*Input!N175/100</f>
        <v>1.899415878040483E-3</v>
      </c>
      <c r="S175" s="145">
        <f>Input!S175*Constants!$B$17/Constants!$B$18</f>
        <v>1.0004735716520397</v>
      </c>
      <c r="T175" s="139">
        <f>S175*Input!T175/100</f>
        <v>2.6452881162184021E-3</v>
      </c>
      <c r="U175" s="145">
        <f>S175</f>
        <v>1.0004735716520397</v>
      </c>
      <c r="V175" s="139">
        <f>U175*Input!T175/100</f>
        <v>2.6452881162184021E-3</v>
      </c>
      <c r="W175" s="148">
        <v>0</v>
      </c>
      <c r="X175" s="143">
        <f>(((Constants!$B$25*0.000000001*Input!G175/Input!W175*(Constants!$B$11/Constants!$B$9))-(W175*0.000000001))/Input!F175)*1000000000</f>
        <v>0.95896567348435768</v>
      </c>
      <c r="Y175" s="143">
        <f>X175*Input!X175/100</f>
        <v>6.2215153386184722E-3</v>
      </c>
      <c r="Z175" s="143">
        <f>(X175/Constants!$B$11)*6.022E+23*0.000000001*Constants!$B$19/(365.2425*24*60)</f>
        <v>2.3411452304060763E-4</v>
      </c>
      <c r="AA175" s="143">
        <f>Z175*Input!X175/100</f>
        <v>1.5188730278511337E-6</v>
      </c>
      <c r="AB175" s="144">
        <v>0</v>
      </c>
      <c r="AC175" s="144">
        <v>0</v>
      </c>
      <c r="AD175" s="143">
        <f>(((Input!G175*Constants!$B$25*0.000000001*Input!U175*(Constants!$B$10/Constants!$B$9))-((AB175*0.000000000000001)+(Input!G175*AC175*0.000000000000001)))/Input!F175)*1000000000000</f>
        <v>224.47373588770253</v>
      </c>
      <c r="AE175" s="143">
        <f>AD175*Input!V175/100</f>
        <v>1.1835074162144945</v>
      </c>
      <c r="AF175" s="143">
        <f>(AD175/Constants!$B$10)*602200000000*Constants!$B$16/(365.2425*24*60)</f>
        <v>10.246253727290354</v>
      </c>
      <c r="AG175" s="143">
        <f>AF175*Input!V175/100</f>
        <v>5.4021987145659089E-2</v>
      </c>
      <c r="AH175" s="139">
        <f t="shared" ref="AH175" si="934">AF175/Z175</f>
        <v>43765.989372274526</v>
      </c>
      <c r="AI175" s="148">
        <f t="shared" ref="AI175" si="935">AH175*SQRT((AG175/AF175)^2+(AA175/Z175)^2)</f>
        <v>365.88089135727807</v>
      </c>
      <c r="AJ175" s="145">
        <f t="shared" si="889"/>
        <v>0.47357165203965046</v>
      </c>
      <c r="AK175" s="148">
        <f t="shared" ref="AK175" si="936">V175*1000</f>
        <v>2.6452881162184019</v>
      </c>
      <c r="AL175" s="148">
        <f t="shared" ref="AL175" si="937">AF175/Q175</f>
        <v>1.0022097190907042</v>
      </c>
      <c r="AM175" s="148">
        <f t="shared" ref="AM175" si="938">AL175*SQRT((R175/Q175)^2+(AG175/AF175)^2)</f>
        <v>5.2872947718497669E-3</v>
      </c>
      <c r="AN175" s="139">
        <f>AF175/Q175</f>
        <v>1.0022097190907042</v>
      </c>
      <c r="AO175" s="143">
        <f t="shared" ref="AO175" si="939">AN175*SQRT((R175/Q175)^2+(AG175/AF175)^2)</f>
        <v>5.2872947718497669E-3</v>
      </c>
      <c r="AP175" s="139" t="str">
        <f t="shared" ref="AP175" si="940">ThU_Alter_Kombi(AN175,U175)</f>
        <v>Out of range</v>
      </c>
      <c r="AQ175" s="139" t="e">
        <f t="shared" si="895"/>
        <v>#VALUE!</v>
      </c>
      <c r="AR175" s="139" t="e">
        <f>(AQ175/AP175)*100</f>
        <v>#VALUE!</v>
      </c>
      <c r="AS175" s="147">
        <f t="shared" si="896"/>
        <v>2.289928169030717E-5</v>
      </c>
      <c r="AT175" s="147">
        <f t="shared" si="897"/>
        <v>1.486253782211929E-7</v>
      </c>
      <c r="AU175" s="139">
        <v>0.75</v>
      </c>
      <c r="AV175" s="139">
        <f t="shared" ref="AV175" si="941">AU175/2</f>
        <v>0.375</v>
      </c>
      <c r="AW175" s="139" t="str">
        <f t="shared" si="899"/>
        <v>Out of range</v>
      </c>
      <c r="AX175" s="149">
        <f t="shared" si="900"/>
        <v>298.51915972580002</v>
      </c>
      <c r="AY175" s="149" t="e">
        <f t="shared" si="901"/>
        <v>#VALUE!</v>
      </c>
      <c r="AZ175" s="150" t="e">
        <f t="shared" si="902"/>
        <v>#VALUE!</v>
      </c>
      <c r="BA175" s="139" t="str">
        <f>Input!B175</f>
        <v>Hu1-13</v>
      </c>
      <c r="BB175" s="151">
        <f>Input!E175</f>
        <v>0</v>
      </c>
      <c r="BC175" s="139" t="e">
        <f>((U175-1)*EXP(Constants!$B$17*AW175*1000))*1000</f>
        <v>#VALUE!</v>
      </c>
      <c r="BD175" s="145" t="e">
        <f>SQRT((EXP(Constants!$B$17*AW175*1000)*V175)^2+((U175-1)*Constants!$B$17*EXP(Constants!$B$17*AW175*1000)*AY175*1000)^2)*1000</f>
        <v>#VALUE!</v>
      </c>
      <c r="BE175" s="139" t="e">
        <f t="shared" si="903"/>
        <v>#VALUE!</v>
      </c>
      <c r="BF175" s="152" t="e">
        <f t="shared" si="904"/>
        <v>#VALUE!</v>
      </c>
      <c r="BG175" s="161" t="e">
        <f t="shared" si="905"/>
        <v>#VALUE!</v>
      </c>
      <c r="BH175" s="139"/>
      <c r="BI175" s="18"/>
      <c r="BJ175" s="18"/>
      <c r="BK175" s="18"/>
      <c r="BL175" s="18"/>
      <c r="BM175" s="18"/>
      <c r="BN175" s="160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11061</v>
      </c>
      <c r="B176" s="18" t="str">
        <f>Input!B176</f>
        <v>E1-78,5</v>
      </c>
      <c r="C176" s="18">
        <f>Input!O176</f>
        <v>1.6906502727256609</v>
      </c>
      <c r="D176" s="18">
        <f>C176*Input!P176/100</f>
        <v>6.5129144329457104E-3</v>
      </c>
      <c r="E176" s="153">
        <f>Input!M176</f>
        <v>2.2043033829929231</v>
      </c>
      <c r="F176" s="154">
        <f>E176*Input!N176/100</f>
        <v>1.3814477029107096E-4</v>
      </c>
      <c r="G176" s="21">
        <f>E176*137.88</f>
        <v>303.92935044706422</v>
      </c>
      <c r="H176" s="154">
        <f>G176*Input!L176/100</f>
        <v>6.3899931244912375E-2</v>
      </c>
      <c r="I176" s="18">
        <v>0.3</v>
      </c>
      <c r="J176" s="130">
        <f>(((C176*Constants!$B$24*0.000000001*Input!G176*(Constants!$B$4/Constants!$B$3))-(I176*0.000000000000001))/Input!F176)*1000000000000</f>
        <v>83.503762509103879</v>
      </c>
      <c r="K176" s="18">
        <f>J176*Input!P176/100</f>
        <v>0.32168265005749286</v>
      </c>
      <c r="L176" s="135">
        <f>(J176/Constants!$B$4)*602200000000*Constants!$B$17/(365.2425*24*60)</f>
        <v>1.1528621569048629</v>
      </c>
      <c r="M176" s="133">
        <f>L176*Input!P176/100</f>
        <v>4.4411861530637177E-3</v>
      </c>
      <c r="N176" s="18">
        <v>5.0000000000000001E-3</v>
      </c>
      <c r="O176" s="130">
        <f>(((G176*Constants!$B$23*0.000000001*Input!G176*(Constants!$B$7/Constants!$B$6))-(N176*0.000000001))/Input!F176)*1000000</f>
        <v>1.5121955409663577</v>
      </c>
      <c r="P176" s="18">
        <f>O176*Input!N176/100</f>
        <v>9.4770033586910274E-5</v>
      </c>
      <c r="Q176" s="131">
        <f>(O176/Constants!$B$7)*602200000000000000*Constants!$B$18/(365.2425*24*60)</f>
        <v>1.128280483975421</v>
      </c>
      <c r="R176" s="132">
        <f>Q176*Input!N176/100</f>
        <v>7.0709889339757602E-5</v>
      </c>
      <c r="S176" s="133">
        <f>Input!S176*Constants!$B$17/Constants!$B$18</f>
        <v>1.0146563640115265</v>
      </c>
      <c r="T176" s="18">
        <f>S176*Input!T176/100</f>
        <v>1.1679750160581241E-3</v>
      </c>
      <c r="U176" s="18">
        <f>S176*1/((U175+U177)/2)</f>
        <v>1.0139178232197026</v>
      </c>
      <c r="V176" s="18">
        <f>U176*Input!T176/100</f>
        <v>1.1671248787862504E-3</v>
      </c>
      <c r="W176" s="134">
        <v>3.0000000000000001E-3</v>
      </c>
      <c r="X176" s="130">
        <f>(((Constants!$B$25*0.000000001*Input!G176/Input!W176*(Constants!$B$11/Constants!$B$9)-(W176*0.000000001))/Input!F176)*1000000000)</f>
        <v>0.29032683192178693</v>
      </c>
      <c r="Y176" s="130">
        <f>X176*Input!X176/100</f>
        <v>1.0941383505714635E-3</v>
      </c>
      <c r="Z176" s="130">
        <f>(X176/Constants!$B$11)*6.022E+23*0.000000001*Constants!$B$19/(365.2425*24*60)</f>
        <v>7.087816557009276E-5</v>
      </c>
      <c r="AA176" s="130">
        <f>Z176*Input!X176/100</f>
        <v>2.6711454347865522E-7</v>
      </c>
      <c r="AB176" s="135">
        <v>0.05</v>
      </c>
      <c r="AC176" s="135">
        <v>0</v>
      </c>
      <c r="AD176" s="130">
        <f>(((Input!G176*Constants!$B$25*0.000000001*Input!U176*(Constants!$B$10/Constants!$B$9))-((AB176*0.000000000000001)+(Input!G176*AC176*0.000000000000001)))/Input!F176)*1000000000000</f>
        <v>0.20964042289925605</v>
      </c>
      <c r="AE176" s="130">
        <f>AD176*Input!V176/100</f>
        <v>4.8270368718229158E-3</v>
      </c>
      <c r="AF176" s="130">
        <f>(AD176/Constants!$B$10)*602200000000*Constants!$B$16/(365.2425*24*60)</f>
        <v>9.5691772403913786E-3</v>
      </c>
      <c r="AG176" s="130">
        <f>AF176*Input!V176/100</f>
        <v>2.2033332471655572E-4</v>
      </c>
      <c r="AH176" s="18">
        <f>AF176/Z176</f>
        <v>135.00881637417999</v>
      </c>
      <c r="AI176" s="134">
        <f>AH176*SQRT((AG176/AF176)^2+(AA176/Z176)^2)</f>
        <v>3.149984049096981</v>
      </c>
      <c r="AJ176" s="133">
        <f t="shared" si="889"/>
        <v>13.917823219702585</v>
      </c>
      <c r="AK176" s="134">
        <f>V176*1000</f>
        <v>1.1671248787862505</v>
      </c>
      <c r="AL176" s="134">
        <f>AF176/Q176</f>
        <v>8.4812042539945572E-3</v>
      </c>
      <c r="AM176" s="134">
        <f>AL176*SQRT((R176/Q176)^2+(AG176/AF176)^2)</f>
        <v>1.9528312683356506E-4</v>
      </c>
      <c r="AN176" s="18">
        <f>AL176*1/((AN175+AN177)/2)</f>
        <v>8.5582012994787973E-3</v>
      </c>
      <c r="AO176" s="130">
        <f>AN176*SQRT((R176/Q176)^2+(AG176/AF176)^2)</f>
        <v>1.9705601466279364E-4</v>
      </c>
      <c r="AP176" s="18">
        <f>ThU_Alter_Kombi(AN176,U176)</f>
        <v>0.92430000000000001</v>
      </c>
      <c r="AQ176" s="18">
        <f t="shared" si="895"/>
        <v>2.07E-2</v>
      </c>
      <c r="AR176" s="155">
        <f>(AQ176/AP176)</f>
        <v>2.2395326192794548E-2</v>
      </c>
      <c r="AS176" s="132">
        <f t="shared" si="896"/>
        <v>6.2819632685977403E-5</v>
      </c>
      <c r="AT176" s="132">
        <f t="shared" si="897"/>
        <v>2.3677753757501985E-7</v>
      </c>
      <c r="AU176" s="18">
        <v>0.75</v>
      </c>
      <c r="AV176" s="18">
        <f>AU176/2</f>
        <v>0.375</v>
      </c>
      <c r="AW176" s="18">
        <f t="shared" si="899"/>
        <v>0.91920000000000002</v>
      </c>
      <c r="AX176" s="136">
        <f t="shared" si="900"/>
        <v>2.2945132199999999E-2</v>
      </c>
      <c r="AY176" s="136">
        <f t="shared" si="901"/>
        <v>2.15784753685315E-2</v>
      </c>
      <c r="AZ176" s="155">
        <f t="shared" si="902"/>
        <v>2.4962067232375977E-2</v>
      </c>
      <c r="BA176" s="18" t="str">
        <f>Input!B176</f>
        <v>E1-78,5</v>
      </c>
      <c r="BB176" s="137">
        <f>Input!E176</f>
        <v>78.5</v>
      </c>
      <c r="BC176" s="18">
        <f>((U176-1)*EXP(Constants!$B$17*AW176*1000))*1000</f>
        <v>13.953973443023667</v>
      </c>
      <c r="BD176" s="133">
        <f>SQRT((EXP(Constants!$B$17*AW176*1000)*V176)^2+((U176-1)*Constants!$B$17*EXP(Constants!$B$17*AW176*1000)*AY176*1000)^2)*1000</f>
        <v>1.1701566832858532</v>
      </c>
      <c r="BE176" s="18">
        <f t="shared" si="903"/>
        <v>861.2</v>
      </c>
      <c r="BF176" s="138">
        <f t="shared" si="904"/>
        <v>10.78923768426575</v>
      </c>
      <c r="BG176" s="20">
        <f t="shared" si="905"/>
        <v>2.347527781606995</v>
      </c>
      <c r="BH176" s="18"/>
      <c r="BI176" s="18"/>
      <c r="BJ176" s="18"/>
      <c r="BK176" s="18"/>
      <c r="BL176" s="18"/>
      <c r="BM176" s="18"/>
      <c r="BN176" s="160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9">
        <f>Input!A177</f>
        <v>10815</v>
      </c>
      <c r="B177" s="139" t="str">
        <f>Input!B177</f>
        <v>Hu1-13</v>
      </c>
      <c r="C177" s="139">
        <f>Input!O177</f>
        <v>2.0588518707125378</v>
      </c>
      <c r="D177" s="139">
        <f>C177*Input!P177/100</f>
        <v>2.5230574401284896E-2</v>
      </c>
      <c r="E177" s="140">
        <f>Input!M177</f>
        <v>2.7319989038831407</v>
      </c>
      <c r="F177" s="141">
        <f>E177*Input!N177/100</f>
        <v>3.8982988381948002E-4</v>
      </c>
      <c r="G177" s="142">
        <f t="shared" ref="G177" si="942">E177*137.88</f>
        <v>376.6880088674074</v>
      </c>
      <c r="H177" s="141">
        <f>G177*Input!L177/100</f>
        <v>0.42686415497640218</v>
      </c>
      <c r="I177" s="139">
        <v>0</v>
      </c>
      <c r="J177" s="143">
        <f>(((C177*Constants!$B$24*0.000000001*Input!G177*(Constants!$B$4/Constants!$B$3))-(I177*0.000000000000001))/Input!F177)*1000000000000</f>
        <v>743.32282016343902</v>
      </c>
      <c r="K177" s="139">
        <f>J177*Input!P177/100</f>
        <v>9.1091845824808768</v>
      </c>
      <c r="L177" s="144">
        <f>(J177/Constants!$B$4)*602200000000*Constants!$B$17/(365.2425*24*60)</f>
        <v>10.262396854714183</v>
      </c>
      <c r="M177" s="145">
        <f>L177*Input!P177/100</f>
        <v>0.12576240722396792</v>
      </c>
      <c r="N177" s="139">
        <v>0</v>
      </c>
      <c r="O177" s="143">
        <f>(((G177*Constants!$B$23*0.000000001*Input!G177*(Constants!$B$7/Constants!$B$6))-(N177*0.000000001))/Input!F177)*1000000</f>
        <v>13.699845225666479</v>
      </c>
      <c r="P177" s="139">
        <f>O177*Input!N177/100</f>
        <v>1.9548357303787785E-3</v>
      </c>
      <c r="Q177" s="146">
        <f>(O177/Constants!$B$7)*602200000000000000*Constants!$B$18/(365.2425*24*60)</f>
        <v>10.221738910647415</v>
      </c>
      <c r="R177" s="147">
        <f>Q177*Input!N177/100</f>
        <v>1.4585435178275552E-3</v>
      </c>
      <c r="S177" s="145">
        <f>Input!S177*Constants!$B$17/Constants!$B$18</f>
        <v>1.0009832343630249</v>
      </c>
      <c r="T177" s="139">
        <f>S177*Input!T177/100</f>
        <v>2.1891883880466941E-3</v>
      </c>
      <c r="U177" s="145">
        <f>S177</f>
        <v>1.0009832343630249</v>
      </c>
      <c r="V177" s="139">
        <f>U177*Input!T177/100</f>
        <v>2.1891883880466941E-3</v>
      </c>
      <c r="W177" s="148">
        <v>0</v>
      </c>
      <c r="X177" s="143">
        <f>(((Constants!$B$25*0.000000001*Input!G177/Input!W177*(Constants!$B$11/Constants!$B$9))-(W177*0.000000001))/Input!F177)*1000000000</f>
        <v>1.0081438520217048</v>
      </c>
      <c r="Y177" s="143">
        <f>X177*Input!X177/100</f>
        <v>4.7646946057173387E-2</v>
      </c>
      <c r="Z177" s="143">
        <f>(X177/Constants!$B$11)*6.022E+23*0.000000001*Constants!$B$19/(365.2425*24*60)</f>
        <v>2.461205062896678E-4</v>
      </c>
      <c r="AA177" s="143">
        <f>Z177*Input!X177/100</f>
        <v>1.1632159897847129E-5</v>
      </c>
      <c r="AB177" s="144">
        <v>0</v>
      </c>
      <c r="AC177" s="144">
        <v>0</v>
      </c>
      <c r="AD177" s="143">
        <f>(((Input!G177*Constants!$B$25*0.000000001*Input!U177*(Constants!$B$10/Constants!$B$9))-((AB177*0.000000000000001)+(Input!G177*AC177*0.000000000000001)))/Input!F177)*1000000000000</f>
        <v>219.4123717232944</v>
      </c>
      <c r="AE177" s="143">
        <f>AD177*Input!V177/100</f>
        <v>9.559717908052713</v>
      </c>
      <c r="AF177" s="143">
        <f>(AD177/Constants!$B$10)*602200000000*Constants!$B$16/(365.2425*24*60)</f>
        <v>10.0152243766643</v>
      </c>
      <c r="AG177" s="143">
        <f>AF177*Input!V177/100</f>
        <v>0.43635971424394859</v>
      </c>
      <c r="AH177" s="139">
        <f t="shared" ref="AH177" si="943">AF177/Z177</f>
        <v>40692.360533652703</v>
      </c>
      <c r="AI177" s="148">
        <f t="shared" ref="AI177" si="944">AH177*SQRT((AG177/AF177)^2+(AA177/Z177)^2)</f>
        <v>2615.7354891388827</v>
      </c>
      <c r="AJ177" s="145">
        <f t="shared" si="889"/>
        <v>0.98323436302494294</v>
      </c>
      <c r="AK177" s="148">
        <f t="shared" ref="AK177" si="945">V177*1000</f>
        <v>2.189188388046694</v>
      </c>
      <c r="AL177" s="148">
        <f t="shared" ref="AL177" si="946">AF177/Q177</f>
        <v>0.97979653601130423</v>
      </c>
      <c r="AM177" s="148">
        <f t="shared" ref="AM177" si="947">AL177*SQRT((R177/Q177)^2+(AG177/AF177)^2)</f>
        <v>4.2689610658254808E-2</v>
      </c>
      <c r="AN177" s="139">
        <f>AF177/Q177</f>
        <v>0.97979653601130423</v>
      </c>
      <c r="AO177" s="143">
        <f t="shared" ref="AO177" si="948">AN177*SQRT((R177/Q177)^2+(AG177/AF177)^2)</f>
        <v>4.2689610658254808E-2</v>
      </c>
      <c r="AP177" s="139">
        <f t="shared" ref="AP177" si="949">ThU_Alter_Kombi(AN177,U177)</f>
        <v>418.57900000000001</v>
      </c>
      <c r="AQ177" s="139" t="e">
        <f t="shared" si="895"/>
        <v>#VALUE!</v>
      </c>
      <c r="AR177" s="139" t="e">
        <f>(AQ177/AP177)*100</f>
        <v>#VALUE!</v>
      </c>
      <c r="AS177" s="147">
        <f t="shared" si="896"/>
        <v>2.4078144476308018E-5</v>
      </c>
      <c r="AT177" s="147">
        <f t="shared" si="897"/>
        <v>1.1379876764494136E-6</v>
      </c>
      <c r="AU177" s="139">
        <v>0.75</v>
      </c>
      <c r="AV177" s="139">
        <f t="shared" ref="AV177" si="950">AU177/2</f>
        <v>0.375</v>
      </c>
      <c r="AW177" s="139">
        <f t="shared" si="899"/>
        <v>418.57709999999997</v>
      </c>
      <c r="AX177" s="149">
        <f t="shared" si="900"/>
        <v>192.87611318149999</v>
      </c>
      <c r="AY177" s="149">
        <f t="shared" si="901"/>
        <v>215.23877144924609</v>
      </c>
      <c r="AZ177" s="150">
        <f t="shared" si="902"/>
        <v>0.46078993136867735</v>
      </c>
      <c r="BA177" s="139" t="str">
        <f>Input!B177</f>
        <v>Hu1-13</v>
      </c>
      <c r="BB177" s="151">
        <f>Input!E177</f>
        <v>0</v>
      </c>
      <c r="BC177" s="139">
        <f>((U177-1)*EXP(Constants!$B$17*AW177*1000))*1000</f>
        <v>3.2038138224654555</v>
      </c>
      <c r="BD177" s="145">
        <f>SQRT((EXP(Constants!$B$17*AW177*1000)*V177)^2+((U177-1)*Constants!$B$17*EXP(Constants!$B$17*AW177*1000)*AY177*1000)^2)*1000</f>
        <v>7.3940349091977211</v>
      </c>
      <c r="BE177" s="139">
        <f t="shared" si="903"/>
        <v>418519.1</v>
      </c>
      <c r="BF177" s="152">
        <f t="shared" si="904"/>
        <v>107619.38572462305</v>
      </c>
      <c r="BG177" s="161">
        <f t="shared" si="905"/>
        <v>51.421535351371617</v>
      </c>
      <c r="BH177" s="139"/>
      <c r="BI177" s="18"/>
      <c r="BJ177" s="18"/>
      <c r="BK177" s="18"/>
      <c r="BL177" s="18"/>
      <c r="BM177" s="18"/>
      <c r="BN177" s="160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9" spans="1:110" ht="15" customHeight="1" x14ac:dyDescent="0.2">
      <c r="A179" s="139">
        <f>Input!A179</f>
        <v>10815</v>
      </c>
      <c r="B179" s="139" t="str">
        <f>Input!B179</f>
        <v>Hu1-13</v>
      </c>
      <c r="C179" s="139">
        <f>Input!O179</f>
        <v>2.0810868185827194</v>
      </c>
      <c r="D179" s="139">
        <f>C179*Input!P179/100</f>
        <v>1.7805420323442945E-2</v>
      </c>
      <c r="E179" s="140">
        <f>Input!M179</f>
        <v>2.7321027102974265</v>
      </c>
      <c r="F179" s="141">
        <f>E179*Input!N179/100</f>
        <v>3.5157789943535009E-4</v>
      </c>
      <c r="G179" s="142">
        <f t="shared" ref="G179" si="951">E179*137.88</f>
        <v>376.70232169580913</v>
      </c>
      <c r="H179" s="141">
        <f>G179*Input!L179/100</f>
        <v>2.5875282698422916E-2</v>
      </c>
      <c r="I179" s="139">
        <v>0</v>
      </c>
      <c r="J179" s="143">
        <f>(((C179*Constants!$B$24*0.000000001*Input!G179*(Constants!$B$4/Constants!$B$3))-(I179*0.000000000000001))/Input!F179)*1000000000000</f>
        <v>751.35047110431515</v>
      </c>
      <c r="K179" s="139">
        <f>J179*Input!P179/100</f>
        <v>6.4284252001269637</v>
      </c>
      <c r="L179" s="144">
        <f>(J179/Constants!$B$4)*602200000000*Constants!$B$17/(365.2425*24*60)</f>
        <v>10.373227489172947</v>
      </c>
      <c r="M179" s="145">
        <f>L179*Input!P179/100</f>
        <v>8.87515474636483E-2</v>
      </c>
      <c r="N179" s="139">
        <v>0</v>
      </c>
      <c r="O179" s="143">
        <f>(((G179*Constants!$B$23*0.000000001*Input!G179*(Constants!$B$7/Constants!$B$6))-(N179*0.000000001))/Input!F179)*1000000</f>
        <v>13.700365771925529</v>
      </c>
      <c r="P179" s="139">
        <f>O179*Input!N179/100</f>
        <v>1.7630178402279681E-3</v>
      </c>
      <c r="Q179" s="146">
        <f>(O179/Constants!$B$7)*602200000000000000*Constants!$B$18/(365.2425*24*60)</f>
        <v>10.222127301017034</v>
      </c>
      <c r="R179" s="147">
        <f>Q179*Input!N179/100</f>
        <v>1.3154242081407955E-3</v>
      </c>
      <c r="S179" s="145">
        <f>Input!S179*Constants!$B$17/Constants!$B$18</f>
        <v>0.99860224233124151</v>
      </c>
      <c r="T179" s="139">
        <f>S179*Input!T179/100</f>
        <v>1.6607893318064456E-3</v>
      </c>
      <c r="U179" s="145">
        <f>S179</f>
        <v>0.99860224233124151</v>
      </c>
      <c r="V179" s="139">
        <f>U179*Input!T179/100</f>
        <v>1.6607893318064456E-3</v>
      </c>
      <c r="W179" s="148">
        <v>0</v>
      </c>
      <c r="X179" s="143">
        <f>(((Constants!$B$25*0.000000001*Input!G179/Input!W179*(Constants!$B$11/Constants!$B$9))-(W179*0.000000001))/Input!F179)*1000000000</f>
        <v>1.0072719109374479</v>
      </c>
      <c r="Y179" s="143">
        <f>X179*Input!X179/100</f>
        <v>5.6246367431773562E-3</v>
      </c>
      <c r="Z179" s="143">
        <f>(X179/Constants!$B$11)*6.022E+23*0.000000001*Constants!$B$19/(365.2425*24*60)</f>
        <v>2.4590763728225216E-4</v>
      </c>
      <c r="AA179" s="143">
        <f>Z179*Input!X179/100</f>
        <v>1.3731556663765434E-6</v>
      </c>
      <c r="AB179" s="144">
        <v>0</v>
      </c>
      <c r="AC179" s="144">
        <v>0</v>
      </c>
      <c r="AD179" s="143">
        <f>(((Input!G179*Constants!$B$25*0.000000001*Input!U179*(Constants!$B$10/Constants!$B$9))-((AB179*0.000000000000001)+(Input!G179*AC179*0.000000000000001)))/Input!F179)*1000000000000</f>
        <v>222.96597443015258</v>
      </c>
      <c r="AE179" s="143">
        <f>AD179*Input!V179/100</f>
        <v>0.92123436505796652</v>
      </c>
      <c r="AF179" s="143">
        <f>(AD179/Constants!$B$10)*602200000000*Constants!$B$16/(365.2425*24*60)</f>
        <v>10.177430947675663</v>
      </c>
      <c r="AG179" s="143">
        <f>AF179*Input!V179/100</f>
        <v>4.2050358405427445E-2</v>
      </c>
      <c r="AH179" s="139">
        <f t="shared" ref="AH179" si="952">AF179/Z179</f>
        <v>41387.20968635079</v>
      </c>
      <c r="AI179" s="148">
        <f t="shared" ref="AI179" si="953">AH179*SQRT((AG179/AF179)^2+(AA179/Z179)^2)</f>
        <v>287.49235662641451</v>
      </c>
      <c r="AJ179" s="145">
        <f t="shared" ref="AJ179:AJ189" si="954">(U179-1)*1000</f>
        <v>-1.3977576687584925</v>
      </c>
      <c r="AK179" s="148">
        <f t="shared" ref="AK179" si="955">V179*1000</f>
        <v>1.6607893318064455</v>
      </c>
      <c r="AL179" s="148">
        <f t="shared" ref="AL179" si="956">AF179/Q179</f>
        <v>0.99562749004926565</v>
      </c>
      <c r="AM179" s="148">
        <f t="shared" ref="AM179" si="957">AL179*SQRT((R179/Q179)^2+(AG179/AF179)^2)</f>
        <v>4.1156549236219964E-3</v>
      </c>
      <c r="AN179" s="139">
        <f>AF179/Q179</f>
        <v>0.99562749004926565</v>
      </c>
      <c r="AO179" s="143">
        <f t="shared" ref="AO179" si="958">AN179*SQRT((R179/Q179)^2+(AG179/AF179)^2)</f>
        <v>4.1156549236219964E-3</v>
      </c>
      <c r="AP179" s="139">
        <f t="shared" ref="AP179" si="959">ThU_Alter_Kombi(AN179,U179)</f>
        <v>658.5059</v>
      </c>
      <c r="AQ179" s="139" t="e">
        <f t="shared" ref="AQ179:AQ189" si="960">Montealter(AN179,AO179,U179,V179)</f>
        <v>#VALUE!</v>
      </c>
      <c r="AR179" s="139" t="e">
        <f>(AQ179/AP179)*100</f>
        <v>#VALUE!</v>
      </c>
      <c r="AS179" s="147">
        <f t="shared" ref="AS179:AS189" si="961">Z179/Q179</f>
        <v>2.4056405290294711E-5</v>
      </c>
      <c r="AT179" s="147">
        <f t="shared" ref="AT179:AT189" si="962">AS179*SQRT((Y179/X179)^2+(P179/O179)^2)</f>
        <v>1.3436735817705739E-7</v>
      </c>
      <c r="AU179" s="139">
        <v>0.75</v>
      </c>
      <c r="AV179" s="139">
        <f t="shared" ref="AV179" si="963">AU179/2</f>
        <v>0.375</v>
      </c>
      <c r="AW179" s="139">
        <f t="shared" ref="AW179:AW189" si="964">marincorr_age(AN179,U179,AS179,AU179)</f>
        <v>658.50390000000004</v>
      </c>
      <c r="AX179" s="149">
        <f t="shared" ref="AX179:AX189" si="965">marincorr_age_error(AN179, AO179, U179, V179, AS179, AT179, AU179, AV179)</f>
        <v>307.65848085369998</v>
      </c>
      <c r="AY179" s="149">
        <f t="shared" ref="AY179:AY189" si="966">SQRT(((AU179*EXP(-0.0000091577*AW179*1000))/(0.0000091577*(EXP(-0.0000091577*AW179*1000)+(AJ179/1000)*EXP(-(0.0000091577-0.0000028263)*AW179*1000)-AS179*AU179*EXP(-0.0000091577*AW179*1000))))^2*AT179^2+((AS179*EXP(-0.0000091577*AW179*1000))/(0.0000091577*(EXP(-0.0000091577*AW179*1000)+(AJ179/1000)*EXP(-(0.0000091577-0.0000028263)*AW179*1000)-AS179*AU179*EXP(-0.0000091577*AW179*1000))))^2*AV179^2+((0.0000091577/(0.0000091577-0.0000028263))*(EXP(-(0.0000091577-0.0000028263)*AW179*1000)-1)/(0.0000091577*(EXP(-0.0000091577*AW179*1000)+(AJ179/1000)*EXP(-(0.0000091577-0.0000028263)*AW179*1000)-AS179*AU179*EXP(-0.0000091577*AW179*1000))))^2*T179^2+(1/(0.0000091577*(EXP(-0.0000091577*AW179*1000)+(AJ179/1000)*EXP(-(0.0000091577-0.0000028263)*AW179*1000)-AS179*AU179*EXP(-0.0000091577*AW179*1000))))^2*AO179^2)/1000</f>
        <v>217.52192478457061</v>
      </c>
      <c r="AZ179" s="150">
        <f t="shared" ref="AZ179:AZ189" si="967">AX179/AW179</f>
        <v>0.46720828966039529</v>
      </c>
      <c r="BA179" s="139" t="str">
        <f>Input!B179</f>
        <v>Hu1-13</v>
      </c>
      <c r="BB179" s="151">
        <f>Input!E179</f>
        <v>0</v>
      </c>
      <c r="BC179" s="139">
        <f>((U179-1)*EXP(Constants!$B$17*AW179*1000))*1000</f>
        <v>-8.9639125790800822</v>
      </c>
      <c r="BD179" s="145">
        <f>SQRT((EXP(Constants!$B$17*AW179*1000)*V179)^2+((U179-1)*Constants!$B$17*EXP(Constants!$B$17*AW179*1000)*AY179*1000)^2)*1000</f>
        <v>11.988201694775785</v>
      </c>
      <c r="BE179" s="139">
        <f t="shared" ref="BE179:BE189" si="968">AW179*1000-58</f>
        <v>658445.9</v>
      </c>
      <c r="BF179" s="152">
        <f t="shared" ref="BF179:BF189" si="969">AY179/2*1000</f>
        <v>108760.96239228531</v>
      </c>
      <c r="BG179" s="161">
        <f t="shared" ref="BG179:BG189" si="970">AY179/AW179*100</f>
        <v>33.032746622240296</v>
      </c>
      <c r="BH179" s="139"/>
      <c r="BI179" s="18"/>
      <c r="BJ179" s="18"/>
      <c r="BK179" s="18"/>
      <c r="BL179" s="18"/>
      <c r="BM179" s="18"/>
      <c r="BN179" s="160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0" spans="1:110" ht="15" customHeight="1" x14ac:dyDescent="0.2">
      <c r="A180" s="18">
        <f>Input!A180</f>
        <v>11062</v>
      </c>
      <c r="B180" s="18" t="str">
        <f>Input!B180</f>
        <v>E0-C-75</v>
      </c>
      <c r="C180" s="18">
        <f>Input!O180</f>
        <v>1.084691185057657</v>
      </c>
      <c r="D180" s="18">
        <f>C180*Input!P180/100</f>
        <v>3.4113405544751339E-3</v>
      </c>
      <c r="E180" s="153">
        <f>Input!M180</f>
        <v>1.4183713550928259</v>
      </c>
      <c r="F180" s="154">
        <f>E180*Input!N180/100</f>
        <v>7.4915265242802653E-5</v>
      </c>
      <c r="G180" s="21">
        <f>E180*137.88</f>
        <v>195.56504244019882</v>
      </c>
      <c r="H180" s="154">
        <f>G180*Input!L180/100</f>
        <v>9.7320413007874092E-3</v>
      </c>
      <c r="I180" s="18">
        <v>0.3</v>
      </c>
      <c r="J180" s="130">
        <f>(((C180*Constants!$B$24*0.000000001*Input!G180*(Constants!$B$4/Constants!$B$3))-(I180*0.000000000000001))/Input!F180)*1000000000000</f>
        <v>50.78521207400658</v>
      </c>
      <c r="K180" s="18">
        <f>J180*Input!P180/100</f>
        <v>0.15971887289419612</v>
      </c>
      <c r="L180" s="135">
        <f>(J180/Constants!$B$4)*602200000000*Constants!$B$17/(365.2425*24*60)</f>
        <v>0.70114624025626338</v>
      </c>
      <c r="M180" s="133">
        <f>L180*Input!P180/100</f>
        <v>2.2050963785391303E-3</v>
      </c>
      <c r="N180" s="18">
        <v>5.0000000000000001E-3</v>
      </c>
      <c r="O180" s="130">
        <f>(((G180*Constants!$B$23*0.000000001*Input!G180*(Constants!$B$7/Constants!$B$6))-(N180*0.000000001))/Input!F180)*1000000</f>
        <v>0.92237265257245826</v>
      </c>
      <c r="P180" s="18">
        <f>O180*Input!N180/100</f>
        <v>4.8717701236747625E-5</v>
      </c>
      <c r="Q180" s="131">
        <f>(O180/Constants!$B$7)*602200000000000000*Constants!$B$18/(365.2425*24*60)</f>
        <v>0.68820138312608525</v>
      </c>
      <c r="R180" s="132">
        <f>Q180*Input!N180/100</f>
        <v>3.6349288197504646E-5</v>
      </c>
      <c r="S180" s="133">
        <f>Input!S180*Constants!$B$17/Constants!$B$18</f>
        <v>1.0115199545580857</v>
      </c>
      <c r="T180" s="18">
        <f>S180*Input!T180/100</f>
        <v>8.9280721078136948E-4</v>
      </c>
      <c r="U180" s="18">
        <f>S180*1/((U179+U181)/2)</f>
        <v>1.0123507489528047</v>
      </c>
      <c r="V180" s="18">
        <f>U180*Input!T180/100</f>
        <v>8.9354050252014286E-4</v>
      </c>
      <c r="W180" s="134">
        <v>3.0000000000000001E-3</v>
      </c>
      <c r="X180" s="130">
        <f>(((Constants!$B$25*0.000000001*Input!G180/Input!W180*(Constants!$B$11/Constants!$B$9)-(W180*0.000000001))/Input!F180)*1000000000)</f>
        <v>6.2809156332123167E-2</v>
      </c>
      <c r="Y180" s="130">
        <f>X180*Input!X180/100</f>
        <v>2.686785682783732E-4</v>
      </c>
      <c r="Z180" s="130">
        <f>(X180/Constants!$B$11)*6.022E+23*0.000000001*Constants!$B$19/(365.2425*24*60)</f>
        <v>1.5333745600976231E-5</v>
      </c>
      <c r="AA180" s="130">
        <f>Z180*Input!X180/100</f>
        <v>6.5593124553848491E-8</v>
      </c>
      <c r="AB180" s="135">
        <v>0.05</v>
      </c>
      <c r="AC180" s="135">
        <v>0</v>
      </c>
      <c r="AD180" s="130">
        <f>(((Input!G180*Constants!$B$25*0.000000001*Input!U180*(Constants!$B$10/Constants!$B$9))-((AB180*0.000000000000001)+(Input!G180*AC180*0.000000000000001)))/Input!F180)*1000000000000</f>
        <v>0.13645933283052553</v>
      </c>
      <c r="AE180" s="130">
        <f>AD180*Input!V180/100</f>
        <v>1.5860721892053662E-3</v>
      </c>
      <c r="AF180" s="130">
        <f>(AD180/Constants!$B$10)*602200000000*Constants!$B$16/(365.2425*24*60)</f>
        <v>6.2287774652523414E-3</v>
      </c>
      <c r="AG180" s="130">
        <f>AF180*Input!V180/100</f>
        <v>7.2397325309037905E-5</v>
      </c>
      <c r="AH180" s="18">
        <f>AF180/Z180</f>
        <v>406.21369542323589</v>
      </c>
      <c r="AI180" s="134">
        <f>AH180*SQRT((AG180/AF180)^2+(AA180/Z180)^2)</f>
        <v>5.0310470310350057</v>
      </c>
      <c r="AJ180" s="133">
        <f t="shared" si="954"/>
        <v>12.350748952804746</v>
      </c>
      <c r="AK180" s="134">
        <f>V180*1000</f>
        <v>0.89354050252014283</v>
      </c>
      <c r="AL180" s="134">
        <f>AF180/Q180</f>
        <v>9.050806374376566E-3</v>
      </c>
      <c r="AM180" s="134">
        <f>AL180*SQRT((R180/Q180)^2+(AG180/AF180)^2)</f>
        <v>1.0519896440906355E-4</v>
      </c>
      <c r="AN180" s="18">
        <f>AL180*1/((AN179+AN181)/2)</f>
        <v>9.0848842170624961E-3</v>
      </c>
      <c r="AO180" s="130">
        <f>AN180*SQRT((R180/Q180)^2+(AG180/AF180)^2)</f>
        <v>1.0559505660367773E-4</v>
      </c>
      <c r="AP180" s="18">
        <f>ThU_Alter_Kombi(AN180,U180)</f>
        <v>0.98299999999999998</v>
      </c>
      <c r="AQ180" s="18">
        <f t="shared" si="960"/>
        <v>1.2500000000000001E-2</v>
      </c>
      <c r="AR180" s="155">
        <f>(AQ180/AP180)</f>
        <v>1.2716174974567651E-2</v>
      </c>
      <c r="AS180" s="132">
        <f t="shared" si="961"/>
        <v>2.2280899133512694E-5</v>
      </c>
      <c r="AT180" s="132">
        <f t="shared" si="962"/>
        <v>9.5318210569376342E-8</v>
      </c>
      <c r="AU180" s="18">
        <v>0.75</v>
      </c>
      <c r="AV180" s="18">
        <f>AU180/2</f>
        <v>0.375</v>
      </c>
      <c r="AW180" s="18">
        <f t="shared" si="964"/>
        <v>0.98119999999999996</v>
      </c>
      <c r="AX180" s="136">
        <f t="shared" si="965"/>
        <v>1.0338951399999999E-2</v>
      </c>
      <c r="AY180" s="136">
        <f t="shared" si="966"/>
        <v>1.1560770795984863E-2</v>
      </c>
      <c r="AZ180" s="155">
        <f t="shared" si="967"/>
        <v>1.0537047900529962E-2</v>
      </c>
      <c r="BA180" s="18" t="str">
        <f>Input!B180</f>
        <v>E0-C-75</v>
      </c>
      <c r="BB180" s="137">
        <f>Input!E180</f>
        <v>75</v>
      </c>
      <c r="BC180" s="18">
        <f>((U180-1)*EXP(Constants!$B$17*AW180*1000))*1000</f>
        <v>12.384995634507417</v>
      </c>
      <c r="BD180" s="133">
        <f>SQRT((EXP(Constants!$B$17*AW180*1000)*V180)^2+((U180-1)*Constants!$B$17*EXP(Constants!$B$17*AW180*1000)*AY180*1000)^2)*1000</f>
        <v>0.89601824071503577</v>
      </c>
      <c r="BE180" s="18">
        <f t="shared" si="968"/>
        <v>923.19999999999993</v>
      </c>
      <c r="BF180" s="138">
        <f t="shared" si="969"/>
        <v>5.7803853979924318</v>
      </c>
      <c r="BG180" s="20">
        <f t="shared" si="970"/>
        <v>1.1782277615149677</v>
      </c>
      <c r="BH180" s="18"/>
      <c r="BI180" s="18"/>
      <c r="BJ180" s="18"/>
      <c r="BK180" s="18"/>
      <c r="BL180" s="18"/>
      <c r="BM180" s="18"/>
      <c r="BN180" s="160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</row>
    <row r="181" spans="1:110" ht="15" customHeight="1" x14ac:dyDescent="0.2">
      <c r="A181" s="139">
        <f>Input!A181</f>
        <v>10815</v>
      </c>
      <c r="B181" s="139" t="str">
        <f>Input!B181</f>
        <v>Hu1-13</v>
      </c>
      <c r="C181" s="139">
        <f>Input!O181</f>
        <v>2.0670104019960922</v>
      </c>
      <c r="D181" s="139">
        <f>C181*Input!P181/100</f>
        <v>1.7927206240166218E-2</v>
      </c>
      <c r="E181" s="140">
        <f>Input!M181</f>
        <v>2.7319082776957542</v>
      </c>
      <c r="F181" s="141">
        <f>E181*Input!N181/100</f>
        <v>3.8812231498009877E-4</v>
      </c>
      <c r="G181" s="142">
        <f t="shared" ref="G181" si="971">E181*137.88</f>
        <v>376.67551332869056</v>
      </c>
      <c r="H181" s="141">
        <f>G181*Input!L181/100</f>
        <v>3.0817810604658821E-2</v>
      </c>
      <c r="I181" s="139">
        <v>0</v>
      </c>
      <c r="J181" s="143">
        <f>(((C181*Constants!$B$24*0.000000001*Input!G181*(Constants!$B$4/Constants!$B$3))-(I181*0.000000000000001))/Input!F181)*1000000000000</f>
        <v>746.26835625000774</v>
      </c>
      <c r="K181" s="139">
        <f>J181*Input!P181/100</f>
        <v>6.4723944882349063</v>
      </c>
      <c r="L181" s="144">
        <f>(J181/Constants!$B$4)*602200000000*Constants!$B$17/(365.2425*24*60)</f>
        <v>10.303063250861692</v>
      </c>
      <c r="M181" s="145">
        <f>L181*Input!P181/100</f>
        <v>8.9358592305731482E-2</v>
      </c>
      <c r="N181" s="139">
        <v>0</v>
      </c>
      <c r="O181" s="143">
        <f>(((G181*Constants!$B$23*0.000000001*Input!G181*(Constants!$B$7/Constants!$B$6))-(N181*0.000000001))/Input!F181)*1000000</f>
        <v>13.699390772797253</v>
      </c>
      <c r="P181" s="139">
        <f>O181*Input!N181/100</f>
        <v>1.9462729784763366E-3</v>
      </c>
      <c r="Q181" s="146">
        <f>(O181/Constants!$B$7)*602200000000000000*Constants!$B$18/(365.2425*24*60)</f>
        <v>10.221399833927942</v>
      </c>
      <c r="R181" s="147">
        <f>Q181*Input!N181/100</f>
        <v>1.4521546708835451E-3</v>
      </c>
      <c r="S181" s="145">
        <f>Input!S181*Constants!$B$17/Constants!$B$18</f>
        <v>0.99975644037714106</v>
      </c>
      <c r="T181" s="139">
        <f>S181*Input!T181/100</f>
        <v>1.5310463357263802E-3</v>
      </c>
      <c r="U181" s="145">
        <f>S181</f>
        <v>0.99975644037714106</v>
      </c>
      <c r="V181" s="139">
        <f>U181*Input!T181/100</f>
        <v>1.5310463357263802E-3</v>
      </c>
      <c r="W181" s="148">
        <v>0</v>
      </c>
      <c r="X181" s="143">
        <f>(((Constants!$B$25*0.000000001*Input!G181/Input!W181*(Constants!$B$11/Constants!$B$9))-(W181*0.000000001))/Input!F181)*1000000000</f>
        <v>0.9943759093144251</v>
      </c>
      <c r="Y181" s="143">
        <f>X181*Input!X181/100</f>
        <v>7.0558305478317825E-3</v>
      </c>
      <c r="Z181" s="143">
        <f>(X181/Constants!$B$11)*6.022E+23*0.000000001*Constants!$B$19/(365.2425*24*60)</f>
        <v>2.4275930637470772E-4</v>
      </c>
      <c r="AA181" s="143">
        <f>Z181*Input!X181/100</f>
        <v>1.7225563427718787E-6</v>
      </c>
      <c r="AB181" s="144">
        <v>0</v>
      </c>
      <c r="AC181" s="144">
        <v>0</v>
      </c>
      <c r="AD181" s="143">
        <f>(((Input!G181*Constants!$B$25*0.000000001*Input!U181*(Constants!$B$10/Constants!$B$9))-((AB181*0.000000000000001)+(Input!G181*AC181*0.000000000000001)))/Input!F181)*1000000000000</f>
        <v>223.22843356428328</v>
      </c>
      <c r="AE181" s="143">
        <f>AD181*Input!V181/100</f>
        <v>1.1639581286544733</v>
      </c>
      <c r="AF181" s="143">
        <f>(AD181/Constants!$B$10)*602200000000*Constants!$B$16/(365.2425*24*60)</f>
        <v>10.189411070297641</v>
      </c>
      <c r="AG181" s="143">
        <f>AF181*Input!V181/100</f>
        <v>5.31296468469796E-2</v>
      </c>
      <c r="AH181" s="139">
        <f t="shared" ref="AH181" si="972">AF181/Z181</f>
        <v>41973.307727984356</v>
      </c>
      <c r="AI181" s="148">
        <f t="shared" ref="AI181" si="973">AH181*SQRT((AG181/AF181)^2+(AA181/Z181)^2)</f>
        <v>369.59730508199306</v>
      </c>
      <c r="AJ181" s="145">
        <f t="shared" si="954"/>
        <v>-0.2435596228589354</v>
      </c>
      <c r="AK181" s="148">
        <f t="shared" ref="AK181" si="974">V181*1000</f>
        <v>1.5310463357263802</v>
      </c>
      <c r="AL181" s="148">
        <f t="shared" ref="AL181" si="975">AF181/Q181</f>
        <v>0.99687041264894849</v>
      </c>
      <c r="AM181" s="148">
        <f t="shared" ref="AM181" si="976">AL181*SQRT((R181/Q181)^2+(AG181/AF181)^2)</f>
        <v>5.1998126854903518E-3</v>
      </c>
      <c r="AN181" s="139">
        <f>AF181/Q181</f>
        <v>0.99687041264894849</v>
      </c>
      <c r="AO181" s="143">
        <f t="shared" ref="AO181" si="977">AN181*SQRT((R181/Q181)^2+(AG181/AF181)^2)</f>
        <v>5.1998126854903518E-3</v>
      </c>
      <c r="AP181" s="139">
        <f t="shared" ref="AP181" si="978">ThU_Alter_Kombi(AN181,U181)</f>
        <v>641.61659999999995</v>
      </c>
      <c r="AQ181" s="139" t="e">
        <f t="shared" si="960"/>
        <v>#VALUE!</v>
      </c>
      <c r="AR181" s="139" t="e">
        <f>(AQ181/AP181)*100</f>
        <v>#VALUE!</v>
      </c>
      <c r="AS181" s="147">
        <f t="shared" si="961"/>
        <v>2.3750103735196385E-5</v>
      </c>
      <c r="AT181" s="147">
        <f t="shared" si="962"/>
        <v>1.6855827986331303E-7</v>
      </c>
      <c r="AU181" s="139">
        <v>0.75</v>
      </c>
      <c r="AV181" s="139">
        <f t="shared" ref="AV181" si="979">AU181/2</f>
        <v>0.375</v>
      </c>
      <c r="AW181" s="139">
        <f t="shared" si="964"/>
        <v>641.6146</v>
      </c>
      <c r="AX181" s="149">
        <f t="shared" si="965"/>
        <v>298.2394523136</v>
      </c>
      <c r="AY181" s="149">
        <f t="shared" si="966"/>
        <v>219.63490131190656</v>
      </c>
      <c r="AZ181" s="150">
        <f t="shared" si="967"/>
        <v>0.46482647420055589</v>
      </c>
      <c r="BA181" s="139" t="str">
        <f>Input!B181</f>
        <v>Hu1-13</v>
      </c>
      <c r="BB181" s="151">
        <f>Input!E181</f>
        <v>0</v>
      </c>
      <c r="BC181" s="139">
        <f>((U181-1)*EXP(Constants!$B$17*AW181*1000))*1000</f>
        <v>-1.4892630337555826</v>
      </c>
      <c r="BD181" s="145">
        <f>SQRT((EXP(Constants!$B$17*AW181*1000)*V181)^2+((U181-1)*Constants!$B$17*EXP(Constants!$B$17*AW181*1000)*AY181*1000)^2)*1000</f>
        <v>9.4070927403472879</v>
      </c>
      <c r="BE181" s="139">
        <f t="shared" si="968"/>
        <v>641556.6</v>
      </c>
      <c r="BF181" s="152">
        <f t="shared" si="969"/>
        <v>109817.45065595327</v>
      </c>
      <c r="BG181" s="161">
        <f t="shared" si="970"/>
        <v>34.23159343816468</v>
      </c>
      <c r="BH181" s="139"/>
      <c r="BI181" s="18"/>
      <c r="BJ181" s="18"/>
      <c r="BK181" s="18"/>
      <c r="BL181" s="18"/>
      <c r="BM181" s="18"/>
      <c r="BN181" s="160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2" spans="1:110" ht="15" customHeight="1" x14ac:dyDescent="0.2">
      <c r="A182" s="18">
        <f>Input!A182</f>
        <v>11063</v>
      </c>
      <c r="B182" s="18" t="str">
        <f>Input!B182</f>
        <v>E0-C-99,5</v>
      </c>
      <c r="C182" s="18">
        <f>Input!O182</f>
        <v>1.7403755742653422</v>
      </c>
      <c r="D182" s="18">
        <f>C182*Input!P182/100</f>
        <v>5.6513912637536053E-3</v>
      </c>
      <c r="E182" s="153">
        <f>Input!M182</f>
        <v>2.2707625835762175</v>
      </c>
      <c r="F182" s="154">
        <f>E182*Input!N182/100</f>
        <v>1.2051115594700459E-4</v>
      </c>
      <c r="G182" s="21">
        <f>E182*137.88</f>
        <v>313.09274502348887</v>
      </c>
      <c r="H182" s="154">
        <f>G182*Input!L182/100</f>
        <v>1.7203650616239304E-2</v>
      </c>
      <c r="I182" s="18">
        <v>0.3</v>
      </c>
      <c r="J182" s="130">
        <f>(((C182*Constants!$B$24*0.000000001*Input!G182*(Constants!$B$4/Constants!$B$3))-(I182*0.000000000000001))/Input!F182)*1000000000000</f>
        <v>65.42749262506851</v>
      </c>
      <c r="K182" s="18">
        <f>J182*Input!P182/100</f>
        <v>0.21245779686760968</v>
      </c>
      <c r="L182" s="135">
        <f>(J182/Constants!$B$4)*602200000000*Constants!$B$17/(365.2425*24*60)</f>
        <v>0.903299180805056</v>
      </c>
      <c r="M182" s="133">
        <f>L182*Input!P182/100</f>
        <v>2.9332157808020214E-3</v>
      </c>
      <c r="N182" s="18">
        <v>5.0000000000000001E-3</v>
      </c>
      <c r="O182" s="130">
        <f>(((G182*Constants!$B$23*0.000000001*Input!G182*(Constants!$B$7/Constants!$B$6))-(N182*0.000000001))/Input!F182)*1000000</f>
        <v>1.1856960238299199</v>
      </c>
      <c r="P182" s="18">
        <f>O182*Input!N182/100</f>
        <v>6.2925820368448356E-5</v>
      </c>
      <c r="Q182" s="131">
        <f>(O182/Constants!$B$7)*602200000000000000*Constants!$B$18/(365.2425*24*60)</f>
        <v>0.88467241661064844</v>
      </c>
      <c r="R182" s="132">
        <f>Q182*Input!N182/100</f>
        <v>4.6950260820431045E-5</v>
      </c>
      <c r="S182" s="133">
        <f>Input!S182*Constants!$B$17/Constants!$B$18</f>
        <v>1.0126168005662337</v>
      </c>
      <c r="T182" s="18">
        <f>S182*Input!T182/100</f>
        <v>1.0695390341267945E-3</v>
      </c>
      <c r="U182" s="18">
        <f>S182*1/((U181+U183)/2)</f>
        <v>1.0122644385194695</v>
      </c>
      <c r="V182" s="18">
        <f>U182*Input!T182/100</f>
        <v>1.0691668647504337E-3</v>
      </c>
      <c r="W182" s="134">
        <v>3.0000000000000001E-3</v>
      </c>
      <c r="X182" s="130">
        <f>(((Constants!$B$25*0.000000001*Input!G182/Input!W182*(Constants!$B$11/Constants!$B$9)-(W182*0.000000001))/Input!F182)*1000000000)</f>
        <v>8.5717869068626898E-2</v>
      </c>
      <c r="Y182" s="130">
        <f>X182*Input!X182/100</f>
        <v>2.9306150985218234E-4</v>
      </c>
      <c r="Z182" s="130">
        <f>(X182/Constants!$B$11)*6.022E+23*0.000000001*Constants!$B$19/(365.2425*24*60)</f>
        <v>2.092650298956314E-5</v>
      </c>
      <c r="AA182" s="130">
        <f>Z182*Input!X182/100</f>
        <v>7.1545788861568836E-8</v>
      </c>
      <c r="AB182" s="135">
        <v>0.05</v>
      </c>
      <c r="AC182" s="135">
        <v>0</v>
      </c>
      <c r="AD182" s="130">
        <f>(((Input!G182*Constants!$B$25*0.000000001*Input!U182*(Constants!$B$10/Constants!$B$9))-((AB182*0.000000000000001)+(Input!G182*AC182*0.000000000000001)))/Input!F182)*1000000000000</f>
        <v>0.19536938208132534</v>
      </c>
      <c r="AE182" s="130">
        <f>AD182*Input!V182/100</f>
        <v>2.0599829841222235E-3</v>
      </c>
      <c r="AF182" s="130">
        <f>(AD182/Constants!$B$10)*602200000000*Constants!$B$16/(365.2425*24*60)</f>
        <v>8.9177660425745122E-3</v>
      </c>
      <c r="AG182" s="130">
        <f>AF182*Input!V182/100</f>
        <v>9.4029300335502484E-5</v>
      </c>
      <c r="AH182" s="18">
        <f>AF182/Z182</f>
        <v>426.14697959913076</v>
      </c>
      <c r="AI182" s="134">
        <f>AH182*SQRT((AG182/AF182)^2+(AA182/Z182)^2)</f>
        <v>4.7236187944258656</v>
      </c>
      <c r="AJ182" s="133">
        <f t="shared" si="954"/>
        <v>12.264438519469456</v>
      </c>
      <c r="AK182" s="134">
        <f>V182*1000</f>
        <v>1.0691668647504338</v>
      </c>
      <c r="AL182" s="134">
        <f>AF182/Q182</f>
        <v>1.0080303030968461E-2</v>
      </c>
      <c r="AM182" s="134">
        <f>AL182*SQRT((R182/Q182)^2+(AG182/AF182)^2)</f>
        <v>1.0628848555967185E-4</v>
      </c>
      <c r="AN182" s="18">
        <f>AL182*1/((AN181+AN183)/2)</f>
        <v>1.0130987158071873E-2</v>
      </c>
      <c r="AO182" s="130">
        <f>AN182*SQRT((R182/Q182)^2+(AG182/AF182)^2)</f>
        <v>1.0682290789749099E-4</v>
      </c>
      <c r="AP182" s="18">
        <f>ThU_Alter_Kombi(AN182,U182)</f>
        <v>1.0968</v>
      </c>
      <c r="AQ182" s="18">
        <f t="shared" si="960"/>
        <v>1.0999999999999999E-2</v>
      </c>
      <c r="AR182" s="155">
        <f>(AQ182/AP182)</f>
        <v>1.0029175784099197E-2</v>
      </c>
      <c r="AS182" s="132">
        <f t="shared" si="961"/>
        <v>2.3654521828245343E-5</v>
      </c>
      <c r="AT182" s="132">
        <f t="shared" si="962"/>
        <v>8.0882377094623838E-8</v>
      </c>
      <c r="AU182" s="18">
        <v>0.75</v>
      </c>
      <c r="AV182" s="18">
        <f>AU182/2</f>
        <v>0.375</v>
      </c>
      <c r="AW182" s="18">
        <f t="shared" si="964"/>
        <v>1.0949</v>
      </c>
      <c r="AX182" s="136">
        <f t="shared" si="965"/>
        <v>1.1729653E-2</v>
      </c>
      <c r="AY182" s="136">
        <f t="shared" si="966"/>
        <v>1.1736557062073135E-2</v>
      </c>
      <c r="AZ182" s="155">
        <f t="shared" si="967"/>
        <v>1.0712990227418029E-2</v>
      </c>
      <c r="BA182" s="18" t="str">
        <f>Input!B182</f>
        <v>E0-C-99,5</v>
      </c>
      <c r="BB182" s="137">
        <f>Input!E182</f>
        <v>99.5</v>
      </c>
      <c r="BC182" s="18">
        <f>((U182-1)*EXP(Constants!$B$17*AW182*1000))*1000</f>
        <v>12.302392689564934</v>
      </c>
      <c r="BD182" s="133">
        <f>SQRT((EXP(Constants!$B$17*AW182*1000)*V182)^2+((U182-1)*Constants!$B$17*EXP(Constants!$B$17*AW182*1000)*AY182*1000)^2)*1000</f>
        <v>1.0724756416116143</v>
      </c>
      <c r="BE182" s="18">
        <f t="shared" si="968"/>
        <v>1036.9000000000001</v>
      </c>
      <c r="BF182" s="138">
        <f t="shared" si="969"/>
        <v>5.8682785310365677</v>
      </c>
      <c r="BG182" s="20">
        <f t="shared" si="970"/>
        <v>1.0719295882795812</v>
      </c>
      <c r="BH182" s="18"/>
      <c r="BI182" s="18"/>
      <c r="BJ182" s="18"/>
      <c r="BK182" s="18"/>
      <c r="BL182" s="18"/>
      <c r="BM182" s="18"/>
      <c r="BN182" s="160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</row>
    <row r="183" spans="1:110" ht="15" customHeight="1" x14ac:dyDescent="0.2">
      <c r="A183" s="139">
        <f>Input!A183</f>
        <v>10815</v>
      </c>
      <c r="B183" s="139" t="str">
        <f>Input!B183</f>
        <v>Hu1-13</v>
      </c>
      <c r="C183" s="139">
        <f>Input!O183</f>
        <v>2.0949056135520117</v>
      </c>
      <c r="D183" s="139">
        <f>C183*Input!P183/100</f>
        <v>1.8117362892273302E-2</v>
      </c>
      <c r="E183" s="140">
        <f>Input!M183</f>
        <v>2.731803334998959</v>
      </c>
      <c r="F183" s="141">
        <f>E183*Input!N183/100</f>
        <v>3.2740349919125521E-4</v>
      </c>
      <c r="G183" s="142">
        <f t="shared" ref="G183" si="980">E183*137.88</f>
        <v>376.66104382965648</v>
      </c>
      <c r="H183" s="141">
        <f>G183*Input!L183/100</f>
        <v>1.9655251499995172E-2</v>
      </c>
      <c r="I183" s="139">
        <v>0</v>
      </c>
      <c r="J183" s="143">
        <f>(((C183*Constants!$B$24*0.000000001*Input!G183*(Constants!$B$4/Constants!$B$3))-(I183*0.000000000000001))/Input!F183)*1000000000000</f>
        <v>756.33957488295653</v>
      </c>
      <c r="K183" s="139">
        <f>J183*Input!P183/100</f>
        <v>6.5410481786376806</v>
      </c>
      <c r="L183" s="144">
        <f>(J183/Constants!$B$4)*602200000000*Constants!$B$17/(365.2425*24*60)</f>
        <v>10.442107606313053</v>
      </c>
      <c r="M183" s="145">
        <f>L183*Input!P183/100</f>
        <v>9.0306432728953057E-2</v>
      </c>
      <c r="N183" s="139">
        <v>0</v>
      </c>
      <c r="O183" s="143">
        <f>(((G183*Constants!$B$23*0.000000001*Input!G183*(Constants!$B$7/Constants!$B$6))-(N183*0.000000001))/Input!F183)*1000000</f>
        <v>13.698864528551105</v>
      </c>
      <c r="P183" s="139">
        <f>O183*Input!N183/100</f>
        <v>1.6417932155413761E-3</v>
      </c>
      <c r="Q183" s="146">
        <f>(O183/Constants!$B$7)*602200000000000000*Constants!$B$18/(365.2425*24*60)</f>
        <v>10.221007192171868</v>
      </c>
      <c r="R183" s="147">
        <f>Q183*Input!N183/100</f>
        <v>1.2249759992248237E-3</v>
      </c>
      <c r="S183" s="145">
        <f>Input!S183*Constants!$B$17/Constants!$B$18</f>
        <v>1.000939745388862</v>
      </c>
      <c r="T183" s="139">
        <f>S183*Input!T183/100</f>
        <v>1.7818450237198124E-3</v>
      </c>
      <c r="U183" s="145">
        <f>S183</f>
        <v>1.000939745388862</v>
      </c>
      <c r="V183" s="139">
        <f>U183*Input!T183/100</f>
        <v>1.7818450237198124E-3</v>
      </c>
      <c r="W183" s="148">
        <v>0</v>
      </c>
      <c r="X183" s="143">
        <f>(((Constants!$B$25*0.000000001*Input!G183/Input!W183*(Constants!$B$11/Constants!$B$9))-(W183*0.000000001))/Input!F183)*1000000000</f>
        <v>0.9989650904095797</v>
      </c>
      <c r="Y183" s="143">
        <f>X183*Input!X183/100</f>
        <v>5.4479070036127951E-3</v>
      </c>
      <c r="Z183" s="143">
        <f>(X183/Constants!$B$11)*6.022E+23*0.000000001*Constants!$B$19/(365.2425*24*60)</f>
        <v>2.4387967384243507E-4</v>
      </c>
      <c r="AA183" s="143">
        <f>Z183*Input!X183/100</f>
        <v>1.3300102235006639E-6</v>
      </c>
      <c r="AB183" s="144">
        <v>0</v>
      </c>
      <c r="AC183" s="144">
        <v>0</v>
      </c>
      <c r="AD183" s="143">
        <f>(((Input!G183*Constants!$B$25*0.000000001*Input!U183*(Constants!$B$10/Constants!$B$9))-((AB183*0.000000000000001)+(Input!G183*AC183*0.000000000000001)))/Input!F183)*1000000000000</f>
        <v>222.38092014369224</v>
      </c>
      <c r="AE183" s="143">
        <f>AD183*Input!V183/100</f>
        <v>0.76902117614638255</v>
      </c>
      <c r="AF183" s="143">
        <f>(AD183/Constants!$B$10)*602200000000*Constants!$B$16/(365.2425*24*60)</f>
        <v>10.150725753682233</v>
      </c>
      <c r="AG183" s="143">
        <f>AF183*Input!V183/100</f>
        <v>3.5102485648463598E-2</v>
      </c>
      <c r="AH183" s="139">
        <f t="shared" ref="AH183" si="981">AF183/Z183</f>
        <v>41621.860459926553</v>
      </c>
      <c r="AI183" s="148">
        <f t="shared" ref="AI183" si="982">AH183*SQRT((AG183/AF183)^2+(AA183/Z183)^2)</f>
        <v>268.77492014556537</v>
      </c>
      <c r="AJ183" s="145">
        <f t="shared" si="954"/>
        <v>0.93974538886198999</v>
      </c>
      <c r="AK183" s="148">
        <f t="shared" ref="AK183" si="983">V183*1000</f>
        <v>1.7818450237198125</v>
      </c>
      <c r="AL183" s="148">
        <f t="shared" ref="AL183" si="984">AF183/Q183</f>
        <v>0.99312382457342729</v>
      </c>
      <c r="AM183" s="148">
        <f t="shared" ref="AM183" si="985">AL183*SQRT((R183/Q183)^2+(AG183/AF183)^2)</f>
        <v>3.4364089371755977E-3</v>
      </c>
      <c r="AN183" s="139">
        <f>AF183/Q183</f>
        <v>0.99312382457342729</v>
      </c>
      <c r="AO183" s="143">
        <f t="shared" ref="AO183" si="986">AN183*SQRT((R183/Q183)^2+(AG183/AF183)^2)</f>
        <v>3.4364089371755977E-3</v>
      </c>
      <c r="AP183" s="139">
        <f t="shared" ref="AP183" si="987">ThU_Alter_Kombi(AN183,U183)</f>
        <v>524.0136</v>
      </c>
      <c r="AQ183" s="139" t="e">
        <f t="shared" si="960"/>
        <v>#VALUE!</v>
      </c>
      <c r="AR183" s="139" t="e">
        <f>(AQ183/AP183)*100</f>
        <v>#VALUE!</v>
      </c>
      <c r="AS183" s="147">
        <f t="shared" si="961"/>
        <v>2.386063029377567E-5</v>
      </c>
      <c r="AT183" s="147">
        <f t="shared" si="962"/>
        <v>1.3015658134339804E-7</v>
      </c>
      <c r="AU183" s="139">
        <v>0.75</v>
      </c>
      <c r="AV183" s="139">
        <f t="shared" ref="AV183" si="988">AU183/2</f>
        <v>0.375</v>
      </c>
      <c r="AW183" s="139">
        <f t="shared" si="964"/>
        <v>524.01160000000004</v>
      </c>
      <c r="AX183" s="149">
        <f t="shared" si="965"/>
        <v>127.8365767698</v>
      </c>
      <c r="AY183" s="149">
        <f t="shared" si="966"/>
        <v>55.959471772450236</v>
      </c>
      <c r="AZ183" s="150">
        <f t="shared" si="967"/>
        <v>0.24395753218020363</v>
      </c>
      <c r="BA183" s="139" t="str">
        <f>Input!B183</f>
        <v>Hu1-13</v>
      </c>
      <c r="BB183" s="151">
        <f>Input!E183</f>
        <v>0</v>
      </c>
      <c r="BC183" s="139">
        <f>((U183-1)*EXP(Constants!$B$17*AW183*1000))*1000</f>
        <v>4.1232672567816984</v>
      </c>
      <c r="BD183" s="145">
        <f>SQRT((EXP(Constants!$B$17*AW183*1000)*V183)^2+((U183-1)*Constants!$B$17*EXP(Constants!$B$17*AW183*1000)*AY183*1000)^2)*1000</f>
        <v>7.845169308248896</v>
      </c>
      <c r="BE183" s="139">
        <f t="shared" si="968"/>
        <v>523953.60000000003</v>
      </c>
      <c r="BF183" s="152">
        <f t="shared" si="969"/>
        <v>27979.735886225117</v>
      </c>
      <c r="BG183" s="161">
        <f t="shared" si="970"/>
        <v>10.67905209969593</v>
      </c>
      <c r="BH183" s="139"/>
      <c r="BI183" s="18"/>
      <c r="BJ183" s="18"/>
      <c r="BK183" s="18"/>
      <c r="BL183" s="18"/>
      <c r="BM183" s="18"/>
      <c r="BN183" s="160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11064</v>
      </c>
      <c r="B184" s="18" t="str">
        <f>Input!B184</f>
        <v>E0-C-166</v>
      </c>
      <c r="C184" s="18">
        <f>Input!O184</f>
        <v>0.44844264836345249</v>
      </c>
      <c r="D184" s="18">
        <f>C184*Input!P184/100</f>
        <v>1.2456254576494572E-3</v>
      </c>
      <c r="E184" s="153">
        <f>Input!M184</f>
        <v>0.58430693987941773</v>
      </c>
      <c r="F184" s="154">
        <f>E184*Input!N184/100</f>
        <v>3.228257042002848E-5</v>
      </c>
      <c r="G184" s="21">
        <f>E184*137.88</f>
        <v>80.56424087057411</v>
      </c>
      <c r="H184" s="154">
        <f>G184*Input!L184/100</f>
        <v>5.5424615097749118E-3</v>
      </c>
      <c r="I184" s="18">
        <v>0.3</v>
      </c>
      <c r="J184" s="130">
        <f>(((C184*Constants!$B$24*0.000000001*Input!G184*(Constants!$B$4/Constants!$B$3))-(I184*0.000000000000001))/Input!F184)*1000000000000</f>
        <v>20.526579596868892</v>
      </c>
      <c r="K184" s="18">
        <f>J184*Input!P184/100</f>
        <v>5.7016053664024388E-2</v>
      </c>
      <c r="L184" s="135">
        <f>(J184/Constants!$B$4)*602200000000*Constants!$B$17/(365.2425*24*60)</f>
        <v>0.2833922223007096</v>
      </c>
      <c r="M184" s="133">
        <f>L184*Input!P184/100</f>
        <v>7.8716992660234043E-4</v>
      </c>
      <c r="N184" s="18">
        <v>5.0000000000000001E-3</v>
      </c>
      <c r="O184" s="130">
        <f>(((G184*Constants!$B$23*0.000000001*Input!G184*(Constants!$B$7/Constants!$B$6))-(N184*0.000000001))/Input!F184)*1000000</f>
        <v>0.37148333909746578</v>
      </c>
      <c r="P184" s="18">
        <f>O184*Input!N184/100</f>
        <v>2.0524207802077644E-5</v>
      </c>
      <c r="Q184" s="131">
        <f>(O184/Constants!$B$7)*602200000000000000*Constants!$B$18/(365.2425*24*60)</f>
        <v>0.27717143072505518</v>
      </c>
      <c r="R184" s="132">
        <f>Q184*Input!N184/100</f>
        <v>1.5313537492209456E-5</v>
      </c>
      <c r="S184" s="133">
        <f>Input!S184*Constants!$B$17/Constants!$B$18</f>
        <v>1.0187476032164948</v>
      </c>
      <c r="T184" s="18">
        <f>S184*Input!T184/100</f>
        <v>2.075797362123604E-3</v>
      </c>
      <c r="U184" s="18">
        <f>S184*1/((U183+U185)/2)</f>
        <v>1.0187459594220964</v>
      </c>
      <c r="V184" s="18">
        <f>U184*Input!T184/100</f>
        <v>2.0757940127325821E-3</v>
      </c>
      <c r="W184" s="134">
        <v>3.0000000000000001E-3</v>
      </c>
      <c r="X184" s="130">
        <f>(((Constants!$B$25*0.000000001*Input!G184/Input!W184*(Constants!$B$11/Constants!$B$9)-(W184*0.000000001))/Input!F184)*1000000000)</f>
        <v>5.3922341589386094E-2</v>
      </c>
      <c r="Y184" s="130">
        <f>X184*Input!X184/100</f>
        <v>1.9604512081135294E-4</v>
      </c>
      <c r="Z184" s="130">
        <f>(X184/Constants!$B$11)*6.022E+23*0.000000001*Constants!$B$19/(365.2425*24*60)</f>
        <v>1.3164186822832887E-5</v>
      </c>
      <c r="AA184" s="130">
        <f>Z184*Input!X184/100</f>
        <v>4.786095187998077E-8</v>
      </c>
      <c r="AB184" s="135">
        <v>0.05</v>
      </c>
      <c r="AC184" s="135">
        <v>0</v>
      </c>
      <c r="AD184" s="130">
        <f>(((Input!G184*Constants!$B$25*0.000000001*Input!U184*(Constants!$B$10/Constants!$B$9))-((AB184*0.000000000000001)+(Input!G184*AC184*0.000000000000001)))/Input!F184)*1000000000000</f>
        <v>9.6257127023775563E-2</v>
      </c>
      <c r="AE184" s="130">
        <f>AD184*Input!V184/100</f>
        <v>1.4033028625999794E-3</v>
      </c>
      <c r="AF184" s="130">
        <f>(AD184/Constants!$B$10)*602200000000*Constants!$B$16/(365.2425*24*60)</f>
        <v>4.3937209074607518E-3</v>
      </c>
      <c r="AG184" s="130">
        <f>AF184*Input!V184/100</f>
        <v>6.4054697221350851E-5</v>
      </c>
      <c r="AH184" s="18">
        <f>AF184/Z184</f>
        <v>333.76318390133861</v>
      </c>
      <c r="AI184" s="134">
        <f>AH184*SQRT((AG184/AF184)^2+(AA184/Z184)^2)</f>
        <v>5.0148569309079836</v>
      </c>
      <c r="AJ184" s="133">
        <f t="shared" si="954"/>
        <v>18.745959422096448</v>
      </c>
      <c r="AK184" s="134">
        <f>V184*1000</f>
        <v>2.0757940127325822</v>
      </c>
      <c r="AL184" s="134">
        <f>AF184/Q184</f>
        <v>1.5851997790562969E-2</v>
      </c>
      <c r="AM184" s="134">
        <f>AL184*SQRT((R184/Q184)^2+(AG184/AF184)^2)</f>
        <v>2.3110302902148611E-4</v>
      </c>
      <c r="AN184" s="18">
        <f>AL184*1/((AN183+AN185)/2)</f>
        <v>1.5921763423908358E-2</v>
      </c>
      <c r="AO184" s="130">
        <f>AN184*SQRT((R184/Q184)^2+(AG184/AF184)^2)</f>
        <v>2.3212012790080341E-4</v>
      </c>
      <c r="AP184" s="18">
        <f>ThU_Alter_Kombi(AN184,U184)</f>
        <v>1.7176</v>
      </c>
      <c r="AQ184" s="18">
        <f t="shared" si="960"/>
        <v>2.6700000000000002E-2</v>
      </c>
      <c r="AR184" s="155">
        <f>(AQ184/AP184)</f>
        <v>1.5544946436888682E-2</v>
      </c>
      <c r="AS184" s="132">
        <f t="shared" si="961"/>
        <v>4.7494746440484777E-5</v>
      </c>
      <c r="AT184" s="132">
        <f t="shared" si="962"/>
        <v>1.7269629012678058E-7</v>
      </c>
      <c r="AU184" s="18">
        <v>0.75</v>
      </c>
      <c r="AV184" s="18">
        <f>AU184/2</f>
        <v>0.375</v>
      </c>
      <c r="AW184" s="18">
        <f t="shared" si="964"/>
        <v>1.7138</v>
      </c>
      <c r="AX184" s="136">
        <f t="shared" si="965"/>
        <v>2.3318799500000001E-2</v>
      </c>
      <c r="AY184" s="136">
        <f t="shared" si="966"/>
        <v>2.5589130233774088E-2</v>
      </c>
      <c r="AZ184" s="155">
        <f t="shared" si="967"/>
        <v>1.3606488213327109E-2</v>
      </c>
      <c r="BA184" s="18" t="str">
        <f>Input!B184</f>
        <v>E0-C-166</v>
      </c>
      <c r="BB184" s="137">
        <f>Input!E184</f>
        <v>166</v>
      </c>
      <c r="BC184" s="18">
        <f>((U184-1)*EXP(Constants!$B$17*AW184*1000))*1000</f>
        <v>18.836842849841549</v>
      </c>
      <c r="BD184" s="133">
        <f>SQRT((EXP(Constants!$B$17*AW184*1000)*V184)^2+((U184-1)*Constants!$B$17*EXP(Constants!$B$17*AW184*1000)*AY184*1000)^2)*1000</f>
        <v>2.0858582396808472</v>
      </c>
      <c r="BE184" s="18">
        <f t="shared" si="968"/>
        <v>1655.8</v>
      </c>
      <c r="BF184" s="138">
        <f t="shared" si="969"/>
        <v>12.794565116887044</v>
      </c>
      <c r="BG184" s="20">
        <f t="shared" si="970"/>
        <v>1.4931223149593937</v>
      </c>
      <c r="BH184" s="18"/>
      <c r="BI184" s="18"/>
      <c r="BJ184" s="18"/>
      <c r="BK184" s="18"/>
      <c r="BL184" s="18"/>
      <c r="BM184" s="18"/>
      <c r="BN184" s="160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9">
        <f>Input!A185</f>
        <v>10815</v>
      </c>
      <c r="B185" s="139" t="str">
        <f>Input!B185</f>
        <v>Hu1-13</v>
      </c>
      <c r="C185" s="139">
        <f>Input!O185</f>
        <v>2.0893545660846491</v>
      </c>
      <c r="D185" s="139">
        <f>C185*Input!P185/100</f>
        <v>1.9063105466258043E-2</v>
      </c>
      <c r="E185" s="140">
        <f>Input!M185</f>
        <v>2.731716626479475</v>
      </c>
      <c r="F185" s="141">
        <f>E185*Input!N185/100</f>
        <v>2.9852499923994273E-4</v>
      </c>
      <c r="G185" s="142">
        <f t="shared" ref="G185" si="989">E185*137.88</f>
        <v>376.64908845898998</v>
      </c>
      <c r="H185" s="141">
        <f>G185*Input!L185/100</f>
        <v>2.5184789397276579E-2</v>
      </c>
      <c r="I185" s="139">
        <v>0</v>
      </c>
      <c r="J185" s="143">
        <f>(((C185*Constants!$B$24*0.000000001*Input!G185*(Constants!$B$4/Constants!$B$3))-(I185*0.000000000000001))/Input!F185)*1000000000000</f>
        <v>754.33543834598811</v>
      </c>
      <c r="K185" s="139">
        <f>J185*Input!P185/100</f>
        <v>6.8824967535658406</v>
      </c>
      <c r="L185" s="144">
        <f>(J185/Constants!$B$4)*602200000000*Constants!$B$17/(365.2425*24*60)</f>
        <v>10.414438276197666</v>
      </c>
      <c r="M185" s="145">
        <f>L185*Input!P185/100</f>
        <v>9.5020509421256033E-2</v>
      </c>
      <c r="N185" s="139">
        <v>0</v>
      </c>
      <c r="O185" s="143">
        <f>(((G185*Constants!$B$23*0.000000001*Input!G185*(Constants!$B$7/Constants!$B$6))-(N185*0.000000001))/Input!F185)*1000000</f>
        <v>13.698429721167033</v>
      </c>
      <c r="P185" s="139">
        <f>O185*Input!N185/100</f>
        <v>1.4969794752722765E-3</v>
      </c>
      <c r="Q185" s="146">
        <f>(O185/Constants!$B$7)*602200000000000000*Constants!$B$18/(365.2425*24*60)</f>
        <v>10.220682773356677</v>
      </c>
      <c r="R185" s="147">
        <f>Q185*Input!N185/100</f>
        <v>1.1169274614988777E-3</v>
      </c>
      <c r="S185" s="145">
        <f>Input!S185*Constants!$B$17/Constants!$B$18</f>
        <v>0.99906348170496473</v>
      </c>
      <c r="T185" s="139">
        <f>S185*Input!T185/100</f>
        <v>1.565731686831729E-3</v>
      </c>
      <c r="U185" s="145">
        <f>S185</f>
        <v>0.99906348170496473</v>
      </c>
      <c r="V185" s="139">
        <f>U185*Input!T185/100</f>
        <v>1.565731686831729E-3</v>
      </c>
      <c r="W185" s="148">
        <v>0</v>
      </c>
      <c r="X185" s="143">
        <f>(((Constants!$B$25*0.000000001*Input!G185/Input!W185*(Constants!$B$11/Constants!$B$9))-(W185*0.000000001))/Input!F185)*1000000000</f>
        <v>1.0030595211815605</v>
      </c>
      <c r="Y185" s="143">
        <f>X185*Input!X185/100</f>
        <v>5.5565690181861331E-3</v>
      </c>
      <c r="Z185" s="143">
        <f>(X185/Constants!$B$11)*6.022E+23*0.000000001*Constants!$B$19/(365.2425*24*60)</f>
        <v>2.4487925676162573E-4</v>
      </c>
      <c r="AA185" s="143">
        <f>Z185*Input!X185/100</f>
        <v>1.3565381341630302E-6</v>
      </c>
      <c r="AB185" s="144">
        <v>0</v>
      </c>
      <c r="AC185" s="144">
        <v>0</v>
      </c>
      <c r="AD185" s="143">
        <f>(((Input!G185*Constants!$B$25*0.000000001*Input!U185*(Constants!$B$10/Constants!$B$9))-((AB185*0.000000000000001)+(Input!G185*AC185*0.000000000000001)))/Input!F185)*1000000000000</f>
        <v>223.49092033487443</v>
      </c>
      <c r="AE185" s="143">
        <f>AD185*Input!V185/100</f>
        <v>0.9231201386031771</v>
      </c>
      <c r="AF185" s="143">
        <f>(AD185/Constants!$B$10)*602200000000*Constants!$B$16/(365.2425*24*60)</f>
        <v>10.20139245440433</v>
      </c>
      <c r="AG185" s="143">
        <f>AF185*Input!V185/100</f>
        <v>4.2136435799471024E-2</v>
      </c>
      <c r="AH185" s="139">
        <f t="shared" ref="AH185" si="990">AF185/Z185</f>
        <v>41658.867269164948</v>
      </c>
      <c r="AI185" s="148">
        <f t="shared" ref="AI185" si="991">AH185*SQRT((AG185/AF185)^2+(AA185/Z185)^2)</f>
        <v>287.86273703835127</v>
      </c>
      <c r="AJ185" s="145">
        <f t="shared" si="954"/>
        <v>-0.93651829503527129</v>
      </c>
      <c r="AK185" s="148">
        <f t="shared" ref="AK185" si="992">V185*1000</f>
        <v>1.565731686831729</v>
      </c>
      <c r="AL185" s="148">
        <f t="shared" ref="AL185" si="993">AF185/Q185</f>
        <v>0.99811261934450868</v>
      </c>
      <c r="AM185" s="148">
        <f t="shared" ref="AM185" si="994">AL185*SQRT((R185/Q185)^2+(AG185/AF185)^2)</f>
        <v>4.1241061630110324E-3</v>
      </c>
      <c r="AN185" s="139">
        <f>AF185/Q185</f>
        <v>0.99811261934450868</v>
      </c>
      <c r="AO185" s="143">
        <f t="shared" ref="AO185" si="995">AN185*SQRT((R185/Q185)^2+(AG185/AF185)^2)</f>
        <v>4.1241061630110324E-3</v>
      </c>
      <c r="AP185" s="139">
        <f t="shared" ref="AP185" si="996">ThU_Alter_Kombi(AN185,U185)</f>
        <v>820.05010000000004</v>
      </c>
      <c r="AQ185" s="139" t="e">
        <f t="shared" si="960"/>
        <v>#VALUE!</v>
      </c>
      <c r="AR185" s="139" t="e">
        <f>(AQ185/AP185)*100</f>
        <v>#VALUE!</v>
      </c>
      <c r="AS185" s="147">
        <f t="shared" si="961"/>
        <v>2.3959187677752617E-5</v>
      </c>
      <c r="AT185" s="147">
        <f t="shared" si="962"/>
        <v>1.3275062879110868E-7</v>
      </c>
      <c r="AU185" s="139">
        <v>0.75</v>
      </c>
      <c r="AV185" s="139">
        <f t="shared" ref="AV185" si="997">AU185/2</f>
        <v>0.375</v>
      </c>
      <c r="AW185" s="139">
        <f t="shared" si="964"/>
        <v>820.04809999999998</v>
      </c>
      <c r="AX185" s="149">
        <f t="shared" si="965"/>
        <v>333.63176101059997</v>
      </c>
      <c r="AY185" s="149">
        <f t="shared" si="966"/>
        <v>945.83566993671661</v>
      </c>
      <c r="AZ185" s="150">
        <f t="shared" si="967"/>
        <v>0.40684413635078231</v>
      </c>
      <c r="BA185" s="139" t="str">
        <f>Input!B185</f>
        <v>Hu1-13</v>
      </c>
      <c r="BB185" s="151">
        <f>Input!E185</f>
        <v>0</v>
      </c>
      <c r="BC185" s="139">
        <f>((U185-1)*EXP(Constants!$B$17*AW185*1000))*1000</f>
        <v>-9.4748291518546228</v>
      </c>
      <c r="BD185" s="145">
        <f>SQRT((EXP(Constants!$B$17*AW185*1000)*V185)^2+((U185-1)*Constants!$B$17*EXP(Constants!$B$17*AW185*1000)*AY185*1000)^2)*1000</f>
        <v>29.841630274693344</v>
      </c>
      <c r="BE185" s="139">
        <f t="shared" si="968"/>
        <v>819990.1</v>
      </c>
      <c r="BF185" s="152">
        <f t="shared" si="969"/>
        <v>472917.83496835828</v>
      </c>
      <c r="BG185" s="161">
        <f t="shared" si="970"/>
        <v>115.33904778716233</v>
      </c>
      <c r="BH185" s="139"/>
      <c r="BI185" s="18"/>
      <c r="BJ185" s="18"/>
      <c r="BK185" s="18"/>
      <c r="BL185" s="18"/>
      <c r="BM185" s="18"/>
      <c r="BN185" s="160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11091</v>
      </c>
      <c r="B186" s="18" t="str">
        <f>Input!B186</f>
        <v>M514-44B-605,0</v>
      </c>
      <c r="C186" s="18">
        <f>Input!O186</f>
        <v>1.9979024803677017</v>
      </c>
      <c r="D186" s="18">
        <f>C186*Input!P186/100</f>
        <v>5.3151489759480355E-3</v>
      </c>
      <c r="E186" s="153">
        <f>Input!M186</f>
        <v>1.3797228288708074</v>
      </c>
      <c r="F186" s="154">
        <f>E186*Input!N186/100</f>
        <v>6.7686658848266216E-5</v>
      </c>
      <c r="G186" s="21">
        <f>E186*137.88</f>
        <v>190.23618364470693</v>
      </c>
      <c r="H186" s="154">
        <f>G186*Input!L186/100</f>
        <v>8.5611026910174578E-3</v>
      </c>
      <c r="I186" s="18">
        <v>0.3</v>
      </c>
      <c r="J186" s="130">
        <f>(((C186*Constants!$B$24*0.000000001*Input!G186*(Constants!$B$4/Constants!$B$3))-(I186*0.000000000000001))/Input!F186)*1000000000000</f>
        <v>34.598003344998808</v>
      </c>
      <c r="K186" s="18">
        <f>J186*Input!P186/100</f>
        <v>9.2043302341349845E-2</v>
      </c>
      <c r="L186" s="135">
        <f>(J186/Constants!$B$4)*602200000000*Constants!$B$17/(365.2425*24*60)</f>
        <v>0.47766385085424617</v>
      </c>
      <c r="M186" s="133">
        <f>L186*Input!P186/100</f>
        <v>1.2707599858668181E-3</v>
      </c>
      <c r="N186" s="18">
        <v>5.0000000000000001E-3</v>
      </c>
      <c r="O186" s="130">
        <f>(((G186*Constants!$B$23*0.000000001*Input!G186*(Constants!$B$7/Constants!$B$6))-(N186*0.000000001))/Input!F186)*1000000</f>
        <v>0.33184786504437974</v>
      </c>
      <c r="P186" s="18">
        <f>O186*Input!N186/100</f>
        <v>1.6279844589632181E-5</v>
      </c>
      <c r="Q186" s="131">
        <f>(O186/Constants!$B$7)*602200000000000000*Constants!$B$18/(365.2425*24*60)</f>
        <v>0.24759858076238883</v>
      </c>
      <c r="R186" s="132">
        <f>Q186*Input!N186/100</f>
        <v>1.2146729992932495E-5</v>
      </c>
      <c r="S186" s="133">
        <f>Input!S186*Constants!$B$17/Constants!$B$18</f>
        <v>1.9235013455258603</v>
      </c>
      <c r="T186" s="18">
        <f>S186*Input!T186/100</f>
        <v>1.2210552550547559E-3</v>
      </c>
      <c r="U186" s="18">
        <f>S186*1/((U185+U187)/2)</f>
        <v>1.9236407015866612</v>
      </c>
      <c r="V186" s="18">
        <f>U186*Input!T186/100</f>
        <v>1.2211437194848747E-3</v>
      </c>
      <c r="W186" s="134">
        <v>3.0000000000000001E-3</v>
      </c>
      <c r="X186" s="130">
        <f>(((Constants!$B$25*0.000000001*Input!G186/Input!W186*(Constants!$B$11/Constants!$B$9)-(W186*0.000000001))/Input!F186)*1000000000)</f>
        <v>7.1054144626629984E-2</v>
      </c>
      <c r="Y186" s="130">
        <f>X186*Input!X186/100</f>
        <v>2.1039729572623611E-4</v>
      </c>
      <c r="Z186" s="130">
        <f>(X186/Constants!$B$11)*6.022E+23*0.000000001*Constants!$B$19/(365.2425*24*60)</f>
        <v>1.7346613793672121E-5</v>
      </c>
      <c r="AA186" s="130">
        <f>Z186*Input!X186/100</f>
        <v>5.1364781764302561E-8</v>
      </c>
      <c r="AB186" s="135">
        <v>0.05</v>
      </c>
      <c r="AC186" s="135">
        <v>0</v>
      </c>
      <c r="AD186" s="130">
        <f>(((Input!G186*Constants!$B$25*0.000000001*Input!U186*(Constants!$B$10/Constants!$B$9))-((AB186*0.000000000000001)+(Input!G186*AC186*0.000000000000001)))/Input!F186)*1000000000000</f>
        <v>10.976473868886941</v>
      </c>
      <c r="AE186" s="130">
        <f>AD186*Input!V186/100</f>
        <v>2.1037099964478338E-2</v>
      </c>
      <c r="AF186" s="130">
        <f>(AD186/Constants!$B$10)*602200000000*Constants!$B$16/(365.2425*24*60)</f>
        <v>0.50102848712711867</v>
      </c>
      <c r="AG186" s="130">
        <f>AF186*Input!V186/100</f>
        <v>9.6025249043055021E-4</v>
      </c>
      <c r="AH186" s="18">
        <f>AF186/Z186</f>
        <v>28883.359777681169</v>
      </c>
      <c r="AI186" s="134">
        <f>AH186*SQRT((AG186/AF186)^2+(AA186/Z186)^2)</f>
        <v>101.87776107662219</v>
      </c>
      <c r="AJ186" s="133">
        <f t="shared" si="954"/>
        <v>923.64070158666118</v>
      </c>
      <c r="AK186" s="134">
        <f>V186*1000</f>
        <v>1.2211437194848747</v>
      </c>
      <c r="AL186" s="134">
        <f>AF186/Q186</f>
        <v>2.0235515308059746</v>
      </c>
      <c r="AM186" s="134">
        <f>AL186*SQRT((R186/Q186)^2+(AG186/AF186)^2)</f>
        <v>3.8795336245537209E-3</v>
      </c>
      <c r="AN186" s="18">
        <f>AL186*1/((AN185+AN187)/2)</f>
        <v>2.0323391024006829</v>
      </c>
      <c r="AO186" s="130">
        <f>AN186*SQRT((R186/Q186)^2+(AG186/AF186)^2)</f>
        <v>3.8963810726966724E-3</v>
      </c>
      <c r="AP186" s="18">
        <f>ThU_Alter_Kombi(AN186,U186)</f>
        <v>280.1748</v>
      </c>
      <c r="AQ186" s="18">
        <f t="shared" si="960"/>
        <v>1.6581999999999999</v>
      </c>
      <c r="AR186" s="155">
        <f>(AQ186/AP186)</f>
        <v>5.9184480545716456E-3</v>
      </c>
      <c r="AS186" s="132">
        <f t="shared" si="961"/>
        <v>7.0059423362846423E-5</v>
      </c>
      <c r="AT186" s="132">
        <f t="shared" si="962"/>
        <v>2.0748031184928012E-7</v>
      </c>
      <c r="AU186" s="18">
        <v>0.75</v>
      </c>
      <c r="AV186" s="18">
        <f>AU186/2</f>
        <v>0.375</v>
      </c>
      <c r="AW186" s="18">
        <f t="shared" si="964"/>
        <v>280.17290000000003</v>
      </c>
      <c r="AX186" s="136">
        <f t="shared" si="965"/>
        <v>1.9221087771000001</v>
      </c>
      <c r="AY186" s="136">
        <f t="shared" si="966"/>
        <v>1.9463296117456808</v>
      </c>
      <c r="AZ186" s="155">
        <f t="shared" si="967"/>
        <v>6.8604378835354874E-3</v>
      </c>
      <c r="BA186" s="18" t="str">
        <f>Input!B186</f>
        <v>M514-44B-605,0</v>
      </c>
      <c r="BB186" s="137">
        <f>Input!E186</f>
        <v>605</v>
      </c>
      <c r="BC186" s="18">
        <f>((U186-1)*EXP(Constants!$B$17*AW186*1000))*1000</f>
        <v>2036.4999022649824</v>
      </c>
      <c r="BD186" s="133">
        <f>SQRT((EXP(Constants!$B$17*AW186*1000)*V186)^2+((U186-1)*Constants!$B$17*EXP(Constants!$B$17*AW186*1000)*AY186*1000)^2)*1000</f>
        <v>11.50527751871595</v>
      </c>
      <c r="BE186" s="18">
        <f t="shared" si="968"/>
        <v>280114.90000000002</v>
      </c>
      <c r="BF186" s="138">
        <f t="shared" si="969"/>
        <v>973.16480587284036</v>
      </c>
      <c r="BG186" s="20">
        <f t="shared" si="970"/>
        <v>0.69468874817859994</v>
      </c>
      <c r="BH186" s="18"/>
      <c r="BI186" s="18"/>
      <c r="BJ186" s="18"/>
      <c r="BK186" s="18"/>
      <c r="BL186" s="18"/>
      <c r="BM186" s="18"/>
      <c r="BN186" s="160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9">
        <f>Input!A187</f>
        <v>10815</v>
      </c>
      <c r="B187" s="139" t="str">
        <f>Input!B187</f>
        <v>Hu1-13</v>
      </c>
      <c r="C187" s="139">
        <f>Input!O187</f>
        <v>2.1047830954644988</v>
      </c>
      <c r="D187" s="139">
        <f>C187*Input!P187/100</f>
        <v>1.7143493326242962E-2</v>
      </c>
      <c r="E187" s="140">
        <f>Input!M187</f>
        <v>2.7324255231757868</v>
      </c>
      <c r="F187" s="141">
        <f>E187*Input!N187/100</f>
        <v>3.5131919998191287E-4</v>
      </c>
      <c r="G187" s="142">
        <f t="shared" ref="G187" si="998">E187*137.88</f>
        <v>376.74683113547746</v>
      </c>
      <c r="H187" s="141">
        <f>G187*Input!L187/100</f>
        <v>2.8899699890982036E-2</v>
      </c>
      <c r="I187" s="139">
        <v>0</v>
      </c>
      <c r="J187" s="143">
        <f>(((C187*Constants!$B$24*0.000000001*Input!G187*(Constants!$B$4/Constants!$B$3))-(I187*0.000000000000001))/Input!F187)*1000000000000</f>
        <v>759.90571668059954</v>
      </c>
      <c r="K187" s="139">
        <f>J187*Input!P187/100</f>
        <v>6.1894447036181397</v>
      </c>
      <c r="L187" s="144">
        <f>(J187/Constants!$B$4)*602200000000*Constants!$B$17/(365.2425*24*60)</f>
        <v>10.491342153369674</v>
      </c>
      <c r="M187" s="145">
        <f>L187*Input!P187/100</f>
        <v>8.5452156365752291E-2</v>
      </c>
      <c r="N187" s="139">
        <v>0</v>
      </c>
      <c r="O187" s="143">
        <f>(((G187*Constants!$B$23*0.000000001*Input!G187*(Constants!$B$7/Constants!$B$6))-(N187*0.000000001))/Input!F187)*1000000</f>
        <v>13.701984545075145</v>
      </c>
      <c r="P187" s="139">
        <f>O187*Input!N187/100</f>
        <v>1.7617205694029257E-3</v>
      </c>
      <c r="Q187" s="146">
        <f>(O187/Constants!$B$7)*602200000000000000*Constants!$B$18/(365.2425*24*60)</f>
        <v>10.223335101267212</v>
      </c>
      <c r="R187" s="147">
        <f>Q187*Input!N187/100</f>
        <v>1.3144562874488788E-3</v>
      </c>
      <c r="S187" s="145">
        <f>Input!S187*Constants!$B$17/Constants!$B$18</f>
        <v>1.0007916304678166</v>
      </c>
      <c r="T187" s="139">
        <f>S187*Input!T187/100</f>
        <v>1.6278134744913736E-3</v>
      </c>
      <c r="U187" s="145">
        <f>S187</f>
        <v>1.0007916304678166</v>
      </c>
      <c r="V187" s="139">
        <f>U187*Input!T187/100</f>
        <v>1.6278134744913736E-3</v>
      </c>
      <c r="W187" s="148">
        <v>0</v>
      </c>
      <c r="X187" s="143">
        <f>(((Constants!$B$25*0.000000001*Input!G187/Input!W187*(Constants!$B$11/Constants!$B$9))-(W187*0.000000001))/Input!F187)*1000000000</f>
        <v>0.99991869129526889</v>
      </c>
      <c r="Y187" s="143">
        <f>X187*Input!X187/100</f>
        <v>6.1646476218576171E-3</v>
      </c>
      <c r="Z187" s="143">
        <f>(X187/Constants!$B$11)*6.022E+23*0.000000001*Constants!$B$19/(365.2425*24*60)</f>
        <v>2.4411247864733812E-4</v>
      </c>
      <c r="AA187" s="143">
        <f>Z187*Input!X187/100</f>
        <v>1.5049897797287046E-6</v>
      </c>
      <c r="AB187" s="144">
        <v>0</v>
      </c>
      <c r="AC187" s="144">
        <v>0</v>
      </c>
      <c r="AD187" s="143">
        <f>(((Input!G187*Constants!$B$25*0.000000001*Input!U187*(Constants!$B$10/Constants!$B$9))-((AB187*0.000000000000001)+(Input!G187*AC187*0.000000000000001)))/Input!F187)*1000000000000</f>
        <v>222.45750820618287</v>
      </c>
      <c r="AE187" s="143">
        <f>AD187*Input!V187/100</f>
        <v>0.82564001496484607</v>
      </c>
      <c r="AF187" s="143">
        <f>(AD187/Constants!$B$10)*602200000000*Constants!$B$16/(365.2425*24*60)</f>
        <v>10.154221666991006</v>
      </c>
      <c r="AG187" s="143">
        <f>AF187*Input!V187/100</f>
        <v>3.7686890394009208E-2</v>
      </c>
      <c r="AH187" s="139">
        <f t="shared" ref="AH187" si="999">AF187/Z187</f>
        <v>41596.487501405041</v>
      </c>
      <c r="AI187" s="148">
        <f t="shared" ref="AI187" si="1000">AH187*SQRT((AG187/AF187)^2+(AA187/Z187)^2)</f>
        <v>299.33268627111971</v>
      </c>
      <c r="AJ187" s="145">
        <f t="shared" si="954"/>
        <v>0.7916304678166064</v>
      </c>
      <c r="AK187" s="148">
        <f t="shared" ref="AK187" si="1001">V187*1000</f>
        <v>1.6278134744913735</v>
      </c>
      <c r="AL187" s="148">
        <f t="shared" ref="AL187" si="1002">AF187/Q187</f>
        <v>0.99323963915966729</v>
      </c>
      <c r="AM187" s="148">
        <f t="shared" ref="AM187" si="1003">AL187*SQRT((R187/Q187)^2+(AG187/AF187)^2)</f>
        <v>3.6885710367543906E-3</v>
      </c>
      <c r="AN187" s="139">
        <f>AF187/Q187</f>
        <v>0.99323963915966729</v>
      </c>
      <c r="AO187" s="143">
        <f t="shared" ref="AO187" si="1004">AN187*SQRT((R187/Q187)^2+(AG187/AF187)^2)</f>
        <v>3.6885710367543906E-3</v>
      </c>
      <c r="AP187" s="139">
        <f t="shared" ref="AP187" si="1005">ThU_Alter_Kombi(AN187,U187)</f>
        <v>528.37469999999996</v>
      </c>
      <c r="AQ187" s="139" t="e">
        <f t="shared" si="960"/>
        <v>#VALUE!</v>
      </c>
      <c r="AR187" s="139" t="e">
        <f>(AQ187/AP187)*100</f>
        <v>#VALUE!</v>
      </c>
      <c r="AS187" s="147">
        <f t="shared" si="961"/>
        <v>2.3877969002217257E-5</v>
      </c>
      <c r="AT187" s="147">
        <f t="shared" si="962"/>
        <v>1.4724324423413635E-7</v>
      </c>
      <c r="AU187" s="139">
        <v>0.75</v>
      </c>
      <c r="AV187" s="139">
        <f t="shared" ref="AV187" si="1006">AU187/2</f>
        <v>0.375</v>
      </c>
      <c r="AW187" s="139">
        <f t="shared" si="964"/>
        <v>528.37279999999998</v>
      </c>
      <c r="AX187" s="149">
        <f t="shared" si="965"/>
        <v>154.55419323929999</v>
      </c>
      <c r="AY187" s="149">
        <f t="shared" si="966"/>
        <v>59.536194824810991</v>
      </c>
      <c r="AZ187" s="150">
        <f t="shared" si="967"/>
        <v>0.29250974546626929</v>
      </c>
      <c r="BA187" s="139" t="str">
        <f>Input!B187</f>
        <v>Hu1-13</v>
      </c>
      <c r="BB187" s="151">
        <f>Input!E187</f>
        <v>0</v>
      </c>
      <c r="BC187" s="139">
        <f>((U187-1)*EXP(Constants!$B$17*AW187*1000))*1000</f>
        <v>3.5164050210112281</v>
      </c>
      <c r="BD187" s="145">
        <f>SQRT((EXP(Constants!$B$17*AW187*1000)*V187)^2+((U187-1)*Constants!$B$17*EXP(Constants!$B$17*AW187*1000)*AY187*1000)^2)*1000</f>
        <v>7.2548081763760521</v>
      </c>
      <c r="BE187" s="139">
        <f t="shared" si="968"/>
        <v>528314.79999999993</v>
      </c>
      <c r="BF187" s="152">
        <f t="shared" si="969"/>
        <v>29768.097412405496</v>
      </c>
      <c r="BG187" s="161">
        <f t="shared" si="970"/>
        <v>11.267838697376359</v>
      </c>
      <c r="BH187" s="139"/>
      <c r="BI187" s="18"/>
      <c r="BJ187" s="18"/>
      <c r="BK187" s="18"/>
      <c r="BL187" s="18"/>
      <c r="BM187" s="18"/>
      <c r="BN187" s="160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8" spans="1:110" ht="15" customHeight="1" x14ac:dyDescent="0.2">
      <c r="A188" s="18">
        <f>Input!A188</f>
        <v>11092</v>
      </c>
      <c r="B188" s="18" t="str">
        <f>Input!B188</f>
        <v>M514-44B-629,25</v>
      </c>
      <c r="C188" s="18">
        <f>Input!O188</f>
        <v>1.8255165053506808</v>
      </c>
      <c r="D188" s="18">
        <f>C188*Input!P188/100</f>
        <v>7.8906544589127017E-3</v>
      </c>
      <c r="E188" s="153">
        <f>Input!M188</f>
        <v>1.1984764455153132</v>
      </c>
      <c r="F188" s="154">
        <f>E188*Input!N188/100</f>
        <v>8.6171863173405526E-5</v>
      </c>
      <c r="G188" s="21">
        <f>E188*137.88</f>
        <v>165.24593230765137</v>
      </c>
      <c r="H188" s="154">
        <f>G188*Input!L188/100</f>
        <v>1.0363967509693858E-2</v>
      </c>
      <c r="I188" s="18">
        <v>0.3</v>
      </c>
      <c r="J188" s="130">
        <f>(((C188*Constants!$B$24*0.000000001*Input!G188*(Constants!$B$4/Constants!$B$3))-(I188*0.000000000000001))/Input!F188)*1000000000000</f>
        <v>32.173307308604215</v>
      </c>
      <c r="K188" s="18">
        <f>J188*Input!P188/100</f>
        <v>0.13906664225083984</v>
      </c>
      <c r="L188" s="135">
        <f>(J188/Constants!$B$4)*602200000000*Constants!$B$17/(365.2425*24*60)</f>
        <v>0.44418822989582785</v>
      </c>
      <c r="M188" s="133">
        <f>L188*Input!P188/100</f>
        <v>1.9199694040294411E-3</v>
      </c>
      <c r="N188" s="18">
        <v>5.0000000000000001E-3</v>
      </c>
      <c r="O188" s="130">
        <f>(((G188*Constants!$B$23*0.000000001*Input!G188*(Constants!$B$7/Constants!$B$6))-(N188*0.000000001))/Input!F188)*1000000</f>
        <v>0.29336415994891207</v>
      </c>
      <c r="P188" s="18">
        <f>O188*Input!N188/100</f>
        <v>2.1093227443639144E-5</v>
      </c>
      <c r="Q188" s="131">
        <f>(O188/Constants!$B$7)*602200000000000000*Constants!$B$18/(365.2425*24*60)</f>
        <v>0.21888508952795882</v>
      </c>
      <c r="R188" s="132">
        <f>Q188*Input!N188/100</f>
        <v>1.5738094858753635E-5</v>
      </c>
      <c r="S188" s="133">
        <f>Input!S188*Constants!$B$17/Constants!$B$18</f>
        <v>2.0156347630313269</v>
      </c>
      <c r="T188" s="18">
        <f>S188*Input!T188/100</f>
        <v>1.9262133209660358E-3</v>
      </c>
      <c r="U188" s="18">
        <f>S188*1/((U187+U189)/2)</f>
        <v>2.0139979627031876</v>
      </c>
      <c r="V188" s="18">
        <f>U188*Input!T188/100</f>
        <v>1.9246491355026526E-3</v>
      </c>
      <c r="W188" s="134">
        <v>3.0000000000000001E-3</v>
      </c>
      <c r="X188" s="130">
        <f>(((Constants!$B$25*0.000000001*Input!G188/Input!W188*(Constants!$B$11/Constants!$B$9)-(W188*0.000000001))/Input!F188)*1000000000)</f>
        <v>7.2973920119032795E-2</v>
      </c>
      <c r="Y188" s="130">
        <f>X188*Input!X188/100</f>
        <v>1.6380681138551272E-4</v>
      </c>
      <c r="Z188" s="130">
        <f>(X188/Constants!$B$11)*6.022E+23*0.000000001*Constants!$B$19/(365.2425*24*60)</f>
        <v>1.7815293055272677E-5</v>
      </c>
      <c r="AA188" s="130">
        <f>Z188*Input!X188/100</f>
        <v>3.999053832550726E-8</v>
      </c>
      <c r="AB188" s="135">
        <v>0.05</v>
      </c>
      <c r="AC188" s="135">
        <v>0</v>
      </c>
      <c r="AD188" s="130">
        <f>(((Input!G188*Constants!$B$25*0.000000001*Input!U188*(Constants!$B$10/Constants!$B$9))-((AB188*0.000000000000001)+(Input!G188*AC188*0.000000000000001)))/Input!F188)*1000000000000</f>
        <v>10.238384702235553</v>
      </c>
      <c r="AE188" s="130">
        <f>AD188*Input!V188/100</f>
        <v>2.4129998786984852E-2</v>
      </c>
      <c r="AF188" s="130">
        <f>(AD188/Constants!$B$10)*602200000000*Constants!$B$16/(365.2425*24*60)</f>
        <v>0.46733791372900058</v>
      </c>
      <c r="AG188" s="130">
        <f>AF188*Input!V188/100</f>
        <v>1.1014299246765468E-3</v>
      </c>
      <c r="AH188" s="18">
        <f>AF188/Z188</f>
        <v>26232.401133063911</v>
      </c>
      <c r="AI188" s="134">
        <f>AH188*SQRT((AG188/AF188)^2+(AA188/Z188)^2)</f>
        <v>85.379929134001884</v>
      </c>
      <c r="AJ188" s="133">
        <f t="shared" si="954"/>
        <v>1013.9979627031877</v>
      </c>
      <c r="AK188" s="134">
        <f>V188*1000</f>
        <v>1.9246491355026525</v>
      </c>
      <c r="AL188" s="134">
        <f>AF188/Q188</f>
        <v>2.13508336605681</v>
      </c>
      <c r="AM188" s="134">
        <f>AL188*SQRT((R188/Q188)^2+(AG188/AF188)^2)</f>
        <v>5.0343418580633854E-3</v>
      </c>
      <c r="AN188" s="18">
        <f>AL188*1/((AN187+AN189)/2)</f>
        <v>2.1459657647207524</v>
      </c>
      <c r="AO188" s="130">
        <f>AN188*SQRT((R188/Q188)^2+(AG188/AF188)^2)</f>
        <v>5.0600016126102062E-3</v>
      </c>
      <c r="AP188" s="18">
        <f>ThU_Alter_Kombi(AN188,U188)</f>
        <v>282.45679999999999</v>
      </c>
      <c r="AQ188" s="18">
        <f t="shared" si="960"/>
        <v>2.3401999999999998</v>
      </c>
      <c r="AR188" s="155">
        <f>(AQ188/AP188)</f>
        <v>8.2851607750282514E-3</v>
      </c>
      <c r="AS188" s="132">
        <f t="shared" si="961"/>
        <v>8.139107644880068E-5</v>
      </c>
      <c r="AT188" s="132">
        <f t="shared" si="962"/>
        <v>1.8279476282086339E-7</v>
      </c>
      <c r="AU188" s="18">
        <v>0.75</v>
      </c>
      <c r="AV188" s="18">
        <f>AU188/2</f>
        <v>0.375</v>
      </c>
      <c r="AW188" s="18">
        <f t="shared" si="964"/>
        <v>282.45479999999998</v>
      </c>
      <c r="AX188" s="136">
        <f t="shared" si="965"/>
        <v>2.2702861317999998</v>
      </c>
      <c r="AY188" s="136">
        <f t="shared" si="966"/>
        <v>2.4825874619826527</v>
      </c>
      <c r="AZ188" s="155">
        <f t="shared" si="967"/>
        <v>8.0376971175565078E-3</v>
      </c>
      <c r="BA188" s="18" t="str">
        <f>Input!B188</f>
        <v>M514-44B-629,25</v>
      </c>
      <c r="BB188" s="137">
        <f>Input!E188</f>
        <v>629.25</v>
      </c>
      <c r="BC188" s="18">
        <f>((U188-1)*EXP(Constants!$B$17*AW188*1000))*1000</f>
        <v>2250.1689198484805</v>
      </c>
      <c r="BD188" s="133">
        <f>SQRT((EXP(Constants!$B$17*AW188*1000)*V188)^2+((U188-1)*Constants!$B$17*EXP(Constants!$B$17*AW188*1000)*AY188*1000)^2)*1000</f>
        <v>16.333017258197373</v>
      </c>
      <c r="BE188" s="18">
        <f t="shared" si="968"/>
        <v>282396.79999999999</v>
      </c>
      <c r="BF188" s="138">
        <f t="shared" si="969"/>
        <v>1241.2937309913264</v>
      </c>
      <c r="BG188" s="20">
        <f t="shared" si="970"/>
        <v>0.87893265116494845</v>
      </c>
      <c r="BH188" s="18"/>
      <c r="BI188" s="18"/>
      <c r="BJ188" s="18"/>
      <c r="BK188" s="18"/>
      <c r="BL188" s="18"/>
      <c r="BM188" s="18"/>
      <c r="BN188" s="160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</row>
    <row r="189" spans="1:110" ht="15" customHeight="1" x14ac:dyDescent="0.2">
      <c r="A189" s="139">
        <f>Input!A189</f>
        <v>10815</v>
      </c>
      <c r="B189" s="139" t="str">
        <f>Input!B189</f>
        <v>Hu1-13</v>
      </c>
      <c r="C189" s="139">
        <f>Input!O189</f>
        <v>2.0944504408713631</v>
      </c>
      <c r="D189" s="139">
        <f>C189*Input!P189/100</f>
        <v>1.6489036290053428E-2</v>
      </c>
      <c r="E189" s="140">
        <f>Input!M189</f>
        <v>2.7325222830302236</v>
      </c>
      <c r="F189" s="141">
        <f>E189*Input!N189/100</f>
        <v>3.1324295456161251E-4</v>
      </c>
      <c r="G189" s="142">
        <f t="shared" ref="G189" si="1007">E189*137.88</f>
        <v>376.76017238420724</v>
      </c>
      <c r="H189" s="141">
        <f>G189*Input!L189/100</f>
        <v>2.8536583846880608E-2</v>
      </c>
      <c r="I189" s="139">
        <v>0</v>
      </c>
      <c r="J189" s="143">
        <f>(((C189*Constants!$B$24*0.000000001*Input!G189*(Constants!$B$4/Constants!$B$3))-(I189*0.000000000000001))/Input!F189)*1000000000000</f>
        <v>756.17524045683592</v>
      </c>
      <c r="K189" s="139">
        <f>J189*Input!P189/100</f>
        <v>5.9531611434765113</v>
      </c>
      <c r="L189" s="144">
        <f>(J189/Constants!$B$4)*602200000000*Constants!$B$17/(365.2425*24*60)</f>
        <v>10.439838787097507</v>
      </c>
      <c r="M189" s="145">
        <f>L189*Input!P189/100</f>
        <v>8.2189999468853914E-2</v>
      </c>
      <c r="N189" s="139">
        <v>0</v>
      </c>
      <c r="O189" s="143">
        <f>(((G189*Constants!$B$23*0.000000001*Input!G189*(Constants!$B$7/Constants!$B$6))-(N189*0.000000001))/Input!F189)*1000000</f>
        <v>13.702469755749265</v>
      </c>
      <c r="P189" s="139">
        <f>O189*Input!N189/100</f>
        <v>1.5707839375136623E-3</v>
      </c>
      <c r="Q189" s="146">
        <f>(O189/Constants!$B$7)*602200000000000000*Constants!$B$18/(365.2425*24*60)</f>
        <v>10.223697127023403</v>
      </c>
      <c r="R189" s="147">
        <f>Q189*Input!N189/100</f>
        <v>1.1719945028446299E-3</v>
      </c>
      <c r="S189" s="145">
        <f>Input!S189*Constants!$B$17/Constants!$B$18</f>
        <v>1.0008337935479481</v>
      </c>
      <c r="T189" s="139">
        <f>S189*Input!T189/100</f>
        <v>1.507226186989428E-3</v>
      </c>
      <c r="U189" s="145">
        <f>S189</f>
        <v>1.0008337935479481</v>
      </c>
      <c r="V189" s="139">
        <f>U189*Input!T189/100</f>
        <v>1.507226186989428E-3</v>
      </c>
      <c r="W189" s="148">
        <v>0</v>
      </c>
      <c r="X189" s="143">
        <f>(((Constants!$B$25*0.000000001*Input!G189/Input!W189*(Constants!$B$11/Constants!$B$9))-(W189*0.000000001))/Input!F189)*1000000000</f>
        <v>0.99780494270094244</v>
      </c>
      <c r="Y189" s="143">
        <f>X189*Input!X189/100</f>
        <v>3.6671324003755119E-3</v>
      </c>
      <c r="Z189" s="143">
        <f>(X189/Constants!$B$11)*6.022E+23*0.000000001*Constants!$B$19/(365.2425*24*60)</f>
        <v>2.4359644428065377E-4</v>
      </c>
      <c r="AA189" s="143">
        <f>Z189*Input!X189/100</f>
        <v>8.9526557266773267E-7</v>
      </c>
      <c r="AB189" s="144">
        <v>0</v>
      </c>
      <c r="AC189" s="144">
        <v>0</v>
      </c>
      <c r="AD189" s="143">
        <f>(((Input!G189*Constants!$B$25*0.000000001*Input!U189*(Constants!$B$10/Constants!$B$9))-((AB189*0.000000000000001)+(Input!G189*AC189*0.000000000000001)))/Input!F189)*1000000000000</f>
        <v>223.22210737262989</v>
      </c>
      <c r="AE189" s="143">
        <f>AD189*Input!V189/100</f>
        <v>0.80296009936504276</v>
      </c>
      <c r="AF189" s="143">
        <f>(AD189/Constants!$B$10)*602200000000*Constants!$B$16/(365.2425*24*60)</f>
        <v>10.189122307050789</v>
      </c>
      <c r="AG189" s="143">
        <f>AF189*Input!V189/100</f>
        <v>3.6651650485740532E-2</v>
      </c>
      <c r="AH189" s="139">
        <f t="shared" ref="AH189" si="1008">AF189/Z189</f>
        <v>41827.877812993189</v>
      </c>
      <c r="AI189" s="148">
        <f t="shared" ref="AI189" si="1009">AH189*SQRT((AG189/AF189)^2+(AA189/Z189)^2)</f>
        <v>215.10461182878132</v>
      </c>
      <c r="AJ189" s="145">
        <f t="shared" si="954"/>
        <v>0.8337935479481029</v>
      </c>
      <c r="AK189" s="148">
        <f t="shared" ref="AK189" si="1010">V189*1000</f>
        <v>1.5072261869894281</v>
      </c>
      <c r="AL189" s="148">
        <f t="shared" ref="AL189" si="1011">AF189/Q189</f>
        <v>0.99661816859957397</v>
      </c>
      <c r="AM189" s="148">
        <f t="shared" ref="AM189" si="1012">AL189*SQRT((R189/Q189)^2+(AG189/AF189)^2)</f>
        <v>3.5867902747554205E-3</v>
      </c>
      <c r="AN189" s="139">
        <f>AF189/Q189</f>
        <v>0.99661816859957397</v>
      </c>
      <c r="AO189" s="143">
        <f t="shared" ref="AO189" si="1013">AN189*SQRT((R189/Q189)^2+(AG189/AF189)^2)</f>
        <v>3.5867902747554205E-3</v>
      </c>
      <c r="AP189" s="139">
        <f t="shared" ref="AP189" si="1014">ThU_Alter_Kombi(AN189,U189)</f>
        <v>587.86400000000003</v>
      </c>
      <c r="AQ189" s="139" t="e">
        <f t="shared" si="960"/>
        <v>#VALUE!</v>
      </c>
      <c r="AR189" s="139" t="e">
        <f>(AQ189/AP189)*100</f>
        <v>#VALUE!</v>
      </c>
      <c r="AS189" s="147">
        <f t="shared" si="961"/>
        <v>2.3826649132316003E-5</v>
      </c>
      <c r="AT189" s="147">
        <f t="shared" si="962"/>
        <v>8.7610280579726487E-8</v>
      </c>
      <c r="AU189" s="139">
        <v>0.75</v>
      </c>
      <c r="AV189" s="139">
        <f t="shared" ref="AV189" si="1015">AU189/2</f>
        <v>0.375</v>
      </c>
      <c r="AW189" s="139">
        <f t="shared" si="964"/>
        <v>587.86199999999997</v>
      </c>
      <c r="AX189" s="149">
        <f t="shared" si="965"/>
        <v>223.56565224080001</v>
      </c>
      <c r="AY189" s="149">
        <f t="shared" si="966"/>
        <v>98.737794649536625</v>
      </c>
      <c r="AZ189" s="150">
        <f t="shared" si="967"/>
        <v>0.38030294906083406</v>
      </c>
      <c r="BA189" s="139" t="str">
        <f>Input!B189</f>
        <v>Hu1-13</v>
      </c>
      <c r="BB189" s="151">
        <f>Input!E189</f>
        <v>0</v>
      </c>
      <c r="BC189" s="139">
        <f>((U189-1)*EXP(Constants!$B$17*AW189*1000))*1000</f>
        <v>4.380716887872758</v>
      </c>
      <c r="BD189" s="145">
        <f>SQRT((EXP(Constants!$B$17*AW189*1000)*V189)^2+((U189-1)*Constants!$B$17*EXP(Constants!$B$17*AW189*1000)*AY189*1000)^2)*1000</f>
        <v>8.0124312906804089</v>
      </c>
      <c r="BE189" s="139">
        <f t="shared" si="968"/>
        <v>587804</v>
      </c>
      <c r="BF189" s="152">
        <f t="shared" si="969"/>
        <v>49368.89732476831</v>
      </c>
      <c r="BG189" s="161">
        <f t="shared" si="970"/>
        <v>16.796083885254809</v>
      </c>
      <c r="BH189" s="139"/>
      <c r="BI189" s="18"/>
      <c r="BJ189" s="18"/>
      <c r="BK189" s="18"/>
      <c r="BL189" s="18"/>
      <c r="BM189" s="18"/>
      <c r="BN189" s="160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11093</v>
      </c>
      <c r="B190" s="18" t="str">
        <f>Input!B190</f>
        <v>M514-44B-651,5</v>
      </c>
      <c r="C190" s="18">
        <f>Input!O190</f>
        <v>1.8512779675906528</v>
      </c>
      <c r="D190" s="18">
        <f>C190*Input!P190/100</f>
        <v>5.5977000199595875E-3</v>
      </c>
      <c r="E190" s="153">
        <f>Input!M190</f>
        <v>1.21240744600232</v>
      </c>
      <c r="F190" s="154">
        <f>E190*Input!N190/100</f>
        <v>6.8826603373259675E-5</v>
      </c>
      <c r="G190" s="21">
        <f>E190*137.88</f>
        <v>167.16673865479987</v>
      </c>
      <c r="H190" s="154">
        <f>G190*Input!L190/100</f>
        <v>1.0355705732406368E-2</v>
      </c>
      <c r="I190" s="18">
        <v>0.3</v>
      </c>
      <c r="J190" s="130">
        <f>(((C190*Constants!$B$24*0.000000001*Input!G190*(Constants!$B$4/Constants!$B$3))-(I190*0.000000000000001))/Input!F190)*1000000000000</f>
        <v>31.578682192707792</v>
      </c>
      <c r="K190" s="18">
        <f>J190*Input!P190/100</f>
        <v>9.5484304915308155E-2</v>
      </c>
      <c r="L190" s="135">
        <f>(J190/Constants!$B$4)*602200000000*Constants!$B$17/(365.2425*24*60)</f>
        <v>0.43597876994978746</v>
      </c>
      <c r="M190" s="133">
        <f>L190*Input!P190/100</f>
        <v>1.3182668469965339E-3</v>
      </c>
      <c r="N190" s="18">
        <v>5.0000000000000001E-3</v>
      </c>
      <c r="O190" s="130">
        <f>(((G190*Constants!$B$23*0.000000001*Input!G190*(Constants!$B$7/Constants!$B$6))-(N190*0.000000001))/Input!F190)*1000000</f>
        <v>0.28723589002523736</v>
      </c>
      <c r="P190" s="18">
        <f>O190*Input!N190/100</f>
        <v>1.6305962770616649E-5</v>
      </c>
      <c r="Q190" s="131">
        <f>(O190/Constants!$B$7)*602200000000000000*Constants!$B$18/(365.2425*24*60)</f>
        <v>0.21431266012441944</v>
      </c>
      <c r="R190" s="132">
        <f>Q190*Input!N190/100</f>
        <v>1.216621730993839E-5</v>
      </c>
      <c r="S190" s="133">
        <f>Input!S190*Constants!$B$17/Constants!$B$18</f>
        <v>2.0256891043941518</v>
      </c>
      <c r="T190" s="18">
        <f>S190*Input!T190/100</f>
        <v>1.3183278503715217E-3</v>
      </c>
      <c r="U190" s="18">
        <f>S190*1/((U189+U191)/2)</f>
        <v>2.0240015049982469</v>
      </c>
      <c r="V190" s="18">
        <f>U190*Input!T190/100</f>
        <v>1.3172295528691728E-3</v>
      </c>
      <c r="W190" s="134">
        <v>3.0000000000000001E-3</v>
      </c>
      <c r="X190" s="130">
        <f>(((Constants!$B$25*0.000000001*Input!G190/Input!W190*(Constants!$B$11/Constants!$B$9)-(W190*0.000000001))/Input!F190)*1000000000)</f>
        <v>8.7861133025607094E-2</v>
      </c>
      <c r="Y190" s="130">
        <f>X190*Input!X190/100</f>
        <v>1.7762221822999088E-4</v>
      </c>
      <c r="Z190" s="130">
        <f>(X190/Constants!$B$11)*6.022E+23*0.000000001*Constants!$B$19/(365.2425*24*60)</f>
        <v>2.1449743010465441E-5</v>
      </c>
      <c r="AA190" s="130">
        <f>Z190*Input!X190/100</f>
        <v>4.3363325770812731E-8</v>
      </c>
      <c r="AB190" s="135">
        <v>0.05</v>
      </c>
      <c r="AC190" s="135">
        <v>0</v>
      </c>
      <c r="AD190" s="130">
        <f>(((Input!G190*Constants!$B$25*0.000000001*Input!U190*(Constants!$B$10/Constants!$B$9))-((AB190*0.000000000000001)+(Input!G190*AC190*0.000000000000001)))/Input!F190)*1000000000000</f>
        <v>10.092432455341159</v>
      </c>
      <c r="AE190" s="130">
        <f>AD190*Input!V190/100</f>
        <v>1.6923688126904493E-2</v>
      </c>
      <c r="AF190" s="130">
        <f>(AD190/Constants!$B$10)*602200000000*Constants!$B$16/(365.2425*24*60)</f>
        <v>0.46067582585562811</v>
      </c>
      <c r="AG190" s="130">
        <f>AF190*Input!V190/100</f>
        <v>7.7249305743520803E-4</v>
      </c>
      <c r="AH190" s="18">
        <f>AF190/Z190</f>
        <v>21476.985790965515</v>
      </c>
      <c r="AI190" s="134">
        <f>AH190*SQRT((AG190/AF190)^2+(AA190/Z190)^2)</f>
        <v>56.410747659633842</v>
      </c>
      <c r="AJ190" s="133">
        <f t="shared" ref="AJ190:AJ191" si="1016">(U190-1)*1000</f>
        <v>1024.0015049982469</v>
      </c>
      <c r="AK190" s="134">
        <f>V190*1000</f>
        <v>1.3172295528691729</v>
      </c>
      <c r="AL190" s="134">
        <f>AF190/Q190</f>
        <v>2.1495502206364399</v>
      </c>
      <c r="AM190" s="134">
        <f>AL190*SQRT((R190/Q190)^2+(AG190/AF190)^2)</f>
        <v>3.6065792936175217E-3</v>
      </c>
      <c r="AN190" s="18">
        <f>AL190*1/((AN189+AN191)/2)</f>
        <v>2.1568443044309946</v>
      </c>
      <c r="AO190" s="130">
        <f>AN190*SQRT((R190/Q190)^2+(AG190/AF190)^2)</f>
        <v>3.6188175243537933E-3</v>
      </c>
      <c r="AP190" s="18">
        <f>ThU_Alter_Kombi(AN190,U190)</f>
        <v>281.93939999999998</v>
      </c>
      <c r="AQ190" s="18">
        <f t="shared" ref="AQ190:AQ191" si="1017">Montealter(AN190,AO190,U190,V190)</f>
        <v>1.5940000000000001</v>
      </c>
      <c r="AR190" s="155">
        <f>(AQ190/AP190)</f>
        <v>5.6536972129471799E-3</v>
      </c>
      <c r="AS190" s="132">
        <f t="shared" ref="AS190:AS191" si="1018">Z190/Q190</f>
        <v>1.000862151494586E-4</v>
      </c>
      <c r="AT190" s="132">
        <f t="shared" ref="AT190:AT191" si="1019">AS190*SQRT((Y190/X190)^2+(P190/O190)^2)</f>
        <v>2.0241650153596703E-7</v>
      </c>
      <c r="AU190" s="18">
        <v>0.75</v>
      </c>
      <c r="AV190" s="18">
        <f>AU190/2</f>
        <v>0.375</v>
      </c>
      <c r="AW190" s="18">
        <f t="shared" ref="AW190:AW191" si="1020">marincorr_age(AN190,U190,AS190,AU190)</f>
        <v>281.93689999999998</v>
      </c>
      <c r="AX190" s="136">
        <f t="shared" ref="AX190:AX191" si="1021">marincorr_age_error(AN190, AO190, U190, V190, AS190, AT190, AU190, AV190)</f>
        <v>1.7934519872000001</v>
      </c>
      <c r="AY190" s="136">
        <f t="shared" ref="AY190:AY191" si="1022">SQRT(((AU190*EXP(-0.0000091577*AW190*1000))/(0.0000091577*(EXP(-0.0000091577*AW190*1000)+(AJ190/1000)*EXP(-(0.0000091577-0.0000028263)*AW190*1000)-AS190*AU190*EXP(-0.0000091577*AW190*1000))))^2*AT190^2+((AS190*EXP(-0.0000091577*AW190*1000))/(0.0000091577*(EXP(-0.0000091577*AW190*1000)+(AJ190/1000)*EXP(-(0.0000091577-0.0000028263)*AW190*1000)-AS190*AU190*EXP(-0.0000091577*AW190*1000))))^2*AV190^2+((0.0000091577/(0.0000091577-0.0000028263))*(EXP(-(0.0000091577-0.0000028263)*AW190*1000)-1)/(0.0000091577*(EXP(-0.0000091577*AW190*1000)+(AJ190/1000)*EXP(-(0.0000091577-0.0000028263)*AW190*1000)-AS190*AU190*EXP(-0.0000091577*AW190*1000))))^2*T190^2+(1/(0.0000091577*(EXP(-0.0000091577*AW190*1000)+(AJ190/1000)*EXP(-(0.0000091577-0.0000028263)*AW190*1000)-AS190*AU190*EXP(-0.0000091577*AW190*1000))))^2*AO190^2)/1000</f>
        <v>1.7438190699347138</v>
      </c>
      <c r="AZ190" s="155">
        <f t="shared" ref="AZ190:AZ191" si="1023">AX190/AW190</f>
        <v>6.3611821907667999E-3</v>
      </c>
      <c r="BA190" s="18" t="str">
        <f>Input!B190</f>
        <v>M514-44B-651,5</v>
      </c>
      <c r="BB190" s="137">
        <f>Input!E190</f>
        <v>651.5</v>
      </c>
      <c r="BC190" s="18">
        <f>((U190-1)*EXP(Constants!$B$17*AW190*1000))*1000</f>
        <v>2269.0490984179064</v>
      </c>
      <c r="BD190" s="133">
        <f>SQRT((EXP(Constants!$B$17*AW190*1000)*V190)^2+((U190-1)*Constants!$B$17*EXP(Constants!$B$17*AW190*1000)*AY190*1000)^2)*1000</f>
        <v>11.541532301649662</v>
      </c>
      <c r="BE190" s="18">
        <f t="shared" ref="BE190:BE191" si="1024">AW190*1000-58</f>
        <v>281878.89999999997</v>
      </c>
      <c r="BF190" s="138">
        <f t="shared" ref="BF190:BF191" si="1025">AY190/2*1000</f>
        <v>871.90953496735688</v>
      </c>
      <c r="BG190" s="20">
        <f t="shared" ref="BG190:BG191" si="1026">AY190/AW190*100</f>
        <v>0.6185139546950803</v>
      </c>
      <c r="BH190" s="18"/>
      <c r="BI190" s="18"/>
      <c r="BJ190" s="18"/>
      <c r="BK190" s="18"/>
      <c r="BL190" s="18"/>
      <c r="BM190" s="18"/>
      <c r="BN190" s="160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9">
        <f>Input!A191</f>
        <v>10815</v>
      </c>
      <c r="B191" s="139" t="str">
        <f>Input!B191</f>
        <v>Hu1-13</v>
      </c>
      <c r="C191" s="139">
        <f>Input!O191</f>
        <v>2.0944504408713631</v>
      </c>
      <c r="D191" s="139">
        <f>C191*Input!P191/100</f>
        <v>1.6489036290053428E-2</v>
      </c>
      <c r="E191" s="140">
        <f>Input!M191</f>
        <v>2.7325222830302236</v>
      </c>
      <c r="F191" s="141">
        <f>E191*Input!N191/100</f>
        <v>3.1324295456161251E-4</v>
      </c>
      <c r="G191" s="142">
        <f t="shared" ref="G191" si="1027">E191*137.88</f>
        <v>376.76017238420724</v>
      </c>
      <c r="H191" s="141">
        <f>G191*Input!L191/100</f>
        <v>2.8536583846880608E-2</v>
      </c>
      <c r="I191" s="139">
        <v>0</v>
      </c>
      <c r="J191" s="143">
        <f>(((C191*Constants!$B$24*0.000000001*Input!G191*(Constants!$B$4/Constants!$B$3))-(I191*0.000000000000001))/Input!F191)*1000000000000</f>
        <v>756.17524045683592</v>
      </c>
      <c r="K191" s="139">
        <f>J191*Input!P191/100</f>
        <v>5.9531611434765113</v>
      </c>
      <c r="L191" s="144">
        <f>(J191/Constants!$B$4)*602200000000*Constants!$B$17/(365.2425*24*60)</f>
        <v>10.439838787097507</v>
      </c>
      <c r="M191" s="145">
        <f>L191*Input!P191/100</f>
        <v>8.2189999468853914E-2</v>
      </c>
      <c r="N191" s="139">
        <v>0</v>
      </c>
      <c r="O191" s="143">
        <f>(((G191*Constants!$B$23*0.000000001*Input!G191*(Constants!$B$7/Constants!$B$6))-(N191*0.000000001))/Input!F191)*1000000</f>
        <v>13.702469755749265</v>
      </c>
      <c r="P191" s="139">
        <f>O191*Input!N191/100</f>
        <v>1.5707839375136623E-3</v>
      </c>
      <c r="Q191" s="146">
        <f>(O191/Constants!$B$7)*602200000000000000*Constants!$B$18/(365.2425*24*60)</f>
        <v>10.223697127023403</v>
      </c>
      <c r="R191" s="147">
        <f>Q191*Input!N191/100</f>
        <v>1.1719945028446299E-3</v>
      </c>
      <c r="S191" s="145">
        <f>Input!S191*Constants!$B$17/Constants!$B$18</f>
        <v>1.0008337935479481</v>
      </c>
      <c r="T191" s="139">
        <f>S191*Input!T191/100</f>
        <v>1.507226186989428E-3</v>
      </c>
      <c r="U191" s="145">
        <f>S191</f>
        <v>1.0008337935479481</v>
      </c>
      <c r="V191" s="139">
        <f>U191*Input!T191/100</f>
        <v>1.507226186989428E-3</v>
      </c>
      <c r="W191" s="148">
        <v>0</v>
      </c>
      <c r="X191" s="143">
        <f>(((Constants!$B$25*0.000000001*Input!G191/Input!W191*(Constants!$B$11/Constants!$B$9))-(W191*0.000000001))/Input!F191)*1000000000</f>
        <v>0.99780494270094244</v>
      </c>
      <c r="Y191" s="143">
        <f>X191*Input!X191/100</f>
        <v>3.6671324003755119E-3</v>
      </c>
      <c r="Z191" s="143">
        <f>(X191/Constants!$B$11)*6.022E+23*0.000000001*Constants!$B$19/(365.2425*24*60)</f>
        <v>2.4359644428065377E-4</v>
      </c>
      <c r="AA191" s="143">
        <f>Z191*Input!X191/100</f>
        <v>8.9526557266773267E-7</v>
      </c>
      <c r="AB191" s="144">
        <v>0</v>
      </c>
      <c r="AC191" s="144">
        <v>0</v>
      </c>
      <c r="AD191" s="143">
        <f>(((Input!G191*Constants!$B$25*0.000000001*Input!U191*(Constants!$B$10/Constants!$B$9))-((AB191*0.000000000000001)+(Input!G191*AC191*0.000000000000001)))/Input!F191)*1000000000000</f>
        <v>223.22210737262989</v>
      </c>
      <c r="AE191" s="143">
        <f>AD191*Input!V191/100</f>
        <v>0.80296009936504276</v>
      </c>
      <c r="AF191" s="143">
        <f>(AD191/Constants!$B$10)*602200000000*Constants!$B$16/(365.2425*24*60)</f>
        <v>10.189122307050789</v>
      </c>
      <c r="AG191" s="143">
        <f>AF191*Input!V191/100</f>
        <v>3.6651650485740532E-2</v>
      </c>
      <c r="AH191" s="139">
        <f t="shared" ref="AH191" si="1028">AF191/Z191</f>
        <v>41827.877812993189</v>
      </c>
      <c r="AI191" s="148">
        <f t="shared" ref="AI191" si="1029">AH191*SQRT((AG191/AF191)^2+(AA191/Z191)^2)</f>
        <v>215.10461182878132</v>
      </c>
      <c r="AJ191" s="145">
        <f t="shared" si="1016"/>
        <v>0.8337935479481029</v>
      </c>
      <c r="AK191" s="148">
        <f t="shared" ref="AK191" si="1030">V191*1000</f>
        <v>1.5072261869894281</v>
      </c>
      <c r="AL191" s="148">
        <f t="shared" ref="AL191" si="1031">AF191/Q191</f>
        <v>0.99661816859957397</v>
      </c>
      <c r="AM191" s="148">
        <f t="shared" ref="AM191" si="1032">AL191*SQRT((R191/Q191)^2+(AG191/AF191)^2)</f>
        <v>3.5867902747554205E-3</v>
      </c>
      <c r="AN191" s="139">
        <f>AF191/Q191</f>
        <v>0.99661816859957397</v>
      </c>
      <c r="AO191" s="143">
        <f t="shared" ref="AO191" si="1033">AN191*SQRT((R191/Q191)^2+(AG191/AF191)^2)</f>
        <v>3.5867902747554205E-3</v>
      </c>
      <c r="AP191" s="139">
        <f t="shared" ref="AP191" si="1034">ThU_Alter_Kombi(AN191,U191)</f>
        <v>587.86400000000003</v>
      </c>
      <c r="AQ191" s="139" t="e">
        <f t="shared" si="1017"/>
        <v>#VALUE!</v>
      </c>
      <c r="AR191" s="139" t="e">
        <f>(AQ191/AP191)*100</f>
        <v>#VALUE!</v>
      </c>
      <c r="AS191" s="147">
        <f t="shared" si="1018"/>
        <v>2.3826649132316003E-5</v>
      </c>
      <c r="AT191" s="147">
        <f t="shared" si="1019"/>
        <v>8.7610280579726487E-8</v>
      </c>
      <c r="AU191" s="139">
        <v>0.75</v>
      </c>
      <c r="AV191" s="139">
        <f t="shared" ref="AV191" si="1035">AU191/2</f>
        <v>0.375</v>
      </c>
      <c r="AW191" s="139">
        <f t="shared" si="1020"/>
        <v>587.86199999999997</v>
      </c>
      <c r="AX191" s="149">
        <f t="shared" si="1021"/>
        <v>236.88949971619999</v>
      </c>
      <c r="AY191" s="149">
        <f t="shared" si="1022"/>
        <v>98.737794649536625</v>
      </c>
      <c r="AZ191" s="150">
        <f t="shared" si="1023"/>
        <v>0.40296787292970121</v>
      </c>
      <c r="BA191" s="139" t="str">
        <f>Input!B191</f>
        <v>Hu1-13</v>
      </c>
      <c r="BB191" s="151">
        <f>Input!E191</f>
        <v>0</v>
      </c>
      <c r="BC191" s="139">
        <f>((U191-1)*EXP(Constants!$B$17*AW191*1000))*1000</f>
        <v>4.380716887872758</v>
      </c>
      <c r="BD191" s="145">
        <f>SQRT((EXP(Constants!$B$17*AW191*1000)*V191)^2+((U191-1)*Constants!$B$17*EXP(Constants!$B$17*AW191*1000)*AY191*1000)^2)*1000</f>
        <v>8.0124312906804089</v>
      </c>
      <c r="BE191" s="139">
        <f t="shared" si="1024"/>
        <v>587804</v>
      </c>
      <c r="BF191" s="152">
        <f t="shared" si="1025"/>
        <v>49368.89732476831</v>
      </c>
      <c r="BG191" s="161">
        <f t="shared" si="1026"/>
        <v>16.796083885254809</v>
      </c>
      <c r="BH191" s="139"/>
      <c r="BI191" s="18"/>
      <c r="BJ191" s="18"/>
      <c r="BK191" s="18"/>
      <c r="BL191" s="18"/>
      <c r="BM191" s="18"/>
      <c r="BN191" s="160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3" spans="1:110" ht="15" customHeight="1" x14ac:dyDescent="0.2">
      <c r="A193" s="139">
        <f>Input!A193</f>
        <v>10815</v>
      </c>
      <c r="B193" s="139" t="str">
        <f>Input!B193</f>
        <v>Hu1-13</v>
      </c>
      <c r="C193" s="139">
        <f>Input!O193</f>
        <v>2.072008777125685</v>
      </c>
      <c r="D193" s="139">
        <f>C193*Input!P193/100</f>
        <v>2.464255048823261E-2</v>
      </c>
      <c r="E193" s="140">
        <f>Input!M193</f>
        <v>2.7316334114941512</v>
      </c>
      <c r="F193" s="141">
        <f>E193*Input!N193/100</f>
        <v>4.7712999003161888E-4</v>
      </c>
      <c r="G193" s="142">
        <f t="shared" ref="G193" si="1036">E193*137.88</f>
        <v>376.63761477681356</v>
      </c>
      <c r="H193" s="141">
        <f>G193*Input!L193/100</f>
        <v>0.12443785519717039</v>
      </c>
      <c r="I193" s="139">
        <v>0</v>
      </c>
      <c r="J193" s="143">
        <f>(((C193*Constants!$B$24*0.000000001*Input!G193*(Constants!$B$4/Constants!$B$3))-(I193*0.000000000000001))/Input!F193)*1000000000000</f>
        <v>748.07295732423529</v>
      </c>
      <c r="K193" s="139">
        <f>J193*Input!P193/100</f>
        <v>8.8968858738698984</v>
      </c>
      <c r="L193" s="144">
        <f>(J193/Constants!$B$4)*602200000000*Constants!$B$17/(365.2425*24*60)</f>
        <v>10.327977772366758</v>
      </c>
      <c r="M193" s="145">
        <f>L193*Input!P193/100</f>
        <v>0.12283138783318676</v>
      </c>
      <c r="N193" s="139">
        <v>0</v>
      </c>
      <c r="O193" s="143">
        <f>(((G193*Constants!$B$23*0.000000001*Input!G193*(Constants!$B$7/Constants!$B$6))-(N193*0.000000001))/Input!F193)*1000000</f>
        <v>13.698012432412721</v>
      </c>
      <c r="P193" s="139">
        <f>O193*Input!N193/100</f>
        <v>2.3926096773560666E-3</v>
      </c>
      <c r="Q193" s="146">
        <f>(O193/Constants!$B$7)*602200000000000000*Constants!$B$18/(365.2425*24*60)</f>
        <v>10.220371425554811</v>
      </c>
      <c r="R193" s="147">
        <f>Q193*Input!N193/100</f>
        <v>1.7851757471831064E-3</v>
      </c>
      <c r="S193" s="145">
        <f>Input!S193*Constants!$B$17/Constants!$B$18</f>
        <v>0.99899291460056927</v>
      </c>
      <c r="T193" s="139">
        <f>S193*Input!T193/100</f>
        <v>2.4575280175253662E-3</v>
      </c>
      <c r="U193" s="145">
        <f>S193</f>
        <v>0.99899291460056927</v>
      </c>
      <c r="V193" s="139">
        <f>U193*Input!T193/100</f>
        <v>2.4575280175253662E-3</v>
      </c>
      <c r="W193" s="148">
        <v>0</v>
      </c>
      <c r="X193" s="143">
        <f>(((Constants!$B$25*0.000000001*Input!G193/Input!W193*(Constants!$B$11/Constants!$B$9))-(W193*0.000000001))/Input!F193)*1000000000</f>
        <v>0.99621496370348195</v>
      </c>
      <c r="Y193" s="143">
        <f>X193*Input!X193/100</f>
        <v>1.1537317491767403E-2</v>
      </c>
      <c r="Z193" s="143">
        <f>(X193/Constants!$B$11)*6.022E+23*0.000000001*Constants!$B$19/(365.2425*24*60)</f>
        <v>2.4320827900537077E-4</v>
      </c>
      <c r="AA193" s="143">
        <f>Z193*Input!X193/100</f>
        <v>2.8166321865714249E-6</v>
      </c>
      <c r="AB193" s="144">
        <v>0</v>
      </c>
      <c r="AC193" s="144">
        <v>0</v>
      </c>
      <c r="AD193" s="143">
        <f>(((Input!G193*Constants!$B$25*0.000000001*Input!U193*(Constants!$B$10/Constants!$B$9))-((AB193*0.000000000000001)+(Input!G193*AC193*0.000000000000001)))/Input!F193)*1000000000000</f>
        <v>221.92945961255805</v>
      </c>
      <c r="AE193" s="143">
        <f>AD193*Input!V193/100</f>
        <v>1.8579953635732391</v>
      </c>
      <c r="AF193" s="143">
        <f>(AD193/Constants!$B$10)*602200000000*Constants!$B$16/(365.2425*24*60)</f>
        <v>10.130118535953329</v>
      </c>
      <c r="AG193" s="143">
        <f>AF193*Input!V193/100</f>
        <v>8.4809440374015013E-2</v>
      </c>
      <c r="AH193" s="139">
        <f t="shared" ref="AH193" si="1037">AF193/Z193</f>
        <v>41652.030010580464</v>
      </c>
      <c r="AI193" s="148">
        <f t="shared" ref="AI193" si="1038">AH193*SQRT((AG193/AF193)^2+(AA193/Z193)^2)</f>
        <v>595.2213893906486</v>
      </c>
      <c r="AJ193" s="145">
        <f t="shared" ref="AJ193:AJ205" si="1039">(U193-1)*1000</f>
        <v>-1.0070853994307294</v>
      </c>
      <c r="AK193" s="148">
        <f t="shared" ref="AK193" si="1040">V193*1000</f>
        <v>2.457528017525366</v>
      </c>
      <c r="AL193" s="148">
        <f t="shared" ref="AL193" si="1041">AF193/Q193</f>
        <v>0.99116931412337761</v>
      </c>
      <c r="AM193" s="148">
        <f t="shared" ref="AM193" si="1042">AL193*SQRT((R193/Q193)^2+(AG193/AF193)^2)</f>
        <v>8.2998839067137588E-3</v>
      </c>
      <c r="AN193" s="139">
        <f>AF193/Q193</f>
        <v>0.99116931412337761</v>
      </c>
      <c r="AO193" s="143">
        <f t="shared" ref="AO193" si="1043">AN193*SQRT((R193/Q193)^2+(AG193/AF193)^2)</f>
        <v>8.2998839067137588E-3</v>
      </c>
      <c r="AP193" s="139">
        <f t="shared" ref="AP193" si="1044">ThU_Alter_Kombi(AN193,U193)</f>
        <v>534.64229999999998</v>
      </c>
      <c r="AQ193" s="139" t="e">
        <f t="shared" ref="AQ193:AQ205" si="1045">Montealter(AN193,AO193,U193,V193)</f>
        <v>#VALUE!</v>
      </c>
      <c r="AR193" s="139" t="e">
        <f>(AQ193/AP193)*100</f>
        <v>#VALUE!</v>
      </c>
      <c r="AS193" s="147">
        <f t="shared" ref="AS193:AS205" si="1046">Z193/Q193</f>
        <v>2.3796422740298625E-5</v>
      </c>
      <c r="AT193" s="147">
        <f t="shared" ref="AT193:AT205" si="1047">AS193*SQRT((Y193/X193)^2+(P193/O193)^2)</f>
        <v>2.75621344997397E-7</v>
      </c>
      <c r="AU193" s="139">
        <v>0.75</v>
      </c>
      <c r="AV193" s="139">
        <f t="shared" ref="AV193" si="1048">AU193/2</f>
        <v>0.375</v>
      </c>
      <c r="AW193" s="139">
        <f t="shared" ref="AW193:AW205" si="1049">marincorr_age(AN193,U193,AS193,AU193)</f>
        <v>534.64030000000002</v>
      </c>
      <c r="AX193" s="149">
        <f t="shared" ref="AX193:AX205" si="1050">marincorr_age_error(AN193, AO193, U193, V193, AS193, AT193, AU193, AV193)</f>
        <v>249.07572539660001</v>
      </c>
      <c r="AY193" s="149">
        <f t="shared" ref="AY193:AY205" si="1051">SQRT(((AU193*EXP(-0.0000091577*AW193*1000))/(0.0000091577*(EXP(-0.0000091577*AW193*1000)+(AJ193/1000)*EXP(-(0.0000091577-0.0000028263)*AW193*1000)-AS193*AU193*EXP(-0.0000091577*AW193*1000))))^2*AT193^2+((AS193*EXP(-0.0000091577*AW193*1000))/(0.0000091577*(EXP(-0.0000091577*AW193*1000)+(AJ193/1000)*EXP(-(0.0000091577-0.0000028263)*AW193*1000)-AS193*AU193*EXP(-0.0000091577*AW193*1000))))^2*AV193^2+((0.0000091577/(0.0000091577-0.0000028263))*(EXP(-(0.0000091577-0.0000028263)*AW193*1000)-1)/(0.0000091577*(EXP(-0.0000091577*AW193*1000)+(AJ193/1000)*EXP(-(0.0000091577-0.0000028263)*AW193*1000)-AS193*AU193*EXP(-0.0000091577*AW193*1000))))^2*T193^2+(1/(0.0000091577*(EXP(-0.0000091577*AW193*1000)+(AJ193/1000)*EXP(-(0.0000091577-0.0000028263)*AW193*1000)-AS193*AU193*EXP(-0.0000091577*AW193*1000))))^2*AO193^2)/1000</f>
        <v>131.80535427321166</v>
      </c>
      <c r="AZ193" s="150">
        <f t="shared" ref="AZ193:AZ205" si="1052">AX193/AW193</f>
        <v>0.46587532850890589</v>
      </c>
      <c r="BA193" s="139" t="str">
        <f>Input!B193</f>
        <v>Hu1-13</v>
      </c>
      <c r="BB193" s="151">
        <f>Input!E193</f>
        <v>0</v>
      </c>
      <c r="BC193" s="139">
        <f>((U193-1)*EXP(Constants!$B$17*AW193*1000))*1000</f>
        <v>-4.5532780355953442</v>
      </c>
      <c r="BD193" s="145">
        <f>SQRT((EXP(Constants!$B$17*AW193*1000)*V193)^2+((U193-1)*Constants!$B$17*EXP(Constants!$B$17*AW193*1000)*AY193*1000)^2)*1000</f>
        <v>11.239421179934928</v>
      </c>
      <c r="BE193" s="139">
        <f t="shared" ref="BE193:BE205" si="1053">AW193*1000-58</f>
        <v>534582.30000000005</v>
      </c>
      <c r="BF193" s="152">
        <f t="shared" ref="BF193:BF205" si="1054">AY193/2*1000</f>
        <v>65902.677136605838</v>
      </c>
      <c r="BG193" s="161">
        <f t="shared" ref="BG193:BG205" si="1055">AY193/AW193*100</f>
        <v>24.653089988392505</v>
      </c>
      <c r="BH193" s="139"/>
      <c r="BI193" s="18"/>
      <c r="BJ193" s="18"/>
      <c r="BK193" s="18"/>
      <c r="BL193" s="18"/>
      <c r="BM193" s="18"/>
      <c r="BN193" s="160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4" spans="1:110" ht="15" customHeight="1" x14ac:dyDescent="0.2">
      <c r="A194" s="18">
        <f>Input!A194</f>
        <v>11094</v>
      </c>
      <c r="B194" s="18" t="str">
        <f>Input!B194</f>
        <v>M43-401-14-68</v>
      </c>
      <c r="C194" s="18">
        <f>Input!O194</f>
        <v>4.6519849680344398</v>
      </c>
      <c r="D194" s="18">
        <f>C194*Input!P194/100</f>
        <v>1.4838141825972239E-2</v>
      </c>
      <c r="E194" s="153">
        <f>Input!M194</f>
        <v>3.1628266352702399</v>
      </c>
      <c r="F194" s="154">
        <f>E194*Input!N194/100</f>
        <v>1.748805975015174E-4</v>
      </c>
      <c r="G194" s="21">
        <f>E194*137.88</f>
        <v>436.09053647106066</v>
      </c>
      <c r="H194" s="154">
        <f>G194*Input!L194/100</f>
        <v>5.5330001676235856E-2</v>
      </c>
      <c r="I194" s="18">
        <v>0.3</v>
      </c>
      <c r="J194" s="130">
        <f>(((C194*Constants!$B$24*0.000000001*Input!G194*(Constants!$B$4/Constants!$B$3))-(I194*0.000000000000001))/Input!F194)*1000000000000</f>
        <v>80.200861837831184</v>
      </c>
      <c r="K194" s="18">
        <f>J194*Input!P194/100</f>
        <v>0.25581160960151528</v>
      </c>
      <c r="L194" s="135">
        <f>(J194/Constants!$B$4)*602200000000*Constants!$B$17/(365.2425*24*60)</f>
        <v>1.1072619458783142</v>
      </c>
      <c r="M194" s="133">
        <f>L194*Input!P194/100</f>
        <v>3.5317633019752246E-3</v>
      </c>
      <c r="N194" s="18">
        <v>5.0000000000000001E-3</v>
      </c>
      <c r="O194" s="130">
        <f>(((G194*Constants!$B$23*0.000000001*Input!G194*(Constants!$B$7/Constants!$B$6))-(N194*0.000000001))/Input!F194)*1000000</f>
        <v>0.75734436056958376</v>
      </c>
      <c r="P194" s="18">
        <f>O194*Input!N194/100</f>
        <v>4.1875464438630866E-5</v>
      </c>
      <c r="Q194" s="131">
        <f>(O194/Constants!$B$7)*602200000000000000*Constants!$B$18/(365.2425*24*60)</f>
        <v>0.56507034872847584</v>
      </c>
      <c r="R194" s="132">
        <f>Q194*Input!N194/100</f>
        <v>3.1244153288086639E-5</v>
      </c>
      <c r="S194" s="133">
        <f>Input!S194*Constants!$B$17/Constants!$B$18</f>
        <v>1.931065827215624</v>
      </c>
      <c r="T194" s="18">
        <f>S194*Input!T194/100</f>
        <v>9.2626223224364355E-4</v>
      </c>
      <c r="U194" s="18">
        <f>S194*1/((U193+U195)/2)</f>
        <v>1.9329625054306578</v>
      </c>
      <c r="V194" s="18">
        <f>U194*Input!T194/100</f>
        <v>9.2717199998565685E-4</v>
      </c>
      <c r="W194" s="134">
        <v>3.0000000000000001E-3</v>
      </c>
      <c r="X194" s="130">
        <f>(((Constants!$B$25*0.000000001*Input!G194/Input!W194*(Constants!$B$11/Constants!$B$9)-(W194*0.000000001))/Input!F194)*1000000000)</f>
        <v>6.1532982927926284E-2</v>
      </c>
      <c r="Y194" s="130">
        <f>X194*Input!X194/100</f>
        <v>1.5648018787489245E-4</v>
      </c>
      <c r="Z194" s="130">
        <f>(X194/Constants!$B$11)*6.022E+23*0.000000001*Constants!$B$19/(365.2425*24*60)</f>
        <v>1.5022190415945371E-5</v>
      </c>
      <c r="AA194" s="130">
        <f>Z194*Input!X194/100</f>
        <v>3.8201872666125926E-8</v>
      </c>
      <c r="AB194" s="135">
        <v>0.05</v>
      </c>
      <c r="AC194" s="135">
        <v>0</v>
      </c>
      <c r="AD194" s="130">
        <f>(((Input!G194*Constants!$B$25*0.000000001*Input!U194*(Constants!$B$10/Constants!$B$9))-((AB194*0.000000000000001)+(Input!G194*AC194*0.000000000000001)))/Input!F194)*1000000000000</f>
        <v>23.221436681186166</v>
      </c>
      <c r="AE194" s="130">
        <f>AD194*Input!V194/100</f>
        <v>3.6387245977612316E-2</v>
      </c>
      <c r="AF194" s="130">
        <f>(AD194/Constants!$B$10)*602200000000*Constants!$B$16/(365.2425*24*60)</f>
        <v>1.0599580000159632</v>
      </c>
      <c r="AG194" s="130">
        <f>AF194*Input!V194/100</f>
        <v>1.6609201662258532E-3</v>
      </c>
      <c r="AH194" s="18">
        <f>AF194/Z194</f>
        <v>70559.483714895934</v>
      </c>
      <c r="AI194" s="134">
        <f>AH194*SQRT((AG194/AF194)^2+(AA194/Z194)^2)</f>
        <v>210.76375513208981</v>
      </c>
      <c r="AJ194" s="133">
        <f t="shared" si="1039"/>
        <v>932.96250543065787</v>
      </c>
      <c r="AK194" s="134">
        <f>V194*1000</f>
        <v>0.9271719999856568</v>
      </c>
      <c r="AL194" s="134">
        <f>AF194/Q194</f>
        <v>1.8757983008683539</v>
      </c>
      <c r="AM194" s="134">
        <f>AL194*SQRT((R194/Q194)^2+(AG194/AF194)^2)</f>
        <v>2.9411450685763855E-3</v>
      </c>
      <c r="AN194" s="18">
        <f>AL194*1/((AN193+AN195)/2)</f>
        <v>1.8834540662469603</v>
      </c>
      <c r="AO194" s="130">
        <f>AN194*SQRT((R194/Q194)^2+(AG194/AF194)^2)</f>
        <v>2.9531488733452898E-3</v>
      </c>
      <c r="AP194" s="18">
        <f>ThU_Alter_Kombi(AN194,U194)</f>
        <v>220.66069999999999</v>
      </c>
      <c r="AQ194" s="18">
        <f t="shared" si="1045"/>
        <v>0.88260000000000005</v>
      </c>
      <c r="AR194" s="155">
        <f>(AQ194/AP194)</f>
        <v>3.9998060370514555E-3</v>
      </c>
      <c r="AS194" s="132">
        <f t="shared" si="1046"/>
        <v>2.6584637558400257E-5</v>
      </c>
      <c r="AT194" s="132">
        <f t="shared" si="1047"/>
        <v>6.7621494588459238E-8</v>
      </c>
      <c r="AU194" s="18">
        <v>0.75</v>
      </c>
      <c r="AV194" s="18">
        <f>AU194/2</f>
        <v>0.375</v>
      </c>
      <c r="AW194" s="18">
        <f t="shared" si="1049"/>
        <v>220.65989999999999</v>
      </c>
      <c r="AX194" s="136">
        <f t="shared" si="1050"/>
        <v>0.88627233999999999</v>
      </c>
      <c r="AY194" s="136">
        <f t="shared" si="1051"/>
        <v>0.93797569202589837</v>
      </c>
      <c r="AZ194" s="155">
        <f t="shared" si="1052"/>
        <v>4.0164630728102392E-3</v>
      </c>
      <c r="BA194" s="18" t="str">
        <f>Input!B194</f>
        <v>M43-401-14-68</v>
      </c>
      <c r="BB194" s="137">
        <f>Input!E194</f>
        <v>68</v>
      </c>
      <c r="BC194" s="18">
        <f>((U194-1)*EXP(Constants!$B$17*AW194*1000))*1000</f>
        <v>1739.0260434140296</v>
      </c>
      <c r="BD194" s="133">
        <f>SQRT((EXP(Constants!$B$17*AW194*1000)*V194)^2+((U194-1)*Constants!$B$17*EXP(Constants!$B$17*AW194*1000)*AY194*1000)^2)*1000</f>
        <v>4.9169741995556864</v>
      </c>
      <c r="BE194" s="18">
        <f t="shared" si="1053"/>
        <v>220601.9</v>
      </c>
      <c r="BF194" s="138">
        <f t="shared" si="1054"/>
        <v>468.98784601294921</v>
      </c>
      <c r="BG194" s="20">
        <f t="shared" si="1055"/>
        <v>0.42507754785799251</v>
      </c>
      <c r="BH194" s="18"/>
      <c r="BI194" s="18"/>
      <c r="BJ194" s="18"/>
      <c r="BK194" s="18"/>
      <c r="BL194" s="18"/>
      <c r="BM194" s="18"/>
      <c r="BN194" s="160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</row>
    <row r="195" spans="1:110" ht="15" customHeight="1" x14ac:dyDescent="0.2">
      <c r="A195" s="139">
        <f>Input!A195</f>
        <v>10815</v>
      </c>
      <c r="B195" s="139" t="str">
        <f>Input!B195</f>
        <v>Hu1-13</v>
      </c>
      <c r="C195" s="139">
        <f>Input!O195</f>
        <v>2.0903831173641962</v>
      </c>
      <c r="D195" s="139">
        <f>C195*Input!P195/100</f>
        <v>1.9628406500726895E-2</v>
      </c>
      <c r="E195" s="140">
        <f>Input!M195</f>
        <v>2.7320451164163324</v>
      </c>
      <c r="F195" s="141">
        <f>E195*Input!N195/100</f>
        <v>4.27739549760954E-4</v>
      </c>
      <c r="G195" s="142">
        <f t="shared" ref="G195" si="1056">E195*137.88</f>
        <v>376.69438065148393</v>
      </c>
      <c r="H195" s="141">
        <f>G195*Input!L195/100</f>
        <v>6.7156050265863965E-2</v>
      </c>
      <c r="I195" s="139">
        <v>0</v>
      </c>
      <c r="J195" s="143">
        <f>(((C195*Constants!$B$24*0.000000001*Input!G195*(Constants!$B$4/Constants!$B$3))-(I195*0.000000000000001))/Input!F195)*1000000000000</f>
        <v>754.70678397248571</v>
      </c>
      <c r="K195" s="139">
        <f>J195*Input!P195/100</f>
        <v>7.0865916499302246</v>
      </c>
      <c r="L195" s="144">
        <f>(J195/Constants!$B$4)*602200000000*Constants!$B$17/(365.2425*24*60)</f>
        <v>10.419565114882026</v>
      </c>
      <c r="M195" s="145">
        <f>L195*Input!P195/100</f>
        <v>9.7838266075158498E-2</v>
      </c>
      <c r="N195" s="139">
        <v>0</v>
      </c>
      <c r="O195" s="143">
        <f>(((G195*Constants!$B$23*0.000000001*Input!G195*(Constants!$B$7/Constants!$B$6))-(N195*0.000000001))/Input!F195)*1000000</f>
        <v>13.700076962418391</v>
      </c>
      <c r="P195" s="139">
        <f>O195*Input!N195/100</f>
        <v>2.1449370350376945E-3</v>
      </c>
      <c r="Q195" s="146">
        <f>(O195/Constants!$B$7)*602200000000000000*Constants!$B$18/(365.2425*24*60)</f>
        <v>10.221911814248518</v>
      </c>
      <c r="R195" s="147">
        <f>Q195*Input!N195/100</f>
        <v>1.6003820474451297E-3</v>
      </c>
      <c r="S195" s="145">
        <f>Input!S195*Constants!$B$17/Constants!$B$18</f>
        <v>0.99904462807322303</v>
      </c>
      <c r="T195" s="139">
        <f>S195*Input!T195/100</f>
        <v>2.0106992412102058E-3</v>
      </c>
      <c r="U195" s="145">
        <f>S195</f>
        <v>0.99904462807322303</v>
      </c>
      <c r="V195" s="139">
        <f>U195*Input!T195/100</f>
        <v>2.0106992412102058E-3</v>
      </c>
      <c r="W195" s="148">
        <v>0</v>
      </c>
      <c r="X195" s="143">
        <f>(((Constants!$B$25*0.000000001*Input!G195/Input!W195*(Constants!$B$11/Constants!$B$9))-(W195*0.000000001))/Input!F195)*1000000000</f>
        <v>0.99615882823075641</v>
      </c>
      <c r="Y195" s="143">
        <f>X195*Input!X195/100</f>
        <v>8.3092324122060329E-3</v>
      </c>
      <c r="Z195" s="143">
        <f>(X195/Constants!$B$11)*6.022E+23*0.000000001*Constants!$B$19/(365.2425*24*60)</f>
        <v>2.4319457452168981E-4</v>
      </c>
      <c r="AA195" s="143">
        <f>Z195*Input!X195/100</f>
        <v>2.0285522587570532E-6</v>
      </c>
      <c r="AB195" s="144">
        <v>0</v>
      </c>
      <c r="AC195" s="144">
        <v>0</v>
      </c>
      <c r="AD195" s="143">
        <f>(((Input!G195*Constants!$B$25*0.000000001*Input!U195*(Constants!$B$10/Constants!$B$9))-((AB195*0.000000000000001)+(Input!G195*AC195*0.000000000000001)))/Input!F195)*1000000000000</f>
        <v>224.09748104962077</v>
      </c>
      <c r="AE195" s="143">
        <f>AD195*Input!V195/100</f>
        <v>0.89274873492147921</v>
      </c>
      <c r="AF195" s="143">
        <f>(AD195/Constants!$B$10)*602200000000*Constants!$B$16/(365.2425*24*60)</f>
        <v>10.229079323693158</v>
      </c>
      <c r="AG195" s="143">
        <f>AF195*Input!V195/100</f>
        <v>4.0750112776218463E-2</v>
      </c>
      <c r="AH195" s="139">
        <f t="shared" ref="AH195" si="1057">AF195/Z195</f>
        <v>42061.297394530717</v>
      </c>
      <c r="AI195" s="148">
        <f t="shared" ref="AI195" si="1058">AH195*SQRT((AG195/AF195)^2+(AA195/Z195)^2)</f>
        <v>388.80455881559033</v>
      </c>
      <c r="AJ195" s="145">
        <f t="shared" si="1039"/>
        <v>-0.95537192677697114</v>
      </c>
      <c r="AK195" s="148">
        <f t="shared" ref="AK195" si="1059">V195*1000</f>
        <v>2.0106992412102058</v>
      </c>
      <c r="AL195" s="148">
        <f t="shared" ref="AL195" si="1060">AF195/Q195</f>
        <v>1.000701190694548</v>
      </c>
      <c r="AM195" s="148">
        <f t="shared" ref="AM195" si="1061">AL195*SQRT((R195/Q195)^2+(AG195/AF195)^2)</f>
        <v>3.989622628333485E-3</v>
      </c>
      <c r="AN195" s="139">
        <f>AF195/Q195</f>
        <v>1.000701190694548</v>
      </c>
      <c r="AO195" s="143">
        <f t="shared" ref="AO195" si="1062">AN195*SQRT((R195/Q195)^2+(AG195/AF195)^2)</f>
        <v>3.989622628333485E-3</v>
      </c>
      <c r="AP195" s="139" t="str">
        <f t="shared" ref="AP195" si="1063">ThU_Alter_Kombi(AN195,U195)</f>
        <v>Out of range</v>
      </c>
      <c r="AQ195" s="139" t="e">
        <f t="shared" si="1045"/>
        <v>#VALUE!</v>
      </c>
      <c r="AR195" s="139" t="e">
        <f>(AQ195/AP195)*100</f>
        <v>#VALUE!</v>
      </c>
      <c r="AS195" s="147">
        <f t="shared" si="1046"/>
        <v>2.3791496047020896E-5</v>
      </c>
      <c r="AT195" s="147">
        <f t="shared" si="1047"/>
        <v>1.9848631042934264E-7</v>
      </c>
      <c r="AU195" s="139">
        <v>0.75</v>
      </c>
      <c r="AV195" s="139">
        <f t="shared" ref="AV195" si="1064">AU195/2</f>
        <v>0.375</v>
      </c>
      <c r="AW195" s="139" t="str">
        <f t="shared" si="1049"/>
        <v>Out of range</v>
      </c>
      <c r="AX195" s="149">
        <f t="shared" si="1050"/>
        <v>315.06256192720002</v>
      </c>
      <c r="AY195" s="149" t="e">
        <f t="shared" si="1051"/>
        <v>#VALUE!</v>
      </c>
      <c r="AZ195" s="150" t="e">
        <f t="shared" si="1052"/>
        <v>#VALUE!</v>
      </c>
      <c r="BA195" s="139" t="str">
        <f>Input!B195</f>
        <v>Hu1-13</v>
      </c>
      <c r="BB195" s="151">
        <f>Input!E195</f>
        <v>0</v>
      </c>
      <c r="BC195" s="139" t="e">
        <f>((U195-1)*EXP(Constants!$B$17*AW195*1000))*1000</f>
        <v>#VALUE!</v>
      </c>
      <c r="BD195" s="145" t="e">
        <f>SQRT((EXP(Constants!$B$17*AW195*1000)*V195)^2+((U195-1)*Constants!$B$17*EXP(Constants!$B$17*AW195*1000)*AY195*1000)^2)*1000</f>
        <v>#VALUE!</v>
      </c>
      <c r="BE195" s="139" t="e">
        <f t="shared" si="1053"/>
        <v>#VALUE!</v>
      </c>
      <c r="BF195" s="152" t="e">
        <f t="shared" si="1054"/>
        <v>#VALUE!</v>
      </c>
      <c r="BG195" s="161" t="e">
        <f t="shared" si="1055"/>
        <v>#VALUE!</v>
      </c>
      <c r="BH195" s="139"/>
      <c r="BI195" s="18"/>
      <c r="BJ195" s="18"/>
      <c r="BK195" s="18"/>
      <c r="BL195" s="18"/>
      <c r="BM195" s="18"/>
      <c r="BN195" s="160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11095</v>
      </c>
      <c r="B196" s="18" t="str">
        <f>Input!B196</f>
        <v>M43-401-14-152</v>
      </c>
      <c r="C196" s="18">
        <f>Input!O196</f>
        <v>4.4839299157472743</v>
      </c>
      <c r="D196" s="18">
        <f>C196*Input!P196/100</f>
        <v>1.4662633458284615E-2</v>
      </c>
      <c r="E196" s="153">
        <f>Input!M196</f>
        <v>2.9792591365349468</v>
      </c>
      <c r="F196" s="154">
        <f>E196*Input!N196/100</f>
        <v>1.6721138550670439E-4</v>
      </c>
      <c r="G196" s="21">
        <f>E196*137.88</f>
        <v>410.78024974543843</v>
      </c>
      <c r="H196" s="154">
        <f>G196*Input!L196/100</f>
        <v>3.5905574146187016E-2</v>
      </c>
      <c r="I196" s="18">
        <v>0.3</v>
      </c>
      <c r="J196" s="130">
        <f>(((C196*Constants!$B$24*0.000000001*Input!G196*(Constants!$B$4/Constants!$B$3))-(I196*0.000000000000001))/Input!F196)*1000000000000</f>
        <v>71.899077045065397</v>
      </c>
      <c r="K196" s="18">
        <f>J196*Input!P196/100</f>
        <v>0.23511291044009672</v>
      </c>
      <c r="L196" s="135">
        <f>(J196/Constants!$B$4)*602200000000*Constants!$B$17/(365.2425*24*60)</f>
        <v>0.99264658921933102</v>
      </c>
      <c r="M196" s="133">
        <f>L196*Input!P196/100</f>
        <v>3.2459947779789992E-3</v>
      </c>
      <c r="N196" s="18">
        <v>5.0000000000000001E-3</v>
      </c>
      <c r="O196" s="130">
        <f>(((G196*Constants!$B$23*0.000000001*Input!G196*(Constants!$B$7/Constants!$B$6))-(N196*0.000000001))/Input!F196)*1000000</f>
        <v>0.663513214988116</v>
      </c>
      <c r="P196" s="18">
        <f>O196*Input!N196/100</f>
        <v>3.7239783078825607E-5</v>
      </c>
      <c r="Q196" s="131">
        <f>(O196/Constants!$B$7)*602200000000000000*Constants!$B$18/(365.2425*24*60)</f>
        <v>0.49506098321945397</v>
      </c>
      <c r="R196" s="132">
        <f>Q196*Input!N196/100</f>
        <v>2.7785375195899888E-5</v>
      </c>
      <c r="S196" s="133">
        <f>Input!S196*Constants!$B$17/Constants!$B$18</f>
        <v>1.9938793528174283</v>
      </c>
      <c r="T196" s="18">
        <f>S196*Input!T196/100</f>
        <v>1.1494908442109669E-3</v>
      </c>
      <c r="U196" s="18">
        <f>S196*1/((U195+U197)/2)</f>
        <v>1.9942596234262882</v>
      </c>
      <c r="V196" s="18">
        <f>U196*Input!T196/100</f>
        <v>1.1497100739164099E-3</v>
      </c>
      <c r="W196" s="134">
        <v>3.0000000000000001E-3</v>
      </c>
      <c r="X196" s="130">
        <f>(((Constants!$B$25*0.000000001*Input!G196/Input!W196*(Constants!$B$11/Constants!$B$9)-(W196*0.000000001))/Input!F196)*1000000000)</f>
        <v>0.54859081298493018</v>
      </c>
      <c r="Y196" s="130">
        <f>X196*Input!X196/100</f>
        <v>1.2244206414893698E-3</v>
      </c>
      <c r="Z196" s="130">
        <f>(X196/Constants!$B$11)*6.022E+23*0.000000001*Constants!$B$19/(365.2425*24*60)</f>
        <v>1.3392875269431742E-4</v>
      </c>
      <c r="AA196" s="130">
        <f>Z196*Input!X196/100</f>
        <v>2.9892066255282325E-7</v>
      </c>
      <c r="AB196" s="135">
        <v>0.05</v>
      </c>
      <c r="AC196" s="135">
        <v>0</v>
      </c>
      <c r="AD196" s="130">
        <f>(((Input!G196*Constants!$B$25*0.000000001*Input!U196*(Constants!$B$10/Constants!$B$9))-((AB196*0.000000000000001)+(Input!G196*AC196*0.000000000000001)))/Input!F196)*1000000000000</f>
        <v>21.936381772336027</v>
      </c>
      <c r="AE196" s="130">
        <f>AD196*Input!V196/100</f>
        <v>4.5688932938874161E-2</v>
      </c>
      <c r="AF196" s="130">
        <f>(AD196/Constants!$B$10)*602200000000*Constants!$B$16/(365.2425*24*60)</f>
        <v>1.0013008096880684</v>
      </c>
      <c r="AG196" s="130">
        <f>AF196*Input!V196/100</f>
        <v>2.0855018854190359E-3</v>
      </c>
      <c r="AH196" s="18">
        <f>AF196/Z196</f>
        <v>7476.3692601055154</v>
      </c>
      <c r="AI196" s="134">
        <f>AH196*SQRT((AG196/AF196)^2+(AA196/Z196)^2)</f>
        <v>22.823840424706916</v>
      </c>
      <c r="AJ196" s="133">
        <f t="shared" si="1039"/>
        <v>994.25962342628816</v>
      </c>
      <c r="AK196" s="134">
        <f>V196*1000</f>
        <v>1.1497100739164099</v>
      </c>
      <c r="AL196" s="134">
        <f>AF196/Q196</f>
        <v>2.0225807398039386</v>
      </c>
      <c r="AM196" s="134">
        <f>AL196*SQRT((R196/Q196)^2+(AG196/AF196)^2)</f>
        <v>4.2141453409967255E-3</v>
      </c>
      <c r="AN196" s="18">
        <f>AL196*1/((AN195+AN197)/2)</f>
        <v>2.0223042439158392</v>
      </c>
      <c r="AO196" s="130">
        <f>AN196*SQRT((R196/Q196)^2+(AG196/AF196)^2)</f>
        <v>4.2135692483663018E-3</v>
      </c>
      <c r="AP196" s="18">
        <f>ThU_Alter_Kombi(AN196,U196)</f>
        <v>243.2884</v>
      </c>
      <c r="AQ196" s="18">
        <f t="shared" si="1045"/>
        <v>1.5398000000000001</v>
      </c>
      <c r="AR196" s="155">
        <f>(AQ196/AP196)</f>
        <v>6.3291139240506337E-3</v>
      </c>
      <c r="AS196" s="132">
        <f t="shared" si="1046"/>
        <v>2.7052980791045006E-4</v>
      </c>
      <c r="AT196" s="132">
        <f t="shared" si="1047"/>
        <v>6.0399661365591622E-7</v>
      </c>
      <c r="AU196" s="18">
        <v>0.75</v>
      </c>
      <c r="AV196" s="18">
        <f>AU196/2</f>
        <v>0.375</v>
      </c>
      <c r="AW196" s="18">
        <f t="shared" si="1049"/>
        <v>243.28100000000001</v>
      </c>
      <c r="AX196" s="136">
        <f t="shared" si="1050"/>
        <v>1.6024626352</v>
      </c>
      <c r="AY196" s="136">
        <f t="shared" si="1051"/>
        <v>1.501530887073228</v>
      </c>
      <c r="AZ196" s="155">
        <f t="shared" si="1052"/>
        <v>6.586879514635339E-3</v>
      </c>
      <c r="BA196" s="18" t="str">
        <f>Input!B196</f>
        <v>M43-401-14-152</v>
      </c>
      <c r="BB196" s="137">
        <f>Input!E196</f>
        <v>152</v>
      </c>
      <c r="BC196" s="18">
        <f>((U196-1)*EXP(Constants!$B$17*AW196*1000))*1000</f>
        <v>1975.4508741346658</v>
      </c>
      <c r="BD196" s="133">
        <f>SQRT((EXP(Constants!$B$17*AW196*1000)*V196)^2+((U196-1)*Constants!$B$17*EXP(Constants!$B$17*AW196*1000)*AY196*1000)^2)*1000</f>
        <v>8.6768823783724862</v>
      </c>
      <c r="BE196" s="18">
        <f t="shared" si="1053"/>
        <v>243223</v>
      </c>
      <c r="BF196" s="138">
        <f t="shared" si="1054"/>
        <v>750.76544353661404</v>
      </c>
      <c r="BG196" s="20">
        <f t="shared" si="1055"/>
        <v>0.61720022816135578</v>
      </c>
      <c r="BH196" s="18"/>
      <c r="BI196" s="18"/>
      <c r="BJ196" s="18"/>
      <c r="BK196" s="18"/>
      <c r="BL196" s="18"/>
      <c r="BM196" s="18"/>
      <c r="BN196" s="160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9">
        <f>Input!A197</f>
        <v>10815</v>
      </c>
      <c r="B197" s="139" t="str">
        <f>Input!B197</f>
        <v>Hu1-13</v>
      </c>
      <c r="C197" s="139">
        <f>Input!O197</f>
        <v>2.1070521688418657</v>
      </c>
      <c r="D197" s="139">
        <f>C197*Input!P197/100</f>
        <v>2.0419409265284929E-2</v>
      </c>
      <c r="E197" s="140">
        <f>Input!M197</f>
        <v>2.7319899501752039</v>
      </c>
      <c r="F197" s="141">
        <f>E197*Input!N197/100</f>
        <v>3.3480056682982343E-4</v>
      </c>
      <c r="G197" s="142">
        <f t="shared" ref="G197" si="1065">E197*137.88</f>
        <v>376.68677433015711</v>
      </c>
      <c r="H197" s="141">
        <f>G197*Input!L197/100</f>
        <v>3.1528437910156956E-2</v>
      </c>
      <c r="I197" s="139">
        <v>0</v>
      </c>
      <c r="J197" s="143">
        <f>(((C197*Constants!$B$24*0.000000001*Input!G197*(Constants!$B$4/Constants!$B$3))-(I197*0.000000000000001))/Input!F197)*1000000000000</f>
        <v>760.72493735694593</v>
      </c>
      <c r="K197" s="139">
        <f>J197*Input!P197/100</f>
        <v>7.3721733443067459</v>
      </c>
      <c r="L197" s="144">
        <f>(J197/Constants!$B$4)*602200000000*Constants!$B$17/(365.2425*24*60)</f>
        <v>10.502652404399507</v>
      </c>
      <c r="M197" s="145">
        <f>L197*Input!P197/100</f>
        <v>0.10178103845161957</v>
      </c>
      <c r="N197" s="139">
        <v>0</v>
      </c>
      <c r="O197" s="143">
        <f>(((G197*Constants!$B$23*0.000000001*Input!G197*(Constants!$B$7/Constants!$B$6))-(N197*0.000000001))/Input!F197)*1000000</f>
        <v>13.699800326522208</v>
      </c>
      <c r="P197" s="139">
        <f>O197*Input!N197/100</f>
        <v>1.678886452155832E-3</v>
      </c>
      <c r="Q197" s="146">
        <f>(O197/Constants!$B$7)*602200000000000000*Constants!$B$18/(365.2425*24*60)</f>
        <v>10.221705410463837</v>
      </c>
      <c r="R197" s="147">
        <f>Q197*Input!N197/100</f>
        <v>1.2526520330615773E-3</v>
      </c>
      <c r="S197" s="145">
        <f>Input!S197*Constants!$B$17/Constants!$B$18</f>
        <v>1.0005740067279907</v>
      </c>
      <c r="T197" s="139">
        <f>S197*Input!T197/100</f>
        <v>1.9255254086953872E-3</v>
      </c>
      <c r="U197" s="145">
        <f>S197</f>
        <v>1.0005740067279907</v>
      </c>
      <c r="V197" s="139">
        <f>U197*Input!T197/100</f>
        <v>1.9255254086953872E-3</v>
      </c>
      <c r="W197" s="148">
        <v>0</v>
      </c>
      <c r="X197" s="143">
        <f>(((Constants!$B$25*0.000000001*Input!G197/Input!W197*(Constants!$B$11/Constants!$B$9))-(W197*0.000000001))/Input!F197)*1000000000</f>
        <v>0.99204083201732496</v>
      </c>
      <c r="Y197" s="143">
        <f>X197*Input!X197/100</f>
        <v>5.7276974299978736E-3</v>
      </c>
      <c r="Z197" s="143">
        <f>(X197/Constants!$B$11)*6.022E+23*0.000000001*Constants!$B$19/(365.2425*24*60)</f>
        <v>2.4218923851640036E-4</v>
      </c>
      <c r="AA197" s="143">
        <f>Z197*Input!X197/100</f>
        <v>1.3983161118506285E-6</v>
      </c>
      <c r="AB197" s="144">
        <v>0</v>
      </c>
      <c r="AC197" s="144">
        <v>0</v>
      </c>
      <c r="AD197" s="143">
        <f>(((Input!G197*Constants!$B$25*0.000000001*Input!U197*(Constants!$B$10/Constants!$B$9))-((AB197*0.000000000000001)+(Input!G197*AC197*0.000000000000001)))/Input!F197)*1000000000000</f>
        <v>223.84014689302907</v>
      </c>
      <c r="AE197" s="143">
        <f>AD197*Input!V197/100</f>
        <v>0.65324822113800041</v>
      </c>
      <c r="AF197" s="143">
        <f>(AD197/Constants!$B$10)*602200000000*Constants!$B$16/(365.2425*24*60)</f>
        <v>10.217333134096812</v>
      </c>
      <c r="AG197" s="143">
        <f>AF197*Input!V197/100</f>
        <v>2.981795172700966E-2</v>
      </c>
      <c r="AH197" s="139">
        <f t="shared" ref="AH197" si="1066">AF197/Z197</f>
        <v>42187.395264488281</v>
      </c>
      <c r="AI197" s="148">
        <f t="shared" ref="AI197" si="1067">AH197*SQRT((AG197/AF197)^2+(AA197/Z197)^2)</f>
        <v>272.9231824659762</v>
      </c>
      <c r="AJ197" s="145">
        <f t="shared" si="1039"/>
        <v>0.57400672799068353</v>
      </c>
      <c r="AK197" s="148">
        <f t="shared" ref="AK197" si="1068">V197*1000</f>
        <v>1.9255254086953872</v>
      </c>
      <c r="AL197" s="148">
        <f t="shared" ref="AL197" si="1069">AF197/Q197</f>
        <v>0.9995722556861647</v>
      </c>
      <c r="AM197" s="148">
        <f t="shared" ref="AM197" si="1070">AL197*SQRT((R197/Q197)^2+(AG197/AF197)^2)</f>
        <v>2.9196918124946231E-3</v>
      </c>
      <c r="AN197" s="139">
        <f>AF197/Q197</f>
        <v>0.9995722556861647</v>
      </c>
      <c r="AO197" s="143">
        <f t="shared" ref="AO197" si="1071">AN197*SQRT((R197/Q197)^2+(AG197/AF197)^2)</f>
        <v>2.9196918124946231E-3</v>
      </c>
      <c r="AP197" s="139">
        <f t="shared" ref="AP197" si="1072">ThU_Alter_Kombi(AN197,U197)</f>
        <v>729.03300000000002</v>
      </c>
      <c r="AQ197" s="139" t="e">
        <f t="shared" si="1045"/>
        <v>#VALUE!</v>
      </c>
      <c r="AR197" s="139" t="e">
        <f>(AQ197/AP197)*100</f>
        <v>#VALUE!</v>
      </c>
      <c r="AS197" s="147">
        <f t="shared" si="1046"/>
        <v>2.3693623401479965E-5</v>
      </c>
      <c r="AT197" s="147">
        <f t="shared" si="1047"/>
        <v>1.3682952151555886E-7</v>
      </c>
      <c r="AU197" s="139">
        <v>0.75</v>
      </c>
      <c r="AV197" s="139">
        <f t="shared" ref="AV197" si="1073">AU197/2</f>
        <v>0.375</v>
      </c>
      <c r="AW197" s="139">
        <f t="shared" si="1049"/>
        <v>729.03110000000004</v>
      </c>
      <c r="AX197" s="149">
        <f t="shared" si="1050"/>
        <v>327.54957480069999</v>
      </c>
      <c r="AY197" s="149">
        <f t="shared" si="1051"/>
        <v>346.35638991673255</v>
      </c>
      <c r="AZ197" s="150">
        <f t="shared" si="1052"/>
        <v>0.44929437825176455</v>
      </c>
      <c r="BA197" s="139" t="str">
        <f>Input!B197</f>
        <v>Hu1-13</v>
      </c>
      <c r="BB197" s="151">
        <f>Input!E197</f>
        <v>0</v>
      </c>
      <c r="BC197" s="139">
        <f>((U197-1)*EXP(Constants!$B$17*AW197*1000))*1000</f>
        <v>4.4918082302669911</v>
      </c>
      <c r="BD197" s="145">
        <f>SQRT((EXP(Constants!$B$17*AW197*1000)*V197)^2+((U197-1)*Constants!$B$17*EXP(Constants!$B$17*AW197*1000)*AY197*1000)^2)*1000</f>
        <v>15.694540057717743</v>
      </c>
      <c r="BE197" s="139">
        <f t="shared" si="1053"/>
        <v>728973.10000000009</v>
      </c>
      <c r="BF197" s="152">
        <f t="shared" si="1054"/>
        <v>173178.19495836628</v>
      </c>
      <c r="BG197" s="161">
        <f t="shared" si="1055"/>
        <v>47.509137801766279</v>
      </c>
      <c r="BH197" s="139"/>
      <c r="BI197" s="18"/>
      <c r="BJ197" s="18"/>
      <c r="BK197" s="18"/>
      <c r="BL197" s="18"/>
      <c r="BM197" s="18"/>
      <c r="BN197" s="160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8" spans="1:110" ht="15" customHeight="1" x14ac:dyDescent="0.2">
      <c r="A198" s="18">
        <f>Input!A198</f>
        <v>11096</v>
      </c>
      <c r="B198" s="18" t="str">
        <f>Input!B198</f>
        <v>M43-401-14-154</v>
      </c>
      <c r="C198" s="18">
        <f>Input!O198</f>
        <v>3.6257387872174429</v>
      </c>
      <c r="D198" s="18">
        <f>C198*Input!P198/100</f>
        <v>1.1370877345182828E-2</v>
      </c>
      <c r="E198" s="153">
        <f>Input!M198</f>
        <v>2.3494106610748493</v>
      </c>
      <c r="F198" s="154">
        <f>E198*Input!N198/100</f>
        <v>1.5293645922654939E-4</v>
      </c>
      <c r="G198" s="21">
        <f>E198*137.88</f>
        <v>323.93674194900024</v>
      </c>
      <c r="H198" s="154">
        <f>G198*Input!L198/100</f>
        <v>2.7177954635253142E-2</v>
      </c>
      <c r="I198" s="18">
        <v>0.3</v>
      </c>
      <c r="J198" s="130">
        <f>(((C198*Constants!$B$24*0.000000001*Input!G198*(Constants!$B$4/Constants!$B$3))-(I198*0.000000000000001))/Input!F198)*1000000000000</f>
        <v>70.036746096031521</v>
      </c>
      <c r="K198" s="18">
        <f>J198*Input!P198/100</f>
        <v>0.21964606284416432</v>
      </c>
      <c r="L198" s="135">
        <f>(J198/Constants!$B$4)*602200000000*Constants!$B$17/(365.2425*24*60)</f>
        <v>0.96693504269422914</v>
      </c>
      <c r="M198" s="133">
        <f>L198*Input!P198/100</f>
        <v>3.0324577738467442E-3</v>
      </c>
      <c r="N198" s="18">
        <v>5.0000000000000001E-3</v>
      </c>
      <c r="O198" s="130">
        <f>(((G198*Constants!$B$23*0.000000001*Input!G198*(Constants!$B$7/Constants!$B$6))-(N198*0.000000001))/Input!F198)*1000000</f>
        <v>0.63032328473991461</v>
      </c>
      <c r="P198" s="18">
        <f>O198*Input!N198/100</f>
        <v>4.1031316037387931E-5</v>
      </c>
      <c r="Q198" s="131">
        <f>(O198/Constants!$B$7)*602200000000000000*Constants!$B$18/(365.2425*24*60)</f>
        <v>0.47029728728921699</v>
      </c>
      <c r="R198" s="132">
        <f>Q198*Input!N198/100</f>
        <v>3.0614316642692998E-5</v>
      </c>
      <c r="S198" s="133">
        <f>Input!S198*Constants!$B$17/Constants!$B$18</f>
        <v>2.0237386663906611</v>
      </c>
      <c r="T198" s="18">
        <f>S198*Input!T198/100</f>
        <v>9.373479982202153E-4</v>
      </c>
      <c r="U198" s="18">
        <f>S198*1/((U197+U199)/2)</f>
        <v>2.023548451259539</v>
      </c>
      <c r="V198" s="18">
        <f>U198*Input!T198/100</f>
        <v>9.3725989505978765E-4</v>
      </c>
      <c r="W198" s="134">
        <v>3.0000000000000001E-3</v>
      </c>
      <c r="X198" s="130">
        <f>(((Constants!$B$25*0.000000001*Input!G198/Input!W198*(Constants!$B$11/Constants!$B$9)-(W198*0.000000001))/Input!F198)*1000000000)</f>
        <v>9.2044774736690815E-2</v>
      </c>
      <c r="Y198" s="130">
        <f>X198*Input!X198/100</f>
        <v>2.3226879024396653E-4</v>
      </c>
      <c r="Z198" s="130">
        <f>(X198/Constants!$B$11)*6.022E+23*0.000000001*Constants!$B$19/(365.2425*24*60)</f>
        <v>2.2471105203967495E-5</v>
      </c>
      <c r="AA198" s="130">
        <f>Z198*Input!X198/100</f>
        <v>5.6704320653738353E-8</v>
      </c>
      <c r="AB198" s="135">
        <v>0.05</v>
      </c>
      <c r="AC198" s="135">
        <v>0</v>
      </c>
      <c r="AD198" s="130">
        <f>(((Input!G198*Constants!$B$25*0.000000001*Input!U198*(Constants!$B$10/Constants!$B$9))-((AB198*0.000000000000001)+(Input!G198*AC198*0.000000000000001)))/Input!F198)*1000000000000</f>
        <v>21.479056788112658</v>
      </c>
      <c r="AE198" s="130">
        <f>AD198*Input!V198/100</f>
        <v>4.3511809884166919E-2</v>
      </c>
      <c r="AF198" s="130">
        <f>(AD198/Constants!$B$10)*602200000000*Constants!$B$16/(365.2425*24*60)</f>
        <v>0.98042590507773197</v>
      </c>
      <c r="AG198" s="130">
        <f>AF198*Input!V198/100</f>
        <v>1.9861256482577162E-3</v>
      </c>
      <c r="AH198" s="18">
        <f>AF198/Z198</f>
        <v>43630.515552240315</v>
      </c>
      <c r="AI198" s="134">
        <f>AH198*SQRT((AG198/AF198)^2+(AA198/Z198)^2)</f>
        <v>141.18696362392907</v>
      </c>
      <c r="AJ198" s="133">
        <f t="shared" si="1039"/>
        <v>1023.548451259539</v>
      </c>
      <c r="AK198" s="134">
        <f>V198*1000</f>
        <v>0.93725989505978768</v>
      </c>
      <c r="AL198" s="134">
        <f>AF198/Q198</f>
        <v>2.0846939405687088</v>
      </c>
      <c r="AM198" s="134">
        <f>AL198*SQRT((R198/Q198)^2+(AG198/AF198)^2)</f>
        <v>4.2253077918591913E-3</v>
      </c>
      <c r="AN198" s="18">
        <f>AL198*1/((AN197+AN199)/2)</f>
        <v>2.0889970498481842</v>
      </c>
      <c r="AO198" s="130">
        <f>AN198*SQRT((R198/Q198)^2+(AG198/AF198)^2)</f>
        <v>4.2340294371875356E-3</v>
      </c>
      <c r="AP198" s="18">
        <f>ThU_Alter_Kombi(AN198,U198)</f>
        <v>254.95089999999999</v>
      </c>
      <c r="AQ198" s="18">
        <f t="shared" si="1045"/>
        <v>1.5844</v>
      </c>
      <c r="AR198" s="155">
        <f>(AQ198/AP198)</f>
        <v>6.2145299349796379E-3</v>
      </c>
      <c r="AS198" s="132">
        <f t="shared" si="1046"/>
        <v>4.7780639632200389E-5</v>
      </c>
      <c r="AT198" s="132">
        <f t="shared" si="1047"/>
        <v>1.2061133718065574E-7</v>
      </c>
      <c r="AU198" s="18">
        <v>0.75</v>
      </c>
      <c r="AV198" s="18">
        <f>AU198/2</f>
        <v>0.375</v>
      </c>
      <c r="AW198" s="18">
        <f t="shared" si="1049"/>
        <v>254.9496</v>
      </c>
      <c r="AX198" s="136">
        <f t="shared" si="1050"/>
        <v>1.5755934546999999</v>
      </c>
      <c r="AY198" s="136">
        <f t="shared" si="1051"/>
        <v>1.5880132996750969</v>
      </c>
      <c r="AZ198" s="155">
        <f t="shared" si="1052"/>
        <v>6.1800193242115302E-3</v>
      </c>
      <c r="BA198" s="18" t="str">
        <f>Input!B198</f>
        <v>M43-401-14-154</v>
      </c>
      <c r="BB198" s="137">
        <f>Input!E198</f>
        <v>154</v>
      </c>
      <c r="BC198" s="18">
        <f>((U198-1)*EXP(Constants!$B$17*AW198*1000))*1000</f>
        <v>2101.7252014704386</v>
      </c>
      <c r="BD198" s="133">
        <f>SQRT((EXP(Constants!$B$17*AW198*1000)*V198)^2+((U198-1)*Constants!$B$17*EXP(Constants!$B$17*AW198*1000)*AY198*1000)^2)*1000</f>
        <v>9.6134259515323031</v>
      </c>
      <c r="BE198" s="18">
        <f t="shared" si="1053"/>
        <v>254891.6</v>
      </c>
      <c r="BF198" s="138">
        <f t="shared" si="1054"/>
        <v>794.00664983754848</v>
      </c>
      <c r="BG198" s="20">
        <f t="shared" si="1055"/>
        <v>0.62287342269809287</v>
      </c>
      <c r="BH198" s="18"/>
      <c r="BI198" s="18"/>
      <c r="BJ198" s="18"/>
      <c r="BK198" s="18"/>
      <c r="BL198" s="18"/>
      <c r="BM198" s="18"/>
      <c r="BN198" s="160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</row>
    <row r="199" spans="1:110" ht="15" customHeight="1" x14ac:dyDescent="0.2">
      <c r="A199" s="139">
        <f>Input!A199</f>
        <v>10815</v>
      </c>
      <c r="B199" s="139" t="str">
        <f>Input!B199</f>
        <v>Hu1-13</v>
      </c>
      <c r="C199" s="139">
        <f>Input!O199</f>
        <v>2.0834319207252237</v>
      </c>
      <c r="D199" s="139">
        <f>C199*Input!P199/100</f>
        <v>1.6994910673454412E-2</v>
      </c>
      <c r="E199" s="140">
        <f>Input!M199</f>
        <v>2.7324438311208126</v>
      </c>
      <c r="F199" s="141">
        <f>E199*Input!N199/100</f>
        <v>3.6978175360983807E-4</v>
      </c>
      <c r="G199" s="142">
        <f t="shared" ref="G199" si="1074">E199*137.88</f>
        <v>376.74935543493763</v>
      </c>
      <c r="H199" s="141">
        <f>G199*Input!L199/100</f>
        <v>5.1227893808147372E-2</v>
      </c>
      <c r="I199" s="139">
        <v>0</v>
      </c>
      <c r="J199" s="143">
        <f>(((C199*Constants!$B$24*0.000000001*Input!G199*(Constants!$B$4/Constants!$B$3))-(I199*0.000000000000001))/Input!F199)*1000000000000</f>
        <v>752.19714101920056</v>
      </c>
      <c r="K199" s="139">
        <f>J199*Input!P199/100</f>
        <v>6.1358007877690941</v>
      </c>
      <c r="L199" s="144">
        <f>(J199/Constants!$B$4)*602200000000*Constants!$B$17/(365.2425*24*60)</f>
        <v>10.38491670741811</v>
      </c>
      <c r="M199" s="145">
        <f>L199*Input!P199/100</f>
        <v>8.471154254582039E-2</v>
      </c>
      <c r="N199" s="139">
        <v>0</v>
      </c>
      <c r="O199" s="143">
        <f>(((G199*Constants!$B$23*0.000000001*Input!G199*(Constants!$B$7/Constants!$B$6))-(N199*0.000000001))/Input!F199)*1000000</f>
        <v>13.702076351851824</v>
      </c>
      <c r="P199" s="139">
        <f>O199*Input!N199/100</f>
        <v>1.8543026443128513E-3</v>
      </c>
      <c r="Q199" s="146">
        <f>(O199/Constants!$B$7)*602200000000000000*Constants!$B$18/(365.2425*24*60)</f>
        <v>10.223403600209059</v>
      </c>
      <c r="R199" s="147">
        <f>Q199*Input!N199/100</f>
        <v>1.3835336954010711E-3</v>
      </c>
      <c r="S199" s="145">
        <f>Input!S199*Constants!$B$17/Constants!$B$18</f>
        <v>0.99961399483036462</v>
      </c>
      <c r="T199" s="139">
        <f>S199*Input!T199/100</f>
        <v>1.8335368728803431E-3</v>
      </c>
      <c r="U199" s="145">
        <f>S199</f>
        <v>0.99961399483036462</v>
      </c>
      <c r="V199" s="139">
        <f>U199*Input!T199/100</f>
        <v>1.8335368728803431E-3</v>
      </c>
      <c r="W199" s="148">
        <v>0</v>
      </c>
      <c r="X199" s="143">
        <f>(((Constants!$B$25*0.000000001*Input!G199/Input!W199*(Constants!$B$11/Constants!$B$9))-(W199*0.000000001))/Input!F199)*1000000000</f>
        <v>0.97569757311304173</v>
      </c>
      <c r="Y199" s="143">
        <f>X199*Input!X199/100</f>
        <v>6.4022083519053941E-3</v>
      </c>
      <c r="Z199" s="143">
        <f>(X199/Constants!$B$11)*6.022E+23*0.000000001*Constants!$B$19/(365.2425*24*60)</f>
        <v>2.3819932066104785E-4</v>
      </c>
      <c r="AA199" s="143">
        <f>Z199*Input!X199/100</f>
        <v>1.5629860339702506E-6</v>
      </c>
      <c r="AB199" s="144">
        <v>0</v>
      </c>
      <c r="AC199" s="144">
        <v>0</v>
      </c>
      <c r="AD199" s="143">
        <f>(((Input!G199*Constants!$B$25*0.000000001*Input!U199*(Constants!$B$10/Constants!$B$9))-((AB199*0.000000000000001)+(Input!G199*AC199*0.000000000000001)))/Input!F199)*1000000000000</f>
        <v>223.14622003748599</v>
      </c>
      <c r="AE199" s="143">
        <f>AD199*Input!V199/100</f>
        <v>0.62496951082248531</v>
      </c>
      <c r="AF199" s="143">
        <f>(AD199/Constants!$B$10)*602200000000*Constants!$B$16/(365.2425*24*60)</f>
        <v>10.185658378910164</v>
      </c>
      <c r="AG199" s="143">
        <f>AF199*Input!V199/100</f>
        <v>2.8527151091347479E-2</v>
      </c>
      <c r="AH199" s="139">
        <f t="shared" ref="AH199" si="1075">AF199/Z199</f>
        <v>42761.072326499714</v>
      </c>
      <c r="AI199" s="148">
        <f t="shared" ref="AI199" si="1076">AH199*SQRT((AG199/AF199)^2+(AA199/Z199)^2)</f>
        <v>305.07431407367608</v>
      </c>
      <c r="AJ199" s="145">
        <f t="shared" si="1039"/>
        <v>-0.38600516963538389</v>
      </c>
      <c r="AK199" s="148">
        <f t="shared" ref="AK199" si="1077">V199*1000</f>
        <v>1.8335368728803432</v>
      </c>
      <c r="AL199" s="148">
        <f t="shared" ref="AL199" si="1078">AF199/Q199</f>
        <v>0.99630795938662509</v>
      </c>
      <c r="AM199" s="148">
        <f t="shared" ref="AM199" si="1079">AL199*SQRT((R199/Q199)^2+(AG199/AF199)^2)</f>
        <v>2.7936326690233037E-3</v>
      </c>
      <c r="AN199" s="139">
        <f>AF199/Q199</f>
        <v>0.99630795938662509</v>
      </c>
      <c r="AO199" s="143">
        <f t="shared" ref="AO199" si="1080">AN199*SQRT((R199/Q199)^2+(AG199/AF199)^2)</f>
        <v>2.7936326690233037E-3</v>
      </c>
      <c r="AP199" s="139">
        <f t="shared" ref="AP199" si="1081">ThU_Alter_Kombi(AN199,U199)</f>
        <v>628.32069999999999</v>
      </c>
      <c r="AQ199" s="139" t="e">
        <f t="shared" si="1045"/>
        <v>#VALUE!</v>
      </c>
      <c r="AR199" s="139" t="e">
        <f>(AQ199/AP199)*100</f>
        <v>#VALUE!</v>
      </c>
      <c r="AS199" s="147">
        <f t="shared" si="1046"/>
        <v>2.3299414752262826E-5</v>
      </c>
      <c r="AT199" s="147">
        <f t="shared" si="1047"/>
        <v>1.5291565095844609E-7</v>
      </c>
      <c r="AU199" s="139">
        <v>0.75</v>
      </c>
      <c r="AV199" s="139">
        <f t="shared" ref="AV199" si="1082">AU199/2</f>
        <v>0.375</v>
      </c>
      <c r="AW199" s="139">
        <f t="shared" si="1049"/>
        <v>628.31870000000004</v>
      </c>
      <c r="AX199" s="149">
        <f t="shared" si="1050"/>
        <v>274.73904561080002</v>
      </c>
      <c r="AY199" s="149">
        <f t="shared" si="1051"/>
        <v>131.81128630188564</v>
      </c>
      <c r="AZ199" s="150">
        <f t="shared" si="1052"/>
        <v>0.43726065388599766</v>
      </c>
      <c r="BA199" s="139" t="str">
        <f>Input!B199</f>
        <v>Hu1-13</v>
      </c>
      <c r="BB199" s="151">
        <f>Input!E199</f>
        <v>0</v>
      </c>
      <c r="BC199" s="139">
        <f>((U199-1)*EXP(Constants!$B$17*AW199*1000))*1000</f>
        <v>-2.2733364490877763</v>
      </c>
      <c r="BD199" s="145">
        <f>SQRT((EXP(Constants!$B$17*AW199*1000)*V199)^2+((U199-1)*Constants!$B$17*EXP(Constants!$B$17*AW199*1000)*AY199*1000)^2)*1000</f>
        <v>10.831481260651421</v>
      </c>
      <c r="BE199" s="139">
        <f t="shared" si="1053"/>
        <v>628260.70000000007</v>
      </c>
      <c r="BF199" s="152">
        <f t="shared" si="1054"/>
        <v>65905.643150942822</v>
      </c>
      <c r="BG199" s="161">
        <f t="shared" si="1055"/>
        <v>20.978412118226885</v>
      </c>
      <c r="BH199" s="139"/>
      <c r="BI199" s="18"/>
      <c r="BJ199" s="18"/>
      <c r="BK199" s="18"/>
      <c r="BL199" s="18"/>
      <c r="BM199" s="18"/>
      <c r="BN199" s="160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11097</v>
      </c>
      <c r="B200" s="18" t="str">
        <f>Input!B200</f>
        <v>M43-401-14-186,5</v>
      </c>
      <c r="C200" s="18">
        <f>Input!O200</f>
        <v>2.7951304906186265</v>
      </c>
      <c r="D200" s="18">
        <f>C200*Input!P200/100</f>
        <v>1.0576500507426943E-2</v>
      </c>
      <c r="E200" s="153">
        <f>Input!M200</f>
        <v>2.0549198164512705</v>
      </c>
      <c r="F200" s="154">
        <f>E200*Input!N200/100</f>
        <v>1.2837004925151467E-4</v>
      </c>
      <c r="G200" s="21">
        <f>E200*137.88</f>
        <v>283.33234429230117</v>
      </c>
      <c r="H200" s="154">
        <f>G200*Input!L200/100</f>
        <v>2.2007573776808495E-2</v>
      </c>
      <c r="I200" s="18">
        <v>0.3</v>
      </c>
      <c r="J200" s="130">
        <f>(((C200*Constants!$B$24*0.000000001*Input!G200*(Constants!$B$4/Constants!$B$3))-(I200*0.000000000000001))/Input!F200)*1000000000000</f>
        <v>47.060370478535823</v>
      </c>
      <c r="K200" s="18">
        <f>J200*Input!P200/100</f>
        <v>0.17807184098076725</v>
      </c>
      <c r="L200" s="135">
        <f>(J200/Constants!$B$4)*602200000000*Constants!$B$17/(365.2425*24*60)</f>
        <v>0.64972066628389069</v>
      </c>
      <c r="M200" s="133">
        <f>L200*Input!P200/100</f>
        <v>2.4584794805470639E-3</v>
      </c>
      <c r="N200" s="18">
        <v>5.0000000000000001E-3</v>
      </c>
      <c r="O200" s="130">
        <f>(((G200*Constants!$B$23*0.000000001*Input!G200*(Constants!$B$7/Constants!$B$6))-(N200*0.000000001))/Input!F200)*1000000</f>
        <v>0.48053265618674901</v>
      </c>
      <c r="P200" s="18">
        <f>O200*Input!N200/100</f>
        <v>3.0018689901089351E-5</v>
      </c>
      <c r="Q200" s="131">
        <f>(O200/Constants!$B$7)*602200000000000000*Constants!$B$18/(365.2425*24*60)</f>
        <v>0.35853538990196093</v>
      </c>
      <c r="R200" s="132">
        <f>Q200*Input!N200/100</f>
        <v>2.2397567677170319E-5</v>
      </c>
      <c r="S200" s="133">
        <f>Input!S200*Constants!$B$17/Constants!$B$18</f>
        <v>1.8016677533066525</v>
      </c>
      <c r="T200" s="18">
        <f>S200*Input!T200/100</f>
        <v>1.0471350393254967E-3</v>
      </c>
      <c r="U200" s="18">
        <f>S200*1/((U199+U201)/2)</f>
        <v>1.801869131255236</v>
      </c>
      <c r="V200" s="18">
        <f>U200*Input!T200/100</f>
        <v>1.047252080830914E-3</v>
      </c>
      <c r="W200" s="134">
        <v>3.0000000000000001E-3</v>
      </c>
      <c r="X200" s="130">
        <f>(((Constants!$B$25*0.000000001*Input!G200/Input!W200*(Constants!$B$11/Constants!$B$9)-(W200*0.000000001))/Input!F200)*1000000000)</f>
        <v>7.9323148630352308E-2</v>
      </c>
      <c r="Y200" s="130">
        <f>X200*Input!X200/100</f>
        <v>1.5562457882453316E-4</v>
      </c>
      <c r="Z200" s="130">
        <f>(X200/Constants!$B$11)*6.022E+23*0.000000001*Constants!$B$19/(365.2425*24*60)</f>
        <v>1.936534499738491E-5</v>
      </c>
      <c r="AA200" s="130">
        <f>Z200*Input!X200/100</f>
        <v>3.7992990836178582E-8</v>
      </c>
      <c r="AB200" s="135">
        <v>0.05</v>
      </c>
      <c r="AC200" s="135">
        <v>0</v>
      </c>
      <c r="AD200" s="130">
        <f>(((Input!G200*Constants!$B$25*0.000000001*Input!U200*(Constants!$B$10/Constants!$B$9))-((AB200*0.000000000000001)+(Input!G200*AC200*0.000000000000001)))/Input!F200)*1000000000000</f>
        <v>14.483266550223453</v>
      </c>
      <c r="AE200" s="130">
        <f>AD200*Input!V200/100</f>
        <v>2.5927542172907585E-2</v>
      </c>
      <c r="AF200" s="130">
        <f>(AD200/Constants!$B$10)*602200000000*Constants!$B$16/(365.2425*24*60)</f>
        <v>0.6610983832327112</v>
      </c>
      <c r="AG200" s="130">
        <f>AF200*Input!V200/100</f>
        <v>1.183479994120711E-3</v>
      </c>
      <c r="AH200" s="18">
        <f>AF200/Z200</f>
        <v>34138.21872638911</v>
      </c>
      <c r="AI200" s="134">
        <f>AH200*SQRT((AG200/AF200)^2+(AA200/Z200)^2)</f>
        <v>90.66761781940545</v>
      </c>
      <c r="AJ200" s="133">
        <f t="shared" si="1039"/>
        <v>801.86913125523597</v>
      </c>
      <c r="AK200" s="134">
        <f>V200*1000</f>
        <v>1.047252080830914</v>
      </c>
      <c r="AL200" s="134">
        <f>AF200/Q200</f>
        <v>1.8438859924357371</v>
      </c>
      <c r="AM200" s="134">
        <f>AL200*SQRT((R200/Q200)^2+(AG200/AF200)^2)</f>
        <v>3.3028827357293729E-3</v>
      </c>
      <c r="AN200" s="18">
        <f>AL200*1/((AN199+AN201)/2)</f>
        <v>1.8515454258139967</v>
      </c>
      <c r="AO200" s="130">
        <f>AN200*SQRT((R200/Q200)^2+(AG200/AF200)^2)</f>
        <v>3.3166027869550481E-3</v>
      </c>
      <c r="AP200" s="18">
        <f>ThU_Alter_Kombi(AN200,U200)</f>
        <v>263.45499999999998</v>
      </c>
      <c r="AQ200" s="18">
        <f t="shared" si="1045"/>
        <v>1.6355999999999999</v>
      </c>
      <c r="AR200" s="155">
        <f>(AQ200/AP200)</f>
        <v>6.2082708621965799E-3</v>
      </c>
      <c r="AS200" s="132">
        <f t="shared" si="1046"/>
        <v>5.4012366820135198E-5</v>
      </c>
      <c r="AT200" s="132">
        <f t="shared" si="1047"/>
        <v>1.0602090325040527E-7</v>
      </c>
      <c r="AU200" s="18">
        <v>0.75</v>
      </c>
      <c r="AV200" s="18">
        <f>AU200/2</f>
        <v>0.375</v>
      </c>
      <c r="AW200" s="18">
        <f t="shared" si="1049"/>
        <v>263.45330000000001</v>
      </c>
      <c r="AX200" s="136">
        <f t="shared" si="1050"/>
        <v>1.4764771272999999</v>
      </c>
      <c r="AY200" s="136">
        <f t="shared" si="1051"/>
        <v>1.6037769330812619</v>
      </c>
      <c r="AZ200" s="155">
        <f t="shared" si="1052"/>
        <v>5.6043220081130121E-3</v>
      </c>
      <c r="BA200" s="18" t="str">
        <f>Input!B200</f>
        <v>M43-401-14-186,5</v>
      </c>
      <c r="BB200" s="137">
        <f>Input!E200</f>
        <v>186.5</v>
      </c>
      <c r="BC200" s="18">
        <f>((U200-1)*EXP(Constants!$B$17*AW200*1000))*1000</f>
        <v>1686.5266163200261</v>
      </c>
      <c r="BD200" s="133">
        <f>SQRT((EXP(Constants!$B$17*AW200*1000)*V200)^2+((U200-1)*Constants!$B$17*EXP(Constants!$B$17*AW200*1000)*AY200*1000)^2)*1000</f>
        <v>7.9445855199773412</v>
      </c>
      <c r="BE200" s="18">
        <f t="shared" si="1053"/>
        <v>263395.3</v>
      </c>
      <c r="BF200" s="138">
        <f t="shared" si="1054"/>
        <v>801.88846654063093</v>
      </c>
      <c r="BG200" s="20">
        <f t="shared" si="1055"/>
        <v>0.60875188622851251</v>
      </c>
      <c r="BH200" s="18"/>
      <c r="BI200" s="18"/>
      <c r="BJ200" s="18"/>
      <c r="BK200" s="18"/>
      <c r="BL200" s="18"/>
      <c r="BM200" s="18"/>
      <c r="BN200" s="160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9">
        <f>Input!A201</f>
        <v>10815</v>
      </c>
      <c r="B201" s="139" t="str">
        <f>Input!B201</f>
        <v>Hu1-13</v>
      </c>
      <c r="C201" s="139">
        <f>Input!O201</f>
        <v>2.0860091736217616</v>
      </c>
      <c r="D201" s="139">
        <f>C201*Input!P201/100</f>
        <v>1.6917589717172589E-2</v>
      </c>
      <c r="E201" s="140">
        <f>Input!M201</f>
        <v>2.7313712452040209</v>
      </c>
      <c r="F201" s="141">
        <f>E201*Input!N201/100</f>
        <v>3.1563286418791588E-4</v>
      </c>
      <c r="G201" s="142">
        <f t="shared" ref="G201" si="1083">E201*137.88</f>
        <v>376.60146728873036</v>
      </c>
      <c r="H201" s="141">
        <f>G201*Input!L201/100</f>
        <v>4.2479865639512414E-2</v>
      </c>
      <c r="I201" s="139">
        <v>0</v>
      </c>
      <c r="J201" s="143">
        <f>(((C201*Constants!$B$24*0.000000001*Input!G201*(Constants!$B$4/Constants!$B$3))-(I201*0.000000000000001))/Input!F201)*1000000000000</f>
        <v>753.12762607185562</v>
      </c>
      <c r="K201" s="139">
        <f>J201*Input!P201/100</f>
        <v>6.107885019714713</v>
      </c>
      <c r="L201" s="144">
        <f>(J201/Constants!$B$4)*602200000000*Constants!$B$17/(365.2425*24*60)</f>
        <v>10.397763086701374</v>
      </c>
      <c r="M201" s="145">
        <f>L201*Input!P201/100</f>
        <v>8.4326134372538122E-2</v>
      </c>
      <c r="N201" s="139">
        <v>0</v>
      </c>
      <c r="O201" s="143">
        <f>(((G201*Constants!$B$23*0.000000001*Input!G201*(Constants!$B$7/Constants!$B$6))-(N201*0.000000001))/Input!F201)*1000000</f>
        <v>13.696697776834686</v>
      </c>
      <c r="P201" s="139">
        <f>O201*Input!N201/100</f>
        <v>1.5827683464155653E-3</v>
      </c>
      <c r="Q201" s="146">
        <f>(O201/Constants!$B$7)*602200000000000000*Constants!$B$18/(365.2425*24*60)</f>
        <v>10.219390533737803</v>
      </c>
      <c r="R201" s="147">
        <f>Q201*Input!N201/100</f>
        <v>1.1809363191042899E-3</v>
      </c>
      <c r="S201" s="145">
        <f>Input!S201*Constants!$B$17/Constants!$B$18</f>
        <v>1.0001624839992125</v>
      </c>
      <c r="T201" s="139">
        <f>S201*Input!T201/100</f>
        <v>1.975722338599988E-3</v>
      </c>
      <c r="U201" s="145">
        <f>S201</f>
        <v>1.0001624839992125</v>
      </c>
      <c r="V201" s="139">
        <f>U201*Input!T201/100</f>
        <v>1.975722338599988E-3</v>
      </c>
      <c r="W201" s="148">
        <v>0</v>
      </c>
      <c r="X201" s="143">
        <f>(((Constants!$B$25*0.000000001*Input!G201/Input!W201*(Constants!$B$11/Constants!$B$9))-(W201*0.000000001))/Input!F201)*1000000000</f>
        <v>0.97471591176263428</v>
      </c>
      <c r="Y201" s="143">
        <f>X201*Input!X201/100</f>
        <v>5.7287437887369149E-3</v>
      </c>
      <c r="Z201" s="143">
        <f>(X201/Constants!$B$11)*6.022E+23*0.000000001*Constants!$B$19/(365.2425*24*60)</f>
        <v>2.3795966538954784E-4</v>
      </c>
      <c r="AA201" s="143">
        <f>Z201*Input!X201/100</f>
        <v>1.3985715618462786E-6</v>
      </c>
      <c r="AB201" s="144">
        <v>0</v>
      </c>
      <c r="AC201" s="144">
        <v>0</v>
      </c>
      <c r="AD201" s="143">
        <f>(((Input!G201*Constants!$B$25*0.000000001*Input!U201*(Constants!$B$10/Constants!$B$9))-((AB201*0.000000000000001)+(Input!G201*AC201*0.000000000000001)))/Input!F201)*1000000000000</f>
        <v>222.85948634367099</v>
      </c>
      <c r="AE201" s="143">
        <f>AD201*Input!V201/100</f>
        <v>0.78236595717431678</v>
      </c>
      <c r="AF201" s="143">
        <f>(AD201/Constants!$B$10)*602200000000*Constants!$B$16/(365.2425*24*60)</f>
        <v>10.172570227784719</v>
      </c>
      <c r="AG201" s="143">
        <f>AF201*Input!V201/100</f>
        <v>3.5711617098994397E-2</v>
      </c>
      <c r="AH201" s="139">
        <f t="shared" ref="AH201" si="1084">AF201/Z201</f>
        <v>42749.136544346227</v>
      </c>
      <c r="AI201" s="148">
        <f t="shared" ref="AI201" si="1085">AH201*SQRT((AG201/AF201)^2+(AA201/Z201)^2)</f>
        <v>292.65953469673627</v>
      </c>
      <c r="AJ201" s="145">
        <f t="shared" si="1039"/>
        <v>0.16248399921248158</v>
      </c>
      <c r="AK201" s="148">
        <f t="shared" ref="AK201" si="1086">V201*1000</f>
        <v>1.975722338599988</v>
      </c>
      <c r="AL201" s="148">
        <f t="shared" ref="AL201" si="1087">AF201/Q201</f>
        <v>0.99541848353886531</v>
      </c>
      <c r="AM201" s="148">
        <f t="shared" ref="AM201" si="1088">AL201*SQRT((R201/Q201)^2+(AG201/AF201)^2)</f>
        <v>3.4963884825218055E-3</v>
      </c>
      <c r="AN201" s="139">
        <f>AF201/Q201</f>
        <v>0.99541848353886531</v>
      </c>
      <c r="AO201" s="143">
        <f t="shared" ref="AO201" si="1089">AN201*SQRT((R201/Q201)^2+(AG201/AF201)^2)</f>
        <v>3.4963884825218055E-3</v>
      </c>
      <c r="AP201" s="139">
        <f t="shared" ref="AP201" si="1090">ThU_Alter_Kombi(AN201,U201)</f>
        <v>581.97239999999999</v>
      </c>
      <c r="AQ201" s="139" t="e">
        <f t="shared" si="1045"/>
        <v>#VALUE!</v>
      </c>
      <c r="AR201" s="139" t="e">
        <f>(AQ201/AP201)*100</f>
        <v>#VALUE!</v>
      </c>
      <c r="AS201" s="147">
        <f t="shared" si="1046"/>
        <v>2.3285113197696013E-5</v>
      </c>
      <c r="AT201" s="147">
        <f t="shared" si="1047"/>
        <v>1.3688114389630685E-7</v>
      </c>
      <c r="AU201" s="139">
        <v>0.75</v>
      </c>
      <c r="AV201" s="139">
        <f t="shared" ref="AV201" si="1091">AU201/2</f>
        <v>0.375</v>
      </c>
      <c r="AW201" s="139">
        <f t="shared" si="1049"/>
        <v>581.97050000000002</v>
      </c>
      <c r="AX201" s="149">
        <f t="shared" si="1050"/>
        <v>239.16644249550001</v>
      </c>
      <c r="AY201" s="149">
        <f t="shared" si="1051"/>
        <v>100.64625853135259</v>
      </c>
      <c r="AZ201" s="150">
        <f t="shared" si="1052"/>
        <v>0.41095973506474986</v>
      </c>
      <c r="BA201" s="139" t="str">
        <f>Input!B201</f>
        <v>Hu1-13</v>
      </c>
      <c r="BB201" s="151">
        <f>Input!E201</f>
        <v>0</v>
      </c>
      <c r="BC201" s="139">
        <f>((U201-1)*EXP(Constants!$B$17*AW201*1000))*1000</f>
        <v>0.83960807012323624</v>
      </c>
      <c r="BD201" s="145">
        <f>SQRT((EXP(Constants!$B$17*AW201*1000)*V201)^2+((U201-1)*Constants!$B$17*EXP(Constants!$B$17*AW201*1000)*AY201*1000)^2)*1000</f>
        <v>10.211989607303339</v>
      </c>
      <c r="BE201" s="139">
        <f t="shared" si="1053"/>
        <v>581912.5</v>
      </c>
      <c r="BF201" s="152">
        <f t="shared" si="1054"/>
        <v>50323.129265676296</v>
      </c>
      <c r="BG201" s="161">
        <f t="shared" si="1055"/>
        <v>17.294048157312542</v>
      </c>
      <c r="BH201" s="139"/>
      <c r="BI201" s="18"/>
      <c r="BJ201" s="18"/>
      <c r="BK201" s="18"/>
      <c r="BL201" s="18"/>
      <c r="BM201" s="18"/>
      <c r="BN201" s="160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11098</v>
      </c>
      <c r="B202" s="18" t="str">
        <f>Input!B202</f>
        <v>M43-401-14-196,75</v>
      </c>
      <c r="C202" s="18">
        <f>Input!O202</f>
        <v>5.9134976849127723</v>
      </c>
      <c r="D202" s="18">
        <f>C202*Input!P202/100</f>
        <v>2.0497626280349492E-2</v>
      </c>
      <c r="E202" s="153">
        <f>Input!M202</f>
        <v>4.0749548345748838</v>
      </c>
      <c r="F202" s="154">
        <f>E202*Input!N202/100</f>
        <v>2.3042198543422797E-4</v>
      </c>
      <c r="G202" s="21">
        <f>E202*137.88</f>
        <v>561.854772591185</v>
      </c>
      <c r="H202" s="154">
        <f>G202*Input!L202/100</f>
        <v>3.9022604835856602E-2</v>
      </c>
      <c r="I202" s="18">
        <v>0.3</v>
      </c>
      <c r="J202" s="130">
        <f>(((C202*Constants!$B$24*0.000000001*Input!G202*(Constants!$B$4/Constants!$B$3))-(I202*0.000000000000001))/Input!F202)*1000000000000</f>
        <v>77.316444629831338</v>
      </c>
      <c r="K202" s="18">
        <f>J202*Input!P202/100</f>
        <v>0.26799766767322136</v>
      </c>
      <c r="L202" s="135">
        <f>(J202/Constants!$B$4)*602200000000*Constants!$B$17/(365.2425*24*60)</f>
        <v>1.0674393637106461</v>
      </c>
      <c r="M202" s="133">
        <f>L202*Input!P202/100</f>
        <v>3.7000053640162405E-3</v>
      </c>
      <c r="N202" s="18">
        <v>5.0000000000000001E-3</v>
      </c>
      <c r="O202" s="130">
        <f>(((G202*Constants!$B$23*0.000000001*Input!G202*(Constants!$B$7/Constants!$B$6))-(N202*0.000000001))/Input!F202)*1000000</f>
        <v>0.73999443024241196</v>
      </c>
      <c r="P202" s="18">
        <f>O202*Input!N202/100</f>
        <v>4.1843650481715163E-5</v>
      </c>
      <c r="Q202" s="131">
        <f>(O202/Constants!$B$7)*602200000000000000*Constants!$B$18/(365.2425*24*60)</f>
        <v>0.55212520555342604</v>
      </c>
      <c r="R202" s="132">
        <f>Q202*Input!N202/100</f>
        <v>3.1220416234422867E-5</v>
      </c>
      <c r="S202" s="133">
        <f>Input!S202*Constants!$B$17/Constants!$B$18</f>
        <v>1.9173849418289461</v>
      </c>
      <c r="T202" s="18">
        <f>S202*Input!T202/100</f>
        <v>7.1249116839582776E-4</v>
      </c>
      <c r="U202" s="18">
        <f>S202*1/((U201+U203)/2)</f>
        <v>1.9178206051329616</v>
      </c>
      <c r="V202" s="18">
        <f>U202*Input!T202/100</f>
        <v>7.1265305881737713E-4</v>
      </c>
      <c r="W202" s="134">
        <v>3.0000000000000001E-3</v>
      </c>
      <c r="X202" s="130">
        <f>(((Constants!$B$25*0.000000001*Input!G202/Input!W202*(Constants!$B$11/Constants!$B$9)-(W202*0.000000001))/Input!F202)*1000000000)</f>
        <v>0.13274674994247396</v>
      </c>
      <c r="Y202" s="130">
        <f>X202*Input!X202/100</f>
        <v>3.2500208968915434E-4</v>
      </c>
      <c r="Z202" s="130">
        <f>(X202/Constants!$B$11)*6.022E+23*0.000000001*Constants!$B$19/(365.2425*24*60)</f>
        <v>3.24077731948974E-5</v>
      </c>
      <c r="AA202" s="130">
        <f>Z202*Input!X202/100</f>
        <v>7.9343516998179879E-8</v>
      </c>
      <c r="AB202" s="135">
        <v>0.05</v>
      </c>
      <c r="AC202" s="135">
        <v>0</v>
      </c>
      <c r="AD202" s="130">
        <f>(((Input!G202*Constants!$B$25*0.000000001*Input!U202*(Constants!$B$10/Constants!$B$9))-((AB202*0.000000000000001)+(Input!G202*AC202*0.000000000000001)))/Input!F202)*1000000000000</f>
        <v>24.067716302212229</v>
      </c>
      <c r="AE202" s="130">
        <f>AD202*Input!V202/100</f>
        <v>4.6100957235921378E-2</v>
      </c>
      <c r="AF202" s="130">
        <f>(AD202/Constants!$B$10)*602200000000*Constants!$B$16/(365.2425*24*60)</f>
        <v>1.098586999025478</v>
      </c>
      <c r="AG202" s="130">
        <f>AF202*Input!V202/100</f>
        <v>2.1043090098813218E-3</v>
      </c>
      <c r="AH202" s="18">
        <f>AF202/Z202</f>
        <v>33898.873348029054</v>
      </c>
      <c r="AI202" s="134">
        <f>AH202*SQRT((AG202/AF202)^2+(AA202/Z202)^2)</f>
        <v>105.37658556321546</v>
      </c>
      <c r="AJ202" s="133">
        <f t="shared" si="1039"/>
        <v>917.82060513296165</v>
      </c>
      <c r="AK202" s="134">
        <f>V202*1000</f>
        <v>0.71265305881737717</v>
      </c>
      <c r="AL202" s="134">
        <f>AF202/Q202</f>
        <v>1.9897425221228628</v>
      </c>
      <c r="AM202" s="134">
        <f>AL202*SQRT((R202/Q202)^2+(AG202/AF202)^2)</f>
        <v>3.8129498697303883E-3</v>
      </c>
      <c r="AN202" s="18">
        <f>AL202*1/((AN201+AN203)/2)</f>
        <v>1.9922611415538671</v>
      </c>
      <c r="AO202" s="130">
        <f>AN202*SQRT((R202/Q202)^2+(AG202/AF202)^2)</f>
        <v>3.8177763080884035E-3</v>
      </c>
      <c r="AP202" s="18">
        <f>ThU_Alter_Kombi(AN202,U202)</f>
        <v>265.41609999999997</v>
      </c>
      <c r="AQ202" s="18">
        <f t="shared" si="1045"/>
        <v>1.6113</v>
      </c>
      <c r="AR202" s="155">
        <f>(AQ202/AP202)</f>
        <v>6.070844986419438E-3</v>
      </c>
      <c r="AS202" s="132">
        <f t="shared" si="1046"/>
        <v>5.8696420429517022E-5</v>
      </c>
      <c r="AT202" s="132">
        <f t="shared" si="1047"/>
        <v>1.4374398324569142E-7</v>
      </c>
      <c r="AU202" s="18">
        <v>0.75</v>
      </c>
      <c r="AV202" s="18">
        <f>AU202/2</f>
        <v>0.375</v>
      </c>
      <c r="AW202" s="18">
        <f t="shared" si="1049"/>
        <v>265.41449999999998</v>
      </c>
      <c r="AX202" s="136">
        <f t="shared" si="1050"/>
        <v>1.5786650754</v>
      </c>
      <c r="AY202" s="136">
        <f t="shared" si="1051"/>
        <v>1.6482293203546228</v>
      </c>
      <c r="AZ202" s="155">
        <f t="shared" si="1052"/>
        <v>5.9479232498601247E-3</v>
      </c>
      <c r="BA202" s="18" t="str">
        <f>Input!B202</f>
        <v>M43-401-14-196,75</v>
      </c>
      <c r="BB202" s="137">
        <f>Input!E202</f>
        <v>196.75</v>
      </c>
      <c r="BC202" s="18">
        <f>((U202-1)*EXP(Constants!$B$17*AW202*1000))*1000</f>
        <v>1941.1145475730955</v>
      </c>
      <c r="BD202" s="133">
        <f>SQRT((EXP(Constants!$B$17*AW202*1000)*V202)^2+((U202-1)*Constants!$B$17*EXP(Constants!$B$17*AW202*1000)*AY202*1000)^2)*1000</f>
        <v>9.153839015454416</v>
      </c>
      <c r="BE202" s="18">
        <f t="shared" si="1053"/>
        <v>265356.5</v>
      </c>
      <c r="BF202" s="138">
        <f t="shared" si="1054"/>
        <v>824.11466017731141</v>
      </c>
      <c r="BG202" s="20">
        <f t="shared" si="1055"/>
        <v>0.62100198759096548</v>
      </c>
      <c r="BH202" s="18"/>
      <c r="BI202" s="18"/>
      <c r="BJ202" s="18"/>
      <c r="BK202" s="18"/>
      <c r="BL202" s="18"/>
      <c r="BM202" s="18"/>
      <c r="BN202" s="160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9">
        <f>Input!A203</f>
        <v>10815</v>
      </c>
      <c r="B203" s="139" t="str">
        <f>Input!B203</f>
        <v>Hu1-13</v>
      </c>
      <c r="C203" s="139">
        <f>Input!O203</f>
        <v>2.1009701816565998</v>
      </c>
      <c r="D203" s="139">
        <f>C203*Input!P203/100</f>
        <v>1.8550744977013763E-2</v>
      </c>
      <c r="E203" s="140">
        <f>Input!M203</f>
        <v>2.7315959618724555</v>
      </c>
      <c r="F203" s="141">
        <f>E203*Input!N203/100</f>
        <v>3.7740670762694695E-4</v>
      </c>
      <c r="G203" s="142">
        <f t="shared" ref="G203" si="1092">E203*137.88</f>
        <v>376.63245122297417</v>
      </c>
      <c r="H203" s="141">
        <f>G203*Input!L203/100</f>
        <v>4.0845311267332506E-2</v>
      </c>
      <c r="I203" s="139">
        <v>0</v>
      </c>
      <c r="J203" s="143">
        <f>(((C203*Constants!$B$24*0.000000001*Input!G203*(Constants!$B$4/Constants!$B$3))-(I203*0.000000000000001))/Input!F203)*1000000000000</f>
        <v>758.52911164890918</v>
      </c>
      <c r="K203" s="139">
        <f>J203*Input!P203/100</f>
        <v>6.6975153815579667</v>
      </c>
      <c r="L203" s="144">
        <f>(J203/Constants!$B$4)*602200000000*Constants!$B$17/(365.2425*24*60)</f>
        <v>10.472336592442192</v>
      </c>
      <c r="M203" s="145">
        <f>L203*Input!P203/100</f>
        <v>9.2466636193124924E-2</v>
      </c>
      <c r="N203" s="139">
        <v>0</v>
      </c>
      <c r="O203" s="143">
        <f>(((G203*Constants!$B$23*0.000000001*Input!G203*(Constants!$B$7/Constants!$B$6))-(N203*0.000000001))/Input!F203)*1000000</f>
        <v>13.697824638039794</v>
      </c>
      <c r="P203" s="139">
        <f>O203*Input!N203/100</f>
        <v>1.89253863691839E-3</v>
      </c>
      <c r="Q203" s="146">
        <f>(O203/Constants!$B$7)*602200000000000000*Constants!$B$18/(365.2425*24*60)</f>
        <v>10.220231308274844</v>
      </c>
      <c r="R203" s="147">
        <f>Q203*Input!N203/100</f>
        <v>1.4120623632046336E-3</v>
      </c>
      <c r="S203" s="145">
        <f>Input!S203*Constants!$B$17/Constants!$B$18</f>
        <v>0.99938318434656559</v>
      </c>
      <c r="T203" s="139">
        <f>S203*Input!T203/100</f>
        <v>1.7920742339704212E-3</v>
      </c>
      <c r="U203" s="145">
        <f>S203</f>
        <v>0.99938318434656559</v>
      </c>
      <c r="V203" s="139">
        <f>U203*Input!T203/100</f>
        <v>1.7920742339704212E-3</v>
      </c>
      <c r="W203" s="148">
        <v>0</v>
      </c>
      <c r="X203" s="143">
        <f>(((Constants!$B$25*0.000000001*Input!G203/Input!W203*(Constants!$B$11/Constants!$B$9))-(W203*0.000000001))/Input!F203)*1000000000</f>
        <v>0.96751777505583025</v>
      </c>
      <c r="Y203" s="143">
        <f>X203*Input!X203/100</f>
        <v>6.4359980140150331E-3</v>
      </c>
      <c r="Z203" s="143">
        <f>(X203/Constants!$B$11)*6.022E+23*0.000000001*Constants!$B$19/(365.2425*24*60)</f>
        <v>2.3620236751279334E-4</v>
      </c>
      <c r="AA203" s="143">
        <f>Z203*Input!X203/100</f>
        <v>1.5712351828681023E-6</v>
      </c>
      <c r="AB203" s="144">
        <v>0</v>
      </c>
      <c r="AC203" s="144">
        <v>0</v>
      </c>
      <c r="AD203" s="143">
        <f>(((Input!G203*Constants!$B$25*0.000000001*Input!U203*(Constants!$B$10/Constants!$B$9))-((AB203*0.000000000000001)+(Input!G203*AC203*0.000000000000001)))/Input!F203)*1000000000000</f>
        <v>224.36333935369049</v>
      </c>
      <c r="AE203" s="143">
        <f>AD203*Input!V203/100</f>
        <v>0.6069398246421992</v>
      </c>
      <c r="AF203" s="143">
        <f>(AD203/Constants!$B$10)*602200000000*Constants!$B$16/(365.2425*24*60)</f>
        <v>10.241214603699225</v>
      </c>
      <c r="AG203" s="143">
        <f>AF203*Input!V203/100</f>
        <v>2.7704174013445371E-2</v>
      </c>
      <c r="AH203" s="139">
        <f t="shared" ref="AH203" si="1093">AF203/Z203</f>
        <v>43357.798279242626</v>
      </c>
      <c r="AI203" s="148">
        <f t="shared" ref="AI203" si="1094">AH203*SQRT((AG203/AF203)^2+(AA203/Z203)^2)</f>
        <v>311.35603083017696</v>
      </c>
      <c r="AJ203" s="145">
        <f t="shared" si="1039"/>
        <v>-0.61681565343441047</v>
      </c>
      <c r="AK203" s="148">
        <f t="shared" ref="AK203" si="1095">V203*1000</f>
        <v>1.7920742339704212</v>
      </c>
      <c r="AL203" s="148">
        <f t="shared" ref="AL203" si="1096">AF203/Q203</f>
        <v>1.002053113554034</v>
      </c>
      <c r="AM203" s="148">
        <f t="shared" ref="AM203" si="1097">AL203*SQRT((R203/Q203)^2+(AG203/AF203)^2)</f>
        <v>2.7142521021775489E-3</v>
      </c>
      <c r="AN203" s="139">
        <f>AF203/Q203</f>
        <v>1.002053113554034</v>
      </c>
      <c r="AO203" s="143">
        <f t="shared" ref="AO203" si="1098">AN203*SQRT((R203/Q203)^2+(AG203/AF203)^2)</f>
        <v>2.7142521021775489E-3</v>
      </c>
      <c r="AP203" s="139" t="str">
        <f t="shared" ref="AP203" si="1099">ThU_Alter_Kombi(AN203,U203)</f>
        <v>Out of range</v>
      </c>
      <c r="AQ203" s="139" t="e">
        <f t="shared" si="1045"/>
        <v>#VALUE!</v>
      </c>
      <c r="AR203" s="139" t="e">
        <f>(AQ203/AP203)*100</f>
        <v>#VALUE!</v>
      </c>
      <c r="AS203" s="147">
        <f t="shared" si="1046"/>
        <v>2.3111254568333626E-5</v>
      </c>
      <c r="AT203" s="147">
        <f t="shared" si="1047"/>
        <v>1.5377088916244258E-7</v>
      </c>
      <c r="AU203" s="139">
        <v>0.75</v>
      </c>
      <c r="AV203" s="139">
        <f t="shared" ref="AV203" si="1100">AU203/2</f>
        <v>0.375</v>
      </c>
      <c r="AW203" s="139" t="str">
        <f t="shared" si="1049"/>
        <v>Out of range</v>
      </c>
      <c r="AX203" s="149">
        <f t="shared" si="1050"/>
        <v>278.9686876344</v>
      </c>
      <c r="AY203" s="149" t="e">
        <f t="shared" si="1051"/>
        <v>#VALUE!</v>
      </c>
      <c r="AZ203" s="150" t="e">
        <f t="shared" si="1052"/>
        <v>#VALUE!</v>
      </c>
      <c r="BA203" s="139" t="str">
        <f>Input!B203</f>
        <v>Hu1-13</v>
      </c>
      <c r="BB203" s="151">
        <f>Input!E203</f>
        <v>0</v>
      </c>
      <c r="BC203" s="139" t="e">
        <f>((U203-1)*EXP(Constants!$B$17*AW203*1000))*1000</f>
        <v>#VALUE!</v>
      </c>
      <c r="BD203" s="145" t="e">
        <f>SQRT((EXP(Constants!$B$17*AW203*1000)*V203)^2+((U203-1)*Constants!$B$17*EXP(Constants!$B$17*AW203*1000)*AY203*1000)^2)*1000</f>
        <v>#VALUE!</v>
      </c>
      <c r="BE203" s="139" t="e">
        <f t="shared" si="1053"/>
        <v>#VALUE!</v>
      </c>
      <c r="BF203" s="152" t="e">
        <f t="shared" si="1054"/>
        <v>#VALUE!</v>
      </c>
      <c r="BG203" s="161" t="e">
        <f t="shared" si="1055"/>
        <v>#VALUE!</v>
      </c>
      <c r="BH203" s="139"/>
      <c r="BI203" s="18"/>
      <c r="BJ203" s="18"/>
      <c r="BK203" s="18"/>
      <c r="BL203" s="18"/>
      <c r="BM203" s="18"/>
      <c r="BN203" s="160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11099</v>
      </c>
      <c r="B204" s="18" t="str">
        <f>Input!B204</f>
        <v>M43-401-14-200,75</v>
      </c>
      <c r="C204" s="18">
        <f>Input!O204</f>
        <v>2.1226495549467836</v>
      </c>
      <c r="D204" s="18">
        <f>C204*Input!P204/100</f>
        <v>7.2973115557293886E-3</v>
      </c>
      <c r="E204" s="153">
        <f>Input!M204</f>
        <v>1.4373804915084587</v>
      </c>
      <c r="F204" s="154">
        <f>E204*Input!N204/100</f>
        <v>1.1746842930900369E-4</v>
      </c>
      <c r="G204" s="21">
        <f>E204*137.88</f>
        <v>198.18602216918629</v>
      </c>
      <c r="H204" s="154">
        <f>G204*Input!L204/100</f>
        <v>1.5963664782728839E-2</v>
      </c>
      <c r="I204" s="18">
        <v>0.3</v>
      </c>
      <c r="J204" s="130">
        <f>(((C204*Constants!$B$24*0.000000001*Input!G204*(Constants!$B$4/Constants!$B$3))-(I204*0.000000000000001))/Input!F204)*1000000000000</f>
        <v>42.625597675849662</v>
      </c>
      <c r="K204" s="18">
        <f>J204*Input!P204/100</f>
        <v>0.14653962344606047</v>
      </c>
      <c r="L204" s="135">
        <f>(J204/Constants!$B$4)*602200000000*Constants!$B$17/(365.2425*24*60)</f>
        <v>0.58849370374875487</v>
      </c>
      <c r="M204" s="133">
        <f>L204*Input!P204/100</f>
        <v>2.0231422067913799E-3</v>
      </c>
      <c r="N204" s="18">
        <v>5.0000000000000001E-3</v>
      </c>
      <c r="O204" s="130">
        <f>(((G204*Constants!$B$23*0.000000001*Input!G204*(Constants!$B$7/Constants!$B$6))-(N204*0.000000001))/Input!F204)*1000000</f>
        <v>0.40089905314323715</v>
      </c>
      <c r="P204" s="18">
        <f>O204*Input!N204/100</f>
        <v>3.276305916381344E-5</v>
      </c>
      <c r="Q204" s="131">
        <f>(O204/Constants!$B$7)*602200000000000000*Constants!$B$18/(365.2425*24*60)</f>
        <v>0.29911910559971866</v>
      </c>
      <c r="R204" s="132">
        <f>Q204*Input!N204/100</f>
        <v>2.4445198552986058E-5</v>
      </c>
      <c r="S204" s="133">
        <f>Input!S204*Constants!$B$17/Constants!$B$18</f>
        <v>1.9587278485376116</v>
      </c>
      <c r="T204" s="18">
        <f>S204*Input!T204/100</f>
        <v>1.680733872052857E-3</v>
      </c>
      <c r="U204" s="18">
        <f>S204*1/((U203+U205)/2)</f>
        <v>1.9573449287071605</v>
      </c>
      <c r="V204" s="18">
        <f>U204*Input!T204/100</f>
        <v>1.6795472241971541E-3</v>
      </c>
      <c r="W204" s="134">
        <v>3.0000000000000001E-3</v>
      </c>
      <c r="X204" s="130">
        <f>(((Constants!$B$25*0.000000001*Input!G204/Input!W204*(Constants!$B$11/Constants!$B$9)-(W204*0.000000001))/Input!F204)*1000000000)</f>
        <v>0.28396382520267527</v>
      </c>
      <c r="Y204" s="130">
        <f>X204*Input!X204/100</f>
        <v>5.913146279884372E-4</v>
      </c>
      <c r="Z204" s="130">
        <f>(X204/Constants!$B$11)*6.022E+23*0.000000001*Constants!$B$19/(365.2425*24*60)</f>
        <v>6.9324749922026498E-5</v>
      </c>
      <c r="AA204" s="130">
        <f>Z204*Input!X204/100</f>
        <v>1.4435901714338625E-7</v>
      </c>
      <c r="AB204" s="135">
        <v>0.05</v>
      </c>
      <c r="AC204" s="135">
        <v>0</v>
      </c>
      <c r="AD204" s="130">
        <f>(((Input!G204*Constants!$B$25*0.000000001*Input!U204*(Constants!$B$10/Constants!$B$9))-((AB204*0.000000000000001)+(Input!G204*AC204*0.000000000000001)))/Input!F204)*1000000000000</f>
        <v>13.542516301838127</v>
      </c>
      <c r="AE204" s="130">
        <f>AD204*Input!V204/100</f>
        <v>2.8488028251151903E-2</v>
      </c>
      <c r="AF204" s="130">
        <f>(AD204/Constants!$B$10)*602200000000*Constants!$B$16/(365.2425*24*60)</f>
        <v>0.6181572092871338</v>
      </c>
      <c r="AG204" s="130">
        <f>AF204*Input!V204/100</f>
        <v>1.3003550927559063E-3</v>
      </c>
      <c r="AH204" s="18">
        <f>AF204/Z204</f>
        <v>8916.8328768933243</v>
      </c>
      <c r="AI204" s="134">
        <f>AH204*SQRT((AG204/AF204)^2+(AA204/Z204)^2)</f>
        <v>26.393447506200214</v>
      </c>
      <c r="AJ204" s="133">
        <f t="shared" si="1039"/>
        <v>957.34492870716053</v>
      </c>
      <c r="AK204" s="134">
        <f>V204*1000</f>
        <v>1.6795472241971541</v>
      </c>
      <c r="AL204" s="134">
        <f>AF204/Q204</f>
        <v>2.0665921959339908</v>
      </c>
      <c r="AM204" s="134">
        <f>AL204*SQRT((R204/Q204)^2+(AG204/AF204)^2)</f>
        <v>4.3505613819766736E-3</v>
      </c>
      <c r="AN204" s="18">
        <f>AL204*1/((AN203+AN205)/2)</f>
        <v>2.0636281044371469</v>
      </c>
      <c r="AO204" s="130">
        <f>AN204*SQRT((R204/Q204)^2+(AG204/AF204)^2)</f>
        <v>4.3443214174475383E-3</v>
      </c>
      <c r="AP204" s="18">
        <f>ThU_Alter_Kombi(AN204,U204)</f>
        <v>276.0376</v>
      </c>
      <c r="AQ204" s="18">
        <f t="shared" si="1045"/>
        <v>2.0985</v>
      </c>
      <c r="AR204" s="155">
        <f>(AQ204/AP204)</f>
        <v>7.6022252041026295E-3</v>
      </c>
      <c r="AS204" s="132">
        <f t="shared" si="1046"/>
        <v>2.3176302892131842E-4</v>
      </c>
      <c r="AT204" s="132">
        <f t="shared" si="1047"/>
        <v>4.829853567719763E-7</v>
      </c>
      <c r="AU204" s="18">
        <v>0.75</v>
      </c>
      <c r="AV204" s="18">
        <f>AU204/2</f>
        <v>0.375</v>
      </c>
      <c r="AW204" s="18">
        <f t="shared" si="1049"/>
        <v>276.03140000000002</v>
      </c>
      <c r="AX204" s="136">
        <f t="shared" si="1050"/>
        <v>2.024935771</v>
      </c>
      <c r="AY204" s="136">
        <f t="shared" si="1051"/>
        <v>2.1194558487162363</v>
      </c>
      <c r="AZ204" s="155">
        <f t="shared" si="1052"/>
        <v>7.3358892176759597E-3</v>
      </c>
      <c r="BA204" s="18" t="str">
        <f>Input!B204</f>
        <v>M43-401-14-200,75</v>
      </c>
      <c r="BB204" s="137">
        <f>Input!E204</f>
        <v>200.75</v>
      </c>
      <c r="BC204" s="18">
        <f>((U204-1)*EXP(Constants!$B$17*AW204*1000))*1000</f>
        <v>2086.2864080795798</v>
      </c>
      <c r="BD204" s="133">
        <f>SQRT((EXP(Constants!$B$17*AW204*1000)*V204)^2+((U204-1)*Constants!$B$17*EXP(Constants!$B$17*AW204*1000)*AY204*1000)^2)*1000</f>
        <v>13.004273848551167</v>
      </c>
      <c r="BE204" s="18">
        <f t="shared" si="1053"/>
        <v>275973.40000000002</v>
      </c>
      <c r="BF204" s="138">
        <f t="shared" si="1054"/>
        <v>1059.7279243581181</v>
      </c>
      <c r="BG204" s="20">
        <f t="shared" si="1055"/>
        <v>0.76783143103148266</v>
      </c>
      <c r="BH204" s="18"/>
      <c r="BI204" s="18"/>
      <c r="BJ204" s="18"/>
      <c r="BK204" s="18"/>
      <c r="BL204" s="18"/>
      <c r="BM204" s="18"/>
      <c r="BN204" s="160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9">
        <f>Input!A205</f>
        <v>10815</v>
      </c>
      <c r="B205" s="139" t="str">
        <f>Input!B205</f>
        <v>Hu1-13</v>
      </c>
      <c r="C205" s="139">
        <f>Input!O205</f>
        <v>2.0957850019627515</v>
      </c>
      <c r="D205" s="139">
        <f>C205*Input!P205/100</f>
        <v>1.6376557571642657E-2</v>
      </c>
      <c r="E205" s="140">
        <f>Input!M205</f>
        <v>2.7315562418956829</v>
      </c>
      <c r="F205" s="141">
        <f>E205*Input!N205/100</f>
        <v>4.2436881884469377E-4</v>
      </c>
      <c r="G205" s="142">
        <f t="shared" ref="G205" si="1101">E205*137.88</f>
        <v>376.62697463257678</v>
      </c>
      <c r="H205" s="141">
        <f>G205*Input!L205/100</f>
        <v>3.458634067723252E-2</v>
      </c>
      <c r="I205" s="139">
        <v>0</v>
      </c>
      <c r="J205" s="143">
        <f>(((C205*Constants!$B$24*0.000000001*Input!G205*(Constants!$B$4/Constants!$B$3))-(I205*0.000000000000001))/Input!F205)*1000000000000</f>
        <v>756.6570671138395</v>
      </c>
      <c r="K205" s="139">
        <f>J205*Input!P205/100</f>
        <v>5.9125521033766368</v>
      </c>
      <c r="L205" s="144">
        <f>(J205/Constants!$B$4)*602200000000*Constants!$B$17/(365.2425*24*60)</f>
        <v>10.446490939076728</v>
      </c>
      <c r="M205" s="145">
        <f>L205*Input!P205/100</f>
        <v>8.1629346581455306E-2</v>
      </c>
      <c r="N205" s="139">
        <v>0</v>
      </c>
      <c r="O205" s="143">
        <f>(((G205*Constants!$B$23*0.000000001*Input!G205*(Constants!$B$7/Constants!$B$6))-(N205*0.000000001))/Input!F205)*1000000</f>
        <v>13.69762545877461</v>
      </c>
      <c r="P205" s="139">
        <f>O205*Input!N205/100</f>
        <v>2.1280342127911341E-3</v>
      </c>
      <c r="Q205" s="146">
        <f>(O205/Constants!$B$7)*602200000000000000*Constants!$B$18/(365.2425*24*60)</f>
        <v>10.220082696490437</v>
      </c>
      <c r="R205" s="147">
        <f>Q205*Input!N205/100</f>
        <v>1.587770500890302E-3</v>
      </c>
      <c r="S205" s="145">
        <f>Input!S205*Constants!$B$17/Constants!$B$18</f>
        <v>1.0020298725042414</v>
      </c>
      <c r="T205" s="139">
        <f>S205*Input!T205/100</f>
        <v>2.3070343449406346E-3</v>
      </c>
      <c r="U205" s="145">
        <f>S205</f>
        <v>1.0020298725042414</v>
      </c>
      <c r="V205" s="139">
        <f>U205*Input!T205/100</f>
        <v>2.3070343449406346E-3</v>
      </c>
      <c r="W205" s="148">
        <v>0</v>
      </c>
      <c r="X205" s="143">
        <f>(((Constants!$B$25*0.000000001*Input!G205/Input!W205*(Constants!$B$11/Constants!$B$9))-(W205*0.000000001))/Input!F205)*1000000000</f>
        <v>0.96044196685247862</v>
      </c>
      <c r="Y205" s="143">
        <f>X205*Input!X205/100</f>
        <v>5.8573963503318668E-3</v>
      </c>
      <c r="Z205" s="143">
        <f>(X205/Constants!$B$11)*6.022E+23*0.000000001*Constants!$B$19/(365.2425*24*60)</f>
        <v>2.3447493397845678E-4</v>
      </c>
      <c r="AA205" s="143">
        <f>Z205*Input!X205/100</f>
        <v>1.4299798113056328E-6</v>
      </c>
      <c r="AB205" s="144">
        <v>0</v>
      </c>
      <c r="AC205" s="144">
        <v>0</v>
      </c>
      <c r="AD205" s="143">
        <f>(((Input!G205*Constants!$B$25*0.000000001*Input!U205*(Constants!$B$10/Constants!$B$9))-((AB205*0.000000000000001)+(Input!G205*AC205*0.000000000000001)))/Input!F205)*1000000000000</f>
        <v>224.0838895477527</v>
      </c>
      <c r="AE205" s="143">
        <f>AD205*Input!V205/100</f>
        <v>0.542349420995209</v>
      </c>
      <c r="AF205" s="143">
        <f>(AD205/Constants!$B$10)*602200000000*Constants!$B$16/(365.2425*24*60)</f>
        <v>10.228458930504955</v>
      </c>
      <c r="AG205" s="143">
        <f>AF205*Input!V205/100</f>
        <v>2.4755901862594524E-2</v>
      </c>
      <c r="AH205" s="139">
        <f t="shared" ref="AH205" si="1102">AF205/Z205</f>
        <v>43622.824653166259</v>
      </c>
      <c r="AI205" s="148">
        <f t="shared" ref="AI205" si="1103">AH205*SQRT((AG205/AF205)^2+(AA205/Z205)^2)</f>
        <v>286.22466607905238</v>
      </c>
      <c r="AJ205" s="145">
        <f t="shared" si="1039"/>
        <v>2.029872504241359</v>
      </c>
      <c r="AK205" s="148">
        <f t="shared" ref="AK205" si="1104">V205*1000</f>
        <v>2.3070343449406345</v>
      </c>
      <c r="AL205" s="148">
        <f t="shared" ref="AL205" si="1105">AF205/Q205</f>
        <v>1.0008195857375395</v>
      </c>
      <c r="AM205" s="148">
        <f t="shared" ref="AM205" si="1106">AL205*SQRT((R205/Q205)^2+(AG205/AF205)^2)</f>
        <v>2.4272651334171589E-3</v>
      </c>
      <c r="AN205" s="139">
        <f>AF205/Q205</f>
        <v>1.0008195857375395</v>
      </c>
      <c r="AO205" s="143">
        <f t="shared" ref="AO205" si="1107">AN205*SQRT((R205/Q205)^2+(AG205/AF205)^2)</f>
        <v>2.4272651334171589E-3</v>
      </c>
      <c r="AP205" s="139">
        <f t="shared" ref="AP205" si="1108">ThU_Alter_Kombi(AN205,U205)</f>
        <v>673.81759999999997</v>
      </c>
      <c r="AQ205" s="139" t="e">
        <f t="shared" si="1045"/>
        <v>#VALUE!</v>
      </c>
      <c r="AR205" s="139" t="e">
        <f>(AQ205/AP205)*100</f>
        <v>#VALUE!</v>
      </c>
      <c r="AS205" s="147">
        <f t="shared" si="1046"/>
        <v>2.2942567192628996E-5</v>
      </c>
      <c r="AT205" s="147">
        <f t="shared" si="1047"/>
        <v>1.3996400605352887E-7</v>
      </c>
      <c r="AU205" s="139">
        <v>0.75</v>
      </c>
      <c r="AV205" s="139">
        <f t="shared" ref="AV205" si="1109">AU205/2</f>
        <v>0.375</v>
      </c>
      <c r="AW205" s="139">
        <f t="shared" si="1049"/>
        <v>673.81569999999999</v>
      </c>
      <c r="AX205" s="149">
        <f t="shared" si="1050"/>
        <v>315.38709625640001</v>
      </c>
      <c r="AY205" s="149">
        <f t="shared" si="1051"/>
        <v>210.74917010732955</v>
      </c>
      <c r="AZ205" s="150">
        <f t="shared" si="1052"/>
        <v>0.468061364934655</v>
      </c>
      <c r="BA205" s="139" t="str">
        <f>Input!B205</f>
        <v>Hu1-13</v>
      </c>
      <c r="BB205" s="151">
        <f>Input!E205</f>
        <v>0</v>
      </c>
      <c r="BC205" s="139">
        <f>((U205-1)*EXP(Constants!$B$17*AW205*1000))*1000</f>
        <v>13.592542810909684</v>
      </c>
      <c r="BD205" s="145">
        <f>SQRT((EXP(Constants!$B$17*AW205*1000)*V205)^2+((U205-1)*Constants!$B$17*EXP(Constants!$B$17*AW205*1000)*AY205*1000)^2)*1000</f>
        <v>17.4358490358699</v>
      </c>
      <c r="BE205" s="139">
        <f t="shared" si="1053"/>
        <v>673757.7</v>
      </c>
      <c r="BF205" s="152">
        <f t="shared" si="1054"/>
        <v>105374.58505366478</v>
      </c>
      <c r="BG205" s="161">
        <f t="shared" si="1055"/>
        <v>31.276975307540262</v>
      </c>
      <c r="BH205" s="139"/>
      <c r="BI205" s="18"/>
      <c r="BJ205" s="18"/>
      <c r="BK205" s="18"/>
      <c r="BL205" s="18"/>
      <c r="BM205" s="18"/>
      <c r="BN205" s="160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7" spans="1:110" ht="15" customHeight="1" x14ac:dyDescent="0.2">
      <c r="A207" s="139">
        <f>Input!A207</f>
        <v>10815</v>
      </c>
      <c r="B207" s="139" t="str">
        <f>Input!B207</f>
        <v>Hu1-13</v>
      </c>
      <c r="C207" s="139">
        <f>Input!O207</f>
        <v>2.0992469468751249</v>
      </c>
      <c r="D207" s="139">
        <f>C207*Input!P207/100</f>
        <v>1.6292978290316163E-2</v>
      </c>
      <c r="E207" s="140">
        <f>Input!M207</f>
        <v>2.7326228771660284</v>
      </c>
      <c r="F207" s="141">
        <f>E207*Input!N207/100</f>
        <v>3.477986429795913E-4</v>
      </c>
      <c r="G207" s="142">
        <f t="shared" ref="G207" si="1110">E207*137.88</f>
        <v>376.77404230365198</v>
      </c>
      <c r="H207" s="141">
        <f>G207*Input!L207/100</f>
        <v>9.3586525977747484E-2</v>
      </c>
      <c r="I207" s="139">
        <v>0</v>
      </c>
      <c r="J207" s="143">
        <f>(((C207*Constants!$B$24*0.000000001*Input!G207*(Constants!$B$4/Constants!$B$3))-(I207*0.000000000000001))/Input!F207)*1000000000000</f>
        <v>757.90695919792881</v>
      </c>
      <c r="K207" s="139">
        <f>J207*Input!P207/100</f>
        <v>5.8823768450267782</v>
      </c>
      <c r="L207" s="144">
        <f>(J207/Constants!$B$4)*602200000000*Constants!$B$17/(365.2425*24*60)</f>
        <v>10.46374708707131</v>
      </c>
      <c r="M207" s="145">
        <f>L207*Input!P207/100</f>
        <v>8.1212743635898352E-2</v>
      </c>
      <c r="N207" s="139">
        <v>0</v>
      </c>
      <c r="O207" s="143">
        <f>(((G207*Constants!$B$23*0.000000001*Input!G207*(Constants!$B$7/Constants!$B$6))-(N207*0.000000001))/Input!F207)*1000000</f>
        <v>13.702974193759532</v>
      </c>
      <c r="P207" s="139">
        <f>O207*Input!N207/100</f>
        <v>1.7440664312656853E-3</v>
      </c>
      <c r="Q207" s="146">
        <f>(O207/Constants!$B$7)*602200000000000000*Constants!$B$18/(365.2425*24*60)</f>
        <v>10.224073498694221</v>
      </c>
      <c r="R207" s="147">
        <f>Q207*Input!N207/100</f>
        <v>1.3012841685118492E-3</v>
      </c>
      <c r="S207" s="145">
        <f>Input!S207*Constants!$B$17/Constants!$B$18</f>
        <v>0.99822811252963328</v>
      </c>
      <c r="T207" s="139">
        <f>S207*Input!T207/100</f>
        <v>1.4293484623421841E-3</v>
      </c>
      <c r="U207" s="145">
        <f>S207</f>
        <v>0.99822811252963328</v>
      </c>
      <c r="V207" s="139">
        <f>U207*Input!T207/100</f>
        <v>1.4293484623421841E-3</v>
      </c>
      <c r="W207" s="148">
        <v>0</v>
      </c>
      <c r="X207" s="143">
        <f>(((Constants!$B$25*0.000000001*Input!G207/Input!W207*(Constants!$B$11/Constants!$B$9))-(W207*0.000000001))/Input!F207)*1000000000</f>
        <v>0.99390386161912814</v>
      </c>
      <c r="Y207" s="143">
        <f>X207*Input!X207/100</f>
        <v>6.8327671728094031E-3</v>
      </c>
      <c r="Z207" s="143">
        <f>(X207/Constants!$B$11)*6.022E+23*0.000000001*Constants!$B$19/(365.2425*24*60)</f>
        <v>2.4264406427158288E-4</v>
      </c>
      <c r="AA207" s="143">
        <f>Z207*Input!X207/100</f>
        <v>1.6680993615731201E-6</v>
      </c>
      <c r="AB207" s="144">
        <v>0</v>
      </c>
      <c r="AC207" s="144">
        <v>0</v>
      </c>
      <c r="AD207" s="143">
        <f>(((Input!G207*Constants!$B$25*0.000000001*Input!U207*(Constants!$B$10/Constants!$B$9))-((AB207*0.000000000000001)+(Input!G207*AC207*0.000000000000001)))/Input!F207)*1000000000000</f>
        <v>223.38131808417918</v>
      </c>
      <c r="AE207" s="143">
        <f>AD207*Input!V207/100</f>
        <v>0.89803311133105357</v>
      </c>
      <c r="AF207" s="143">
        <f>(AD207/Constants!$B$10)*602200000000*Constants!$B$16/(365.2425*24*60)</f>
        <v>10.196389586406145</v>
      </c>
      <c r="AG207" s="143">
        <f>AF207*Input!V207/100</f>
        <v>4.0991321669850873E-2</v>
      </c>
      <c r="AH207" s="139">
        <f t="shared" ref="AH207" si="1111">AF207/Z207</f>
        <v>42022.002957359335</v>
      </c>
      <c r="AI207" s="148">
        <f t="shared" ref="AI207" si="1112">AH207*SQRT((AG207/AF207)^2+(AA207/Z207)^2)</f>
        <v>334.65722564148024</v>
      </c>
      <c r="AJ207" s="145">
        <f t="shared" ref="AJ207:AJ219" si="1113">(U207-1)*1000</f>
        <v>-1.7718874703667176</v>
      </c>
      <c r="AK207" s="148">
        <f t="shared" ref="AK207" si="1114">V207*1000</f>
        <v>1.4293484623421842</v>
      </c>
      <c r="AL207" s="148">
        <f t="shared" ref="AL207" si="1115">AF207/Q207</f>
        <v>0.99729228156550209</v>
      </c>
      <c r="AM207" s="148">
        <f t="shared" ref="AM207" si="1116">AL207*SQRT((R207/Q207)^2+(AG207/AF207)^2)</f>
        <v>4.0113032923697256E-3</v>
      </c>
      <c r="AN207" s="139">
        <f>AF207/Q207</f>
        <v>0.99729228156550209</v>
      </c>
      <c r="AO207" s="143">
        <f t="shared" ref="AO207" si="1117">AN207*SQRT((R207/Q207)^2+(AG207/AF207)^2)</f>
        <v>4.0113032923697256E-3</v>
      </c>
      <c r="AP207" s="139">
        <f t="shared" ref="AP207" si="1118">ThU_Alter_Kombi(AN207,U207)</f>
        <v>957.20150000000001</v>
      </c>
      <c r="AQ207" s="139" t="e">
        <f t="shared" ref="AQ207:AQ219" si="1119">Montealter(AN207,AO207,U207,V207)</f>
        <v>#VALUE!</v>
      </c>
      <c r="AR207" s="139" t="e">
        <f>(AQ207/AP207)*100</f>
        <v>#VALUE!</v>
      </c>
      <c r="AS207" s="147">
        <f t="shared" ref="AS207:AS219" si="1120">Z207/Q207</f>
        <v>2.3732621278844721E-5</v>
      </c>
      <c r="AT207" s="147">
        <f t="shared" ref="AT207:AT219" si="1121">AS207*SQRT((Y207/X207)^2+(P207/O207)^2)</f>
        <v>1.6318204454512379E-7</v>
      </c>
      <c r="AU207" s="139">
        <v>0.75</v>
      </c>
      <c r="AV207" s="139">
        <f t="shared" ref="AV207" si="1122">AU207/2</f>
        <v>0.375</v>
      </c>
      <c r="AW207" s="139">
        <f t="shared" ref="AW207:AW219" si="1123">marincorr_age(AN207,U207,AS207,AU207)</f>
        <v>957.19949999999994</v>
      </c>
      <c r="AX207" s="149">
        <f t="shared" ref="AX207:AX219" si="1124">marincorr_age_error(AN207, AO207, U207, V207, AS207, AT207, AU207, AV207)</f>
        <v>341.91440350089999</v>
      </c>
      <c r="AY207" s="149">
        <f t="shared" ref="AY207:AY219" si="1125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3243.6192876119953</v>
      </c>
      <c r="AZ207" s="150">
        <f t="shared" ref="AZ207:AZ219" si="1126">AX207/AW207</f>
        <v>0.35720286471200624</v>
      </c>
      <c r="BA207" s="139" t="str">
        <f>Input!B207</f>
        <v>Hu1-13</v>
      </c>
      <c r="BB207" s="151">
        <f>Input!E207</f>
        <v>0</v>
      </c>
      <c r="BC207" s="139">
        <f>((U207-1)*EXP(Constants!$B$17*AW207*1000))*1000</f>
        <v>-26.398832002095553</v>
      </c>
      <c r="BD207" s="145">
        <f>SQRT((EXP(Constants!$B$17*AW207*1000)*V207)^2+((U207-1)*Constants!$B$17*EXP(Constants!$B$17*AW207*1000)*AY207*1000)^2)*1000</f>
        <v>242.58320845002243</v>
      </c>
      <c r="BE207" s="139">
        <f t="shared" ref="BE207:BE219" si="1127">AW207*1000-58</f>
        <v>957141.5</v>
      </c>
      <c r="BF207" s="152">
        <f t="shared" ref="BF207:BF219" si="1128">AY207/2*1000</f>
        <v>1621809.6438059977</v>
      </c>
      <c r="BG207" s="161">
        <f t="shared" ref="BG207:BG219" si="1129">AY207/AW207*100</f>
        <v>338.86554345379363</v>
      </c>
      <c r="BH207" s="139"/>
      <c r="BI207" s="18"/>
      <c r="BJ207" s="18"/>
      <c r="BK207" s="18"/>
      <c r="BL207" s="18"/>
      <c r="BM207" s="18"/>
      <c r="BN207" s="160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11100</v>
      </c>
      <c r="B208" s="18" t="str">
        <f>Input!B208</f>
        <v>M43-401-14-215,75</v>
      </c>
      <c r="C208" s="18">
        <f>Input!O208</f>
        <v>4.3993221047074096</v>
      </c>
      <c r="D208" s="18">
        <f>C208*Input!P208/100</f>
        <v>2.0040686616291756E-2</v>
      </c>
      <c r="E208" s="153">
        <f>Input!M208</f>
        <v>3.285515317836472</v>
      </c>
      <c r="F208" s="154">
        <f>E208*Input!N208/100</f>
        <v>2.3663931811374693E-4</v>
      </c>
      <c r="G208" s="21">
        <f>E208*137.88</f>
        <v>453.00685202329277</v>
      </c>
      <c r="H208" s="154">
        <f>G208*Input!L208/100</f>
        <v>1.7349866009955896E-2</v>
      </c>
      <c r="I208" s="18">
        <v>0.3</v>
      </c>
      <c r="J208" s="130">
        <f>(((C208*Constants!$B$24*0.000000001*Input!G208*(Constants!$B$4/Constants!$B$3))-(I208*0.000000000000001))/Input!F208)*1000000000000</f>
        <v>71.357197630426526</v>
      </c>
      <c r="K208" s="18">
        <f>J208*Input!P208/100</f>
        <v>0.32506081652852387</v>
      </c>
      <c r="L208" s="135">
        <f>(J208/Constants!$B$4)*602200000000*Constants!$B$17/(365.2425*24*60)</f>
        <v>0.98516534224348595</v>
      </c>
      <c r="M208" s="133">
        <f>L208*Input!P208/100</f>
        <v>4.4878254920246649E-3</v>
      </c>
      <c r="N208" s="18">
        <v>5.0000000000000001E-3</v>
      </c>
      <c r="O208" s="130">
        <f>(((G208*Constants!$B$23*0.000000001*Input!G208*(Constants!$B$7/Constants!$B$6))-(N208*0.000000001))/Input!F208)*1000000</f>
        <v>0.74017364235399474</v>
      </c>
      <c r="P208" s="18">
        <f>O208*Input!N208/100</f>
        <v>5.3311024015483095E-5</v>
      </c>
      <c r="Q208" s="131">
        <f>(O208/Constants!$B$7)*602200000000000000*Constants!$B$18/(365.2425*24*60)</f>
        <v>0.55225891943004657</v>
      </c>
      <c r="R208" s="132">
        <f>Q208*Input!N208/100</f>
        <v>3.9776461673056033E-5</v>
      </c>
      <c r="S208" s="133">
        <f>Input!S208*Constants!$B$17/Constants!$B$18</f>
        <v>1.7631055352900094</v>
      </c>
      <c r="T208" s="18">
        <f>S208*Input!T208/100</f>
        <v>8.0489192199130228E-4</v>
      </c>
      <c r="U208" s="18">
        <f>S208*1/((U207+U209)/2)</f>
        <v>1.7650864996815756</v>
      </c>
      <c r="V208" s="18">
        <f>U208*Input!T208/100</f>
        <v>8.0579627071269738E-4</v>
      </c>
      <c r="W208" s="134">
        <v>3.0000000000000001E-3</v>
      </c>
      <c r="X208" s="130">
        <f>(((Constants!$B$25*0.000000001*Input!G208/Input!W208*(Constants!$B$11/Constants!$B$9)-(W208*0.000000001))/Input!F208)*1000000000)</f>
        <v>3.2121241309580446E-2</v>
      </c>
      <c r="Y208" s="130">
        <f>X208*Input!X208/100</f>
        <v>1.1993565824557973E-4</v>
      </c>
      <c r="Z208" s="130">
        <f>(X208/Constants!$B$11)*6.022E+23*0.000000001*Constants!$B$19/(365.2425*24*60)</f>
        <v>7.8418334426308888E-6</v>
      </c>
      <c r="AA208" s="130">
        <f>Z208*Input!X208/100</f>
        <v>2.9280171545351181E-8</v>
      </c>
      <c r="AB208" s="135">
        <v>0.05</v>
      </c>
      <c r="AC208" s="135">
        <v>0</v>
      </c>
      <c r="AD208" s="130">
        <f>(((Input!G208*Constants!$B$25*0.000000001*Input!U208*(Constants!$B$10/Constants!$B$9))-((AB208*0.000000000000001)+(Input!G208*AC208*0.000000000000001)))/Input!F208)*1000000000000</f>
        <v>22.156423104734898</v>
      </c>
      <c r="AE208" s="130">
        <f>AD208*Input!V208/100</f>
        <v>4.7034882774689708E-2</v>
      </c>
      <c r="AF208" s="130">
        <f>(AD208/Constants!$B$10)*602200000000*Constants!$B$16/(365.2425*24*60)</f>
        <v>1.0113447433952074</v>
      </c>
      <c r="AG208" s="130">
        <f>AF208*Input!V208/100</f>
        <v>2.1469386653943561E-3</v>
      </c>
      <c r="AH208" s="18">
        <f>AF208/Z208</f>
        <v>128967.89389802536</v>
      </c>
      <c r="AI208" s="134">
        <f>AH208*SQRT((AG208/AF208)^2+(AA208/Z208)^2)</f>
        <v>553.93317568530722</v>
      </c>
      <c r="AJ208" s="133">
        <f t="shared" si="1113"/>
        <v>765.08649968157556</v>
      </c>
      <c r="AK208" s="134">
        <f>V208*1000</f>
        <v>0.80579627071269744</v>
      </c>
      <c r="AL208" s="134">
        <f>AF208/Q208</f>
        <v>1.8312872962540032</v>
      </c>
      <c r="AM208" s="134">
        <f>AL208*SQRT((R208/Q208)^2+(AG208/AF208)^2)</f>
        <v>3.889795061242715E-3</v>
      </c>
      <c r="AN208" s="18">
        <f>AL208*1/((AN207+AN209)/2)</f>
        <v>1.8380582767878733</v>
      </c>
      <c r="AO208" s="130">
        <f>AN208*SQRT((R208/Q208)^2+(AG208/AF208)^2)</f>
        <v>3.9041771446516335E-3</v>
      </c>
      <c r="AP208" s="18">
        <f>ThU_Alter_Kombi(AN208,U208)</f>
        <v>278.11320000000001</v>
      </c>
      <c r="AQ208" s="18">
        <f t="shared" si="1119"/>
        <v>2.2256</v>
      </c>
      <c r="AR208" s="155">
        <f>(AQ208/AP208)</f>
        <v>8.0024968250338342E-3</v>
      </c>
      <c r="AS208" s="132">
        <f t="shared" si="1120"/>
        <v>1.41995596028109E-5</v>
      </c>
      <c r="AT208" s="132">
        <f t="shared" si="1121"/>
        <v>5.3028783281395209E-8</v>
      </c>
      <c r="AU208" s="18">
        <v>0.75</v>
      </c>
      <c r="AV208" s="18">
        <f>AU208/2</f>
        <v>0.375</v>
      </c>
      <c r="AW208" s="18">
        <f t="shared" si="1123"/>
        <v>278.11270000000002</v>
      </c>
      <c r="AX208" s="136">
        <f t="shared" si="1124"/>
        <v>2.1415517223</v>
      </c>
      <c r="AY208" s="136">
        <f t="shared" si="1125"/>
        <v>2.0926654161485114</v>
      </c>
      <c r="AZ208" s="155">
        <f t="shared" si="1126"/>
        <v>7.7003017924028635E-3</v>
      </c>
      <c r="BA208" s="18" t="str">
        <f>Input!B208</f>
        <v>M43-401-14-215,75</v>
      </c>
      <c r="BB208" s="137">
        <f>Input!E208</f>
        <v>215.75</v>
      </c>
      <c r="BC208" s="18">
        <f>((U208-1)*EXP(Constants!$B$17*AW208*1000))*1000</f>
        <v>1677.1305817579907</v>
      </c>
      <c r="BD208" s="133">
        <f>SQRT((EXP(Constants!$B$17*AW208*1000)*V208)^2+((U208-1)*Constants!$B$17*EXP(Constants!$B$17*AW208*1000)*AY208*1000)^2)*1000</f>
        <v>10.060782550861191</v>
      </c>
      <c r="BE208" s="18">
        <f t="shared" si="1127"/>
        <v>278054.7</v>
      </c>
      <c r="BF208" s="138">
        <f t="shared" si="1128"/>
        <v>1046.3327080742556</v>
      </c>
      <c r="BG208" s="20">
        <f t="shared" si="1129"/>
        <v>0.75245230302266353</v>
      </c>
      <c r="BH208" s="18"/>
      <c r="BI208" s="18"/>
      <c r="BJ208" s="18"/>
      <c r="BK208" s="18"/>
      <c r="BL208" s="18"/>
      <c r="BM208" s="18"/>
      <c r="BN208" s="160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9">
        <f>Input!A209</f>
        <v>10815</v>
      </c>
      <c r="B209" s="139" t="str">
        <f>Input!B209</f>
        <v>Hu1-13</v>
      </c>
      <c r="C209" s="139">
        <f>Input!O209</f>
        <v>2.087671955153048</v>
      </c>
      <c r="D209" s="139">
        <f>C209*Input!P209/100</f>
        <v>2.20922941222132E-2</v>
      </c>
      <c r="E209" s="140">
        <f>Input!M209</f>
        <v>2.7320954837147284</v>
      </c>
      <c r="F209" s="141">
        <f>E209*Input!N209/100</f>
        <v>3.7334597465143212E-4</v>
      </c>
      <c r="G209" s="142">
        <f t="shared" ref="G209" si="1130">E209*137.88</f>
        <v>376.70132529458675</v>
      </c>
      <c r="H209" s="141">
        <f>G209*Input!L209/100</f>
        <v>2.6057302431003359E-2</v>
      </c>
      <c r="I209" s="139">
        <v>0</v>
      </c>
      <c r="J209" s="143">
        <f>(((C209*Constants!$B$24*0.000000001*Input!G209*(Constants!$B$4/Constants!$B$3))-(I209*0.000000000000001))/Input!F209)*1000000000000</f>
        <v>753.72795262994055</v>
      </c>
      <c r="K209" s="139">
        <f>J209*Input!P209/100</f>
        <v>7.976147582254363</v>
      </c>
      <c r="L209" s="144">
        <f>(J209/Constants!$B$4)*602200000000*Constants!$B$17/(365.2425*24*60)</f>
        <v>10.406051261387224</v>
      </c>
      <c r="M209" s="145">
        <f>L209*Input!P209/100</f>
        <v>0.11011957340804562</v>
      </c>
      <c r="N209" s="139">
        <v>0</v>
      </c>
      <c r="O209" s="143">
        <f>(((G209*Constants!$B$23*0.000000001*Input!G209*(Constants!$B$7/Constants!$B$6))-(N209*0.000000001))/Input!F209)*1000000</f>
        <v>13.700329533600421</v>
      </c>
      <c r="P209" s="139">
        <f>O209*Input!N209/100</f>
        <v>1.8721757395584232E-3</v>
      </c>
      <c r="Q209" s="146">
        <f>(O209/Constants!$B$7)*602200000000000000*Constants!$B$18/(365.2425*24*60)</f>
        <v>10.22210026285042</v>
      </c>
      <c r="R209" s="147">
        <f>Q209*Input!N209/100</f>
        <v>1.3968691827818409E-3</v>
      </c>
      <c r="S209" s="145">
        <f>Input!S209*Constants!$B$17/Constants!$B$18</f>
        <v>0.99952727861757273</v>
      </c>
      <c r="T209" s="139">
        <f>S209*Input!T209/100</f>
        <v>2.0377473464586833E-3</v>
      </c>
      <c r="U209" s="145">
        <f>S209</f>
        <v>0.99952727861757273</v>
      </c>
      <c r="V209" s="139">
        <f>U209*Input!T209/100</f>
        <v>2.0377473464586833E-3</v>
      </c>
      <c r="W209" s="148">
        <v>0</v>
      </c>
      <c r="X209" s="143">
        <f>(((Constants!$B$25*0.000000001*Input!G209/Input!W209*(Constants!$B$11/Constants!$B$9))-(W209*0.000000001))/Input!F209)*1000000000</f>
        <v>1.0072794238218827</v>
      </c>
      <c r="Y209" s="143">
        <f>X209*Input!X209/100</f>
        <v>4.2275313472949052E-3</v>
      </c>
      <c r="Z209" s="143">
        <f>(X209/Constants!$B$11)*6.022E+23*0.000000001*Constants!$B$19/(365.2425*24*60)</f>
        <v>2.4590947142022468E-4</v>
      </c>
      <c r="AA209" s="143">
        <f>Z209*Input!X209/100</f>
        <v>1.0320770725974357E-6</v>
      </c>
      <c r="AB209" s="144">
        <v>0</v>
      </c>
      <c r="AC209" s="144">
        <v>0</v>
      </c>
      <c r="AD209" s="143">
        <f>(((Input!G209*Constants!$B$25*0.000000001*Input!U209*(Constants!$B$10/Constants!$B$9))-((AB209*0.000000000000001)+(Input!G209*AC209*0.000000000000001)))/Input!F209)*1000000000000</f>
        <v>222.90104362054481</v>
      </c>
      <c r="AE209" s="143">
        <f>AD209*Input!V209/100</f>
        <v>0.85706454892533412</v>
      </c>
      <c r="AF209" s="143">
        <f>(AD209/Constants!$B$10)*602200000000*Constants!$B$16/(365.2425*24*60)</f>
        <v>10.174467137467184</v>
      </c>
      <c r="AG209" s="143">
        <f>AF209*Input!V209/100</f>
        <v>3.9121284252817239E-2</v>
      </c>
      <c r="AH209" s="139">
        <f t="shared" ref="AH209" si="1131">AF209/Z209</f>
        <v>41374.848551808936</v>
      </c>
      <c r="AI209" s="148">
        <f t="shared" ref="AI209" si="1132">AH209*SQRT((AG209/AF209)^2+(AA209/Z209)^2)</f>
        <v>235.50616965606912</v>
      </c>
      <c r="AJ209" s="145">
        <f t="shared" si="1113"/>
        <v>-0.4727213824272658</v>
      </c>
      <c r="AK209" s="148">
        <f t="shared" ref="AK209" si="1133">V209*1000</f>
        <v>2.0377473464586831</v>
      </c>
      <c r="AL209" s="148">
        <f t="shared" ref="AL209" si="1134">AF209/Q209</f>
        <v>0.995340182138856</v>
      </c>
      <c r="AM209" s="148">
        <f t="shared" ref="AM209" si="1135">AL209*SQRT((R209/Q209)^2+(AG209/AF209)^2)</f>
        <v>3.8295440234596316E-3</v>
      </c>
      <c r="AN209" s="139">
        <f>AF209/Q209</f>
        <v>0.995340182138856</v>
      </c>
      <c r="AO209" s="143">
        <f t="shared" ref="AO209" si="1136">AN209*SQRT((R209/Q209)^2+(AG209/AF209)^2)</f>
        <v>3.8295440234596316E-3</v>
      </c>
      <c r="AP209" s="139">
        <f t="shared" ref="AP209" si="1137">ThU_Alter_Kombi(AN209,U209)</f>
        <v>602.31089999999995</v>
      </c>
      <c r="AQ209" s="139" t="e">
        <f t="shared" si="1119"/>
        <v>#VALUE!</v>
      </c>
      <c r="AR209" s="139" t="e">
        <f>(AQ209/AP209)*100</f>
        <v>#VALUE!</v>
      </c>
      <c r="AS209" s="147">
        <f t="shared" si="1120"/>
        <v>2.4056648349842457E-5</v>
      </c>
      <c r="AT209" s="147">
        <f t="shared" si="1121"/>
        <v>1.0101876981811153E-7</v>
      </c>
      <c r="AU209" s="139">
        <v>0.75</v>
      </c>
      <c r="AV209" s="139">
        <f t="shared" ref="AV209" si="1138">AU209/2</f>
        <v>0.375</v>
      </c>
      <c r="AW209" s="139">
        <f t="shared" si="1123"/>
        <v>602.30889999999999</v>
      </c>
      <c r="AX209" s="149">
        <f t="shared" si="1124"/>
        <v>264.64937277270002</v>
      </c>
      <c r="AY209" s="149">
        <f t="shared" si="1125"/>
        <v>130.44470069389683</v>
      </c>
      <c r="AZ209" s="150">
        <f t="shared" si="1126"/>
        <v>0.43939143647503803</v>
      </c>
      <c r="BA209" s="139" t="str">
        <f>Input!B209</f>
        <v>Hu1-13</v>
      </c>
      <c r="BB209" s="151">
        <f>Input!E209</f>
        <v>0</v>
      </c>
      <c r="BC209" s="139">
        <f>((U209-1)*EXP(Constants!$B$17*AW209*1000))*1000</f>
        <v>-2.5870099433902545</v>
      </c>
      <c r="BD209" s="145">
        <f>SQRT((EXP(Constants!$B$17*AW209*1000)*V209)^2+((U209-1)*Constants!$B$17*EXP(Constants!$B$17*AW209*1000)*AY209*1000)^2)*1000</f>
        <v>11.192344139264623</v>
      </c>
      <c r="BE209" s="139">
        <f t="shared" si="1127"/>
        <v>602250.9</v>
      </c>
      <c r="BF209" s="152">
        <f t="shared" si="1128"/>
        <v>65222.35034694842</v>
      </c>
      <c r="BG209" s="161">
        <f t="shared" si="1129"/>
        <v>21.657442002583199</v>
      </c>
      <c r="BH209" s="139"/>
      <c r="BI209" s="18"/>
      <c r="BJ209" s="18"/>
      <c r="BK209" s="18"/>
      <c r="BL209" s="18"/>
      <c r="BM209" s="18"/>
      <c r="BN209" s="160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11101</v>
      </c>
      <c r="B210" s="18" t="str">
        <f>Input!B210</f>
        <v>M43-401-14-296,75</v>
      </c>
      <c r="C210" s="18">
        <f>Input!O210</f>
        <v>1.7086260630042003</v>
      </c>
      <c r="D210" s="18">
        <f>C210*Input!P210/100</f>
        <v>5.1585006843419025E-3</v>
      </c>
      <c r="E210" s="153">
        <f>Input!M210</f>
        <v>1.3114627829018366</v>
      </c>
      <c r="F210" s="154">
        <f>E210*Input!N210/100</f>
        <v>7.9849141272058573E-5</v>
      </c>
      <c r="G210" s="21">
        <f>E210*137.88</f>
        <v>180.82448850650522</v>
      </c>
      <c r="H210" s="154">
        <f>G210*Input!L210/100</f>
        <v>1.3529085422926086E-2</v>
      </c>
      <c r="I210" s="18">
        <v>0.3</v>
      </c>
      <c r="J210" s="130">
        <f>(((C210*Constants!$B$24*0.000000001*Input!G210*(Constants!$B$4/Constants!$B$3))-(I210*0.000000000000001))/Input!F210)*1000000000000</f>
        <v>35.939327326640431</v>
      </c>
      <c r="K210" s="18">
        <f>J210*Input!P210/100</f>
        <v>0.108504165202358</v>
      </c>
      <c r="L210" s="135">
        <f>(J210/Constants!$B$4)*602200000000*Constants!$B$17/(365.2425*24*60)</f>
        <v>0.49618231771273041</v>
      </c>
      <c r="M210" s="133">
        <f>L210*Input!P210/100</f>
        <v>1.4980204744033446E-3</v>
      </c>
      <c r="N210" s="18">
        <v>5.0000000000000001E-3</v>
      </c>
      <c r="O210" s="130">
        <f>(((G210*Constants!$B$23*0.000000001*Input!G210*(Constants!$B$7/Constants!$B$6))-(N210*0.000000001))/Input!F210)*1000000</f>
        <v>0.38313384159103214</v>
      </c>
      <c r="P210" s="18">
        <f>O210*Input!N210/100</f>
        <v>2.3327317131803601E-5</v>
      </c>
      <c r="Q210" s="131">
        <f>(O210/Constants!$B$7)*602200000000000000*Constants!$B$18/(365.2425*24*60)</f>
        <v>0.28586411248207033</v>
      </c>
      <c r="R210" s="132">
        <f>Q210*Input!N210/100</f>
        <v>1.7404995551369002E-5</v>
      </c>
      <c r="S210" s="133">
        <f>Input!S210*Constants!$B$17/Constants!$B$18</f>
        <v>1.7202347199139953</v>
      </c>
      <c r="T210" s="18">
        <f>S210*Input!T210/100</f>
        <v>1.4813146132245509E-3</v>
      </c>
      <c r="U210" s="18">
        <f>S210*1/((U209+U211)/2)</f>
        <v>1.7206786694133471</v>
      </c>
      <c r="V210" s="18">
        <f>U210*Input!T210/100</f>
        <v>1.481696903427923E-3</v>
      </c>
      <c r="W210" s="134">
        <v>3.0000000000000001E-3</v>
      </c>
      <c r="X210" s="130">
        <f>(((Constants!$B$25*0.000000001*Input!G210/Input!W210*(Constants!$B$11/Constants!$B$9)-(W210*0.000000001))/Input!F210)*1000000000)</f>
        <v>0.41858538468907841</v>
      </c>
      <c r="Y210" s="130">
        <f>X210*Input!X210/100</f>
        <v>8.0773080881257496E-4</v>
      </c>
      <c r="Z210" s="130">
        <f>(X210/Constants!$B$11)*6.022E+23*0.000000001*Constants!$B$19/(365.2425*24*60)</f>
        <v>1.0219022473681E-4</v>
      </c>
      <c r="AA210" s="130">
        <f>Z210*Input!X210/100</f>
        <v>1.9719320334300245E-7</v>
      </c>
      <c r="AB210" s="135">
        <v>0.05</v>
      </c>
      <c r="AC210" s="135">
        <v>0</v>
      </c>
      <c r="AD210" s="130">
        <f>(((Input!G210*Constants!$B$25*0.000000001*Input!U210*(Constants!$B$10/Constants!$B$9))-((AB210*0.000000000000001)+(Input!G210*AC210*0.000000000000001)))/Input!F210)*1000000000000</f>
        <v>11.292173292143971</v>
      </c>
      <c r="AE210" s="130">
        <f>AD210*Input!V210/100</f>
        <v>2.352921963930981E-2</v>
      </c>
      <c r="AF210" s="130">
        <f>(AD210/Constants!$B$10)*602200000000*Constants!$B$16/(365.2425*24*60)</f>
        <v>0.51543879833550432</v>
      </c>
      <c r="AG210" s="130">
        <f>AF210*Input!V210/100</f>
        <v>1.0740069588814605E-3</v>
      </c>
      <c r="AH210" s="18">
        <f>AF210/Z210</f>
        <v>5043.914911264872</v>
      </c>
      <c r="AI210" s="134">
        <f>AH210*SQRT((AG210/AF210)^2+(AA210/Z210)^2)</f>
        <v>14.324469827498055</v>
      </c>
      <c r="AJ210" s="133">
        <f t="shared" si="1113"/>
        <v>720.67866941334717</v>
      </c>
      <c r="AK210" s="134">
        <f>V210*1000</f>
        <v>1.481696903427923</v>
      </c>
      <c r="AL210" s="134">
        <f>AF210/Q210</f>
        <v>1.8030902650217526</v>
      </c>
      <c r="AM210" s="134">
        <f>AL210*SQRT((R210/Q210)^2+(AG210/AF210)^2)</f>
        <v>3.7586577707000293E-3</v>
      </c>
      <c r="AN210" s="18">
        <f>AL210*1/((AN209+AN211)/2)</f>
        <v>1.8110263897510601</v>
      </c>
      <c r="AO210" s="130">
        <f>AN210*SQRT((R210/Q210)^2+(AG210/AF210)^2)</f>
        <v>3.7752011337593913E-3</v>
      </c>
      <c r="AP210" s="18">
        <f>ThU_Alter_Kombi(AN210,U210)</f>
        <v>293.07260000000002</v>
      </c>
      <c r="AQ210" s="18">
        <f t="shared" si="1119"/>
        <v>2.5941000000000001</v>
      </c>
      <c r="AR210" s="155">
        <f>(AQ210/AP210)</f>
        <v>8.8513904063361772E-3</v>
      </c>
      <c r="AS210" s="132">
        <f t="shared" si="1120"/>
        <v>3.574783272007236E-4</v>
      </c>
      <c r="AT210" s="132">
        <f t="shared" si="1121"/>
        <v>6.9015776456829227E-7</v>
      </c>
      <c r="AU210" s="18">
        <v>0.75</v>
      </c>
      <c r="AV210" s="18">
        <f>AU210/2</f>
        <v>0.375</v>
      </c>
      <c r="AW210" s="18">
        <f t="shared" si="1123"/>
        <v>293.0616</v>
      </c>
      <c r="AX210" s="136">
        <f t="shared" si="1124"/>
        <v>2.5020445488999998</v>
      </c>
      <c r="AY210" s="136">
        <f t="shared" si="1125"/>
        <v>2.5254148037875956</v>
      </c>
      <c r="AZ210" s="155">
        <f t="shared" si="1126"/>
        <v>8.5376062537705372E-3</v>
      </c>
      <c r="BA210" s="18" t="str">
        <f>Input!B210</f>
        <v>M43-401-14-296,75</v>
      </c>
      <c r="BB210" s="137">
        <f>Input!E210</f>
        <v>296.75</v>
      </c>
      <c r="BC210" s="18">
        <f>((U210-1)*EXP(Constants!$B$17*AW210*1000))*1000</f>
        <v>1647.8567503309571</v>
      </c>
      <c r="BD210" s="133">
        <f>SQRT((EXP(Constants!$B$17*AW210*1000)*V210)^2+((U210-1)*Constants!$B$17*EXP(Constants!$B$17*AW210*1000)*AY210*1000)^2)*1000</f>
        <v>12.222980831091116</v>
      </c>
      <c r="BE210" s="18">
        <f t="shared" si="1127"/>
        <v>293003.59999999998</v>
      </c>
      <c r="BF210" s="138">
        <f t="shared" si="1128"/>
        <v>1262.7074018937979</v>
      </c>
      <c r="BG210" s="20">
        <f t="shared" si="1129"/>
        <v>0.86173514503012183</v>
      </c>
      <c r="BH210" s="18"/>
      <c r="BI210" s="18"/>
      <c r="BJ210" s="18"/>
      <c r="BK210" s="18"/>
      <c r="BL210" s="18"/>
      <c r="BM210" s="18"/>
      <c r="BN210" s="160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9">
        <f>Input!A211</f>
        <v>10815</v>
      </c>
      <c r="B211" s="139" t="str">
        <f>Input!B211</f>
        <v>Hu1-13</v>
      </c>
      <c r="C211" s="139">
        <f>Input!O211</f>
        <v>2.101521361737126</v>
      </c>
      <c r="D211" s="139">
        <f>C211*Input!P211/100</f>
        <v>1.492140816677771E-2</v>
      </c>
      <c r="E211" s="140">
        <f>Input!M211</f>
        <v>2.7314379880973041</v>
      </c>
      <c r="F211" s="141">
        <f>E211*Input!N211/100</f>
        <v>3.6895433211487803E-4</v>
      </c>
      <c r="G211" s="142">
        <f t="shared" ref="G211" si="1139">E211*137.88</f>
        <v>376.61066979885629</v>
      </c>
      <c r="H211" s="141">
        <f>G211*Input!L211/100</f>
        <v>2.6076455612279763E-2</v>
      </c>
      <c r="I211" s="139">
        <v>0</v>
      </c>
      <c r="J211" s="143">
        <f>(((C211*Constants!$B$24*0.000000001*Input!G211*(Constants!$B$4/Constants!$B$3))-(I211*0.000000000000001))/Input!F211)*1000000000000</f>
        <v>758.72810835076177</v>
      </c>
      <c r="K211" s="139">
        <f>J211*Input!P211/100</f>
        <v>5.3871885379983162</v>
      </c>
      <c r="L211" s="144">
        <f>(J211/Constants!$B$4)*602200000000*Constants!$B$17/(365.2425*24*60)</f>
        <v>10.475083962860259</v>
      </c>
      <c r="M211" s="145">
        <f>L211*Input!P211/100</f>
        <v>7.4376119242444722E-2</v>
      </c>
      <c r="N211" s="139">
        <v>0</v>
      </c>
      <c r="O211" s="143">
        <f>(((G211*Constants!$B$23*0.000000001*Input!G211*(Constants!$B$7/Constants!$B$6))-(N211*0.000000001))/Input!F211)*1000000</f>
        <v>13.697032464856189</v>
      </c>
      <c r="P211" s="139">
        <f>O211*Input!N211/100</f>
        <v>1.8501534675319856E-3</v>
      </c>
      <c r="Q211" s="146">
        <f>(O211/Constants!$B$7)*602200000000000000*Constants!$B$18/(365.2425*24*60)</f>
        <v>10.219640251418257</v>
      </c>
      <c r="R211" s="147">
        <f>Q211*Input!N211/100</f>
        <v>1.3804379084743201E-3</v>
      </c>
      <c r="S211" s="145">
        <f>Input!S211*Constants!$B$17/Constants!$B$18</f>
        <v>0.99995670464177344</v>
      </c>
      <c r="T211" s="139">
        <f>S211*Input!T211/100</f>
        <v>1.6368763824254591E-3</v>
      </c>
      <c r="U211" s="145">
        <f>S211</f>
        <v>0.99995670464177344</v>
      </c>
      <c r="V211" s="139">
        <f>U211*Input!T211/100</f>
        <v>1.6368763824254591E-3</v>
      </c>
      <c r="W211" s="148">
        <v>0</v>
      </c>
      <c r="X211" s="143">
        <f>(((Constants!$B$25*0.000000001*Input!G211/Input!W211*(Constants!$B$11/Constants!$B$9))-(W211*0.000000001))/Input!F211)*1000000000</f>
        <v>1.0024531647011314</v>
      </c>
      <c r="Y211" s="143">
        <f>X211*Input!X211/100</f>
        <v>4.7482316902837992E-3</v>
      </c>
      <c r="Z211" s="143">
        <f>(X211/Constants!$B$11)*6.022E+23*0.000000001*Constants!$B$19/(365.2425*24*60)</f>
        <v>2.447312255420175E-4</v>
      </c>
      <c r="AA211" s="143">
        <f>Z211*Input!X211/100</f>
        <v>1.1591968599022248E-6</v>
      </c>
      <c r="AB211" s="144">
        <v>0</v>
      </c>
      <c r="AC211" s="144">
        <v>0</v>
      </c>
      <c r="AD211" s="143">
        <f>(((Input!G211*Constants!$B$25*0.000000001*Input!U211*(Constants!$B$10/Constants!$B$9))-((AB211*0.000000000000001)+(Input!G211*AC211*0.000000000000001)))/Input!F211)*1000000000000</f>
        <v>222.97175157288464</v>
      </c>
      <c r="AE211" s="143">
        <f>AD211*Input!V211/100</f>
        <v>0.52371854974309417</v>
      </c>
      <c r="AF211" s="143">
        <f>(AD211/Constants!$B$10)*602200000000*Constants!$B$16/(365.2425*24*60)</f>
        <v>10.177694649217482</v>
      </c>
      <c r="AG211" s="143">
        <f>AF211*Input!V211/100</f>
        <v>2.3905483290217987E-2</v>
      </c>
      <c r="AH211" s="139">
        <f t="shared" ref="AH211" si="1140">AF211/Z211</f>
        <v>41587.233613840952</v>
      </c>
      <c r="AI211" s="148">
        <f t="shared" ref="AI211" si="1141">AH211*SQRT((AG211/AF211)^2+(AA211/Z211)^2)</f>
        <v>219.87185494707344</v>
      </c>
      <c r="AJ211" s="145">
        <f t="shared" si="1113"/>
        <v>-4.3295358226558278E-2</v>
      </c>
      <c r="AK211" s="148">
        <f t="shared" ref="AK211" si="1142">V211*1000</f>
        <v>1.6368763824254591</v>
      </c>
      <c r="AL211" s="148">
        <f t="shared" ref="AL211" si="1143">AF211/Q211</f>
        <v>0.99589558916274434</v>
      </c>
      <c r="AM211" s="148">
        <f t="shared" ref="AM211" si="1144">AL211*SQRT((R211/Q211)^2+(AG211/AF211)^2)</f>
        <v>2.3430356363743992E-3</v>
      </c>
      <c r="AN211" s="139">
        <f>AF211/Q211</f>
        <v>0.99589558916274434</v>
      </c>
      <c r="AO211" s="143">
        <f t="shared" ref="AO211" si="1145">AN211*SQRT((R211/Q211)^2+(AG211/AF211)^2)</f>
        <v>2.3430356363743992E-3</v>
      </c>
      <c r="AP211" s="139">
        <f t="shared" ref="AP211" si="1146">ThU_Alter_Kombi(AN211,U211)</f>
        <v>600.91520000000003</v>
      </c>
      <c r="AQ211" s="139" t="e">
        <f t="shared" si="1119"/>
        <v>#VALUE!</v>
      </c>
      <c r="AR211" s="139" t="e">
        <f>(AQ211/AP211)*100</f>
        <v>#VALUE!</v>
      </c>
      <c r="AS211" s="147">
        <f t="shared" si="1120"/>
        <v>2.394714681938577E-5</v>
      </c>
      <c r="AT211" s="147">
        <f t="shared" si="1121"/>
        <v>1.1347445674083846E-7</v>
      </c>
      <c r="AU211" s="139">
        <v>0.75</v>
      </c>
      <c r="AV211" s="139">
        <f t="shared" ref="AV211" si="1147">AU211/2</f>
        <v>0.375</v>
      </c>
      <c r="AW211" s="139">
        <f t="shared" si="1123"/>
        <v>600.91330000000005</v>
      </c>
      <c r="AX211" s="149">
        <f t="shared" si="1124"/>
        <v>233.90292581969999</v>
      </c>
      <c r="AY211" s="149">
        <f t="shared" si="1125"/>
        <v>88.291978743169608</v>
      </c>
      <c r="AZ211" s="150">
        <f t="shared" si="1126"/>
        <v>0.38924571285025639</v>
      </c>
      <c r="BA211" s="139" t="str">
        <f>Input!B211</f>
        <v>Hu1-13</v>
      </c>
      <c r="BB211" s="151">
        <f>Input!E211</f>
        <v>0</v>
      </c>
      <c r="BC211" s="139">
        <f>((U211-1)*EXP(Constants!$B$17*AW211*1000))*1000</f>
        <v>-0.23600637475856784</v>
      </c>
      <c r="BD211" s="145">
        <f>SQRT((EXP(Constants!$B$17*AW211*1000)*V211)^2+((U211-1)*Constants!$B$17*EXP(Constants!$B$17*AW211*1000)*AY211*1000)^2)*1000</f>
        <v>8.9229346093093937</v>
      </c>
      <c r="BE211" s="139">
        <f t="shared" si="1127"/>
        <v>600855.30000000005</v>
      </c>
      <c r="BF211" s="152">
        <f t="shared" si="1128"/>
        <v>44145.989371584801</v>
      </c>
      <c r="BG211" s="161">
        <f t="shared" si="1129"/>
        <v>14.692964649504281</v>
      </c>
      <c r="BH211" s="139"/>
      <c r="BI211" s="18"/>
      <c r="BJ211" s="18"/>
      <c r="BK211" s="18"/>
      <c r="BL211" s="18"/>
      <c r="BM211" s="18"/>
      <c r="BN211" s="160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11102</v>
      </c>
      <c r="B212" s="18" t="str">
        <f>Input!B212</f>
        <v>M43-401-14-334,75</v>
      </c>
      <c r="C212" s="18">
        <f>Input!O212</f>
        <v>1.9508403717961924</v>
      </c>
      <c r="D212" s="18">
        <f>C212*Input!P212/100</f>
        <v>4.8039219828736992E-3</v>
      </c>
      <c r="E212" s="153">
        <f>Input!M212</f>
        <v>1.55822595550524</v>
      </c>
      <c r="F212" s="154">
        <f>E212*Input!N212/100</f>
        <v>6.5554663530865631E-5</v>
      </c>
      <c r="G212" s="21">
        <f>E212*137.88</f>
        <v>214.84819474506247</v>
      </c>
      <c r="H212" s="154">
        <f>G212*Input!L212/100</f>
        <v>1.3017628366114869E-2</v>
      </c>
      <c r="I212" s="18">
        <v>0.3</v>
      </c>
      <c r="J212" s="130">
        <f>(((C212*Constants!$B$24*0.000000001*Input!G212*(Constants!$B$4/Constants!$B$3))-(I212*0.000000000000001))/Input!F212)*1000000000000</f>
        <v>37.651613719404565</v>
      </c>
      <c r="K212" s="18">
        <f>J212*Input!P212/100</f>
        <v>9.2716665828880482E-2</v>
      </c>
      <c r="L212" s="135">
        <f>(J212/Constants!$B$4)*602200000000*Constants!$B$17/(365.2425*24*60)</f>
        <v>0.51982233254183097</v>
      </c>
      <c r="M212" s="133">
        <f>L212*Input!P212/100</f>
        <v>1.2800565164576517E-3</v>
      </c>
      <c r="N212" s="18">
        <v>5.0000000000000001E-3</v>
      </c>
      <c r="O212" s="130">
        <f>(((G212*Constants!$B$23*0.000000001*Input!G212*(Constants!$B$7/Constants!$B$6))-(N212*0.000000001))/Input!F212)*1000000</f>
        <v>0.41770198284547455</v>
      </c>
      <c r="P212" s="18">
        <f>O212*Input!N212/100</f>
        <v>1.7572748576590123E-5</v>
      </c>
      <c r="Q212" s="131">
        <f>(O212/Constants!$B$7)*602200000000000000*Constants!$B$18/(365.2425*24*60)</f>
        <v>0.31165612025361067</v>
      </c>
      <c r="R212" s="132">
        <f>Q212*Input!N212/100</f>
        <v>1.3111392496305866E-5</v>
      </c>
      <c r="S212" s="133">
        <f>Input!S212*Constants!$B$17/Constants!$B$18</f>
        <v>1.654050733403813</v>
      </c>
      <c r="T212" s="18">
        <f>S212*Input!T212/100</f>
        <v>9.2954638991933625E-4</v>
      </c>
      <c r="U212" s="18">
        <f>S212*1/((U211+U213)/2)</f>
        <v>1.6523150418953081</v>
      </c>
      <c r="V212" s="18">
        <f>U212*Input!T212/100</f>
        <v>9.2857096290058683E-4</v>
      </c>
      <c r="W212" s="134">
        <v>3.0000000000000001E-3</v>
      </c>
      <c r="X212" s="130">
        <f>(((Constants!$B$25*0.000000001*Input!G212/Input!W212*(Constants!$B$11/Constants!$B$9)-(W212*0.000000001))/Input!F212)*1000000000)</f>
        <v>0.11286952813249093</v>
      </c>
      <c r="Y212" s="130">
        <f>X212*Input!X212/100</f>
        <v>2.7242327517795317E-4</v>
      </c>
      <c r="Z212" s="130">
        <f>(X212/Constants!$B$11)*6.022E+23*0.000000001*Constants!$B$19/(365.2425*24*60)</f>
        <v>2.7555100745728189E-5</v>
      </c>
      <c r="AA212" s="130">
        <f>Z212*Input!X212/100</f>
        <v>6.6507328569657133E-8</v>
      </c>
      <c r="AB212" s="135">
        <v>0.05</v>
      </c>
      <c r="AC212" s="135">
        <v>0</v>
      </c>
      <c r="AD212" s="130">
        <f>(((Input!G212*Constants!$B$25*0.000000001*Input!U212*(Constants!$B$10/Constants!$B$9))-((AB212*0.000000000000001)+(Input!G212*AC212*0.000000000000001)))/Input!F212)*1000000000000</f>
        <v>11.755219833750399</v>
      </c>
      <c r="AE212" s="130">
        <f>AD212*Input!V212/100</f>
        <v>2.2513073287727746E-2</v>
      </c>
      <c r="AF212" s="130">
        <f>(AD212/Constants!$B$10)*602200000000*Constants!$B$16/(365.2425*24*60)</f>
        <v>0.5365748672572479</v>
      </c>
      <c r="AG212" s="130">
        <f>AF212*Input!V212/100</f>
        <v>1.0276242794058582E-3</v>
      </c>
      <c r="AH212" s="18">
        <f>AF212/Z212</f>
        <v>19472.796423741329</v>
      </c>
      <c r="AI212" s="134">
        <f>AH212*SQRT((AG212/AF212)^2+(AA212/Z212)^2)</f>
        <v>59.998161551783319</v>
      </c>
      <c r="AJ212" s="133">
        <f t="shared" si="1113"/>
        <v>652.31504189530813</v>
      </c>
      <c r="AK212" s="134">
        <f>V212*1000</f>
        <v>0.92857096290058683</v>
      </c>
      <c r="AL212" s="134">
        <f>AF212/Q212</f>
        <v>1.7216888499433582</v>
      </c>
      <c r="AM212" s="134">
        <f>AL212*SQRT((R212/Q212)^2+(AG212/AF212)^2)</f>
        <v>3.2980972309959466E-3</v>
      </c>
      <c r="AN212" s="18">
        <f>AL212*1/((AN211+AN213)/2)</f>
        <v>1.7264963587405628</v>
      </c>
      <c r="AO212" s="130">
        <f>AN212*SQRT((R212/Q212)^2+(AG212/AF212)^2)</f>
        <v>3.3073065788131037E-3</v>
      </c>
      <c r="AP212" s="18">
        <f>ThU_Alter_Kombi(AN212,U212)</f>
        <v>292.34050000000002</v>
      </c>
      <c r="AQ212" s="18">
        <f t="shared" si="1119"/>
        <v>2.2639999999999998</v>
      </c>
      <c r="AR212" s="155">
        <f>(AQ212/AP212)</f>
        <v>7.7443939515735921E-3</v>
      </c>
      <c r="AS212" s="132">
        <f t="shared" si="1120"/>
        <v>8.8415079810738774E-5</v>
      </c>
      <c r="AT212" s="132">
        <f t="shared" si="1121"/>
        <v>2.1343213397907462E-7</v>
      </c>
      <c r="AU212" s="18">
        <v>0.75</v>
      </c>
      <c r="AV212" s="18">
        <f>AU212/2</f>
        <v>0.375</v>
      </c>
      <c r="AW212" s="18">
        <f t="shared" si="1123"/>
        <v>292.33760000000001</v>
      </c>
      <c r="AX212" s="136">
        <f t="shared" si="1124"/>
        <v>2.2019887927999999</v>
      </c>
      <c r="AY212" s="136">
        <f t="shared" si="1125"/>
        <v>2.2295386169011486</v>
      </c>
      <c r="AZ212" s="155">
        <f t="shared" si="1126"/>
        <v>7.5323488760939399E-3</v>
      </c>
      <c r="BA212" s="18" t="str">
        <f>Input!B212</f>
        <v>M43-401-14-334,75</v>
      </c>
      <c r="BB212" s="137">
        <f>Input!E212</f>
        <v>334.75</v>
      </c>
      <c r="BC212" s="18">
        <f>((U212-1)*EXP(Constants!$B$17*AW212*1000))*1000</f>
        <v>1488.4965843691584</v>
      </c>
      <c r="BD212" s="133">
        <f>SQRT((EXP(Constants!$B$17*AW212*1000)*V212)^2+((U212-1)*Constants!$B$17*EXP(Constants!$B$17*AW212*1000)*AY212*1000)^2)*1000</f>
        <v>9.6021593921495629</v>
      </c>
      <c r="BE212" s="18">
        <f t="shared" si="1127"/>
        <v>292279.60000000003</v>
      </c>
      <c r="BF212" s="138">
        <f t="shared" si="1128"/>
        <v>1114.7693084505743</v>
      </c>
      <c r="BG212" s="20">
        <f t="shared" si="1129"/>
        <v>0.76265886321196741</v>
      </c>
      <c r="BH212" s="18"/>
      <c r="BI212" s="18"/>
      <c r="BJ212" s="18"/>
      <c r="BK212" s="18"/>
      <c r="BL212" s="18"/>
      <c r="BM212" s="18"/>
      <c r="BN212" s="160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9">
        <f>Input!A213</f>
        <v>10815</v>
      </c>
      <c r="B213" s="139" t="str">
        <f>Input!B213</f>
        <v>Hu1-13</v>
      </c>
      <c r="C213" s="139">
        <f>Input!O213</f>
        <v>2.1085116132528223</v>
      </c>
      <c r="D213" s="139">
        <f>C213*Input!P213/100</f>
        <v>2.1135279061360559E-2</v>
      </c>
      <c r="E213" s="140">
        <f>Input!M213</f>
        <v>2.7314381137190993</v>
      </c>
      <c r="F213" s="141">
        <f>E213*Input!N213/100</f>
        <v>3.582154072361446E-4</v>
      </c>
      <c r="G213" s="142">
        <f t="shared" ref="G213" si="1148">E213*137.88</f>
        <v>376.61068711958939</v>
      </c>
      <c r="H213" s="141">
        <f>G213*Input!L213/100</f>
        <v>2.5833803082073392E-2</v>
      </c>
      <c r="I213" s="139">
        <v>0</v>
      </c>
      <c r="J213" s="143">
        <f>(((C213*Constants!$B$24*0.000000001*Input!G213*(Constants!$B$4/Constants!$B$3))-(I213*0.000000000000001))/Input!F213)*1000000000000</f>
        <v>761.2518515807692</v>
      </c>
      <c r="K213" s="139">
        <f>J213*Input!P213/100</f>
        <v>7.6306292163674199</v>
      </c>
      <c r="L213" s="144">
        <f>(J213/Constants!$B$4)*602200000000*Constants!$B$17/(365.2425*24*60)</f>
        <v>10.50992704030007</v>
      </c>
      <c r="M213" s="145">
        <f>L213*Input!P213/100</f>
        <v>0.10534930873280735</v>
      </c>
      <c r="N213" s="139">
        <v>0</v>
      </c>
      <c r="O213" s="143">
        <f>(((G213*Constants!$B$23*0.000000001*Input!G213*(Constants!$B$7/Constants!$B$6))-(N213*0.000000001))/Input!F213)*1000000</f>
        <v>13.697033094797566</v>
      </c>
      <c r="P213" s="139">
        <f>O213*Input!N213/100</f>
        <v>1.7963021982215933E-3</v>
      </c>
      <c r="Q213" s="146">
        <f>(O213/Constants!$B$7)*602200000000000000*Constants!$B$18/(365.2425*24*60)</f>
        <v>10.219640721430595</v>
      </c>
      <c r="R213" s="147">
        <f>Q213*Input!N213/100</f>
        <v>1.3402583585720685E-3</v>
      </c>
      <c r="S213" s="145">
        <f>Input!S213*Constants!$B$17/Constants!$B$18</f>
        <v>1.002144216144512</v>
      </c>
      <c r="T213" s="139">
        <f>S213*Input!T213/100</f>
        <v>2.3292414858154765E-3</v>
      </c>
      <c r="U213" s="145">
        <f>S213</f>
        <v>1.002144216144512</v>
      </c>
      <c r="V213" s="139">
        <f>U213*Input!T213/100</f>
        <v>2.3292414858154765E-3</v>
      </c>
      <c r="W213" s="148">
        <v>0</v>
      </c>
      <c r="X213" s="143">
        <f>(((Constants!$B$25*0.000000001*Input!G213/Input!W213*(Constants!$B$11/Constants!$B$9))-(W213*0.000000001))/Input!F213)*1000000000</f>
        <v>0.99408543725355836</v>
      </c>
      <c r="Y213" s="143">
        <f>X213*Input!X213/100</f>
        <v>6.0697440985072485E-3</v>
      </c>
      <c r="Z213" s="143">
        <f>(X213/Constants!$B$11)*6.022E+23*0.000000001*Constants!$B$19/(365.2425*24*60)</f>
        <v>2.4268839275405713E-4</v>
      </c>
      <c r="AA213" s="143">
        <f>Z213*Input!X213/100</f>
        <v>1.4818207615684237E-6</v>
      </c>
      <c r="AB213" s="144">
        <v>0</v>
      </c>
      <c r="AC213" s="144">
        <v>0</v>
      </c>
      <c r="AD213" s="143">
        <f>(((Input!G213*Constants!$B$25*0.000000001*Input!U213*(Constants!$B$10/Constants!$B$9))-((AB213*0.000000000000001)+(Input!G213*AC213*0.000000000000001)))/Input!F213)*1000000000000</f>
        <v>223.56277268616142</v>
      </c>
      <c r="AE213" s="143">
        <f>AD213*Input!V213/100</f>
        <v>1.0008029138806527</v>
      </c>
      <c r="AF213" s="143">
        <f>(AD213/Constants!$B$10)*602200000000*Constants!$B$16/(365.2425*24*60)</f>
        <v>10.204672203009563</v>
      </c>
      <c r="AG213" s="143">
        <f>AF213*Input!V213/100</f>
        <v>4.5682318005179433E-2</v>
      </c>
      <c r="AH213" s="139">
        <f t="shared" ref="AH213" si="1149">AF213/Z213</f>
        <v>42048.455994148353</v>
      </c>
      <c r="AI213" s="148">
        <f t="shared" ref="AI213" si="1150">AH213*SQRT((AG213/AF213)^2+(AA213/Z213)^2)</f>
        <v>318.35295800249827</v>
      </c>
      <c r="AJ213" s="145">
        <f t="shared" si="1113"/>
        <v>2.1442161445119901</v>
      </c>
      <c r="AK213" s="148">
        <f t="shared" ref="AK213" si="1151">V213*1000</f>
        <v>2.3292414858154764</v>
      </c>
      <c r="AL213" s="148">
        <f t="shared" ref="AL213" si="1152">AF213/Q213</f>
        <v>0.99853531852742705</v>
      </c>
      <c r="AM213" s="148">
        <f t="shared" ref="AM213" si="1153">AL213*SQRT((R213/Q213)^2+(AG213/AF213)^2)</f>
        <v>4.4719690440224282E-3</v>
      </c>
      <c r="AN213" s="139">
        <f>AF213/Q213</f>
        <v>0.99853531852742705</v>
      </c>
      <c r="AO213" s="143">
        <f t="shared" ref="AO213" si="1154">AN213*SQRT((R213/Q213)^2+(AG213/AF213)^2)</f>
        <v>4.4719690440224282E-3</v>
      </c>
      <c r="AP213" s="139">
        <f t="shared" ref="AP213" si="1155">ThU_Alter_Kombi(AN213,U213)</f>
        <v>589.52089999999998</v>
      </c>
      <c r="AQ213" s="139" t="e">
        <f t="shared" si="1119"/>
        <v>#VALUE!</v>
      </c>
      <c r="AR213" s="139" t="e">
        <f>(AQ213/AP213)*100</f>
        <v>#VALUE!</v>
      </c>
      <c r="AS213" s="147">
        <f t="shared" si="1120"/>
        <v>2.3747252899521151E-5</v>
      </c>
      <c r="AT213" s="147">
        <f t="shared" si="1121"/>
        <v>1.4503078604599668E-7</v>
      </c>
      <c r="AU213" s="139">
        <v>0.75</v>
      </c>
      <c r="AV213" s="139">
        <f t="shared" ref="AV213" si="1156">AU213/2</f>
        <v>0.375</v>
      </c>
      <c r="AW213" s="139">
        <f t="shared" si="1123"/>
        <v>589.51900000000001</v>
      </c>
      <c r="AX213" s="149">
        <f t="shared" si="1124"/>
        <v>262.64360356830002</v>
      </c>
      <c r="AY213" s="149">
        <f t="shared" si="1125"/>
        <v>132.51926616471127</v>
      </c>
      <c r="AZ213" s="150">
        <f t="shared" si="1126"/>
        <v>0.4455218637029511</v>
      </c>
      <c r="BA213" s="139" t="str">
        <f>Input!B213</f>
        <v>Hu1-13</v>
      </c>
      <c r="BB213" s="151">
        <f>Input!E213</f>
        <v>0</v>
      </c>
      <c r="BC213" s="139">
        <f>((U213-1)*EXP(Constants!$B$17*AW213*1000))*1000</f>
        <v>11.318426269016097</v>
      </c>
      <c r="BD213" s="145">
        <f>SQRT((EXP(Constants!$B$17*AW213*1000)*V213)^2+((U213-1)*Constants!$B$17*EXP(Constants!$B$17*AW213*1000)*AY213*1000)^2)*1000</f>
        <v>13.003319926765224</v>
      </c>
      <c r="BE213" s="139">
        <f t="shared" si="1127"/>
        <v>589461</v>
      </c>
      <c r="BF213" s="152">
        <f t="shared" si="1128"/>
        <v>66259.633082355635</v>
      </c>
      <c r="BG213" s="161">
        <f t="shared" si="1129"/>
        <v>22.479218848707379</v>
      </c>
      <c r="BH213" s="139"/>
      <c r="BI213" s="18"/>
      <c r="BJ213" s="18"/>
      <c r="BK213" s="18"/>
      <c r="BL213" s="18"/>
      <c r="BM213" s="18"/>
      <c r="BN213" s="160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11103</v>
      </c>
      <c r="B214" s="18" t="str">
        <f>Input!B214</f>
        <v>M43-401-14-436,25</v>
      </c>
      <c r="C214" s="18">
        <f>Input!O214</f>
        <v>3.2953214834400026</v>
      </c>
      <c r="D214" s="18">
        <f>C214*Input!P214/100</f>
        <v>7.9668325932949566E-3</v>
      </c>
      <c r="E214" s="153">
        <f>Input!M214</f>
        <v>2.6658385272786704</v>
      </c>
      <c r="F214" s="154">
        <f>E214*Input!N214/100</f>
        <v>1.3177925079178773E-4</v>
      </c>
      <c r="G214" s="21">
        <f>E214*137.88</f>
        <v>367.56581614118306</v>
      </c>
      <c r="H214" s="154">
        <f>G214*Input!L214/100</f>
        <v>2.1407485899302588E-2</v>
      </c>
      <c r="I214" s="18">
        <v>0.3</v>
      </c>
      <c r="J214" s="130">
        <f>(((C214*Constants!$B$24*0.000000001*Input!G214*(Constants!$B$4/Constants!$B$3))-(I214*0.000000000000001))/Input!F214)*1000000000000</f>
        <v>61.763451411198986</v>
      </c>
      <c r="K214" s="18">
        <f>J214*Input!P214/100</f>
        <v>0.14932050795343541</v>
      </c>
      <c r="L214" s="135">
        <f>(J214/Constants!$B$4)*602200000000*Constants!$B$17/(365.2425*24*60)</f>
        <v>0.85271302360825441</v>
      </c>
      <c r="M214" s="133">
        <f>L214*Input!P214/100</f>
        <v>2.0615354050730265E-3</v>
      </c>
      <c r="N214" s="18">
        <v>5.0000000000000001E-3</v>
      </c>
      <c r="O214" s="130">
        <f>(((G214*Constants!$B$23*0.000000001*Input!G214*(Constants!$B$7/Constants!$B$6))-(N214*0.000000001))/Input!F214)*1000000</f>
        <v>0.6939779129080732</v>
      </c>
      <c r="P214" s="18">
        <f>O214*Input!N214/100</f>
        <v>3.4305112066344808E-5</v>
      </c>
      <c r="Q214" s="131">
        <f>(O214/Constants!$B$7)*602200000000000000*Constants!$B$18/(365.2425*24*60)</f>
        <v>0.51779132673794415</v>
      </c>
      <c r="R214" s="132">
        <f>Q214*Input!N214/100</f>
        <v>2.5595756234218182E-5</v>
      </c>
      <c r="S214" s="133">
        <f>Input!S214*Constants!$B$17/Constants!$B$18</f>
        <v>1.6311997876216975</v>
      </c>
      <c r="T214" s="18">
        <f>S214*Input!T214/100</f>
        <v>9.0747470408870901E-4</v>
      </c>
      <c r="U214" s="18">
        <f>S214*1/((U213+U215)/2)</f>
        <v>1.6292010693232986</v>
      </c>
      <c r="V214" s="18">
        <f>U214*Input!T214/100</f>
        <v>9.0636277021637773E-4</v>
      </c>
      <c r="W214" s="134">
        <v>3.0000000000000001E-3</v>
      </c>
      <c r="X214" s="130">
        <f>(((Constants!$B$25*0.000000001*Input!G214/Input!W214*(Constants!$B$11/Constants!$B$9)-(W214*0.000000001))/Input!F214)*1000000000)</f>
        <v>5.196960494106332E-2</v>
      </c>
      <c r="Y214" s="130">
        <f>X214*Input!X214/100</f>
        <v>1.3423164847788783E-4</v>
      </c>
      <c r="Z214" s="130">
        <f>(X214/Constants!$B$11)*6.022E+23*0.000000001*Constants!$B$19/(365.2425*24*60)</f>
        <v>1.2687460677479928E-5</v>
      </c>
      <c r="AA214" s="130">
        <f>Z214*Input!X214/100</f>
        <v>3.27702849322769E-8</v>
      </c>
      <c r="AB214" s="135">
        <v>0.05</v>
      </c>
      <c r="AC214" s="135">
        <v>0</v>
      </c>
      <c r="AD214" s="130">
        <f>(((Input!G214*Constants!$B$25*0.000000001*Input!U214*(Constants!$B$10/Constants!$B$9))-((AB214*0.000000000000001)+(Input!G214*AC214*0.000000000000001)))/Input!F214)*1000000000000</f>
        <v>19.199263290740383</v>
      </c>
      <c r="AE214" s="130">
        <f>AD214*Input!V214/100</f>
        <v>4.1931967007859568E-2</v>
      </c>
      <c r="AF214" s="130">
        <f>(AD214/Constants!$B$10)*602200000000*Constants!$B$16/(365.2425*24*60)</f>
        <v>0.87636320692943304</v>
      </c>
      <c r="AG214" s="130">
        <f>AF214*Input!V214/100</f>
        <v>1.9140126640999821E-3</v>
      </c>
      <c r="AH214" s="18">
        <f>AF214/Z214</f>
        <v>69073.176201835711</v>
      </c>
      <c r="AI214" s="134">
        <f>AH214*SQRT((AG214/AF214)^2+(AA214/Z214)^2)</f>
        <v>233.6403725776122</v>
      </c>
      <c r="AJ214" s="133">
        <f t="shared" si="1113"/>
        <v>629.20106932329861</v>
      </c>
      <c r="AK214" s="134">
        <f>V214*1000</f>
        <v>0.90636277021637768</v>
      </c>
      <c r="AL214" s="134">
        <f>AF214/Q214</f>
        <v>1.6925026775756777</v>
      </c>
      <c r="AM214" s="134">
        <f>AL214*SQRT((R214/Q214)^2+(AG214/AF214)^2)</f>
        <v>3.6974409477583733E-3</v>
      </c>
      <c r="AN214" s="18">
        <f>AL214*1/((AN213+AN215)/2)</f>
        <v>1.6942771280757578</v>
      </c>
      <c r="AO214" s="130">
        <f>AN214*SQRT((R214/Q214)^2+(AG214/AF214)^2)</f>
        <v>3.7013174118997265E-3</v>
      </c>
      <c r="AP214" s="18">
        <f>ThU_Alter_Kombi(AN214,U214)</f>
        <v>289.7199</v>
      </c>
      <c r="AQ214" s="18">
        <f t="shared" si="1119"/>
        <v>2.67</v>
      </c>
      <c r="AR214" s="155">
        <f>(AQ214/AP214)</f>
        <v>9.2157977411976184E-3</v>
      </c>
      <c r="AS214" s="132">
        <f t="shared" si="1120"/>
        <v>2.4503038236291458E-5</v>
      </c>
      <c r="AT214" s="132">
        <f t="shared" si="1121"/>
        <v>6.3300183433373601E-8</v>
      </c>
      <c r="AU214" s="18">
        <v>0.75</v>
      </c>
      <c r="AV214" s="18">
        <f>AU214/2</f>
        <v>0.375</v>
      </c>
      <c r="AW214" s="18">
        <f t="shared" si="1123"/>
        <v>289.71910000000003</v>
      </c>
      <c r="AX214" s="136">
        <f t="shared" si="1124"/>
        <v>2.2692282882999999</v>
      </c>
      <c r="AY214" s="136">
        <f t="shared" si="1125"/>
        <v>2.4674064019763091</v>
      </c>
      <c r="AZ214" s="155">
        <f t="shared" si="1126"/>
        <v>7.8325118651134829E-3</v>
      </c>
      <c r="BA214" s="18" t="str">
        <f>Input!B214</f>
        <v>M43-401-14-436,25</v>
      </c>
      <c r="BB214" s="137">
        <f>Input!E214</f>
        <v>436.24</v>
      </c>
      <c r="BC214" s="18">
        <f>((U214-1)*EXP(Constants!$B$17*AW214*1000))*1000</f>
        <v>1425.183069143088</v>
      </c>
      <c r="BD214" s="133">
        <f>SQRT((EXP(Constants!$B$17*AW214*1000)*V214)^2+((U214-1)*Constants!$B$17*EXP(Constants!$B$17*AW214*1000)*AY214*1000)^2)*1000</f>
        <v>10.13391904752681</v>
      </c>
      <c r="BE214" s="18">
        <f t="shared" si="1127"/>
        <v>289661.10000000003</v>
      </c>
      <c r="BF214" s="138">
        <f t="shared" si="1128"/>
        <v>1233.7032009881545</v>
      </c>
      <c r="BG214" s="20">
        <f t="shared" si="1129"/>
        <v>0.85165472417120891</v>
      </c>
      <c r="BH214" s="18"/>
      <c r="BI214" s="18"/>
      <c r="BJ214" s="18"/>
      <c r="BK214" s="18"/>
      <c r="BL214" s="18"/>
      <c r="BM214" s="18"/>
      <c r="BN214" s="160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9">
        <f>Input!A215</f>
        <v>10815</v>
      </c>
      <c r="B215" s="139" t="str">
        <f>Input!B215</f>
        <v>Hu1-13</v>
      </c>
      <c r="C215" s="139">
        <f>Input!O215</f>
        <v>2.0857360903228299</v>
      </c>
      <c r="D215" s="139">
        <f>C215*Input!P215/100</f>
        <v>2.3126271754644167E-2</v>
      </c>
      <c r="E215" s="140">
        <f>Input!M215</f>
        <v>2.7319571076565059</v>
      </c>
      <c r="F215" s="141">
        <f>E215*Input!N215/100</f>
        <v>3.4231182676832485E-4</v>
      </c>
      <c r="G215" s="142">
        <f t="shared" ref="G215" si="1157">E215*137.88</f>
        <v>376.68224600367904</v>
      </c>
      <c r="H215" s="141">
        <f>G215*Input!L215/100</f>
        <v>3.0962130178177089E-2</v>
      </c>
      <c r="I215" s="139">
        <v>0</v>
      </c>
      <c r="J215" s="143">
        <f>(((C215*Constants!$B$24*0.000000001*Input!G215*(Constants!$B$4/Constants!$B$3))-(I215*0.000000000000001))/Input!F215)*1000000000000</f>
        <v>753.0290327486598</v>
      </c>
      <c r="K215" s="139">
        <f>J215*Input!P215/100</f>
        <v>8.3494523258629982</v>
      </c>
      <c r="L215" s="144">
        <f>(J215/Constants!$B$4)*602200000000*Constants!$B$17/(365.2425*24*60)</f>
        <v>10.396401896405026</v>
      </c>
      <c r="M215" s="145">
        <f>L215*Input!P215/100</f>
        <v>0.11527345987935939</v>
      </c>
      <c r="N215" s="139">
        <v>0</v>
      </c>
      <c r="O215" s="143">
        <f>(((G215*Constants!$B$23*0.000000001*Input!G215*(Constants!$B$7/Constants!$B$6))-(N215*0.000000001))/Input!F215)*1000000</f>
        <v>13.699635634866462</v>
      </c>
      <c r="P215" s="139">
        <f>O215*Input!N215/100</f>
        <v>1.7165523159528328E-3</v>
      </c>
      <c r="Q215" s="146">
        <f>(O215/Constants!$B$7)*602200000000000000*Constants!$B$18/(365.2425*24*60)</f>
        <v>10.221582530600738</v>
      </c>
      <c r="R215" s="147">
        <f>Q215*Input!N215/100</f>
        <v>1.2807553159260902E-3</v>
      </c>
      <c r="S215" s="145">
        <f>Input!S215*Constants!$B$17/Constants!$B$18</f>
        <v>1.0003094015654606</v>
      </c>
      <c r="T215" s="139">
        <f>S215*Input!T215/100</f>
        <v>1.629839227999033E-3</v>
      </c>
      <c r="U215" s="145">
        <f>S215</f>
        <v>1.0003094015654606</v>
      </c>
      <c r="V215" s="139">
        <f>U215*Input!T215/100</f>
        <v>1.629839227999033E-3</v>
      </c>
      <c r="W215" s="148">
        <v>0</v>
      </c>
      <c r="X215" s="143">
        <f>(((Constants!$B$25*0.000000001*Input!G215/Input!W215*(Constants!$B$11/Constants!$B$9))-(W215*0.000000001))/Input!F215)*1000000000</f>
        <v>1.0036599900061856</v>
      </c>
      <c r="Y215" s="143">
        <f>X215*Input!X215/100</f>
        <v>6.024365824008616E-3</v>
      </c>
      <c r="Z215" s="143">
        <f>(X215/Constants!$B$11)*6.022E+23*0.000000001*Constants!$B$19/(365.2425*24*60)</f>
        <v>2.4502585061411165E-4</v>
      </c>
      <c r="AA215" s="143">
        <f>Z215*Input!X215/100</f>
        <v>1.4707424577412888E-6</v>
      </c>
      <c r="AB215" s="144">
        <v>0</v>
      </c>
      <c r="AC215" s="144">
        <v>0</v>
      </c>
      <c r="AD215" s="143">
        <f>(((Input!G215*Constants!$B$25*0.000000001*Input!U215*(Constants!$B$10/Constants!$B$9))-((AB215*0.000000000000001)+(Input!G215*AC215*0.000000000000001)))/Input!F215)*1000000000000</f>
        <v>223.79217347517567</v>
      </c>
      <c r="AE215" s="143">
        <f>AD215*Input!V215/100</f>
        <v>0.77276499232237572</v>
      </c>
      <c r="AF215" s="143">
        <f>(AD215/Constants!$B$10)*602200000000*Constants!$B$16/(365.2425*24*60)</f>
        <v>10.215143355370373</v>
      </c>
      <c r="AG215" s="143">
        <f>AF215*Input!V215/100</f>
        <v>3.527337464042455E-2</v>
      </c>
      <c r="AH215" s="139">
        <f t="shared" ref="AH215" si="1158">AF215/Z215</f>
        <v>41690.063843337419</v>
      </c>
      <c r="AI215" s="148">
        <f t="shared" ref="AI215" si="1159">AH215*SQRT((AG215/AF215)^2+(AA215/Z215)^2)</f>
        <v>288.69370653929019</v>
      </c>
      <c r="AJ215" s="145">
        <f t="shared" si="1113"/>
        <v>0.3094015654605542</v>
      </c>
      <c r="AK215" s="148">
        <f t="shared" ref="AK215" si="1160">V215*1000</f>
        <v>1.629839227999033</v>
      </c>
      <c r="AL215" s="148">
        <f t="shared" ref="AL215" si="1161">AF215/Q215</f>
        <v>0.99937004126209539</v>
      </c>
      <c r="AM215" s="148">
        <f t="shared" ref="AM215" si="1162">AL215*SQRT((R215/Q215)^2+(AG215/AF215)^2)</f>
        <v>3.4531433212459215E-3</v>
      </c>
      <c r="AN215" s="139">
        <f>AF215/Q215</f>
        <v>0.99937004126209539</v>
      </c>
      <c r="AO215" s="143">
        <f t="shared" ref="AO215" si="1163">AN215*SQRT((R215/Q215)^2+(AG215/AF215)^2)</f>
        <v>3.4531433212459215E-3</v>
      </c>
      <c r="AP215" s="139">
        <f t="shared" ref="AP215" si="1164">ThU_Alter_Kombi(AN215,U215)</f>
        <v>745.58609999999999</v>
      </c>
      <c r="AQ215" s="139" t="e">
        <f t="shared" si="1119"/>
        <v>#VALUE!</v>
      </c>
      <c r="AR215" s="139" t="e">
        <f>(AQ215/AP215)*100</f>
        <v>#VALUE!</v>
      </c>
      <c r="AS215" s="147">
        <f t="shared" si="1120"/>
        <v>2.3971420264970565E-5</v>
      </c>
      <c r="AT215" s="147">
        <f t="shared" si="1121"/>
        <v>1.4391733014381257E-7</v>
      </c>
      <c r="AU215" s="139">
        <v>0.75</v>
      </c>
      <c r="AV215" s="139">
        <f t="shared" ref="AV215" si="1165">AU215/2</f>
        <v>0.375</v>
      </c>
      <c r="AW215" s="139">
        <f t="shared" si="1123"/>
        <v>745.58420000000001</v>
      </c>
      <c r="AX215" s="149">
        <f t="shared" si="1124"/>
        <v>333.70958830389998</v>
      </c>
      <c r="AY215" s="149">
        <f t="shared" si="1125"/>
        <v>419.24729698773524</v>
      </c>
      <c r="AZ215" s="150">
        <f t="shared" si="1126"/>
        <v>0.44758135741596988</v>
      </c>
      <c r="BA215" s="139" t="str">
        <f>Input!B215</f>
        <v>Hu1-13</v>
      </c>
      <c r="BB215" s="151">
        <f>Input!E215</f>
        <v>0</v>
      </c>
      <c r="BC215" s="139">
        <f>((U215-1)*EXP(Constants!$B$17*AW215*1000))*1000</f>
        <v>2.5369639384364953</v>
      </c>
      <c r="BD215" s="145">
        <f>SQRT((EXP(Constants!$B$17*AW215*1000)*V215)^2+((U215-1)*Constants!$B$17*EXP(Constants!$B$17*AW215*1000)*AY215*1000)^2)*1000</f>
        <v>13.696937124522593</v>
      </c>
      <c r="BE215" s="139">
        <f t="shared" si="1127"/>
        <v>745526.2</v>
      </c>
      <c r="BF215" s="152">
        <f t="shared" si="1128"/>
        <v>209623.64849386763</v>
      </c>
      <c r="BG215" s="161">
        <f t="shared" si="1129"/>
        <v>56.230711030053385</v>
      </c>
      <c r="BH215" s="139"/>
      <c r="BI215" s="18"/>
      <c r="BJ215" s="18"/>
      <c r="BK215" s="18"/>
      <c r="BL215" s="18"/>
      <c r="BM215" s="18"/>
      <c r="BN215" s="160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6" spans="1:110" ht="15" customHeight="1" x14ac:dyDescent="0.2">
      <c r="A216" s="18">
        <f>Input!A216</f>
        <v>11104</v>
      </c>
      <c r="B216" s="18" t="str">
        <f>Input!B216</f>
        <v>M5-14-42-49</v>
      </c>
      <c r="C216" s="18">
        <f>Input!O216</f>
        <v>4.9332931817350065</v>
      </c>
      <c r="D216" s="18">
        <f>C216*Input!P216/100</f>
        <v>1.8586174446931482E-2</v>
      </c>
      <c r="E216" s="153">
        <f>Input!M216</f>
        <v>5.6684387396971392</v>
      </c>
      <c r="F216" s="154">
        <f>E216*Input!N216/100</f>
        <v>3.2907955967381448E-4</v>
      </c>
      <c r="G216" s="21">
        <f>E216*137.88</f>
        <v>781.56433342944149</v>
      </c>
      <c r="H216" s="154">
        <f>G216*Input!L216/100</f>
        <v>4.1943633539428676E-2</v>
      </c>
      <c r="I216" s="18">
        <v>0.3</v>
      </c>
      <c r="J216" s="130">
        <f>(((C216*Constants!$B$24*0.000000001*Input!G216*(Constants!$B$4/Constants!$B$3))-(I216*0.000000000000001))/Input!F216)*1000000000000</f>
        <v>90.903765497449442</v>
      </c>
      <c r="K216" s="18">
        <f>J216*Input!P216/100</f>
        <v>0.34247979618846452</v>
      </c>
      <c r="L216" s="135">
        <f>(J216/Constants!$B$4)*602200000000*Constants!$B$17/(365.2425*24*60)</f>
        <v>1.2550274144921052</v>
      </c>
      <c r="M216" s="133">
        <f>L216*Input!P216/100</f>
        <v>4.7283138467817546E-3</v>
      </c>
      <c r="N216" s="18">
        <v>5.0000000000000001E-3</v>
      </c>
      <c r="O216" s="130">
        <f>(((G216*Constants!$B$23*0.000000001*Input!G216*(Constants!$B$7/Constants!$B$6))-(N216*0.000000001))/Input!F216)*1000000</f>
        <v>1.4507443585722306</v>
      </c>
      <c r="P216" s="18">
        <f>O216*Input!N216/100</f>
        <v>8.4222541098455587E-5</v>
      </c>
      <c r="Q216" s="131">
        <f>(O216/Constants!$B$7)*602200000000000000*Constants!$B$18/(365.2425*24*60)</f>
        <v>1.0824304811588541</v>
      </c>
      <c r="R216" s="132">
        <f>Q216*Input!N216/100</f>
        <v>6.2840186244352475E-5</v>
      </c>
      <c r="S216" s="133">
        <f>Input!S216*Constants!$B$17/Constants!$B$18</f>
        <v>1.1449744858903677</v>
      </c>
      <c r="T216" s="18">
        <f>S216*Input!T216/100</f>
        <v>6.6840571198209064E-4</v>
      </c>
      <c r="U216" s="18">
        <f>S216*1/((U215+U217)/2)</f>
        <v>1.1442189445595046</v>
      </c>
      <c r="V216" s="18">
        <f>U216*Input!T216/100</f>
        <v>6.6796464700866925E-4</v>
      </c>
      <c r="W216" s="134">
        <v>3.0000000000000001E-3</v>
      </c>
      <c r="X216" s="130">
        <f>(((Constants!$B$25*0.000000001*Input!G216/Input!W216*(Constants!$B$11/Constants!$B$9)-(W216*0.000000001))/Input!F216)*1000000000)</f>
        <v>0.14941919648143323</v>
      </c>
      <c r="Y216" s="130">
        <f>X216*Input!X216/100</f>
        <v>5.6908579701572457E-4</v>
      </c>
      <c r="Z216" s="130">
        <f>(X216/Constants!$B$11)*6.022E+23*0.000000001*Constants!$B$19/(365.2425*24*60)</f>
        <v>3.6478056394092791E-5</v>
      </c>
      <c r="AA216" s="130">
        <f>Z216*Input!X216/100</f>
        <v>1.3893224087305519E-7</v>
      </c>
      <c r="AB216" s="135">
        <v>0.05</v>
      </c>
      <c r="AC216" s="135">
        <v>0</v>
      </c>
      <c r="AD216" s="130">
        <f>(((Input!G216*Constants!$B$25*0.000000001*Input!U216*(Constants!$B$10/Constants!$B$9))-((AB216*0.000000000000001)+(Input!G216*AC216*0.000000000000001)))/Input!F216)*1000000000000</f>
        <v>23.777998589687151</v>
      </c>
      <c r="AE216" s="130">
        <f>AD216*Input!V216/100</f>
        <v>9.165518013040827E-2</v>
      </c>
      <c r="AF216" s="130">
        <f>(AD216/Constants!$B$10)*602200000000*Constants!$B$16/(365.2425*24*60)</f>
        <v>1.0853626403713006</v>
      </c>
      <c r="AG216" s="130">
        <f>AF216*Input!V216/100</f>
        <v>4.1836619652754368E-3</v>
      </c>
      <c r="AH216" s="18">
        <f>AF216/Z216</f>
        <v>29753.850606663978</v>
      </c>
      <c r="AI216" s="134">
        <f>AH216*SQRT((AG216/AF216)^2+(AA216/Z216)^2)</f>
        <v>161.23166446671456</v>
      </c>
      <c r="AJ216" s="133">
        <f t="shared" si="1113"/>
        <v>144.21894455950456</v>
      </c>
      <c r="AK216" s="134">
        <f>V216*1000</f>
        <v>0.6679646470086692</v>
      </c>
      <c r="AL216" s="134">
        <f>AF216/Q216</f>
        <v>1.0027088660782235</v>
      </c>
      <c r="AM216" s="134">
        <f>AL216*SQRT((R216/Q216)^2+(AG216/AF216)^2)</f>
        <v>3.8655013076668646E-3</v>
      </c>
      <c r="AN216" s="18">
        <f>AL216*1/((AN215+AN217)/2)</f>
        <v>1.0039048089629627</v>
      </c>
      <c r="AO216" s="130">
        <f>AN216*SQRT((R216/Q216)^2+(AG216/AF216)^2)</f>
        <v>3.8701117374149684E-3</v>
      </c>
      <c r="AP216" s="18">
        <f>ThU_Alter_Kombi(AN216,U216)</f>
        <v>207.80090000000001</v>
      </c>
      <c r="AQ216" s="18">
        <f t="shared" si="1119"/>
        <v>2.4718</v>
      </c>
      <c r="AR216" s="155">
        <f>(AQ216/AP216)</f>
        <v>1.1895039915611529E-2</v>
      </c>
      <c r="AS216" s="132">
        <f t="shared" si="1120"/>
        <v>3.3700137818586973E-5</v>
      </c>
      <c r="AT216" s="132">
        <f t="shared" si="1121"/>
        <v>1.2836702441213683E-7</v>
      </c>
      <c r="AU216" s="18">
        <v>0.75</v>
      </c>
      <c r="AV216" s="18">
        <f>AU216/2</f>
        <v>0.375</v>
      </c>
      <c r="AW216" s="18">
        <f t="shared" si="1123"/>
        <v>207.7987</v>
      </c>
      <c r="AX216" s="136">
        <f t="shared" si="1124"/>
        <v>2.3230808272000001</v>
      </c>
      <c r="AY216" s="136">
        <f t="shared" si="1125"/>
        <v>2.287384591063546</v>
      </c>
      <c r="AZ216" s="155">
        <f t="shared" si="1126"/>
        <v>1.117947719210948E-2</v>
      </c>
      <c r="BA216" s="18" t="str">
        <f>Input!B216</f>
        <v>M5-14-42-49</v>
      </c>
      <c r="BB216" s="137">
        <f>Input!E216</f>
        <v>49</v>
      </c>
      <c r="BC216" s="18">
        <f>((U216-1)*EXP(Constants!$B$17*AW216*1000))*1000</f>
        <v>259.23966790265661</v>
      </c>
      <c r="BD216" s="133">
        <f>SQRT((EXP(Constants!$B$17*AW216*1000)*V216)^2+((U216-1)*Constants!$B$17*EXP(Constants!$B$17*AW216*1000)*AY216*1000)^2)*1000</f>
        <v>2.059618265738032</v>
      </c>
      <c r="BE216" s="18">
        <f t="shared" si="1127"/>
        <v>207740.69999999998</v>
      </c>
      <c r="BF216" s="138">
        <f t="shared" si="1128"/>
        <v>1143.692295531773</v>
      </c>
      <c r="BG216" s="20">
        <f t="shared" si="1129"/>
        <v>1.100769442284069</v>
      </c>
      <c r="BH216" s="18"/>
      <c r="BI216" s="18"/>
      <c r="BJ216" s="18"/>
      <c r="BK216" s="18"/>
      <c r="BL216" s="18"/>
      <c r="BM216" s="18"/>
      <c r="BN216" s="160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</row>
    <row r="217" spans="1:110" ht="15" customHeight="1" x14ac:dyDescent="0.2">
      <c r="A217" s="139">
        <f>Input!A217</f>
        <v>10815</v>
      </c>
      <c r="B217" s="139" t="str">
        <f>Input!B217</f>
        <v>Hu1-13</v>
      </c>
      <c r="C217" s="139">
        <f>Input!O217</f>
        <v>2.1153513364005119</v>
      </c>
      <c r="D217" s="139">
        <f>C217*Input!P217/100</f>
        <v>2.0258761827456374E-2</v>
      </c>
      <c r="E217" s="140">
        <f>Input!M217</f>
        <v>2.7317158484238857</v>
      </c>
      <c r="F217" s="141">
        <f>E217*Input!N217/100</f>
        <v>3.7872648059141109E-4</v>
      </c>
      <c r="G217" s="142">
        <f t="shared" ref="G217" si="1166">E217*137.88</f>
        <v>376.64898118068533</v>
      </c>
      <c r="H217" s="141">
        <f>G217*Input!L217/100</f>
        <v>2.6218526711370867E-2</v>
      </c>
      <c r="I217" s="139">
        <v>0</v>
      </c>
      <c r="J217" s="143">
        <f>(((C217*Constants!$B$24*0.000000001*Input!G217*(Constants!$B$4/Constants!$B$3))-(I217*0.000000000000001))/Input!F217)*1000000000000</f>
        <v>763.72124841868663</v>
      </c>
      <c r="K217" s="139">
        <f>J217*Input!P217/100</f>
        <v>7.314173588113781</v>
      </c>
      <c r="L217" s="144">
        <f>(J217/Constants!$B$4)*602200000000*Constants!$B$17/(365.2425*24*60)</f>
        <v>10.544019805455477</v>
      </c>
      <c r="M217" s="145">
        <f>L217*Input!P217/100</f>
        <v>0.10098028741938572</v>
      </c>
      <c r="N217" s="139">
        <v>0</v>
      </c>
      <c r="O217" s="143">
        <f>(((G217*Constants!$B$23*0.000000001*Input!G217*(Constants!$B$7/Constants!$B$6))-(N217*0.000000001))/Input!F217)*1000000</f>
        <v>13.698425819539864</v>
      </c>
      <c r="P217" s="139">
        <f>O217*Input!N217/100</f>
        <v>1.8991567528043362E-3</v>
      </c>
      <c r="Q217" s="146">
        <f>(O217/Constants!$B$7)*602200000000000000*Constants!$B$18/(365.2425*24*60)</f>
        <v>10.220679862271654</v>
      </c>
      <c r="R217" s="147">
        <f>Q217*Input!N217/100</f>
        <v>1.417000276849075E-3</v>
      </c>
      <c r="S217" s="145">
        <f>Input!S217*Constants!$B$17/Constants!$B$18</f>
        <v>1.0010112221393912</v>
      </c>
      <c r="T217" s="139">
        <f>S217*Input!T217/100</f>
        <v>2.0984321324745078E-3</v>
      </c>
      <c r="U217" s="145">
        <f>S217</f>
        <v>1.0010112221393912</v>
      </c>
      <c r="V217" s="139">
        <f>U217*Input!T217/100</f>
        <v>2.0984321324745078E-3</v>
      </c>
      <c r="W217" s="148">
        <v>0</v>
      </c>
      <c r="X217" s="143">
        <f>(((Constants!$B$25*0.000000001*Input!G217/Input!W217*(Constants!$B$11/Constants!$B$9))-(W217*0.000000001))/Input!F217)*1000000000</f>
        <v>0.98855850756311803</v>
      </c>
      <c r="Y217" s="143">
        <f>X217*Input!X217/100</f>
        <v>4.1193578987563676E-3</v>
      </c>
      <c r="Z217" s="143">
        <f>(X217/Constants!$B$11)*6.022E+23*0.000000001*Constants!$B$19/(365.2425*24*60)</f>
        <v>2.4133909053799873E-4</v>
      </c>
      <c r="AA217" s="143">
        <f>Z217*Input!X217/100</f>
        <v>1.0056684366988842E-6</v>
      </c>
      <c r="AB217" s="144">
        <v>0</v>
      </c>
      <c r="AC217" s="144">
        <v>0</v>
      </c>
      <c r="AD217" s="143">
        <f>(((Input!G217*Constants!$B$25*0.000000001*Input!U217*(Constants!$B$10/Constants!$B$9))-((AB217*0.000000000000001)+(Input!G217*AC217*0.000000000000001)))/Input!F217)*1000000000000</f>
        <v>223.52103062067914</v>
      </c>
      <c r="AE217" s="143">
        <f>AD217*Input!V217/100</f>
        <v>0.61257486550678875</v>
      </c>
      <c r="AF217" s="143">
        <f>(AD217/Constants!$B$10)*602200000000*Constants!$B$16/(365.2425*24*60)</f>
        <v>10.202766858527539</v>
      </c>
      <c r="AG217" s="143">
        <f>AF217*Input!V217/100</f>
        <v>2.7961389220533647E-2</v>
      </c>
      <c r="AH217" s="139">
        <f t="shared" ref="AH217" si="1167">AF217/Z217</f>
        <v>42275.649733258266</v>
      </c>
      <c r="AI217" s="148">
        <f t="shared" ref="AI217" si="1168">AH217*SQRT((AG217/AF217)^2+(AA217/Z217)^2)</f>
        <v>210.84871932491987</v>
      </c>
      <c r="AJ217" s="145">
        <f t="shared" si="1113"/>
        <v>1.0112221393911991</v>
      </c>
      <c r="AK217" s="148">
        <f t="shared" ref="AK217" si="1169">V217*1000</f>
        <v>2.0984321324745077</v>
      </c>
      <c r="AL217" s="148">
        <f t="shared" ref="AL217" si="1170">AF217/Q217</f>
        <v>0.99824737649691597</v>
      </c>
      <c r="AM217" s="148">
        <f t="shared" ref="AM217" si="1171">AL217*SQRT((R217/Q217)^2+(AG217/AF217)^2)</f>
        <v>2.7392644791924218E-3</v>
      </c>
      <c r="AN217" s="139">
        <f>AF217/Q217</f>
        <v>0.99824737649691597</v>
      </c>
      <c r="AO217" s="143">
        <f t="shared" ref="AO217" si="1172">AN217*SQRT((R217/Q217)^2+(AG217/AF217)^2)</f>
        <v>2.7392644791924218E-3</v>
      </c>
      <c r="AP217" s="139">
        <f t="shared" ref="AP217" si="1173">ThU_Alter_Kombi(AN217,U217)</f>
        <v>626.89700000000005</v>
      </c>
      <c r="AQ217" s="139" t="e">
        <f t="shared" si="1119"/>
        <v>#VALUE!</v>
      </c>
      <c r="AR217" s="139" t="e">
        <f>(AQ217/AP217)*100</f>
        <v>#VALUE!</v>
      </c>
      <c r="AS217" s="147">
        <f t="shared" si="1120"/>
        <v>2.3612821631256785E-5</v>
      </c>
      <c r="AT217" s="147">
        <f t="shared" si="1121"/>
        <v>9.8449898253608545E-8</v>
      </c>
      <c r="AU217" s="139">
        <v>0.75</v>
      </c>
      <c r="AV217" s="139">
        <f t="shared" ref="AV217" si="1174">AU217/2</f>
        <v>0.375</v>
      </c>
      <c r="AW217" s="139">
        <f t="shared" si="1123"/>
        <v>626.89509999999996</v>
      </c>
      <c r="AX217" s="149">
        <f t="shared" si="1124"/>
        <v>283.77772602350001</v>
      </c>
      <c r="AY217" s="149">
        <f t="shared" si="1125"/>
        <v>136.75161900463678</v>
      </c>
      <c r="AZ217" s="150">
        <f t="shared" si="1126"/>
        <v>0.45267178834784327</v>
      </c>
      <c r="BA217" s="139" t="str">
        <f>Input!B217</f>
        <v>Hu1-13</v>
      </c>
      <c r="BB217" s="151">
        <f>Input!E217</f>
        <v>0</v>
      </c>
      <c r="BC217" s="139">
        <f>((U217-1)*EXP(Constants!$B$17*AW217*1000))*1000</f>
        <v>5.9316073144646833</v>
      </c>
      <c r="BD217" s="145">
        <f>SQRT((EXP(Constants!$B$17*AW217*1000)*V217)^2+((U217-1)*Constants!$B$17*EXP(Constants!$B$17*AW217*1000)*AY217*1000)^2)*1000</f>
        <v>12.519992121340735</v>
      </c>
      <c r="BE217" s="139">
        <f t="shared" si="1127"/>
        <v>626837.1</v>
      </c>
      <c r="BF217" s="152">
        <f t="shared" si="1128"/>
        <v>68375.809502318385</v>
      </c>
      <c r="BG217" s="161">
        <f t="shared" si="1129"/>
        <v>21.814115153338541</v>
      </c>
      <c r="BH217" s="139"/>
      <c r="BI217" s="18"/>
      <c r="BJ217" s="18"/>
      <c r="BK217" s="18"/>
      <c r="BL217" s="18"/>
      <c r="BM217" s="18"/>
      <c r="BN217" s="160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11105</v>
      </c>
      <c r="B218" s="18" t="str">
        <f>Input!B218</f>
        <v>M5-14-42-64,5</v>
      </c>
      <c r="C218" s="18">
        <f>Input!O218</f>
        <v>4.3998658695986466</v>
      </c>
      <c r="D218" s="18">
        <f>C218*Input!P218/100</f>
        <v>1.1611705879863075E-2</v>
      </c>
      <c r="E218" s="153">
        <f>Input!M218</f>
        <v>4.9840370188844343</v>
      </c>
      <c r="F218" s="154">
        <f>E218*Input!N218/100</f>
        <v>2.5460464325048756E-4</v>
      </c>
      <c r="G218" s="21">
        <f>E218*137.88</f>
        <v>687.19902416378579</v>
      </c>
      <c r="H218" s="154">
        <f>G218*Input!L218/100</f>
        <v>5.5532876273391568E-2</v>
      </c>
      <c r="I218" s="18">
        <v>0.3</v>
      </c>
      <c r="J218" s="130">
        <f>(((C218*Constants!$B$24*0.000000001*Input!G218*(Constants!$B$4/Constants!$B$3))-(I218*0.000000000000001))/Input!F218)*1000000000000</f>
        <v>85.536041148585539</v>
      </c>
      <c r="K218" s="18">
        <f>J218*Input!P218/100</f>
        <v>0.2257385523517883</v>
      </c>
      <c r="L218" s="135">
        <f>(J218/Constants!$B$4)*602200000000*Constants!$B$17/(365.2425*24*60)</f>
        <v>1.1809200199920391</v>
      </c>
      <c r="M218" s="133">
        <f>L218*Input!P218/100</f>
        <v>3.1165713560810044E-3</v>
      </c>
      <c r="N218" s="18">
        <v>5.0000000000000001E-3</v>
      </c>
      <c r="O218" s="130">
        <f>(((G218*Constants!$B$23*0.000000001*Input!G218*(Constants!$B$7/Constants!$B$6))-(N218*0.000000001))/Input!F218)*1000000</f>
        <v>1.3457776262856656</v>
      </c>
      <c r="P218" s="18">
        <f>O218*Input!N218/100</f>
        <v>6.8747730230872661E-5</v>
      </c>
      <c r="Q218" s="131">
        <f>(O218/Constants!$B$7)*602200000000000000*Constants!$B$18/(365.2425*24*60)</f>
        <v>1.0041126232514559</v>
      </c>
      <c r="R218" s="132">
        <f>Q218*Input!N218/100</f>
        <v>5.1294108622706445E-5</v>
      </c>
      <c r="S218" s="133">
        <f>Input!S218*Constants!$B$17/Constants!$B$18</f>
        <v>1.1612130162629912</v>
      </c>
      <c r="T218" s="18">
        <f>S218*Input!T218/100</f>
        <v>5.4213123368056779E-4</v>
      </c>
      <c r="U218" s="18">
        <f>S218*1/((U217+U219)/2)</f>
        <v>1.1613148099737405</v>
      </c>
      <c r="V218" s="18">
        <f>U218*Input!T218/100</f>
        <v>5.4217875773448078E-4</v>
      </c>
      <c r="W218" s="134">
        <v>3.0000000000000001E-3</v>
      </c>
      <c r="X218" s="130">
        <f>(((Constants!$B$25*0.000000001*Input!G218/Input!W218*(Constants!$B$11/Constants!$B$9)-(W218*0.000000001))/Input!F218)*1000000000)</f>
        <v>0.19373294132460878</v>
      </c>
      <c r="Y218" s="130">
        <f>X218*Input!X218/100</f>
        <v>4.1941592121569641E-4</v>
      </c>
      <c r="Z218" s="130">
        <f>(X218/Constants!$B$11)*6.022E+23*0.000000001*Constants!$B$19/(365.2425*24*60)</f>
        <v>4.7296474117438393E-5</v>
      </c>
      <c r="AA218" s="130">
        <f>Z218*Input!X218/100</f>
        <v>1.0239298555314921E-7</v>
      </c>
      <c r="AB218" s="135">
        <v>0.05</v>
      </c>
      <c r="AC218" s="135">
        <v>0</v>
      </c>
      <c r="AD218" s="130">
        <f>(((Input!G218*Constants!$B$25*0.000000001*Input!U218*(Constants!$B$10/Constants!$B$9))-((AB218*0.000000000000001)+(Input!G218*AC218*0.000000000000001)))/Input!F218)*1000000000000</f>
        <v>22.581499235028257</v>
      </c>
      <c r="AE218" s="130">
        <f>AD218*Input!V218/100</f>
        <v>3.4906508094839424E-2</v>
      </c>
      <c r="AF218" s="130">
        <f>(AD218/Constants!$B$10)*602200000000*Constants!$B$16/(365.2425*24*60)</f>
        <v>1.0307476275106988</v>
      </c>
      <c r="AG218" s="130">
        <f>AF218*Input!V218/100</f>
        <v>1.5933308957461574E-3</v>
      </c>
      <c r="AH218" s="18">
        <f>AF218/Z218</f>
        <v>21793.329138052137</v>
      </c>
      <c r="AI218" s="134">
        <f>AH218*SQRT((AG218/AF218)^2+(AA218/Z218)^2)</f>
        <v>57.973413763482256</v>
      </c>
      <c r="AJ218" s="133">
        <f t="shared" si="1113"/>
        <v>161.31480997374047</v>
      </c>
      <c r="AK218" s="134">
        <f>V218*1000</f>
        <v>0.54217875773448077</v>
      </c>
      <c r="AL218" s="134">
        <f>AF218/Q218</f>
        <v>1.0265259131719657</v>
      </c>
      <c r="AM218" s="134">
        <f>AL218*SQRT((R218/Q218)^2+(AG218/AF218)^2)</f>
        <v>1.5876712040531337E-3</v>
      </c>
      <c r="AN218" s="18">
        <f>AL218*1/((AN217+AN219)/2)</f>
        <v>1.0294091720220957</v>
      </c>
      <c r="AO218" s="130">
        <f>AN218*SQRT((R218/Q218)^2+(AG218/AF218)^2)</f>
        <v>1.5921305820302931E-3</v>
      </c>
      <c r="AP218" s="18">
        <f>ThU_Alter_Kombi(AN218,U218)</f>
        <v>212.0907</v>
      </c>
      <c r="AQ218" s="18">
        <f t="shared" si="1119"/>
        <v>0.99219999999999997</v>
      </c>
      <c r="AR218" s="155">
        <f>(AQ218/AP218)</f>
        <v>4.6781872095287532E-3</v>
      </c>
      <c r="AS218" s="132">
        <f t="shared" si="1120"/>
        <v>4.7102758218780131E-5</v>
      </c>
      <c r="AT218" s="132">
        <f t="shared" si="1121"/>
        <v>1.0200199124592312E-7</v>
      </c>
      <c r="AU218" s="18">
        <v>0.75</v>
      </c>
      <c r="AV218" s="18">
        <f>AU218/2</f>
        <v>0.375</v>
      </c>
      <c r="AW218" s="18">
        <f t="shared" si="1123"/>
        <v>212.08770000000001</v>
      </c>
      <c r="AX218" s="136">
        <f t="shared" si="1124"/>
        <v>1.1216893065</v>
      </c>
      <c r="AY218" s="136">
        <f t="shared" si="1125"/>
        <v>0.99737119285383347</v>
      </c>
      <c r="AZ218" s="155">
        <f t="shared" si="1126"/>
        <v>5.2887994282553863E-3</v>
      </c>
      <c r="BA218" s="18" t="str">
        <f>Input!B218</f>
        <v>M5-14-42-64,5</v>
      </c>
      <c r="BB218" s="137">
        <f>Input!E218</f>
        <v>64.5</v>
      </c>
      <c r="BC218" s="18">
        <f>((U218-1)*EXP(Constants!$B$17*AW218*1000))*1000</f>
        <v>293.50128337216518</v>
      </c>
      <c r="BD218" s="133">
        <f>SQRT((EXP(Constants!$B$17*AW218*1000)*V218)^2+((U218-1)*Constants!$B$17*EXP(Constants!$B$17*AW218*1000)*AY218*1000)^2)*1000</f>
        <v>1.2866780813966168</v>
      </c>
      <c r="BE218" s="18">
        <f t="shared" si="1127"/>
        <v>212029.7</v>
      </c>
      <c r="BF218" s="138">
        <f t="shared" si="1128"/>
        <v>498.68559642691673</v>
      </c>
      <c r="BG218" s="20">
        <f t="shared" si="1129"/>
        <v>0.47026357155734788</v>
      </c>
      <c r="BH218" s="18"/>
      <c r="BI218" s="18"/>
      <c r="BJ218" s="18"/>
      <c r="BK218" s="18"/>
      <c r="BL218" s="18"/>
      <c r="BM218" s="18"/>
      <c r="BN218" s="160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9">
        <f>Input!A219</f>
        <v>10815</v>
      </c>
      <c r="B219" s="139" t="str">
        <f>Input!B219</f>
        <v>Hu1-13</v>
      </c>
      <c r="C219" s="139">
        <f>Input!O219</f>
        <v>2.0983065046672511</v>
      </c>
      <c r="D219" s="139">
        <f>C219*Input!P219/100</f>
        <v>2.00452963180189E-2</v>
      </c>
      <c r="E219" s="140">
        <f>Input!M219</f>
        <v>2.7320494911092519</v>
      </c>
      <c r="F219" s="141">
        <f>E219*Input!N219/100</f>
        <v>4.8129393879089906E-4</v>
      </c>
      <c r="G219" s="142">
        <f t="shared" ref="G219" si="1175">E219*137.88</f>
        <v>376.69498383414361</v>
      </c>
      <c r="H219" s="141">
        <f>G219*Input!L219/100</f>
        <v>2.4807997855006807E-2</v>
      </c>
      <c r="I219" s="139">
        <v>0</v>
      </c>
      <c r="J219" s="143">
        <f>(((C219*Constants!$B$24*0.000000001*Input!G219*(Constants!$B$4/Constants!$B$3))-(I219*0.000000000000001))/Input!F219)*1000000000000</f>
        <v>757.56742425415666</v>
      </c>
      <c r="K219" s="139">
        <f>J219*Input!P219/100</f>
        <v>7.2371045251375445</v>
      </c>
      <c r="L219" s="144">
        <f>(J219/Constants!$B$4)*602200000000*Constants!$B$17/(365.2425*24*60)</f>
        <v>10.459059430181849</v>
      </c>
      <c r="M219" s="145">
        <f>L219*Input!P219/100</f>
        <v>9.9916263434074462E-2</v>
      </c>
      <c r="N219" s="139">
        <v>0</v>
      </c>
      <c r="O219" s="143">
        <f>(((G219*Constants!$B$23*0.000000001*Input!G219*(Constants!$B$7/Constants!$B$6))-(N219*0.000000001))/Input!F219)*1000000</f>
        <v>13.700098899695094</v>
      </c>
      <c r="P219" s="139">
        <f>O219*Input!N219/100</f>
        <v>2.4134901592071617E-3</v>
      </c>
      <c r="Q219" s="146">
        <f>(O219/Constants!$B$7)*602200000000000000*Constants!$B$18/(365.2425*24*60)</f>
        <v>10.221928182106049</v>
      </c>
      <c r="R219" s="147">
        <f>Q219*Input!N219/100</f>
        <v>1.8007551081389906E-3</v>
      </c>
      <c r="S219" s="145">
        <f>Input!S219*Constants!$B$17/Constants!$B$18</f>
        <v>0.99881347016647637</v>
      </c>
      <c r="T219" s="139">
        <f>S219*Input!T219/100</f>
        <v>1.5295232021551863E-3</v>
      </c>
      <c r="U219" s="145">
        <f>S219</f>
        <v>0.99881347016647637</v>
      </c>
      <c r="V219" s="139">
        <f>U219*Input!T219/100</f>
        <v>1.5295232021551863E-3</v>
      </c>
      <c r="W219" s="148">
        <v>0</v>
      </c>
      <c r="X219" s="143">
        <f>(((Constants!$B$25*0.000000001*Input!G219/Input!W219*(Constants!$B$11/Constants!$B$9))-(W219*0.000000001))/Input!F219)*1000000000</f>
        <v>0.98576968385536334</v>
      </c>
      <c r="Y219" s="143">
        <f>X219*Input!X219/100</f>
        <v>4.7556465041995828E-3</v>
      </c>
      <c r="Z219" s="143">
        <f>(X219/Constants!$B$11)*6.022E+23*0.000000001*Constants!$B$19/(365.2425*24*60)</f>
        <v>2.4065824851180501E-4</v>
      </c>
      <c r="AA219" s="143">
        <f>Z219*Input!X219/100</f>
        <v>1.1610070556905907E-6</v>
      </c>
      <c r="AB219" s="144">
        <v>0</v>
      </c>
      <c r="AC219" s="144">
        <v>0</v>
      </c>
      <c r="AD219" s="143">
        <f>(((Input!G219*Constants!$B$25*0.000000001*Input!U219*(Constants!$B$10/Constants!$B$9))-((AB219*0.000000000000001)+(Input!G219*AC219*0.000000000000001)))/Input!F219)*1000000000000</f>
        <v>223.07883273682268</v>
      </c>
      <c r="AE219" s="143">
        <f>AD219*Input!V219/100</f>
        <v>0.7894384544648656</v>
      </c>
      <c r="AF219" s="143">
        <f>(AD219/Constants!$B$10)*602200000000*Constants!$B$16/(365.2425*24*60)</f>
        <v>10.182582440525378</v>
      </c>
      <c r="AG219" s="143">
        <f>AF219*Input!V219/100</f>
        <v>3.6034445965533998E-2</v>
      </c>
      <c r="AH219" s="139">
        <f t="shared" ref="AH219" si="1176">AF219/Z219</f>
        <v>42311.379325217233</v>
      </c>
      <c r="AI219" s="148">
        <f t="shared" ref="AI219" si="1177">AH219*SQRT((AG219/AF219)^2+(AA219/Z219)^2)</f>
        <v>253.15213034690035</v>
      </c>
      <c r="AJ219" s="145">
        <f t="shared" si="1113"/>
        <v>-1.1865298335236307</v>
      </c>
      <c r="AK219" s="148">
        <f t="shared" ref="AK219" si="1178">V219*1000</f>
        <v>1.5295232021551863</v>
      </c>
      <c r="AL219" s="148">
        <f t="shared" ref="AL219" si="1179">AF219/Q219</f>
        <v>0.99615084934273479</v>
      </c>
      <c r="AM219" s="148">
        <f t="shared" ref="AM219" si="1180">AL219*SQRT((R219/Q219)^2+(AG219/AF219)^2)</f>
        <v>3.5295755057400888E-3</v>
      </c>
      <c r="AN219" s="139">
        <f>AF219/Q219</f>
        <v>0.99615084934273479</v>
      </c>
      <c r="AO219" s="143">
        <f t="shared" ref="AO219" si="1181">AN219*SQRT((R219/Q219)^2+(AG219/AF219)^2)</f>
        <v>3.5295755057400888E-3</v>
      </c>
      <c r="AP219" s="139">
        <f t="shared" ref="AP219" si="1182">ThU_Alter_Kombi(AN219,U219)</f>
        <v>669.30100000000004</v>
      </c>
      <c r="AQ219" s="139" t="e">
        <f t="shared" si="1119"/>
        <v>#VALUE!</v>
      </c>
      <c r="AR219" s="139" t="e">
        <f>(AQ219/AP219)*100</f>
        <v>#VALUE!</v>
      </c>
      <c r="AS219" s="147">
        <f t="shared" si="1120"/>
        <v>2.3543331964813472E-5</v>
      </c>
      <c r="AT219" s="147">
        <f t="shared" si="1121"/>
        <v>1.1365574549625865E-7</v>
      </c>
      <c r="AU219" s="139">
        <v>0.75</v>
      </c>
      <c r="AV219" s="139">
        <f t="shared" ref="AV219" si="1183">AU219/2</f>
        <v>0.375</v>
      </c>
      <c r="AW219" s="139">
        <f t="shared" si="1123"/>
        <v>669.29899999999998</v>
      </c>
      <c r="AX219" s="149">
        <f t="shared" si="1124"/>
        <v>305.67314388289998</v>
      </c>
      <c r="AY219" s="149">
        <f t="shared" si="1125"/>
        <v>209.63288530924328</v>
      </c>
      <c r="AZ219" s="150">
        <f t="shared" si="1126"/>
        <v>0.45670641056224498</v>
      </c>
      <c r="BA219" s="139" t="str">
        <f>Input!B219</f>
        <v>Hu1-13</v>
      </c>
      <c r="BB219" s="151">
        <f>Input!E219</f>
        <v>0</v>
      </c>
      <c r="BC219" s="139">
        <f>((U219-1)*EXP(Constants!$B$17*AW219*1000))*1000</f>
        <v>-7.844674364525952</v>
      </c>
      <c r="BD219" s="145">
        <f>SQRT((EXP(Constants!$B$17*AW219*1000)*V219)^2+((U219-1)*Constants!$B$17*EXP(Constants!$B$17*AW219*1000)*AY219*1000)^2)*1000</f>
        <v>11.126433562210059</v>
      </c>
      <c r="BE219" s="139">
        <f t="shared" si="1127"/>
        <v>669241</v>
      </c>
      <c r="BF219" s="152">
        <f t="shared" si="1128"/>
        <v>104816.44265462164</v>
      </c>
      <c r="BG219" s="161">
        <f t="shared" si="1129"/>
        <v>31.321260798125095</v>
      </c>
      <c r="BH219" s="139"/>
      <c r="BI219" s="18"/>
      <c r="BJ219" s="18"/>
      <c r="BK219" s="18"/>
      <c r="BL219" s="18"/>
      <c r="BM219" s="18"/>
      <c r="BN219" s="160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  <row r="221" spans="1:110" ht="15" customHeight="1" x14ac:dyDescent="0.2">
      <c r="A221" s="139">
        <f>Input!A221</f>
        <v>10815</v>
      </c>
      <c r="B221" s="139" t="str">
        <f>Input!B221</f>
        <v>Hu1-13</v>
      </c>
      <c r="C221" s="139">
        <f>Input!O221</f>
        <v>2.1023979661134624</v>
      </c>
      <c r="D221" s="139">
        <f>C221*Input!P221/100</f>
        <v>2.2885989475173681E-2</v>
      </c>
      <c r="E221" s="140">
        <f>Input!M221</f>
        <v>2.7319123933279648</v>
      </c>
      <c r="F221" s="141">
        <f>E221*Input!N221/100</f>
        <v>4.8563750746158076E-4</v>
      </c>
      <c r="G221" s="142">
        <f t="shared" ref="G221" si="1184">E221*137.88</f>
        <v>376.67608079205979</v>
      </c>
      <c r="H221" s="141">
        <f>G221*Input!L221/100</f>
        <v>3.8305337597485591E-2</v>
      </c>
      <c r="I221" s="139">
        <v>0</v>
      </c>
      <c r="J221" s="143">
        <f>(((C221*Constants!$B$24*0.000000001*Input!G221*(Constants!$B$4/Constants!$B$3))-(I221*0.000000000000001))/Input!F221)*1000000000000</f>
        <v>759.04459544070517</v>
      </c>
      <c r="K221" s="139">
        <f>J221*Input!P221/100</f>
        <v>8.262701402131178</v>
      </c>
      <c r="L221" s="144">
        <f>(J221/Constants!$B$4)*602200000000*Constants!$B$17/(365.2425*24*60)</f>
        <v>10.479453418537238</v>
      </c>
      <c r="M221" s="145">
        <f>L221*Input!P221/100</f>
        <v>0.11407576705640363</v>
      </c>
      <c r="N221" s="139">
        <v>0</v>
      </c>
      <c r="O221" s="143">
        <f>(((G221*Constants!$B$23*0.000000001*Input!G221*(Constants!$B$7/Constants!$B$6))-(N221*0.000000001))/Input!F221)*1000000</f>
        <v>13.699411410991587</v>
      </c>
      <c r="P221" s="139">
        <f>O221*Input!N221/100</f>
        <v>2.4352713606676803E-3</v>
      </c>
      <c r="Q221" s="146">
        <f>(O221/Constants!$B$7)*602200000000000000*Constants!$B$18/(365.2425*24*60)</f>
        <v>10.22141523251315</v>
      </c>
      <c r="R221" s="147">
        <f>Q221*Input!N221/100</f>
        <v>1.8170065146930229E-3</v>
      </c>
      <c r="S221" s="145">
        <f>Input!S221*Constants!$B$17/Constants!$B$18</f>
        <v>0.9989585419650463</v>
      </c>
      <c r="T221" s="139">
        <f>S221*Input!T221/100</f>
        <v>1.9485607177166836E-3</v>
      </c>
      <c r="U221" s="145">
        <f>S221</f>
        <v>0.9989585419650463</v>
      </c>
      <c r="V221" s="139">
        <f>U221*Input!T221/100</f>
        <v>1.9485607177166836E-3</v>
      </c>
      <c r="W221" s="148">
        <v>0</v>
      </c>
      <c r="X221" s="143">
        <f>(((Constants!$B$25*0.000000001*Input!G221/Input!W221*(Constants!$B$11/Constants!$B$9))-(W221*0.000000001))/Input!F221)*1000000000</f>
        <v>0.88552530948960795</v>
      </c>
      <c r="Y221" s="143">
        <f>X221*Input!X221/100</f>
        <v>5.808138653139637E-3</v>
      </c>
      <c r="Z221" s="143">
        <f>(X221/Constants!$B$11)*6.022E+23*0.000000001*Constants!$B$19/(365.2425*24*60)</f>
        <v>2.1618535595573397E-4</v>
      </c>
      <c r="AA221" s="143">
        <f>Z221*Input!X221/100</f>
        <v>1.4179544149821786E-6</v>
      </c>
      <c r="AB221" s="144">
        <v>0</v>
      </c>
      <c r="AC221" s="144">
        <v>0</v>
      </c>
      <c r="AD221" s="143">
        <f>(((Input!G221*Constants!$B$25*0.000000001*Input!U221*(Constants!$B$10/Constants!$B$9))-((AB221*0.000000000000001)+(Input!G221*AC221*0.000000000000001)))/Input!F221)*1000000000000</f>
        <v>223.4393496867215</v>
      </c>
      <c r="AE221" s="143">
        <f>AD221*Input!V221/100</f>
        <v>0.68908773935633494</v>
      </c>
      <c r="AF221" s="143">
        <f>(AD221/Constants!$B$10)*602200000000*Constants!$B$16/(365.2425*24*60)</f>
        <v>10.199038477696249</v>
      </c>
      <c r="AG221" s="143">
        <f>AF221*Input!V221/100</f>
        <v>3.1453870493526791E-2</v>
      </c>
      <c r="AH221" s="139">
        <f t="shared" ref="AH221" si="1185">AF221/Z221</f>
        <v>47177.28651234175</v>
      </c>
      <c r="AI221" s="148">
        <f t="shared" ref="AI221" si="1186">AH221*SQRT((AG221/AF221)^2+(AA221/Z221)^2)</f>
        <v>341.93358796214812</v>
      </c>
      <c r="AJ221" s="145">
        <f t="shared" ref="AJ221:AJ233" si="1187">(U221-1)*1000</f>
        <v>-1.0414580349537017</v>
      </c>
      <c r="AK221" s="148">
        <f t="shared" ref="AK221" si="1188">V221*1000</f>
        <v>1.9485607177166837</v>
      </c>
      <c r="AL221" s="148">
        <f t="shared" ref="AL221" si="1189">AF221/Q221</f>
        <v>0.99781079681160745</v>
      </c>
      <c r="AM221" s="148">
        <f t="shared" ref="AM221" si="1190">AL221*SQRT((R221/Q221)^2+(AG221/AF221)^2)</f>
        <v>3.0823598034990917E-3</v>
      </c>
      <c r="AN221" s="139">
        <f>AF221/Q221</f>
        <v>0.99781079681160745</v>
      </c>
      <c r="AO221" s="143">
        <f t="shared" ref="AO221" si="1191">AN221*SQRT((R221/Q221)^2+(AG221/AF221)^2)</f>
        <v>3.0823598034990917E-3</v>
      </c>
      <c r="AP221" s="139">
        <f t="shared" ref="AP221" si="1192">ThU_Alter_Kombi(AN221,U221)</f>
        <v>792.99990000000003</v>
      </c>
      <c r="AQ221" s="139" t="e">
        <f t="shared" ref="AQ221:AQ233" si="1193">Montealter(AN221,AO221,U221,V221)</f>
        <v>#VALUE!</v>
      </c>
      <c r="AR221" s="139" t="e">
        <f>(AQ221/AP221)*100</f>
        <v>#VALUE!</v>
      </c>
      <c r="AS221" s="147">
        <f t="shared" ref="AS221:AS233" si="1194">Z221/Q221</f>
        <v>2.1150237128423579E-5</v>
      </c>
      <c r="AT221" s="147">
        <f t="shared" ref="AT221:AT233" si="1195">AS221*SQRT((Y221/X221)^2+(P221/O221)^2)</f>
        <v>1.3877482358222497E-7</v>
      </c>
      <c r="AU221" s="139">
        <v>0.75</v>
      </c>
      <c r="AV221" s="139">
        <f t="shared" ref="AV221" si="1196">AU221/2</f>
        <v>0.375</v>
      </c>
      <c r="AW221" s="139">
        <f t="shared" ref="AW221:AW233" si="1197">marincorr_age(AN221,U221,AS221,AU221)</f>
        <v>792.9982</v>
      </c>
      <c r="AX221" s="149">
        <f t="shared" ref="AX221:AX233" si="1198">marincorr_age_error(AN221, AO221, U221, V221, AS221, AT221, AU221, AV221)</f>
        <v>342.35100802540001</v>
      </c>
      <c r="AY221" s="149">
        <f t="shared" ref="AY221:AY233" si="1199">SQRT(((AU221*EXP(-0.0000091577*AW221*1000))/(0.0000091577*(EXP(-0.0000091577*AW221*1000)+(AJ221/1000)*EXP(-(0.0000091577-0.0000028263)*AW221*1000)-AS221*AU221*EXP(-0.0000091577*AW221*1000))))^2*AT221^2+((AS221*EXP(-0.0000091577*AW221*1000))/(0.0000091577*(EXP(-0.0000091577*AW221*1000)+(AJ221/1000)*EXP(-(0.0000091577-0.0000028263)*AW221*1000)-AS221*AU221*EXP(-0.0000091577*AW221*1000))))^2*AV221^2+((0.0000091577/(0.0000091577-0.0000028263))*(EXP(-(0.0000091577-0.0000028263)*AW221*1000)-1)/(0.0000091577*(EXP(-0.0000091577*AW221*1000)+(AJ221/1000)*EXP(-(0.0000091577-0.0000028263)*AW221*1000)-AS221*AU221*EXP(-0.0000091577*AW221*1000))))^2*T221^2+(1/(0.0000091577*(EXP(-0.0000091577*AW221*1000)+(AJ221/1000)*EXP(-(0.0000091577-0.0000028263)*AW221*1000)-AS221*AU221*EXP(-0.0000091577*AW221*1000))))^2*AO221^2)/1000</f>
        <v>654.45621978657061</v>
      </c>
      <c r="AZ221" s="150">
        <f t="shared" ref="AZ221:AZ233" si="1200">AX221/AW221</f>
        <v>0.43171725739780997</v>
      </c>
      <c r="BA221" s="139" t="str">
        <f>Input!B221</f>
        <v>Hu1-13</v>
      </c>
      <c r="BB221" s="151">
        <f>Input!E221</f>
        <v>0</v>
      </c>
      <c r="BC221" s="139">
        <f>((U221-1)*EXP(Constants!$B$17*AW221*1000))*1000</f>
        <v>-9.7621258412189462</v>
      </c>
      <c r="BD221" s="145">
        <f>SQRT((EXP(Constants!$B$17*AW221*1000)*V221)^2+((U221-1)*Constants!$B$17*EXP(Constants!$B$17*AW221*1000)*AY221*1000)^2)*1000</f>
        <v>25.664754855834268</v>
      </c>
      <c r="BE221" s="139">
        <f t="shared" ref="BE221:BE233" si="1201">AW221*1000-58</f>
        <v>792940.2</v>
      </c>
      <c r="BF221" s="152">
        <f t="shared" ref="BF221:BF233" si="1202">AY221/2*1000</f>
        <v>327228.10989328532</v>
      </c>
      <c r="BG221" s="161">
        <f t="shared" ref="BG221:BG233" si="1203">AY221/AW221*100</f>
        <v>82.529344932506859</v>
      </c>
      <c r="BH221" s="139"/>
      <c r="BI221" s="18"/>
      <c r="BJ221" s="18"/>
      <c r="BK221" s="18"/>
      <c r="BL221" s="18"/>
      <c r="BM221" s="18"/>
      <c r="BN221" s="160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</row>
    <row r="222" spans="1:110" ht="15" customHeight="1" x14ac:dyDescent="0.2">
      <c r="A222" s="18">
        <f>Input!A222</f>
        <v>11108</v>
      </c>
      <c r="B222" s="18" t="str">
        <f>Input!B222</f>
        <v>EH-S-2-4,5</v>
      </c>
      <c r="C222" s="18">
        <f>Input!O222</f>
        <v>0.36625203435992931</v>
      </c>
      <c r="D222" s="18">
        <f>C222*Input!P222/100</f>
        <v>1.0524190061174965E-3</v>
      </c>
      <c r="E222" s="153">
        <f>Input!M222</f>
        <v>0.30080340028715302</v>
      </c>
      <c r="F222" s="154">
        <f>E222*Input!N222/100</f>
        <v>2.6151292382295893E-5</v>
      </c>
      <c r="G222" s="21">
        <f>E222*137.88</f>
        <v>41.474772831592659</v>
      </c>
      <c r="H222" s="154">
        <f>G222*Input!L222/100</f>
        <v>4.9678748899465589E-3</v>
      </c>
      <c r="I222" s="18">
        <v>0.3</v>
      </c>
      <c r="J222" s="130">
        <f>(((C222*Constants!$B$24*0.000000001*Input!G222*(Constants!$B$4/Constants!$B$3))-(I222*0.000000000000001))/Input!F222)*1000000000000</f>
        <v>27.885419811043256</v>
      </c>
      <c r="K222" s="18">
        <f>J222*Input!P222/100</f>
        <v>8.0128280663328069E-2</v>
      </c>
      <c r="L222" s="135">
        <f>(J222/Constants!$B$4)*602200000000*Constants!$B$17/(365.2425*24*60)</f>
        <v>0.38498918208687938</v>
      </c>
      <c r="M222" s="133">
        <f>L222*Input!P222/100</f>
        <v>1.1062598821763433E-3</v>
      </c>
      <c r="N222" s="18">
        <v>5.0000000000000001E-3</v>
      </c>
      <c r="O222" s="130">
        <f>(((G222*Constants!$B$23*0.000000001*Input!G222*(Constants!$B$7/Constants!$B$6))-(N222*0.000000001))/Input!F222)*1000000</f>
        <v>0.31806869396441195</v>
      </c>
      <c r="P222" s="18">
        <f>O222*Input!N222/100</f>
        <v>2.7652305145413541E-5</v>
      </c>
      <c r="Q222" s="131">
        <f>(O222/Constants!$B$7)*602200000000000000*Constants!$B$18/(365.2425*24*60)</f>
        <v>0.23731765518516415</v>
      </c>
      <c r="R222" s="132">
        <f>Q222*Input!N222/100</f>
        <v>2.063195888844201E-5</v>
      </c>
      <c r="S222" s="133">
        <f>Input!S222*Constants!$B$17/Constants!$B$18</f>
        <v>1.6156314905718927</v>
      </c>
      <c r="T222" s="18">
        <f>S222*Input!T222/100</f>
        <v>3.2796236516318238E-3</v>
      </c>
      <c r="U222" s="18">
        <f>S222*1/((U221+U223)/2)</f>
        <v>1.6173477892387167</v>
      </c>
      <c r="V222" s="18">
        <f>U222*Input!T222/100</f>
        <v>3.2831076229048696E-3</v>
      </c>
      <c r="W222" s="134">
        <v>3.0000000000000001E-3</v>
      </c>
      <c r="X222" s="130">
        <f>(((Constants!$B$25*0.000000001*Input!G222/Input!W222*(Constants!$B$11/Constants!$B$9)-(W222*0.000000001))/Input!F222)*1000000000)</f>
        <v>14.078135340179427</v>
      </c>
      <c r="Y222" s="130">
        <f>X222*Input!X222/100</f>
        <v>3.4131927173299673E-2</v>
      </c>
      <c r="Z222" s="130">
        <f>(X222/Constants!$B$11)*6.022E+23*0.000000001*Constants!$B$19/(365.2425*24*60)</f>
        <v>3.436927964784957E-3</v>
      </c>
      <c r="AA222" s="130">
        <f>Z222*Input!X222/100</f>
        <v>8.3327068648867031E-6</v>
      </c>
      <c r="AB222" s="135">
        <v>0.05</v>
      </c>
      <c r="AC222" s="135">
        <v>0</v>
      </c>
      <c r="AD222" s="130">
        <f>(((Input!G222*Constants!$B$25*0.000000001*Input!U222*(Constants!$B$10/Constants!$B$9))-((AB222*0.000000000000001)+(Input!G222*AC222*0.000000000000001)))/Input!F222)*1000000000000</f>
        <v>1.0717968139487675</v>
      </c>
      <c r="AE222" s="130">
        <f>AD222*Input!V222/100</f>
        <v>5.5008638059100045E-3</v>
      </c>
      <c r="AF222" s="130">
        <f>(AD222/Constants!$B$10)*602200000000*Constants!$B$16/(365.2425*24*60)</f>
        <v>4.8922882030681764E-2</v>
      </c>
      <c r="AG222" s="130">
        <f>AF222*Input!V222/100</f>
        <v>2.510906055522631E-4</v>
      </c>
      <c r="AH222" s="18">
        <f>AF222/Z222</f>
        <v>14.23447989947697</v>
      </c>
      <c r="AI222" s="134">
        <f>AH222*SQRT((AG222/AF222)^2+(AA222/Z222)^2)</f>
        <v>8.0797825871219961E-2</v>
      </c>
      <c r="AJ222" s="133">
        <f t="shared" si="1187"/>
        <v>617.3477892387167</v>
      </c>
      <c r="AK222" s="134">
        <f>V222*1000</f>
        <v>3.2831076229048697</v>
      </c>
      <c r="AL222" s="134">
        <f>AF222/Q222</f>
        <v>0.20614935704008322</v>
      </c>
      <c r="AM222" s="134">
        <f>AL222*SQRT((R222/Q222)^2+(AG222/AF222)^2)</f>
        <v>1.0581877111112768E-3</v>
      </c>
      <c r="AN222" s="18">
        <f>AL222*1/((AN221+AN223)/2)</f>
        <v>0.20656446386366473</v>
      </c>
      <c r="AO222" s="130">
        <f>AN222*SQRT((R222/Q222)^2+(AG222/AF222)^2)</f>
        <v>1.060318500873706E-3</v>
      </c>
      <c r="AP222" s="18">
        <f>ThU_Alter_Kombi(AN222,U222)</f>
        <v>14.775399999999999</v>
      </c>
      <c r="AQ222" s="18">
        <f t="shared" si="1193"/>
        <v>8.2400000000000001E-2</v>
      </c>
      <c r="AR222" s="155">
        <f>(AQ222/AP222)</f>
        <v>5.5768371753048994E-3</v>
      </c>
      <c r="AS222" s="132">
        <f t="shared" si="1194"/>
        <v>1.4482394755263096E-2</v>
      </c>
      <c r="AT222" s="132">
        <f t="shared" si="1195"/>
        <v>3.5134606536847907E-5</v>
      </c>
      <c r="AU222" s="18">
        <v>0.75</v>
      </c>
      <c r="AV222" s="18">
        <f>AU222/2</f>
        <v>0.375</v>
      </c>
      <c r="AW222" s="18">
        <f t="shared" si="1197"/>
        <v>14.052099999999999</v>
      </c>
      <c r="AX222" s="136">
        <f t="shared" si="1198"/>
        <v>0.38298081360000003</v>
      </c>
      <c r="AY222" s="136">
        <f t="shared" si="1199"/>
        <v>0.37361962840782104</v>
      </c>
      <c r="AZ222" s="155">
        <f t="shared" si="1200"/>
        <v>2.7254347293287129E-2</v>
      </c>
      <c r="BA222" s="18" t="str">
        <f>Input!B222</f>
        <v>EH-S-2-4,5</v>
      </c>
      <c r="BB222" s="137">
        <f>Input!E222</f>
        <v>4.5</v>
      </c>
      <c r="BC222" s="18">
        <f>((U222-1)*EXP(Constants!$B$17*AW222*1000))*1000</f>
        <v>642.32115001512875</v>
      </c>
      <c r="BD222" s="133">
        <f>SQRT((EXP(Constants!$B$17*AW222*1000)*V222)^2+((U222-1)*Constants!$B$17*EXP(Constants!$B$17*AW222*1000)*AY222*1000)^2)*1000</f>
        <v>3.4824074927768707</v>
      </c>
      <c r="BE222" s="18">
        <f t="shared" si="1201"/>
        <v>13994.099999999999</v>
      </c>
      <c r="BF222" s="138">
        <f t="shared" si="1202"/>
        <v>186.80981420391052</v>
      </c>
      <c r="BG222" s="20">
        <f t="shared" si="1203"/>
        <v>2.6588170338086194</v>
      </c>
      <c r="BH222" s="18"/>
      <c r="BI222" s="18"/>
      <c r="BJ222" s="18"/>
      <c r="BK222" s="18"/>
      <c r="BL222" s="18"/>
      <c r="BM222" s="18"/>
      <c r="BN222" s="160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</row>
    <row r="223" spans="1:110" ht="15" customHeight="1" x14ac:dyDescent="0.2">
      <c r="A223" s="139">
        <f>Input!A223</f>
        <v>10815</v>
      </c>
      <c r="B223" s="139" t="str">
        <f>Input!B223</f>
        <v>Hu1-13</v>
      </c>
      <c r="C223" s="139">
        <f>Input!O223</f>
        <v>2.0739449837377784</v>
      </c>
      <c r="D223" s="139">
        <f>C223*Input!P223/100</f>
        <v>2.771338858375097E-2</v>
      </c>
      <c r="E223" s="140">
        <f>Input!M223</f>
        <v>2.7317499599192652</v>
      </c>
      <c r="F223" s="141">
        <f>E223*Input!N223/100</f>
        <v>4.5991516743000278E-4</v>
      </c>
      <c r="G223" s="142">
        <f t="shared" ref="G223" si="1204">E223*137.88</f>
        <v>376.65368447366825</v>
      </c>
      <c r="H223" s="141">
        <f>G223*Input!L223/100</f>
        <v>8.2316271211966358E-2</v>
      </c>
      <c r="I223" s="139">
        <v>0</v>
      </c>
      <c r="J223" s="143">
        <f>(((C223*Constants!$B$24*0.000000001*Input!G223*(Constants!$B$4/Constants!$B$3))-(I223*0.000000000000001))/Input!F223)*1000000000000</f>
        <v>748.7720006016043</v>
      </c>
      <c r="K223" s="139">
        <f>J223*Input!P223/100</f>
        <v>10.005573713872707</v>
      </c>
      <c r="L223" s="144">
        <f>(J223/Constants!$B$4)*602200000000*Constants!$B$17/(365.2425*24*60)</f>
        <v>10.337628840968959</v>
      </c>
      <c r="M223" s="145">
        <f>L223*Input!P223/100</f>
        <v>0.13813805445698685</v>
      </c>
      <c r="N223" s="139">
        <v>0</v>
      </c>
      <c r="O223" s="143">
        <f>(((G223*Constants!$B$23*0.000000001*Input!G223*(Constants!$B$7/Constants!$B$6))-(N223*0.000000001))/Input!F223)*1000000</f>
        <v>13.698596874589136</v>
      </c>
      <c r="P223" s="139">
        <f>O223*Input!N223/100</f>
        <v>2.3062844577909215E-3</v>
      </c>
      <c r="Q223" s="146">
        <f>(O223/Constants!$B$7)*602200000000000000*Constants!$B$18/(365.2425*24*60)</f>
        <v>10.220807489994755</v>
      </c>
      <c r="R223" s="147">
        <f>Q223*Input!N223/100</f>
        <v>1.7207667088863761E-3</v>
      </c>
      <c r="S223" s="145">
        <f>Input!S223*Constants!$B$17/Constants!$B$18</f>
        <v>0.99891909613079977</v>
      </c>
      <c r="T223" s="139">
        <f>S223*Input!T223/100</f>
        <v>2.8352877446378654E-3</v>
      </c>
      <c r="U223" s="145">
        <f>S223</f>
        <v>0.99891909613079977</v>
      </c>
      <c r="V223" s="139">
        <f>U223*Input!T223/100</f>
        <v>2.8352877446378654E-3</v>
      </c>
      <c r="W223" s="148">
        <v>0</v>
      </c>
      <c r="X223" s="143">
        <f>(((Constants!$B$25*0.000000001*Input!G223/Input!W223*(Constants!$B$11/Constants!$B$9))-(W223*0.000000001))/Input!F223)*1000000000</f>
        <v>0.88479647342927947</v>
      </c>
      <c r="Y223" s="143">
        <f>X223*Input!X223/100</f>
        <v>8.295742449585258E-3</v>
      </c>
      <c r="Z223" s="143">
        <f>(X223/Constants!$B$11)*6.022E+23*0.000000001*Constants!$B$19/(365.2425*24*60)</f>
        <v>2.1600742351106305E-4</v>
      </c>
      <c r="AA223" s="143">
        <f>Z223*Input!X223/100</f>
        <v>2.0252589227679529E-6</v>
      </c>
      <c r="AB223" s="144">
        <v>0</v>
      </c>
      <c r="AC223" s="144">
        <v>0</v>
      </c>
      <c r="AD223" s="143">
        <f>(((Input!G223*Constants!$B$25*0.000000001*Input!U223*(Constants!$B$10/Constants!$B$9))-((AB223*0.000000000000001)+(Input!G223*AC223*0.000000000000001)))/Input!F223)*1000000000000</f>
        <v>223.50650773818091</v>
      </c>
      <c r="AE223" s="143">
        <f>AD223*Input!V223/100</f>
        <v>1.1810996560392382</v>
      </c>
      <c r="AF223" s="143">
        <f>(AD223/Constants!$B$10)*602200000000*Constants!$B$16/(365.2425*24*60)</f>
        <v>10.202103951847876</v>
      </c>
      <c r="AG223" s="143">
        <f>AF223*Input!V223/100</f>
        <v>5.3912083322957612E-2</v>
      </c>
      <c r="AH223" s="139">
        <f t="shared" ref="AH223" si="1205">AF223/Z223</f>
        <v>47230.339522684808</v>
      </c>
      <c r="AI223" s="148">
        <f t="shared" ref="AI223" si="1206">AH223*SQRT((AG223/AF223)^2+(AA223/Z223)^2)</f>
        <v>508.31790102152615</v>
      </c>
      <c r="AJ223" s="145">
        <f t="shared" si="1187"/>
        <v>-1.0809038692002337</v>
      </c>
      <c r="AK223" s="148">
        <f t="shared" ref="AK223" si="1207">V223*1000</f>
        <v>2.8352877446378653</v>
      </c>
      <c r="AL223" s="148">
        <f t="shared" ref="AL223" si="1208">AF223/Q223</f>
        <v>0.99817005279033111</v>
      </c>
      <c r="AM223" s="148">
        <f t="shared" ref="AM223" si="1209">AL223*SQRT((R223/Q223)^2+(AG223/AF223)^2)</f>
        <v>5.2774145047003347E-3</v>
      </c>
      <c r="AN223" s="139">
        <f>AF223/Q223</f>
        <v>0.99817005279033111</v>
      </c>
      <c r="AO223" s="143">
        <f t="shared" ref="AO223" si="1210">AN223*SQRT((R223/Q223)^2+(AG223/AF223)^2)</f>
        <v>5.2774145047003347E-3</v>
      </c>
      <c r="AP223" s="139">
        <f t="shared" ref="AP223" si="1211">ThU_Alter_Kombi(AN223,U223)</f>
        <v>894.50099999999998</v>
      </c>
      <c r="AQ223" s="139" t="e">
        <f t="shared" si="1193"/>
        <v>#VALUE!</v>
      </c>
      <c r="AR223" s="139" t="e">
        <f>(AQ223/AP223)*100</f>
        <v>#VALUE!</v>
      </c>
      <c r="AS223" s="147">
        <f t="shared" si="1194"/>
        <v>2.1134085904906708E-5</v>
      </c>
      <c r="AT223" s="147">
        <f t="shared" si="1195"/>
        <v>1.9818252240440011E-7</v>
      </c>
      <c r="AU223" s="139">
        <v>0.75</v>
      </c>
      <c r="AV223" s="139">
        <f t="shared" ref="AV223" si="1212">AU223/2</f>
        <v>0.375</v>
      </c>
      <c r="AW223" s="139">
        <f t="shared" si="1197"/>
        <v>894.49919999999997</v>
      </c>
      <c r="AX223" s="149">
        <f t="shared" si="1198"/>
        <v>299.29604010809999</v>
      </c>
      <c r="AY223" s="149">
        <f t="shared" si="1199"/>
        <v>2667.6269812161026</v>
      </c>
      <c r="AZ223" s="150">
        <f t="shared" si="1200"/>
        <v>0.3345962076971114</v>
      </c>
      <c r="BA223" s="139" t="str">
        <f>Input!B223</f>
        <v>Hu1-13</v>
      </c>
      <c r="BB223" s="151">
        <f>Input!E223</f>
        <v>0</v>
      </c>
      <c r="BC223" s="139">
        <f>((U223-1)*EXP(Constants!$B$17*AW223*1000))*1000</f>
        <v>-13.492419637354356</v>
      </c>
      <c r="BD223" s="145">
        <f>SQRT((EXP(Constants!$B$17*AW223*1000)*V223)^2+((U223-1)*Constants!$B$17*EXP(Constants!$B$17*AW223*1000)*AY223*1000)^2)*1000</f>
        <v>107.56289337967107</v>
      </c>
      <c r="BE223" s="139">
        <f t="shared" si="1201"/>
        <v>894441.2</v>
      </c>
      <c r="BF223" s="152">
        <f t="shared" si="1202"/>
        <v>1333813.4906080514</v>
      </c>
      <c r="BG223" s="161">
        <f t="shared" si="1203"/>
        <v>298.22575371963472</v>
      </c>
      <c r="BH223" s="139"/>
      <c r="BI223" s="18"/>
      <c r="BJ223" s="18"/>
      <c r="BK223" s="18"/>
      <c r="BL223" s="18"/>
      <c r="BM223" s="18"/>
      <c r="BN223" s="160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</row>
    <row r="224" spans="1:110" ht="15" customHeight="1" x14ac:dyDescent="0.2">
      <c r="A224" s="18">
        <f>Input!A224</f>
        <v>11109</v>
      </c>
      <c r="B224" s="18" t="str">
        <f>Input!B224</f>
        <v>EH-S-2-31</v>
      </c>
      <c r="C224" s="18">
        <f>Input!O224</f>
        <v>1.3024131377376997</v>
      </c>
      <c r="D224" s="18">
        <f>C224*Input!P224/100</f>
        <v>2.9694196337616309E-3</v>
      </c>
      <c r="E224" s="153">
        <f>Input!M224</f>
        <v>0.8644551089958854</v>
      </c>
      <c r="F224" s="154">
        <f>E224*Input!N224/100</f>
        <v>5.298329934023846E-5</v>
      </c>
      <c r="G224" s="21">
        <f>E224*137.88</f>
        <v>119.19107042835267</v>
      </c>
      <c r="H224" s="154">
        <f>G224*Input!L224/100</f>
        <v>7.6236377748068055E-3</v>
      </c>
      <c r="I224" s="18">
        <v>0.3</v>
      </c>
      <c r="J224" s="130">
        <f>(((C224*Constants!$B$24*0.000000001*Input!G224*(Constants!$B$4/Constants!$B$3))-(I224*0.000000000000001))/Input!F224)*1000000000000</f>
        <v>61.305763615004494</v>
      </c>
      <c r="K224" s="18">
        <f>J224*Input!P224/100</f>
        <v>0.13977326615220792</v>
      </c>
      <c r="L224" s="135">
        <f>(J224/Constants!$B$4)*602200000000*Constants!$B$17/(365.2425*24*60)</f>
        <v>0.84639413540423725</v>
      </c>
      <c r="M224" s="133">
        <f>L224*Input!P224/100</f>
        <v>1.9297251315628309E-3</v>
      </c>
      <c r="N224" s="18">
        <v>5.0000000000000001E-3</v>
      </c>
      <c r="O224" s="130">
        <f>(((G224*Constants!$B$23*0.000000001*Input!G224*(Constants!$B$7/Constants!$B$6))-(N224*0.000000001))/Input!F224)*1000000</f>
        <v>0.56514140463667295</v>
      </c>
      <c r="P224" s="18">
        <f>O224*Input!N224/100</f>
        <v>3.4638069576809215E-5</v>
      </c>
      <c r="Q224" s="131">
        <f>(O224/Constants!$B$7)*602200000000000000*Constants!$B$18/(365.2425*24*60)</f>
        <v>0.42166373346831632</v>
      </c>
      <c r="R224" s="132">
        <f>Q224*Input!N224/100</f>
        <v>2.5844182744462983E-5</v>
      </c>
      <c r="S224" s="133">
        <f>Input!S224*Constants!$B$17/Constants!$B$18</f>
        <v>1.9958448792618206</v>
      </c>
      <c r="T224" s="18">
        <f>S224*Input!T224/100</f>
        <v>1.7780246037215621E-3</v>
      </c>
      <c r="U224" s="18">
        <f>S224*1/((U223+U225)/2)</f>
        <v>1.9964234541378156</v>
      </c>
      <c r="V224" s="18">
        <f>U224*Input!T224/100</f>
        <v>1.7785400347429322E-3</v>
      </c>
      <c r="W224" s="134">
        <v>3.0000000000000001E-3</v>
      </c>
      <c r="X224" s="130">
        <f>(((Constants!$B$25*0.000000001*Input!G224/Input!W224*(Constants!$B$11/Constants!$B$9)-(W224*0.000000001))/Input!F224)*1000000000)</f>
        <v>3.6441365340288576</v>
      </c>
      <c r="Y224" s="130">
        <f>X224*Input!X224/100</f>
        <v>1.4802616868490983E-2</v>
      </c>
      <c r="Z224" s="130">
        <f>(X224/Constants!$B$11)*6.022E+23*0.000000001*Constants!$B$19/(365.2425*24*60)</f>
        <v>8.8965153826534255E-4</v>
      </c>
      <c r="AA224" s="130">
        <f>Z224*Input!X224/100</f>
        <v>3.6137973274140845E-6</v>
      </c>
      <c r="AB224" s="135">
        <v>0.05</v>
      </c>
      <c r="AC224" s="135">
        <v>0</v>
      </c>
      <c r="AD224" s="130">
        <f>(((Input!G224*Constants!$B$25*0.000000001*Input!U224*(Constants!$B$10/Constants!$B$9))-((AB224*0.000000000000001)+(Input!G224*AC224*0.000000000000001)))/Input!F224)*1000000000000</f>
        <v>2.3574433847571679</v>
      </c>
      <c r="AE224" s="130">
        <f>AD224*Input!V224/100</f>
        <v>1.1994586457185425E-2</v>
      </c>
      <c r="AF224" s="130">
        <f>(AD224/Constants!$B$10)*602200000000*Constants!$B$16/(365.2425*24*60)</f>
        <v>0.10760707916416612</v>
      </c>
      <c r="AG224" s="130">
        <f>AF224*Input!V224/100</f>
        <v>5.4750091679200074E-4</v>
      </c>
      <c r="AH224" s="18">
        <f>AF224/Z224</f>
        <v>120.95418771936281</v>
      </c>
      <c r="AI224" s="134">
        <f>AH224*SQRT((AG224/AF224)^2+(AA224/Z224)^2)</f>
        <v>0.78748067442514935</v>
      </c>
      <c r="AJ224" s="133">
        <f t="shared" si="1187"/>
        <v>996.42345413781561</v>
      </c>
      <c r="AK224" s="134">
        <f>V224*1000</f>
        <v>1.7785400347429321</v>
      </c>
      <c r="AL224" s="134">
        <f>AF224/Q224</f>
        <v>0.25519642934208303</v>
      </c>
      <c r="AM224" s="134">
        <f>AL224*SQRT((R224/Q224)^2+(AG224/AF224)^2)</f>
        <v>1.2985243845496917E-3</v>
      </c>
      <c r="AN224" s="18">
        <f>AL224*1/((AN223+AN225)/2)</f>
        <v>0.25540689276645429</v>
      </c>
      <c r="AO224" s="130">
        <f>AN224*SQRT((R224/Q224)^2+(AG224/AF224)^2)</f>
        <v>1.2995952925138291E-3</v>
      </c>
      <c r="AP224" s="18">
        <f>ThU_Alter_Kombi(AN224,U224)</f>
        <v>14.763999999999999</v>
      </c>
      <c r="AQ224" s="18">
        <f t="shared" si="1193"/>
        <v>8.1799999999999998E-2</v>
      </c>
      <c r="AR224" s="155">
        <f>(AQ224/AP224)</f>
        <v>5.5405039284746683E-3</v>
      </c>
      <c r="AS224" s="132">
        <f t="shared" si="1194"/>
        <v>2.1098602219063989E-3</v>
      </c>
      <c r="AT224" s="132">
        <f t="shared" si="1195"/>
        <v>8.5713055056878148E-6</v>
      </c>
      <c r="AU224" s="18">
        <v>0.75</v>
      </c>
      <c r="AV224" s="18">
        <f>AU224/2</f>
        <v>0.375</v>
      </c>
      <c r="AW224" s="18">
        <f t="shared" si="1197"/>
        <v>14.6793</v>
      </c>
      <c r="AX224" s="136">
        <f t="shared" si="1198"/>
        <v>8.8211243499999994E-2</v>
      </c>
      <c r="AY224" s="136">
        <f t="shared" si="1199"/>
        <v>9.1352478592868533E-2</v>
      </c>
      <c r="AZ224" s="155">
        <f t="shared" si="1200"/>
        <v>6.0092268364295301E-3</v>
      </c>
      <c r="BA224" s="18" t="str">
        <f>Input!B224</f>
        <v>EH-S-2-31</v>
      </c>
      <c r="BB224" s="137">
        <f>Input!E224</f>
        <v>31</v>
      </c>
      <c r="BC224" s="18">
        <f>((U224-1)*EXP(Constants!$B$17*AW224*1000))*1000</f>
        <v>1038.5680697065341</v>
      </c>
      <c r="BD224" s="133">
        <f>SQRT((EXP(Constants!$B$17*AW224*1000)*V224)^2+((U224-1)*Constants!$B$17*EXP(Constants!$B$17*AW224*1000)*AY224*1000)^2)*1000</f>
        <v>1.8730007989248554</v>
      </c>
      <c r="BE224" s="18">
        <f t="shared" si="1201"/>
        <v>14621.3</v>
      </c>
      <c r="BF224" s="138">
        <f t="shared" si="1202"/>
        <v>45.676239296434268</v>
      </c>
      <c r="BG224" s="20">
        <f t="shared" si="1203"/>
        <v>0.62232176325075816</v>
      </c>
      <c r="BH224" s="18"/>
      <c r="BI224" s="18"/>
      <c r="BJ224" s="18"/>
      <c r="BK224" s="18"/>
      <c r="BL224" s="18"/>
      <c r="BM224" s="18"/>
      <c r="BN224" s="160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</row>
    <row r="225" spans="1:110" ht="15" customHeight="1" x14ac:dyDescent="0.2">
      <c r="A225" s="139">
        <f>Input!A225</f>
        <v>10815</v>
      </c>
      <c r="B225" s="139" t="str">
        <f>Input!B225</f>
        <v>Hu1-13</v>
      </c>
      <c r="C225" s="139">
        <f>Input!O225</f>
        <v>2.0843585937439464</v>
      </c>
      <c r="D225" s="139">
        <f>C225*Input!P225/100</f>
        <v>2.7730183476219028E-2</v>
      </c>
      <c r="E225" s="140">
        <f>Input!M225</f>
        <v>2.7326934250724761</v>
      </c>
      <c r="F225" s="141">
        <f>E225*Input!N225/100</f>
        <v>4.7913059448353334E-4</v>
      </c>
      <c r="G225" s="142">
        <f t="shared" ref="G225" si="1213">E225*137.88</f>
        <v>376.78376944899298</v>
      </c>
      <c r="H225" s="141">
        <f>G225*Input!L225/100</f>
        <v>3.24715153651308E-2</v>
      </c>
      <c r="I225" s="139">
        <v>0</v>
      </c>
      <c r="J225" s="143">
        <f>(((C225*Constants!$B$24*0.000000001*Input!G225*(Constants!$B$4/Constants!$B$3))-(I225*0.000000000000001))/Input!F225)*1000000000000</f>
        <v>752.53170476875675</v>
      </c>
      <c r="K225" s="139">
        <f>J225*Input!P225/100</f>
        <v>10.011637300579112</v>
      </c>
      <c r="L225" s="144">
        <f>(J225/Constants!$B$4)*602200000000*Constants!$B$17/(365.2425*24*60)</f>
        <v>10.389535731451829</v>
      </c>
      <c r="M225" s="145">
        <f>L225*Input!P225/100</f>
        <v>0.13822176900395905</v>
      </c>
      <c r="N225" s="139">
        <v>0</v>
      </c>
      <c r="O225" s="143">
        <f>(((G225*Constants!$B$23*0.000000001*Input!G225*(Constants!$B$7/Constants!$B$6))-(N225*0.000000001))/Input!F225)*1000000</f>
        <v>13.703327962349249</v>
      </c>
      <c r="P225" s="139">
        <f>O225*Input!N225/100</f>
        <v>2.4026418817284954E-3</v>
      </c>
      <c r="Q225" s="146">
        <f>(O225/Constants!$B$7)*602200000000000000*Constants!$B$18/(365.2425*24*60)</f>
        <v>10.224337452782702</v>
      </c>
      <c r="R225" s="147">
        <f>Q225*Input!N225/100</f>
        <v>1.7926609831185531E-3</v>
      </c>
      <c r="S225" s="145">
        <f>Input!S225*Constants!$B$17/Constants!$B$18</f>
        <v>1.0005012924898649</v>
      </c>
      <c r="T225" s="139">
        <f>S225*Input!T225/100</f>
        <v>3.3144205752604016E-3</v>
      </c>
      <c r="U225" s="145">
        <f>S225</f>
        <v>1.0005012924898649</v>
      </c>
      <c r="V225" s="139">
        <f>U225*Input!T225/100</f>
        <v>3.3144205752604016E-3</v>
      </c>
      <c r="W225" s="148">
        <v>0</v>
      </c>
      <c r="X225" s="143">
        <f>(((Constants!$B$25*0.000000001*Input!G225/Input!W225*(Constants!$B$11/Constants!$B$9))-(W225*0.000000001))/Input!F225)*1000000000</f>
        <v>0.88941205739393214</v>
      </c>
      <c r="Y225" s="143">
        <f>X225*Input!X225/100</f>
        <v>5.7471298934720829E-3</v>
      </c>
      <c r="Z225" s="143">
        <f>(X225/Constants!$B$11)*6.022E+23*0.000000001*Constants!$B$19/(365.2425*24*60)</f>
        <v>2.1713423677280613E-4</v>
      </c>
      <c r="AA225" s="143">
        <f>Z225*Input!X225/100</f>
        <v>1.4030602044115632E-6</v>
      </c>
      <c r="AB225" s="144">
        <v>0</v>
      </c>
      <c r="AC225" s="144">
        <v>0</v>
      </c>
      <c r="AD225" s="143">
        <f>(((Input!G225*Constants!$B$25*0.000000001*Input!U225*(Constants!$B$10/Constants!$B$9))-((AB225*0.000000000000001)+(Input!G225*AC225*0.000000000000001)))/Input!F225)*1000000000000</f>
        <v>224.03433741672251</v>
      </c>
      <c r="AE225" s="143">
        <f>AD225*Input!V225/100</f>
        <v>0.70155357080896996</v>
      </c>
      <c r="AF225" s="143">
        <f>(AD225/Constants!$B$10)*602200000000*Constants!$B$16/(365.2425*24*60)</f>
        <v>10.226197090360246</v>
      </c>
      <c r="AG225" s="143">
        <f>AF225*Input!V225/100</f>
        <v>3.2022881703146572E-2</v>
      </c>
      <c r="AH225" s="139">
        <f t="shared" ref="AH225" si="1214">AF225/Z225</f>
        <v>47096.19838100527</v>
      </c>
      <c r="AI225" s="148">
        <f t="shared" ref="AI225" si="1215">AH225*SQRT((AG225/AF225)^2+(AA225/Z225)^2)</f>
        <v>338.17501678536701</v>
      </c>
      <c r="AJ225" s="145">
        <f t="shared" si="1187"/>
        <v>0.50129248986485742</v>
      </c>
      <c r="AK225" s="148">
        <f t="shared" ref="AK225" si="1216">V225*1000</f>
        <v>3.3144205752604017</v>
      </c>
      <c r="AL225" s="148">
        <f t="shared" ref="AL225" si="1217">AF225/Q225</f>
        <v>1.0001818834311889</v>
      </c>
      <c r="AM225" s="148">
        <f t="shared" ref="AM225" si="1218">AL225*SQRT((R225/Q225)^2+(AG225/AF225)^2)</f>
        <v>3.1369306783476229E-3</v>
      </c>
      <c r="AN225" s="139">
        <f>AF225/Q225</f>
        <v>1.0001818834311889</v>
      </c>
      <c r="AO225" s="143">
        <f t="shared" ref="AO225" si="1219">AN225*SQRT((R225/Q225)^2+(AG225/AF225)^2)</f>
        <v>3.1369306783476229E-3</v>
      </c>
      <c r="AP225" s="139">
        <f t="shared" ref="AP225" si="1220">ThU_Alter_Kombi(AN225,U225)</f>
        <v>820.80629999999996</v>
      </c>
      <c r="AQ225" s="139" t="e">
        <f t="shared" si="1193"/>
        <v>#VALUE!</v>
      </c>
      <c r="AR225" s="139" t="e">
        <f>(AQ225/AP225)*100</f>
        <v>#VALUE!</v>
      </c>
      <c r="AS225" s="147">
        <f t="shared" si="1194"/>
        <v>2.1236998267668667E-5</v>
      </c>
      <c r="AT225" s="147">
        <f t="shared" si="1195"/>
        <v>1.37278001919925E-7</v>
      </c>
      <c r="AU225" s="139">
        <v>0.75</v>
      </c>
      <c r="AV225" s="139">
        <f t="shared" ref="AV225" si="1221">AU225/2</f>
        <v>0.375</v>
      </c>
      <c r="AW225" s="139">
        <f t="shared" si="1197"/>
        <v>820.80460000000005</v>
      </c>
      <c r="AX225" s="149">
        <f t="shared" si="1198"/>
        <v>327.5489503805</v>
      </c>
      <c r="AY225" s="149">
        <f t="shared" si="1199"/>
        <v>1139.8955175699325</v>
      </c>
      <c r="AZ225" s="150">
        <f t="shared" si="1200"/>
        <v>0.39905837562374769</v>
      </c>
      <c r="BA225" s="139" t="str">
        <f>Input!B225</f>
        <v>Hu1-13</v>
      </c>
      <c r="BB225" s="151">
        <f>Input!E225</f>
        <v>0</v>
      </c>
      <c r="BC225" s="139">
        <f>((U225-1)*EXP(Constants!$B$17*AW225*1000))*1000</f>
        <v>5.0824543939759907</v>
      </c>
      <c r="BD225" s="145">
        <f>SQRT((EXP(Constants!$B$17*AW225*1000)*V225)^2+((U225-1)*Constants!$B$17*EXP(Constants!$B$17*AW225*1000)*AY225*1000)^2)*1000</f>
        <v>37.370172434671566</v>
      </c>
      <c r="BE225" s="139">
        <f t="shared" si="1201"/>
        <v>820746.60000000009</v>
      </c>
      <c r="BF225" s="152">
        <f t="shared" si="1202"/>
        <v>569947.75878496631</v>
      </c>
      <c r="BG225" s="161">
        <f t="shared" si="1203"/>
        <v>138.87538125029178</v>
      </c>
      <c r="BH225" s="139"/>
      <c r="BI225" s="18"/>
      <c r="BJ225" s="18"/>
      <c r="BK225" s="18"/>
      <c r="BL225" s="18"/>
      <c r="BM225" s="18"/>
      <c r="BN225" s="160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</row>
    <row r="226" spans="1:110" ht="15" customHeight="1" x14ac:dyDescent="0.2">
      <c r="A226" s="18">
        <f>Input!A226</f>
        <v>11111</v>
      </c>
      <c r="B226" s="18" t="str">
        <f>Input!B226</f>
        <v>EH-S-1-17,5</v>
      </c>
      <c r="C226" s="18">
        <f>Input!O226</f>
        <v>0.35197049693689714</v>
      </c>
      <c r="D226" s="18">
        <f>C226*Input!P226/100</f>
        <v>7.9659537596477666E-4</v>
      </c>
      <c r="E226" s="153">
        <f>Input!M226</f>
        <v>0.26857214362969123</v>
      </c>
      <c r="F226" s="154">
        <f>E226*Input!N226/100</f>
        <v>2.4497020745603361E-5</v>
      </c>
      <c r="G226" s="21">
        <f>E226*137.88</f>
        <v>37.030727163661822</v>
      </c>
      <c r="H226" s="154">
        <f>G226*Input!L226/100</f>
        <v>3.5275705911129635E-3</v>
      </c>
      <c r="I226" s="18">
        <v>0.3</v>
      </c>
      <c r="J226" s="130">
        <f>(((C226*Constants!$B$24*0.000000001*Input!G226*(Constants!$B$4/Constants!$B$3))-(I226*0.000000000000001))/Input!F226)*1000000000000</f>
        <v>31.963487762881101</v>
      </c>
      <c r="K226" s="18">
        <f>J226*Input!P226/100</f>
        <v>7.2341195563850741E-2</v>
      </c>
      <c r="L226" s="135">
        <f>(J226/Constants!$B$4)*602200000000*Constants!$B$17/(365.2425*24*60)</f>
        <v>0.44129143810136495</v>
      </c>
      <c r="M226" s="133">
        <f>L226*Input!P226/100</f>
        <v>9.9875052626191498E-4</v>
      </c>
      <c r="N226" s="18">
        <v>5.0000000000000001E-3</v>
      </c>
      <c r="O226" s="130">
        <f>(((G226*Constants!$B$23*0.000000001*Input!G226*(Constants!$B$7/Constants!$B$6))-(N226*0.000000001))/Input!F226)*1000000</f>
        <v>0.33871596658378333</v>
      </c>
      <c r="P226" s="18">
        <f>O226*Input!N226/100</f>
        <v>3.0894983925476345E-5</v>
      </c>
      <c r="Q226" s="131">
        <f>(O226/Constants!$B$7)*602200000000000000*Constants!$B$18/(365.2425*24*60)</f>
        <v>0.25272301389219337</v>
      </c>
      <c r="R226" s="132">
        <f>Q226*Input!N226/100</f>
        <v>2.3051388839285575E-5</v>
      </c>
      <c r="S226" s="133">
        <f>Input!S226*Constants!$B$17/Constants!$B$18</f>
        <v>1.7435531013805596</v>
      </c>
      <c r="T226" s="18">
        <f>S226*Input!T226/100</f>
        <v>2.9388563120671196E-3</v>
      </c>
      <c r="U226" s="18">
        <f>S226*1/((U225+U227)/2)</f>
        <v>1.7424811919852063</v>
      </c>
      <c r="V226" s="18">
        <f>U226*Input!T226/100</f>
        <v>2.9370495488030678E-3</v>
      </c>
      <c r="W226" s="134">
        <v>3.0000000000000001E-3</v>
      </c>
      <c r="X226" s="130">
        <f>(((Constants!$B$25*0.000000001*Input!G226/Input!W226*(Constants!$B$11/Constants!$B$9)-(W226*0.000000001))/Input!F226)*1000000000)</f>
        <v>0.23751089213040694</v>
      </c>
      <c r="Y226" s="130">
        <f>X226*Input!X226/100</f>
        <v>5.3818171039448628E-4</v>
      </c>
      <c r="Z226" s="130">
        <f>(X226/Constants!$B$11)*6.022E+23*0.000000001*Constants!$B$19/(365.2425*24*60)</f>
        <v>5.7984087194719021E-5</v>
      </c>
      <c r="AA226" s="130">
        <f>Z226*Input!X226/100</f>
        <v>1.3138755423891494E-7</v>
      </c>
      <c r="AB226" s="135">
        <v>0.05</v>
      </c>
      <c r="AC226" s="135">
        <v>0</v>
      </c>
      <c r="AD226" s="130">
        <f>(((Input!G226*Constants!$B$25*0.000000001*Input!U226*(Constants!$B$10/Constants!$B$9))-((AB226*0.000000000000001)+(Input!G226*AC226*0.000000000000001)))/Input!F226)*1000000000000</f>
        <v>0.44256574410331989</v>
      </c>
      <c r="AE226" s="130">
        <f>AD226*Input!V226/100</f>
        <v>3.3209963416491912E-3</v>
      </c>
      <c r="AF226" s="130">
        <f>(AD226/Constants!$B$10)*602200000000*Constants!$B$16/(365.2425*24*60)</f>
        <v>2.0201209229030768E-2</v>
      </c>
      <c r="AG226" s="130">
        <f>AF226*Input!V226/100</f>
        <v>1.5158909798233027E-4</v>
      </c>
      <c r="AH226" s="18">
        <f>AF226/Z226</f>
        <v>348.39229530667888</v>
      </c>
      <c r="AI226" s="134">
        <f>AH226*SQRT((AG226/AF226)^2+(AA226/Z226)^2)</f>
        <v>2.7309123476939914</v>
      </c>
      <c r="AJ226" s="133">
        <f t="shared" si="1187"/>
        <v>742.48119198520635</v>
      </c>
      <c r="AK226" s="134">
        <f>V226*1000</f>
        <v>2.9370495488030679</v>
      </c>
      <c r="AL226" s="134">
        <f>AF226/Q226</f>
        <v>7.9934189284590451E-2</v>
      </c>
      <c r="AM226" s="134">
        <f>AL226*SQRT((R226/Q226)^2+(AG226/AF226)^2)</f>
        <v>5.9986739542714244E-4</v>
      </c>
      <c r="AN226" s="18">
        <f>AL226*1/((AN225+AN227)/2)</f>
        <v>8.0017403148039318E-2</v>
      </c>
      <c r="AO226" s="130">
        <f>AN226*SQRT((R226/Q226)^2+(AG226/AF226)^2)</f>
        <v>6.0049187518952272E-4</v>
      </c>
      <c r="AP226" s="18">
        <f>ThU_Alter_Kombi(AN226,U226)</f>
        <v>5.1101000000000001</v>
      </c>
      <c r="AQ226" s="18">
        <f t="shared" si="1193"/>
        <v>4.3499999999999997E-2</v>
      </c>
      <c r="AR226" s="155">
        <f>(AQ226/AP226)</f>
        <v>8.5125535703802265E-3</v>
      </c>
      <c r="AS226" s="132">
        <f t="shared" si="1194"/>
        <v>2.2943730490430873E-4</v>
      </c>
      <c r="AT226" s="132">
        <f t="shared" si="1195"/>
        <v>5.2030860686901759E-7</v>
      </c>
      <c r="AU226" s="18">
        <v>0.75</v>
      </c>
      <c r="AV226" s="18">
        <f>AU226/2</f>
        <v>0.375</v>
      </c>
      <c r="AW226" s="18">
        <f t="shared" si="1197"/>
        <v>5.0994000000000002</v>
      </c>
      <c r="AX226" s="136">
        <f t="shared" si="1198"/>
        <v>4.0750450399999999E-2</v>
      </c>
      <c r="AY226" s="136">
        <f t="shared" si="1199"/>
        <v>4.0526908244271201E-2</v>
      </c>
      <c r="AZ226" s="155">
        <f t="shared" si="1200"/>
        <v>7.9912245362199468E-3</v>
      </c>
      <c r="BA226" s="18" t="str">
        <f>Input!B226</f>
        <v>EH-S-1-17,5</v>
      </c>
      <c r="BB226" s="137">
        <f>Input!E226</f>
        <v>17.5</v>
      </c>
      <c r="BC226" s="18">
        <f>((U226-1)*EXP(Constants!$B$17*AW226*1000))*1000</f>
        <v>753.24335218376984</v>
      </c>
      <c r="BD226" s="133">
        <f>SQRT((EXP(Constants!$B$17*AW226*1000)*V226)^2+((U226-1)*Constants!$B$17*EXP(Constants!$B$17*AW226*1000)*AY226*1000)^2)*1000</f>
        <v>2.9808667792945216</v>
      </c>
      <c r="BE226" s="18">
        <f t="shared" si="1201"/>
        <v>5041.4000000000005</v>
      </c>
      <c r="BF226" s="138">
        <f t="shared" si="1202"/>
        <v>20.263454122135599</v>
      </c>
      <c r="BG226" s="20">
        <f t="shared" si="1203"/>
        <v>0.79473875836904728</v>
      </c>
      <c r="BH226" s="18"/>
      <c r="BI226" s="18"/>
      <c r="BJ226" s="18"/>
      <c r="BK226" s="18"/>
      <c r="BL226" s="18"/>
      <c r="BM226" s="18"/>
      <c r="BN226" s="160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</row>
    <row r="227" spans="1:110" ht="15" customHeight="1" x14ac:dyDescent="0.2">
      <c r="A227" s="139">
        <f>Input!A227</f>
        <v>10815</v>
      </c>
      <c r="B227" s="139" t="str">
        <f>Input!B227</f>
        <v>Hu1-13</v>
      </c>
      <c r="C227" s="139">
        <f>Input!O227</f>
        <v>2.1052187625696672</v>
      </c>
      <c r="D227" s="139">
        <f>C227*Input!P227/100</f>
        <v>2.3303627001132057E-2</v>
      </c>
      <c r="E227" s="140">
        <f>Input!M227</f>
        <v>2.7322379322543742</v>
      </c>
      <c r="F227" s="141">
        <f>E227*Input!N227/100</f>
        <v>4.4801150076028898E-4</v>
      </c>
      <c r="G227" s="142">
        <f t="shared" ref="G227" si="1222">E227*137.88</f>
        <v>376.72096609923312</v>
      </c>
      <c r="H227" s="141">
        <f>G227*Input!L227/100</f>
        <v>2.8306255316530426E-2</v>
      </c>
      <c r="I227" s="139">
        <v>0</v>
      </c>
      <c r="J227" s="143">
        <f>(((C227*Constants!$B$24*0.000000001*Input!G227*(Constants!$B$4/Constants!$B$3))-(I227*0.000000000000001))/Input!F227)*1000000000000</f>
        <v>760.06300886168003</v>
      </c>
      <c r="K227" s="139">
        <f>J227*Input!P227/100</f>
        <v>8.4134842282380511</v>
      </c>
      <c r="L227" s="144">
        <f>(J227/Constants!$B$4)*602200000000*Constants!$B$17/(365.2425*24*60)</f>
        <v>10.493513746573331</v>
      </c>
      <c r="M227" s="145">
        <f>L227*Input!P227/100</f>
        <v>0.1161574913872184</v>
      </c>
      <c r="N227" s="139">
        <v>0</v>
      </c>
      <c r="O227" s="143">
        <f>(((G227*Constants!$B$23*0.000000001*Input!G227*(Constants!$B$7/Constants!$B$6))-(N227*0.000000001))/Input!F227)*1000000</f>
        <v>13.701043854145354</v>
      </c>
      <c r="P227" s="139">
        <f>O227*Input!N227/100</f>
        <v>2.2465924898471541E-3</v>
      </c>
      <c r="Q227" s="146">
        <f>(O227/Constants!$B$7)*602200000000000000*Constants!$B$18/(365.2425*24*60)</f>
        <v>10.222633232237195</v>
      </c>
      <c r="R227" s="147">
        <f>Q227*Input!N227/100</f>
        <v>1.6762292924898167E-3</v>
      </c>
      <c r="S227" s="145">
        <f>Input!S227*Constants!$B$17/Constants!$B$18</f>
        <v>1.0007290328649039</v>
      </c>
      <c r="T227" s="139">
        <f>S227*Input!T227/100</f>
        <v>2.255718154980059E-3</v>
      </c>
      <c r="U227" s="145">
        <f>S227</f>
        <v>1.0007290328649039</v>
      </c>
      <c r="V227" s="139">
        <f>U227*Input!T227/100</f>
        <v>2.255718154980059E-3</v>
      </c>
      <c r="W227" s="148">
        <v>0</v>
      </c>
      <c r="X227" s="143">
        <f>(((Constants!$B$25*0.000000001*Input!G227/Input!W227*(Constants!$B$11/Constants!$B$9))-(W227*0.000000001))/Input!F227)*1000000000</f>
        <v>0.89695912555518598</v>
      </c>
      <c r="Y227" s="143">
        <f>X227*Input!X227/100</f>
        <v>6.2159295237644652E-3</v>
      </c>
      <c r="Z227" s="143">
        <f>(X227/Constants!$B$11)*6.022E+23*0.000000001*Constants!$B$19/(365.2425*24*60)</f>
        <v>2.1897672009810282E-4</v>
      </c>
      <c r="AA227" s="143">
        <f>Z227*Input!X227/100</f>
        <v>1.5175093498629661E-6</v>
      </c>
      <c r="AB227" s="144">
        <v>0</v>
      </c>
      <c r="AC227" s="144">
        <v>0</v>
      </c>
      <c r="AD227" s="143">
        <f>(((Input!G227*Constants!$B$25*0.000000001*Input!U227*(Constants!$B$10/Constants!$B$9))-((AB227*0.000000000000001)+(Input!G227*AC227*0.000000000000001)))/Input!F227)*1000000000000</f>
        <v>223.44972158229177</v>
      </c>
      <c r="AE227" s="143">
        <f>AD227*Input!V227/100</f>
        <v>0.75187962117580309</v>
      </c>
      <c r="AF227" s="143">
        <f>(AD227/Constants!$B$10)*602200000000*Constants!$B$16/(365.2425*24*60)</f>
        <v>10.199511909802794</v>
      </c>
      <c r="AG227" s="143">
        <f>AF227*Input!V227/100</f>
        <v>3.4320047913312612E-2</v>
      </c>
      <c r="AH227" s="139">
        <f t="shared" ref="AH227" si="1223">AF227/Z227</f>
        <v>46578.065034645486</v>
      </c>
      <c r="AI227" s="148">
        <f t="shared" ref="AI227" si="1224">AH227*SQRT((AG227/AF227)^2+(AA227/Z227)^2)</f>
        <v>358.82437730451971</v>
      </c>
      <c r="AJ227" s="145">
        <f t="shared" si="1187"/>
        <v>0.72903286490388908</v>
      </c>
      <c r="AK227" s="148">
        <f t="shared" ref="AK227" si="1225">V227*1000</f>
        <v>2.2557181549800589</v>
      </c>
      <c r="AL227" s="148">
        <f t="shared" ref="AL227" si="1226">AF227/Q227</f>
        <v>0.99773822244140709</v>
      </c>
      <c r="AM227" s="148">
        <f t="shared" ref="AM227" si="1227">AL227*SQRT((R227/Q227)^2+(AG227/AF227)^2)</f>
        <v>3.3612448437567335E-3</v>
      </c>
      <c r="AN227" s="139">
        <f>AF227/Q227</f>
        <v>0.99773822244140709</v>
      </c>
      <c r="AO227" s="143">
        <f t="shared" ref="AO227" si="1228">AN227*SQRT((R227/Q227)^2+(AG227/AF227)^2)</f>
        <v>3.3612448437567335E-3</v>
      </c>
      <c r="AP227" s="139">
        <f t="shared" ref="AP227" si="1229">ThU_Alter_Kombi(AN227,U227)</f>
        <v>623.23879999999997</v>
      </c>
      <c r="AQ227" s="139" t="e">
        <f t="shared" si="1193"/>
        <v>#VALUE!</v>
      </c>
      <c r="AR227" s="139" t="e">
        <f>(AQ227/AP227)*100</f>
        <v>#VALUE!</v>
      </c>
      <c r="AS227" s="147">
        <f t="shared" si="1194"/>
        <v>2.1420774385953431E-5</v>
      </c>
      <c r="AT227" s="147">
        <f t="shared" si="1195"/>
        <v>1.4848758117761412E-7</v>
      </c>
      <c r="AU227" s="139">
        <v>0.75</v>
      </c>
      <c r="AV227" s="139">
        <f t="shared" ref="AV227" si="1230">AU227/2</f>
        <v>0.375</v>
      </c>
      <c r="AW227" s="139">
        <f t="shared" si="1197"/>
        <v>623.23710000000005</v>
      </c>
      <c r="AX227" s="149">
        <f t="shared" si="1198"/>
        <v>290.62573862199997</v>
      </c>
      <c r="AY227" s="149">
        <f t="shared" si="1199"/>
        <v>151.9347596582314</v>
      </c>
      <c r="AZ227" s="150">
        <f t="shared" si="1200"/>
        <v>0.46631649274730269</v>
      </c>
      <c r="BA227" s="139" t="str">
        <f>Input!B227</f>
        <v>Hu1-13</v>
      </c>
      <c r="BB227" s="151">
        <f>Input!E227</f>
        <v>0</v>
      </c>
      <c r="BC227" s="139">
        <f>((U227-1)*EXP(Constants!$B$17*AW227*1000))*1000</f>
        <v>4.2324288505118179</v>
      </c>
      <c r="BD227" s="145">
        <f>SQRT((EXP(Constants!$B$17*AW227*1000)*V227)^2+((U227-1)*Constants!$B$17*EXP(Constants!$B$17*AW227*1000)*AY227*1000)^2)*1000</f>
        <v>13.220800807987198</v>
      </c>
      <c r="BE227" s="139">
        <f t="shared" si="1201"/>
        <v>623179.10000000009</v>
      </c>
      <c r="BF227" s="152">
        <f t="shared" si="1202"/>
        <v>75967.3798291157</v>
      </c>
      <c r="BG227" s="161">
        <f t="shared" si="1203"/>
        <v>24.378324021184135</v>
      </c>
      <c r="BH227" s="139"/>
      <c r="BI227" s="18"/>
      <c r="BJ227" s="18"/>
      <c r="BK227" s="18"/>
      <c r="BL227" s="18"/>
      <c r="BM227" s="18"/>
      <c r="BN227" s="160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</row>
    <row r="228" spans="1:110" ht="15" customHeight="1" x14ac:dyDescent="0.2">
      <c r="A228" s="18">
        <f>Input!A228</f>
        <v>11112</v>
      </c>
      <c r="B228" s="18" t="str">
        <f>Input!B228</f>
        <v>EH-S-1-21,5</v>
      </c>
      <c r="C228" s="18">
        <f>Input!O228</f>
        <v>0.53655346254527725</v>
      </c>
      <c r="D228" s="18">
        <f>C228*Input!P228/100</f>
        <v>1.5433484208957694E-3</v>
      </c>
      <c r="E228" s="153">
        <f>Input!M228</f>
        <v>0.39276691390025026</v>
      </c>
      <c r="F228" s="154">
        <f>E228*Input!N228/100</f>
        <v>3.6119584543419864E-5</v>
      </c>
      <c r="G228" s="21">
        <f>E228*137.88</f>
        <v>54.154702088566502</v>
      </c>
      <c r="H228" s="154">
        <f>G228*Input!L228/100</f>
        <v>5.4973338165054605E-3</v>
      </c>
      <c r="I228" s="18">
        <v>0.3</v>
      </c>
      <c r="J228" s="130">
        <f>(((C228*Constants!$B$24*0.000000001*Input!G228*(Constants!$B$4/Constants!$B$3))-(I228*0.000000000000001))/Input!F228)*1000000000000</f>
        <v>24.98531225403952</v>
      </c>
      <c r="K228" s="18">
        <f>J228*Input!P228/100</f>
        <v>7.1868033485303656E-2</v>
      </c>
      <c r="L228" s="135">
        <f>(J228/Constants!$B$4)*602200000000*Constants!$B$17/(365.2425*24*60)</f>
        <v>0.34494997722998549</v>
      </c>
      <c r="M228" s="133">
        <f>L228*Input!P228/100</f>
        <v>9.9221799840869501E-4</v>
      </c>
      <c r="N228" s="18">
        <v>5.0000000000000001E-3</v>
      </c>
      <c r="O228" s="130">
        <f>(((G228*Constants!$B$23*0.000000001*Input!G228*(Constants!$B$7/Constants!$B$6))-(N228*0.000000001))/Input!F228)*1000000</f>
        <v>0.25400872452861756</v>
      </c>
      <c r="P228" s="18">
        <f>O228*Input!N228/100</f>
        <v>2.3359120322206454E-5</v>
      </c>
      <c r="Q228" s="131">
        <f>(O228/Constants!$B$7)*602200000000000000*Constants!$B$18/(365.2425*24*60)</f>
        <v>0.18952118220239084</v>
      </c>
      <c r="R228" s="132">
        <f>Q228*Input!N228/100</f>
        <v>1.7428724571914034E-5</v>
      </c>
      <c r="S228" s="133">
        <f>Input!S228*Constants!$B$17/Constants!$B$18</f>
        <v>1.8139803382980215</v>
      </c>
      <c r="T228" s="18">
        <f>S228*Input!T228/100</f>
        <v>3.3882733692720051E-3</v>
      </c>
      <c r="U228" s="18">
        <f>S228*1/((U227+U229)/2)</f>
        <v>1.8139375344434332</v>
      </c>
      <c r="V228" s="18">
        <f>U228*Input!T228/100</f>
        <v>3.3881934173797261E-3</v>
      </c>
      <c r="W228" s="134">
        <v>3.0000000000000001E-3</v>
      </c>
      <c r="X228" s="130">
        <f>(((Constants!$B$25*0.000000001*Input!G228/Input!W228*(Constants!$B$11/Constants!$B$9)-(W228*0.000000001))/Input!F228)*1000000000)</f>
        <v>8.3308611873172435E-3</v>
      </c>
      <c r="Y228" s="130">
        <f>X228*Input!X228/100</f>
        <v>4.6406171110089933E-5</v>
      </c>
      <c r="Z228" s="130">
        <f>(X228/Constants!$B$11)*6.022E+23*0.000000001*Constants!$B$19/(365.2425*24*60)</f>
        <v>2.0338325419925478E-6</v>
      </c>
      <c r="AA228" s="130">
        <f>Z228*Input!X228/100</f>
        <v>1.1329246620584847E-8</v>
      </c>
      <c r="AB228" s="135">
        <v>0.05</v>
      </c>
      <c r="AC228" s="135">
        <v>0</v>
      </c>
      <c r="AD228" s="130">
        <f>(((Input!G228*Constants!$B$25*0.000000001*Input!U228*(Constants!$B$10/Constants!$B$9))-((AB228*0.000000000000001)+(Input!G228*AC228*0.000000000000001)))/Input!F228)*1000000000000</f>
        <v>0.44878236392887627</v>
      </c>
      <c r="AE228" s="130">
        <f>AD228*Input!V228/100</f>
        <v>2.7922481012766054E-3</v>
      </c>
      <c r="AF228" s="130">
        <f>(AD228/Constants!$B$10)*602200000000*Constants!$B$16/(365.2425*24*60)</f>
        <v>2.0484970996557193E-2</v>
      </c>
      <c r="AG228" s="130">
        <f>AF228*Input!V228/100</f>
        <v>1.274540311011601E-4</v>
      </c>
      <c r="AH228" s="18">
        <f>AF228/Z228</f>
        <v>10072.10307319011</v>
      </c>
      <c r="AI228" s="134">
        <f>AH228*SQRT((AG228/AF228)^2+(AA228/Z228)^2)</f>
        <v>84.112893001592298</v>
      </c>
      <c r="AJ228" s="133">
        <f t="shared" si="1187"/>
        <v>813.93753444343315</v>
      </c>
      <c r="AK228" s="134">
        <f>V228*1000</f>
        <v>3.3881934173797261</v>
      </c>
      <c r="AL228" s="134">
        <f>AF228/Q228</f>
        <v>0.10808802878129563</v>
      </c>
      <c r="AM228" s="134">
        <f>AL228*SQRT((R228/Q228)^2+(AG228/AF228)^2)</f>
        <v>6.7257892177671503E-4</v>
      </c>
      <c r="AN228" s="18">
        <f>AL228*1/((AN227+AN229)/2)</f>
        <v>0.10791776975782788</v>
      </c>
      <c r="AO228" s="130">
        <f>AN228*SQRT((R228/Q228)^2+(AG228/AF228)^2)</f>
        <v>6.7151948317173871E-4</v>
      </c>
      <c r="AP228" s="18">
        <f>ThU_Alter_Kombi(AN228,U228)</f>
        <v>6.6597</v>
      </c>
      <c r="AQ228" s="18">
        <f t="shared" si="1193"/>
        <v>4.5499999999999999E-2</v>
      </c>
      <c r="AR228" s="155">
        <f>(AQ228/AP228)</f>
        <v>6.8321395858672307E-3</v>
      </c>
      <c r="AS228" s="132">
        <f t="shared" si="1194"/>
        <v>1.0731425998707656E-5</v>
      </c>
      <c r="AT228" s="132">
        <f t="shared" si="1195"/>
        <v>5.9786406295694987E-8</v>
      </c>
      <c r="AU228" s="18">
        <v>0.75</v>
      </c>
      <c r="AV228" s="18">
        <f>AU228/2</f>
        <v>0.375</v>
      </c>
      <c r="AW228" s="18">
        <f t="shared" si="1197"/>
        <v>6.6592000000000002</v>
      </c>
      <c r="AX228" s="136">
        <f t="shared" si="1198"/>
        <v>4.4406157100000003E-2</v>
      </c>
      <c r="AY228" s="136">
        <f t="shared" si="1199"/>
        <v>4.4496449487192863E-2</v>
      </c>
      <c r="AZ228" s="155">
        <f t="shared" si="1200"/>
        <v>6.6683921642239309E-3</v>
      </c>
      <c r="BA228" s="18" t="str">
        <f>Input!B228</f>
        <v>EH-S-1-21,5</v>
      </c>
      <c r="BB228" s="137">
        <f>Input!E228</f>
        <v>21.5</v>
      </c>
      <c r="BC228" s="18">
        <f>((U228-1)*EXP(Constants!$B$17*AW228*1000))*1000</f>
        <v>829.37821873639041</v>
      </c>
      <c r="BD228" s="133">
        <f>SQRT((EXP(Constants!$B$17*AW228*1000)*V228)^2+((U228-1)*Constants!$B$17*EXP(Constants!$B$17*AW228*1000)*AY228*1000)^2)*1000</f>
        <v>3.4540391217381754</v>
      </c>
      <c r="BE228" s="18">
        <f t="shared" si="1201"/>
        <v>6601.2</v>
      </c>
      <c r="BF228" s="138">
        <f t="shared" si="1202"/>
        <v>22.248224743596431</v>
      </c>
      <c r="BG228" s="20">
        <f t="shared" si="1203"/>
        <v>0.66819512084323729</v>
      </c>
      <c r="BH228" s="18"/>
      <c r="BI228" s="18"/>
      <c r="BJ228" s="18"/>
      <c r="BK228" s="18"/>
      <c r="BL228" s="18"/>
      <c r="BM228" s="18"/>
      <c r="BN228" s="160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</row>
    <row r="229" spans="1:110" ht="15" customHeight="1" x14ac:dyDescent="0.2">
      <c r="A229" s="139">
        <f>Input!A229</f>
        <v>10815</v>
      </c>
      <c r="B229" s="139" t="str">
        <f>Input!B229</f>
        <v>Hu1-13</v>
      </c>
      <c r="C229" s="139">
        <f>Input!O229</f>
        <v>2.1044195583409464</v>
      </c>
      <c r="D229" s="139">
        <f>C229*Input!P229/100</f>
        <v>2.494547777499424E-2</v>
      </c>
      <c r="E229" s="140">
        <f>Input!M229</f>
        <v>2.7315928861489556</v>
      </c>
      <c r="F229" s="141">
        <f>E229*Input!N229/100</f>
        <v>3.8591067450822423E-4</v>
      </c>
      <c r="G229" s="142">
        <f t="shared" ref="G229" si="1231">E229*137.88</f>
        <v>376.63202714221796</v>
      </c>
      <c r="H229" s="141">
        <f>G229*Input!L229/100</f>
        <v>2.705503561528895E-2</v>
      </c>
      <c r="I229" s="139">
        <v>0</v>
      </c>
      <c r="J229" s="143">
        <f>(((C229*Constants!$B$24*0.000000001*Input!G229*(Constants!$B$4/Constants!$B$3))-(I229*0.000000000000001))/Input!F229)*1000000000000</f>
        <v>759.77446613083566</v>
      </c>
      <c r="K229" s="139">
        <f>J229*Input!P229/100</f>
        <v>9.0062539970958699</v>
      </c>
      <c r="L229" s="144">
        <f>(J229/Constants!$B$4)*602200000000*Constants!$B$17/(365.2425*24*60)</f>
        <v>10.489530093800751</v>
      </c>
      <c r="M229" s="145">
        <f>L229*Input!P229/100</f>
        <v>0.12434133620737149</v>
      </c>
      <c r="N229" s="139">
        <v>0</v>
      </c>
      <c r="O229" s="143">
        <f>(((G229*Constants!$B$23*0.000000001*Input!G229*(Constants!$B$7/Constants!$B$6))-(N229*0.000000001))/Input!F229)*1000000</f>
        <v>13.697809214557797</v>
      </c>
      <c r="P229" s="139">
        <f>O229*Input!N229/100</f>
        <v>1.9351825156959763E-3</v>
      </c>
      <c r="Q229" s="146">
        <f>(O229/Constants!$B$7)*602200000000000000*Constants!$B$18/(365.2425*24*60)</f>
        <v>10.22021980049476</v>
      </c>
      <c r="R229" s="147">
        <f>Q229*Input!N229/100</f>
        <v>1.4438798463821186E-3</v>
      </c>
      <c r="S229" s="145">
        <f>Input!S229*Constants!$B$17/Constants!$B$18</f>
        <v>0.99931816154369679</v>
      </c>
      <c r="T229" s="139">
        <f>S229*Input!T229/100</f>
        <v>2.4841621706524165E-3</v>
      </c>
      <c r="U229" s="145">
        <f>S229</f>
        <v>0.99931816154369679</v>
      </c>
      <c r="V229" s="139">
        <f>U229*Input!T229/100</f>
        <v>2.4841621706524165E-3</v>
      </c>
      <c r="W229" s="148">
        <v>0</v>
      </c>
      <c r="X229" s="143">
        <f>(((Constants!$B$25*0.000000001*Input!G229/Input!W229*(Constants!$B$11/Constants!$B$9))-(W229*0.000000001))/Input!F229)*1000000000</f>
        <v>0.88584925650418556</v>
      </c>
      <c r="Y229" s="143">
        <f>X229*Input!X229/100</f>
        <v>6.9603859201471177E-3</v>
      </c>
      <c r="Z229" s="143">
        <f>(X229/Constants!$B$11)*6.022E+23*0.000000001*Constants!$B$19/(365.2425*24*60)</f>
        <v>2.1626444189478815E-4</v>
      </c>
      <c r="AA229" s="143">
        <f>Z229*Input!X229/100</f>
        <v>1.6992552235503803E-6</v>
      </c>
      <c r="AB229" s="144">
        <v>0</v>
      </c>
      <c r="AC229" s="144">
        <v>0</v>
      </c>
      <c r="AD229" s="143">
        <f>(((Input!G229*Constants!$B$25*0.000000001*Input!U229*(Constants!$B$10/Constants!$B$9))-((AB229*0.000000000000001)+(Input!G229*AC229*0.000000000000001)))/Input!F229)*1000000000000</f>
        <v>225.11630025941434</v>
      </c>
      <c r="AE229" s="143">
        <f>AD229*Input!V229/100</f>
        <v>1.0817951043589196</v>
      </c>
      <c r="AF229" s="143">
        <f>(AD229/Constants!$B$10)*602200000000*Constants!$B$16/(365.2425*24*60)</f>
        <v>10.275584007568533</v>
      </c>
      <c r="AG229" s="143">
        <f>AF229*Input!V229/100</f>
        <v>4.9379260679954122E-2</v>
      </c>
      <c r="AH229" s="139">
        <f t="shared" ref="AH229" si="1232">AF229/Z229</f>
        <v>47513.978338461973</v>
      </c>
      <c r="AI229" s="148">
        <f t="shared" ref="AI229" si="1233">AH229*SQRT((AG229/AF229)^2+(AA229/Z229)^2)</f>
        <v>437.61891891388109</v>
      </c>
      <c r="AJ229" s="145">
        <f t="shared" si="1187"/>
        <v>-0.68183845630320761</v>
      </c>
      <c r="AK229" s="148">
        <f t="shared" ref="AK229" si="1234">V229*1000</f>
        <v>2.4841621706524166</v>
      </c>
      <c r="AL229" s="148">
        <f t="shared" ref="AL229" si="1235">AF229/Q229</f>
        <v>1.0054171248910999</v>
      </c>
      <c r="AM229" s="148">
        <f t="shared" ref="AM229" si="1236">AL229*SQRT((R229/Q229)^2+(AG229/AF229)^2)</f>
        <v>4.8336137902434892E-3</v>
      </c>
      <c r="AN229" s="139">
        <f>AF229/Q229</f>
        <v>1.0054171248910999</v>
      </c>
      <c r="AO229" s="143">
        <f t="shared" ref="AO229" si="1237">AN229*SQRT((R229/Q229)^2+(AG229/AF229)^2)</f>
        <v>4.8336137902434892E-3</v>
      </c>
      <c r="AP229" s="139" t="str">
        <f t="shared" ref="AP229" si="1238">ThU_Alter_Kombi(AN229,U229)</f>
        <v>Out of range</v>
      </c>
      <c r="AQ229" s="139" t="e">
        <f t="shared" si="1193"/>
        <v>#VALUE!</v>
      </c>
      <c r="AR229" s="139" t="e">
        <f>(AQ229/AP229)*100</f>
        <v>#VALUE!</v>
      </c>
      <c r="AS229" s="147">
        <f t="shared" si="1194"/>
        <v>2.1160449199372286E-5</v>
      </c>
      <c r="AT229" s="147">
        <f t="shared" si="1195"/>
        <v>1.6629093230313169E-7</v>
      </c>
      <c r="AU229" s="139">
        <v>0.75</v>
      </c>
      <c r="AV229" s="139">
        <f t="shared" ref="AV229" si="1239">AU229/2</f>
        <v>0.375</v>
      </c>
      <c r="AW229" s="139" t="str">
        <f t="shared" si="1197"/>
        <v>Out of range</v>
      </c>
      <c r="AX229" s="149">
        <f t="shared" si="1198"/>
        <v>246.40222502989999</v>
      </c>
      <c r="AY229" s="149" t="e">
        <f t="shared" si="1199"/>
        <v>#VALUE!</v>
      </c>
      <c r="AZ229" s="150" t="e">
        <f t="shared" si="1200"/>
        <v>#VALUE!</v>
      </c>
      <c r="BA229" s="139" t="str">
        <f>Input!B229</f>
        <v>Hu1-13</v>
      </c>
      <c r="BB229" s="151">
        <f>Input!E229</f>
        <v>0</v>
      </c>
      <c r="BC229" s="139" t="e">
        <f>((U229-1)*EXP(Constants!$B$17*AW229*1000))*1000</f>
        <v>#VALUE!</v>
      </c>
      <c r="BD229" s="145" t="e">
        <f>SQRT((EXP(Constants!$B$17*AW229*1000)*V229)^2+((U229-1)*Constants!$B$17*EXP(Constants!$B$17*AW229*1000)*AY229*1000)^2)*1000</f>
        <v>#VALUE!</v>
      </c>
      <c r="BE229" s="139" t="e">
        <f t="shared" si="1201"/>
        <v>#VALUE!</v>
      </c>
      <c r="BF229" s="152" t="e">
        <f t="shared" si="1202"/>
        <v>#VALUE!</v>
      </c>
      <c r="BG229" s="161" t="e">
        <f t="shared" si="1203"/>
        <v>#VALUE!</v>
      </c>
      <c r="BH229" s="139"/>
      <c r="BI229" s="18"/>
      <c r="BJ229" s="18"/>
      <c r="BK229" s="18"/>
      <c r="BL229" s="18"/>
      <c r="BM229" s="18"/>
      <c r="BN229" s="160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</row>
    <row r="230" spans="1:110" ht="15" customHeight="1" x14ac:dyDescent="0.2">
      <c r="A230" s="18">
        <f>Input!A230</f>
        <v>11113</v>
      </c>
      <c r="B230" s="18" t="str">
        <f>Input!B230</f>
        <v>EH-S-1-31,5</v>
      </c>
      <c r="C230" s="18">
        <f>Input!O230</f>
        <v>0.45688239071014808</v>
      </c>
      <c r="D230" s="18">
        <f>C230*Input!P230/100</f>
        <v>1.132992602359799E-3</v>
      </c>
      <c r="E230" s="153">
        <f>Input!M230</f>
        <v>0.32618535849765451</v>
      </c>
      <c r="F230" s="154">
        <f>E230*Input!N230/100</f>
        <v>2.3029052789546103E-5</v>
      </c>
      <c r="G230" s="21">
        <f>E230*137.88</f>
        <v>44.974437229656601</v>
      </c>
      <c r="H230" s="154">
        <f>G230*Input!L230/100</f>
        <v>3.7668739263313853E-3</v>
      </c>
      <c r="I230" s="18">
        <v>0.3</v>
      </c>
      <c r="J230" s="130">
        <f>(((C230*Constants!$B$24*0.000000001*Input!G230*(Constants!$B$4/Constants!$B$3))-(I230*0.000000000000001))/Input!F230)*1000000000000</f>
        <v>34.056613674355042</v>
      </c>
      <c r="K230" s="18">
        <f>J230*Input!P230/100</f>
        <v>8.4454757152041801E-2</v>
      </c>
      <c r="L230" s="135">
        <f>(J230/Constants!$B$4)*602200000000*Constants!$B$17/(365.2425*24*60)</f>
        <v>0.47018936533802358</v>
      </c>
      <c r="M230" s="133">
        <f>L230*Input!P230/100</f>
        <v>1.1659916938540854E-3</v>
      </c>
      <c r="N230" s="18">
        <v>5.0000000000000001E-3</v>
      </c>
      <c r="O230" s="130">
        <f>(((G230*Constants!$B$23*0.000000001*Input!G230*(Constants!$B$7/Constants!$B$6))-(N230*0.000000001))/Input!F230)*1000000</f>
        <v>0.33767082682057736</v>
      </c>
      <c r="P230" s="18">
        <f>O230*Input!N230/100</f>
        <v>2.383993975743296E-5</v>
      </c>
      <c r="Q230" s="131">
        <f>(O230/Constants!$B$7)*602200000000000000*Constants!$B$18/(365.2425*24*60)</f>
        <v>0.2519432134193666</v>
      </c>
      <c r="R230" s="132">
        <f>Q230*Input!N230/100</f>
        <v>1.7787473933610646E-5</v>
      </c>
      <c r="S230" s="133">
        <f>Input!S230*Constants!$B$17/Constants!$B$18</f>
        <v>1.8615085185572045</v>
      </c>
      <c r="T230" s="18">
        <f>S230*Input!T230/100</f>
        <v>3.8071509809678456E-3</v>
      </c>
      <c r="U230" s="18">
        <f>S230*1/((U229+U231)/2)</f>
        <v>1.8605698848213856</v>
      </c>
      <c r="V230" s="18">
        <f>U230*Input!T230/100</f>
        <v>3.8052312903983599E-3</v>
      </c>
      <c r="W230" s="134">
        <v>3.0000000000000001E-3</v>
      </c>
      <c r="X230" s="130">
        <f>(((Constants!$B$25*0.000000001*Input!G230/Input!W230*(Constants!$B$11/Constants!$B$9)-(W230*0.000000001))/Input!F230)*1000000000)</f>
        <v>0.10624034500210876</v>
      </c>
      <c r="Y230" s="130">
        <f>X230*Input!X230/100</f>
        <v>2.8942799447950269E-4</v>
      </c>
      <c r="Z230" s="130">
        <f>(X230/Constants!$B$11)*6.022E+23*0.000000001*Constants!$B$19/(365.2425*24*60)</f>
        <v>2.5936702830525255E-5</v>
      </c>
      <c r="AA230" s="130">
        <f>Z230*Input!X230/100</f>
        <v>7.065873029215749E-8</v>
      </c>
      <c r="AB230" s="135">
        <v>0.05</v>
      </c>
      <c r="AC230" s="135">
        <v>0</v>
      </c>
      <c r="AD230" s="130">
        <f>(((Input!G230*Constants!$B$25*0.000000001*Input!U230*(Constants!$B$10/Constants!$B$9))-((AB230*0.000000000000001)+(Input!G230*AC230*0.000000000000001)))/Input!F230)*1000000000000</f>
        <v>0.64796439504427894</v>
      </c>
      <c r="AE230" s="130">
        <f>AD230*Input!V230/100</f>
        <v>4.0985013633467546E-3</v>
      </c>
      <c r="AF230" s="130">
        <f>(AD230/Constants!$B$10)*602200000000*Constants!$B$16/(365.2425*24*60)</f>
        <v>2.9576767952912225E-2</v>
      </c>
      <c r="AG230" s="130">
        <f>AF230*Input!V230/100</f>
        <v>1.8707883443212599E-4</v>
      </c>
      <c r="AH230" s="18">
        <f>AF230/Z230</f>
        <v>1140.3441735124068</v>
      </c>
      <c r="AI230" s="134">
        <f>AH230*SQRT((AG230/AF230)^2+(AA230/Z230)^2)</f>
        <v>7.8534679656241675</v>
      </c>
      <c r="AJ230" s="133">
        <f t="shared" si="1187"/>
        <v>860.56988482138559</v>
      </c>
      <c r="AK230" s="134">
        <f>V230*1000</f>
        <v>3.8052312903983601</v>
      </c>
      <c r="AL230" s="134">
        <f>AF230/Q230</f>
        <v>0.11739458091169482</v>
      </c>
      <c r="AM230" s="134">
        <f>AL230*SQRT((R230/Q230)^2+(AG230/AF230)^2)</f>
        <v>7.4258990903341537E-4</v>
      </c>
      <c r="AN230" s="18">
        <f>AL230*1/((AN229+AN231)/2)</f>
        <v>0.11686373955816877</v>
      </c>
      <c r="AO230" s="130">
        <f>AN230*SQRT((R230/Q230)^2+(AG230/AF230)^2)</f>
        <v>7.3923202462883113E-4</v>
      </c>
      <c r="AP230" s="18">
        <f>ThU_Alter_Kombi(AN230,U230)</f>
        <v>7.0404999999999998</v>
      </c>
      <c r="AQ230" s="18">
        <f t="shared" si="1193"/>
        <v>4.6199999999999998E-2</v>
      </c>
      <c r="AR230" s="155">
        <f>(AQ230/AP230)</f>
        <v>6.5620339464526663E-3</v>
      </c>
      <c r="AS230" s="132">
        <f t="shared" si="1194"/>
        <v>1.0294662229044797E-4</v>
      </c>
      <c r="AT230" s="132">
        <f t="shared" si="1195"/>
        <v>2.8054914883660188E-7</v>
      </c>
      <c r="AU230" s="18">
        <v>0.75</v>
      </c>
      <c r="AV230" s="18">
        <f>AU230/2</f>
        <v>0.375</v>
      </c>
      <c r="AW230" s="18">
        <f t="shared" si="1197"/>
        <v>7.0359999999999996</v>
      </c>
      <c r="AX230" s="136">
        <f t="shared" si="1198"/>
        <v>4.9287947700000001E-2</v>
      </c>
      <c r="AY230" s="136">
        <f t="shared" si="1199"/>
        <v>4.8256037835620463E-2</v>
      </c>
      <c r="AZ230" s="155">
        <f t="shared" si="1200"/>
        <v>7.0051091102899376E-3</v>
      </c>
      <c r="BA230" s="18" t="str">
        <f>Input!B230</f>
        <v>EH-S-1-31,5</v>
      </c>
      <c r="BB230" s="137">
        <f>Input!E230</f>
        <v>31.5</v>
      </c>
      <c r="BC230" s="18">
        <f>((U230-1)*EXP(Constants!$B$17*AW230*1000))*1000</f>
        <v>877.82814575853661</v>
      </c>
      <c r="BD230" s="133">
        <f>SQRT((EXP(Constants!$B$17*AW230*1000)*V230)^2+((U230-1)*Constants!$B$17*EXP(Constants!$B$17*AW230*1000)*AY230*1000)^2)*1000</f>
        <v>3.8833835562334693</v>
      </c>
      <c r="BE230" s="18">
        <f t="shared" si="1201"/>
        <v>6978</v>
      </c>
      <c r="BF230" s="138">
        <f t="shared" si="1202"/>
        <v>24.12801891781023</v>
      </c>
      <c r="BG230" s="20">
        <f t="shared" si="1203"/>
        <v>0.68584476741927891</v>
      </c>
      <c r="BH230" s="18"/>
      <c r="BI230" s="18"/>
      <c r="BJ230" s="18"/>
      <c r="BK230" s="18"/>
      <c r="BL230" s="18"/>
      <c r="BM230" s="18"/>
      <c r="BN230" s="160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</row>
    <row r="231" spans="1:110" ht="15" customHeight="1" x14ac:dyDescent="0.2">
      <c r="A231" s="139">
        <f>Input!A231</f>
        <v>10815</v>
      </c>
      <c r="B231" s="139" t="str">
        <f>Input!B231</f>
        <v>Hu1-13</v>
      </c>
      <c r="C231" s="139">
        <f>Input!O231</f>
        <v>2.0663972241421908</v>
      </c>
      <c r="D231" s="139">
        <f>C231*Input!P231/100</f>
        <v>2.5660309031594188E-2</v>
      </c>
      <c r="E231" s="140">
        <f>Input!M231</f>
        <v>2.7322271683744002</v>
      </c>
      <c r="F231" s="141">
        <f>E231*Input!N231/100</f>
        <v>4.3425773260708894E-4</v>
      </c>
      <c r="G231" s="142">
        <f t="shared" ref="G231" si="1240">E231*137.88</f>
        <v>376.71948197546226</v>
      </c>
      <c r="H231" s="141">
        <f>G231*Input!L231/100</f>
        <v>2.9381748000942995E-2</v>
      </c>
      <c r="I231" s="139">
        <v>0</v>
      </c>
      <c r="J231" s="143">
        <f>(((C231*Constants!$B$24*0.000000001*Input!G231*(Constants!$B$4/Constants!$B$3))-(I231*0.000000000000001))/Input!F231)*1000000000000</f>
        <v>746.04697602440365</v>
      </c>
      <c r="K231" s="139">
        <f>J231*Input!P231/100</f>
        <v>9.2643349174162619</v>
      </c>
      <c r="L231" s="144">
        <f>(J231/Constants!$B$4)*602200000000*Constants!$B$17/(365.2425*24*60)</f>
        <v>10.300006851045479</v>
      </c>
      <c r="M231" s="145">
        <f>L231*Input!P231/100</f>
        <v>0.12790442986347017</v>
      </c>
      <c r="N231" s="139">
        <v>0</v>
      </c>
      <c r="O231" s="143">
        <f>(((G231*Constants!$B$23*0.000000001*Input!G231*(Constants!$B$7/Constants!$B$6))-(N231*0.000000001))/Input!F231)*1000000</f>
        <v>13.700989877736552</v>
      </c>
      <c r="P231" s="139">
        <f>O231*Input!N231/100</f>
        <v>2.1776230277069149E-3</v>
      </c>
      <c r="Q231" s="146">
        <f>(O231/Constants!$B$7)*602200000000000000*Constants!$B$18/(365.2425*24*60)</f>
        <v>10.222592959318119</v>
      </c>
      <c r="R231" s="147">
        <f>Q231*Input!N231/100</f>
        <v>1.6247697450867175E-3</v>
      </c>
      <c r="S231" s="145">
        <f>Input!S231*Constants!$B$17/Constants!$B$18</f>
        <v>1.001690812903838</v>
      </c>
      <c r="T231" s="139">
        <f>S231*Input!T231/100</f>
        <v>2.1376151957410812E-3</v>
      </c>
      <c r="U231" s="145">
        <f>S231</f>
        <v>1.001690812903838</v>
      </c>
      <c r="V231" s="139">
        <f>U231*Input!T231/100</f>
        <v>2.1376151957410812E-3</v>
      </c>
      <c r="W231" s="148">
        <v>0</v>
      </c>
      <c r="X231" s="143">
        <f>(((Constants!$B$25*0.000000001*Input!G231/Input!W231*(Constants!$B$11/Constants!$B$9))-(W231*0.000000001))/Input!F231)*1000000000</f>
        <v>0.88744876809737727</v>
      </c>
      <c r="Y231" s="143">
        <f>X231*Input!X231/100</f>
        <v>8.0907918935763847E-3</v>
      </c>
      <c r="Z231" s="143">
        <f>(X231/Constants!$B$11)*6.022E+23*0.000000001*Constants!$B$19/(365.2425*24*60)</f>
        <v>2.1665493438486597E-4</v>
      </c>
      <c r="AA231" s="143">
        <f>Z231*Input!X231/100</f>
        <v>1.9752238662548406E-6</v>
      </c>
      <c r="AB231" s="144">
        <v>0</v>
      </c>
      <c r="AC231" s="144">
        <v>0</v>
      </c>
      <c r="AD231" s="143">
        <f>(((Input!G231*Constants!$B$25*0.000000001*Input!U231*(Constants!$B$10/Constants!$B$9))-((AB231*0.000000000000001)+(Input!G231*AC231*0.000000000000001)))/Input!F231)*1000000000000</f>
        <v>224.77677219500799</v>
      </c>
      <c r="AE231" s="143">
        <f>AD231*Input!V231/100</f>
        <v>1.0690878783569147</v>
      </c>
      <c r="AF231" s="143">
        <f>(AD231/Constants!$B$10)*602200000000*Constants!$B$16/(365.2425*24*60)</f>
        <v>10.26008602210629</v>
      </c>
      <c r="AG231" s="143">
        <f>AF231*Input!V231/100</f>
        <v>4.8799230854764696E-2</v>
      </c>
      <c r="AH231" s="139">
        <f t="shared" ref="AH231" si="1241">AF231/Z231</f>
        <v>47356.807502386568</v>
      </c>
      <c r="AI231" s="148">
        <f t="shared" ref="AI231" si="1242">AH231*SQRT((AG231/AF231)^2+(AA231/Z231)^2)</f>
        <v>486.96917529010892</v>
      </c>
      <c r="AJ231" s="145">
        <f t="shared" si="1187"/>
        <v>1.6908129038379904</v>
      </c>
      <c r="AK231" s="148">
        <f t="shared" ref="AK231" si="1243">V231*1000</f>
        <v>2.1376151957410809</v>
      </c>
      <c r="AL231" s="148">
        <f t="shared" ref="AL231" si="1244">AF231/Q231</f>
        <v>1.0036676666025321</v>
      </c>
      <c r="AM231" s="148">
        <f t="shared" ref="AM231" si="1245">AL231*SQRT((R231/Q231)^2+(AG231/AF231)^2)</f>
        <v>4.7763293092683576E-3</v>
      </c>
      <c r="AN231" s="139">
        <f>AF231/Q231</f>
        <v>1.0036676666025321</v>
      </c>
      <c r="AO231" s="143">
        <f t="shared" ref="AO231" si="1246">AN231*SQRT((R231/Q231)^2+(AG231/AF231)^2)</f>
        <v>4.7763293092683576E-3</v>
      </c>
      <c r="AP231" s="139" t="str">
        <f t="shared" ref="AP231" si="1247">ThU_Alter_Kombi(AN231,U231)</f>
        <v>Out of range</v>
      </c>
      <c r="AQ231" s="139" t="e">
        <f t="shared" si="1193"/>
        <v>#VALUE!</v>
      </c>
      <c r="AR231" s="139" t="e">
        <f>(AQ231/AP231)*100</f>
        <v>#VALUE!</v>
      </c>
      <c r="AS231" s="147">
        <f t="shared" si="1194"/>
        <v>2.1193735801382976E-5</v>
      </c>
      <c r="AT231" s="147">
        <f t="shared" si="1195"/>
        <v>1.9325077414285961E-7</v>
      </c>
      <c r="AU231" s="139">
        <v>0.75</v>
      </c>
      <c r="AV231" s="139">
        <f t="shared" ref="AV231" si="1248">AU231/2</f>
        <v>0.375</v>
      </c>
      <c r="AW231" s="139" t="str">
        <f t="shared" si="1197"/>
        <v>Out of range</v>
      </c>
      <c r="AX231" s="149">
        <f t="shared" si="1198"/>
        <v>323.96216540009999</v>
      </c>
      <c r="AY231" s="149" t="e">
        <f t="shared" si="1199"/>
        <v>#VALUE!</v>
      </c>
      <c r="AZ231" s="150" t="e">
        <f t="shared" si="1200"/>
        <v>#VALUE!</v>
      </c>
      <c r="BA231" s="139" t="str">
        <f>Input!B231</f>
        <v>Hu1-13</v>
      </c>
      <c r="BB231" s="151">
        <f>Input!E231</f>
        <v>0</v>
      </c>
      <c r="BC231" s="139" t="e">
        <f>((U231-1)*EXP(Constants!$B$17*AW231*1000))*1000</f>
        <v>#VALUE!</v>
      </c>
      <c r="BD231" s="145" t="e">
        <f>SQRT((EXP(Constants!$B$17*AW231*1000)*V231)^2+((U231-1)*Constants!$B$17*EXP(Constants!$B$17*AW231*1000)*AY231*1000)^2)*1000</f>
        <v>#VALUE!</v>
      </c>
      <c r="BE231" s="139" t="e">
        <f t="shared" si="1201"/>
        <v>#VALUE!</v>
      </c>
      <c r="BF231" s="152" t="e">
        <f t="shared" si="1202"/>
        <v>#VALUE!</v>
      </c>
      <c r="BG231" s="161" t="e">
        <f t="shared" si="1203"/>
        <v>#VALUE!</v>
      </c>
      <c r="BH231" s="139"/>
      <c r="BI231" s="18"/>
      <c r="BJ231" s="18"/>
      <c r="BK231" s="18"/>
      <c r="BL231" s="18"/>
      <c r="BM231" s="18"/>
      <c r="BN231" s="160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</row>
    <row r="232" spans="1:110" ht="15" customHeight="1" x14ac:dyDescent="0.2">
      <c r="A232" s="18">
        <f>Input!A232</f>
        <v>11114</v>
      </c>
      <c r="B232" s="18" t="str">
        <f>Input!B232</f>
        <v>EH-S-1-35</v>
      </c>
      <c r="C232" s="18">
        <f>Input!O232</f>
        <v>0.39583248090294926</v>
      </c>
      <c r="D232" s="18">
        <f>C232*Input!P232/100</f>
        <v>1.2896361150162704E-3</v>
      </c>
      <c r="E232" s="153">
        <f>Input!M232</f>
        <v>0.28798925139325737</v>
      </c>
      <c r="F232" s="154">
        <f>E232*Input!N232/100</f>
        <v>2.2683473622652256E-5</v>
      </c>
      <c r="G232" s="21">
        <f>E232*137.88</f>
        <v>39.707957982102329</v>
      </c>
      <c r="H232" s="154">
        <f>G232*Input!L232/100</f>
        <v>4.447629995330625E-3</v>
      </c>
      <c r="I232" s="18">
        <v>0.3</v>
      </c>
      <c r="J232" s="130">
        <f>(((C232*Constants!$B$24*0.000000001*Input!G232*(Constants!$B$4/Constants!$B$3))-(I232*0.000000000000001))/Input!F232)*1000000000000</f>
        <v>36.666741700724216</v>
      </c>
      <c r="K232" s="18">
        <f>J232*Input!P232/100</f>
        <v>0.1194615313259775</v>
      </c>
      <c r="L232" s="135">
        <f>(J232/Constants!$B$4)*602200000000*Constants!$B$17/(365.2425*24*60)</f>
        <v>0.50622508080593132</v>
      </c>
      <c r="M232" s="133">
        <f>L232*Input!P232/100</f>
        <v>1.6492990798661232E-3</v>
      </c>
      <c r="N232" s="18">
        <v>5.0000000000000001E-3</v>
      </c>
      <c r="O232" s="130">
        <f>(((G232*Constants!$B$23*0.000000001*Input!G232*(Constants!$B$7/Constants!$B$6))-(N232*0.000000001))/Input!F232)*1000000</f>
        <v>0.37047993597584644</v>
      </c>
      <c r="P232" s="18">
        <f>O232*Input!N232/100</f>
        <v>2.9180852461588659E-5</v>
      </c>
      <c r="Q232" s="131">
        <f>(O232/Constants!$B$7)*602200000000000000*Constants!$B$18/(365.2425*24*60)</f>
        <v>0.27642277082690497</v>
      </c>
      <c r="R232" s="132">
        <f>Q232*Input!N232/100</f>
        <v>2.1772439771338466E-5</v>
      </c>
      <c r="S232" s="133">
        <f>Input!S232*Constants!$B$17/Constants!$B$18</f>
        <v>1.8253121161400483</v>
      </c>
      <c r="T232" s="18">
        <f>S232*Input!T232/100</f>
        <v>3.9425291763612045E-3</v>
      </c>
      <c r="U232" s="18">
        <f>S232*1/((U231+U233)/2)</f>
        <v>1.8228273744507471</v>
      </c>
      <c r="V232" s="18">
        <f>U232*Input!T232/100</f>
        <v>3.9371623316889039E-3</v>
      </c>
      <c r="W232" s="134">
        <v>3.0000000000000001E-3</v>
      </c>
      <c r="X232" s="130">
        <f>(((Constants!$B$25*0.000000001*Input!G232/Input!W232*(Constants!$B$11/Constants!$B$9)-(W232*0.000000001))/Input!F232)*1000000000)</f>
        <v>0.14795314468906923</v>
      </c>
      <c r="Y232" s="130">
        <f>X232*Input!X232/100</f>
        <v>6.6380349085229341E-4</v>
      </c>
      <c r="Z232" s="130">
        <f>(X232/Constants!$B$11)*6.022E+23*0.000000001*Constants!$B$19/(365.2425*24*60)</f>
        <v>3.6120145755983061E-5</v>
      </c>
      <c r="AA232" s="130">
        <f>Z232*Input!X232/100</f>
        <v>1.6205589204138493E-7</v>
      </c>
      <c r="AB232" s="135">
        <v>0.05</v>
      </c>
      <c r="AC232" s="135">
        <v>0</v>
      </c>
      <c r="AD232" s="130">
        <f>(((Input!G232*Constants!$B$25*0.000000001*Input!U232*(Constants!$B$10/Constants!$B$9))-((AB232*0.000000000000001)+(Input!G232*AC232*0.000000000000001)))/Input!F232)*1000000000000</f>
        <v>0.72594380481787435</v>
      </c>
      <c r="AE232" s="130">
        <f>AD232*Input!V232/100</f>
        <v>6.2990892177946919E-3</v>
      </c>
      <c r="AF232" s="130">
        <f>(AD232/Constants!$B$10)*602200000000*Constants!$B$16/(365.2425*24*60)</f>
        <v>3.3136190238485616E-2</v>
      </c>
      <c r="AG232" s="130">
        <f>AF232*Input!V232/100</f>
        <v>2.8752613806299287E-4</v>
      </c>
      <c r="AH232" s="18">
        <f>AF232/Z232</f>
        <v>917.38805436566736</v>
      </c>
      <c r="AI232" s="134">
        <f>AH232*SQRT((AG232/AF232)^2+(AA232/Z232)^2)</f>
        <v>8.9614074318820887</v>
      </c>
      <c r="AJ232" s="133">
        <f t="shared" si="1187"/>
        <v>822.82737445074702</v>
      </c>
      <c r="AK232" s="134">
        <f>V232*1000</f>
        <v>3.9371623316889037</v>
      </c>
      <c r="AL232" s="134">
        <f>AF232/Q232</f>
        <v>0.11987503829500135</v>
      </c>
      <c r="AM232" s="134">
        <f>AL232*SQRT((R232/Q232)^2+(AG232/AF232)^2)</f>
        <v>1.0402109159045755E-3</v>
      </c>
      <c r="AN232" s="18">
        <f>AL232*1/((AN231+AN233)/2)</f>
        <v>0.11930875192938528</v>
      </c>
      <c r="AO232" s="130">
        <f>AN232*SQRT((R232/Q232)^2+(AG232/AF232)^2)</f>
        <v>1.0352969883061362E-3</v>
      </c>
      <c r="AP232" s="18">
        <f>ThU_Alter_Kombi(AN232,U232)</f>
        <v>7.3461999999999996</v>
      </c>
      <c r="AQ232" s="18">
        <f t="shared" si="1193"/>
        <v>6.4399999999999999E-2</v>
      </c>
      <c r="AR232" s="155">
        <f>(AQ232/AP232)</f>
        <v>8.7664370695053236E-3</v>
      </c>
      <c r="AS232" s="132">
        <f t="shared" si="1194"/>
        <v>1.3066993593882097E-4</v>
      </c>
      <c r="AT232" s="132">
        <f t="shared" si="1195"/>
        <v>5.8635134375295639E-7</v>
      </c>
      <c r="AU232" s="18">
        <v>0.75</v>
      </c>
      <c r="AV232" s="18">
        <f>AU232/2</f>
        <v>0.375</v>
      </c>
      <c r="AW232" s="18">
        <f t="shared" si="1197"/>
        <v>7.3403999999999998</v>
      </c>
      <c r="AX232" s="136">
        <f t="shared" si="1198"/>
        <v>6.7229662100000004E-2</v>
      </c>
      <c r="AY232" s="136">
        <f t="shared" si="1199"/>
        <v>6.7801162370674808E-2</v>
      </c>
      <c r="AZ232" s="155">
        <f t="shared" si="1200"/>
        <v>9.1588553893520788E-3</v>
      </c>
      <c r="BA232" s="18" t="str">
        <f>Input!B232</f>
        <v>EH-S-1-35</v>
      </c>
      <c r="BB232" s="137">
        <f>Input!E232</f>
        <v>35</v>
      </c>
      <c r="BC232" s="18">
        <f>((U232-1)*EXP(Constants!$B$17*AW232*1000))*1000</f>
        <v>840.05005245779773</v>
      </c>
      <c r="BD232" s="133">
        <f>SQRT((EXP(Constants!$B$17*AW232*1000)*V232)^2+((U232-1)*Constants!$B$17*EXP(Constants!$B$17*AW232*1000)*AY232*1000)^2)*1000</f>
        <v>4.0227838819802368</v>
      </c>
      <c r="BE232" s="18">
        <f t="shared" si="1201"/>
        <v>7282.4</v>
      </c>
      <c r="BF232" s="138">
        <f t="shared" si="1202"/>
        <v>33.900581185337401</v>
      </c>
      <c r="BG232" s="20">
        <f t="shared" si="1203"/>
        <v>0.92367122187721129</v>
      </c>
      <c r="BH232" s="18"/>
      <c r="BI232" s="18"/>
      <c r="BJ232" s="18"/>
      <c r="BK232" s="18"/>
      <c r="BL232" s="18"/>
      <c r="BM232" s="18"/>
      <c r="BN232" s="160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</row>
    <row r="233" spans="1:110" ht="15" customHeight="1" x14ac:dyDescent="0.2">
      <c r="A233" s="139">
        <f>Input!A233</f>
        <v>10815</v>
      </c>
      <c r="B233" s="139" t="str">
        <f>Input!B233</f>
        <v>Hu1-13</v>
      </c>
      <c r="C233" s="139">
        <f>Input!O233</f>
        <v>2.1279599065936341</v>
      </c>
      <c r="D233" s="139">
        <f>C233*Input!P233/100</f>
        <v>3.0038091294487323E-2</v>
      </c>
      <c r="E233" s="140">
        <f>Input!M233</f>
        <v>2.7319309665011087</v>
      </c>
      <c r="F233" s="141">
        <f>E233*Input!N233/100</f>
        <v>3.8119519698885239E-4</v>
      </c>
      <c r="G233" s="142">
        <f t="shared" ref="G233" si="1249">E233*137.88</f>
        <v>376.67864166117283</v>
      </c>
      <c r="H233" s="141">
        <f>G233*Input!L233/100</f>
        <v>3.0567057860165035E-2</v>
      </c>
      <c r="I233" s="139">
        <v>0</v>
      </c>
      <c r="J233" s="143">
        <f>(((C233*Constants!$B$24*0.000000001*Input!G233*(Constants!$B$4/Constants!$B$3))-(I233*0.000000000000001))/Input!F233)*1000000000000</f>
        <v>768.2734156180378</v>
      </c>
      <c r="K233" s="139">
        <f>J233*Input!P233/100</f>
        <v>10.844878668040248</v>
      </c>
      <c r="L233" s="144">
        <f>(J233/Constants!$B$4)*602200000000*Constants!$B$17/(365.2425*24*60)</f>
        <v>10.606867527981313</v>
      </c>
      <c r="M233" s="145">
        <f>L233*Input!P233/100</f>
        <v>0.1497255912420154</v>
      </c>
      <c r="N233" s="139">
        <v>0</v>
      </c>
      <c r="O233" s="143">
        <f>(((G233*Constants!$B$23*0.000000001*Input!G233*(Constants!$B$7/Constants!$B$6))-(N233*0.000000001))/Input!F233)*1000000</f>
        <v>13.699504547777643</v>
      </c>
      <c r="P233" s="139">
        <f>O233*Input!N233/100</f>
        <v>1.9115363450885566E-3</v>
      </c>
      <c r="Q233" s="146">
        <f>(O233/Constants!$B$7)*602200000000000000*Constants!$B$18/(365.2425*24*60)</f>
        <v>10.221484723802604</v>
      </c>
      <c r="R233" s="147">
        <f>Q233*Input!N233/100</f>
        <v>1.4262369476336831E-3</v>
      </c>
      <c r="S233" s="145">
        <f>Input!S233*Constants!$B$17/Constants!$B$18</f>
        <v>1.0010354372327663</v>
      </c>
      <c r="T233" s="139">
        <f>S233*Input!T233/100</f>
        <v>2.6680750063545794E-3</v>
      </c>
      <c r="U233" s="145">
        <f>S233</f>
        <v>1.0010354372327663</v>
      </c>
      <c r="V233" s="139">
        <f>U233*Input!T233/100</f>
        <v>2.6680750063545794E-3</v>
      </c>
      <c r="W233" s="148">
        <v>0</v>
      </c>
      <c r="X233" s="143">
        <f>(((Constants!$B$25*0.000000001*Input!G233/Input!W233*(Constants!$B$11/Constants!$B$9))-(W233*0.000000001))/Input!F233)*1000000000</f>
        <v>0.8809242400876558</v>
      </c>
      <c r="Y233" s="143">
        <f>X233*Input!X233/100</f>
        <v>8.2923232173507805E-3</v>
      </c>
      <c r="Z233" s="143">
        <f>(X233/Constants!$B$11)*6.022E+23*0.000000001*Constants!$B$19/(365.2425*24*60)</f>
        <v>2.1506208616798352E-4</v>
      </c>
      <c r="AA233" s="143">
        <f>Z233*Input!X233/100</f>
        <v>2.0244241776400786E-6</v>
      </c>
      <c r="AB233" s="144">
        <v>0</v>
      </c>
      <c r="AC233" s="144">
        <v>0</v>
      </c>
      <c r="AD233" s="143">
        <f>(((Input!G233*Constants!$B$25*0.000000001*Input!U233*(Constants!$B$10/Constants!$B$9))-((AB233*0.000000000000001)+(Input!G233*AC233*0.000000000000001)))/Input!F233)*1000000000000</f>
        <v>225.23552535671698</v>
      </c>
      <c r="AE233" s="143">
        <f>AD233*Input!V233/100</f>
        <v>0.86374938366442355</v>
      </c>
      <c r="AF233" s="143">
        <f>(AD233/Constants!$B$10)*602200000000*Constants!$B$16/(365.2425*24*60)</f>
        <v>10.281026116832642</v>
      </c>
      <c r="AG233" s="143">
        <f>AF233*Input!V233/100</f>
        <v>3.9426418003056858E-2</v>
      </c>
      <c r="AH233" s="139">
        <f t="shared" ref="AH233" si="1250">AF233/Z233</f>
        <v>47804.921360254091</v>
      </c>
      <c r="AI233" s="148">
        <f t="shared" ref="AI233" si="1251">AH233*SQRT((AG233/AF233)^2+(AA233/Z233)^2)</f>
        <v>485.90764256671633</v>
      </c>
      <c r="AJ233" s="145">
        <f t="shared" si="1187"/>
        <v>1.0354372327663341</v>
      </c>
      <c r="AK233" s="148">
        <f t="shared" ref="AK233" si="1252">V233*1000</f>
        <v>2.6680750063545795</v>
      </c>
      <c r="AL233" s="148">
        <f t="shared" ref="AL233" si="1253">AF233/Q233</f>
        <v>1.0058251217547081</v>
      </c>
      <c r="AM233" s="148">
        <f t="shared" ref="AM233" si="1254">AL233*SQRT((R233/Q233)^2+(AG233/AF233)^2)</f>
        <v>3.8597629076449202E-3</v>
      </c>
      <c r="AN233" s="139">
        <f>AF233/Q233</f>
        <v>1.0058251217547081</v>
      </c>
      <c r="AO233" s="143">
        <f t="shared" ref="AO233" si="1255">AN233*SQRT((R233/Q233)^2+(AG233/AF233)^2)</f>
        <v>3.8597629076449202E-3</v>
      </c>
      <c r="AP233" s="139" t="str">
        <f t="shared" ref="AP233" si="1256">ThU_Alter_Kombi(AN233,U233)</f>
        <v>Out of range</v>
      </c>
      <c r="AQ233" s="139" t="e">
        <f t="shared" si="1193"/>
        <v>#VALUE!</v>
      </c>
      <c r="AR233" s="139" t="e">
        <f>(AQ233/AP233)*100</f>
        <v>#VALUE!</v>
      </c>
      <c r="AS233" s="147">
        <f t="shared" si="1194"/>
        <v>2.1040200321111077E-5</v>
      </c>
      <c r="AT233" s="147">
        <f t="shared" si="1195"/>
        <v>1.9807754242583609E-7</v>
      </c>
      <c r="AU233" s="139">
        <v>0.75</v>
      </c>
      <c r="AV233" s="139">
        <f t="shared" ref="AV233" si="1257">AU233/2</f>
        <v>0.375</v>
      </c>
      <c r="AW233" s="139" t="str">
        <f t="shared" si="1197"/>
        <v>Out of range</v>
      </c>
      <c r="AX233" s="149">
        <f t="shared" si="1198"/>
        <v>278.14839033219999</v>
      </c>
      <c r="AY233" s="149" t="e">
        <f t="shared" si="1199"/>
        <v>#VALUE!</v>
      </c>
      <c r="AZ233" s="150" t="e">
        <f t="shared" si="1200"/>
        <v>#VALUE!</v>
      </c>
      <c r="BA233" s="139" t="str">
        <f>Input!B233</f>
        <v>Hu1-13</v>
      </c>
      <c r="BB233" s="151">
        <f>Input!E233</f>
        <v>0</v>
      </c>
      <c r="BC233" s="139" t="e">
        <f>((U233-1)*EXP(Constants!$B$17*AW233*1000))*1000</f>
        <v>#VALUE!</v>
      </c>
      <c r="BD233" s="145" t="e">
        <f>SQRT((EXP(Constants!$B$17*AW233*1000)*V233)^2+((U233-1)*Constants!$B$17*EXP(Constants!$B$17*AW233*1000)*AY233*1000)^2)*1000</f>
        <v>#VALUE!</v>
      </c>
      <c r="BE233" s="139" t="e">
        <f t="shared" si="1201"/>
        <v>#VALUE!</v>
      </c>
      <c r="BF233" s="152" t="e">
        <f t="shared" si="1202"/>
        <v>#VALUE!</v>
      </c>
      <c r="BG233" s="161" t="e">
        <f t="shared" si="1203"/>
        <v>#VALUE!</v>
      </c>
      <c r="BH233" s="139"/>
      <c r="BI233" s="18"/>
      <c r="BJ233" s="18"/>
      <c r="BK233" s="18"/>
      <c r="BL233" s="18"/>
      <c r="BM233" s="18"/>
      <c r="BN233" s="160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</row>
    <row r="235" spans="1:110" ht="15" customHeight="1" x14ac:dyDescent="0.2">
      <c r="A235" s="139">
        <f>Input!A235</f>
        <v>10815</v>
      </c>
      <c r="B235" s="139" t="str">
        <f>Input!B235</f>
        <v>Hu1-13</v>
      </c>
      <c r="C235" s="139">
        <f>Input!O235</f>
        <v>2.0615431354522764</v>
      </c>
      <c r="D235" s="139">
        <f>C235*Input!P235/100</f>
        <v>3.0146630620576896E-2</v>
      </c>
      <c r="E235" s="140">
        <f>Input!M235</f>
        <v>2.7325632967467874</v>
      </c>
      <c r="F235" s="141">
        <f>E235*Input!N235/100</f>
        <v>5.0375389252191685E-4</v>
      </c>
      <c r="G235" s="142">
        <f t="shared" ref="G235" si="1258">E235*137.88</f>
        <v>376.76582735544702</v>
      </c>
      <c r="H235" s="141">
        <f>G235*Input!L235/100</f>
        <v>2.9522222039355683E-2</v>
      </c>
      <c r="I235" s="139">
        <v>0</v>
      </c>
      <c r="J235" s="143">
        <f>(((C235*Constants!$B$24*0.000000001*Input!G235*(Constants!$B$4/Constants!$B$3))-(I235*0.000000000000001))/Input!F235)*1000000000000</f>
        <v>744.29446777180067</v>
      </c>
      <c r="K235" s="139">
        <f>J235*Input!P235/100</f>
        <v>10.884065439616789</v>
      </c>
      <c r="L235" s="144">
        <f>(J235/Constants!$B$4)*602200000000*Constants!$B$17/(365.2425*24*60)</f>
        <v>10.275811528782375</v>
      </c>
      <c r="M235" s="145">
        <f>L235*Input!P235/100</f>
        <v>0.15026660813328355</v>
      </c>
      <c r="N235" s="139">
        <v>0</v>
      </c>
      <c r="O235" s="143">
        <f>(((G235*Constants!$B$23*0.000000001*Input!G235*(Constants!$B$7/Constants!$B$6))-(N235*0.000000001))/Input!F235)*1000000</f>
        <v>13.702675422584726</v>
      </c>
      <c r="P235" s="139">
        <f>O235*Input!N235/100</f>
        <v>2.5261175433006272E-3</v>
      </c>
      <c r="Q235" s="146">
        <f>(O235/Constants!$B$7)*602200000000000000*Constants!$B$18/(365.2425*24*60)</f>
        <v>10.223850579318666</v>
      </c>
      <c r="R235" s="147">
        <f>Q235*Input!N235/100</f>
        <v>1.8847887373829003E-3</v>
      </c>
      <c r="S235" s="145">
        <f>Input!S235*Constants!$B$17/Constants!$B$18</f>
        <v>1.0003347144062111</v>
      </c>
      <c r="T235" s="139">
        <f>S235*Input!T235/100</f>
        <v>2.2638728797450811E-3</v>
      </c>
      <c r="U235" s="145">
        <f>S235</f>
        <v>1.0003347144062111</v>
      </c>
      <c r="V235" s="139">
        <f>U235*Input!T235/100</f>
        <v>2.2638728797450811E-3</v>
      </c>
      <c r="W235" s="148">
        <v>0</v>
      </c>
      <c r="X235" s="143">
        <f>(((Constants!$B$25*0.000000001*Input!G235/Input!W235*(Constants!$B$11/Constants!$B$9))-(W235*0.000000001))/Input!F235)*1000000000</f>
        <v>0.88761488315358572</v>
      </c>
      <c r="Y235" s="143">
        <f>X235*Input!X235/100</f>
        <v>7.1856391583784984E-3</v>
      </c>
      <c r="Z235" s="143">
        <f>(X235/Constants!$B$11)*6.022E+23*0.000000001*Constants!$B$19/(365.2425*24*60)</f>
        <v>2.166954884403754E-4</v>
      </c>
      <c r="AA235" s="143">
        <f>Z235*Input!X235/100</f>
        <v>1.7542468211539548E-6</v>
      </c>
      <c r="AB235" s="144">
        <v>0</v>
      </c>
      <c r="AC235" s="144">
        <v>0</v>
      </c>
      <c r="AD235" s="143">
        <f>(((Input!G235*Constants!$B$25*0.000000001*Input!U235*(Constants!$B$10/Constants!$B$9))-((AB235*0.000000000000001)+(Input!G235*AC235*0.000000000000001)))/Input!F235)*1000000000000</f>
        <v>223.34520841639497</v>
      </c>
      <c r="AE235" s="143">
        <f>AD235*Input!V235/100</f>
        <v>0.64528704756432109</v>
      </c>
      <c r="AF235" s="143">
        <f>(AD235/Constants!$B$10)*602200000000*Constants!$B$16/(365.2425*24*60)</f>
        <v>10.194741336482107</v>
      </c>
      <c r="AG235" s="143">
        <f>AF235*Input!V235/100</f>
        <v>2.9454558637478128E-2</v>
      </c>
      <c r="AH235" s="139">
        <f t="shared" ref="AH235" si="1259">AF235/Z235</f>
        <v>47046.394042888576</v>
      </c>
      <c r="AI235" s="148">
        <f t="shared" ref="AI235" si="1260">AH235*SQRT((AG235/AF235)^2+(AA235/Z235)^2)</f>
        <v>404.39020024957085</v>
      </c>
      <c r="AJ235" s="145">
        <f t="shared" ref="AJ235:AJ239" si="1261">(U235-1)*1000</f>
        <v>0.33471440621113402</v>
      </c>
      <c r="AK235" s="148">
        <f t="shared" ref="AK235" si="1262">V235*1000</f>
        <v>2.2638728797450813</v>
      </c>
      <c r="AL235" s="148">
        <f t="shared" ref="AL235" si="1263">AF235/Q235</f>
        <v>0.99715281022441349</v>
      </c>
      <c r="AM235" s="148">
        <f t="shared" ref="AM235" si="1264">AL235*SQRT((R235/Q235)^2+(AG235/AF235)^2)</f>
        <v>2.8868241122782167E-3</v>
      </c>
      <c r="AN235" s="139">
        <f>AF235/Q235</f>
        <v>0.99715281022441349</v>
      </c>
      <c r="AO235" s="143">
        <f t="shared" ref="AO235" si="1265">AN235*SQRT((R235/Q235)^2+(AG235/AF235)^2)</f>
        <v>2.8868241122782167E-3</v>
      </c>
      <c r="AP235" s="139">
        <f t="shared" ref="AP235" si="1266">ThU_Alter_Kombi(AN235,U235)</f>
        <v>622.36069999999995</v>
      </c>
      <c r="AQ235" s="139" t="e">
        <f t="shared" ref="AQ235:AQ239" si="1267">Montealter(AN235,AO235,U235,V235)</f>
        <v>#VALUE!</v>
      </c>
      <c r="AR235" s="139" t="e">
        <f>(AQ235/AP235)*100</f>
        <v>#VALUE!</v>
      </c>
      <c r="AS235" s="147">
        <f t="shared" ref="AS235:AS239" si="1268">Z235/Q235</f>
        <v>2.1195095405513675E-5</v>
      </c>
      <c r="AT235" s="147">
        <f t="shared" ref="AT235:AT239" si="1269">AS235*SQRT((Y235/X235)^2+(P235/O235)^2)</f>
        <v>1.7162825357649735E-7</v>
      </c>
      <c r="AU235" s="139">
        <v>0.75</v>
      </c>
      <c r="AV235" s="139">
        <f t="shared" ref="AV235" si="1270">AU235/2</f>
        <v>0.375</v>
      </c>
      <c r="AW235" s="139">
        <f t="shared" ref="AW235:AW239" si="1271">marincorr_age(AN235,U235,AS235,AU235)</f>
        <v>622.35900000000004</v>
      </c>
      <c r="AX235" s="149">
        <f t="shared" ref="AX235:AX239" si="1272">marincorr_age_error(AN235, AO235, U235, V235, AS235, AT235, AU235, AV235)</f>
        <v>288.9417356733</v>
      </c>
      <c r="AY235" s="149">
        <f t="shared" ref="AY235:AY239" si="1273">SQRT(((AU235*EXP(-0.0000091577*AW235*1000))/(0.0000091577*(EXP(-0.0000091577*AW235*1000)+(AJ235/1000)*EXP(-(0.0000091577-0.0000028263)*AW235*1000)-AS235*AU235*EXP(-0.0000091577*AW235*1000))))^2*AT235^2+((AS235*EXP(-0.0000091577*AW235*1000))/(0.0000091577*(EXP(-0.0000091577*AW235*1000)+(AJ235/1000)*EXP(-(0.0000091577-0.0000028263)*AW235*1000)-AS235*AU235*EXP(-0.0000091577*AW235*1000))))^2*AV235^2+((0.0000091577/(0.0000091577-0.0000028263))*(EXP(-(0.0000091577-0.0000028263)*AW235*1000)-1)/(0.0000091577*(EXP(-0.0000091577*AW235*1000)+(AJ235/1000)*EXP(-(0.0000091577-0.0000028263)*AW235*1000)-AS235*AU235*EXP(-0.0000091577*AW235*1000))))^2*T235^2+(1/(0.0000091577*(EXP(-0.0000091577*AW235*1000)+(AJ235/1000)*EXP(-(0.0000091577-0.0000028263)*AW235*1000)-AS235*AU235*EXP(-0.0000091577*AW235*1000))))^2*AO235^2)/1000</f>
        <v>140.5538390131918</v>
      </c>
      <c r="AZ235" s="150">
        <f t="shared" ref="AZ235:AZ239" si="1274">AX235/AW235</f>
        <v>0.46426859043301372</v>
      </c>
      <c r="BA235" s="139" t="str">
        <f>Input!B235</f>
        <v>Hu1-13</v>
      </c>
      <c r="BB235" s="151">
        <f>Input!E235</f>
        <v>0</v>
      </c>
      <c r="BC235" s="139">
        <f>((U235-1)*EXP(Constants!$B$17*AW235*1000))*1000</f>
        <v>1.9383882135737405</v>
      </c>
      <c r="BD235" s="145">
        <f>SQRT((EXP(Constants!$B$17*AW235*1000)*V235)^2+((U235-1)*Constants!$B$17*EXP(Constants!$B$17*AW235*1000)*AY235*1000)^2)*1000</f>
        <v>13.132999651897748</v>
      </c>
      <c r="BE235" s="139">
        <f t="shared" ref="BE235:BE239" si="1275">AW235*1000-58</f>
        <v>622301</v>
      </c>
      <c r="BF235" s="152">
        <f t="shared" ref="BF235:BF239" si="1276">AY235/2*1000</f>
        <v>70276.919506595907</v>
      </c>
      <c r="BG235" s="161">
        <f t="shared" ref="BG235:BG239" si="1277">AY235/AW235*100</f>
        <v>22.584045384286526</v>
      </c>
      <c r="BH235" s="139"/>
      <c r="BI235" s="18"/>
      <c r="BJ235" s="18"/>
      <c r="BK235" s="18"/>
      <c r="BL235" s="18"/>
      <c r="BM235" s="18"/>
      <c r="BN235" s="160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</row>
    <row r="236" spans="1:110" ht="15" customHeight="1" x14ac:dyDescent="0.2">
      <c r="A236" s="18">
        <f>Input!A236</f>
        <v>11115</v>
      </c>
      <c r="B236" s="18" t="str">
        <f>Input!B236</f>
        <v>EH-S-1-41</v>
      </c>
      <c r="C236" s="18">
        <f>Input!O236</f>
        <v>0.32987462415506602</v>
      </c>
      <c r="D236" s="18">
        <f>C236*Input!P236/100</f>
        <v>1.0570644856472864E-3</v>
      </c>
      <c r="E236" s="153">
        <f>Input!M236</f>
        <v>0.23453084838165553</v>
      </c>
      <c r="F236" s="154">
        <f>E236*Input!N236/100</f>
        <v>2.4567087631523647E-5</v>
      </c>
      <c r="G236" s="21">
        <f>E236*137.88</f>
        <v>32.33711337486266</v>
      </c>
      <c r="H236" s="154">
        <f>G236*Input!L236/100</f>
        <v>4.0942542383598513E-3</v>
      </c>
      <c r="I236" s="18">
        <v>0.3</v>
      </c>
      <c r="J236" s="130">
        <f>(((C236*Constants!$B$24*0.000000001*Input!G236*(Constants!$B$4/Constants!$B$3))-(I236*0.000000000000001))/Input!F236)*1000000000000</f>
        <v>29.722873534286819</v>
      </c>
      <c r="K236" s="18">
        <f>J236*Input!P236/100</f>
        <v>9.5245259028202578E-2</v>
      </c>
      <c r="L236" s="135">
        <f>(J236/Constants!$B$4)*602200000000*Constants!$B$17/(365.2425*24*60)</f>
        <v>0.41035727088839291</v>
      </c>
      <c r="M236" s="133">
        <f>L236*Input!P236/100</f>
        <v>1.3149665531088459E-3</v>
      </c>
      <c r="N236" s="18">
        <v>5.0000000000000001E-3</v>
      </c>
      <c r="O236" s="130">
        <f>(((G236*Constants!$B$23*0.000000001*Input!G236*(Constants!$B$7/Constants!$B$6))-(N236*0.000000001))/Input!F236)*1000000</f>
        <v>0.29346305953143953</v>
      </c>
      <c r="P236" s="18">
        <f>O236*Input!N236/100</f>
        <v>3.0740232041423125E-5</v>
      </c>
      <c r="Q236" s="131">
        <f>(O236/Constants!$B$7)*602200000000000000*Constants!$B$18/(365.2425*24*60)</f>
        <v>0.2189588805594862</v>
      </c>
      <c r="R236" s="132">
        <f>Q236*Input!N236/100</f>
        <v>2.2935925246181666E-5</v>
      </c>
      <c r="S236" s="133">
        <f>Input!S236*Constants!$B$17/Constants!$B$18</f>
        <v>1.8728008284385331</v>
      </c>
      <c r="T236" s="18">
        <f>S236*Input!T236/100</f>
        <v>4.725056778809745E-3</v>
      </c>
      <c r="U236" s="18">
        <f>S236*1/((U235+U237)/2)</f>
        <v>1.8721931911385734</v>
      </c>
      <c r="V236" s="18">
        <f>U236*Input!T236/100</f>
        <v>4.7235237162973646E-3</v>
      </c>
      <c r="W236" s="134">
        <v>3.0000000000000001E-3</v>
      </c>
      <c r="X236" s="130">
        <f>(((Constants!$B$25*0.000000001*Input!G236/Input!W236*(Constants!$B$11/Constants!$B$9)-(W236*0.000000001))/Input!F236)*1000000000)</f>
        <v>0.4752916798416203</v>
      </c>
      <c r="Y236" s="130">
        <f>X236*Input!X236/100</f>
        <v>1.1190572750935952E-3</v>
      </c>
      <c r="Z236" s="130">
        <f>(X236/Constants!$B$11)*6.022E+23*0.000000001*Constants!$B$19/(365.2425*24*60)</f>
        <v>1.1603406462609441E-4</v>
      </c>
      <c r="AA236" s="130">
        <f>Z236*Input!X236/100</f>
        <v>2.7319805855170944E-7</v>
      </c>
      <c r="AB236" s="135">
        <v>0.05</v>
      </c>
      <c r="AC236" s="135">
        <v>0</v>
      </c>
      <c r="AD236" s="130">
        <f>(((Input!G236*Constants!$B$25*0.000000001*Input!U236*(Constants!$B$10/Constants!$B$9))-((AB236*0.000000000000001)+(Input!G236*AC236*0.000000000000001)))/Input!F236)*1000000000000</f>
        <v>0.61724188812248393</v>
      </c>
      <c r="AE236" s="130">
        <f>AD236*Input!V236/100</f>
        <v>5.9590403622901012E-3</v>
      </c>
      <c r="AF236" s="130">
        <f>(AD236/Constants!$B$10)*602200000000*Constants!$B$16/(365.2425*24*60)</f>
        <v>2.817441858756542E-2</v>
      </c>
      <c r="AG236" s="130">
        <f>AF236*Input!V236/100</f>
        <v>2.7200438074293924E-4</v>
      </c>
      <c r="AH236" s="18">
        <f>AF236/Z236</f>
        <v>242.8116146612121</v>
      </c>
      <c r="AI236" s="134">
        <f>AH236*SQRT((AG236/AF236)^2+(AA236/Z236)^2)</f>
        <v>2.412881373440293</v>
      </c>
      <c r="AJ236" s="133">
        <f t="shared" si="1261"/>
        <v>872.19319113857341</v>
      </c>
      <c r="AK236" s="134">
        <f>V236*1000</f>
        <v>4.7235237162973647</v>
      </c>
      <c r="AL236" s="134">
        <f>AF236/Q236</f>
        <v>0.12867447310460223</v>
      </c>
      <c r="AM236" s="134">
        <f>AL236*SQRT((R236/Q236)^2+(AG236/AF236)^2)</f>
        <v>1.2423355029842747E-3</v>
      </c>
      <c r="AN236" s="18">
        <f>AL236*1/((AN235+AN237)/2)</f>
        <v>0.12905665173872194</v>
      </c>
      <c r="AO236" s="130">
        <f>AN236*SQRT((R236/Q236)^2+(AG236/AF236)^2)</f>
        <v>1.2460253885862385E-3</v>
      </c>
      <c r="AP236" s="18">
        <f>ThU_Alter_Kombi(AN236,U236)</f>
        <v>7.7477999999999998</v>
      </c>
      <c r="AQ236" s="18">
        <f t="shared" si="1267"/>
        <v>7.1400000000000005E-2</v>
      </c>
      <c r="AR236" s="155">
        <f>(AQ236/AP236)</f>
        <v>9.21551924417254E-3</v>
      </c>
      <c r="AS236" s="132">
        <f t="shared" si="1268"/>
        <v>5.2993541220891732E-4</v>
      </c>
      <c r="AT236" s="132">
        <f t="shared" si="1269"/>
        <v>1.2489482128043827E-6</v>
      </c>
      <c r="AU236" s="18">
        <v>0.75</v>
      </c>
      <c r="AV236" s="18">
        <f>AU236/2</f>
        <v>0.375</v>
      </c>
      <c r="AW236" s="18">
        <f t="shared" si="1271"/>
        <v>7.7248999999999999</v>
      </c>
      <c r="AX236" s="136">
        <f t="shared" si="1272"/>
        <v>7.8449568400000003E-2</v>
      </c>
      <c r="AY236" s="136">
        <f t="shared" si="1273"/>
        <v>8.0648922199023906E-2</v>
      </c>
      <c r="AZ236" s="155">
        <f t="shared" si="1274"/>
        <v>1.0155415396963068E-2</v>
      </c>
      <c r="BA236" s="18" t="str">
        <f>Input!B236</f>
        <v>EH-S-1-41</v>
      </c>
      <c r="BB236" s="137">
        <f>Input!E236</f>
        <v>41</v>
      </c>
      <c r="BC236" s="18">
        <f>((U236-1)*EXP(Constants!$B$17*AW236*1000))*1000</f>
        <v>891.41588455338592</v>
      </c>
      <c r="BD236" s="133">
        <f>SQRT((EXP(Constants!$B$17*AW236*1000)*V236)^2+((U236-1)*Constants!$B$17*EXP(Constants!$B$17*AW236*1000)*AY236*1000)^2)*1000</f>
        <v>4.8318890014625975</v>
      </c>
      <c r="BE236" s="18">
        <f t="shared" si="1275"/>
        <v>7666.9</v>
      </c>
      <c r="BF236" s="138">
        <f t="shared" si="1276"/>
        <v>40.32446109951195</v>
      </c>
      <c r="BG236" s="20">
        <f t="shared" si="1277"/>
        <v>1.0440125075926407</v>
      </c>
      <c r="BH236" s="18"/>
      <c r="BI236" s="18"/>
      <c r="BJ236" s="18"/>
      <c r="BK236" s="18"/>
      <c r="BL236" s="18"/>
      <c r="BM236" s="18"/>
      <c r="BN236" s="160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</row>
    <row r="237" spans="1:110" ht="15" customHeight="1" x14ac:dyDescent="0.2">
      <c r="A237" s="139">
        <f>Input!A237</f>
        <v>10815</v>
      </c>
      <c r="B237" s="139" t="str">
        <f>Input!B237</f>
        <v>Hu1-13</v>
      </c>
      <c r="C237" s="139">
        <f>Input!O237</f>
        <v>2.0435463105553238</v>
      </c>
      <c r="D237" s="139">
        <f>C237*Input!P237/100</f>
        <v>2.2926382423666448E-2</v>
      </c>
      <c r="E237" s="140">
        <f>Input!M237</f>
        <v>2.7319628261465692</v>
      </c>
      <c r="F237" s="141">
        <f>E237*Input!N237/100</f>
        <v>4.0437447570989041E-4</v>
      </c>
      <c r="G237" s="142">
        <f t="shared" ref="G237" si="1278">E237*137.88</f>
        <v>376.68303446908897</v>
      </c>
      <c r="H237" s="141">
        <f>G237*Input!L237/100</f>
        <v>3.0215726918499435E-2</v>
      </c>
      <c r="I237" s="139">
        <v>0</v>
      </c>
      <c r="J237" s="143">
        <f>(((C237*Constants!$B$24*0.000000001*Input!G237*(Constants!$B$4/Constants!$B$3))-(I237*0.000000000000001))/Input!F237)*1000000000000</f>
        <v>737.79693833479428</v>
      </c>
      <c r="K237" s="139">
        <f>J237*Input!P237/100</f>
        <v>8.2772847729969836</v>
      </c>
      <c r="L237" s="144">
        <f>(J237/Constants!$B$4)*602200000000*Constants!$B$17/(365.2425*24*60)</f>
        <v>10.186105920601147</v>
      </c>
      <c r="M237" s="145">
        <f>L237*Input!P237/100</f>
        <v>0.11427710668333915</v>
      </c>
      <c r="N237" s="139">
        <v>0</v>
      </c>
      <c r="O237" s="143">
        <f>(((G237*Constants!$B$23*0.000000001*Input!G237*(Constants!$B$7/Constants!$B$6))-(N237*0.000000001))/Input!F237)*1000000</f>
        <v>13.699664310730379</v>
      </c>
      <c r="P237" s="139">
        <f>O237*Input!N237/100</f>
        <v>2.0277708466725254E-3</v>
      </c>
      <c r="Q237" s="146">
        <f>(O237/Constants!$B$7)*602200000000000000*Constants!$B$18/(365.2425*24*60)</f>
        <v>10.221603926258075</v>
      </c>
      <c r="R237" s="147">
        <f>Q237*Input!N237/100</f>
        <v>1.5129619221154853E-3</v>
      </c>
      <c r="S237" s="145">
        <f>Input!S237*Constants!$B$17/Constants!$B$18</f>
        <v>1.0003144037540683</v>
      </c>
      <c r="T237" s="139">
        <f>S237*Input!T237/100</f>
        <v>2.0452308328551575E-3</v>
      </c>
      <c r="U237" s="145">
        <f>S237</f>
        <v>1.0003144037540683</v>
      </c>
      <c r="V237" s="139">
        <f>U237*Input!T237/100</f>
        <v>2.0452308328551575E-3</v>
      </c>
      <c r="W237" s="148">
        <v>0</v>
      </c>
      <c r="X237" s="143">
        <f>(((Constants!$B$25*0.000000001*Input!G237/Input!W237*(Constants!$B$11/Constants!$B$9))-(W237*0.000000001))/Input!F237)*1000000000</f>
        <v>0.88820581170570345</v>
      </c>
      <c r="Y237" s="143">
        <f>X237*Input!X237/100</f>
        <v>6.4285570521404444E-3</v>
      </c>
      <c r="Z237" s="143">
        <f>(X237/Constants!$B$11)*6.022E+23*0.000000001*Constants!$B$19/(365.2425*24*60)</f>
        <v>2.168397532039174E-4</v>
      </c>
      <c r="AA237" s="143">
        <f>Z237*Input!X237/100</f>
        <v>1.5694186035176621E-6</v>
      </c>
      <c r="AB237" s="144">
        <v>0</v>
      </c>
      <c r="AC237" s="144">
        <v>0</v>
      </c>
      <c r="AD237" s="143">
        <f>(((Input!G237*Constants!$B$25*0.000000001*Input!U237*(Constants!$B$10/Constants!$B$9))-((AB237*0.000000000000001)+(Input!G237*AC237*0.000000000000001)))/Input!F237)*1000000000000</f>
        <v>223.24501188173542</v>
      </c>
      <c r="AE237" s="143">
        <f>AD237*Input!V237/100</f>
        <v>1.0339423883280001</v>
      </c>
      <c r="AF237" s="143">
        <f>(AD237/Constants!$B$10)*602200000000*Constants!$B$16/(365.2425*24*60)</f>
        <v>10.190167798679758</v>
      </c>
      <c r="AG237" s="143">
        <f>AF237*Input!V237/100</f>
        <v>4.7194991468886761E-2</v>
      </c>
      <c r="AH237" s="139">
        <f t="shared" ref="AH237" si="1279">AF237/Z237</f>
        <v>46994.002013536985</v>
      </c>
      <c r="AI237" s="148">
        <f t="shared" ref="AI237" si="1280">AH237*SQRT((AG237/AF237)^2+(AA237/Z237)^2)</f>
        <v>403.80463439758461</v>
      </c>
      <c r="AJ237" s="145">
        <f t="shared" si="1261"/>
        <v>0.31440375406832644</v>
      </c>
      <c r="AK237" s="148">
        <f t="shared" ref="AK237" si="1281">V237*1000</f>
        <v>2.0452308328551574</v>
      </c>
      <c r="AL237" s="148">
        <f t="shared" ref="AL237" si="1282">AF237/Q237</f>
        <v>0.99692454062932712</v>
      </c>
      <c r="AM237" s="148">
        <f t="shared" ref="AM237" si="1283">AL237*SQRT((R237/Q237)^2+(AG237/AF237)^2)</f>
        <v>4.6195379654694231E-3</v>
      </c>
      <c r="AN237" s="139">
        <f>AF237/Q237</f>
        <v>0.99692454062932712</v>
      </c>
      <c r="AO237" s="143">
        <f t="shared" ref="AO237" si="1284">AN237*SQRT((R237/Q237)^2+(AG237/AF237)^2)</f>
        <v>4.6195379654694231E-3</v>
      </c>
      <c r="AP237" s="139">
        <f t="shared" ref="AP237" si="1285">ThU_Alter_Kombi(AN237,U237)</f>
        <v>616.01419999999996</v>
      </c>
      <c r="AQ237" s="139" t="e">
        <f t="shared" si="1267"/>
        <v>#VALUE!</v>
      </c>
      <c r="AR237" s="139" t="e">
        <f>(AQ237/AP237)*100</f>
        <v>#VALUE!</v>
      </c>
      <c r="AS237" s="147">
        <f t="shared" si="1268"/>
        <v>2.1213867683415327E-5</v>
      </c>
      <c r="AT237" s="147">
        <f t="shared" si="1269"/>
        <v>1.5357147192572716E-7</v>
      </c>
      <c r="AU237" s="139">
        <v>0.75</v>
      </c>
      <c r="AV237" s="139">
        <f t="shared" ref="AV237" si="1286">AU237/2</f>
        <v>0.375</v>
      </c>
      <c r="AW237" s="139">
        <f t="shared" si="1271"/>
        <v>616.01239999999996</v>
      </c>
      <c r="AX237" s="149">
        <f t="shared" si="1272"/>
        <v>284.28354444220003</v>
      </c>
      <c r="AY237" s="149">
        <f t="shared" si="1273"/>
        <v>167.52646928993704</v>
      </c>
      <c r="AZ237" s="150">
        <f t="shared" si="1274"/>
        <v>0.46148997072494002</v>
      </c>
      <c r="BA237" s="139" t="str">
        <f>Input!B237</f>
        <v>Hu1-13</v>
      </c>
      <c r="BB237" s="151">
        <f>Input!E237</f>
        <v>0</v>
      </c>
      <c r="BC237" s="139">
        <f>((U237-1)*EXP(Constants!$B$17*AW237*1000))*1000</f>
        <v>1.7884452651356846</v>
      </c>
      <c r="BD237" s="145">
        <f>SQRT((EXP(Constants!$B$17*AW237*1000)*V237)^2+((U237-1)*Constants!$B$17*EXP(Constants!$B$17*AW237*1000)*AY237*1000)^2)*1000</f>
        <v>11.664716631869824</v>
      </c>
      <c r="BE237" s="139">
        <f t="shared" si="1275"/>
        <v>615954.39999999991</v>
      </c>
      <c r="BF237" s="152">
        <f t="shared" si="1276"/>
        <v>83763.234644968514</v>
      </c>
      <c r="BG237" s="161">
        <f t="shared" si="1277"/>
        <v>27.195307966193059</v>
      </c>
      <c r="BH237" s="139"/>
      <c r="BI237" s="18"/>
      <c r="BJ237" s="18"/>
      <c r="BK237" s="18"/>
      <c r="BL237" s="18"/>
      <c r="BM237" s="18"/>
      <c r="BN237" s="160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</row>
    <row r="238" spans="1:110" ht="15" customHeight="1" x14ac:dyDescent="0.2">
      <c r="A238" s="18">
        <f>Input!A238</f>
        <v>11116</v>
      </c>
      <c r="B238" s="18" t="str">
        <f>Input!B238</f>
        <v>EH-S-1-64</v>
      </c>
      <c r="C238" s="18">
        <f>Input!O238</f>
        <v>0.28954128090605569</v>
      </c>
      <c r="D238" s="18">
        <f>C238*Input!P238/100</f>
        <v>1.0154968611802099E-3</v>
      </c>
      <c r="E238" s="153">
        <f>Input!M238</f>
        <v>0.20416577295925531</v>
      </c>
      <c r="F238" s="154">
        <f>E238*Input!N238/100</f>
        <v>2.2023452660068912E-5</v>
      </c>
      <c r="G238" s="21">
        <f>E238*137.88</f>
        <v>28.150376775622121</v>
      </c>
      <c r="H238" s="154">
        <f>G238*Input!L238/100</f>
        <v>3.2103086838436296E-3</v>
      </c>
      <c r="I238" s="18">
        <v>0.3</v>
      </c>
      <c r="J238" s="130">
        <f>(((C238*Constants!$B$24*0.000000001*Input!G238*(Constants!$B$4/Constants!$B$3))-(I238*0.000000000000001))/Input!F238)*1000000000000</f>
        <v>28.844733007706754</v>
      </c>
      <c r="K238" s="18">
        <f>J238*Input!P238/100</f>
        <v>0.10116600900308709</v>
      </c>
      <c r="L238" s="135">
        <f>(J238/Constants!$B$4)*602200000000*Constants!$B$17/(365.2425*24*60)</f>
        <v>0.39823356590649711</v>
      </c>
      <c r="M238" s="133">
        <f>L238*Input!P238/100</f>
        <v>1.3967090804086859E-3</v>
      </c>
      <c r="N238" s="18">
        <v>5.0000000000000001E-3</v>
      </c>
      <c r="O238" s="130">
        <f>(((G238*Constants!$B$23*0.000000001*Input!G238*(Constants!$B$7/Constants!$B$6))-(N238*0.000000001))/Input!F238)*1000000</f>
        <v>0.28244851797751597</v>
      </c>
      <c r="P238" s="18">
        <f>O238*Input!N238/100</f>
        <v>3.0467847153919617E-5</v>
      </c>
      <c r="Q238" s="131">
        <f>(O238/Constants!$B$7)*602200000000000000*Constants!$B$18/(365.2425*24*60)</f>
        <v>0.21074070246111243</v>
      </c>
      <c r="R238" s="132">
        <f>Q238*Input!N238/100</f>
        <v>2.2732693227322749E-5</v>
      </c>
      <c r="S238" s="133">
        <f>Input!S238*Constants!$B$17/Constants!$B$18</f>
        <v>1.8768455025426223</v>
      </c>
      <c r="T238" s="18">
        <f>S238*Input!T238/100</f>
        <v>4.995154348585047E-3</v>
      </c>
      <c r="U238" s="18">
        <f>S238*1/((U237+U239)/2)</f>
        <v>1.8765076309825732</v>
      </c>
      <c r="V238" s="18">
        <f>U238*Input!T238/100</f>
        <v>4.9942551160216016E-3</v>
      </c>
      <c r="W238" s="134">
        <v>3.0000000000000001E-3</v>
      </c>
      <c r="X238" s="130">
        <f>(((Constants!$B$25*0.000000001*Input!G238/Input!W238*(Constants!$B$11/Constants!$B$9)-(W238*0.000000001))/Input!F238)*1000000000)</f>
        <v>1.8268980337947484E-3</v>
      </c>
      <c r="Y238" s="130">
        <f>X238*Input!X238/100</f>
        <v>1.266191327946576E-5</v>
      </c>
      <c r="Z238" s="130">
        <f>(X238/Constants!$B$11)*6.022E+23*0.000000001*Constants!$B$19/(365.2425*24*60)</f>
        <v>4.4600487134397731E-7</v>
      </c>
      <c r="AA238" s="130">
        <f>Z238*Input!X238/100</f>
        <v>3.0911823751030394E-9</v>
      </c>
      <c r="AB238" s="135">
        <v>0.05</v>
      </c>
      <c r="AC238" s="135">
        <v>0</v>
      </c>
      <c r="AD238" s="130">
        <f>(((Input!G238*Constants!$B$25*0.000000001*Input!U238*(Constants!$B$10/Constants!$B$9))-((AB238*0.000000000000001)+(Input!G238*AC238*0.000000000000001)))/Input!F238)*1000000000000</f>
        <v>0.62258742802878742</v>
      </c>
      <c r="AE238" s="130">
        <f>AD238*Input!V238/100</f>
        <v>5.8603211253617175E-3</v>
      </c>
      <c r="AF238" s="130">
        <f>(AD238/Constants!$B$10)*602200000000*Constants!$B$16/(365.2425*24*60)</f>
        <v>2.8418419329891649E-2</v>
      </c>
      <c r="AG238" s="130">
        <f>AF238*Input!V238/100</f>
        <v>2.6749827518304982E-4</v>
      </c>
      <c r="AH238" s="18">
        <f>AF238/Z238</f>
        <v>63717.733046853195</v>
      </c>
      <c r="AI238" s="134">
        <f>AH238*SQRT((AG238/AF238)^2+(AA238/Z238)^2)</f>
        <v>744.81116657419375</v>
      </c>
      <c r="AJ238" s="133">
        <f t="shared" si="1261"/>
        <v>876.50763098257323</v>
      </c>
      <c r="AK238" s="134">
        <f>V238*1000</f>
        <v>4.994255116021602</v>
      </c>
      <c r="AL238" s="134">
        <f>AF238/Q238</f>
        <v>0.13485016894226043</v>
      </c>
      <c r="AM238" s="134">
        <f>AL238*SQRT((R238/Q238)^2+(AG238/AF238)^2)</f>
        <v>1.269407554925039E-3</v>
      </c>
      <c r="AN238" s="18">
        <f>AL238*1/((AN237+AN239)/2)</f>
        <v>0.13499708599451399</v>
      </c>
      <c r="AO238" s="130">
        <f>AN238*SQRT((R238/Q238)^2+(AG238/AF238)^2)</f>
        <v>1.2707905536824069E-3</v>
      </c>
      <c r="AP238" s="18">
        <f>ThU_Alter_Kombi(AN238,U238)</f>
        <v>8.0966000000000005</v>
      </c>
      <c r="AQ238" s="18">
        <f t="shared" si="1267"/>
        <v>7.7799999999999994E-2</v>
      </c>
      <c r="AR238" s="155">
        <f>(AQ238/AP238)</f>
        <v>9.6089716671195306E-3</v>
      </c>
      <c r="AS238" s="132">
        <f t="shared" si="1268"/>
        <v>2.116367963736278E-6</v>
      </c>
      <c r="AT238" s="132">
        <f t="shared" si="1269"/>
        <v>1.4669955594134144E-8</v>
      </c>
      <c r="AU238" s="18">
        <v>0.75</v>
      </c>
      <c r="AV238" s="18">
        <f>AU238/2</f>
        <v>0.375</v>
      </c>
      <c r="AW238" s="18">
        <f t="shared" si="1271"/>
        <v>8.0965000000000007</v>
      </c>
      <c r="AX238" s="136">
        <f t="shared" si="1272"/>
        <v>8.6743594800000004E-2</v>
      </c>
      <c r="AY238" s="136">
        <f t="shared" si="1273"/>
        <v>8.1907498047544977E-2</v>
      </c>
      <c r="AZ238" s="155">
        <f t="shared" si="1274"/>
        <v>1.0713715160871981E-2</v>
      </c>
      <c r="BA238" s="18" t="str">
        <f>Input!B238</f>
        <v>EH-S-1-64</v>
      </c>
      <c r="BB238" s="137">
        <f>Input!E238</f>
        <v>64</v>
      </c>
      <c r="BC238" s="18">
        <f>((U238-1)*EXP(Constants!$B$17*AW238*1000))*1000</f>
        <v>896.76533715585833</v>
      </c>
      <c r="BD238" s="133">
        <f>SQRT((EXP(Constants!$B$17*AW238*1000)*V238)^2+((U238-1)*Constants!$B$17*EXP(Constants!$B$17*AW238*1000)*AY238*1000)^2)*1000</f>
        <v>5.1138843171330395</v>
      </c>
      <c r="BE238" s="18">
        <f t="shared" si="1275"/>
        <v>8038.5000000000009</v>
      </c>
      <c r="BF238" s="138">
        <f t="shared" si="1276"/>
        <v>40.953749023772488</v>
      </c>
      <c r="BG238" s="20">
        <f t="shared" si="1277"/>
        <v>1.0116408083436665</v>
      </c>
      <c r="BH238" s="18"/>
      <c r="BI238" s="18"/>
      <c r="BJ238" s="18"/>
      <c r="BK238" s="18"/>
      <c r="BL238" s="18"/>
      <c r="BM238" s="18"/>
      <c r="BN238" s="160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</row>
    <row r="239" spans="1:110" ht="15" customHeight="1" x14ac:dyDescent="0.2">
      <c r="A239" s="139">
        <f>Input!A239</f>
        <v>10815</v>
      </c>
      <c r="B239" s="139" t="str">
        <f>Input!B239</f>
        <v>Hu1-13</v>
      </c>
      <c r="C239" s="139">
        <f>Input!O239</f>
        <v>2.0834699769980829</v>
      </c>
      <c r="D239" s="139">
        <f>C239*Input!P239/100</f>
        <v>2.5143109867297956E-2</v>
      </c>
      <c r="E239" s="140">
        <f>Input!M239</f>
        <v>2.7321531440991658</v>
      </c>
      <c r="F239" s="141">
        <f>E239*Input!N239/100</f>
        <v>4.3786183007845508E-4</v>
      </c>
      <c r="G239" s="142">
        <f t="shared" ref="G239" si="1287">E239*137.88</f>
        <v>376.70927550839298</v>
      </c>
      <c r="H239" s="141">
        <f>G239*Input!L239/100</f>
        <v>5.0139769287197267E-2</v>
      </c>
      <c r="I239" s="139">
        <v>0</v>
      </c>
      <c r="J239" s="143">
        <f>(((C239*Constants!$B$24*0.000000001*Input!G239*(Constants!$B$4/Constants!$B$3))-(I239*0.000000000000001))/Input!F239)*1000000000000</f>
        <v>752.21088076243745</v>
      </c>
      <c r="K239" s="139">
        <f>J239*Input!P239/100</f>
        <v>9.0776066020577613</v>
      </c>
      <c r="L239" s="144">
        <f>(J239/Constants!$B$4)*602200000000*Constants!$B$17/(365.2425*24*60)</f>
        <v>10.385106399828937</v>
      </c>
      <c r="M239" s="145">
        <f>L239*Input!P239/100</f>
        <v>0.12532643814272654</v>
      </c>
      <c r="N239" s="139">
        <v>0</v>
      </c>
      <c r="O239" s="143">
        <f>(((G239*Constants!$B$23*0.000000001*Input!G239*(Constants!$B$7/Constants!$B$6))-(N239*0.000000001))/Input!F239)*1000000</f>
        <v>13.700618676594337</v>
      </c>
      <c r="P239" s="139">
        <f>O239*Input!N239/100</f>
        <v>2.1956960867647911E-3</v>
      </c>
      <c r="Q239" s="146">
        <f>(O239/Constants!$B$7)*602200000000000000*Constants!$B$18/(365.2425*24*60)</f>
        <v>10.222315998440346</v>
      </c>
      <c r="R239" s="147">
        <f>Q239*Input!N239/100</f>
        <v>1.6382544296187889E-3</v>
      </c>
      <c r="S239" s="145">
        <f>Input!S239*Constants!$B$17/Constants!$B$18</f>
        <v>1.0000457030256436</v>
      </c>
      <c r="T239" s="139">
        <f>S239*Input!T239/100</f>
        <v>2.0358718052732529E-3</v>
      </c>
      <c r="U239" s="145">
        <f>S239</f>
        <v>1.0000457030256436</v>
      </c>
      <c r="V239" s="139">
        <f>U239*Input!T239/100</f>
        <v>2.0358718052732529E-3</v>
      </c>
      <c r="W239" s="148">
        <v>0</v>
      </c>
      <c r="X239" s="143">
        <f>(((Constants!$B$25*0.000000001*Input!G239/Input!W239*(Constants!$B$11/Constants!$B$9))-(W239*0.000000001))/Input!F239)*1000000000</f>
        <v>0.88470983971050055</v>
      </c>
      <c r="Y239" s="143">
        <f>X239*Input!X239/100</f>
        <v>6.8356549310669987E-3</v>
      </c>
      <c r="Z239" s="143">
        <f>(X239/Constants!$B$11)*6.022E+23*0.000000001*Constants!$B$19/(365.2425*24*60)</f>
        <v>2.1598627341955096E-4</v>
      </c>
      <c r="AA239" s="143">
        <f>Z239*Input!X239/100</f>
        <v>1.668804356721359E-6</v>
      </c>
      <c r="AB239" s="144">
        <v>0</v>
      </c>
      <c r="AC239" s="144">
        <v>0</v>
      </c>
      <c r="AD239" s="143">
        <f>(((Input!G239*Constants!$B$25*0.000000001*Input!U239*(Constants!$B$10/Constants!$B$9))-((AB239*0.000000000000001)+(Input!G239*AC239*0.000000000000001)))/Input!F239)*1000000000000</f>
        <v>224.150610759811</v>
      </c>
      <c r="AE239" s="143">
        <f>AD239*Input!V239/100</f>
        <v>0.99301798813251152</v>
      </c>
      <c r="AF239" s="143">
        <f>(AD239/Constants!$B$10)*602200000000*Constants!$B$16/(365.2425*24*60)</f>
        <v>10.231504464830108</v>
      </c>
      <c r="AG239" s="143">
        <f>AF239*Input!V239/100</f>
        <v>4.5326969865459983E-2</v>
      </c>
      <c r="AH239" s="139">
        <f t="shared" ref="AH239" si="1288">AF239/Z239</f>
        <v>47371.08661046956</v>
      </c>
      <c r="AI239" s="148">
        <f t="shared" ref="AI239" si="1289">AH239*SQRT((AG239/AF239)^2+(AA239/Z239)^2)</f>
        <v>421.90580883875754</v>
      </c>
      <c r="AJ239" s="145">
        <f t="shared" si="1261"/>
        <v>4.5703025643550887E-2</v>
      </c>
      <c r="AK239" s="148">
        <f t="shared" ref="AK239" si="1290">V239*1000</f>
        <v>2.0358718052732527</v>
      </c>
      <c r="AL239" s="148">
        <f t="shared" ref="AL239" si="1291">AF239/Q239</f>
        <v>1.0008988634660838</v>
      </c>
      <c r="AM239" s="148">
        <f t="shared" ref="AM239" si="1292">AL239*SQRT((R239/Q239)^2+(AG239/AF239)^2)</f>
        <v>4.4370198660395356E-3</v>
      </c>
      <c r="AN239" s="139">
        <f>AF239/Q239</f>
        <v>1.0008988634660838</v>
      </c>
      <c r="AO239" s="143">
        <f t="shared" ref="AO239" si="1293">AN239*SQRT((R239/Q239)^2+(AG239/AF239)^2)</f>
        <v>4.4370198660395356E-3</v>
      </c>
      <c r="AP239" s="139" t="str">
        <f t="shared" ref="AP239" si="1294">ThU_Alter_Kombi(AN239,U239)</f>
        <v>Out of range</v>
      </c>
      <c r="AQ239" s="139" t="e">
        <f t="shared" si="1267"/>
        <v>#VALUE!</v>
      </c>
      <c r="AR239" s="139" t="e">
        <f>(AQ239/AP239)*100</f>
        <v>#VALUE!</v>
      </c>
      <c r="AS239" s="147">
        <f t="shared" si="1268"/>
        <v>2.1128898133505631E-5</v>
      </c>
      <c r="AT239" s="147">
        <f t="shared" si="1269"/>
        <v>1.6328621686499437E-7</v>
      </c>
      <c r="AU239" s="139">
        <v>0.75</v>
      </c>
      <c r="AV239" s="139">
        <f t="shared" ref="AV239" si="1295">AU239/2</f>
        <v>0.375</v>
      </c>
      <c r="AW239" s="139" t="str">
        <f t="shared" si="1271"/>
        <v>Out of range</v>
      </c>
      <c r="AX239" s="149">
        <f t="shared" si="1272"/>
        <v>332.1149014861</v>
      </c>
      <c r="AY239" s="149" t="e">
        <f t="shared" si="1273"/>
        <v>#VALUE!</v>
      </c>
      <c r="AZ239" s="150" t="e">
        <f t="shared" si="1274"/>
        <v>#VALUE!</v>
      </c>
      <c r="BA239" s="139" t="str">
        <f>Input!B239</f>
        <v>Hu1-13</v>
      </c>
      <c r="BB239" s="151">
        <f>Input!E239</f>
        <v>0</v>
      </c>
      <c r="BC239" s="139" t="e">
        <f>((U239-1)*EXP(Constants!$B$17*AW239*1000))*1000</f>
        <v>#VALUE!</v>
      </c>
      <c r="BD239" s="145" t="e">
        <f>SQRT((EXP(Constants!$B$17*AW239*1000)*V239)^2+((U239-1)*Constants!$B$17*EXP(Constants!$B$17*AW239*1000)*AY239*1000)^2)*1000</f>
        <v>#VALUE!</v>
      </c>
      <c r="BE239" s="139" t="e">
        <f t="shared" si="1275"/>
        <v>#VALUE!</v>
      </c>
      <c r="BF239" s="152" t="e">
        <f t="shared" si="1276"/>
        <v>#VALUE!</v>
      </c>
      <c r="BG239" s="161" t="e">
        <f t="shared" si="1277"/>
        <v>#VALUE!</v>
      </c>
      <c r="BH239" s="139"/>
      <c r="BI239" s="18"/>
      <c r="BJ239" s="18"/>
      <c r="BK239" s="18"/>
      <c r="BL239" s="18"/>
      <c r="BM239" s="18"/>
      <c r="BN239" s="160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</row>
    <row r="241" spans="1:110" ht="15" customHeight="1" x14ac:dyDescent="0.2">
      <c r="A241" s="139">
        <f>Input!A241</f>
        <v>10815</v>
      </c>
      <c r="B241" s="139" t="str">
        <f>Input!B241</f>
        <v>Hu1-13</v>
      </c>
      <c r="C241" s="139">
        <f>Input!O241</f>
        <v>2.0610788555164241</v>
      </c>
      <c r="D241" s="139">
        <f>C241*Input!P241/100</f>
        <v>0.13652551937503854</v>
      </c>
      <c r="E241" s="140">
        <f>Input!M241</f>
        <v>2.7297731364481486</v>
      </c>
      <c r="F241" s="141">
        <f>E241*Input!N241/100</f>
        <v>2.3452200829817658E-3</v>
      </c>
      <c r="G241" s="142">
        <f t="shared" ref="G241" si="1296">E241*137.88</f>
        <v>376.38112005347074</v>
      </c>
      <c r="H241" s="141">
        <f>G241*Input!L241/100</f>
        <v>7.1678585386026242E-2</v>
      </c>
      <c r="I241" s="139">
        <v>0</v>
      </c>
      <c r="J241" s="143">
        <f>(((C241*Constants!$B$24*0.000000001*Input!G241*(Constants!$B$4/Constants!$B$3))-(I241*0.000000000000001))/Input!F241)*1000000000000</f>
        <v>744.12684528464069</v>
      </c>
      <c r="K241" s="139">
        <f>J241*Input!P241/100</f>
        <v>49.29083802955202</v>
      </c>
      <c r="L241" s="144">
        <f>(J241/Constants!$B$4)*602200000000*Constants!$B$17/(365.2425*24*60)</f>
        <v>10.273497314233396</v>
      </c>
      <c r="M241" s="145">
        <f>L241*Input!P241/100</f>
        <v>0.68051474734689066</v>
      </c>
      <c r="N241" s="139">
        <v>0</v>
      </c>
      <c r="O241" s="143">
        <f>(((G241*Constants!$B$23*0.000000001*Input!G241*(Constants!$B$7/Constants!$B$6))-(N241*0.000000001))/Input!F241)*1000000</f>
        <v>13.688683922005492</v>
      </c>
      <c r="P241" s="139">
        <f>O241*Input!N241/100</f>
        <v>1.1760309314658929E-2</v>
      </c>
      <c r="Q241" s="146">
        <f>(O241/Constants!$B$7)*602200000000000000*Constants!$B$18/(365.2425*24*60)</f>
        <v>10.213411230294405</v>
      </c>
      <c r="R241" s="147">
        <f>Q241*Input!N241/100</f>
        <v>8.7746109056535231E-3</v>
      </c>
      <c r="S241" s="145">
        <f>Input!S241*Constants!$B$17/Constants!$B$18</f>
        <v>0.98858266025439301</v>
      </c>
      <c r="T241" s="139">
        <f>S241*Input!T241/100</f>
        <v>1.7683498776355521E-3</v>
      </c>
      <c r="U241" s="145">
        <f>S241</f>
        <v>0.98858266025439301</v>
      </c>
      <c r="V241" s="139">
        <f>U241*Input!T241/100</f>
        <v>1.7683498776355521E-3</v>
      </c>
      <c r="W241" s="148">
        <v>0</v>
      </c>
      <c r="X241" s="143">
        <f>(((Constants!$B$25*0.000000001*Input!G241/Input!W241*(Constants!$B$11/Constants!$B$9))-(W241*0.000000001))/Input!F241)*1000000000</f>
        <v>0.89015865671821071</v>
      </c>
      <c r="Y241" s="143">
        <f>X241*Input!X241/100</f>
        <v>2.7333138647658742E-2</v>
      </c>
      <c r="Z241" s="143">
        <f>(X241/Constants!$B$11)*6.022E+23*0.000000001*Constants!$B$19/(365.2425*24*60)</f>
        <v>2.1731650580447104E-4</v>
      </c>
      <c r="AA241" s="143">
        <f>Z241*Input!X241/100</f>
        <v>6.6729027895739435E-6</v>
      </c>
      <c r="AB241" s="144">
        <v>0</v>
      </c>
      <c r="AC241" s="144">
        <v>0</v>
      </c>
      <c r="AD241" s="143">
        <f>(((Input!G241*Constants!$B$25*0.000000001*Input!U241*(Constants!$B$10/Constants!$B$9))-((AB241*0.000000000000001)+(Input!G241*AC241*0.000000000000001)))/Input!F241)*1000000000000</f>
        <v>222.67346800121206</v>
      </c>
      <c r="AE241" s="143">
        <f>AD241*Input!V241/100</f>
        <v>1.5032337729195182</v>
      </c>
      <c r="AF241" s="143">
        <f>(AD241/Constants!$B$10)*602200000000*Constants!$B$16/(365.2425*24*60)</f>
        <v>10.164079296196546</v>
      </c>
      <c r="AG241" s="143">
        <f>AF241*Input!V241/100</f>
        <v>6.8616110423139989E-2</v>
      </c>
      <c r="AH241" s="139">
        <f t="shared" ref="AH241" si="1297">AF241/Z241</f>
        <v>46770.857365715252</v>
      </c>
      <c r="AI241" s="148">
        <f t="shared" ref="AI241" si="1298">AH241*SQRT((AG241/AF241)^2+(AA241/Z241)^2)</f>
        <v>1470.4413059508959</v>
      </c>
      <c r="AJ241" s="145">
        <f t="shared" ref="AJ241:AJ245" si="1299">(U241-1)*1000</f>
        <v>-11.417339745606991</v>
      </c>
      <c r="AK241" s="148">
        <f t="shared" ref="AK241" si="1300">V241*1000</f>
        <v>1.7683498776355522</v>
      </c>
      <c r="AL241" s="148">
        <f t="shared" ref="AL241" si="1301">AF241/Q241</f>
        <v>0.99516988663380812</v>
      </c>
      <c r="AM241" s="148">
        <f t="shared" ref="AM241" si="1302">AL241*SQRT((R241/Q241)^2+(AG241/AF241)^2)</f>
        <v>6.7724208806242726E-3</v>
      </c>
      <c r="AN241" s="139">
        <f>AF241/Q241</f>
        <v>0.99516988663380812</v>
      </c>
      <c r="AO241" s="143">
        <f t="shared" ref="AO241" si="1303">AN241*SQRT((R241/Q241)^2+(AG241/AF241)^2)</f>
        <v>6.7724208806242726E-3</v>
      </c>
      <c r="AP241" s="139" t="str">
        <f t="shared" ref="AP241" si="1304">ThU_Alter_Kombi(AN241,U241)</f>
        <v>Out of range</v>
      </c>
      <c r="AQ241" s="139" t="e">
        <f t="shared" ref="AQ241:AQ245" si="1305">Montealter(AN241,AO241,U241,V241)</f>
        <v>#VALUE!</v>
      </c>
      <c r="AR241" s="139" t="e">
        <f>(AQ241/AP241)*100</f>
        <v>#VALUE!</v>
      </c>
      <c r="AS241" s="147">
        <f t="shared" ref="AS241:AS245" si="1306">Z241/Q241</f>
        <v>2.1277563480444213E-5</v>
      </c>
      <c r="AT241" s="147">
        <f t="shared" ref="AT241:AT245" si="1307">AS241*SQRT((Y241/X241)^2+(P241/O241)^2)</f>
        <v>6.5360279902299935E-7</v>
      </c>
      <c r="AU241" s="139">
        <v>0.75</v>
      </c>
      <c r="AV241" s="139">
        <f t="shared" ref="AV241" si="1308">AU241/2</f>
        <v>0.375</v>
      </c>
      <c r="AW241" s="139" t="str">
        <f t="shared" ref="AW241:AW245" si="1309">marincorr_age(AN241,U241,AS241,AU241)</f>
        <v>Out of range</v>
      </c>
      <c r="AX241" s="149">
        <f t="shared" ref="AX241:AX245" si="1310">marincorr_age_error(AN241, AO241, U241, V241, AS241, AT241, AU241, AV241)</f>
        <v>121.6168128531</v>
      </c>
      <c r="AY241" s="149" t="e">
        <f t="shared" ref="AY241:AY245" si="1311">SQRT(((AU241*EXP(-0.0000091577*AW241*1000))/(0.0000091577*(EXP(-0.0000091577*AW241*1000)+(AJ241/1000)*EXP(-(0.0000091577-0.0000028263)*AW241*1000)-AS241*AU241*EXP(-0.0000091577*AW241*1000))))^2*AT241^2+((AS241*EXP(-0.0000091577*AW241*1000))/(0.0000091577*(EXP(-0.0000091577*AW241*1000)+(AJ241/1000)*EXP(-(0.0000091577-0.0000028263)*AW241*1000)-AS241*AU241*EXP(-0.0000091577*AW241*1000))))^2*AV241^2+((0.0000091577/(0.0000091577-0.0000028263))*(EXP(-(0.0000091577-0.0000028263)*AW241*1000)-1)/(0.0000091577*(EXP(-0.0000091577*AW241*1000)+(AJ241/1000)*EXP(-(0.0000091577-0.0000028263)*AW241*1000)-AS241*AU241*EXP(-0.0000091577*AW241*1000))))^2*T241^2+(1/(0.0000091577*(EXP(-0.0000091577*AW241*1000)+(AJ241/1000)*EXP(-(0.0000091577-0.0000028263)*AW241*1000)-AS241*AU241*EXP(-0.0000091577*AW241*1000))))^2*AO241^2)/1000</f>
        <v>#VALUE!</v>
      </c>
      <c r="AZ241" s="150" t="e">
        <f t="shared" ref="AZ241:AZ245" si="1312">AX241/AW241</f>
        <v>#VALUE!</v>
      </c>
      <c r="BA241" s="139" t="str">
        <f>Input!B241</f>
        <v>Hu1-13</v>
      </c>
      <c r="BB241" s="151">
        <f>Input!E241</f>
        <v>0</v>
      </c>
      <c r="BC241" s="139" t="e">
        <f>((U241-1)*EXP(Constants!$B$17*AW241*1000))*1000</f>
        <v>#VALUE!</v>
      </c>
      <c r="BD241" s="145" t="e">
        <f>SQRT((EXP(Constants!$B$17*AW241*1000)*V241)^2+((U241-1)*Constants!$B$17*EXP(Constants!$B$17*AW241*1000)*AY241*1000)^2)*1000</f>
        <v>#VALUE!</v>
      </c>
      <c r="BE241" s="139" t="e">
        <f t="shared" ref="BE241:BE245" si="1313">AW241*1000-58</f>
        <v>#VALUE!</v>
      </c>
      <c r="BF241" s="152" t="e">
        <f t="shared" ref="BF241:BF245" si="1314">AY241/2*1000</f>
        <v>#VALUE!</v>
      </c>
      <c r="BG241" s="161" t="e">
        <f t="shared" ref="BG241:BG245" si="1315">AY241/AW241*100</f>
        <v>#VALUE!</v>
      </c>
      <c r="BH241" s="139"/>
      <c r="BI241" s="18"/>
      <c r="BJ241" s="18"/>
      <c r="BK241" s="18"/>
      <c r="BL241" s="18"/>
      <c r="BM241" s="18"/>
      <c r="BN241" s="160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</row>
    <row r="242" spans="1:110" ht="15" customHeight="1" x14ac:dyDescent="0.2">
      <c r="A242" s="18">
        <f>Input!A242</f>
        <v>11106</v>
      </c>
      <c r="B242" s="18" t="str">
        <f>Input!B242</f>
        <v>C09-2-69,1</v>
      </c>
      <c r="C242" s="18">
        <f>Input!O242</f>
        <v>4.2991664964412993E-2</v>
      </c>
      <c r="D242" s="18">
        <f>C242*Input!P242/100</f>
        <v>1.8851796867784348E-4</v>
      </c>
      <c r="E242" s="153">
        <f>Input!M242</f>
        <v>3.9133133822018391E-2</v>
      </c>
      <c r="F242" s="154">
        <f>E242*Input!N242/100</f>
        <v>2.1216246367701889E-5</v>
      </c>
      <c r="G242" s="21">
        <f>E242*137.88</f>
        <v>5.3956764913798958</v>
      </c>
      <c r="H242" s="154">
        <f>G242*Input!L242/100</f>
        <v>4.2556494778141331E-3</v>
      </c>
      <c r="I242" s="18">
        <v>0.3</v>
      </c>
      <c r="J242" s="130">
        <f>(((C242*Constants!$B$24*0.000000001*Input!G242*(Constants!$B$4/Constants!$B$3))-(I242*0.000000000000001))/Input!F242)*1000000000000</f>
        <v>1.0976365945293169</v>
      </c>
      <c r="K242" s="18">
        <f>J242*Input!P242/100</f>
        <v>4.8131241560059887E-3</v>
      </c>
      <c r="L242" s="135">
        <f>(J242/Constants!$B$4)*602200000000*Constants!$B$17/(365.2425*24*60)</f>
        <v>1.5154091909676712E-2</v>
      </c>
      <c r="M242" s="133">
        <f>L242*Input!P242/100</f>
        <v>6.6450523056838363E-5</v>
      </c>
      <c r="N242" s="18">
        <v>5.0000000000000001E-3</v>
      </c>
      <c r="O242" s="130">
        <f>(((G242*Constants!$B$23*0.000000001*Input!G242*(Constants!$B$7/Constants!$B$6))-(N242*0.000000001))/Input!F242)*1000000</f>
        <v>1.3868950179572457E-2</v>
      </c>
      <c r="P242" s="18">
        <f>O242*Input!N242/100</f>
        <v>7.5191285525319595E-6</v>
      </c>
      <c r="Q242" s="131">
        <f>(O242/Constants!$B$7)*602200000000000000*Constants!$B$18/(365.2425*24*60)</f>
        <v>1.0347911627116181E-2</v>
      </c>
      <c r="R242" s="132">
        <f>Q242*Input!N242/100</f>
        <v>5.610177898621979E-6</v>
      </c>
      <c r="S242" s="133">
        <f>Input!S242*Constants!$B$17/Constants!$B$18</f>
        <v>1.4584016724428932</v>
      </c>
      <c r="T242" s="18">
        <f>S242*Input!T242/100</f>
        <v>3.8278560836749486E-3</v>
      </c>
      <c r="U242" s="18">
        <f>S242*1/((U241+U243)/2)</f>
        <v>1.4666775841087958</v>
      </c>
      <c r="V242" s="18">
        <f>U242*Input!T242/100</f>
        <v>3.849577807817803E-3</v>
      </c>
      <c r="W242" s="134">
        <v>3.0000000000000001E-3</v>
      </c>
      <c r="X242" s="130">
        <f>(((Constants!$B$25*0.000000001*Input!G242/Input!W242*(Constants!$B$11/Constants!$B$9)-(W242*0.000000001))/Input!F242)*1000000000)</f>
        <v>2.2157355772190124E-2</v>
      </c>
      <c r="Y242" s="130">
        <f>X242*Input!X242/100</f>
        <v>1.1766678869833039E-4</v>
      </c>
      <c r="Z242" s="130">
        <f>(X242/Constants!$B$11)*6.022E+23*0.000000001*Constants!$B$19/(365.2425*24*60)</f>
        <v>5.4093268631809472E-6</v>
      </c>
      <c r="AA242" s="130">
        <f>Z242*Input!X242/100</f>
        <v>2.8726267139194864E-8</v>
      </c>
      <c r="AB242" s="135">
        <v>0.05</v>
      </c>
      <c r="AC242" s="135">
        <v>0</v>
      </c>
      <c r="AD242" s="130">
        <f>(((Input!G242*Constants!$B$25*0.000000001*Input!U242*(Constants!$B$10/Constants!$B$9))-((AB242*0.000000000000001)+(Input!G242*AC242*0.000000000000001)))/Input!F242)*1000000000000</f>
        <v>0.1438704326723059</v>
      </c>
      <c r="AE242" s="130">
        <f>AD242*Input!V242/100</f>
        <v>1.5900248442275988E-3</v>
      </c>
      <c r="AF242" s="130">
        <f>(AD242/Constants!$B$10)*602200000000*Constants!$B$16/(365.2425*24*60)</f>
        <v>6.56706207158665E-3</v>
      </c>
      <c r="AG242" s="130">
        <f>AF242*Input!V242/100</f>
        <v>7.2577746889736778E-5</v>
      </c>
      <c r="AH242" s="18">
        <f>AF242/Z242</f>
        <v>1214.0257443649648</v>
      </c>
      <c r="AI242" s="134">
        <f>AH242*SQRT((AG242/AF242)^2+(AA242/Z242)^2)</f>
        <v>14.885727865987135</v>
      </c>
      <c r="AJ242" s="133">
        <f t="shared" si="1299"/>
        <v>466.67758410879577</v>
      </c>
      <c r="AK242" s="134">
        <f>V242*1000</f>
        <v>3.8495778078178029</v>
      </c>
      <c r="AL242" s="134">
        <f>AF242/Q242</f>
        <v>0.63462680280125261</v>
      </c>
      <c r="AM242" s="134">
        <f>AL242*SQRT((R242/Q242)^2+(AG242/AF242)^2)</f>
        <v>7.0221920765129106E-3</v>
      </c>
      <c r="AN242" s="18">
        <f>AL242*1/((AN241+AN243)/2)</f>
        <v>0.63535045368331711</v>
      </c>
      <c r="AO242" s="130">
        <f>AN242*SQRT((R242/Q242)^2+(AG242/AF242)^2)</f>
        <v>7.0301993265498844E-3</v>
      </c>
      <c r="AP242" s="18">
        <f>ThU_Alter_Kombi(AN242,U242)</f>
        <v>59.833500000000001</v>
      </c>
      <c r="AQ242" s="18">
        <f t="shared" si="1305"/>
        <v>0.91969999999999996</v>
      </c>
      <c r="AR242" s="155">
        <f>(AQ242/AP242)</f>
        <v>1.5370987824546449E-2</v>
      </c>
      <c r="AS242" s="132">
        <f t="shared" si="1306"/>
        <v>5.2274575374282079E-4</v>
      </c>
      <c r="AT242" s="132">
        <f t="shared" si="1307"/>
        <v>2.7904741815618764E-6</v>
      </c>
      <c r="AU242" s="18">
        <v>0.75</v>
      </c>
      <c r="AV242" s="18">
        <f>AU242/2</f>
        <v>0.375</v>
      </c>
      <c r="AW242" s="18">
        <f t="shared" si="1309"/>
        <v>59.805999999999997</v>
      </c>
      <c r="AX242" s="136">
        <f t="shared" si="1310"/>
        <v>0.80702900020000001</v>
      </c>
      <c r="AY242" s="136">
        <f t="shared" si="1311"/>
        <v>0.88129651665697051</v>
      </c>
      <c r="AZ242" s="155">
        <f t="shared" si="1312"/>
        <v>1.3494114306256898E-2</v>
      </c>
      <c r="BA242" s="18" t="str">
        <f>Input!B242</f>
        <v>C09-2-69,1</v>
      </c>
      <c r="BB242" s="137">
        <f>Input!E242</f>
        <v>69.099999999999994</v>
      </c>
      <c r="BC242" s="18">
        <f>((U242-1)*EXP(Constants!$B$17*AW242*1000))*1000</f>
        <v>552.4786231656218</v>
      </c>
      <c r="BD242" s="133">
        <f>SQRT((EXP(Constants!$B$17*AW242*1000)*V242)^2+((U242-1)*Constants!$B$17*EXP(Constants!$B$17*AW242*1000)*AY242*1000)^2)*1000</f>
        <v>4.7599781602524036</v>
      </c>
      <c r="BE242" s="18">
        <f t="shared" si="1313"/>
        <v>59748</v>
      </c>
      <c r="BF242" s="138">
        <f t="shared" si="1314"/>
        <v>440.64825832848527</v>
      </c>
      <c r="BG242" s="20">
        <f t="shared" si="1315"/>
        <v>1.4735921423552327</v>
      </c>
      <c r="BH242" s="18"/>
      <c r="BI242" s="18"/>
      <c r="BJ242" s="18"/>
      <c r="BK242" s="18"/>
      <c r="BL242" s="18"/>
      <c r="BM242" s="18"/>
      <c r="BN242" s="160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</row>
    <row r="243" spans="1:110" ht="15" customHeight="1" x14ac:dyDescent="0.2">
      <c r="A243" s="139">
        <f>Input!A243</f>
        <v>10815</v>
      </c>
      <c r="B243" s="139" t="str">
        <f>Input!B243</f>
        <v>Hu1-13</v>
      </c>
      <c r="C243" s="139">
        <f>Input!O243</f>
        <v>2.2482756666041688</v>
      </c>
      <c r="D243" s="139">
        <f>C243*Input!P243/100</f>
        <v>9.2968388304625088E-2</v>
      </c>
      <c r="E243" s="140">
        <f>Input!M243</f>
        <v>2.7315313772137189</v>
      </c>
      <c r="F243" s="141">
        <f>E243*Input!N243/100</f>
        <v>1.970611304632212E-3</v>
      </c>
      <c r="G243" s="142">
        <f t="shared" ref="G243" si="1316">E243*137.88</f>
        <v>376.62354629022752</v>
      </c>
      <c r="H243" s="141">
        <f>G243*Input!L243/100</f>
        <v>0.11809061828292465</v>
      </c>
      <c r="I243" s="139">
        <v>0</v>
      </c>
      <c r="J243" s="143">
        <f>(((C243*Constants!$B$24*0.000000001*Input!G243*(Constants!$B$4/Constants!$B$3))-(I243*0.000000000000001))/Input!F243)*1000000000000</f>
        <v>811.71192195904359</v>
      </c>
      <c r="K243" s="139">
        <f>J243*Input!P243/100</f>
        <v>33.565078461291733</v>
      </c>
      <c r="L243" s="144">
        <f>(J243/Constants!$B$4)*602200000000*Constants!$B$17/(365.2425*24*60)</f>
        <v>11.206584338437102</v>
      </c>
      <c r="M243" s="145">
        <f>L243*Input!P243/100</f>
        <v>0.46340317596284331</v>
      </c>
      <c r="N243" s="139">
        <v>0</v>
      </c>
      <c r="O243" s="143">
        <f>(((G243*Constants!$B$23*0.000000001*Input!G243*(Constants!$B$7/Constants!$B$6))-(N243*0.000000001))/Input!F243)*1000000</f>
        <v>13.697500772672429</v>
      </c>
      <c r="P243" s="139">
        <f>O243*Input!N243/100</f>
        <v>9.8818011365369059E-3</v>
      </c>
      <c r="Q243" s="146">
        <f>(O243/Constants!$B$7)*602200000000000000*Constants!$B$18/(365.2425*24*60)</f>
        <v>10.219989665601306</v>
      </c>
      <c r="R243" s="147">
        <f>Q243*Input!N243/100</f>
        <v>7.3730169590076645E-3</v>
      </c>
      <c r="S243" s="145">
        <f>Input!S243*Constants!$B$17/Constants!$B$18</f>
        <v>1.0001320896598749</v>
      </c>
      <c r="T243" s="139">
        <f>S243*Input!T243/100</f>
        <v>2.192149147608301E-3</v>
      </c>
      <c r="U243" s="145">
        <f>S243</f>
        <v>1.0001320896598749</v>
      </c>
      <c r="V243" s="139">
        <f>U243*Input!T243/100</f>
        <v>2.192149147608301E-3</v>
      </c>
      <c r="W243" s="148">
        <v>0</v>
      </c>
      <c r="X243" s="143">
        <f>(((Constants!$B$25*0.000000001*Input!G243/Input!W243*(Constants!$B$11/Constants!$B$9))-(W243*0.000000001))/Input!F243)*1000000000</f>
        <v>0.88895338546682712</v>
      </c>
      <c r="Y243" s="143">
        <f>X243*Input!X243/100</f>
        <v>3.2950728802125635E-2</v>
      </c>
      <c r="Z243" s="143">
        <f>(X243/Constants!$B$11)*6.022E+23*0.000000001*Constants!$B$19/(365.2425*24*60)</f>
        <v>2.1702226012711853E-4</v>
      </c>
      <c r="AA243" s="143">
        <f>Z243*Input!X243/100</f>
        <v>8.0443381558389944E-6</v>
      </c>
      <c r="AB243" s="144">
        <v>0</v>
      </c>
      <c r="AC243" s="144">
        <v>0</v>
      </c>
      <c r="AD243" s="143">
        <f>(((Input!G243*Constants!$B$25*0.000000001*Input!U243*(Constants!$B$10/Constants!$B$9))-((AB243*0.000000000000001)+(Input!G243*AC243*0.000000000000001)))/Input!F243)*1000000000000</f>
        <v>224.46976920075841</v>
      </c>
      <c r="AE243" s="143">
        <f>AD243*Input!V243/100</f>
        <v>1.917802584360099</v>
      </c>
      <c r="AF243" s="143">
        <f>(AD243/Constants!$B$10)*602200000000*Constants!$B$16/(365.2425*24*60)</f>
        <v>10.246072665213203</v>
      </c>
      <c r="AG243" s="143">
        <f>AF243*Input!V243/100</f>
        <v>8.753938094582786E-2</v>
      </c>
      <c r="AH243" s="139">
        <f t="shared" ref="AH243" si="1317">AF243/Z243</f>
        <v>47212.081651032815</v>
      </c>
      <c r="AI243" s="148">
        <f t="shared" ref="AI243" si="1318">AH243*SQRT((AG243/AF243)^2+(AA243/Z243)^2)</f>
        <v>1795.8897783871087</v>
      </c>
      <c r="AJ243" s="145">
        <f t="shared" si="1299"/>
        <v>0.13208965987487886</v>
      </c>
      <c r="AK243" s="148">
        <f t="shared" ref="AK243" si="1319">V243*1000</f>
        <v>2.1921491476083008</v>
      </c>
      <c r="AL243" s="148">
        <f t="shared" ref="AL243" si="1320">AF243/Q243</f>
        <v>1.0025521551846268</v>
      </c>
      <c r="AM243" s="148">
        <f t="shared" ref="AM243" si="1321">AL243*SQRT((R243/Q243)^2+(AG243/AF243)^2)</f>
        <v>8.5959881660165223E-3</v>
      </c>
      <c r="AN243" s="139">
        <f>AF243/Q243</f>
        <v>1.0025521551846268</v>
      </c>
      <c r="AO243" s="143">
        <f t="shared" ref="AO243" si="1322">AN243*SQRT((R243/Q243)^2+(AG243/AF243)^2)</f>
        <v>8.5959881660165223E-3</v>
      </c>
      <c r="AP243" s="139" t="str">
        <f t="shared" ref="AP243" si="1323">ThU_Alter_Kombi(AN243,U243)</f>
        <v>Out of range</v>
      </c>
      <c r="AQ243" s="139" t="e">
        <f t="shared" si="1305"/>
        <v>#VALUE!</v>
      </c>
      <c r="AR243" s="139" t="e">
        <f>(AQ243/AP243)*100</f>
        <v>#VALUE!</v>
      </c>
      <c r="AS243" s="147">
        <f t="shared" si="1306"/>
        <v>2.1235076279732204E-5</v>
      </c>
      <c r="AT243" s="147">
        <f t="shared" si="1307"/>
        <v>7.8726710092945978E-7</v>
      </c>
      <c r="AU243" s="139">
        <v>0.75</v>
      </c>
      <c r="AV243" s="139">
        <f t="shared" ref="AV243" si="1324">AU243/2</f>
        <v>0.375</v>
      </c>
      <c r="AW243" s="139" t="str">
        <f t="shared" si="1309"/>
        <v>Out of range</v>
      </c>
      <c r="AX243" s="149">
        <f t="shared" si="1310"/>
        <v>301.8055548987</v>
      </c>
      <c r="AY243" s="149" t="e">
        <f t="shared" si="1311"/>
        <v>#VALUE!</v>
      </c>
      <c r="AZ243" s="150" t="e">
        <f t="shared" si="1312"/>
        <v>#VALUE!</v>
      </c>
      <c r="BA243" s="139" t="str">
        <f>Input!B243</f>
        <v>Hu1-13</v>
      </c>
      <c r="BB243" s="151">
        <f>Input!E243</f>
        <v>0</v>
      </c>
      <c r="BC243" s="139" t="e">
        <f>((U243-1)*EXP(Constants!$B$17*AW243*1000))*1000</f>
        <v>#VALUE!</v>
      </c>
      <c r="BD243" s="145" t="e">
        <f>SQRT((EXP(Constants!$B$17*AW243*1000)*V243)^2+((U243-1)*Constants!$B$17*EXP(Constants!$B$17*AW243*1000)*AY243*1000)^2)*1000</f>
        <v>#VALUE!</v>
      </c>
      <c r="BE243" s="139" t="e">
        <f t="shared" si="1313"/>
        <v>#VALUE!</v>
      </c>
      <c r="BF243" s="152" t="e">
        <f t="shared" si="1314"/>
        <v>#VALUE!</v>
      </c>
      <c r="BG243" s="161" t="e">
        <f t="shared" si="1315"/>
        <v>#VALUE!</v>
      </c>
      <c r="BH243" s="139"/>
      <c r="BI243" s="18"/>
      <c r="BJ243" s="18"/>
      <c r="BK243" s="18"/>
      <c r="BL243" s="18"/>
      <c r="BM243" s="18"/>
      <c r="BN243" s="160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</row>
    <row r="244" spans="1:110" ht="15" customHeight="1" x14ac:dyDescent="0.2">
      <c r="A244" s="18">
        <f>Input!A244</f>
        <v>11107</v>
      </c>
      <c r="B244" s="18" t="str">
        <f>Input!B244</f>
        <v>C09-2-67,7</v>
      </c>
      <c r="C244" s="18">
        <f>Input!O244</f>
        <v>7.3052057072348284E-2</v>
      </c>
      <c r="D244" s="18">
        <f>C244*Input!P244/100</f>
        <v>3.4286066547422819E-4</v>
      </c>
      <c r="E244" s="153">
        <f>Input!M244</f>
        <v>7.1588029869421102E-2</v>
      </c>
      <c r="F244" s="154">
        <f>E244*Input!N244/100</f>
        <v>3.5531266473627197E-5</v>
      </c>
      <c r="G244" s="21">
        <f>E244*137.88</f>
        <v>9.870557558395781</v>
      </c>
      <c r="H244" s="154">
        <f>G244*Input!L244/100</f>
        <v>5.7942754925164068E-3</v>
      </c>
      <c r="I244" s="18">
        <v>0.3</v>
      </c>
      <c r="J244" s="130">
        <f>(((C244*Constants!$B$24*0.000000001*Input!G244*(Constants!$B$4/Constants!$B$3))-(I244*0.000000000000001))/Input!F244)*1000000000000</f>
        <v>1.7203727611342499</v>
      </c>
      <c r="K244" s="18">
        <f>J244*Input!P244/100</f>
        <v>8.0743537332844534E-3</v>
      </c>
      <c r="L244" s="135">
        <f>(J244/Constants!$B$4)*602200000000*Constants!$B$17/(365.2425*24*60)</f>
        <v>2.3751656122864805E-2</v>
      </c>
      <c r="M244" s="133">
        <f>L244*Input!P244/100</f>
        <v>1.1147541836276285E-4</v>
      </c>
      <c r="N244" s="18">
        <v>5.0000000000000001E-3</v>
      </c>
      <c r="O244" s="130">
        <f>(((G244*Constants!$B$23*0.000000001*Input!G244*(Constants!$B$7/Constants!$B$6))-(N244*0.000000001))/Input!F244)*1000000</f>
        <v>2.341045653953424E-2</v>
      </c>
      <c r="P244" s="18">
        <f>O244*Input!N244/100</f>
        <v>1.1619305225925279E-5</v>
      </c>
      <c r="Q244" s="131">
        <f>(O244/Constants!$B$7)*602200000000000000*Constants!$B$18/(365.2425*24*60)</f>
        <v>1.746702758932344E-2</v>
      </c>
      <c r="R244" s="132">
        <f>Q244*Input!N244/100</f>
        <v>8.6694048280206978E-6</v>
      </c>
      <c r="S244" s="133">
        <f>Input!S244*Constants!$B$17/Constants!$B$18</f>
        <v>1.3601473112633837</v>
      </c>
      <c r="T244" s="18">
        <f>S244*Input!T244/100</f>
        <v>4.1226507510866654E-3</v>
      </c>
      <c r="U244" s="18">
        <f>S244*1/((U243+U245)/2)</f>
        <v>1.3575917225973926</v>
      </c>
      <c r="V244" s="18">
        <f>U244*Input!T244/100</f>
        <v>4.1149046786972485E-3</v>
      </c>
      <c r="W244" s="134">
        <v>3.0000000000000001E-3</v>
      </c>
      <c r="X244" s="130">
        <f>(((Constants!$B$25*0.000000001*Input!G244/Input!W244*(Constants!$B$11/Constants!$B$9)-(W244*0.000000001))/Input!F244)*1000000000)</f>
        <v>2.9190911160737201E-2</v>
      </c>
      <c r="Y244" s="130">
        <f>X244*Input!X244/100</f>
        <v>2.3843660797848393E-4</v>
      </c>
      <c r="Z244" s="130">
        <f>(X244/Constants!$B$11)*6.022E+23*0.000000001*Constants!$B$19/(365.2425*24*60)</f>
        <v>7.1264451194438037E-6</v>
      </c>
      <c r="AA244" s="130">
        <f>Z244*Input!X244/100</f>
        <v>5.8210084360453028E-8</v>
      </c>
      <c r="AB244" s="135">
        <v>0.05</v>
      </c>
      <c r="AC244" s="135">
        <v>0</v>
      </c>
      <c r="AD244" s="130">
        <f>(((Input!G244*Constants!$B$25*0.000000001*Input!U244*(Constants!$B$10/Constants!$B$9))-((AB244*0.000000000000001)+(Input!G244*AC244*0.000000000000001)))/Input!F244)*1000000000000</f>
        <v>0.2189122384818632</v>
      </c>
      <c r="AE244" s="130">
        <f>AD244*Input!V244/100</f>
        <v>2.6422518680184631E-3</v>
      </c>
      <c r="AF244" s="130">
        <f>(AD244/Constants!$B$10)*602200000000*Constants!$B$16/(365.2425*24*60)</f>
        <v>9.992395460537918E-3</v>
      </c>
      <c r="AG244" s="130">
        <f>AF244*Input!V244/100</f>
        <v>1.2060735276695349E-4</v>
      </c>
      <c r="AH244" s="18">
        <f>AF244/Z244</f>
        <v>1402.1570773448673</v>
      </c>
      <c r="AI244" s="134">
        <f>AH244*SQRT((AG244/AF244)^2+(AA244/Z244)^2)</f>
        <v>20.43506153511677</v>
      </c>
      <c r="AJ244" s="133">
        <f t="shared" si="1299"/>
        <v>357.59172259739256</v>
      </c>
      <c r="AK244" s="134">
        <f>V244*1000</f>
        <v>4.1149046786972487</v>
      </c>
      <c r="AL244" s="134">
        <f>AF244/Q244</f>
        <v>0.57207188855908586</v>
      </c>
      <c r="AM244" s="134">
        <f>AL244*SQRT((R244/Q244)^2+(AG244/AF244)^2)</f>
        <v>6.9106938727730464E-3</v>
      </c>
      <c r="AN244" s="18">
        <f>AL244*1/((AN243+AN245)/2)</f>
        <v>0.56941235779592669</v>
      </c>
      <c r="AO244" s="130">
        <f>AN244*SQRT((R244/Q244)^2+(AG244/AF244)^2)</f>
        <v>6.8785664368388871E-3</v>
      </c>
      <c r="AP244" s="18">
        <f>ThU_Alter_Kombi(AN244,U244)</f>
        <v>57.712299999999999</v>
      </c>
      <c r="AQ244" s="18">
        <f t="shared" si="1305"/>
        <v>0.98629999999999995</v>
      </c>
      <c r="AR244" s="155">
        <f>(AQ244/AP244)</f>
        <v>1.7089944431256422E-2</v>
      </c>
      <c r="AS244" s="132">
        <f t="shared" si="1306"/>
        <v>4.0799415258265106E-4</v>
      </c>
      <c r="AT244" s="132">
        <f t="shared" si="1307"/>
        <v>3.3387162107025635E-6</v>
      </c>
      <c r="AU244" s="18">
        <v>0.75</v>
      </c>
      <c r="AV244" s="18">
        <f>AU244/2</f>
        <v>0.375</v>
      </c>
      <c r="AW244" s="18">
        <f t="shared" si="1309"/>
        <v>57.688800000000001</v>
      </c>
      <c r="AX244" s="136">
        <f t="shared" si="1310"/>
        <v>0.93208514080000004</v>
      </c>
      <c r="AY244" s="136">
        <f t="shared" si="1311"/>
        <v>0.92783708958844613</v>
      </c>
      <c r="AZ244" s="155">
        <f t="shared" si="1312"/>
        <v>1.6157124793720792E-2</v>
      </c>
      <c r="BA244" s="18" t="str">
        <f>Input!B244</f>
        <v>C09-2-67,7</v>
      </c>
      <c r="BB244" s="137">
        <f>Input!E244</f>
        <v>67.7</v>
      </c>
      <c r="BC244" s="18">
        <f>((U244-1)*EXP(Constants!$B$17*AW244*1000))*1000</f>
        <v>420.81493422006918</v>
      </c>
      <c r="BD244" s="133">
        <f>SQRT((EXP(Constants!$B$17*AW244*1000)*V244)^2+((U244-1)*Constants!$B$17*EXP(Constants!$B$17*AW244*1000)*AY244*1000)^2)*1000</f>
        <v>4.9662109515498472</v>
      </c>
      <c r="BE244" s="18">
        <f t="shared" si="1313"/>
        <v>57630.8</v>
      </c>
      <c r="BF244" s="138">
        <f t="shared" si="1314"/>
        <v>463.91854479422307</v>
      </c>
      <c r="BG244" s="20">
        <f t="shared" si="1315"/>
        <v>1.6083487428902077</v>
      </c>
      <c r="BH244" s="18"/>
      <c r="BI244" s="18"/>
      <c r="BJ244" s="18"/>
      <c r="BK244" s="18"/>
      <c r="BL244" s="18"/>
      <c r="BM244" s="18"/>
      <c r="BN244" s="160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</row>
    <row r="245" spans="1:110" ht="15" customHeight="1" x14ac:dyDescent="0.2">
      <c r="A245" s="139">
        <f>Input!A245</f>
        <v>10815</v>
      </c>
      <c r="B245" s="139" t="str">
        <f>Input!B245</f>
        <v>Hu1-13</v>
      </c>
      <c r="C245" s="139">
        <f>Input!O245</f>
        <v>2.154005994045038</v>
      </c>
      <c r="D245" s="139">
        <f>C245*Input!P245/100</f>
        <v>0.15013246970922425</v>
      </c>
      <c r="E245" s="140">
        <f>Input!M245</f>
        <v>2.7320721684324294</v>
      </c>
      <c r="F245" s="141">
        <f>E245*Input!N245/100</f>
        <v>2.1724895408785846E-3</v>
      </c>
      <c r="G245" s="142">
        <f t="shared" ref="G245" si="1325">E245*137.88</f>
        <v>376.69811058346335</v>
      </c>
      <c r="H245" s="141">
        <f>G245*Input!L245/100</f>
        <v>9.489332394086189E-2</v>
      </c>
      <c r="I245" s="139">
        <v>0</v>
      </c>
      <c r="J245" s="143">
        <f>(((C245*Constants!$B$24*0.000000001*Input!G245*(Constants!$B$4/Constants!$B$3))-(I245*0.000000000000001))/Input!F245)*1000000000000</f>
        <v>777.67703102816472</v>
      </c>
      <c r="K245" s="139">
        <f>J245*Input!P245/100</f>
        <v>54.203457941702538</v>
      </c>
      <c r="L245" s="144">
        <f>(J245/Constants!$B$4)*602200000000*Constants!$B$17/(365.2425*24*60)</f>
        <v>10.736694879691852</v>
      </c>
      <c r="M245" s="145">
        <f>L245*Input!P245/100</f>
        <v>0.74833891978891887</v>
      </c>
      <c r="N245" s="139">
        <v>0</v>
      </c>
      <c r="O245" s="143">
        <f>(((G245*Constants!$B$23*0.000000001*Input!G245*(Constants!$B$7/Constants!$B$6))-(N245*0.000000001))/Input!F245)*1000000</f>
        <v>13.700212617097112</v>
      </c>
      <c r="P245" s="139">
        <f>O245*Input!N245/100</f>
        <v>1.0894137044532621E-2</v>
      </c>
      <c r="Q245" s="146">
        <f>(O245/Constants!$B$7)*602200000000000000*Constants!$B$18/(365.2425*24*60)</f>
        <v>10.222013029020294</v>
      </c>
      <c r="R245" s="147">
        <f>Q245*Input!N245/100</f>
        <v>8.1283417945042652E-3</v>
      </c>
      <c r="S245" s="145">
        <f>Input!S245*Constants!$B$17/Constants!$B$18</f>
        <v>1.003632795796412</v>
      </c>
      <c r="T245" s="139">
        <f>S245*Input!T245/100</f>
        <v>1.9793739334359474E-3</v>
      </c>
      <c r="U245" s="145">
        <f>S245</f>
        <v>1.003632795796412</v>
      </c>
      <c r="V245" s="139">
        <f>U245*Input!T245/100</f>
        <v>1.9793739334359474E-3</v>
      </c>
      <c r="W245" s="148">
        <v>0</v>
      </c>
      <c r="X245" s="143">
        <f>(((Constants!$B$25*0.000000001*Input!G245/Input!W245*(Constants!$B$11/Constants!$B$9))-(W245*0.000000001))/Input!F245)*1000000000</f>
        <v>0.87685575134298055</v>
      </c>
      <c r="Y245" s="143">
        <f>X245*Input!X245/100</f>
        <v>2.502094553137249E-2</v>
      </c>
      <c r="Z245" s="143">
        <f>(X245/Constants!$B$11)*6.022E+23*0.000000001*Constants!$B$19/(365.2425*24*60)</f>
        <v>2.1406883653633102E-4</v>
      </c>
      <c r="AA245" s="143">
        <f>Z245*Input!X245/100</f>
        <v>6.1084216996197248E-6</v>
      </c>
      <c r="AB245" s="144">
        <v>0</v>
      </c>
      <c r="AC245" s="144">
        <v>0</v>
      </c>
      <c r="AD245" s="143">
        <f>(((Input!G245*Constants!$B$25*0.000000001*Input!U245*(Constants!$B$10/Constants!$B$9))-((AB245*0.000000000000001)+(Input!G245*AC245*0.000000000000001)))/Input!F245)*1000000000000</f>
        <v>225.46305660891633</v>
      </c>
      <c r="AE245" s="143">
        <f>AD245*Input!V245/100</f>
        <v>1.9599910650573609</v>
      </c>
      <c r="AF245" s="143">
        <f>(AD245/Constants!$B$10)*602200000000*Constants!$B$16/(365.2425*24*60)</f>
        <v>10.291411932935819</v>
      </c>
      <c r="AG245" s="143">
        <f>AF245*Input!V245/100</f>
        <v>8.9465102348750866E-2</v>
      </c>
      <c r="AH245" s="139">
        <f t="shared" ref="AH245" si="1326">AF245/Z245</f>
        <v>48075.245792206639</v>
      </c>
      <c r="AI245" s="148">
        <f t="shared" ref="AI245" si="1327">AH245*SQRT((AG245/AF245)^2+(AA245/Z245)^2)</f>
        <v>1434.0684942021478</v>
      </c>
      <c r="AJ245" s="145">
        <f t="shared" si="1299"/>
        <v>3.6327957964119584</v>
      </c>
      <c r="AK245" s="148">
        <f t="shared" ref="AK245" si="1328">V245*1000</f>
        <v>1.9793739334359475</v>
      </c>
      <c r="AL245" s="148">
        <f t="shared" ref="AL245" si="1329">AF245/Q245</f>
        <v>1.0067891621462917</v>
      </c>
      <c r="AM245" s="148">
        <f t="shared" ref="AM245" si="1330">AL245*SQRT((R245/Q245)^2+(AG245/AF245)^2)</f>
        <v>8.7887388761533503E-3</v>
      </c>
      <c r="AN245" s="139">
        <f>AF245/Q245</f>
        <v>1.0067891621462917</v>
      </c>
      <c r="AO245" s="143">
        <f t="shared" ref="AO245" si="1331">AN245*SQRT((R245/Q245)^2+(AG245/AF245)^2)</f>
        <v>8.7887388761533503E-3</v>
      </c>
      <c r="AP245" s="139" t="str">
        <f t="shared" ref="AP245" si="1332">ThU_Alter_Kombi(AN245,U245)</f>
        <v>Out of range</v>
      </c>
      <c r="AQ245" s="139" t="e">
        <f t="shared" si="1305"/>
        <v>#VALUE!</v>
      </c>
      <c r="AR245" s="139" t="e">
        <f>(AQ245/AP245)*100</f>
        <v>#VALUE!</v>
      </c>
      <c r="AS245" s="147">
        <f t="shared" si="1306"/>
        <v>2.0941945185218374E-5</v>
      </c>
      <c r="AT245" s="147">
        <f t="shared" si="1307"/>
        <v>5.978072055658682E-7</v>
      </c>
      <c r="AU245" s="139">
        <v>0.75</v>
      </c>
      <c r="AV245" s="139">
        <f t="shared" ref="AV245" si="1333">AU245/2</f>
        <v>0.375</v>
      </c>
      <c r="AW245" s="139" t="str">
        <f t="shared" si="1309"/>
        <v>Out of range</v>
      </c>
      <c r="AX245" s="149">
        <f t="shared" si="1310"/>
        <v>294.34916415499998</v>
      </c>
      <c r="AY245" s="149" t="e">
        <f t="shared" si="1311"/>
        <v>#VALUE!</v>
      </c>
      <c r="AZ245" s="150" t="e">
        <f t="shared" si="1312"/>
        <v>#VALUE!</v>
      </c>
      <c r="BA245" s="139" t="str">
        <f>Input!B245</f>
        <v>Hu1-13</v>
      </c>
      <c r="BB245" s="151">
        <f>Input!E245</f>
        <v>0</v>
      </c>
      <c r="BC245" s="139" t="e">
        <f>((U245-1)*EXP(Constants!$B$17*AW245*1000))*1000</f>
        <v>#VALUE!</v>
      </c>
      <c r="BD245" s="145" t="e">
        <f>SQRT((EXP(Constants!$B$17*AW245*1000)*V245)^2+((U245-1)*Constants!$B$17*EXP(Constants!$B$17*AW245*1000)*AY245*1000)^2)*1000</f>
        <v>#VALUE!</v>
      </c>
      <c r="BE245" s="139" t="e">
        <f t="shared" si="1313"/>
        <v>#VALUE!</v>
      </c>
      <c r="BF245" s="152" t="e">
        <f t="shared" si="1314"/>
        <v>#VALUE!</v>
      </c>
      <c r="BG245" s="161" t="e">
        <f t="shared" si="1315"/>
        <v>#VALUE!</v>
      </c>
      <c r="BH245" s="139"/>
      <c r="BI245" s="18"/>
      <c r="BJ245" s="18"/>
      <c r="BK245" s="18"/>
      <c r="BL245" s="18"/>
      <c r="BM245" s="18"/>
      <c r="BN245" s="160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</row>
    <row r="247" spans="1:110" ht="15" customHeight="1" x14ac:dyDescent="0.2">
      <c r="A247" s="139">
        <f>Input!A247</f>
        <v>10815</v>
      </c>
      <c r="B247" s="139" t="str">
        <f>Input!B247</f>
        <v>Hu1-13</v>
      </c>
      <c r="C247" s="139">
        <f>Input!O247</f>
        <v>2.0987723931777023</v>
      </c>
      <c r="D247" s="139">
        <f>C247*Input!P247/100</f>
        <v>2.8348216099975579E-2</v>
      </c>
      <c r="E247" s="140">
        <f>Input!M247</f>
        <v>2.732585913768363</v>
      </c>
      <c r="F247" s="141">
        <f>E247*Input!N247/100</f>
        <v>3.5606849121533747E-4</v>
      </c>
      <c r="G247" s="142">
        <f t="shared" ref="G247" si="1334">E247*137.88</f>
        <v>376.76894579038191</v>
      </c>
      <c r="H247" s="141">
        <f>G247*Input!L247/100</f>
        <v>3.2139565610148864E-2</v>
      </c>
      <c r="I247" s="139">
        <v>0</v>
      </c>
      <c r="J247" s="143">
        <f>(((C247*Constants!$B$24*0.000000001*Input!G247*(Constants!$B$4/Constants!$B$3))-(I247*0.000000000000001))/Input!F247)*1000000000000</f>
        <v>757.7356274971371</v>
      </c>
      <c r="K247" s="139">
        <f>J247*Input!P247/100</f>
        <v>10.23477028036203</v>
      </c>
      <c r="L247" s="144">
        <f>(J247/Constants!$B$4)*602200000000*Constants!$B$17/(365.2425*24*60)</f>
        <v>10.46138166270975</v>
      </c>
      <c r="M247" s="145">
        <f>L247*Input!P247/100</f>
        <v>0.14130236753772094</v>
      </c>
      <c r="N247" s="139">
        <v>0</v>
      </c>
      <c r="O247" s="143">
        <f>(((G247*Constants!$B$23*0.000000001*Input!G247*(Constants!$B$7/Constants!$B$6))-(N247*0.000000001))/Input!F247)*1000000</f>
        <v>13.702788837599135</v>
      </c>
      <c r="P247" s="139">
        <f>O247*Input!N247/100</f>
        <v>1.7855363018093519E-3</v>
      </c>
      <c r="Q247" s="146">
        <f>(O247/Constants!$B$7)*602200000000000000*Constants!$B$18/(365.2425*24*60)</f>
        <v>10.223935200615239</v>
      </c>
      <c r="R247" s="147">
        <f>Q247*Input!N247/100</f>
        <v>1.3322256997753956E-3</v>
      </c>
      <c r="S247" s="145">
        <f>Input!S247*Constants!$B$17/Constants!$B$18</f>
        <v>0.99922567180264621</v>
      </c>
      <c r="T247" s="139">
        <f>S247*Input!T247/100</f>
        <v>2.8020095630988647E-3</v>
      </c>
      <c r="U247" s="145">
        <f>S247</f>
        <v>0.99922567180264621</v>
      </c>
      <c r="V247" s="139">
        <f>U247*Input!T247/100</f>
        <v>2.8020095630988647E-3</v>
      </c>
      <c r="W247" s="148">
        <v>0</v>
      </c>
      <c r="X247" s="143">
        <f>(((Constants!$B$25*0.000000001*Input!G247/Input!W247*(Constants!$B$11/Constants!$B$9))-(W247*0.000000001))/Input!F247)*1000000000</f>
        <v>0.8356164612962127</v>
      </c>
      <c r="Y247" s="143">
        <f>X247*Input!X247/100</f>
        <v>6.9259527296466391E-3</v>
      </c>
      <c r="Z247" s="143">
        <f>(X247/Constants!$B$11)*6.022E+23*0.000000001*Constants!$B$19/(365.2425*24*60)</f>
        <v>2.040009926220099E-4</v>
      </c>
      <c r="AA247" s="143">
        <f>Z247*Input!X247/100</f>
        <v>1.6908489685678684E-6</v>
      </c>
      <c r="AB247" s="144">
        <v>0</v>
      </c>
      <c r="AC247" s="144">
        <v>0</v>
      </c>
      <c r="AD247" s="143">
        <f>(((Input!G247*Constants!$B$25*0.000000001*Input!U247*(Constants!$B$10/Constants!$B$9))-((AB247*0.000000000000001)+(Input!G247*AC247*0.000000000000001)))/Input!F247)*1000000000000</f>
        <v>223.33838196349603</v>
      </c>
      <c r="AE247" s="143">
        <f>AD247*Input!V247/100</f>
        <v>1.11191696059518</v>
      </c>
      <c r="AF247" s="143">
        <f>(AD247/Constants!$B$10)*602200000000*Constants!$B$16/(365.2425*24*60)</f>
        <v>10.194429738476295</v>
      </c>
      <c r="AG247" s="143">
        <f>AF247*Input!V247/100</f>
        <v>5.0754192943246117E-2</v>
      </c>
      <c r="AH247" s="139">
        <f t="shared" ref="AH247" si="1335">AF247/Z247</f>
        <v>49972.451640788764</v>
      </c>
      <c r="AI247" s="148">
        <f t="shared" ref="AI247" si="1336">AH247*SQRT((AG247/AF247)^2+(AA247/Z247)^2)</f>
        <v>483.17136540770014</v>
      </c>
      <c r="AJ247" s="145">
        <f t="shared" ref="AJ247:AJ251" si="1337">(U247-1)*1000</f>
        <v>-0.77432819735379077</v>
      </c>
      <c r="AK247" s="148">
        <f t="shared" ref="AK247" si="1338">V247*1000</f>
        <v>2.8020095630988648</v>
      </c>
      <c r="AL247" s="148">
        <f t="shared" ref="AL247" si="1339">AF247/Q247</f>
        <v>0.99711407970023436</v>
      </c>
      <c r="AM247" s="148">
        <f t="shared" ref="AM247" si="1340">AL247*SQRT((R247/Q247)^2+(AG247/AF247)^2)</f>
        <v>4.9659522207324202E-3</v>
      </c>
      <c r="AN247" s="139">
        <f>AF247/Q247</f>
        <v>0.99711407970023436</v>
      </c>
      <c r="AO247" s="143">
        <f t="shared" ref="AO247" si="1341">AN247*SQRT((R247/Q247)^2+(AG247/AF247)^2)</f>
        <v>4.9659522207324202E-3</v>
      </c>
      <c r="AP247" s="139">
        <f t="shared" ref="AP247" si="1342">ThU_Alter_Kombi(AN247,U247)</f>
        <v>690.29669999999999</v>
      </c>
      <c r="AQ247" s="139" t="e">
        <f t="shared" ref="AQ247:AQ251" si="1343">Montealter(AN247,AO247,U247,V247)</f>
        <v>#VALUE!</v>
      </c>
      <c r="AR247" s="139" t="e">
        <f>(AQ247/AP247)*100</f>
        <v>#VALUE!</v>
      </c>
      <c r="AS247" s="147">
        <f t="shared" ref="AS247:AS251" si="1344">Z247/Q247</f>
        <v>1.9953275193854307E-5</v>
      </c>
      <c r="AT247" s="147">
        <f t="shared" ref="AT247:AT251" si="1345">AS247*SQRT((Y247/X247)^2+(P247/O247)^2)</f>
        <v>1.6540186100100571E-7</v>
      </c>
      <c r="AU247" s="139">
        <v>0.75</v>
      </c>
      <c r="AV247" s="139">
        <f t="shared" ref="AV247" si="1346">AU247/2</f>
        <v>0.375</v>
      </c>
      <c r="AW247" s="139">
        <f t="shared" ref="AW247:AW251" si="1347">marincorr_age(AN247,U247,AS247,AU247)</f>
        <v>690.29499999999996</v>
      </c>
      <c r="AX247" s="149">
        <f t="shared" ref="AX247:AX251" si="1348">marincorr_age_error(AN247, AO247, U247, V247, AS247, AT247, AU247, AV247)</f>
        <v>304.9479251098</v>
      </c>
      <c r="AY247" s="149">
        <f t="shared" ref="AY247:AY251" si="1349">SQRT(((AU247*EXP(-0.0000091577*AW247*1000))/(0.0000091577*(EXP(-0.0000091577*AW247*1000)+(AJ247/1000)*EXP(-(0.0000091577-0.0000028263)*AW247*1000)-AS247*AU247*EXP(-0.0000091577*AW247*1000))))^2*AT247^2+((AS247*EXP(-0.0000091577*AW247*1000))/(0.0000091577*(EXP(-0.0000091577*AW247*1000)+(AJ247/1000)*EXP(-(0.0000091577-0.0000028263)*AW247*1000)-AS247*AU247*EXP(-0.0000091577*AW247*1000))))^2*AV247^2+((0.0000091577/(0.0000091577-0.0000028263))*(EXP(-(0.0000091577-0.0000028263)*AW247*1000)-1)/(0.0000091577*(EXP(-0.0000091577*AW247*1000)+(AJ247/1000)*EXP(-(0.0000091577-0.0000028263)*AW247*1000)-AS247*AU247*EXP(-0.0000091577*AW247*1000))))^2*T247^2+(1/(0.0000091577*(EXP(-0.0000091577*AW247*1000)+(AJ247/1000)*EXP(-(0.0000091577-0.0000028263)*AW247*1000)-AS247*AU247*EXP(-0.0000091577*AW247*1000))))^2*AO247^2)/1000</f>
        <v>389.62391841487971</v>
      </c>
      <c r="AZ247" s="150">
        <f t="shared" ref="AZ247:AZ251" si="1350">AX247/AW247</f>
        <v>0.44176464426049733</v>
      </c>
      <c r="BA247" s="139" t="str">
        <f>Input!B247</f>
        <v>Hu1-13</v>
      </c>
      <c r="BB247" s="151">
        <f>Input!E247</f>
        <v>0</v>
      </c>
      <c r="BC247" s="139">
        <f>((U247-1)*EXP(Constants!$B$17*AW247*1000))*1000</f>
        <v>-5.4319296547832057</v>
      </c>
      <c r="BD247" s="145">
        <f>SQRT((EXP(Constants!$B$17*AW247*1000)*V247)^2+((U247-1)*Constants!$B$17*EXP(Constants!$B$17*AW247*1000)*AY247*1000)^2)*1000</f>
        <v>20.543538938407266</v>
      </c>
      <c r="BE247" s="139">
        <f t="shared" ref="BE247:BE251" si="1351">AW247*1000-58</f>
        <v>690237</v>
      </c>
      <c r="BF247" s="152">
        <f t="shared" ref="BF247:BF251" si="1352">AY247/2*1000</f>
        <v>194811.95920743985</v>
      </c>
      <c r="BG247" s="161">
        <f t="shared" ref="BG247:BG251" si="1353">AY247/AW247*100</f>
        <v>56.443103081273904</v>
      </c>
      <c r="BH247" s="139"/>
      <c r="BI247" s="18"/>
      <c r="BJ247" s="18"/>
      <c r="BK247" s="18"/>
      <c r="BL247" s="18"/>
      <c r="BM247" s="18"/>
      <c r="BN247" s="160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</row>
    <row r="248" spans="1:110" ht="15" customHeight="1" x14ac:dyDescent="0.2">
      <c r="A248" s="18">
        <f>Input!A248</f>
        <v>11141</v>
      </c>
      <c r="B248" s="18" t="str">
        <f>Input!B248</f>
        <v>E4-4,5</v>
      </c>
      <c r="C248" s="18">
        <f>Input!O248</f>
        <v>1.5494835437640797</v>
      </c>
      <c r="D248" s="18">
        <f>C248*Input!P248/100</f>
        <v>5.6862947818715369E-3</v>
      </c>
      <c r="E248" s="153">
        <f>Input!M248</f>
        <v>2.0407609091861398</v>
      </c>
      <c r="F248" s="154">
        <f>E248*Input!N248/100</f>
        <v>1.4175696936449562E-4</v>
      </c>
      <c r="G248" s="21">
        <f>E248*137.88</f>
        <v>281.38011415858495</v>
      </c>
      <c r="H248" s="154">
        <f>G248*Input!L248/100</f>
        <v>1.8266060835663067E-2</v>
      </c>
      <c r="I248" s="18">
        <v>0.3</v>
      </c>
      <c r="J248" s="130">
        <f>(((C248*Constants!$B$24*0.000000001*Input!G248*(Constants!$B$4/Constants!$B$3))-(I248*0.000000000000001))/Input!F248)*1000000000000</f>
        <v>58.23636879601915</v>
      </c>
      <c r="K248" s="18">
        <f>J248*Input!P248/100</f>
        <v>0.2137158289500169</v>
      </c>
      <c r="L248" s="135">
        <f>(J248/Constants!$B$4)*602200000000*Constants!$B$17/(365.2425*24*60)</f>
        <v>0.80401773193352821</v>
      </c>
      <c r="M248" s="133">
        <f>L248*Input!P248/100</f>
        <v>2.9505843105113432E-3</v>
      </c>
      <c r="N248" s="18">
        <v>5.0000000000000001E-3</v>
      </c>
      <c r="O248" s="130">
        <f>(((G248*Constants!$B$23*0.000000001*Input!G248*(Constants!$B$7/Constants!$B$6))-(N248*0.000000001))/Input!F248)*1000000</f>
        <v>1.0653297660384429</v>
      </c>
      <c r="P248" s="18">
        <f>O248*Input!N248/100</f>
        <v>7.4000789767980773E-5</v>
      </c>
      <c r="Q248" s="131">
        <f>(O248/Constants!$B$7)*602200000000000000*Constants!$B$18/(365.2425*24*60)</f>
        <v>0.79486465305350174</v>
      </c>
      <c r="R248" s="132">
        <f>Q248*Input!N248/100</f>
        <v>5.5213525388803028E-5</v>
      </c>
      <c r="S248" s="133">
        <f>Input!S248*Constants!$B$17/Constants!$B$18</f>
        <v>1.0091184229482006</v>
      </c>
      <c r="T248" s="18">
        <f>S248*Input!T248/100</f>
        <v>1.0299199128017346E-3</v>
      </c>
      <c r="U248" s="18">
        <f>S248*1/((U247+U249)/2)</f>
        <v>1.0096138114709956</v>
      </c>
      <c r="V248" s="18">
        <f>U248*Input!T248/100</f>
        <v>1.0304255130292176E-3</v>
      </c>
      <c r="W248" s="134">
        <v>3.0000000000000001E-3</v>
      </c>
      <c r="X248" s="130">
        <f>(((Constants!$B$25*0.000000001*Input!G248/Input!W248*(Constants!$B$11/Constants!$B$9)-(W248*0.000000001))/Input!F248)*1000000000)</f>
        <v>0.84907655706957341</v>
      </c>
      <c r="Y248" s="130">
        <f>X248*Input!X248/100</f>
        <v>2.5479839029915298E-3</v>
      </c>
      <c r="Z248" s="130">
        <f>(X248/Constants!$B$11)*6.022E+23*0.000000001*Constants!$B$19/(365.2425*24*60)</f>
        <v>2.0728703714809966E-4</v>
      </c>
      <c r="AA248" s="130">
        <f>Z248*Input!X248/100</f>
        <v>6.2204524380583892E-7</v>
      </c>
      <c r="AB248" s="135">
        <v>0.05</v>
      </c>
      <c r="AC248" s="135">
        <v>0</v>
      </c>
      <c r="AD248" s="130">
        <f>(((Input!G248*Constants!$B$25*0.000000001*Input!U248*(Constants!$B$10/Constants!$B$9))-((AB248*0.000000000000001)+(Input!G248*AC248*0.000000000000001)))/Input!F248)*1000000000000</f>
        <v>0.13517578910306929</v>
      </c>
      <c r="AE248" s="130">
        <f>AD248*Input!V248/100</f>
        <v>1.5302052919994608E-3</v>
      </c>
      <c r="AF248" s="130">
        <f>(AD248/Constants!$B$10)*602200000000*Constants!$B$16/(365.2425*24*60)</f>
        <v>6.170189253809342E-3</v>
      </c>
      <c r="AG248" s="130">
        <f>AF248*Input!V248/100</f>
        <v>6.9847243441043674E-5</v>
      </c>
      <c r="AH248" s="18">
        <f>AF248/Z248</f>
        <v>29.76640188745111</v>
      </c>
      <c r="AI248" s="134">
        <f>AH248*SQRT((AG248/AF248)^2+(AA248/Z248)^2)</f>
        <v>0.3485978681224296</v>
      </c>
      <c r="AJ248" s="133">
        <f t="shared" si="1337"/>
        <v>9.6138114709956035</v>
      </c>
      <c r="AK248" s="134">
        <f>V248*1000</f>
        <v>1.0304255130292177</v>
      </c>
      <c r="AL248" s="134">
        <f>AF248/Q248</f>
        <v>7.7625659036495501E-3</v>
      </c>
      <c r="AM248" s="134">
        <f>AL248*SQRT((R248/Q248)^2+(AG248/AF248)^2)</f>
        <v>8.7874782392012105E-5</v>
      </c>
      <c r="AN248" s="18">
        <f>AL248*1/((AN247+AN249)/2)</f>
        <v>7.7633308931828286E-3</v>
      </c>
      <c r="AO248" s="130">
        <f>AN248*SQRT((R248/Q248)^2+(AG248/AF248)^2)</f>
        <v>8.7883442323483652E-5</v>
      </c>
      <c r="AP248" s="18">
        <f>ThU_Alter_Kombi(AN248,U248)</f>
        <v>0.8417</v>
      </c>
      <c r="AQ248" s="18">
        <f t="shared" si="1343"/>
        <v>9.7999999999999997E-3</v>
      </c>
      <c r="AR248" s="155">
        <f>(AQ248/AP248)</f>
        <v>1.1643103243435904E-2</v>
      </c>
      <c r="AS248" s="132">
        <f t="shared" si="1344"/>
        <v>2.6078280918870767E-4</v>
      </c>
      <c r="AT248" s="132">
        <f t="shared" si="1345"/>
        <v>7.8278970623582507E-7</v>
      </c>
      <c r="AU248" s="18">
        <v>0.75</v>
      </c>
      <c r="AV248" s="18">
        <f>AU248/2</f>
        <v>0.375</v>
      </c>
      <c r="AW248" s="18">
        <f t="shared" si="1347"/>
        <v>0.8206</v>
      </c>
      <c r="AX248" s="136">
        <f t="shared" si="1348"/>
        <v>1.46498367E-2</v>
      </c>
      <c r="AY248" s="136">
        <f t="shared" si="1349"/>
        <v>1.429603455208966E-2</v>
      </c>
      <c r="AZ248" s="155">
        <f t="shared" si="1350"/>
        <v>1.7852591640263222E-2</v>
      </c>
      <c r="BA248" s="18" t="str">
        <f>Input!B248</f>
        <v>E4-4,5</v>
      </c>
      <c r="BB248" s="137">
        <f>Input!E248</f>
        <v>4.5</v>
      </c>
      <c r="BC248" s="18">
        <f>((U248-1)*EXP(Constants!$B$17*AW248*1000))*1000</f>
        <v>9.6361007653601742</v>
      </c>
      <c r="BD248" s="133">
        <f>SQRT((EXP(Constants!$B$17*AW248*1000)*V248)^2+((U248-1)*Constants!$B$17*EXP(Constants!$B$17*AW248*1000)*AY248*1000)^2)*1000</f>
        <v>1.0328145926426113</v>
      </c>
      <c r="BE248" s="18">
        <f t="shared" si="1351"/>
        <v>762.6</v>
      </c>
      <c r="BF248" s="138">
        <f t="shared" si="1352"/>
        <v>7.1480172760448299</v>
      </c>
      <c r="BG248" s="20">
        <f t="shared" si="1353"/>
        <v>1.7421441082244284</v>
      </c>
      <c r="BH248" s="18"/>
      <c r="BI248" s="18"/>
      <c r="BJ248" s="18"/>
      <c r="BK248" s="18"/>
      <c r="BL248" s="18"/>
      <c r="BM248" s="18"/>
      <c r="BN248" s="160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</row>
    <row r="249" spans="1:110" ht="15" customHeight="1" x14ac:dyDescent="0.2">
      <c r="A249" s="139">
        <f>Input!A249</f>
        <v>10815</v>
      </c>
      <c r="B249" s="139" t="str">
        <f>Input!B249</f>
        <v>Hu1-13</v>
      </c>
      <c r="C249" s="139">
        <f>Input!O249</f>
        <v>2.0787519121767892</v>
      </c>
      <c r="D249" s="139">
        <f>C249*Input!P249/100</f>
        <v>1.9082186685822743E-2</v>
      </c>
      <c r="E249" s="140">
        <f>Input!M249</f>
        <v>2.7325145703233473</v>
      </c>
      <c r="F249" s="141">
        <f>E249*Input!N249/100</f>
        <v>4.1205691705728997E-4</v>
      </c>
      <c r="G249" s="142">
        <f t="shared" ref="G249" si="1354">E249*137.88</f>
        <v>376.75910895618313</v>
      </c>
      <c r="H249" s="141">
        <f>G249*Input!L249/100</f>
        <v>3.2000122953777771E-2</v>
      </c>
      <c r="I249" s="139">
        <v>0</v>
      </c>
      <c r="J249" s="143">
        <f>(((C249*Constants!$B$24*0.000000001*Input!G249*(Constants!$B$4/Constants!$B$3))-(I249*0.000000000000001))/Input!F249)*1000000000000</f>
        <v>750.50748223310859</v>
      </c>
      <c r="K249" s="139">
        <f>J249*Input!P249/100</f>
        <v>6.889385790188995</v>
      </c>
      <c r="L249" s="144">
        <f>(J249/Constants!$B$4)*602200000000*Constants!$B$17/(365.2425*24*60)</f>
        <v>10.361589091822887</v>
      </c>
      <c r="M249" s="145">
        <f>L249*Input!P249/100</f>
        <v>9.511562022083829E-2</v>
      </c>
      <c r="N249" s="139">
        <v>0</v>
      </c>
      <c r="O249" s="143">
        <f>(((G249*Constants!$B$23*0.000000001*Input!G249*(Constants!$B$7/Constants!$B$6))-(N249*0.000000001))/Input!F249)*1000000</f>
        <v>13.702431079712344</v>
      </c>
      <c r="P249" s="139">
        <f>O249*Input!N249/100</f>
        <v>2.0662951144769671E-3</v>
      </c>
      <c r="Q249" s="146">
        <f>(O249/Constants!$B$7)*602200000000000000*Constants!$B$18/(365.2425*24*60)</f>
        <v>10.2236682700294</v>
      </c>
      <c r="R249" s="147">
        <f>Q249*Input!N249/100</f>
        <v>1.5417056780291003E-3</v>
      </c>
      <c r="S249" s="145">
        <f>Input!S249*Constants!$B$17/Constants!$B$18</f>
        <v>0.99979298559453567</v>
      </c>
      <c r="T249" s="139">
        <f>S249*Input!T249/100</f>
        <v>2.5379366189119384E-3</v>
      </c>
      <c r="U249" s="145">
        <f>S249</f>
        <v>0.99979298559453567</v>
      </c>
      <c r="V249" s="139">
        <f>U249*Input!T249/100</f>
        <v>2.5379366189119384E-3</v>
      </c>
      <c r="W249" s="148">
        <v>0</v>
      </c>
      <c r="X249" s="143">
        <f>(((Constants!$B$25*0.000000001*Input!G249/Input!W249*(Constants!$B$11/Constants!$B$9))-(W249*0.000000001))/Input!F249)*1000000000</f>
        <v>0.84613462420762509</v>
      </c>
      <c r="Y249" s="143">
        <f>X249*Input!X249/100</f>
        <v>6.5609492089241704E-3</v>
      </c>
      <c r="Z249" s="143">
        <f>(X249/Constants!$B$11)*6.022E+23*0.000000001*Constants!$B$19/(365.2425*24*60)</f>
        <v>2.0656881622754266E-4</v>
      </c>
      <c r="AA249" s="143">
        <f>Z249*Input!X249/100</f>
        <v>1.6017398090589625E-6</v>
      </c>
      <c r="AB249" s="144">
        <v>0</v>
      </c>
      <c r="AC249" s="144">
        <v>0</v>
      </c>
      <c r="AD249" s="143">
        <f>(((Input!G249*Constants!$B$25*0.000000001*Input!U249*(Constants!$B$10/Constants!$B$9))-((AB249*0.000000000000001)+(Input!G249*AC249*0.000000000000001)))/Input!F249)*1000000000000</f>
        <v>224.58118042974178</v>
      </c>
      <c r="AE249" s="143">
        <f>AD249*Input!V249/100</f>
        <v>1.0593671216150726</v>
      </c>
      <c r="AF249" s="143">
        <f>(AD249/Constants!$B$10)*602200000000*Constants!$B$16/(365.2425*24*60)</f>
        <v>10.251158105234586</v>
      </c>
      <c r="AG249" s="143">
        <f>AF249*Input!V249/100</f>
        <v>4.8355520415303721E-2</v>
      </c>
      <c r="AH249" s="139">
        <f t="shared" ref="AH249" si="1355">AF249/Z249</f>
        <v>49625.87428463831</v>
      </c>
      <c r="AI249" s="148">
        <f t="shared" ref="AI249" si="1356">AH249*SQRT((AG249/AF249)^2+(AA249/Z249)^2)</f>
        <v>450.40980231589612</v>
      </c>
      <c r="AJ249" s="145">
        <f t="shared" si="1337"/>
        <v>-0.20701440546433414</v>
      </c>
      <c r="AK249" s="148">
        <f t="shared" ref="AK249" si="1357">V249*1000</f>
        <v>2.5379366189119383</v>
      </c>
      <c r="AL249" s="148">
        <f t="shared" ref="AL249" si="1358">AF249/Q249</f>
        <v>1.0026888426423002</v>
      </c>
      <c r="AM249" s="148">
        <f t="shared" ref="AM249" si="1359">AL249*SQRT((R249/Q249)^2+(AG249/AF249)^2)</f>
        <v>4.7321785155621243E-3</v>
      </c>
      <c r="AN249" s="139">
        <f>AF249/Q249</f>
        <v>1.0026888426423002</v>
      </c>
      <c r="AO249" s="143">
        <f t="shared" ref="AO249" si="1360">AN249*SQRT((R249/Q249)^2+(AG249/AF249)^2)</f>
        <v>4.7321785155621243E-3</v>
      </c>
      <c r="AP249" s="139" t="str">
        <f t="shared" ref="AP249" si="1361">ThU_Alter_Kombi(AN249,U249)</f>
        <v>Out of range</v>
      </c>
      <c r="AQ249" s="139" t="e">
        <f t="shared" si="1343"/>
        <v>#VALUE!</v>
      </c>
      <c r="AR249" s="139" t="e">
        <f>(AQ249/AP249)*100</f>
        <v>#VALUE!</v>
      </c>
      <c r="AS249" s="147">
        <f t="shared" si="1344"/>
        <v>2.0204960760815908E-5</v>
      </c>
      <c r="AT249" s="147">
        <f t="shared" si="1345"/>
        <v>1.5669939952337868E-7</v>
      </c>
      <c r="AU249" s="139">
        <v>0.75</v>
      </c>
      <c r="AV249" s="139">
        <f t="shared" ref="AV249" si="1362">AU249/2</f>
        <v>0.375</v>
      </c>
      <c r="AW249" s="139" t="str">
        <f t="shared" si="1347"/>
        <v>Out of range</v>
      </c>
      <c r="AX249" s="149">
        <f t="shared" si="1348"/>
        <v>312.35777034069997</v>
      </c>
      <c r="AY249" s="149" t="e">
        <f t="shared" si="1349"/>
        <v>#VALUE!</v>
      </c>
      <c r="AZ249" s="150" t="e">
        <f t="shared" si="1350"/>
        <v>#VALUE!</v>
      </c>
      <c r="BA249" s="139" t="str">
        <f>Input!B249</f>
        <v>Hu1-13</v>
      </c>
      <c r="BB249" s="151">
        <f>Input!E249</f>
        <v>0</v>
      </c>
      <c r="BC249" s="139" t="e">
        <f>((U249-1)*EXP(Constants!$B$17*AW249*1000))*1000</f>
        <v>#VALUE!</v>
      </c>
      <c r="BD249" s="145" t="e">
        <f>SQRT((EXP(Constants!$B$17*AW249*1000)*V249)^2+((U249-1)*Constants!$B$17*EXP(Constants!$B$17*AW249*1000)*AY249*1000)^2)*1000</f>
        <v>#VALUE!</v>
      </c>
      <c r="BE249" s="139" t="e">
        <f t="shared" si="1351"/>
        <v>#VALUE!</v>
      </c>
      <c r="BF249" s="152" t="e">
        <f t="shared" si="1352"/>
        <v>#VALUE!</v>
      </c>
      <c r="BG249" s="161" t="e">
        <f t="shared" si="1353"/>
        <v>#VALUE!</v>
      </c>
      <c r="BH249" s="139"/>
      <c r="BI249" s="18"/>
      <c r="BJ249" s="18"/>
      <c r="BK249" s="18"/>
      <c r="BL249" s="18"/>
      <c r="BM249" s="18"/>
      <c r="BN249" s="160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</row>
    <row r="250" spans="1:110" ht="15" customHeight="1" x14ac:dyDescent="0.2">
      <c r="A250" s="18">
        <f>Input!A250</f>
        <v>11142</v>
      </c>
      <c r="B250" s="18" t="str">
        <f>Input!B250</f>
        <v>E4-7,5</v>
      </c>
      <c r="C250" s="18">
        <f>Input!O250</f>
        <v>1.4133892390251013</v>
      </c>
      <c r="D250" s="18">
        <f>C250*Input!P250/100</f>
        <v>4.1566528121907307E-3</v>
      </c>
      <c r="E250" s="153">
        <f>Input!M250</f>
        <v>1.8547828558302557</v>
      </c>
      <c r="F250" s="154">
        <f>E250*Input!N250/100</f>
        <v>1.0756884297336179E-4</v>
      </c>
      <c r="G250" s="21">
        <f>E250*137.88</f>
        <v>255.73746016187565</v>
      </c>
      <c r="H250" s="154">
        <f>G250*Input!L250/100</f>
        <v>1.1364541051662435E-2</v>
      </c>
      <c r="I250" s="18">
        <v>0.3</v>
      </c>
      <c r="J250" s="130">
        <f>(((C250*Constants!$B$24*0.000000001*Input!G250*(Constants!$B$4/Constants!$B$3))-(I250*0.000000000000001))/Input!F250)*1000000000000</f>
        <v>67.887608752409392</v>
      </c>
      <c r="K250" s="18">
        <f>J250*Input!P250/100</f>
        <v>0.19965145626002254</v>
      </c>
      <c r="L250" s="135">
        <f>(J250/Constants!$B$4)*602200000000*Constants!$B$17/(365.2425*24*60)</f>
        <v>0.93726381544644055</v>
      </c>
      <c r="M250" s="133">
        <f>L250*Input!P250/100</f>
        <v>2.7564100296442622E-3</v>
      </c>
      <c r="N250" s="18">
        <v>5.0000000000000001E-3</v>
      </c>
      <c r="O250" s="130">
        <f>(((G250*Constants!$B$23*0.000000001*Input!G250*(Constants!$B$7/Constants!$B$6))-(N250*0.000000001))/Input!F250)*1000000</f>
        <v>1.2373899001766455</v>
      </c>
      <c r="P250" s="18">
        <f>O250*Input!N250/100</f>
        <v>7.1762901759917262E-5</v>
      </c>
      <c r="Q250" s="131">
        <f>(O250/Constants!$B$7)*602200000000000000*Constants!$B$18/(365.2425*24*60)</f>
        <v>0.92324229083853881</v>
      </c>
      <c r="R250" s="132">
        <f>Q250*Input!N250/100</f>
        <v>5.3543790690863687E-5</v>
      </c>
      <c r="S250" s="133">
        <f>Input!S250*Constants!$B$17/Constants!$B$18</f>
        <v>1.0093645949492724</v>
      </c>
      <c r="T250" s="18">
        <f>S250*Input!T250/100</f>
        <v>8.0330428375785805E-4</v>
      </c>
      <c r="U250" s="18">
        <f>S250*1/((U249+U251)/2)</f>
        <v>1.0084628550706791</v>
      </c>
      <c r="V250" s="18">
        <f>U250*Input!T250/100</f>
        <v>8.0258663276144501E-4</v>
      </c>
      <c r="W250" s="134">
        <v>3.0000000000000001E-3</v>
      </c>
      <c r="X250" s="130">
        <f>(((Constants!$B$25*0.000000001*Input!G250/Input!W250*(Constants!$B$11/Constants!$B$9)-(W250*0.000000001))/Input!F250)*1000000000)</f>
        <v>9.6030381411694371E-2</v>
      </c>
      <c r="Y250" s="130">
        <f>X250*Input!X250/100</f>
        <v>2.2249933161647782E-4</v>
      </c>
      <c r="Z250" s="130">
        <f>(X250/Constants!$B$11)*6.022E+23*0.000000001*Constants!$B$19/(365.2425*24*60)</f>
        <v>2.3444120642941012E-5</v>
      </c>
      <c r="AA250" s="130">
        <f>Z250*Input!X250/100</f>
        <v>5.4319279968570612E-8</v>
      </c>
      <c r="AB250" s="135">
        <v>0.05</v>
      </c>
      <c r="AC250" s="135">
        <v>0</v>
      </c>
      <c r="AD250" s="130">
        <f>(((Input!G250*Constants!$B$25*0.000000001*Input!U250*(Constants!$B$10/Constants!$B$9))-((AB250*0.000000000000001)+(Input!G250*AC250*0.000000000000001)))/Input!F250)*1000000000000</f>
        <v>0.13332575634219923</v>
      </c>
      <c r="AE250" s="130">
        <f>AD250*Input!V250/100</f>
        <v>1.3158385848010077E-3</v>
      </c>
      <c r="AF250" s="130">
        <f>(AD250/Constants!$B$10)*602200000000*Constants!$B$16/(365.2425*24*60)</f>
        <v>6.0857432717584311E-3</v>
      </c>
      <c r="AG250" s="130">
        <f>AF250*Input!V250/100</f>
        <v>6.0062331794462763E-5</v>
      </c>
      <c r="AH250" s="18">
        <f>AF250/Z250</f>
        <v>259.58505181088287</v>
      </c>
      <c r="AI250" s="134">
        <f>AH250*SQRT((AG250/AF250)^2+(AA250/Z250)^2)</f>
        <v>2.6315883896384493</v>
      </c>
      <c r="AJ250" s="133">
        <f t="shared" si="1337"/>
        <v>8.4628550706791206</v>
      </c>
      <c r="AK250" s="134">
        <f>V250*1000</f>
        <v>0.80258663276144504</v>
      </c>
      <c r="AL250" s="134">
        <f>AF250/Q250</f>
        <v>6.5917076504706344E-3</v>
      </c>
      <c r="AM250" s="134">
        <f>AL250*SQRT((R250/Q250)^2+(AG250/AF250)^2)</f>
        <v>6.5056994668767499E-5</v>
      </c>
      <c r="AN250" s="18">
        <f>AL250*1/((AN249+AN251)/2)</f>
        <v>6.586356923386146E-3</v>
      </c>
      <c r="AO250" s="130">
        <f>AN250*SQRT((R250/Q250)^2+(AG250/AF250)^2)</f>
        <v>6.5004185557400923E-5</v>
      </c>
      <c r="AP250" s="18">
        <f>ThU_Alter_Kombi(AN250,U250)</f>
        <v>0.71450000000000002</v>
      </c>
      <c r="AQ250" s="18">
        <f t="shared" si="1343"/>
        <v>8.6E-3</v>
      </c>
      <c r="AR250" s="155">
        <f>(AQ250/AP250)</f>
        <v>1.2036389083275017E-2</v>
      </c>
      <c r="AS250" s="132">
        <f t="shared" si="1344"/>
        <v>2.5393248203185956E-5</v>
      </c>
      <c r="AT250" s="132">
        <f t="shared" si="1345"/>
        <v>5.8853774749092486E-8</v>
      </c>
      <c r="AU250" s="18">
        <v>0.75</v>
      </c>
      <c r="AV250" s="18">
        <f>AU250/2</f>
        <v>0.375</v>
      </c>
      <c r="AW250" s="18">
        <f t="shared" si="1347"/>
        <v>0.71250000000000002</v>
      </c>
      <c r="AX250" s="136">
        <f t="shared" si="1348"/>
        <v>6.4093993999999998E-3</v>
      </c>
      <c r="AY250" s="136">
        <f t="shared" si="1349"/>
        <v>7.1821258601169648E-3</v>
      </c>
      <c r="AZ250" s="155">
        <f t="shared" si="1350"/>
        <v>8.9956482807017537E-3</v>
      </c>
      <c r="BA250" s="18" t="str">
        <f>Input!B250</f>
        <v>E4-7,5</v>
      </c>
      <c r="BB250" s="137">
        <f>Input!E250</f>
        <v>7.5</v>
      </c>
      <c r="BC250" s="18">
        <f>((U250-1)*EXP(Constants!$B$17*AW250*1000))*1000</f>
        <v>8.4798886026591003</v>
      </c>
      <c r="BD250" s="133">
        <f>SQRT((EXP(Constants!$B$17*AW250*1000)*V250)^2+((U250-1)*Constants!$B$17*EXP(Constants!$B$17*AW250*1000)*AY250*1000)^2)*1000</f>
        <v>0.80420204982740084</v>
      </c>
      <c r="BE250" s="18">
        <f t="shared" si="1351"/>
        <v>654.5</v>
      </c>
      <c r="BF250" s="138">
        <f t="shared" si="1352"/>
        <v>3.5910629300584822</v>
      </c>
      <c r="BG250" s="20">
        <f t="shared" si="1353"/>
        <v>1.0080176645778196</v>
      </c>
      <c r="BH250" s="18"/>
      <c r="BI250" s="18"/>
      <c r="BJ250" s="18"/>
      <c r="BK250" s="18"/>
      <c r="BL250" s="18"/>
      <c r="BM250" s="18"/>
      <c r="BN250" s="160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</row>
    <row r="251" spans="1:110" ht="15" customHeight="1" x14ac:dyDescent="0.2">
      <c r="A251" s="139">
        <f>Input!A251</f>
        <v>10815</v>
      </c>
      <c r="B251" s="139" t="str">
        <f>Input!B251</f>
        <v>Hu1-13</v>
      </c>
      <c r="C251" s="139">
        <f>Input!O251</f>
        <v>2.1175461644025413</v>
      </c>
      <c r="D251" s="139">
        <f>C251*Input!P251/100</f>
        <v>2.5029018597446346E-2</v>
      </c>
      <c r="E251" s="140">
        <f>Input!M251</f>
        <v>2.7327667689795523</v>
      </c>
      <c r="F251" s="141">
        <f>E251*Input!N251/100</f>
        <v>3.8012464282024595E-4</v>
      </c>
      <c r="G251" s="142">
        <f t="shared" ref="G251" si="1363">E251*137.88</f>
        <v>376.79388210690064</v>
      </c>
      <c r="H251" s="141">
        <f>G251*Input!L251/100</f>
        <v>2.595590047889083E-2</v>
      </c>
      <c r="I251" s="139">
        <v>0</v>
      </c>
      <c r="J251" s="143">
        <f>(((C251*Constants!$B$24*0.000000001*Input!G251*(Constants!$B$4/Constants!$B$3))-(I251*0.000000000000001))/Input!F251)*1000000000000</f>
        <v>764.51366372716518</v>
      </c>
      <c r="K251" s="139">
        <f>J251*Input!P251/100</f>
        <v>9.0364153703482266</v>
      </c>
      <c r="L251" s="144">
        <f>(J251/Constants!$B$4)*602200000000*Constants!$B$17/(365.2425*24*60)</f>
        <v>10.554959978619497</v>
      </c>
      <c r="M251" s="145">
        <f>L251*Input!P251/100</f>
        <v>0.12475774745374058</v>
      </c>
      <c r="N251" s="139">
        <v>0</v>
      </c>
      <c r="O251" s="143">
        <f>(((G251*Constants!$B$23*0.000000001*Input!G251*(Constants!$B$7/Constants!$B$6))-(N251*0.000000001))/Input!F251)*1000000</f>
        <v>13.703695751726382</v>
      </c>
      <c r="P251" s="139">
        <f>O251*Input!N251/100</f>
        <v>1.9061679584487401E-3</v>
      </c>
      <c r="Q251" s="146">
        <f>(O251/Constants!$B$7)*602200000000000000*Constants!$B$18/(365.2425*24*60)</f>
        <v>10.224611868071726</v>
      </c>
      <c r="R251" s="147">
        <f>Q251*Input!N251/100</f>
        <v>1.4222314829222421E-3</v>
      </c>
      <c r="S251" s="145">
        <f>Input!S251*Constants!$B$17/Constants!$B$18</f>
        <v>1.0019953596559796</v>
      </c>
      <c r="T251" s="139">
        <f>S251*Input!T251/100</f>
        <v>2.1269603995346929E-3</v>
      </c>
      <c r="U251" s="145">
        <f>S251</f>
        <v>1.0019953596559796</v>
      </c>
      <c r="V251" s="139">
        <f>U251*Input!T251/100</f>
        <v>2.1269603995346929E-3</v>
      </c>
      <c r="W251" s="148">
        <v>0</v>
      </c>
      <c r="X251" s="143">
        <f>(((Constants!$B$25*0.000000001*Input!G251/Input!W251*(Constants!$B$11/Constants!$B$9))-(W251*0.000000001))/Input!F251)*1000000000</f>
        <v>0.82766101823829252</v>
      </c>
      <c r="Y251" s="143">
        <f>X251*Input!X251/100</f>
        <v>6.2297391535396139E-3</v>
      </c>
      <c r="Z251" s="143">
        <f>(X251/Constants!$B$11)*6.022E+23*0.000000001*Constants!$B$19/(365.2425*24*60)</f>
        <v>2.0205881178219479E-4</v>
      </c>
      <c r="AA251" s="143">
        <f>Z251*Input!X251/100</f>
        <v>1.520880726938883E-6</v>
      </c>
      <c r="AB251" s="144">
        <v>0</v>
      </c>
      <c r="AC251" s="144">
        <v>0</v>
      </c>
      <c r="AD251" s="143">
        <f>(((Input!G251*Constants!$B$25*0.000000001*Input!U251*(Constants!$B$10/Constants!$B$9))-((AB251*0.000000000000001)+(Input!G251*AC251*0.000000000000001)))/Input!F251)*1000000000000</f>
        <v>223.7612614240864</v>
      </c>
      <c r="AE251" s="143">
        <f>AD251*Input!V251/100</f>
        <v>0.83611813845458283</v>
      </c>
      <c r="AF251" s="143">
        <f>(AD251/Constants!$B$10)*602200000000*Constants!$B$16/(365.2425*24*60)</f>
        <v>10.213732354134796</v>
      </c>
      <c r="AG251" s="143">
        <f>AF251*Input!V251/100</f>
        <v>3.8165171344950545E-2</v>
      </c>
      <c r="AH251" s="139">
        <f t="shared" ref="AH251" si="1364">AF251/Z251</f>
        <v>50548.314443937656</v>
      </c>
      <c r="AI251" s="148">
        <f t="shared" ref="AI251" si="1365">AH251*SQRT((AG251/AF251)^2+(AA251/Z251)^2)</f>
        <v>424.77765486769397</v>
      </c>
      <c r="AJ251" s="145">
        <f t="shared" si="1337"/>
        <v>1.9953596559796338</v>
      </c>
      <c r="AK251" s="148">
        <f t="shared" ref="AK251" si="1366">V251*1000</f>
        <v>2.1269603995346928</v>
      </c>
      <c r="AL251" s="148">
        <f t="shared" ref="AL251" si="1367">AF251/Q251</f>
        <v>0.99893594846657185</v>
      </c>
      <c r="AM251" s="148">
        <f t="shared" ref="AM251" si="1368">AL251*SQRT((R251/Q251)^2+(AG251/AF251)^2)</f>
        <v>3.7352621464347433E-3</v>
      </c>
      <c r="AN251" s="139">
        <f>AF251/Q251</f>
        <v>0.99893594846657185</v>
      </c>
      <c r="AO251" s="143">
        <f t="shared" ref="AO251" si="1369">AN251*SQRT((R251/Q251)^2+(AG251/AF251)^2)</f>
        <v>3.7352621464347433E-3</v>
      </c>
      <c r="AP251" s="139">
        <f t="shared" ref="AP251" si="1370">ThU_Alter_Kombi(AN251,U251)</f>
        <v>605.28240000000005</v>
      </c>
      <c r="AQ251" s="139" t="e">
        <f t="shared" si="1343"/>
        <v>#VALUE!</v>
      </c>
      <c r="AR251" s="139" t="e">
        <f>(AQ251/AP251)*100</f>
        <v>#VALUE!</v>
      </c>
      <c r="AS251" s="147">
        <f t="shared" si="1344"/>
        <v>1.9762003134139637E-5</v>
      </c>
      <c r="AT251" s="147">
        <f t="shared" si="1345"/>
        <v>1.4877243533809227E-7</v>
      </c>
      <c r="AU251" s="139">
        <v>0.75</v>
      </c>
      <c r="AV251" s="139">
        <f t="shared" ref="AV251" si="1371">AU251/2</f>
        <v>0.375</v>
      </c>
      <c r="AW251" s="139">
        <f t="shared" si="1347"/>
        <v>605.2808</v>
      </c>
      <c r="AX251" s="149">
        <f t="shared" si="1348"/>
        <v>279.32836835640001</v>
      </c>
      <c r="AY251" s="149">
        <f t="shared" si="1349"/>
        <v>132.34421615741869</v>
      </c>
      <c r="AZ251" s="150">
        <f t="shared" si="1350"/>
        <v>0.46148559206966422</v>
      </c>
      <c r="BA251" s="139" t="str">
        <f>Input!B251</f>
        <v>Hu1-13</v>
      </c>
      <c r="BB251" s="151">
        <f>Input!E251</f>
        <v>0</v>
      </c>
      <c r="BC251" s="139">
        <f>((U251-1)*EXP(Constants!$B$17*AW251*1000))*1000</f>
        <v>11.011751791741942</v>
      </c>
      <c r="BD251" s="145">
        <f>SQRT((EXP(Constants!$B$17*AW251*1000)*V251)^2+((U251-1)*Constants!$B$17*EXP(Constants!$B$17*AW251*1000)*AY251*1000)^2)*1000</f>
        <v>12.437657533077045</v>
      </c>
      <c r="BE251" s="139">
        <f t="shared" si="1351"/>
        <v>605222.80000000005</v>
      </c>
      <c r="BF251" s="152">
        <f t="shared" si="1352"/>
        <v>66172.108078709338</v>
      </c>
      <c r="BG251" s="161">
        <f t="shared" si="1353"/>
        <v>21.86492883260442</v>
      </c>
      <c r="BH251" s="139"/>
      <c r="BI251" s="18"/>
      <c r="BJ251" s="18"/>
      <c r="BK251" s="18"/>
      <c r="BL251" s="18"/>
      <c r="BM251" s="18"/>
      <c r="BN251" s="160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</row>
    <row r="252" spans="1:110" ht="15" customHeight="1" x14ac:dyDescent="0.2">
      <c r="A252" s="18">
        <f>Input!A252</f>
        <v>11143</v>
      </c>
      <c r="B252" s="18" t="str">
        <f>Input!B252</f>
        <v>E4-9</v>
      </c>
      <c r="C252" s="18">
        <f>Input!O252</f>
        <v>1.7455381023924854</v>
      </c>
      <c r="D252" s="18">
        <f>C252*Input!P252/100</f>
        <v>5.5467203419033205E-3</v>
      </c>
      <c r="E252" s="153">
        <f>Input!M252</f>
        <v>2.2912480796673069</v>
      </c>
      <c r="F252" s="154">
        <f>E252*Input!N252/100</f>
        <v>1.0991769926243501E-4</v>
      </c>
      <c r="G252" s="21">
        <f>E252*137.88</f>
        <v>315.91728522452826</v>
      </c>
      <c r="H252" s="154">
        <f>G252*Input!L252/100</f>
        <v>1.4028247764286673E-2</v>
      </c>
      <c r="I252" s="18">
        <v>0.3</v>
      </c>
      <c r="J252" s="130">
        <f>(((C252*Constants!$B$24*0.000000001*Input!G252*(Constants!$B$4/Constants!$B$3))-(I252*0.000000000000001))/Input!F252)*1000000000000</f>
        <v>68.812552601006416</v>
      </c>
      <c r="K252" s="18">
        <f>J252*Input!P252/100</f>
        <v>0.2186626489373949</v>
      </c>
      <c r="L252" s="135">
        <f>(J252/Constants!$B$4)*602200000000*Constants!$B$17/(365.2425*24*60)</f>
        <v>0.9500336922552034</v>
      </c>
      <c r="M252" s="133">
        <f>L252*Input!P252/100</f>
        <v>3.0188806529647377E-3</v>
      </c>
      <c r="N252" s="18">
        <v>5.0000000000000001E-3</v>
      </c>
      <c r="O252" s="130">
        <f>(((G252*Constants!$B$23*0.000000001*Input!G252*(Constants!$B$7/Constants!$B$6))-(N252*0.000000001))/Input!F252)*1000000</f>
        <v>1.2545698159352678</v>
      </c>
      <c r="P252" s="18">
        <f>O252*Input!N252/100</f>
        <v>6.0185288950345537E-5</v>
      </c>
      <c r="Q252" s="131">
        <f>(O252/Constants!$B$7)*602200000000000000*Constants!$B$18/(365.2425*24*60)</f>
        <v>0.93606058261475211</v>
      </c>
      <c r="R252" s="132">
        <f>Q252*Input!N252/100</f>
        <v>4.4905493440155006E-5</v>
      </c>
      <c r="S252" s="133">
        <f>Input!S252*Constants!$B$17/Constants!$B$18</f>
        <v>1.009522674245622</v>
      </c>
      <c r="T252" s="18">
        <f>S252*Input!T252/100</f>
        <v>9.6031472347029776E-4</v>
      </c>
      <c r="U252" s="18">
        <f>S252*1/((U251+U253)/2)</f>
        <v>1.0080807314482447</v>
      </c>
      <c r="V252" s="18">
        <f>U252*Input!T252/100</f>
        <v>9.5894306641488973E-4</v>
      </c>
      <c r="W252" s="134">
        <v>3.0000000000000001E-3</v>
      </c>
      <c r="X252" s="130">
        <f>(((Constants!$B$25*0.000000001*Input!G252/Input!W252*(Constants!$B$11/Constants!$B$9)-(W252*0.000000001))/Input!F252)*1000000000)</f>
        <v>0.11925390738271063</v>
      </c>
      <c r="Y252" s="130">
        <f>X252*Input!X252/100</f>
        <v>2.6402853960073294E-4</v>
      </c>
      <c r="Z252" s="130">
        <f>(X252/Constants!$B$11)*6.022E+23*0.000000001*Constants!$B$19/(365.2425*24*60)</f>
        <v>2.9113734119584737E-5</v>
      </c>
      <c r="AA252" s="130">
        <f>Z252*Input!X252/100</f>
        <v>6.4457902224111321E-8</v>
      </c>
      <c r="AB252" s="135">
        <v>0.05</v>
      </c>
      <c r="AC252" s="135">
        <v>0</v>
      </c>
      <c r="AD252" s="130">
        <f>(((Input!G252*Constants!$B$25*0.000000001*Input!U252*(Constants!$B$10/Constants!$B$9))-((AB252*0.000000000000001)+(Input!G252*AC252*0.000000000000001)))/Input!F252)*1000000000000</f>
        <v>0.1397043432114668</v>
      </c>
      <c r="AE252" s="130">
        <f>AD252*Input!V252/100</f>
        <v>1.6821545297469301E-3</v>
      </c>
      <c r="AF252" s="130">
        <f>(AD252/Constants!$B$10)*602200000000*Constants!$B$16/(365.2425*24*60)</f>
        <v>6.376898133264251E-3</v>
      </c>
      <c r="AG252" s="130">
        <f>AF252*Input!V252/100</f>
        <v>7.6783067970679581E-5</v>
      </c>
      <c r="AH252" s="18">
        <f>AF252/Z252</f>
        <v>219.03401697189119</v>
      </c>
      <c r="AI252" s="134">
        <f>AH252*SQRT((AG252/AF252)^2+(AA252/Z252)^2)</f>
        <v>2.6815623765300867</v>
      </c>
      <c r="AJ252" s="133">
        <f t="shared" ref="AJ252:AJ255" si="1372">(U252-1)*1000</f>
        <v>8.0807314482447268</v>
      </c>
      <c r="AK252" s="134">
        <f>V252*1000</f>
        <v>0.95894306641488969</v>
      </c>
      <c r="AL252" s="134">
        <f>AF252/Q252</f>
        <v>6.8124844178902317E-3</v>
      </c>
      <c r="AM252" s="134">
        <f>AL252*SQRT((R252/Q252)^2+(AG252/AF252)^2)</f>
        <v>8.2028534062114148E-5</v>
      </c>
      <c r="AN252" s="18">
        <f>AL252*1/((AN251+AN253)/2)</f>
        <v>6.813373607966763E-3</v>
      </c>
      <c r="AO252" s="130">
        <f>AN252*SQRT((R252/Q252)^2+(AG252/AF252)^2)</f>
        <v>8.2039240722710528E-5</v>
      </c>
      <c r="AP252" s="18">
        <f>ThU_Alter_Kombi(AN252,U252)</f>
        <v>0.73950000000000005</v>
      </c>
      <c r="AQ252" s="18">
        <f t="shared" ref="AQ252:AQ255" si="1373">Montealter(AN252,AO252,U252,V252)</f>
        <v>8.8000000000000005E-3</v>
      </c>
      <c r="AR252" s="155">
        <f>(AQ252/AP252)</f>
        <v>1.1899932386747802E-2</v>
      </c>
      <c r="AS252" s="132">
        <f t="shared" ref="AS252:AS255" si="1374">Z252/Q252</f>
        <v>3.1102403690859049E-5</v>
      </c>
      <c r="AT252" s="132">
        <f t="shared" ref="AT252:AT255" si="1375">AS252*SQRT((Y252/X252)^2+(P252/O252)^2)</f>
        <v>6.8876986277308175E-8</v>
      </c>
      <c r="AU252" s="18">
        <v>0.75</v>
      </c>
      <c r="AV252" s="18">
        <f>AU252/2</f>
        <v>0.375</v>
      </c>
      <c r="AW252" s="18">
        <f t="shared" ref="AW252:AW255" si="1376">marincorr_age(AN252,U252,AS252,AU252)</f>
        <v>0.73699999999999999</v>
      </c>
      <c r="AX252" s="136">
        <f t="shared" ref="AX252:AX255" si="1377">marincorr_age_error(AN252, AO252, U252, V252, AS252, AT252, AU252, AV252)</f>
        <v>8.7429319000000005E-3</v>
      </c>
      <c r="AY252" s="136">
        <f t="shared" ref="AY252:AY255" si="1378">SQRT(((AU252*EXP(-0.0000091577*AW252*1000))/(0.0000091577*(EXP(-0.0000091577*AW252*1000)+(AJ252/1000)*EXP(-(0.0000091577-0.0000028263)*AW252*1000)-AS252*AU252*EXP(-0.0000091577*AW252*1000))))^2*AT252^2+((AS252*EXP(-0.0000091577*AW252*1000))/(0.0000091577*(EXP(-0.0000091577*AW252*1000)+(AJ252/1000)*EXP(-(0.0000091577-0.0000028263)*AW252*1000)-AS252*AU252*EXP(-0.0000091577*AW252*1000))))^2*AV252^2+((0.0000091577/(0.0000091577-0.0000028263))*(EXP(-(0.0000091577-0.0000028263)*AW252*1000)-1)/(0.0000091577*(EXP(-0.0000091577*AW252*1000)+(AJ252/1000)*EXP(-(0.0000091577-0.0000028263)*AW252*1000)-AS252*AU252*EXP(-0.0000091577*AW252*1000))))^2*T252^2+(1/(0.0000091577*(EXP(-0.0000091577*AW252*1000)+(AJ252/1000)*EXP(-(0.0000091577-0.0000028263)*AW252*1000)-AS252*AU252*EXP(-0.0000091577*AW252*1000))))^2*AO252^2)/1000</f>
        <v>9.0631689285903781E-3</v>
      </c>
      <c r="AZ252" s="155">
        <f t="shared" ref="AZ252:AZ255" si="1379">AX252/AW252</f>
        <v>1.1862865535956581E-2</v>
      </c>
      <c r="BA252" s="18" t="str">
        <f>Input!B252</f>
        <v>E4-9</v>
      </c>
      <c r="BB252" s="137">
        <f>Input!E252</f>
        <v>9</v>
      </c>
      <c r="BC252" s="18">
        <f>((U252-1)*EXP(Constants!$B$17*AW252*1000))*1000</f>
        <v>8.0975557139497507</v>
      </c>
      <c r="BD252" s="133">
        <f>SQRT((EXP(Constants!$B$17*AW252*1000)*V252)^2+((U252-1)*Constants!$B$17*EXP(Constants!$B$17*AW252*1000)*AY252*1000)^2)*1000</f>
        <v>0.96093962989462023</v>
      </c>
      <c r="BE252" s="18">
        <f t="shared" ref="BE252:BE255" si="1380">AW252*1000-58</f>
        <v>679</v>
      </c>
      <c r="BF252" s="138">
        <f t="shared" ref="BF252:BF255" si="1381">AY252/2*1000</f>
        <v>4.5315844642951895</v>
      </c>
      <c r="BG252" s="20">
        <f t="shared" ref="BG252:BG255" si="1382">AY252/AW252*100</f>
        <v>1.2297379821696577</v>
      </c>
      <c r="BH252" s="18"/>
      <c r="BI252" s="18"/>
      <c r="BJ252" s="18"/>
      <c r="BK252" s="18"/>
      <c r="BL252" s="18"/>
      <c r="BM252" s="18"/>
      <c r="BN252" s="160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18"/>
      <c r="CZ252" s="18"/>
      <c r="DA252" s="18"/>
      <c r="DB252" s="18"/>
      <c r="DC252" s="18"/>
      <c r="DD252" s="18"/>
      <c r="DE252" s="18"/>
      <c r="DF252" s="18"/>
    </row>
    <row r="253" spans="1:110" ht="15" customHeight="1" x14ac:dyDescent="0.2">
      <c r="A253" s="139">
        <f>Input!A253</f>
        <v>10815</v>
      </c>
      <c r="B253" s="139" t="str">
        <f>Input!B253</f>
        <v>Hu1-13</v>
      </c>
      <c r="C253" s="139">
        <f>Input!O253</f>
        <v>2.0825044322859796</v>
      </c>
      <c r="D253" s="139">
        <f>C253*Input!P253/100</f>
        <v>3.1078667488650659E-2</v>
      </c>
      <c r="E253" s="140">
        <f>Input!M253</f>
        <v>2.7320342333808654</v>
      </c>
      <c r="F253" s="141">
        <f>E253*Input!N253/100</f>
        <v>4.9191914094213942E-4</v>
      </c>
      <c r="G253" s="142">
        <f t="shared" ref="G253" si="1383">E253*137.88</f>
        <v>376.6928800985537</v>
      </c>
      <c r="H253" s="141">
        <f>G253*Input!L253/100</f>
        <v>3.5669947637083352E-2</v>
      </c>
      <c r="I253" s="139">
        <v>0</v>
      </c>
      <c r="J253" s="143">
        <f>(((C253*Constants!$B$24*0.000000001*Input!G253*(Constants!$B$4/Constants!$B$3))-(I253*0.000000000000001))/Input!F253)*1000000000000</f>
        <v>751.86228287222298</v>
      </c>
      <c r="K253" s="139">
        <f>J253*Input!P253/100</f>
        <v>11.220565740162021</v>
      </c>
      <c r="L253" s="144">
        <f>(J253/Constants!$B$4)*602200000000*Constants!$B$17/(365.2425*24*60)</f>
        <v>10.380293618901115</v>
      </c>
      <c r="M253" s="145">
        <f>L253*Input!P253/100</f>
        <v>0.15491236840358774</v>
      </c>
      <c r="N253" s="139">
        <v>0</v>
      </c>
      <c r="O253" s="143">
        <f>(((G253*Constants!$B$23*0.000000001*Input!G253*(Constants!$B$7/Constants!$B$6))-(N253*0.000000001))/Input!F253)*1000000</f>
        <v>13.700022388494052</v>
      </c>
      <c r="P253" s="139">
        <f>O253*Input!N253/100</f>
        <v>2.4667711560466977E-3</v>
      </c>
      <c r="Q253" s="146">
        <f>(O253/Constants!$B$7)*602200000000000000*Constants!$B$18/(365.2425*24*60)</f>
        <v>10.221871095510696</v>
      </c>
      <c r="R253" s="147">
        <f>Q253*Input!N253/100</f>
        <v>1.8405091659127542E-3</v>
      </c>
      <c r="S253" s="145">
        <f>Input!S253*Constants!$B$17/Constants!$B$18</f>
        <v>1.0008654088368487</v>
      </c>
      <c r="T253" s="139">
        <f>S253*Input!T253/100</f>
        <v>2.0706777635988009E-3</v>
      </c>
      <c r="U253" s="145">
        <f>S253</f>
        <v>1.0008654088368487</v>
      </c>
      <c r="V253" s="139">
        <f>U253*Input!T253/100</f>
        <v>2.0706777635988009E-3</v>
      </c>
      <c r="W253" s="148">
        <v>0</v>
      </c>
      <c r="X253" s="143">
        <f>(((Constants!$B$25*0.000000001*Input!G253/Input!W253*(Constants!$B$11/Constants!$B$9))-(W253*0.000000001))/Input!F253)*1000000000</f>
        <v>0.83099512292092836</v>
      </c>
      <c r="Y253" s="143">
        <f>X253*Input!X253/100</f>
        <v>1.1307778363954883E-2</v>
      </c>
      <c r="Z253" s="143">
        <f>(X253/Constants!$B$11)*6.022E+23*0.000000001*Constants!$B$19/(365.2425*24*60)</f>
        <v>2.0287277452259885E-4</v>
      </c>
      <c r="AA253" s="143">
        <f>Z253*Input!X253/100</f>
        <v>2.7605942647637237E-6</v>
      </c>
      <c r="AB253" s="144">
        <v>0</v>
      </c>
      <c r="AC253" s="144">
        <v>0</v>
      </c>
      <c r="AD253" s="143">
        <f>(((Input!G253*Constants!$B$25*0.000000001*Input!U253*(Constants!$B$10/Constants!$B$9))-((AB253*0.000000000000001)+(Input!G253*AC253*0.000000000000001)))/Input!F253)*1000000000000</f>
        <v>224.11939608828817</v>
      </c>
      <c r="AE253" s="143">
        <f>AD253*Input!V253/100</f>
        <v>0.79465796661667643</v>
      </c>
      <c r="AF253" s="143">
        <f>(AD253/Constants!$B$10)*602200000000*Constants!$B$16/(365.2425*24*60)</f>
        <v>10.230079650282551</v>
      </c>
      <c r="AG253" s="143">
        <f>AF253*Input!V253/100</f>
        <v>3.6272694086761342E-2</v>
      </c>
      <c r="AH253" s="139">
        <f t="shared" ref="AH253" si="1384">AF253/Z253</f>
        <v>50426.084398737199</v>
      </c>
      <c r="AI253" s="148">
        <f t="shared" ref="AI253" si="1385">AH253*SQRT((AG253/AF253)^2+(AA253/Z253)^2)</f>
        <v>709.0853813726203</v>
      </c>
      <c r="AJ253" s="145">
        <f t="shared" si="1372"/>
        <v>0.86540883684871339</v>
      </c>
      <c r="AK253" s="148">
        <f t="shared" ref="AK253" si="1386">V253*1000</f>
        <v>2.070677763598801</v>
      </c>
      <c r="AL253" s="148">
        <f t="shared" ref="AL253" si="1387">AF253/Q253</f>
        <v>1.000803038376747</v>
      </c>
      <c r="AM253" s="148">
        <f t="shared" ref="AM253" si="1388">AL253*SQRT((R253/Q253)^2+(AG253/AF253)^2)</f>
        <v>3.5531101112149374E-3</v>
      </c>
      <c r="AN253" s="139">
        <f>AF253/Q253</f>
        <v>1.000803038376747</v>
      </c>
      <c r="AO253" s="143">
        <f t="shared" ref="AO253" si="1389">AN253*SQRT((R253/Q253)^2+(AG253/AF253)^2)</f>
        <v>3.5531101112149374E-3</v>
      </c>
      <c r="AP253" s="139">
        <f t="shared" ref="AP253" si="1390">ThU_Alter_Kombi(AN253,U253)</f>
        <v>842.47519999999997</v>
      </c>
      <c r="AQ253" s="139" t="e">
        <f t="shared" si="1373"/>
        <v>#VALUE!</v>
      </c>
      <c r="AR253" s="139" t="e">
        <f>(AQ253/AP253)*100</f>
        <v>#VALUE!</v>
      </c>
      <c r="AS253" s="147">
        <f t="shared" si="1374"/>
        <v>1.984693141079599E-5</v>
      </c>
      <c r="AT253" s="147">
        <f t="shared" si="1375"/>
        <v>2.700910530469942E-7</v>
      </c>
      <c r="AU253" s="139">
        <v>0.75</v>
      </c>
      <c r="AV253" s="139">
        <f t="shared" ref="AV253" si="1391">AU253/2</f>
        <v>0.375</v>
      </c>
      <c r="AW253" s="139">
        <f t="shared" si="1376"/>
        <v>842.47360000000003</v>
      </c>
      <c r="AX253" s="149">
        <f t="shared" si="1377"/>
        <v>319.03027599080002</v>
      </c>
      <c r="AY253" s="149">
        <f t="shared" si="1378"/>
        <v>1124.8938794126066</v>
      </c>
      <c r="AZ253" s="150">
        <f t="shared" si="1379"/>
        <v>0.3786828168749739</v>
      </c>
      <c r="BA253" s="139" t="str">
        <f>Input!B253</f>
        <v>Hu1-13</v>
      </c>
      <c r="BB253" s="151">
        <f>Input!E253</f>
        <v>0</v>
      </c>
      <c r="BC253" s="139">
        <f>((U253-1)*EXP(Constants!$B$17*AW253*1000))*1000</f>
        <v>9.3274140152799472</v>
      </c>
      <c r="BD253" s="145">
        <f>SQRT((EXP(Constants!$B$17*AW253*1000)*V253)^2+((U253-1)*Constants!$B$17*EXP(Constants!$B$17*AW253*1000)*AY253*1000)^2)*1000</f>
        <v>37.078853046254878</v>
      </c>
      <c r="BE253" s="139">
        <f t="shared" si="1380"/>
        <v>842415.6</v>
      </c>
      <c r="BF253" s="152">
        <f t="shared" si="1381"/>
        <v>562446.9397063033</v>
      </c>
      <c r="BG253" s="161">
        <f t="shared" si="1382"/>
        <v>133.52274533143907</v>
      </c>
      <c r="BH253" s="139"/>
      <c r="BI253" s="18"/>
      <c r="BJ253" s="18"/>
      <c r="BK253" s="18"/>
      <c r="BL253" s="18"/>
      <c r="BM253" s="18"/>
      <c r="BN253" s="160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</row>
    <row r="254" spans="1:110" ht="15" customHeight="1" x14ac:dyDescent="0.2">
      <c r="A254" s="18">
        <f>Input!A254</f>
        <v>11144</v>
      </c>
      <c r="B254" s="18" t="str">
        <f>Input!B254</f>
        <v>E4-11,5</v>
      </c>
      <c r="C254" s="18">
        <f>Input!O254</f>
        <v>1.8831560498377475</v>
      </c>
      <c r="D254" s="18">
        <f>C254*Input!P254/100</f>
        <v>7.9688852352988084E-3</v>
      </c>
      <c r="E254" s="153">
        <f>Input!M254</f>
        <v>2.4536346476333453</v>
      </c>
      <c r="F254" s="154">
        <f>E254*Input!N254/100</f>
        <v>1.480460118159464E-4</v>
      </c>
      <c r="G254" s="21">
        <f>E254*137.88</f>
        <v>338.30714521568564</v>
      </c>
      <c r="H254" s="154">
        <f>G254*Input!L254/100</f>
        <v>2.1410911181730649E-2</v>
      </c>
      <c r="I254" s="18">
        <v>0.3</v>
      </c>
      <c r="J254" s="130">
        <f>(((C254*Constants!$B$24*0.000000001*Input!G254*(Constants!$B$4/Constants!$B$3))-(I254*0.000000000000001))/Input!F254)*1000000000000</f>
        <v>62.455823385332778</v>
      </c>
      <c r="K254" s="18">
        <f>J254*Input!P254/100</f>
        <v>0.26429211157338262</v>
      </c>
      <c r="L254" s="135">
        <f>(J254/Constants!$B$4)*602200000000*Constants!$B$17/(365.2425*24*60)</f>
        <v>0.86227198746204869</v>
      </c>
      <c r="M254" s="133">
        <f>L254*Input!P254/100</f>
        <v>3.648846047724039E-3</v>
      </c>
      <c r="N254" s="18">
        <v>5.0000000000000001E-3</v>
      </c>
      <c r="O254" s="130">
        <f>(((G254*Constants!$B$23*0.000000001*Input!G254*(Constants!$B$7/Constants!$B$6))-(N254*0.000000001))/Input!F254)*1000000</f>
        <v>1.130266258902173</v>
      </c>
      <c r="P254" s="18">
        <f>O254*Input!N254/100</f>
        <v>6.8197362668478878E-5</v>
      </c>
      <c r="Q254" s="131">
        <f>(O254/Constants!$B$7)*602200000000000000*Constants!$B$18/(365.2425*24*60)</f>
        <v>0.84331511836114015</v>
      </c>
      <c r="R254" s="132">
        <f>Q254*Input!N254/100</f>
        <v>5.0883467959617868E-5</v>
      </c>
      <c r="S254" s="133">
        <f>Input!S254*Constants!$B$17/Constants!$B$18</f>
        <v>1.01013155427524</v>
      </c>
      <c r="T254" s="18">
        <f>S254*Input!T254/100</f>
        <v>1.0422776363883226E-3</v>
      </c>
      <c r="U254" s="18">
        <f>S254*1/((U253+U255)/2)</f>
        <v>1.0107580787666068</v>
      </c>
      <c r="V254" s="18">
        <f>U254*Input!T254/100</f>
        <v>1.0429240991814482E-3</v>
      </c>
      <c r="W254" s="134">
        <v>3.0000000000000001E-3</v>
      </c>
      <c r="X254" s="130">
        <f>(((Constants!$B$25*0.000000001*Input!G254/Input!W254*(Constants!$B$11/Constants!$B$9)-(W254*0.000000001))/Input!F254)*1000000000)</f>
        <v>4.4437796083420631</v>
      </c>
      <c r="Y254" s="130">
        <f>X254*Input!X254/100</f>
        <v>1.2172458690902822E-2</v>
      </c>
      <c r="Z254" s="130">
        <f>(X254/Constants!$B$11)*6.022E+23*0.000000001*Constants!$B$19/(365.2425*24*60)</f>
        <v>1.084870264150858E-3</v>
      </c>
      <c r="AA254" s="130">
        <f>Z254*Input!X254/100</f>
        <v>2.971690686589209E-6</v>
      </c>
      <c r="AB254" s="135">
        <v>0.05</v>
      </c>
      <c r="AC254" s="135">
        <v>0</v>
      </c>
      <c r="AD254" s="130">
        <f>(((Input!G254*Constants!$B$25*0.000000001*Input!U254*(Constants!$B$10/Constants!$B$9))-((AB254*0.000000000000001)+(Input!G254*AC254*0.000000000000001)))/Input!F254)*1000000000000</f>
        <v>0.27179411958662247</v>
      </c>
      <c r="AE254" s="130">
        <f>AD254*Input!V254/100</f>
        <v>2.9296835644636019E-3</v>
      </c>
      <c r="AF254" s="130">
        <f>(AD254/Constants!$B$10)*602200000000*Constants!$B$16/(365.2425*24*60)</f>
        <v>1.24062242732184E-2</v>
      </c>
      <c r="AG254" s="130">
        <f>AF254*Input!V254/100</f>
        <v>1.3372736468904195E-4</v>
      </c>
      <c r="AH254" s="18">
        <f>AF254/Z254</f>
        <v>11.435675474918572</v>
      </c>
      <c r="AI254" s="134">
        <f>AH254*SQRT((AG254/AF254)^2+(AA254/Z254)^2)</f>
        <v>0.12718368286796061</v>
      </c>
      <c r="AJ254" s="133">
        <f t="shared" si="1372"/>
        <v>10.758078766606838</v>
      </c>
      <c r="AK254" s="134">
        <f>V254*1000</f>
        <v>1.0429240991814481</v>
      </c>
      <c r="AL254" s="134">
        <f>AF254/Q254</f>
        <v>1.4711255618573619E-2</v>
      </c>
      <c r="AM254" s="134">
        <f>AL254*SQRT((R254/Q254)^2+(AG254/AF254)^2)</f>
        <v>1.5857590697786292E-4</v>
      </c>
      <c r="AN254" s="18">
        <f>AL254*1/((AN253+AN255)/2)</f>
        <v>1.470034240756943E-2</v>
      </c>
      <c r="AO254" s="130">
        <f>AN254*SQRT((R254/Q254)^2+(AG254/AF254)^2)</f>
        <v>1.5845827104127806E-4</v>
      </c>
      <c r="AP254" s="18">
        <f>ThU_Alter_Kombi(AN254,U254)</f>
        <v>1.5974999999999999</v>
      </c>
      <c r="AQ254" s="18">
        <f t="shared" si="1373"/>
        <v>1.7899999999999999E-2</v>
      </c>
      <c r="AR254" s="155">
        <f>(AQ254/AP254)</f>
        <v>1.1205007824726134E-2</v>
      </c>
      <c r="AS254" s="132">
        <f t="shared" si="1374"/>
        <v>1.2864352132796399E-3</v>
      </c>
      <c r="AT254" s="132">
        <f t="shared" si="1375"/>
        <v>3.5246747848734891E-6</v>
      </c>
      <c r="AU254" s="18">
        <v>0.75</v>
      </c>
      <c r="AV254" s="18">
        <f>AU254/2</f>
        <v>0.375</v>
      </c>
      <c r="AW254" s="18">
        <f t="shared" si="1376"/>
        <v>1.4934000000000001</v>
      </c>
      <c r="AX254" s="136">
        <f t="shared" si="1377"/>
        <v>5.5403702399999998E-2</v>
      </c>
      <c r="AY254" s="136">
        <f t="shared" si="1378"/>
        <v>5.5004055549385283E-2</v>
      </c>
      <c r="AZ254" s="155">
        <f t="shared" si="1379"/>
        <v>3.709903736440337E-2</v>
      </c>
      <c r="BA254" s="18" t="str">
        <f>Input!B254</f>
        <v>E4-11,5</v>
      </c>
      <c r="BB254" s="137">
        <f>Input!E254</f>
        <v>11.5</v>
      </c>
      <c r="BC254" s="18">
        <f>((U254-1)*EXP(Constants!$B$17*AW254*1000))*1000</f>
        <v>10.803513981922373</v>
      </c>
      <c r="BD254" s="133">
        <f>SQRT((EXP(Constants!$B$17*AW254*1000)*V254)^2+((U254-1)*Constants!$B$17*EXP(Constants!$B$17*AW254*1000)*AY254*1000)^2)*1000</f>
        <v>1.0473300833320105</v>
      </c>
      <c r="BE254" s="18">
        <f t="shared" si="1380"/>
        <v>1435.4</v>
      </c>
      <c r="BF254" s="138">
        <f t="shared" si="1381"/>
        <v>27.502027774692642</v>
      </c>
      <c r="BG254" s="20">
        <f t="shared" si="1382"/>
        <v>3.6831428652327096</v>
      </c>
      <c r="BH254" s="18"/>
      <c r="BI254" s="18"/>
      <c r="BJ254" s="18"/>
      <c r="BK254" s="18"/>
      <c r="BL254" s="18"/>
      <c r="BM254" s="18"/>
      <c r="BN254" s="160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</row>
    <row r="255" spans="1:110" ht="15" customHeight="1" x14ac:dyDescent="0.2">
      <c r="A255" s="139">
        <f>Input!A255</f>
        <v>10815</v>
      </c>
      <c r="B255" s="139" t="str">
        <f>Input!B255</f>
        <v>Hu1-13</v>
      </c>
      <c r="C255" s="139">
        <f>Input!O255</f>
        <v>2.0830455407762956</v>
      </c>
      <c r="D255" s="139">
        <f>C255*Input!P255/100</f>
        <v>2.6222624006169593E-2</v>
      </c>
      <c r="E255" s="140">
        <f>Input!M255</f>
        <v>2.7325223739993838</v>
      </c>
      <c r="F255" s="141">
        <f>E255*Input!N255/100</f>
        <v>3.8338637100493521E-4</v>
      </c>
      <c r="G255" s="142">
        <f t="shared" ref="G255" si="1392">E255*137.88</f>
        <v>376.76018492703503</v>
      </c>
      <c r="H255" s="141">
        <f>G255*Input!L255/100</f>
        <v>3.5704066390572324E-2</v>
      </c>
      <c r="I255" s="139">
        <v>0</v>
      </c>
      <c r="J255" s="143">
        <f>(((C255*Constants!$B$24*0.000000001*Input!G255*(Constants!$B$4/Constants!$B$3))-(I255*0.000000000000001))/Input!F255)*1000000000000</f>
        <v>752.05764335189508</v>
      </c>
      <c r="K255" s="139">
        <f>J255*Input!P255/100</f>
        <v>9.4673517340543931</v>
      </c>
      <c r="L255" s="144">
        <f>(J255/Constants!$B$4)*602200000000*Constants!$B$17/(365.2425*24*60)</f>
        <v>10.382990787234625</v>
      </c>
      <c r="M255" s="145">
        <f>L255*Input!P255/100</f>
        <v>0.13070730242974377</v>
      </c>
      <c r="N255" s="139">
        <v>0</v>
      </c>
      <c r="O255" s="143">
        <f>(((G255*Constants!$B$23*0.000000001*Input!G255*(Constants!$B$7/Constants!$B$6))-(N255*0.000000001))/Input!F255)*1000000</f>
        <v>13.702470211922002</v>
      </c>
      <c r="P255" s="139">
        <f>O255*Input!N255/100</f>
        <v>1.9225241770529731E-3</v>
      </c>
      <c r="Q255" s="146">
        <f>(O255/Constants!$B$7)*602200000000000000*Constants!$B$18/(365.2425*24*60)</f>
        <v>10.223697467383351</v>
      </c>
      <c r="R255" s="147">
        <f>Q255*Input!N255/100</f>
        <v>1.4344351971528758E-3</v>
      </c>
      <c r="S255" s="145">
        <f>Input!S255*Constants!$B$17/Constants!$B$18</f>
        <v>0.99789487910043617</v>
      </c>
      <c r="T255" s="139">
        <f>S255*Input!T255/100</f>
        <v>2.4428898113415527E-3</v>
      </c>
      <c r="U255" s="145">
        <f>S255</f>
        <v>0.99789487910043617</v>
      </c>
      <c r="V255" s="139">
        <f>U255*Input!T255/100</f>
        <v>2.4428898113415527E-3</v>
      </c>
      <c r="W255" s="148">
        <v>0</v>
      </c>
      <c r="X255" s="143">
        <f>(((Constants!$B$25*0.000000001*Input!G255/Input!W255*(Constants!$B$11/Constants!$B$9))-(W255*0.000000001))/Input!F255)*1000000000</f>
        <v>0.823464486316829</v>
      </c>
      <c r="Y255" s="143">
        <f>X255*Input!X255/100</f>
        <v>6.0565176103646243E-3</v>
      </c>
      <c r="Z255" s="143">
        <f>(X255/Constants!$B$11)*6.022E+23*0.000000001*Constants!$B$19/(365.2425*24*60)</f>
        <v>2.0103430267161493E-4</v>
      </c>
      <c r="AA255" s="143">
        <f>Z255*Input!X255/100</f>
        <v>1.4785917482172356E-6</v>
      </c>
      <c r="AB255" s="144">
        <v>0</v>
      </c>
      <c r="AC255" s="144">
        <v>0</v>
      </c>
      <c r="AD255" s="143">
        <f>(((Input!G255*Constants!$B$25*0.000000001*Input!U255*(Constants!$B$10/Constants!$B$9))-((AB255*0.000000000000001)+(Input!G255*AC255*0.000000000000001)))/Input!F255)*1000000000000</f>
        <v>224.13226679757298</v>
      </c>
      <c r="AE255" s="143">
        <f>AD255*Input!V255/100</f>
        <v>0.69453065059560681</v>
      </c>
      <c r="AF255" s="143">
        <f>(AD255/Constants!$B$10)*602200000000*Constants!$B$16/(365.2425*24*60)</f>
        <v>10.230667142411468</v>
      </c>
      <c r="AG255" s="143">
        <f>AF255*Input!V255/100</f>
        <v>3.1702315815435624E-2</v>
      </c>
      <c r="AH255" s="139">
        <f t="shared" ref="AH255" si="1393">AF255/Z255</f>
        <v>50890.156587470723</v>
      </c>
      <c r="AI255" s="148">
        <f t="shared" ref="AI255" si="1394">AH255*SQRT((AG255/AF255)^2+(AA255/Z255)^2)</f>
        <v>406.15688937102311</v>
      </c>
      <c r="AJ255" s="145">
        <f t="shared" si="1372"/>
        <v>-2.1051208995638282</v>
      </c>
      <c r="AK255" s="148">
        <f t="shared" ref="AK255" si="1395">V255*1000</f>
        <v>2.4428898113415527</v>
      </c>
      <c r="AL255" s="148">
        <f t="shared" ref="AL255" si="1396">AF255/Q255</f>
        <v>1.0006817176515983</v>
      </c>
      <c r="AM255" s="148">
        <f t="shared" ref="AM255" si="1397">AL255*SQRT((R255/Q255)^2+(AG255/AF255)^2)</f>
        <v>3.104042886270115E-3</v>
      </c>
      <c r="AN255" s="139">
        <f>AF255/Q255</f>
        <v>1.0006817176515983</v>
      </c>
      <c r="AO255" s="143">
        <f t="shared" ref="AO255" si="1398">AN255*SQRT((R255/Q255)^2+(AG255/AF255)^2)</f>
        <v>3.104042886270115E-3</v>
      </c>
      <c r="AP255" s="139" t="str">
        <f t="shared" ref="AP255" si="1399">ThU_Alter_Kombi(AN255,U255)</f>
        <v>Out of range</v>
      </c>
      <c r="AQ255" s="139" t="e">
        <f t="shared" si="1373"/>
        <v>#VALUE!</v>
      </c>
      <c r="AR255" s="139" t="e">
        <f>(AQ255/AP255)*100</f>
        <v>#VALUE!</v>
      </c>
      <c r="AS255" s="147">
        <f t="shared" si="1374"/>
        <v>1.9663561379136503E-5</v>
      </c>
      <c r="AT255" s="147">
        <f t="shared" si="1375"/>
        <v>1.4465028556909067E-7</v>
      </c>
      <c r="AU255" s="139">
        <v>0.75</v>
      </c>
      <c r="AV255" s="139">
        <f t="shared" ref="AV255" si="1400">AU255/2</f>
        <v>0.375</v>
      </c>
      <c r="AW255" s="139" t="str">
        <f t="shared" si="1376"/>
        <v>Out of range</v>
      </c>
      <c r="AX255" s="149">
        <f t="shared" si="1377"/>
        <v>266.18299575859999</v>
      </c>
      <c r="AY255" s="149" t="e">
        <f t="shared" si="1378"/>
        <v>#VALUE!</v>
      </c>
      <c r="AZ255" s="150" t="e">
        <f t="shared" si="1379"/>
        <v>#VALUE!</v>
      </c>
      <c r="BA255" s="139" t="str">
        <f>Input!B255</f>
        <v>Hu1-13</v>
      </c>
      <c r="BB255" s="151">
        <f>Input!E255</f>
        <v>0</v>
      </c>
      <c r="BC255" s="139" t="e">
        <f>((U255-1)*EXP(Constants!$B$17*AW255*1000))*1000</f>
        <v>#VALUE!</v>
      </c>
      <c r="BD255" s="145" t="e">
        <f>SQRT((EXP(Constants!$B$17*AW255*1000)*V255)^2+((U255-1)*Constants!$B$17*EXP(Constants!$B$17*AW255*1000)*AY255*1000)^2)*1000</f>
        <v>#VALUE!</v>
      </c>
      <c r="BE255" s="139" t="e">
        <f t="shared" si="1380"/>
        <v>#VALUE!</v>
      </c>
      <c r="BF255" s="152" t="e">
        <f t="shared" si="1381"/>
        <v>#VALUE!</v>
      </c>
      <c r="BG255" s="161" t="e">
        <f t="shared" si="1382"/>
        <v>#VALUE!</v>
      </c>
      <c r="BH255" s="139"/>
      <c r="BI255" s="18"/>
      <c r="BJ255" s="18"/>
      <c r="BK255" s="18"/>
      <c r="BL255" s="18"/>
      <c r="BM255" s="18"/>
      <c r="BN255" s="160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</row>
    <row r="256" spans="1:110" ht="15" customHeight="1" x14ac:dyDescent="0.2">
      <c r="A256" s="18">
        <f>Input!A256</f>
        <v>11145</v>
      </c>
      <c r="B256" s="18" t="str">
        <f>Input!B256</f>
        <v>E4-13</v>
      </c>
      <c r="C256" s="18">
        <f>Input!O256</f>
        <v>1.4013397510312893</v>
      </c>
      <c r="D256" s="18">
        <f>C256*Input!P256/100</f>
        <v>6.2793852147580162E-3</v>
      </c>
      <c r="E256" s="153">
        <f>Input!M256</f>
        <v>1.8320788625253974</v>
      </c>
      <c r="F256" s="154">
        <f>E256*Input!N256/100</f>
        <v>1.4811529465126645E-4</v>
      </c>
      <c r="G256" s="21">
        <f>E256*137.88</f>
        <v>252.60703356500179</v>
      </c>
      <c r="H256" s="154">
        <f>G256*Input!L256/100</f>
        <v>1.2967445692801984E-2</v>
      </c>
      <c r="I256" s="18">
        <v>0.3</v>
      </c>
      <c r="J256" s="130">
        <f>(((C256*Constants!$B$24*0.000000001*Input!G256*(Constants!$B$4/Constants!$B$3))-(I256*0.000000000000001))/Input!F256)*1000000000000</f>
        <v>66.204702435961721</v>
      </c>
      <c r="K256" s="18">
        <f>J256*Input!P256/100</f>
        <v>0.29666241132308374</v>
      </c>
      <c r="L256" s="135">
        <f>(J256/Constants!$B$4)*602200000000*Constants!$B$17/(365.2425*24*60)</f>
        <v>0.91402942519202346</v>
      </c>
      <c r="M256" s="133">
        <f>L256*Input!P256/100</f>
        <v>4.0957539769928405E-3</v>
      </c>
      <c r="N256" s="18">
        <v>5.0000000000000001E-3</v>
      </c>
      <c r="O256" s="130">
        <f>(((G256*Constants!$B$23*0.000000001*Input!G256*(Constants!$B$7/Constants!$B$6))-(N256*0.000000001))/Input!F256)*1000000</f>
        <v>1.2021931602290223</v>
      </c>
      <c r="P256" s="18">
        <f>O256*Input!N256/100</f>
        <v>9.7191882837188958E-5</v>
      </c>
      <c r="Q256" s="131">
        <f>(O256/Constants!$B$7)*602200000000000000*Constants!$B$18/(365.2425*24*60)</f>
        <v>0.89698127253327131</v>
      </c>
      <c r="R256" s="132">
        <f>Q256*Input!N256/100</f>
        <v>7.2516881339266956E-5</v>
      </c>
      <c r="S256" s="133">
        <f>Input!S256*Constants!$B$17/Constants!$B$18</f>
        <v>1.010489823151308</v>
      </c>
      <c r="T256" s="18">
        <f>S256*Input!T256/100</f>
        <v>1.4882957159393531E-3</v>
      </c>
      <c r="U256" s="18">
        <f>S256*1/((U255+U257)/2)</f>
        <v>1.01262151386349</v>
      </c>
      <c r="V256" s="18">
        <f>U256*Input!T256/100</f>
        <v>1.4914353677022518E-3</v>
      </c>
      <c r="W256" s="134">
        <v>3.0000000000000001E-3</v>
      </c>
      <c r="X256" s="130">
        <f>(((Constants!$B$25*0.000000001*Input!G256/Input!W256*(Constants!$B$11/Constants!$B$9)-(W256*0.000000001))/Input!F256)*1000000000)</f>
        <v>1.0404667267564174</v>
      </c>
      <c r="Y256" s="130">
        <f>X256*Input!X256/100</f>
        <v>2.5504326687580577E-3</v>
      </c>
      <c r="Z256" s="130">
        <f>(X256/Constants!$B$11)*6.022E+23*0.000000001*Constants!$B$19/(365.2425*24*60)</f>
        <v>2.540115649699261E-4</v>
      </c>
      <c r="AA256" s="130">
        <f>Z256*Input!X256/100</f>
        <v>6.2264306669493751E-7</v>
      </c>
      <c r="AB256" s="135">
        <v>0.05</v>
      </c>
      <c r="AC256" s="135">
        <v>0</v>
      </c>
      <c r="AD256" s="130">
        <f>(((Input!G256*Constants!$B$25*0.000000001*Input!U256*(Constants!$B$10/Constants!$B$9))-((AB256*0.000000000000001)+(Input!G256*AC256*0.000000000000001)))/Input!F256)*1000000000000</f>
        <v>0.17905676821275085</v>
      </c>
      <c r="AE256" s="130">
        <f>AD256*Input!V256/100</f>
        <v>2.4505824596059065E-3</v>
      </c>
      <c r="AF256" s="130">
        <f>(AD256/Constants!$B$10)*602200000000*Constants!$B$16/(365.2425*24*60)</f>
        <v>8.1731658781421506E-3</v>
      </c>
      <c r="AG256" s="130">
        <f>AF256*Input!V256/100</f>
        <v>1.1185847449579048E-4</v>
      </c>
      <c r="AH256" s="18">
        <f>AF256/Z256</f>
        <v>32.176353384184765</v>
      </c>
      <c r="AI256" s="134">
        <f>AH256*SQRT((AG256/AF256)^2+(AA256/Z256)^2)</f>
        <v>0.44737505977756725</v>
      </c>
      <c r="AJ256" s="133">
        <f t="shared" ref="AJ256:AJ257" si="1401">(U256-1)*1000</f>
        <v>12.621513863489975</v>
      </c>
      <c r="AK256" s="134">
        <f>V256*1000</f>
        <v>1.4914353677022518</v>
      </c>
      <c r="AL256" s="134">
        <f>AF256/Q256</f>
        <v>9.1118578820038702E-3</v>
      </c>
      <c r="AM256" s="134">
        <f>AL256*SQRT((R256/Q256)^2+(AG256/AF256)^2)</f>
        <v>1.2470764944032576E-4</v>
      </c>
      <c r="AN256" s="18">
        <f>AL256*1/((AN255+AN257)/2)</f>
        <v>9.1056503993973172E-3</v>
      </c>
      <c r="AO256" s="130">
        <f>AN256*SQRT((R256/Q256)^2+(AG256/AF256)^2)</f>
        <v>1.2462269195143274E-4</v>
      </c>
      <c r="AP256" s="18">
        <f>ThU_Alter_Kombi(AN256,U256)</f>
        <v>0.98499999999999999</v>
      </c>
      <c r="AQ256" s="18">
        <f t="shared" ref="AQ256:AQ257" si="1402">Montealter(AN256,AO256,U256,V256)</f>
        <v>1.3100000000000001E-2</v>
      </c>
      <c r="AR256" s="155">
        <f>(AQ256/AP256)</f>
        <v>1.3299492385786803E-2</v>
      </c>
      <c r="AS256" s="132">
        <f t="shared" ref="AS256:AS257" si="1403">Z256/Q256</f>
        <v>2.8318491449943193E-4</v>
      </c>
      <c r="AT256" s="132">
        <f t="shared" ref="AT256:AT257" si="1404">AS256*SQRT((Y256/X256)^2+(P256/O256)^2)</f>
        <v>6.9453136018631847E-7</v>
      </c>
      <c r="AU256" s="18">
        <v>0.75</v>
      </c>
      <c r="AV256" s="18">
        <f>AU256/2</f>
        <v>0.375</v>
      </c>
      <c r="AW256" s="18">
        <f t="shared" ref="AW256:AW257" si="1405">marincorr_age(AN256,U256,AS256,AU256)</f>
        <v>0.96209999999999996</v>
      </c>
      <c r="AX256" s="136">
        <f t="shared" ref="AX256:AX257" si="1406">marincorr_age_error(AN256, AO256, U256, V256, AS256, AT256, AU256, AV256)</f>
        <v>1.7801573000000001E-2</v>
      </c>
      <c r="AY256" s="136">
        <f t="shared" ref="AY256:AY257" si="1407">SQRT(((AU256*EXP(-0.0000091577*AW256*1000))/(0.0000091577*(EXP(-0.0000091577*AW256*1000)+(AJ256/1000)*EXP(-(0.0000091577-0.0000028263)*AW256*1000)-AS256*AU256*EXP(-0.0000091577*AW256*1000))))^2*AT256^2+((AS256*EXP(-0.0000091577*AW256*1000))/(0.0000091577*(EXP(-0.0000091577*AW256*1000)+(AJ256/1000)*EXP(-(0.0000091577-0.0000028263)*AW256*1000)-AS256*AU256*EXP(-0.0000091577*AW256*1000))))^2*AV256^2+((0.0000091577/(0.0000091577-0.0000028263))*(EXP(-(0.0000091577-0.0000028263)*AW256*1000)-1)/(0.0000091577*(EXP(-0.0000091577*AW256*1000)+(AJ256/1000)*EXP(-(0.0000091577-0.0000028263)*AW256*1000)-AS256*AU256*EXP(-0.0000091577*AW256*1000))))^2*T256^2+(1/(0.0000091577*(EXP(-0.0000091577*AW256*1000)+(AJ256/1000)*EXP(-(0.0000091577-0.0000028263)*AW256*1000)-AS256*AU256*EXP(-0.0000091577*AW256*1000))))^2*AO256^2)/1000</f>
        <v>1.7807078876354434E-2</v>
      </c>
      <c r="AZ256" s="155">
        <f t="shared" ref="AZ256:AZ257" si="1408">AX256/AW256</f>
        <v>1.8502830267124001E-2</v>
      </c>
      <c r="BA256" s="18" t="str">
        <f>Input!B256</f>
        <v>E4-13</v>
      </c>
      <c r="BB256" s="137">
        <f>Input!E256</f>
        <v>13</v>
      </c>
      <c r="BC256" s="18">
        <f>((U256-1)*EXP(Constants!$B$17*AW256*1000))*1000</f>
        <v>12.655829149035634</v>
      </c>
      <c r="BD256" s="133">
        <f>SQRT((EXP(Constants!$B$17*AW256*1000)*V256)^2+((U256-1)*Constants!$B$17*EXP(Constants!$B$17*AW256*1000)*AY256*1000)^2)*1000</f>
        <v>1.4954904072106034</v>
      </c>
      <c r="BE256" s="18">
        <f t="shared" ref="BE256:BE257" si="1409">AW256*1000-58</f>
        <v>904.09999999999991</v>
      </c>
      <c r="BF256" s="138">
        <f t="shared" ref="BF256:BF257" si="1410">AY256/2*1000</f>
        <v>8.9035394381772175</v>
      </c>
      <c r="BG256" s="20">
        <f t="shared" ref="BG256:BG257" si="1411">AY256/AW256*100</f>
        <v>1.8508553036435333</v>
      </c>
      <c r="BH256" s="18"/>
      <c r="BI256" s="18"/>
      <c r="BJ256" s="18"/>
      <c r="BK256" s="18"/>
      <c r="BL256" s="18"/>
      <c r="BM256" s="18"/>
      <c r="BN256" s="160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</row>
    <row r="257" spans="1:110" ht="15" customHeight="1" x14ac:dyDescent="0.2">
      <c r="A257" s="139">
        <f>Input!A257</f>
        <v>10815</v>
      </c>
      <c r="B257" s="139" t="str">
        <f>Input!B257</f>
        <v>Hu1-13</v>
      </c>
      <c r="C257" s="139">
        <f>Input!O257</f>
        <v>2.0830455407762956</v>
      </c>
      <c r="D257" s="139">
        <f>C257*Input!P257/100</f>
        <v>2.6222624006169593E-2</v>
      </c>
      <c r="E257" s="140">
        <f>Input!M257</f>
        <v>2.7325223739993838</v>
      </c>
      <c r="F257" s="141">
        <f>E257*Input!N257/100</f>
        <v>3.8338637100493521E-4</v>
      </c>
      <c r="G257" s="142">
        <f t="shared" ref="G257" si="1412">E257*137.88</f>
        <v>376.76018492703503</v>
      </c>
      <c r="H257" s="141">
        <f>G257*Input!L257/100</f>
        <v>3.5704066390572324E-2</v>
      </c>
      <c r="I257" s="139">
        <v>0</v>
      </c>
      <c r="J257" s="143">
        <f>(((C257*Constants!$B$24*0.000000001*Input!G257*(Constants!$B$4/Constants!$B$3))-(I257*0.000000000000001))/Input!F257)*1000000000000</f>
        <v>752.05764335189508</v>
      </c>
      <c r="K257" s="139">
        <f>J257*Input!P257/100</f>
        <v>9.4673517340543931</v>
      </c>
      <c r="L257" s="144">
        <f>(J257/Constants!$B$4)*602200000000*Constants!$B$17/(365.2425*24*60)</f>
        <v>10.382990787234625</v>
      </c>
      <c r="M257" s="145">
        <f>L257*Input!P257/100</f>
        <v>0.13070730242974377</v>
      </c>
      <c r="N257" s="139">
        <v>0</v>
      </c>
      <c r="O257" s="143">
        <f>(((G257*Constants!$B$23*0.000000001*Input!G257*(Constants!$B$7/Constants!$B$6))-(N257*0.000000001))/Input!F257)*1000000</f>
        <v>13.702470211922002</v>
      </c>
      <c r="P257" s="139">
        <f>O257*Input!N257/100</f>
        <v>1.9225241770529731E-3</v>
      </c>
      <c r="Q257" s="146">
        <f>(O257/Constants!$B$7)*602200000000000000*Constants!$B$18/(365.2425*24*60)</f>
        <v>10.223697467383351</v>
      </c>
      <c r="R257" s="147">
        <f>Q257*Input!N257/100</f>
        <v>1.4344351971528758E-3</v>
      </c>
      <c r="S257" s="145">
        <f>Input!S257*Constants!$B$17/Constants!$B$18</f>
        <v>0.99789487910043617</v>
      </c>
      <c r="T257" s="139">
        <f>S257*Input!T257/100</f>
        <v>2.4428898113415527E-3</v>
      </c>
      <c r="U257" s="145">
        <f>S257</f>
        <v>0.99789487910043617</v>
      </c>
      <c r="V257" s="139">
        <f>U257*Input!T257/100</f>
        <v>2.4428898113415527E-3</v>
      </c>
      <c r="W257" s="148">
        <v>0</v>
      </c>
      <c r="X257" s="143">
        <f>(((Constants!$B$25*0.000000001*Input!G257/Input!W257*(Constants!$B$11/Constants!$B$9))-(W257*0.000000001))/Input!F257)*1000000000</f>
        <v>0.823464486316829</v>
      </c>
      <c r="Y257" s="143">
        <f>X257*Input!X257/100</f>
        <v>6.0565176103646243E-3</v>
      </c>
      <c r="Z257" s="143">
        <f>(X257/Constants!$B$11)*6.022E+23*0.000000001*Constants!$B$19/(365.2425*24*60)</f>
        <v>2.0103430267161493E-4</v>
      </c>
      <c r="AA257" s="143">
        <f>Z257*Input!X257/100</f>
        <v>1.4785917482172356E-6</v>
      </c>
      <c r="AB257" s="144">
        <v>0</v>
      </c>
      <c r="AC257" s="144">
        <v>0</v>
      </c>
      <c r="AD257" s="143">
        <f>(((Input!G257*Constants!$B$25*0.000000001*Input!U257*(Constants!$B$10/Constants!$B$9))-((AB257*0.000000000000001)+(Input!G257*AC257*0.000000000000001)))/Input!F257)*1000000000000</f>
        <v>224.13226679757298</v>
      </c>
      <c r="AE257" s="143">
        <f>AD257*Input!V257/100</f>
        <v>0.69453065059560681</v>
      </c>
      <c r="AF257" s="143">
        <f>(AD257/Constants!$B$10)*602200000000*Constants!$B$16/(365.2425*24*60)</f>
        <v>10.230667142411468</v>
      </c>
      <c r="AG257" s="143">
        <f>AF257*Input!V257/100</f>
        <v>3.1702315815435624E-2</v>
      </c>
      <c r="AH257" s="139">
        <f t="shared" ref="AH257" si="1413">AF257/Z257</f>
        <v>50890.156587470723</v>
      </c>
      <c r="AI257" s="148">
        <f t="shared" ref="AI257" si="1414">AH257*SQRT((AG257/AF257)^2+(AA257/Z257)^2)</f>
        <v>406.15688937102311</v>
      </c>
      <c r="AJ257" s="145">
        <f t="shared" si="1401"/>
        <v>-2.1051208995638282</v>
      </c>
      <c r="AK257" s="148">
        <f t="shared" ref="AK257" si="1415">V257*1000</f>
        <v>2.4428898113415527</v>
      </c>
      <c r="AL257" s="148">
        <f t="shared" ref="AL257" si="1416">AF257/Q257</f>
        <v>1.0006817176515983</v>
      </c>
      <c r="AM257" s="148">
        <f t="shared" ref="AM257" si="1417">AL257*SQRT((R257/Q257)^2+(AG257/AF257)^2)</f>
        <v>3.104042886270115E-3</v>
      </c>
      <c r="AN257" s="139">
        <f>AF257/Q257</f>
        <v>1.0006817176515983</v>
      </c>
      <c r="AO257" s="143">
        <f t="shared" ref="AO257" si="1418">AN257*SQRT((R257/Q257)^2+(AG257/AF257)^2)</f>
        <v>3.104042886270115E-3</v>
      </c>
      <c r="AP257" s="139" t="str">
        <f t="shared" ref="AP257" si="1419">ThU_Alter_Kombi(AN257,U257)</f>
        <v>Out of range</v>
      </c>
      <c r="AQ257" s="139" t="e">
        <f t="shared" si="1402"/>
        <v>#VALUE!</v>
      </c>
      <c r="AR257" s="139" t="e">
        <f>(AQ257/AP257)*100</f>
        <v>#VALUE!</v>
      </c>
      <c r="AS257" s="147">
        <f t="shared" si="1403"/>
        <v>1.9663561379136503E-5</v>
      </c>
      <c r="AT257" s="147">
        <f t="shared" si="1404"/>
        <v>1.4465028556909067E-7</v>
      </c>
      <c r="AU257" s="139">
        <v>0.75</v>
      </c>
      <c r="AV257" s="139">
        <f t="shared" ref="AV257" si="1420">AU257/2</f>
        <v>0.375</v>
      </c>
      <c r="AW257" s="139" t="str">
        <f t="shared" si="1405"/>
        <v>Out of range</v>
      </c>
      <c r="AX257" s="149">
        <f t="shared" si="1406"/>
        <v>272.8477261155</v>
      </c>
      <c r="AY257" s="149" t="e">
        <f t="shared" si="1407"/>
        <v>#VALUE!</v>
      </c>
      <c r="AZ257" s="150" t="e">
        <f t="shared" si="1408"/>
        <v>#VALUE!</v>
      </c>
      <c r="BA257" s="139" t="str">
        <f>Input!B257</f>
        <v>Hu1-13</v>
      </c>
      <c r="BB257" s="151">
        <f>Input!E257</f>
        <v>0</v>
      </c>
      <c r="BC257" s="139" t="e">
        <f>((U257-1)*EXP(Constants!$B$17*AW257*1000))*1000</f>
        <v>#VALUE!</v>
      </c>
      <c r="BD257" s="145" t="e">
        <f>SQRT((EXP(Constants!$B$17*AW257*1000)*V257)^2+((U257-1)*Constants!$B$17*EXP(Constants!$B$17*AW257*1000)*AY257*1000)^2)*1000</f>
        <v>#VALUE!</v>
      </c>
      <c r="BE257" s="139" t="e">
        <f t="shared" si="1409"/>
        <v>#VALUE!</v>
      </c>
      <c r="BF257" s="152" t="e">
        <f t="shared" si="1410"/>
        <v>#VALUE!</v>
      </c>
      <c r="BG257" s="161" t="e">
        <f t="shared" si="1411"/>
        <v>#VALUE!</v>
      </c>
      <c r="BH257" s="139"/>
      <c r="BI257" s="18"/>
      <c r="BJ257" s="18"/>
      <c r="BK257" s="18"/>
      <c r="BL257" s="18"/>
      <c r="BM257" s="18"/>
      <c r="BN257" s="160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</row>
    <row r="259" spans="1:110" ht="15" customHeight="1" x14ac:dyDescent="0.2">
      <c r="A259" s="139">
        <f>Input!A259</f>
        <v>10815</v>
      </c>
      <c r="B259" s="139" t="str">
        <f>Input!B259</f>
        <v>Hu1-13</v>
      </c>
      <c r="C259" s="139">
        <f>Input!O259</f>
        <v>2.0938701341522576</v>
      </c>
      <c r="D259" s="139">
        <f>C259*Input!P259/100</f>
        <v>2.2173523076652549E-2</v>
      </c>
      <c r="E259" s="140">
        <f>Input!M259</f>
        <v>2.7316450780471198</v>
      </c>
      <c r="F259" s="141">
        <f>E259*Input!N259/100</f>
        <v>3.5086882283185176E-4</v>
      </c>
      <c r="G259" s="142">
        <f t="shared" ref="G259" si="1421">E259*137.88</f>
        <v>376.63922336113689</v>
      </c>
      <c r="H259" s="141">
        <f>G259*Input!L259/100</f>
        <v>3.640176830864917E-2</v>
      </c>
      <c r="I259" s="139">
        <v>0</v>
      </c>
      <c r="J259" s="143">
        <f>(((C259*Constants!$B$24*0.000000001*Input!G259*(Constants!$B$4/Constants!$B$3))-(I259*0.000000000000001))/Input!F259)*1000000000000</f>
        <v>755.96572794496387</v>
      </c>
      <c r="K259" s="139">
        <f>J259*Input!P259/100</f>
        <v>8.0054742843603712</v>
      </c>
      <c r="L259" s="144">
        <f>(J259/Constants!$B$4)*602200000000*Constants!$B$17/(365.2425*24*60)</f>
        <v>10.43694623424626</v>
      </c>
      <c r="M259" s="145">
        <f>L259*Input!P259/100</f>
        <v>0.1105244610924916</v>
      </c>
      <c r="N259" s="139">
        <v>0</v>
      </c>
      <c r="O259" s="143">
        <f>(((G259*Constants!$B$23*0.000000001*Input!G259*(Constants!$B$7/Constants!$B$6))-(N259*0.000000001))/Input!F259)*1000000</f>
        <v>13.698070935353464</v>
      </c>
      <c r="P259" s="139">
        <f>O259*Input!N259/100</f>
        <v>1.7594621141596809E-3</v>
      </c>
      <c r="Q259" s="146">
        <f>(O259/Constants!$B$7)*602200000000000000*Constants!$B$18/(365.2425*24*60)</f>
        <v>10.220415075813328</v>
      </c>
      <c r="R259" s="147">
        <f>Q259*Input!N259/100</f>
        <v>1.3127712071098264E-3</v>
      </c>
      <c r="S259" s="145">
        <f>Input!S259*Constants!$B$17/Constants!$B$18</f>
        <v>0.99759218118810178</v>
      </c>
      <c r="T259" s="139">
        <f>S259*Input!T259/100</f>
        <v>2.3365269233231261E-3</v>
      </c>
      <c r="U259" s="145">
        <f>S259</f>
        <v>0.99759218118810178</v>
      </c>
      <c r="V259" s="139">
        <f>U259*Input!T259/100</f>
        <v>2.3365269233231261E-3</v>
      </c>
      <c r="W259" s="148">
        <v>0</v>
      </c>
      <c r="X259" s="143">
        <f>(((Constants!$B$25*0.000000001*Input!G259/Input!W259*(Constants!$B$11/Constants!$B$9))-(W259*0.000000001))/Input!F259)*1000000000</f>
        <v>0.84280493790865774</v>
      </c>
      <c r="Y259" s="143">
        <f>X259*Input!X259/100</f>
        <v>6.1756648072860921E-3</v>
      </c>
      <c r="Z259" s="143">
        <f>(X259/Constants!$B$11)*6.022E+23*0.000000001*Constants!$B$19/(365.2425*24*60)</f>
        <v>2.0575593215743282E-4</v>
      </c>
      <c r="AA259" s="143">
        <f>Z259*Input!X259/100</f>
        <v>1.5076794308634168E-6</v>
      </c>
      <c r="AB259" s="144">
        <v>0</v>
      </c>
      <c r="AC259" s="144">
        <v>0</v>
      </c>
      <c r="AD259" s="143">
        <f>(((Input!G259*Constants!$B$25*0.000000001*Input!U259*(Constants!$B$10/Constants!$B$9))-((AB259*0.000000000000001)+(Input!G259*AC259*0.000000000000001)))/Input!F259)*1000000000000</f>
        <v>224.10297026139844</v>
      </c>
      <c r="AE259" s="143">
        <f>AD259*Input!V259/100</f>
        <v>0.95859832290125557</v>
      </c>
      <c r="AF259" s="143">
        <f>(AD259/Constants!$B$10)*602200000000*Constants!$B$16/(365.2425*24*60)</f>
        <v>10.22932988243409</v>
      </c>
      <c r="AG259" s="143">
        <f>AF259*Input!V259/100</f>
        <v>4.3755861237659198E-2</v>
      </c>
      <c r="AH259" s="139">
        <f t="shared" ref="AH259" si="1422">AF259/Z259</f>
        <v>49715.844278099277</v>
      </c>
      <c r="AI259" s="148">
        <f t="shared" ref="AI259" si="1423">AH259*SQRT((AG259/AF259)^2+(AA259/Z259)^2)</f>
        <v>421.82182412878814</v>
      </c>
      <c r="AJ259" s="145">
        <f t="shared" ref="AJ259:AJ269" si="1424">(U259-1)*1000</f>
        <v>-2.4078188118982213</v>
      </c>
      <c r="AK259" s="148">
        <f t="shared" ref="AK259" si="1425">V259*1000</f>
        <v>2.3365269233231261</v>
      </c>
      <c r="AL259" s="148">
        <f t="shared" ref="AL259" si="1426">AF259/Q259</f>
        <v>1.0008722548501829</v>
      </c>
      <c r="AM259" s="148">
        <f t="shared" ref="AM259" si="1427">AL259*SQRT((R259/Q259)^2+(AG259/AF259)^2)</f>
        <v>4.2831513041557568E-3</v>
      </c>
      <c r="AN259" s="139">
        <f>AF259/Q259</f>
        <v>1.0008722548501829</v>
      </c>
      <c r="AO259" s="143">
        <f t="shared" ref="AO259" si="1428">AN259*SQRT((R259/Q259)^2+(AG259/AF259)^2)</f>
        <v>4.2831513041557568E-3</v>
      </c>
      <c r="AP259" s="139" t="str">
        <f t="shared" ref="AP259" si="1429">ThU_Alter_Kombi(AN259,U259)</f>
        <v>Out of range</v>
      </c>
      <c r="AQ259" s="139" t="e">
        <f t="shared" ref="AQ259:AQ269" si="1430">Montealter(AN259,AO259,U259,V259)</f>
        <v>#VALUE!</v>
      </c>
      <c r="AR259" s="139" t="e">
        <f>(AQ259/AP259)*100</f>
        <v>#VALUE!</v>
      </c>
      <c r="AS259" s="147">
        <f t="shared" ref="AS259:AS269" si="1431">Z259/Q259</f>
        <v>2.0131856742722262E-5</v>
      </c>
      <c r="AT259" s="147">
        <f t="shared" ref="AT259:AT269" si="1432">AS259*SQRT((Y259/X259)^2+(P259/O259)^2)</f>
        <v>1.4753912030505481E-7</v>
      </c>
      <c r="AU259" s="139">
        <v>0.75</v>
      </c>
      <c r="AV259" s="139">
        <f t="shared" ref="AV259" si="1433">AU259/2</f>
        <v>0.375</v>
      </c>
      <c r="AW259" s="139" t="str">
        <f t="shared" ref="AW259:AW269" si="1434">marincorr_age(AN259,U259,AS259,AU259)</f>
        <v>Out of range</v>
      </c>
      <c r="AX259" s="149">
        <f t="shared" ref="AX259:AX269" si="1435">marincorr_age_error(AN259, AO259, U259, V259, AS259, AT259, AU259, AV259)</f>
        <v>234.1024790072</v>
      </c>
      <c r="AY259" s="149" t="e">
        <f t="shared" ref="AY259:AY269" si="1436">SQRT(((AU259*EXP(-0.0000091577*AW259*1000))/(0.0000091577*(EXP(-0.0000091577*AW259*1000)+(AJ259/1000)*EXP(-(0.0000091577-0.0000028263)*AW259*1000)-AS259*AU259*EXP(-0.0000091577*AW259*1000))))^2*AT259^2+((AS259*EXP(-0.0000091577*AW259*1000))/(0.0000091577*(EXP(-0.0000091577*AW259*1000)+(AJ259/1000)*EXP(-(0.0000091577-0.0000028263)*AW259*1000)-AS259*AU259*EXP(-0.0000091577*AW259*1000))))^2*AV259^2+((0.0000091577/(0.0000091577-0.0000028263))*(EXP(-(0.0000091577-0.0000028263)*AW259*1000)-1)/(0.0000091577*(EXP(-0.0000091577*AW259*1000)+(AJ259/1000)*EXP(-(0.0000091577-0.0000028263)*AW259*1000)-AS259*AU259*EXP(-0.0000091577*AW259*1000))))^2*T259^2+(1/(0.0000091577*(EXP(-0.0000091577*AW259*1000)+(AJ259/1000)*EXP(-(0.0000091577-0.0000028263)*AW259*1000)-AS259*AU259*EXP(-0.0000091577*AW259*1000))))^2*AO259^2)/1000</f>
        <v>#VALUE!</v>
      </c>
      <c r="AZ259" s="150" t="e">
        <f t="shared" ref="AZ259:AZ269" si="1437">AX259/AW259</f>
        <v>#VALUE!</v>
      </c>
      <c r="BA259" s="139" t="str">
        <f>Input!B259</f>
        <v>Hu1-13</v>
      </c>
      <c r="BB259" s="151">
        <f>Input!E259</f>
        <v>0</v>
      </c>
      <c r="BC259" s="139" t="e">
        <f>((U259-1)*EXP(Constants!$B$17*AW259*1000))*1000</f>
        <v>#VALUE!</v>
      </c>
      <c r="BD259" s="145" t="e">
        <f>SQRT((EXP(Constants!$B$17*AW259*1000)*V259)^2+((U259-1)*Constants!$B$17*EXP(Constants!$B$17*AW259*1000)*AY259*1000)^2)*1000</f>
        <v>#VALUE!</v>
      </c>
      <c r="BE259" s="139" t="e">
        <f t="shared" ref="BE259:BE269" si="1438">AW259*1000-58</f>
        <v>#VALUE!</v>
      </c>
      <c r="BF259" s="152" t="e">
        <f t="shared" ref="BF259:BF269" si="1439">AY259/2*1000</f>
        <v>#VALUE!</v>
      </c>
      <c r="BG259" s="161" t="e">
        <f t="shared" ref="BG259:BG269" si="1440">AY259/AW259*100</f>
        <v>#VALUE!</v>
      </c>
      <c r="BH259" s="139"/>
      <c r="BI259" s="18"/>
      <c r="BJ259" s="18"/>
      <c r="BK259" s="18"/>
      <c r="BL259" s="18"/>
      <c r="BM259" s="18"/>
      <c r="BN259" s="160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</row>
    <row r="260" spans="1:110" ht="15" customHeight="1" x14ac:dyDescent="0.2">
      <c r="A260" s="18">
        <f>Input!A260</f>
        <v>11146</v>
      </c>
      <c r="B260" s="18" t="str">
        <f>Input!B260</f>
        <v>E4-15</v>
      </c>
      <c r="C260" s="18">
        <f>Input!O260</f>
        <v>2.0252858097771154</v>
      </c>
      <c r="D260" s="18">
        <f>C260*Input!P260/100</f>
        <v>6.1285240421647272E-3</v>
      </c>
      <c r="E260" s="153">
        <f>Input!M260</f>
        <v>2.6555498928707952</v>
      </c>
      <c r="F260" s="154">
        <f>E260*Input!N260/100</f>
        <v>1.541527034680108E-4</v>
      </c>
      <c r="G260" s="21">
        <f>E260*137.88</f>
        <v>366.14721922902521</v>
      </c>
      <c r="H260" s="154">
        <f>G260*Input!L260/100</f>
        <v>2.1593294632173361E-2</v>
      </c>
      <c r="I260" s="18">
        <v>0.3</v>
      </c>
      <c r="J260" s="130">
        <f>(((C260*Constants!$B$24*0.000000001*Input!G260*(Constants!$B$4/Constants!$B$3))-(I260*0.000000000000001))/Input!F260)*1000000000000</f>
        <v>74.961498347754301</v>
      </c>
      <c r="K260" s="18">
        <f>J260*Input!P260/100</f>
        <v>0.22683383384365957</v>
      </c>
      <c r="L260" s="135">
        <f>(J260/Constants!$B$4)*602200000000*Constants!$B$17/(365.2425*24*60)</f>
        <v>1.0349267155547692</v>
      </c>
      <c r="M260" s="133">
        <f>L260*Input!P260/100</f>
        <v>3.1316929331835813E-3</v>
      </c>
      <c r="N260" s="18">
        <v>5.0000000000000001E-3</v>
      </c>
      <c r="O260" s="130">
        <f>(((G260*Constants!$B$23*0.000000001*Input!G260*(Constants!$B$7/Constants!$B$6))-(N260*0.000000001))/Input!F260)*1000000</f>
        <v>1.3651822135473399</v>
      </c>
      <c r="P260" s="18">
        <f>O260*Input!N260/100</f>
        <v>7.9247815870354995E-5</v>
      </c>
      <c r="Q260" s="131">
        <f>(O260/Constants!$B$7)*602200000000000000*Constants!$B$18/(365.2425*24*60)</f>
        <v>1.018590788616865</v>
      </c>
      <c r="R260" s="132">
        <f>Q260*Input!N260/100</f>
        <v>5.9128440483999807E-5</v>
      </c>
      <c r="S260" s="133">
        <f>Input!S260*Constants!$B$17/Constants!$B$18</f>
        <v>1.0093167401659304</v>
      </c>
      <c r="T260" s="18">
        <f>S260*Input!T260/100</f>
        <v>8.0792399045630735E-4</v>
      </c>
      <c r="U260" s="18">
        <f>S260*1/((U259+U261)/2)</f>
        <v>1.0107404339735802</v>
      </c>
      <c r="V260" s="18">
        <f>U260*Input!T260/100</f>
        <v>8.0906360930586211E-4</v>
      </c>
      <c r="W260" s="134">
        <v>3.0000000000000001E-3</v>
      </c>
      <c r="X260" s="130">
        <f>(((Constants!$B$25*0.000000001*Input!G260/Input!W260*(Constants!$B$11/Constants!$B$9)-(W260*0.000000001))/Input!F260)*1000000000)</f>
        <v>26.409440655498937</v>
      </c>
      <c r="Y260" s="130">
        <f>X260*Input!X260/100</f>
        <v>5.9165862845438434E-2</v>
      </c>
      <c r="Z260" s="130">
        <f>(X260/Constants!$B$11)*6.022E+23*0.000000001*Constants!$B$19/(365.2425*24*60)</f>
        <v>6.4473982477040335E-3</v>
      </c>
      <c r="AA260" s="130">
        <f>Z260*Input!X260/100</f>
        <v>1.4444299877822238E-5</v>
      </c>
      <c r="AB260" s="135">
        <v>0.05</v>
      </c>
      <c r="AC260" s="135">
        <v>0</v>
      </c>
      <c r="AD260" s="130">
        <f>(((Input!G260*Constants!$B$25*0.000000001*Input!U260*(Constants!$B$10/Constants!$B$9))-((AB260*0.000000000000001)+(Input!G260*AC260*0.000000000000001)))/Input!F260)*1000000000000</f>
        <v>1.1533684567086084</v>
      </c>
      <c r="AE260" s="130">
        <f>AD260*Input!V260/100</f>
        <v>5.3796298125414555E-3</v>
      </c>
      <c r="AF260" s="130">
        <f>(AD260/Constants!$B$10)*602200000000*Constants!$B$16/(365.2425*24*60)</f>
        <v>5.2646274192192123E-2</v>
      </c>
      <c r="AG260" s="130">
        <f>AF260*Input!V260/100</f>
        <v>2.455567988843497E-4</v>
      </c>
      <c r="AH260" s="18">
        <f>AF260/Z260</f>
        <v>8.1655067935255676</v>
      </c>
      <c r="AI260" s="134">
        <f>AH260*SQRT((AG260/AF260)^2+(AA260/Z260)^2)</f>
        <v>4.2251710362535826E-2</v>
      </c>
      <c r="AJ260" s="133">
        <f t="shared" si="1424"/>
        <v>10.740433973580155</v>
      </c>
      <c r="AK260" s="134">
        <f>V260*1000</f>
        <v>0.80906360930586207</v>
      </c>
      <c r="AL260" s="134">
        <f>AF260/Q260</f>
        <v>5.1685401812517871E-2</v>
      </c>
      <c r="AM260" s="134">
        <f>AL260*SQRT((R260/Q260)^2+(AG260/AF260)^2)</f>
        <v>2.410936934608491E-4</v>
      </c>
      <c r="AN260" s="18">
        <f>AL260*1/((AN259+AN261)/2)</f>
        <v>5.1561639857795549E-2</v>
      </c>
      <c r="AO260" s="130">
        <f>AN260*SQRT((R260/Q260)^2+(AG260/AF260)^2)</f>
        <v>2.4051638873402945E-4</v>
      </c>
      <c r="AP260" s="18">
        <f>ThU_Alter_Kombi(AN260,U260)</f>
        <v>5.7092000000000001</v>
      </c>
      <c r="AQ260" s="18">
        <f t="shared" si="1430"/>
        <v>2.7799999999999998E-2</v>
      </c>
      <c r="AR260" s="155">
        <f>(AQ260/AP260)</f>
        <v>4.8693337069992291E-3</v>
      </c>
      <c r="AS260" s="132">
        <f t="shared" si="1431"/>
        <v>6.3297236925329899E-3</v>
      </c>
      <c r="AT260" s="132">
        <f t="shared" si="1432"/>
        <v>1.4185429559626844E-5</v>
      </c>
      <c r="AU260" s="18">
        <v>0.75</v>
      </c>
      <c r="AV260" s="18">
        <f>AU260/2</f>
        <v>0.375</v>
      </c>
      <c r="AW260" s="18">
        <f t="shared" si="1434"/>
        <v>5.1959</v>
      </c>
      <c r="AX260" s="136">
        <f t="shared" si="1435"/>
        <v>0.2744969874</v>
      </c>
      <c r="AY260" s="136">
        <f t="shared" si="1436"/>
        <v>0.25910072382413241</v>
      </c>
      <c r="AZ260" s="155">
        <f t="shared" si="1437"/>
        <v>5.2829536249735368E-2</v>
      </c>
      <c r="BA260" s="18" t="str">
        <f>Input!B260</f>
        <v>E4-15</v>
      </c>
      <c r="BB260" s="137">
        <f>Input!E260</f>
        <v>15</v>
      </c>
      <c r="BC260" s="18">
        <f>((U260-1)*EXP(Constants!$B$17*AW260*1000))*1000</f>
        <v>10.899082779687154</v>
      </c>
      <c r="BD260" s="133">
        <f>SQRT((EXP(Constants!$B$17*AW260*1000)*V260)^2+((U260-1)*Constants!$B$17*EXP(Constants!$B$17*AW260*1000)*AY260*1000)^2)*1000</f>
        <v>0.82105310520095054</v>
      </c>
      <c r="BE260" s="18">
        <f t="shared" si="1438"/>
        <v>5137.8999999999996</v>
      </c>
      <c r="BF260" s="138">
        <f t="shared" si="1439"/>
        <v>129.55036191206619</v>
      </c>
      <c r="BG260" s="20">
        <f t="shared" si="1440"/>
        <v>4.9866379996561214</v>
      </c>
      <c r="BH260" s="18"/>
      <c r="BI260" s="18"/>
      <c r="BJ260" s="18"/>
      <c r="BK260" s="18"/>
      <c r="BL260" s="18"/>
      <c r="BM260" s="18"/>
      <c r="BN260" s="160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</row>
    <row r="261" spans="1:110" ht="15" customHeight="1" x14ac:dyDescent="0.2">
      <c r="A261" s="139">
        <f>Input!A261</f>
        <v>10815</v>
      </c>
      <c r="B261" s="139" t="str">
        <f>Input!B261</f>
        <v>Hu1-13</v>
      </c>
      <c r="C261" s="139">
        <f>Input!O261</f>
        <v>2.0776866412113626</v>
      </c>
      <c r="D261" s="139">
        <f>C261*Input!P261/100</f>
        <v>2.4327048887330047E-2</v>
      </c>
      <c r="E261" s="140">
        <f>Input!M261</f>
        <v>2.7319186585856783</v>
      </c>
      <c r="F261" s="141">
        <f>E261*Input!N261/100</f>
        <v>4.3399605191681825E-4</v>
      </c>
      <c r="G261" s="142">
        <f t="shared" ref="G261" si="1441">E261*137.88</f>
        <v>376.6769446457933</v>
      </c>
      <c r="H261" s="141">
        <f>G261*Input!L261/100</f>
        <v>3.3888203356629856E-2</v>
      </c>
      <c r="I261" s="139">
        <v>0</v>
      </c>
      <c r="J261" s="143">
        <f>(((C261*Constants!$B$24*0.000000001*Input!G261*(Constants!$B$4/Constants!$B$3))-(I261*0.000000000000001))/Input!F261)*1000000000000</f>
        <v>750.12287942145247</v>
      </c>
      <c r="K261" s="139">
        <f>J261*Input!P261/100</f>
        <v>8.7829779511654777</v>
      </c>
      <c r="L261" s="144">
        <f>(J261/Constants!$B$4)*602200000000*Constants!$B$17/(365.2425*24*60)</f>
        <v>10.356279222977765</v>
      </c>
      <c r="M261" s="145">
        <f>L261*Input!P261/100</f>
        <v>0.12125876248659528</v>
      </c>
      <c r="N261" s="139">
        <v>0</v>
      </c>
      <c r="O261" s="143">
        <f>(((G261*Constants!$B$23*0.000000001*Input!G261*(Constants!$B$7/Constants!$B$6))-(N261*0.000000001))/Input!F261)*1000000</f>
        <v>13.699442828669262</v>
      </c>
      <c r="P261" s="139">
        <f>O261*Input!N261/100</f>
        <v>2.1763108072114534E-3</v>
      </c>
      <c r="Q261" s="146">
        <f>(O261/Constants!$B$7)*602200000000000000*Constants!$B$18/(365.2425*24*60)</f>
        <v>10.221438673894648</v>
      </c>
      <c r="R261" s="147">
        <f>Q261*Input!N261/100</f>
        <v>1.6237906701353686E-3</v>
      </c>
      <c r="S261" s="145">
        <f>Input!S261*Constants!$B$17/Constants!$B$18</f>
        <v>0.99959068839978493</v>
      </c>
      <c r="T261" s="139">
        <f>S261*Input!T261/100</f>
        <v>1.9317269549233259E-3</v>
      </c>
      <c r="U261" s="145">
        <f>S261</f>
        <v>0.99959068839978493</v>
      </c>
      <c r="V261" s="139">
        <f>U261*Input!T261/100</f>
        <v>1.9317269549233259E-3</v>
      </c>
      <c r="W261" s="148">
        <v>0</v>
      </c>
      <c r="X261" s="143">
        <f>(((Constants!$B$25*0.000000001*Input!G261/Input!W261*(Constants!$B$11/Constants!$B$9))-(W261*0.000000001))/Input!F261)*1000000000</f>
        <v>0.81833783166314533</v>
      </c>
      <c r="Y261" s="143">
        <f>X261*Input!X261/100</f>
        <v>4.019070245259819E-3</v>
      </c>
      <c r="Z261" s="143">
        <f>(X261/Constants!$B$11)*6.022E+23*0.000000001*Constants!$B$19/(365.2425*24*60)</f>
        <v>1.9978272053241267E-4</v>
      </c>
      <c r="AA261" s="143">
        <f>Z261*Input!X261/100</f>
        <v>9.8118497830782719E-7</v>
      </c>
      <c r="AB261" s="144">
        <v>0</v>
      </c>
      <c r="AC261" s="144">
        <v>0</v>
      </c>
      <c r="AD261" s="143">
        <f>(((Input!G261*Constants!$B$25*0.000000001*Input!U261*(Constants!$B$10/Constants!$B$9))-((AB261*0.000000000000001)+(Input!G261*AC261*0.000000000000001)))/Input!F261)*1000000000000</f>
        <v>224.80975267741337</v>
      </c>
      <c r="AE261" s="143">
        <f>AD261*Input!V261/100</f>
        <v>0.77127474549092068</v>
      </c>
      <c r="AF261" s="143">
        <f>(AD261/Constants!$B$10)*602200000000*Constants!$B$16/(365.2425*24*60)</f>
        <v>10.261591438271962</v>
      </c>
      <c r="AG261" s="143">
        <f>AF261*Input!V261/100</f>
        <v>3.5205351327625867E-2</v>
      </c>
      <c r="AH261" s="139">
        <f t="shared" ref="AH261" si="1442">AF261/Z261</f>
        <v>51363.758642014916</v>
      </c>
      <c r="AI261" s="148">
        <f t="shared" ref="AI261" si="1443">AH261*SQRT((AG261/AF261)^2+(AA261/Z261)^2)</f>
        <v>307.71474425988134</v>
      </c>
      <c r="AJ261" s="145">
        <f t="shared" si="1424"/>
        <v>-0.40931160021506763</v>
      </c>
      <c r="AK261" s="148">
        <f t="shared" ref="AK261" si="1444">V261*1000</f>
        <v>1.9317269549233258</v>
      </c>
      <c r="AL261" s="148">
        <f t="shared" ref="AL261" si="1445">AF261/Q261</f>
        <v>1.0039282889286283</v>
      </c>
      <c r="AM261" s="148">
        <f t="shared" ref="AM261" si="1446">AL261*SQRT((R261/Q261)^2+(AG261/AF261)^2)</f>
        <v>3.4479562423731869E-3</v>
      </c>
      <c r="AN261" s="139">
        <f>AF261/Q261</f>
        <v>1.0039282889286283</v>
      </c>
      <c r="AO261" s="143">
        <f t="shared" ref="AO261" si="1447">AN261*SQRT((R261/Q261)^2+(AG261/AF261)^2)</f>
        <v>3.4479562423731869E-3</v>
      </c>
      <c r="AP261" s="139" t="str">
        <f t="shared" ref="AP261" si="1448">ThU_Alter_Kombi(AN261,U261)</f>
        <v>Out of range</v>
      </c>
      <c r="AQ261" s="139" t="e">
        <f t="shared" si="1430"/>
        <v>#VALUE!</v>
      </c>
      <c r="AR261" s="139" t="e">
        <f>(AQ261/AP261)*100</f>
        <v>#VALUE!</v>
      </c>
      <c r="AS261" s="147">
        <f t="shared" si="1431"/>
        <v>1.9545459979391531E-5</v>
      </c>
      <c r="AT261" s="147">
        <f t="shared" si="1432"/>
        <v>9.6043049819832404E-8</v>
      </c>
      <c r="AU261" s="139">
        <v>0.75</v>
      </c>
      <c r="AV261" s="139">
        <f t="shared" ref="AV261" si="1449">AU261/2</f>
        <v>0.375</v>
      </c>
      <c r="AW261" s="139" t="str">
        <f t="shared" si="1434"/>
        <v>Out of range</v>
      </c>
      <c r="AX261" s="149">
        <f t="shared" si="1435"/>
        <v>226.90653687610001</v>
      </c>
      <c r="AY261" s="149" t="e">
        <f t="shared" si="1436"/>
        <v>#VALUE!</v>
      </c>
      <c r="AZ261" s="150" t="e">
        <f t="shared" si="1437"/>
        <v>#VALUE!</v>
      </c>
      <c r="BA261" s="139" t="str">
        <f>Input!B261</f>
        <v>Hu1-13</v>
      </c>
      <c r="BB261" s="151">
        <f>Input!E261</f>
        <v>0</v>
      </c>
      <c r="BC261" s="139" t="e">
        <f>((U261-1)*EXP(Constants!$B$17*AW261*1000))*1000</f>
        <v>#VALUE!</v>
      </c>
      <c r="BD261" s="145" t="e">
        <f>SQRT((EXP(Constants!$B$17*AW261*1000)*V261)^2+((U261-1)*Constants!$B$17*EXP(Constants!$B$17*AW261*1000)*AY261*1000)^2)*1000</f>
        <v>#VALUE!</v>
      </c>
      <c r="BE261" s="139" t="e">
        <f t="shared" si="1438"/>
        <v>#VALUE!</v>
      </c>
      <c r="BF261" s="152" t="e">
        <f t="shared" si="1439"/>
        <v>#VALUE!</v>
      </c>
      <c r="BG261" s="161" t="e">
        <f t="shared" si="1440"/>
        <v>#VALUE!</v>
      </c>
      <c r="BH261" s="139"/>
      <c r="BI261" s="18"/>
      <c r="BJ261" s="18"/>
      <c r="BK261" s="18"/>
      <c r="BL261" s="18"/>
      <c r="BM261" s="18"/>
      <c r="BN261" s="160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</row>
    <row r="262" spans="1:110" ht="15" customHeight="1" x14ac:dyDescent="0.2">
      <c r="A262" s="18">
        <f>Input!A262</f>
        <v>11147</v>
      </c>
      <c r="B262" s="18" t="str">
        <f>Input!B262</f>
        <v>E4-16</v>
      </c>
      <c r="C262" s="18">
        <f>Input!O262</f>
        <v>2.0880623229346011</v>
      </c>
      <c r="D262" s="18">
        <f>C262*Input!P262/100</f>
        <v>5.7836706055383966E-3</v>
      </c>
      <c r="E262" s="153">
        <f>Input!M262</f>
        <v>2.7377120710599812</v>
      </c>
      <c r="F262" s="154">
        <f>E262*Input!N262/100</f>
        <v>1.5313594353246249E-4</v>
      </c>
      <c r="G262" s="21">
        <f>E262*137.88</f>
        <v>377.47574035775017</v>
      </c>
      <c r="H262" s="154">
        <f>G262*Input!L262/100</f>
        <v>2.6962253493653415E-2</v>
      </c>
      <c r="I262" s="18">
        <v>0.3</v>
      </c>
      <c r="J262" s="130">
        <f>(((C262*Constants!$B$24*0.000000001*Input!G262*(Constants!$B$4/Constants!$B$3))-(I262*0.000000000000001))/Input!F262)*1000000000000</f>
        <v>80.938441041264866</v>
      </c>
      <c r="K262" s="18">
        <f>J262*Input!P262/100</f>
        <v>0.22418932479494191</v>
      </c>
      <c r="L262" s="135">
        <f>(J262/Constants!$B$4)*602200000000*Constants!$B$17/(365.2425*24*60)</f>
        <v>1.117445045726851</v>
      </c>
      <c r="M262" s="133">
        <f>L262*Input!P262/100</f>
        <v>3.095182549528393E-3</v>
      </c>
      <c r="N262" s="18">
        <v>5.0000000000000001E-3</v>
      </c>
      <c r="O262" s="130">
        <f>(((G262*Constants!$B$23*0.000000001*Input!G262*(Constants!$B$7/Constants!$B$6))-(N262*0.000000001))/Input!F262)*1000000</f>
        <v>1.4739517847387884</v>
      </c>
      <c r="P262" s="18">
        <f>O262*Input!N262/100</f>
        <v>8.244657999770575E-5</v>
      </c>
      <c r="Q262" s="131">
        <f>(O262/Constants!$B$7)*602200000000000000*Constants!$B$18/(365.2425*24*60)</f>
        <v>1.0997460235723007</v>
      </c>
      <c r="R262" s="132">
        <f>Q262*Input!N262/100</f>
        <v>6.1515104800854081E-5</v>
      </c>
      <c r="S262" s="133">
        <f>Input!S262*Constants!$B$17/Constants!$B$18</f>
        <v>1.0075962615433733</v>
      </c>
      <c r="T262" s="18">
        <f>S262*Input!T262/100</f>
        <v>6.7915680829149156E-4</v>
      </c>
      <c r="U262" s="18">
        <f>S262*1/((U261+U263)/2)</f>
        <v>1.0070173163690053</v>
      </c>
      <c r="V262" s="18">
        <f>U262*Input!T262/100</f>
        <v>6.7876657802585182E-4</v>
      </c>
      <c r="W262" s="134">
        <v>3.0000000000000001E-3</v>
      </c>
      <c r="X262" s="130">
        <f>(((Constants!$B$25*0.000000001*Input!G262/Input!W262*(Constants!$B$11/Constants!$B$9)-(W262*0.000000001))/Input!F262)*1000000000)</f>
        <v>2.7804124004837352</v>
      </c>
      <c r="Y262" s="130">
        <f>X262*Input!X262/100</f>
        <v>5.7593758944317827E-3</v>
      </c>
      <c r="Z262" s="130">
        <f>(X262/Constants!$B$11)*6.022E+23*0.000000001*Constants!$B$19/(365.2425*24*60)</f>
        <v>6.7878855416200518E-4</v>
      </c>
      <c r="AA262" s="130">
        <f>Z262*Input!X262/100</f>
        <v>1.4060498491434938E-6</v>
      </c>
      <c r="AB262" s="135">
        <v>0.05</v>
      </c>
      <c r="AC262" s="135">
        <v>0</v>
      </c>
      <c r="AD262" s="130">
        <f>(((Input!G262*Constants!$B$25*0.000000001*Input!U262*(Constants!$B$10/Constants!$B$9))-((AB262*0.000000000000001)+(Input!G262*AC262*0.000000000000001)))/Input!F262)*1000000000000</f>
        <v>0.31254237412065855</v>
      </c>
      <c r="AE262" s="130">
        <f>AD262*Input!V262/100</f>
        <v>2.3488783315997897E-3</v>
      </c>
      <c r="AF262" s="130">
        <f>(AD262/Constants!$B$10)*602200000000*Constants!$B$16/(365.2425*24*60)</f>
        <v>1.4266205590181087E-2</v>
      </c>
      <c r="AG262" s="130">
        <f>AF262*Input!V262/100</f>
        <v>1.0721612158736469E-4</v>
      </c>
      <c r="AH262" s="18">
        <f>AF262/Z262</f>
        <v>21.017156966934063</v>
      </c>
      <c r="AI262" s="134">
        <f>AH262*SQRT((AG262/AF262)^2+(AA262/Z262)^2)</f>
        <v>0.1638419872754244</v>
      </c>
      <c r="AJ262" s="133">
        <f t="shared" si="1424"/>
        <v>7.0173163690052665</v>
      </c>
      <c r="AK262" s="134">
        <f>V262*1000</f>
        <v>0.67876657802585183</v>
      </c>
      <c r="AL262" s="134">
        <f>AF262/Q262</f>
        <v>1.2972272947021192E-2</v>
      </c>
      <c r="AM262" s="134">
        <f>AL262*SQRT((R262/Q262)^2+(AG262/AF262)^2)</f>
        <v>9.749441134623397E-5</v>
      </c>
      <c r="AN262" s="18">
        <f>AL262*1/((AN261+AN263)/2)</f>
        <v>1.2934081779256187E-2</v>
      </c>
      <c r="AO262" s="130">
        <f>AN262*SQRT((R262/Q262)^2+(AG262/AF262)^2)</f>
        <v>9.7207381815242678E-5</v>
      </c>
      <c r="AP262" s="18">
        <f>ThU_Alter_Kombi(AN262,U262)</f>
        <v>1.4096</v>
      </c>
      <c r="AQ262" s="18">
        <f t="shared" si="1430"/>
        <v>1.09E-2</v>
      </c>
      <c r="AR262" s="155">
        <f>(AQ262/AP262)</f>
        <v>7.7326901248581156E-3</v>
      </c>
      <c r="AS262" s="132">
        <f t="shared" si="1431"/>
        <v>6.1722301296175544E-4</v>
      </c>
      <c r="AT262" s="132">
        <f t="shared" si="1432"/>
        <v>1.2789883945457412E-6</v>
      </c>
      <c r="AU262" s="18">
        <v>0.75</v>
      </c>
      <c r="AV262" s="18">
        <f>AU262/2</f>
        <v>0.375</v>
      </c>
      <c r="AW262" s="18">
        <f t="shared" si="1434"/>
        <v>1.3594999999999999</v>
      </c>
      <c r="AX262" s="136">
        <f t="shared" si="1435"/>
        <v>2.9601428199999998E-2</v>
      </c>
      <c r="AY262" s="136">
        <f t="shared" si="1436"/>
        <v>2.7301331373021001E-2</v>
      </c>
      <c r="AZ262" s="155">
        <f t="shared" si="1437"/>
        <v>2.1773761088635529E-2</v>
      </c>
      <c r="BA262" s="18" t="str">
        <f>Input!B262</f>
        <v>E4-16</v>
      </c>
      <c r="BB262" s="137">
        <f>Input!E262</f>
        <v>16</v>
      </c>
      <c r="BC262" s="18">
        <f>((U262-1)*EXP(Constants!$B$17*AW262*1000))*1000</f>
        <v>7.0442906503628864</v>
      </c>
      <c r="BD262" s="133">
        <f>SQRT((EXP(Constants!$B$17*AW262*1000)*V262)^2+((U262-1)*Constants!$B$17*EXP(Constants!$B$17*AW262*1000)*AY262*1000)^2)*1000</f>
        <v>0.68137594555203118</v>
      </c>
      <c r="BE262" s="18">
        <f t="shared" si="1438"/>
        <v>1301.5</v>
      </c>
      <c r="BF262" s="138">
        <f t="shared" si="1439"/>
        <v>13.6506656865105</v>
      </c>
      <c r="BG262" s="20">
        <f t="shared" si="1440"/>
        <v>2.0081891410828248</v>
      </c>
      <c r="BH262" s="18"/>
      <c r="BI262" s="18"/>
      <c r="BJ262" s="18"/>
      <c r="BK262" s="18"/>
      <c r="BL262" s="18"/>
      <c r="BM262" s="18"/>
      <c r="BN262" s="160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</row>
    <row r="263" spans="1:110" ht="15" customHeight="1" x14ac:dyDescent="0.2">
      <c r="A263" s="139">
        <f>Input!A263</f>
        <v>10815</v>
      </c>
      <c r="B263" s="139" t="str">
        <f>Input!B263</f>
        <v>Hu1-13</v>
      </c>
      <c r="C263" s="139">
        <f>Input!O263</f>
        <v>2.1008772378434477</v>
      </c>
      <c r="D263" s="139">
        <f>C263*Input!P263/100</f>
        <v>2.2571036341249146E-2</v>
      </c>
      <c r="E263" s="140">
        <f>Input!M263</f>
        <v>2.7319797365320566</v>
      </c>
      <c r="F263" s="141">
        <f>E263*Input!N263/100</f>
        <v>4.1050410440097876E-4</v>
      </c>
      <c r="G263" s="142">
        <f t="shared" ref="G263" si="1450">E263*137.88</f>
        <v>376.68536607303997</v>
      </c>
      <c r="H263" s="141">
        <f>G263*Input!L263/100</f>
        <v>2.8561479118815632E-2</v>
      </c>
      <c r="I263" s="139">
        <v>0</v>
      </c>
      <c r="J263" s="143">
        <f>(((C263*Constants!$B$24*0.000000001*Input!G263*(Constants!$B$4/Constants!$B$3))-(I263*0.000000000000001))/Input!F263)*1000000000000</f>
        <v>758.49555544300063</v>
      </c>
      <c r="K263" s="139">
        <f>J263*Input!P263/100</f>
        <v>8.1489914965967518</v>
      </c>
      <c r="L263" s="144">
        <f>(J263/Constants!$B$4)*602200000000*Constants!$B$17/(365.2425*24*60)</f>
        <v>10.471873311761671</v>
      </c>
      <c r="M263" s="145">
        <f>L263*Input!P263/100</f>
        <v>0.11250587555670533</v>
      </c>
      <c r="N263" s="139">
        <v>0</v>
      </c>
      <c r="O263" s="143">
        <f>(((G263*Constants!$B$23*0.000000001*Input!G263*(Constants!$B$7/Constants!$B$6))-(N263*0.000000001))/Input!F263)*1000000</f>
        <v>13.699749109323657</v>
      </c>
      <c r="P263" s="139">
        <f>O263*Input!N263/100</f>
        <v>2.0585084008638383E-3</v>
      </c>
      <c r="Q263" s="146">
        <f>(O263/Constants!$B$7)*602200000000000000*Constants!$B$18/(365.2425*24*60)</f>
        <v>10.221667196248807</v>
      </c>
      <c r="R263" s="147">
        <f>Q263*Input!N263/100</f>
        <v>1.5358958493621115E-3</v>
      </c>
      <c r="S263" s="145">
        <f>Input!S263*Constants!$B$17/Constants!$B$18</f>
        <v>1.0015591332864116</v>
      </c>
      <c r="T263" s="139">
        <f>S263*Input!T263/100</f>
        <v>2.7636190788258384E-3</v>
      </c>
      <c r="U263" s="145">
        <f>S263</f>
        <v>1.0015591332864116</v>
      </c>
      <c r="V263" s="139">
        <f>U263*Input!T263/100</f>
        <v>2.7636190788258384E-3</v>
      </c>
      <c r="W263" s="148">
        <v>0</v>
      </c>
      <c r="X263" s="143">
        <f>(((Constants!$B$25*0.000000001*Input!G263/Input!W263*(Constants!$B$11/Constants!$B$9))-(W263*0.000000001))/Input!F263)*1000000000</f>
        <v>0.83064018653259131</v>
      </c>
      <c r="Y263" s="143">
        <f>X263*Input!X263/100</f>
        <v>5.9833426490727912E-3</v>
      </c>
      <c r="Z263" s="143">
        <f>(X263/Constants!$B$11)*6.022E+23*0.000000001*Constants!$B$19/(365.2425*24*60)</f>
        <v>2.0278612307556286E-4</v>
      </c>
      <c r="AA263" s="143">
        <f>Z263*Input!X263/100</f>
        <v>1.460727374512276E-6</v>
      </c>
      <c r="AB263" s="144">
        <v>0</v>
      </c>
      <c r="AC263" s="144">
        <v>0</v>
      </c>
      <c r="AD263" s="143">
        <f>(((Input!G263*Constants!$B$25*0.000000001*Input!U263*(Constants!$B$10/Constants!$B$9))-((AB263*0.000000000000001)+(Input!G263*AC263*0.000000000000001)))/Input!F263)*1000000000000</f>
        <v>224.37786597722123</v>
      </c>
      <c r="AE263" s="143">
        <f>AD263*Input!V263/100</f>
        <v>0.89764015056377244</v>
      </c>
      <c r="AF263" s="143">
        <f>(AD263/Constants!$B$10)*602200000000*Constants!$B$16/(365.2425*24*60)</f>
        <v>10.241877681140817</v>
      </c>
      <c r="AG263" s="143">
        <f>AF263*Input!V263/100</f>
        <v>4.0973384712948056E-2</v>
      </c>
      <c r="AH263" s="139">
        <f t="shared" ref="AH263" si="1451">AF263/Z263</f>
        <v>50505.811373120705</v>
      </c>
      <c r="AI263" s="148">
        <f t="shared" ref="AI263" si="1452">AH263*SQRT((AG263/AF263)^2+(AA263/Z263)^2)</f>
        <v>416.15067425930749</v>
      </c>
      <c r="AJ263" s="145">
        <f t="shared" si="1424"/>
        <v>1.5591332864115515</v>
      </c>
      <c r="AK263" s="148">
        <f t="shared" ref="AK263" si="1453">V263*1000</f>
        <v>2.7636190788258386</v>
      </c>
      <c r="AL263" s="148">
        <f t="shared" ref="AL263" si="1454">AF263/Q263</f>
        <v>1.0019772200076547</v>
      </c>
      <c r="AM263" s="148">
        <f t="shared" ref="AM263" si="1455">AL263*SQRT((R263/Q263)^2+(AG263/AF263)^2)</f>
        <v>4.0113099336771341E-3</v>
      </c>
      <c r="AN263" s="139">
        <f>AF263/Q263</f>
        <v>1.0019772200076547</v>
      </c>
      <c r="AO263" s="143">
        <f t="shared" ref="AO263" si="1456">AN263*SQRT((R263/Q263)^2+(AG263/AF263)^2)</f>
        <v>4.0113099336771341E-3</v>
      </c>
      <c r="AP263" s="139">
        <f t="shared" ref="AP263" si="1457">ThU_Alter_Kombi(AN263,U263)</f>
        <v>897.07370000000003</v>
      </c>
      <c r="AQ263" s="139" t="e">
        <f t="shared" si="1430"/>
        <v>#VALUE!</v>
      </c>
      <c r="AR263" s="139" t="e">
        <f>(AQ263/AP263)*100</f>
        <v>#VALUE!</v>
      </c>
      <c r="AS263" s="147">
        <f t="shared" si="1431"/>
        <v>1.9838850080149568E-5</v>
      </c>
      <c r="AT263" s="147">
        <f t="shared" si="1432"/>
        <v>1.4293609001693347E-7</v>
      </c>
      <c r="AU263" s="139">
        <v>0.75</v>
      </c>
      <c r="AV263" s="139">
        <f t="shared" ref="AV263" si="1458">AU263/2</f>
        <v>0.375</v>
      </c>
      <c r="AW263" s="139">
        <f t="shared" si="1434"/>
        <v>897.07209999999998</v>
      </c>
      <c r="AX263" s="149">
        <f t="shared" si="1435"/>
        <v>311.85970316610002</v>
      </c>
      <c r="AY263" s="149">
        <f t="shared" si="1436"/>
        <v>2237.89520554193</v>
      </c>
      <c r="AZ263" s="150">
        <f t="shared" si="1437"/>
        <v>0.34764173712023821</v>
      </c>
      <c r="BA263" s="139" t="str">
        <f>Input!B263</f>
        <v>Hu1-13</v>
      </c>
      <c r="BB263" s="151">
        <f>Input!E263</f>
        <v>0</v>
      </c>
      <c r="BC263" s="139">
        <f>((U263-1)*EXP(Constants!$B$17*AW263*1000))*1000</f>
        <v>19.603759748799096</v>
      </c>
      <c r="BD263" s="145">
        <f>SQRT((EXP(Constants!$B$17*AW263*1000)*V263)^2+((U263-1)*Constants!$B$17*EXP(Constants!$B$17*AW263*1000)*AY263*1000)^2)*1000</f>
        <v>128.59095249960302</v>
      </c>
      <c r="BE263" s="139">
        <f t="shared" si="1438"/>
        <v>897014.1</v>
      </c>
      <c r="BF263" s="152">
        <f t="shared" si="1439"/>
        <v>1118947.6027709651</v>
      </c>
      <c r="BG263" s="161">
        <f t="shared" si="1440"/>
        <v>249.46659310237496</v>
      </c>
      <c r="BH263" s="139"/>
      <c r="BI263" s="18"/>
      <c r="BJ263" s="18"/>
      <c r="BK263" s="18"/>
      <c r="BL263" s="18"/>
      <c r="BM263" s="18"/>
      <c r="BN263" s="160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</row>
    <row r="264" spans="1:110" ht="15" customHeight="1" x14ac:dyDescent="0.2">
      <c r="A264" s="18">
        <f>Input!A264</f>
        <v>11148</v>
      </c>
      <c r="B264" s="18" t="str">
        <f>Input!B264</f>
        <v>E4-42</v>
      </c>
      <c r="C264" s="18">
        <f>Input!O264</f>
        <v>0.80480916316783679</v>
      </c>
      <c r="D264" s="18">
        <f>C264*Input!P264/100</f>
        <v>2.3012744495621816E-3</v>
      </c>
      <c r="E264" s="153">
        <f>Input!M264</f>
        <v>1.0589221345880671</v>
      </c>
      <c r="F264" s="154">
        <f>E264*Input!N264/100</f>
        <v>5.5535325546324919E-5</v>
      </c>
      <c r="G264" s="21">
        <f>E264*137.88</f>
        <v>146.00418391700268</v>
      </c>
      <c r="H264" s="154">
        <f>G264*Input!L264/100</f>
        <v>7.9675820283922998E-3</v>
      </c>
      <c r="I264" s="18">
        <v>0.3</v>
      </c>
      <c r="J264" s="130">
        <f>(((C264*Constants!$B$24*0.000000001*Input!G264*(Constants!$B$4/Constants!$B$3))-(I264*0.000000000000001))/Input!F264)*1000000000000</f>
        <v>34.125071788823099</v>
      </c>
      <c r="K264" s="18">
        <f>J264*Input!P264/100</f>
        <v>9.7577362921645483E-2</v>
      </c>
      <c r="L264" s="135">
        <f>(J264/Constants!$B$4)*602200000000*Constants!$B$17/(365.2425*24*60)</f>
        <v>0.47113450561831549</v>
      </c>
      <c r="M264" s="133">
        <f>L264*Input!P264/100</f>
        <v>1.3471638367273855E-3</v>
      </c>
      <c r="N264" s="18">
        <v>5.0000000000000001E-3</v>
      </c>
      <c r="O264" s="130">
        <f>(((G264*Constants!$B$23*0.000000001*Input!G264*(Constants!$B$7/Constants!$B$6))-(N264*0.000000001))/Input!F264)*1000000</f>
        <v>0.62363587036954438</v>
      </c>
      <c r="P264" s="18">
        <f>O264*Input!N264/100</f>
        <v>3.2706674033980121E-5</v>
      </c>
      <c r="Q264" s="131">
        <f>(O264/Constants!$B$7)*602200000000000000*Constants!$B$18/(365.2425*24*60)</f>
        <v>0.46530766860701678</v>
      </c>
      <c r="R264" s="132">
        <f>Q264*Input!N264/100</f>
        <v>2.4403128437148592E-5</v>
      </c>
      <c r="S264" s="133">
        <f>Input!S264*Constants!$B$17/Constants!$B$18</f>
        <v>1.0091300227533633</v>
      </c>
      <c r="T264" s="18">
        <f>S264*Input!T264/100</f>
        <v>1.269657213695445E-3</v>
      </c>
      <c r="U264" s="18">
        <f>S264*1/((U263+U265)/2)</f>
        <v>1.0074788590962289</v>
      </c>
      <c r="V264" s="18">
        <f>U264*Input!T264/100</f>
        <v>1.2675797689648321E-3</v>
      </c>
      <c r="W264" s="134">
        <v>3.0000000000000001E-3</v>
      </c>
      <c r="X264" s="130">
        <f>(((Constants!$B$25*0.000000001*Input!G264/Input!W264*(Constants!$B$11/Constants!$B$9)-(W264*0.000000001))/Input!F264)*1000000000)</f>
        <v>1.368865110022546</v>
      </c>
      <c r="Y264" s="130">
        <f>X264*Input!X264/100</f>
        <v>2.5535313184145369E-3</v>
      </c>
      <c r="Z264" s="130">
        <f>(X264/Constants!$B$11)*6.022E+23*0.000000001*Constants!$B$19/(365.2425*24*60)</f>
        <v>3.3418422702810607E-4</v>
      </c>
      <c r="AA264" s="130">
        <f>Z264*Input!X264/100</f>
        <v>6.2339954725149465E-7</v>
      </c>
      <c r="AB264" s="135">
        <v>0.05</v>
      </c>
      <c r="AC264" s="135">
        <v>0</v>
      </c>
      <c r="AD264" s="130">
        <f>(((Input!G264*Constants!$B$25*0.000000001*Input!U264*(Constants!$B$10/Constants!$B$9))-((AB264*0.000000000000001)+(Input!G264*AC264*0.000000000000001)))/Input!F264)*1000000000000</f>
        <v>0.21120484990234675</v>
      </c>
      <c r="AE264" s="130">
        <f>AD264*Input!V264/100</f>
        <v>1.7931890324419939E-3</v>
      </c>
      <c r="AF264" s="130">
        <f>(AD264/Constants!$B$10)*602200000000*Constants!$B$16/(365.2425*24*60)</f>
        <v>9.6405865567111768E-3</v>
      </c>
      <c r="AG264" s="130">
        <f>AF264*Input!V264/100</f>
        <v>8.1851312068805489E-5</v>
      </c>
      <c r="AH264" s="18">
        <f>AF264/Z264</f>
        <v>28.848119620859215</v>
      </c>
      <c r="AI264" s="134">
        <f>AH264*SQRT((AG264/AF264)^2+(AA264/Z264)^2)</f>
        <v>0.25077092568743414</v>
      </c>
      <c r="AJ264" s="133">
        <f t="shared" si="1424"/>
        <v>7.4788590962289181</v>
      </c>
      <c r="AK264" s="134">
        <f>V264*1000</f>
        <v>1.267579768964832</v>
      </c>
      <c r="AL264" s="134">
        <f>AF264/Q264</f>
        <v>2.0718735596110049E-2</v>
      </c>
      <c r="AM264" s="134">
        <f>AL264*SQRT((R264/Q264)^2+(AG264/AF264)^2)</f>
        <v>1.7591129299550088E-4</v>
      </c>
      <c r="AN264" s="18">
        <f>AL264*1/((AN263+AN265)/2)</f>
        <v>2.0693584471365677E-2</v>
      </c>
      <c r="AO264" s="130">
        <f>AN264*SQRT((R264/Q264)^2+(AG264/AF264)^2)</f>
        <v>1.756977487445233E-4</v>
      </c>
      <c r="AP264" s="18">
        <f>ThU_Alter_Kombi(AN264,U264)</f>
        <v>2.2631000000000001</v>
      </c>
      <c r="AQ264" s="18">
        <f t="shared" si="1430"/>
        <v>2.0199999999999999E-2</v>
      </c>
      <c r="AR264" s="155">
        <f>(AQ264/AP264)</f>
        <v>8.9258097300163493E-3</v>
      </c>
      <c r="AS264" s="132">
        <f t="shared" si="1431"/>
        <v>7.1820055755484843E-4</v>
      </c>
      <c r="AT264" s="132">
        <f t="shared" si="1432"/>
        <v>1.340287103854537E-6</v>
      </c>
      <c r="AU264" s="18">
        <v>0.75</v>
      </c>
      <c r="AV264" s="18">
        <f>AU264/2</f>
        <v>0.375</v>
      </c>
      <c r="AW264" s="18">
        <f t="shared" si="1434"/>
        <v>2.2046999999999999</v>
      </c>
      <c r="AX264" s="136">
        <f t="shared" si="1435"/>
        <v>3.8955546799999997E-2</v>
      </c>
      <c r="AY264" s="136">
        <f t="shared" si="1436"/>
        <v>3.5197700040737682E-2</v>
      </c>
      <c r="AZ264" s="155">
        <f t="shared" si="1437"/>
        <v>1.7669318637456344E-2</v>
      </c>
      <c r="BA264" s="18" t="str">
        <f>Input!B264</f>
        <v>E4-42</v>
      </c>
      <c r="BB264" s="137">
        <f>Input!E264</f>
        <v>42</v>
      </c>
      <c r="BC264" s="18">
        <f>((U264-1)*EXP(Constants!$B$17*AW264*1000))*1000</f>
        <v>7.5255360862325702</v>
      </c>
      <c r="BD264" s="133">
        <f>SQRT((EXP(Constants!$B$17*AW264*1000)*V264)^2+((U264-1)*Constants!$B$17*EXP(Constants!$B$17*AW264*1000)*AY264*1000)^2)*1000</f>
        <v>1.2754911957790005</v>
      </c>
      <c r="BE264" s="18">
        <f t="shared" si="1438"/>
        <v>2146.6999999999998</v>
      </c>
      <c r="BF264" s="138">
        <f t="shared" si="1439"/>
        <v>17.59885002036884</v>
      </c>
      <c r="BG264" s="20">
        <f t="shared" si="1440"/>
        <v>1.5964847843578576</v>
      </c>
      <c r="BH264" s="18"/>
      <c r="BI264" s="18"/>
      <c r="BJ264" s="18"/>
      <c r="BK264" s="18"/>
      <c r="BL264" s="18"/>
      <c r="BM264" s="18"/>
      <c r="BN264" s="160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</row>
    <row r="265" spans="1:110" ht="15" customHeight="1" x14ac:dyDescent="0.2">
      <c r="A265" s="139">
        <f>Input!A265</f>
        <v>10815</v>
      </c>
      <c r="B265" s="139" t="str">
        <f>Input!B265</f>
        <v>Hu1-13</v>
      </c>
      <c r="C265" s="139">
        <f>Input!O265</f>
        <v>2.0776377845899501</v>
      </c>
      <c r="D265" s="139">
        <f>C265*Input!P265/100</f>
        <v>1.7998740191696786E-2</v>
      </c>
      <c r="E265" s="140">
        <f>Input!M265</f>
        <v>2.7324920164252062</v>
      </c>
      <c r="F265" s="141">
        <f>E265*Input!N265/100</f>
        <v>3.1637824479249744E-4</v>
      </c>
      <c r="G265" s="142">
        <f t="shared" ref="G265" si="1459">E265*137.88</f>
        <v>376.75599922470741</v>
      </c>
      <c r="H265" s="141">
        <f>G265*Input!L265/100</f>
        <v>3.1152786350931723E-2</v>
      </c>
      <c r="I265" s="139">
        <v>0</v>
      </c>
      <c r="J265" s="143">
        <f>(((C265*Constants!$B$24*0.000000001*Input!G265*(Constants!$B$4/Constants!$B$3))-(I265*0.000000000000001))/Input!F265)*1000000000000</f>
        <v>750.10524034691377</v>
      </c>
      <c r="K265" s="139">
        <f>J265*Input!P265/100</f>
        <v>6.4982209303143614</v>
      </c>
      <c r="L265" s="144">
        <f>(J265/Constants!$B$4)*602200000000*Constants!$B$17/(365.2425*24*60)</f>
        <v>10.356035695968833</v>
      </c>
      <c r="M265" s="145">
        <f>L265*Input!P265/100</f>
        <v>8.9715155014120279E-2</v>
      </c>
      <c r="N265" s="139">
        <v>0</v>
      </c>
      <c r="O265" s="143">
        <f>(((G265*Constants!$B$23*0.000000001*Input!G265*(Constants!$B$7/Constants!$B$6))-(N265*0.000000001))/Input!F265)*1000000</f>
        <v>13.702317981235863</v>
      </c>
      <c r="P265" s="139">
        <f>O265*Input!N265/100</f>
        <v>1.5865061220429518E-3</v>
      </c>
      <c r="Q265" s="146">
        <f>(O265/Constants!$B$7)*602200000000000000*Constants!$B$18/(365.2425*24*60)</f>
        <v>10.223583884908347</v>
      </c>
      <c r="R265" s="147">
        <f>Q265*Input!N265/100</f>
        <v>1.1837251510903731E-3</v>
      </c>
      <c r="S265" s="145">
        <f>Input!S265*Constants!$B$17/Constants!$B$18</f>
        <v>1.0017186797261919</v>
      </c>
      <c r="T265" s="139">
        <f>S265*Input!T265/100</f>
        <v>2.3970595218323109E-3</v>
      </c>
      <c r="U265" s="145">
        <f>S265</f>
        <v>1.0017186797261919</v>
      </c>
      <c r="V265" s="139">
        <f>U265*Input!T265/100</f>
        <v>2.3970595218323109E-3</v>
      </c>
      <c r="W265" s="148">
        <v>0</v>
      </c>
      <c r="X265" s="143">
        <f>(((Constants!$B$25*0.000000001*Input!G265/Input!W265*(Constants!$B$11/Constants!$B$9))-(W265*0.000000001))/Input!F265)*1000000000</f>
        <v>0.82487134914173821</v>
      </c>
      <c r="Y265" s="143">
        <f>X265*Input!X265/100</f>
        <v>5.0463595819042724E-3</v>
      </c>
      <c r="Z265" s="143">
        <f>(X265/Constants!$B$11)*6.022E+23*0.000000001*Constants!$B$19/(365.2425*24*60)</f>
        <v>2.0137776336926475E-4</v>
      </c>
      <c r="AA265" s="143">
        <f>Z265*Input!X265/100</f>
        <v>1.2319795163431261E-6</v>
      </c>
      <c r="AB265" s="144">
        <v>0</v>
      </c>
      <c r="AC265" s="144">
        <v>0</v>
      </c>
      <c r="AD265" s="143">
        <f>(((Input!G265*Constants!$B$25*0.000000001*Input!U265*(Constants!$B$10/Constants!$B$9))-((AB265*0.000000000000001)+(Input!G265*AC265*0.000000000000001)))/Input!F265)*1000000000000</f>
        <v>224.07868221878786</v>
      </c>
      <c r="AE265" s="143">
        <f>AD265*Input!V265/100</f>
        <v>0.65371270728857345</v>
      </c>
      <c r="AF265" s="143">
        <f>(AD265/Constants!$B$10)*602200000000*Constants!$B$16/(365.2425*24*60)</f>
        <v>10.228221238493441</v>
      </c>
      <c r="AG265" s="143">
        <f>AF265*Input!V265/100</f>
        <v>2.9839153507845016E-2</v>
      </c>
      <c r="AH265" s="139">
        <f t="shared" ref="AH265" si="1460">AF265/Z265</f>
        <v>50791.214816196145</v>
      </c>
      <c r="AI265" s="148">
        <f t="shared" ref="AI265" si="1461">AH265*SQRT((AG265/AF265)^2+(AA265/Z265)^2)</f>
        <v>344.2496299986733</v>
      </c>
      <c r="AJ265" s="145">
        <f t="shared" si="1424"/>
        <v>1.7186797261918851</v>
      </c>
      <c r="AK265" s="148">
        <f t="shared" ref="AK265" si="1462">V265*1000</f>
        <v>2.3970595218323107</v>
      </c>
      <c r="AL265" s="148">
        <f t="shared" ref="AL265" si="1463">AF265/Q265</f>
        <v>1.0004535937335968</v>
      </c>
      <c r="AM265" s="148">
        <f t="shared" ref="AM265" si="1464">AL265*SQRT((R265/Q265)^2+(AG265/AF265)^2)</f>
        <v>2.9209566046532191E-3</v>
      </c>
      <c r="AN265" s="139">
        <f>AF265/Q265</f>
        <v>1.0004535937335968</v>
      </c>
      <c r="AO265" s="143">
        <f t="shared" ref="AO265" si="1465">AN265*SQRT((R265/Q265)^2+(AG265/AF265)^2)</f>
        <v>2.9209566046532191E-3</v>
      </c>
      <c r="AP265" s="139">
        <f t="shared" ref="AP265" si="1466">ThU_Alter_Kombi(AN265,U265)</f>
        <v>677.92100000000005</v>
      </c>
      <c r="AQ265" s="139" t="e">
        <f t="shared" si="1430"/>
        <v>#VALUE!</v>
      </c>
      <c r="AR265" s="139" t="e">
        <f>(AQ265/AP265)*100</f>
        <v>#VALUE!</v>
      </c>
      <c r="AS265" s="147">
        <f t="shared" si="1431"/>
        <v>1.9697374779359976E-5</v>
      </c>
      <c r="AT265" s="147">
        <f t="shared" si="1432"/>
        <v>1.2052526304121877E-7</v>
      </c>
      <c r="AU265" s="139">
        <v>0.75</v>
      </c>
      <c r="AV265" s="139">
        <f t="shared" ref="AV265" si="1467">AU265/2</f>
        <v>0.375</v>
      </c>
      <c r="AW265" s="139">
        <f t="shared" si="1434"/>
        <v>677.9194</v>
      </c>
      <c r="AX265" s="149">
        <f t="shared" si="1435"/>
        <v>320.97374889780002</v>
      </c>
      <c r="AY265" s="149">
        <f t="shared" si="1436"/>
        <v>241.16534342899539</v>
      </c>
      <c r="AZ265" s="150">
        <f t="shared" si="1437"/>
        <v>0.47346889452905466</v>
      </c>
      <c r="BA265" s="139" t="str">
        <f>Input!B265</f>
        <v>Hu1-13</v>
      </c>
      <c r="BB265" s="151">
        <f>Input!E265</f>
        <v>0</v>
      </c>
      <c r="BC265" s="139">
        <f>((U265-1)*EXP(Constants!$B$17*AW265*1000))*1000</f>
        <v>11.642772683433874</v>
      </c>
      <c r="BD265" s="145">
        <f>SQRT((EXP(Constants!$B$17*AW265*1000)*V265)^2+((U265-1)*Constants!$B$17*EXP(Constants!$B$17*AW265*1000)*AY265*1000)^2)*1000</f>
        <v>18.068476076095184</v>
      </c>
      <c r="BE265" s="139">
        <f t="shared" si="1438"/>
        <v>677861.4</v>
      </c>
      <c r="BF265" s="152">
        <f t="shared" si="1439"/>
        <v>120582.67171449769</v>
      </c>
      <c r="BG265" s="161">
        <f t="shared" si="1440"/>
        <v>35.574338694097762</v>
      </c>
      <c r="BH265" s="139"/>
      <c r="BI265" s="18"/>
      <c r="BJ265" s="18"/>
      <c r="BK265" s="18"/>
      <c r="BL265" s="18"/>
      <c r="BM265" s="18"/>
      <c r="BN265" s="160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</row>
    <row r="266" spans="1:110" ht="15" customHeight="1" x14ac:dyDescent="0.2">
      <c r="A266" s="18">
        <f>Input!A266</f>
        <v>11149</v>
      </c>
      <c r="B266" s="18" t="str">
        <f>Input!B266</f>
        <v>E4-43,5</v>
      </c>
      <c r="C266" s="18">
        <f>Input!O266</f>
        <v>0.76867866100932014</v>
      </c>
      <c r="D266" s="18">
        <f>C266*Input!P266/100</f>
        <v>2.1734379057505981E-3</v>
      </c>
      <c r="E266" s="153">
        <f>Input!M266</f>
        <v>1.0107396193835883</v>
      </c>
      <c r="F266" s="154">
        <f>E266*Input!N266/100</f>
        <v>6.003921724012974E-5</v>
      </c>
      <c r="G266" s="21">
        <f>E266*137.88</f>
        <v>139.36077872060915</v>
      </c>
      <c r="H266" s="154">
        <f>G266*Input!L266/100</f>
        <v>8.6574200149163432E-3</v>
      </c>
      <c r="I266" s="18">
        <v>0.3</v>
      </c>
      <c r="J266" s="130">
        <f>(((C266*Constants!$B$24*0.000000001*Input!G266*(Constants!$B$4/Constants!$B$3))-(I266*0.000000000000001))/Input!F266)*1000000000000</f>
        <v>36.492399105545303</v>
      </c>
      <c r="K266" s="18">
        <f>J266*Input!P266/100</f>
        <v>0.10318221060491975</v>
      </c>
      <c r="L266" s="135">
        <f>(J266/Constants!$B$4)*602200000000*Constants!$B$17/(365.2425*24*60)</f>
        <v>0.5038180877043158</v>
      </c>
      <c r="M266" s="133">
        <f>L266*Input!P266/100</f>
        <v>1.424544982140544E-3</v>
      </c>
      <c r="N266" s="18">
        <v>5.0000000000000001E-3</v>
      </c>
      <c r="O266" s="130">
        <f>(((G266*Constants!$B$23*0.000000001*Input!G266*(Constants!$B$7/Constants!$B$6))-(N266*0.000000001))/Input!F266)*1000000</f>
        <v>0.66647417636194273</v>
      </c>
      <c r="P266" s="18">
        <f>O266*Input!N266/100</f>
        <v>3.9589412636198637E-5</v>
      </c>
      <c r="Q266" s="131">
        <f>(O266/Constants!$B$7)*602200000000000000*Constants!$B$18/(365.2425*24*60)</f>
        <v>0.49727021796548343</v>
      </c>
      <c r="R266" s="132">
        <f>Q266*Input!N266/100</f>
        <v>2.9538482583362269E-5</v>
      </c>
      <c r="S266" s="133">
        <f>Input!S266*Constants!$B$17/Constants!$B$18</f>
        <v>1.0085989101849631</v>
      </c>
      <c r="T266" s="18">
        <f>S266*Input!T266/100</f>
        <v>1.2787547419916548E-3</v>
      </c>
      <c r="U266" s="18">
        <f>S266*1/((U265+U267)/2)</f>
        <v>1.007925084746107</v>
      </c>
      <c r="V266" s="18">
        <f>U266*Input!T266/100</f>
        <v>1.2779004306628296E-3</v>
      </c>
      <c r="W266" s="134">
        <v>3.0000000000000001E-3</v>
      </c>
      <c r="X266" s="130">
        <f>(((Constants!$B$25*0.000000001*Input!G266/Input!W266*(Constants!$B$11/Constants!$B$9)-(W266*0.000000001))/Input!F266)*1000000000)</f>
        <v>0.43271447033086191</v>
      </c>
      <c r="Y266" s="130">
        <f>X266*Input!X266/100</f>
        <v>1.1133876050311053E-3</v>
      </c>
      <c r="Z266" s="130">
        <f>(X266/Constants!$B$11)*6.022E+23*0.000000001*Constants!$B$19/(365.2425*24*60)</f>
        <v>1.0563959131737509E-4</v>
      </c>
      <c r="AA266" s="130">
        <f>Z266*Input!X266/100</f>
        <v>2.7181390879621874E-7</v>
      </c>
      <c r="AB266" s="135">
        <v>0.05</v>
      </c>
      <c r="AC266" s="135">
        <v>0</v>
      </c>
      <c r="AD266" s="130">
        <f>(((Input!G266*Constants!$B$25*0.000000001*Input!U266*(Constants!$B$10/Constants!$B$9))-((AB266*0.000000000000001)+(Input!G266*AC266*0.000000000000001)))/Input!F266)*1000000000000</f>
        <v>0.16031738272770391</v>
      </c>
      <c r="AE266" s="130">
        <f>AD266*Input!V266/100</f>
        <v>1.5228398297144517E-3</v>
      </c>
      <c r="AF266" s="130">
        <f>(AD266/Constants!$B$10)*602200000000*Constants!$B$16/(365.2425*24*60)</f>
        <v>7.3177941010655265E-3</v>
      </c>
      <c r="AG266" s="130">
        <f>AF266*Input!V266/100</f>
        <v>6.9511041991495275E-5</v>
      </c>
      <c r="AH266" s="18">
        <f>AF266/Z266</f>
        <v>69.271321573751024</v>
      </c>
      <c r="AI266" s="134">
        <f>AH266*SQRT((AG266/AF266)^2+(AA266/Z266)^2)</f>
        <v>0.68171466919942991</v>
      </c>
      <c r="AJ266" s="133">
        <f t="shared" si="1424"/>
        <v>7.9250847461069807</v>
      </c>
      <c r="AK266" s="134">
        <f>V266*1000</f>
        <v>1.2779004306628297</v>
      </c>
      <c r="AL266" s="134">
        <f>AF266/Q266</f>
        <v>1.4715930768999864E-2</v>
      </c>
      <c r="AM266" s="134">
        <f>AL266*SQRT((R266/Q266)^2+(AG266/AF266)^2)</f>
        <v>1.3978798371365662E-4</v>
      </c>
      <c r="AN266" s="18">
        <f>AL266*1/((AN265+AN267)/2)</f>
        <v>1.4684877773421619E-2</v>
      </c>
      <c r="AO266" s="130">
        <f>AN266*SQRT((R266/Q266)^2+(AG266/AF266)^2)</f>
        <v>1.3949300844445407E-4</v>
      </c>
      <c r="AP266" s="18">
        <f>ThU_Alter_Kombi(AN266,U266)</f>
        <v>1.6004</v>
      </c>
      <c r="AQ266" s="18">
        <f t="shared" si="1430"/>
        <v>1.55E-2</v>
      </c>
      <c r="AR266" s="155">
        <f>(AQ266/AP266)</f>
        <v>9.6850787303174209E-3</v>
      </c>
      <c r="AS266" s="132">
        <f t="shared" si="1431"/>
        <v>2.1243900700425167E-4</v>
      </c>
      <c r="AT266" s="132">
        <f t="shared" si="1432"/>
        <v>5.4675772537649308E-7</v>
      </c>
      <c r="AU266" s="18">
        <v>0.75</v>
      </c>
      <c r="AV266" s="18">
        <f>AU266/2</f>
        <v>0.375</v>
      </c>
      <c r="AW266" s="18">
        <f t="shared" si="1434"/>
        <v>1.5831</v>
      </c>
      <c r="AX266" s="136">
        <f t="shared" si="1435"/>
        <v>1.8390994599999998E-2</v>
      </c>
      <c r="AY266" s="136">
        <f t="shared" si="1436"/>
        <v>1.7714098311750557E-2</v>
      </c>
      <c r="AZ266" s="155">
        <f t="shared" si="1437"/>
        <v>1.1617077000821173E-2</v>
      </c>
      <c r="BA266" s="18" t="str">
        <f>Input!B266</f>
        <v>E4-43,5</v>
      </c>
      <c r="BB266" s="137">
        <f>Input!E266</f>
        <v>43.5</v>
      </c>
      <c r="BC266" s="18">
        <f>((U266-1)*EXP(Constants!$B$17*AW266*1000))*1000</f>
        <v>7.9605700881592227</v>
      </c>
      <c r="BD266" s="133">
        <f>SQRT((EXP(Constants!$B$17*AW266*1000)*V266)^2+((U266-1)*Constants!$B$17*EXP(Constants!$B$17*AW266*1000)*AY266*1000)^2)*1000</f>
        <v>1.283622416511057</v>
      </c>
      <c r="BE266" s="18">
        <f t="shared" si="1438"/>
        <v>1525.1</v>
      </c>
      <c r="BF266" s="138">
        <f t="shared" si="1439"/>
        <v>8.8570491558752789</v>
      </c>
      <c r="BG266" s="20">
        <f t="shared" si="1440"/>
        <v>1.1189500544343729</v>
      </c>
      <c r="BH266" s="18"/>
      <c r="BI266" s="18"/>
      <c r="BJ266" s="18"/>
      <c r="BK266" s="18"/>
      <c r="BL266" s="18"/>
      <c r="BM266" s="18"/>
      <c r="BN266" s="160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</row>
    <row r="267" spans="1:110" ht="15" customHeight="1" x14ac:dyDescent="0.2">
      <c r="A267" s="139">
        <f>Input!A267</f>
        <v>10815</v>
      </c>
      <c r="B267" s="139" t="str">
        <f>Input!B267</f>
        <v>Hu1-13</v>
      </c>
      <c r="C267" s="139">
        <f>Input!O267</f>
        <v>2.1040358877315155</v>
      </c>
      <c r="D267" s="139">
        <f>C267*Input!P267/100</f>
        <v>2.3419381336275653E-2</v>
      </c>
      <c r="E267" s="140">
        <f>Input!M267</f>
        <v>2.7329054799040393</v>
      </c>
      <c r="F267" s="141">
        <f>E267*Input!N267/100</f>
        <v>5.0266602705801471E-4</v>
      </c>
      <c r="G267" s="142">
        <f t="shared" ref="G267" si="1468">E267*137.88</f>
        <v>376.81300756916892</v>
      </c>
      <c r="H267" s="141">
        <f>G267*Input!L267/100</f>
        <v>3.5615370570686054E-2</v>
      </c>
      <c r="I267" s="139">
        <v>0</v>
      </c>
      <c r="J267" s="143">
        <f>(((C267*Constants!$B$24*0.000000001*Input!G267*(Constants!$B$4/Constants!$B$3))-(I267*0.000000000000001))/Input!F267)*1000000000000</f>
        <v>759.63594663680465</v>
      </c>
      <c r="K267" s="139">
        <f>J267*Input!P267/100</f>
        <v>8.455275888953933</v>
      </c>
      <c r="L267" s="144">
        <f>(J267/Constants!$B$4)*602200000000*Constants!$B$17/(365.2425*24*60)</f>
        <v>10.487617678385401</v>
      </c>
      <c r="M267" s="145">
        <f>L267*Input!P267/100</f>
        <v>0.11673447166530224</v>
      </c>
      <c r="N267" s="139">
        <v>0</v>
      </c>
      <c r="O267" s="143">
        <f>(((G267*Constants!$B$23*0.000000001*Input!G267*(Constants!$B$7/Constants!$B$6))-(N267*0.000000001))/Input!F267)*1000000</f>
        <v>13.704391329676241</v>
      </c>
      <c r="P267" s="139">
        <f>O267*Input!N267/100</f>
        <v>2.5206623476705619E-3</v>
      </c>
      <c r="Q267" s="146">
        <f>(O267/Constants!$B$7)*602200000000000000*Constants!$B$18/(365.2425*24*60)</f>
        <v>10.225130853219248</v>
      </c>
      <c r="R267" s="147">
        <f>Q267*Input!N267/100</f>
        <v>1.8807185026818132E-3</v>
      </c>
      <c r="S267" s="145">
        <f>Input!S267*Constants!$B$17/Constants!$B$18</f>
        <v>0.99961837488045269</v>
      </c>
      <c r="T267" s="139">
        <f>S267*Input!T267/100</f>
        <v>2.1135868991442371E-3</v>
      </c>
      <c r="U267" s="145">
        <f>S267</f>
        <v>0.99961837488045269</v>
      </c>
      <c r="V267" s="139">
        <f>U267*Input!T267/100</f>
        <v>2.1135868991442371E-3</v>
      </c>
      <c r="W267" s="148">
        <v>0</v>
      </c>
      <c r="X267" s="143">
        <f>(((Constants!$B$25*0.000000001*Input!G267/Input!W267*(Constants!$B$11/Constants!$B$9))-(W267*0.000000001))/Input!F267)*1000000000</f>
        <v>0.83069609685322188</v>
      </c>
      <c r="Y267" s="143">
        <f>X267*Input!X267/100</f>
        <v>4.6071838577948611E-3</v>
      </c>
      <c r="Z267" s="143">
        <f>(X267/Constants!$B$11)*6.022E+23*0.000000001*Constants!$B$19/(365.2425*24*60)</f>
        <v>2.0279977259233847E-4</v>
      </c>
      <c r="AA267" s="143">
        <f>Z267*Input!X267/100</f>
        <v>1.1247625240942731E-6</v>
      </c>
      <c r="AB267" s="144">
        <v>0</v>
      </c>
      <c r="AC267" s="144">
        <v>0</v>
      </c>
      <c r="AD267" s="143">
        <f>(((Input!G267*Constants!$B$25*0.000000001*Input!U267*(Constants!$B$10/Constants!$B$9))-((AB267*0.000000000000001)+(Input!G267*AC267*0.000000000000001)))/Input!F267)*1000000000000</f>
        <v>224.85676644208431</v>
      </c>
      <c r="AE267" s="143">
        <f>AD267*Input!V267/100</f>
        <v>0.79746317041220705</v>
      </c>
      <c r="AF267" s="143">
        <f>(AD267/Constants!$B$10)*602200000000*Constants!$B$16/(365.2425*24*60)</f>
        <v>10.263737412987393</v>
      </c>
      <c r="AG267" s="143">
        <f>AF267*Input!V267/100</f>
        <v>3.6400739489187151E-2</v>
      </c>
      <c r="AH267" s="139">
        <f t="shared" ref="AH267" si="1469">AF267/Z267</f>
        <v>50610.201785675694</v>
      </c>
      <c r="AI267" s="148">
        <f t="shared" ref="AI267" si="1470">AH267*SQRT((AG267/AF267)^2+(AA267/Z267)^2)</f>
        <v>333.17493681677735</v>
      </c>
      <c r="AJ267" s="145">
        <f t="shared" si="1424"/>
        <v>-0.38162511954731304</v>
      </c>
      <c r="AK267" s="148">
        <f t="shared" ref="AK267" si="1471">V267*1000</f>
        <v>2.113586899144237</v>
      </c>
      <c r="AL267" s="148">
        <f t="shared" ref="AL267" si="1472">AF267/Q267</f>
        <v>1.0037756543483245</v>
      </c>
      <c r="AM267" s="148">
        <f t="shared" ref="AM267" si="1473">AL267*SQRT((R267/Q267)^2+(AG267/AF267)^2)</f>
        <v>3.5647132830806988E-3</v>
      </c>
      <c r="AN267" s="139">
        <f>AF267/Q267</f>
        <v>1.0037756543483245</v>
      </c>
      <c r="AO267" s="143">
        <f t="shared" ref="AO267" si="1474">AN267*SQRT((R267/Q267)^2+(AG267/AF267)^2)</f>
        <v>3.5647132830806988E-3</v>
      </c>
      <c r="AP267" s="139" t="str">
        <f t="shared" ref="AP267" si="1475">ThU_Alter_Kombi(AN267,U267)</f>
        <v>Out of range</v>
      </c>
      <c r="AQ267" s="139" t="e">
        <f t="shared" si="1430"/>
        <v>#VALUE!</v>
      </c>
      <c r="AR267" s="139" t="e">
        <f>(AQ267/AP267)*100</f>
        <v>#VALUE!</v>
      </c>
      <c r="AS267" s="147">
        <f t="shared" si="1431"/>
        <v>1.9833464774535344E-5</v>
      </c>
      <c r="AT267" s="147">
        <f t="shared" si="1432"/>
        <v>1.1006029072394628E-7</v>
      </c>
      <c r="AU267" s="139">
        <v>0.75</v>
      </c>
      <c r="AV267" s="139">
        <f t="shared" ref="AV267" si="1476">AU267/2</f>
        <v>0.375</v>
      </c>
      <c r="AW267" s="139" t="str">
        <f t="shared" si="1434"/>
        <v>Out of range</v>
      </c>
      <c r="AX267" s="149">
        <f t="shared" si="1435"/>
        <v>258.24491861199999</v>
      </c>
      <c r="AY267" s="149" t="e">
        <f t="shared" si="1436"/>
        <v>#VALUE!</v>
      </c>
      <c r="AZ267" s="150" t="e">
        <f t="shared" si="1437"/>
        <v>#VALUE!</v>
      </c>
      <c r="BA267" s="139" t="str">
        <f>Input!B267</f>
        <v>Hu1-13</v>
      </c>
      <c r="BB267" s="151">
        <f>Input!E267</f>
        <v>0</v>
      </c>
      <c r="BC267" s="139" t="e">
        <f>((U267-1)*EXP(Constants!$B$17*AW267*1000))*1000</f>
        <v>#VALUE!</v>
      </c>
      <c r="BD267" s="145" t="e">
        <f>SQRT((EXP(Constants!$B$17*AW267*1000)*V267)^2+((U267-1)*Constants!$B$17*EXP(Constants!$B$17*AW267*1000)*AY267*1000)^2)*1000</f>
        <v>#VALUE!</v>
      </c>
      <c r="BE267" s="139" t="e">
        <f t="shared" si="1438"/>
        <v>#VALUE!</v>
      </c>
      <c r="BF267" s="152" t="e">
        <f t="shared" si="1439"/>
        <v>#VALUE!</v>
      </c>
      <c r="BG267" s="161" t="e">
        <f t="shared" si="1440"/>
        <v>#VALUE!</v>
      </c>
      <c r="BH267" s="139"/>
      <c r="BI267" s="18"/>
      <c r="BJ267" s="18"/>
      <c r="BK267" s="18"/>
      <c r="BL267" s="18"/>
      <c r="BM267" s="18"/>
      <c r="BN267" s="160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</row>
    <row r="268" spans="1:110" ht="15" customHeight="1" x14ac:dyDescent="0.2">
      <c r="A268" s="18">
        <f>Input!A268</f>
        <v>11150</v>
      </c>
      <c r="B268" s="18" t="str">
        <f>Input!B268</f>
        <v>E4-44,5</v>
      </c>
      <c r="C268" s="18">
        <f>Input!O268</f>
        <v>0.89157635232572463</v>
      </c>
      <c r="D268" s="18">
        <f>C268*Input!P268/100</f>
        <v>2.9558009059353725E-3</v>
      </c>
      <c r="E268" s="153">
        <f>Input!M268</f>
        <v>1.1736841788437864</v>
      </c>
      <c r="F268" s="154">
        <f>E268*Input!N268/100</f>
        <v>7.5366565698353527E-5</v>
      </c>
      <c r="G268" s="21">
        <f>E268*137.88</f>
        <v>161.82757457898126</v>
      </c>
      <c r="H268" s="154">
        <f>G268*Input!L268/100</f>
        <v>7.3234443310303734E-3</v>
      </c>
      <c r="I268" s="18">
        <v>0.3</v>
      </c>
      <c r="J268" s="130">
        <f>(((C268*Constants!$B$24*0.000000001*Input!G268*(Constants!$B$4/Constants!$B$3))-(I268*0.000000000000001))/Input!F268)*1000000000000</f>
        <v>33.033733823017762</v>
      </c>
      <c r="K268" s="18">
        <f>J268*Input!P268/100</f>
        <v>0.1095151751230298</v>
      </c>
      <c r="L268" s="135">
        <f>(J268/Constants!$B$4)*602200000000*Constants!$B$17/(365.2425*24*60)</f>
        <v>0.45606737327163438</v>
      </c>
      <c r="M268" s="133">
        <f>L268*Input!P268/100</f>
        <v>1.511978588897537E-3</v>
      </c>
      <c r="N268" s="18">
        <v>5.0000000000000001E-3</v>
      </c>
      <c r="O268" s="130">
        <f>(((G268*Constants!$B$23*0.000000001*Input!G268*(Constants!$B$7/Constants!$B$6))-(N268*0.000000001))/Input!F268)*1000000</f>
        <v>0.60399923460013205</v>
      </c>
      <c r="P268" s="18">
        <f>O268*Input!N268/100</f>
        <v>3.8785006066188813E-5</v>
      </c>
      <c r="Q268" s="131">
        <f>(O268/Constants!$B$7)*602200000000000000*Constants!$B$18/(365.2425*24*60)</f>
        <v>0.45065636703301321</v>
      </c>
      <c r="R268" s="132">
        <f>Q268*Input!N268/100</f>
        <v>2.8938298143231138E-5</v>
      </c>
      <c r="S268" s="133">
        <f>Input!S268*Constants!$B$17/Constants!$B$18</f>
        <v>1.0062944571496883</v>
      </c>
      <c r="T268" s="18">
        <f>S268*Input!T268/100</f>
        <v>1.3890627358193659E-3</v>
      </c>
      <c r="U268" s="18">
        <f>S268*1/((U267+U269)/2)</f>
        <v>1.0066786310025904</v>
      </c>
      <c r="V268" s="18">
        <f>U268*Input!T268/100</f>
        <v>1.38959303942916E-3</v>
      </c>
      <c r="W268" s="134">
        <v>3.0000000000000001E-3</v>
      </c>
      <c r="X268" s="130">
        <f>(((Constants!$B$25*0.000000001*Input!G268/Input!W268*(Constants!$B$11/Constants!$B$9)-(W268*0.000000001))/Input!F268)*1000000000)</f>
        <v>0.12721657296392905</v>
      </c>
      <c r="Y268" s="130">
        <f>X268*Input!X268/100</f>
        <v>2.8799841266393647E-4</v>
      </c>
      <c r="Z268" s="130">
        <f>(X268/Constants!$B$11)*6.022E+23*0.000000001*Constants!$B$19/(365.2425*24*60)</f>
        <v>3.1057678210831941E-5</v>
      </c>
      <c r="AA268" s="130">
        <f>Z268*Input!X268/100</f>
        <v>7.0309723154412161E-8</v>
      </c>
      <c r="AB268" s="135">
        <v>0.05</v>
      </c>
      <c r="AC268" s="135">
        <v>0</v>
      </c>
      <c r="AD268" s="130">
        <f>(((Input!G268*Constants!$B$25*0.000000001*Input!U268*(Constants!$B$10/Constants!$B$9))-((AB268*0.000000000000001)+(Input!G268*AC268*0.000000000000001)))/Input!F268)*1000000000000</f>
        <v>0.13440356322132538</v>
      </c>
      <c r="AE268" s="130">
        <f>AD268*Input!V268/100</f>
        <v>1.1406394965869913E-3</v>
      </c>
      <c r="AF268" s="130">
        <f>(AD268/Constants!$B$10)*602200000000*Constants!$B$16/(365.2425*24*60)</f>
        <v>6.1349404872316476E-3</v>
      </c>
      <c r="AG268" s="130">
        <f>AF268*Input!V268/100</f>
        <v>5.2065252298584501E-5</v>
      </c>
      <c r="AH268" s="18">
        <f>AF268/Z268</f>
        <v>197.53377717372231</v>
      </c>
      <c r="AI268" s="134">
        <f>AH268*SQRT((AG268/AF268)^2+(AA268/Z268)^2)</f>
        <v>1.7350242694638072</v>
      </c>
      <c r="AJ268" s="133">
        <f t="shared" si="1424"/>
        <v>6.6786310025903628</v>
      </c>
      <c r="AK268" s="134">
        <f>V268*1000</f>
        <v>1.38959303942916</v>
      </c>
      <c r="AL268" s="134">
        <f>AF268/Q268</f>
        <v>1.3613344747844709E-2</v>
      </c>
      <c r="AM268" s="134">
        <f>AL268*SQRT((R268/Q268)^2+(AG268/AF268)^2)</f>
        <v>1.1553535347198765E-4</v>
      </c>
      <c r="AN268" s="18">
        <f>AL268*1/((AN267+AN269)/2)</f>
        <v>1.3562138799513745E-2</v>
      </c>
      <c r="AO268" s="130">
        <f>AN268*SQRT((R268/Q268)^2+(AG268/AF268)^2)</f>
        <v>1.1510077273890052E-4</v>
      </c>
      <c r="AP268" s="18">
        <f>ThU_Alter_Kombi(AN268,U268)</f>
        <v>1.4790000000000001</v>
      </c>
      <c r="AQ268" s="18">
        <f t="shared" si="1430"/>
        <v>1.21E-2</v>
      </c>
      <c r="AR268" s="155">
        <f>(AQ268/AP268)</f>
        <v>8.1812035158891142E-3</v>
      </c>
      <c r="AS268" s="132">
        <f t="shared" si="1431"/>
        <v>6.8916541477725941E-5</v>
      </c>
      <c r="AT268" s="132">
        <f t="shared" si="1432"/>
        <v>1.5607901507669892E-7</v>
      </c>
      <c r="AU268" s="18">
        <v>0.75</v>
      </c>
      <c r="AV268" s="18">
        <f>AU268/2</f>
        <v>0.375</v>
      </c>
      <c r="AW268" s="18">
        <f t="shared" si="1434"/>
        <v>1.4734</v>
      </c>
      <c r="AX268" s="136">
        <f t="shared" si="1435"/>
        <v>1.29558546E-2</v>
      </c>
      <c r="AY268" s="136">
        <f t="shared" si="1436"/>
        <v>1.312334597226862E-2</v>
      </c>
      <c r="AZ268" s="155">
        <f t="shared" si="1437"/>
        <v>8.7931685896565758E-3</v>
      </c>
      <c r="BA268" s="18" t="str">
        <f>Input!B268</f>
        <v>E4-44,5</v>
      </c>
      <c r="BB268" s="137">
        <f>Input!E268</f>
        <v>44.5</v>
      </c>
      <c r="BC268" s="18">
        <f>((U268-1)*EXP(Constants!$B$17*AW268*1000))*1000</f>
        <v>6.7064587193228968</v>
      </c>
      <c r="BD268" s="133">
        <f>SQRT((EXP(Constants!$B$17*AW268*1000)*V268)^2+((U268-1)*Constants!$B$17*EXP(Constants!$B$17*AW268*1000)*AY268*1000)^2)*1000</f>
        <v>1.3953830507486809</v>
      </c>
      <c r="BE268" s="18">
        <f t="shared" si="1438"/>
        <v>1415.4</v>
      </c>
      <c r="BF268" s="138">
        <f t="shared" si="1439"/>
        <v>6.5616729861343099</v>
      </c>
      <c r="BG268" s="20">
        <f t="shared" si="1440"/>
        <v>0.89068453727898877</v>
      </c>
      <c r="BH268" s="18"/>
      <c r="BI268" s="18"/>
      <c r="BJ268" s="18"/>
      <c r="BK268" s="18"/>
      <c r="BL268" s="18"/>
      <c r="BM268" s="18"/>
      <c r="BN268" s="160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</row>
    <row r="269" spans="1:110" ht="15" customHeight="1" x14ac:dyDescent="0.2">
      <c r="A269" s="139">
        <f>Input!A269</f>
        <v>10815</v>
      </c>
      <c r="B269" s="139" t="str">
        <f>Input!B269</f>
        <v>Hu1-13</v>
      </c>
      <c r="C269" s="139">
        <f>Input!O269</f>
        <v>2.1040358877315155</v>
      </c>
      <c r="D269" s="139">
        <f>C269*Input!P269/100</f>
        <v>2.3419381336275653E-2</v>
      </c>
      <c r="E269" s="140">
        <f>Input!M269</f>
        <v>2.7329054799040393</v>
      </c>
      <c r="F269" s="141">
        <f>E269*Input!N269/100</f>
        <v>5.0266602705801471E-4</v>
      </c>
      <c r="G269" s="142">
        <f t="shared" ref="G269" si="1477">E269*137.88</f>
        <v>376.81300756916892</v>
      </c>
      <c r="H269" s="141">
        <f>G269*Input!L269/100</f>
        <v>3.5615370570686054E-2</v>
      </c>
      <c r="I269" s="139">
        <v>0</v>
      </c>
      <c r="J269" s="143">
        <f>(((C269*Constants!$B$24*0.000000001*Input!G269*(Constants!$B$4/Constants!$B$3))-(I269*0.000000000000001))/Input!F269)*1000000000000</f>
        <v>759.63594663680465</v>
      </c>
      <c r="K269" s="139">
        <f>J269*Input!P269/100</f>
        <v>8.455275888953933</v>
      </c>
      <c r="L269" s="144">
        <f>(J269/Constants!$B$4)*602200000000*Constants!$B$17/(365.2425*24*60)</f>
        <v>10.487617678385401</v>
      </c>
      <c r="M269" s="145">
        <f>L269*Input!P269/100</f>
        <v>0.11673447166530224</v>
      </c>
      <c r="N269" s="139">
        <v>0</v>
      </c>
      <c r="O269" s="143">
        <f>(((G269*Constants!$B$23*0.000000001*Input!G269*(Constants!$B$7/Constants!$B$6))-(N269*0.000000001))/Input!F269)*1000000</f>
        <v>13.704391329676241</v>
      </c>
      <c r="P269" s="139">
        <f>O269*Input!N269/100</f>
        <v>2.5206623476705619E-3</v>
      </c>
      <c r="Q269" s="146">
        <f>(O269/Constants!$B$7)*602200000000000000*Constants!$B$18/(365.2425*24*60)</f>
        <v>10.225130853219248</v>
      </c>
      <c r="R269" s="147">
        <f>Q269*Input!N269/100</f>
        <v>1.8807185026818132E-3</v>
      </c>
      <c r="S269" s="145">
        <f>Input!S269*Constants!$B$17/Constants!$B$18</f>
        <v>0.99961837488045269</v>
      </c>
      <c r="T269" s="139">
        <f>S269*Input!T269/100</f>
        <v>2.1135868991442371E-3</v>
      </c>
      <c r="U269" s="145">
        <f>S269</f>
        <v>0.99961837488045269</v>
      </c>
      <c r="V269" s="139">
        <f>U269*Input!T269/100</f>
        <v>2.1135868991442371E-3</v>
      </c>
      <c r="W269" s="148">
        <v>0</v>
      </c>
      <c r="X269" s="143">
        <f>(((Constants!$B$25*0.000000001*Input!G269/Input!W269*(Constants!$B$11/Constants!$B$9))-(W269*0.000000001))/Input!F269)*1000000000</f>
        <v>0.83069609685322188</v>
      </c>
      <c r="Y269" s="143">
        <f>X269*Input!X269/100</f>
        <v>4.6071838577948611E-3</v>
      </c>
      <c r="Z269" s="143">
        <f>(X269/Constants!$B$11)*6.022E+23*0.000000001*Constants!$B$19/(365.2425*24*60)</f>
        <v>2.0279977259233847E-4</v>
      </c>
      <c r="AA269" s="143">
        <f>Z269*Input!X269/100</f>
        <v>1.1247625240942731E-6</v>
      </c>
      <c r="AB269" s="144">
        <v>0</v>
      </c>
      <c r="AC269" s="144">
        <v>0</v>
      </c>
      <c r="AD269" s="143">
        <f>(((Input!G269*Constants!$B$25*0.000000001*Input!U269*(Constants!$B$10/Constants!$B$9))-((AB269*0.000000000000001)+(Input!G269*AC269*0.000000000000001)))/Input!F269)*1000000000000</f>
        <v>224.85676644208431</v>
      </c>
      <c r="AE269" s="143">
        <f>AD269*Input!V269/100</f>
        <v>0.79746317041220705</v>
      </c>
      <c r="AF269" s="143">
        <f>(AD269/Constants!$B$10)*602200000000*Constants!$B$16/(365.2425*24*60)</f>
        <v>10.263737412987393</v>
      </c>
      <c r="AG269" s="143">
        <f>AF269*Input!V269/100</f>
        <v>3.6400739489187151E-2</v>
      </c>
      <c r="AH269" s="139">
        <f t="shared" ref="AH269" si="1478">AF269/Z269</f>
        <v>50610.201785675694</v>
      </c>
      <c r="AI269" s="148">
        <f t="shared" ref="AI269" si="1479">AH269*SQRT((AG269/AF269)^2+(AA269/Z269)^2)</f>
        <v>333.17493681677735</v>
      </c>
      <c r="AJ269" s="145">
        <f t="shared" si="1424"/>
        <v>-0.38162511954731304</v>
      </c>
      <c r="AK269" s="148">
        <f t="shared" ref="AK269" si="1480">V269*1000</f>
        <v>2.113586899144237</v>
      </c>
      <c r="AL269" s="148">
        <f t="shared" ref="AL269" si="1481">AF269/Q269</f>
        <v>1.0037756543483245</v>
      </c>
      <c r="AM269" s="148">
        <f t="shared" ref="AM269" si="1482">AL269*SQRT((R269/Q269)^2+(AG269/AF269)^2)</f>
        <v>3.5647132830806988E-3</v>
      </c>
      <c r="AN269" s="139">
        <f>AF269/Q269</f>
        <v>1.0037756543483245</v>
      </c>
      <c r="AO269" s="143">
        <f t="shared" ref="AO269" si="1483">AN269*SQRT((R269/Q269)^2+(AG269/AF269)^2)</f>
        <v>3.5647132830806988E-3</v>
      </c>
      <c r="AP269" s="139" t="str">
        <f t="shared" ref="AP269" si="1484">ThU_Alter_Kombi(AN269,U269)</f>
        <v>Out of range</v>
      </c>
      <c r="AQ269" s="139" t="e">
        <f t="shared" si="1430"/>
        <v>#VALUE!</v>
      </c>
      <c r="AR269" s="139" t="e">
        <f>(AQ269/AP269)*100</f>
        <v>#VALUE!</v>
      </c>
      <c r="AS269" s="147">
        <f t="shared" si="1431"/>
        <v>1.9833464774535344E-5</v>
      </c>
      <c r="AT269" s="147">
        <f t="shared" si="1432"/>
        <v>1.1006029072394628E-7</v>
      </c>
      <c r="AU269" s="139">
        <v>0.75</v>
      </c>
      <c r="AV269" s="139">
        <f t="shared" ref="AV269" si="1485">AU269/2</f>
        <v>0.375</v>
      </c>
      <c r="AW269" s="139" t="str">
        <f t="shared" si="1434"/>
        <v>Out of range</v>
      </c>
      <c r="AX269" s="149">
        <f t="shared" si="1435"/>
        <v>247.4512365242</v>
      </c>
      <c r="AY269" s="149" t="e">
        <f t="shared" si="1436"/>
        <v>#VALUE!</v>
      </c>
      <c r="AZ269" s="150" t="e">
        <f t="shared" si="1437"/>
        <v>#VALUE!</v>
      </c>
      <c r="BA269" s="139" t="str">
        <f>Input!B269</f>
        <v>Hu1-13</v>
      </c>
      <c r="BB269" s="151">
        <f>Input!E269</f>
        <v>0</v>
      </c>
      <c r="BC269" s="139" t="e">
        <f>((U269-1)*EXP(Constants!$B$17*AW269*1000))*1000</f>
        <v>#VALUE!</v>
      </c>
      <c r="BD269" s="145" t="e">
        <f>SQRT((EXP(Constants!$B$17*AW269*1000)*V269)^2+((U269-1)*Constants!$B$17*EXP(Constants!$B$17*AW269*1000)*AY269*1000)^2)*1000</f>
        <v>#VALUE!</v>
      </c>
      <c r="BE269" s="139" t="e">
        <f t="shared" si="1438"/>
        <v>#VALUE!</v>
      </c>
      <c r="BF269" s="152" t="e">
        <f t="shared" si="1439"/>
        <v>#VALUE!</v>
      </c>
      <c r="BG269" s="161" t="e">
        <f t="shared" si="1440"/>
        <v>#VALUE!</v>
      </c>
      <c r="BH269" s="139"/>
      <c r="BI269" s="18"/>
      <c r="BJ269" s="18"/>
      <c r="BK269" s="18"/>
      <c r="BL269" s="18"/>
      <c r="BM269" s="18"/>
      <c r="BN269" s="160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</row>
    <row r="271" spans="1:110" ht="15" customHeight="1" x14ac:dyDescent="0.2">
      <c r="A271" s="139">
        <f>Input!A271</f>
        <v>10815</v>
      </c>
      <c r="B271" s="139" t="str">
        <f>Input!B271</f>
        <v>Hu1-13</v>
      </c>
      <c r="C271" s="139">
        <f>Input!O271</f>
        <v>2.0931130778717724</v>
      </c>
      <c r="D271" s="139">
        <f>C271*Input!P271/100</f>
        <v>2.1270702834000173E-2</v>
      </c>
      <c r="E271" s="140">
        <f>Input!M271</f>
        <v>2.7327436270729448</v>
      </c>
      <c r="F271" s="141">
        <f>E271*Input!N271/100</f>
        <v>4.7477333477944657E-4</v>
      </c>
      <c r="G271" s="142">
        <f t="shared" ref="G271" si="1486">E271*137.88</f>
        <v>376.79069130081763</v>
      </c>
      <c r="H271" s="141">
        <f>G271*Input!L271/100</f>
        <v>4.5830400646238612E-2</v>
      </c>
      <c r="I271" s="139">
        <v>0</v>
      </c>
      <c r="J271" s="143">
        <f>(((C271*Constants!$B$24*0.000000001*Input!G271*(Constants!$B$4/Constants!$B$3))-(I271*0.000000000000001))/Input!F271)*1000000000000</f>
        <v>755.69240220577979</v>
      </c>
      <c r="K271" s="139">
        <f>J271*Input!P271/100</f>
        <v>7.6795222824629494</v>
      </c>
      <c r="L271" s="144">
        <f>(J271/Constants!$B$4)*602200000000*Constants!$B$17/(365.2425*24*60)</f>
        <v>10.433172668939202</v>
      </c>
      <c r="M271" s="145">
        <f>L271*Input!P271/100</f>
        <v>0.10602433179695296</v>
      </c>
      <c r="N271" s="139">
        <v>0</v>
      </c>
      <c r="O271" s="143">
        <f>(((G271*Constants!$B$23*0.000000001*Input!G271*(Constants!$B$7/Constants!$B$6))-(N271*0.000000001))/Input!F271)*1000000</f>
        <v>13.703579704630501</v>
      </c>
      <c r="P271" s="139">
        <f>O271*Input!N271/100</f>
        <v>2.3807920253946678E-3</v>
      </c>
      <c r="Q271" s="146">
        <f>(O271/Constants!$B$7)*602200000000000000*Constants!$B$18/(365.2425*24*60)</f>
        <v>10.22452528292453</v>
      </c>
      <c r="R271" s="147">
        <f>Q271*Input!N271/100</f>
        <v>1.7763583517383746E-3</v>
      </c>
      <c r="S271" s="145">
        <f>Input!S271*Constants!$B$17/Constants!$B$18</f>
        <v>0.9981050990253294</v>
      </c>
      <c r="T271" s="139">
        <f>S271*Input!T271/100</f>
        <v>2.4470296636141171E-3</v>
      </c>
      <c r="U271" s="145">
        <f>S271</f>
        <v>0.9981050990253294</v>
      </c>
      <c r="V271" s="139">
        <f>U271*Input!T271/100</f>
        <v>2.4470296636141171E-3</v>
      </c>
      <c r="W271" s="148">
        <v>0</v>
      </c>
      <c r="X271" s="143">
        <f>(((Constants!$B$25*0.000000001*Input!G271/Input!W271*(Constants!$B$11/Constants!$B$9))-(W271*0.000000001))/Input!F271)*1000000000</f>
        <v>0.83263307999810365</v>
      </c>
      <c r="Y271" s="143">
        <f>X271*Input!X271/100</f>
        <v>5.6081424701633961E-3</v>
      </c>
      <c r="Z271" s="143">
        <f>(X271/Constants!$B$11)*6.022E+23*0.000000001*Constants!$B$19/(365.2425*24*60)</f>
        <v>2.0327265279821073E-4</v>
      </c>
      <c r="AA271" s="143">
        <f>Z271*Input!X271/100</f>
        <v>1.369128881094924E-6</v>
      </c>
      <c r="AB271" s="144">
        <v>0</v>
      </c>
      <c r="AC271" s="144">
        <v>0</v>
      </c>
      <c r="AD271" s="143">
        <f>(((Input!G271*Constants!$B$25*0.000000001*Input!U271*(Constants!$B$10/Constants!$B$9))-((AB271*0.000000000000001)+(Input!G271*AC271*0.000000000000001)))/Input!F271)*1000000000000</f>
        <v>223.30347029673433</v>
      </c>
      <c r="AE271" s="143">
        <f>AD271*Input!V271/100</f>
        <v>0.96187846191572401</v>
      </c>
      <c r="AF271" s="143">
        <f>(AD271/Constants!$B$10)*602200000000*Constants!$B$16/(365.2425*24*60)</f>
        <v>10.19283617210975</v>
      </c>
      <c r="AG271" s="143">
        <f>AF271*Input!V271/100</f>
        <v>4.3905585375630697E-2</v>
      </c>
      <c r="AH271" s="139">
        <f t="shared" ref="AH271" si="1487">AF271/Z271</f>
        <v>50143.666803169064</v>
      </c>
      <c r="AI271" s="148">
        <f t="shared" ref="AI271" si="1488">AH271*SQRT((AG271/AF271)^2+(AA271/Z271)^2)</f>
        <v>400.90021935852531</v>
      </c>
      <c r="AJ271" s="145">
        <f t="shared" ref="AJ271:AJ281" si="1489">(U271-1)*1000</f>
        <v>-1.8949009746705991</v>
      </c>
      <c r="AK271" s="148">
        <f t="shared" ref="AK271" si="1490">V271*1000</f>
        <v>2.4470296636141171</v>
      </c>
      <c r="AL271" s="148">
        <f t="shared" ref="AL271" si="1491">AF271/Q271</f>
        <v>0.99690067656561987</v>
      </c>
      <c r="AM271" s="148">
        <f t="shared" ref="AM271" si="1492">AL271*SQRT((R271/Q271)^2+(AG271/AF271)^2)</f>
        <v>4.2976355117130636E-3</v>
      </c>
      <c r="AN271" s="139">
        <f>AF271/Q271</f>
        <v>0.99690067656561987</v>
      </c>
      <c r="AO271" s="143">
        <f t="shared" ref="AO271" si="1493">AN271*SQRT((R271/Q271)^2+(AG271/AF271)^2)</f>
        <v>4.2976355117130636E-3</v>
      </c>
      <c r="AP271" s="139">
        <f t="shared" ref="AP271" si="1494">ThU_Alter_Kombi(AN271,U271)</f>
        <v>860.59130000000005</v>
      </c>
      <c r="AQ271" s="139" t="e">
        <f t="shared" ref="AQ271:AQ281" si="1495">Montealter(AN271,AO271,U271,V271)</f>
        <v>#VALUE!</v>
      </c>
      <c r="AR271" s="139" t="e">
        <f>(AQ271/AP271)*100</f>
        <v>#VALUE!</v>
      </c>
      <c r="AS271" s="147">
        <f t="shared" ref="AS271:AS281" si="1496">Z271/Q271</f>
        <v>1.988088905581624E-5</v>
      </c>
      <c r="AT271" s="147">
        <f t="shared" ref="AT271:AT281" si="1497">AS271*SQRT((Y271/X271)^2+(P271/O271)^2)</f>
        <v>1.3395089122086438E-7</v>
      </c>
      <c r="AU271" s="139">
        <v>0.75</v>
      </c>
      <c r="AV271" s="139">
        <f t="shared" ref="AV271" si="1498">AU271/2</f>
        <v>0.375</v>
      </c>
      <c r="AW271" s="139">
        <f t="shared" ref="AW271:AW281" si="1499">marincorr_age(AN271,U271,AS271,AU271)</f>
        <v>860.58960000000002</v>
      </c>
      <c r="AX271" s="149">
        <f t="shared" ref="AX271:AX281" si="1500">marincorr_age_error(AN271, AO271, U271, V271, AS271, AT271, AU271, AV271)</f>
        <v>321.7096936122</v>
      </c>
      <c r="AY271" s="149">
        <f t="shared" ref="AY271:AY281" si="1501">SQRT(((AU271*EXP(-0.0000091577*AW271*1000))/(0.0000091577*(EXP(-0.0000091577*AW271*1000)+(AJ271/1000)*EXP(-(0.0000091577-0.0000028263)*AW271*1000)-AS271*AU271*EXP(-0.0000091577*AW271*1000))))^2*AT271^2+((AS271*EXP(-0.0000091577*AW271*1000))/(0.0000091577*(EXP(-0.0000091577*AW271*1000)+(AJ271/1000)*EXP(-(0.0000091577-0.0000028263)*AW271*1000)-AS271*AU271*EXP(-0.0000091577*AW271*1000))))^2*AV271^2+((0.0000091577/(0.0000091577-0.0000028263))*(EXP(-(0.0000091577-0.0000028263)*AW271*1000)-1)/(0.0000091577*(EXP(-0.0000091577*AW271*1000)+(AJ271/1000)*EXP(-(0.0000091577-0.0000028263)*AW271*1000)-AS271*AU271*EXP(-0.0000091577*AW271*1000))))^2*T271^2+(1/(0.0000091577*(EXP(-0.0000091577*AW271*1000)+(AJ271/1000)*EXP(-(0.0000091577-0.0000028263)*AW271*1000)-AS271*AU271*EXP(-0.0000091577*AW271*1000))))^2*AO271^2)/1000</f>
        <v>1641.6467857434793</v>
      </c>
      <c r="AZ271" s="150">
        <f t="shared" ref="AZ271:AZ281" si="1502">AX271/AW271</f>
        <v>0.37382475178900604</v>
      </c>
      <c r="BA271" s="139" t="str">
        <f>Input!B271</f>
        <v>Hu1-13</v>
      </c>
      <c r="BB271" s="151">
        <f>Input!E271</f>
        <v>0</v>
      </c>
      <c r="BC271" s="139">
        <f>((U271-1)*EXP(Constants!$B$17*AW271*1000))*1000</f>
        <v>-21.494607025258087</v>
      </c>
      <c r="BD271" s="145">
        <f>SQRT((EXP(Constants!$B$17*AW271*1000)*V271)^2+((U271-1)*Constants!$B$17*EXP(Constants!$B$17*AW271*1000)*AY271*1000)^2)*1000</f>
        <v>103.3770521257255</v>
      </c>
      <c r="BE271" s="139">
        <f t="shared" ref="BE271:BE281" si="1503">AW271*1000-58</f>
        <v>860531.6</v>
      </c>
      <c r="BF271" s="152">
        <f t="shared" ref="BF271:BF281" si="1504">AY271/2*1000</f>
        <v>820823.39287173969</v>
      </c>
      <c r="BG271" s="161">
        <f t="shared" ref="BG271:BG281" si="1505">AY271/AW271*100</f>
        <v>190.75838073612314</v>
      </c>
      <c r="BH271" s="139"/>
      <c r="BI271" s="18"/>
      <c r="BJ271" s="18"/>
      <c r="BK271" s="18"/>
      <c r="BL271" s="18"/>
      <c r="BM271" s="18"/>
      <c r="BN271" s="160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</row>
    <row r="272" spans="1:110" ht="15" customHeight="1" x14ac:dyDescent="0.2">
      <c r="A272" s="18">
        <f>Input!A272</f>
        <v>11152</v>
      </c>
      <c r="B272" s="18" t="str">
        <f>Input!B272</f>
        <v>E4-19,5</v>
      </c>
      <c r="C272" s="18">
        <f>Input!O272</f>
        <v>2.8187796345650136</v>
      </c>
      <c r="D272" s="18">
        <f>C272*Input!P272/100</f>
        <v>9.7506508600616135E-3</v>
      </c>
      <c r="E272" s="153">
        <f>Input!M272</f>
        <v>3.6892895893125619</v>
      </c>
      <c r="F272" s="154">
        <f>E272*Input!N272/100</f>
        <v>2.2820216010937619E-4</v>
      </c>
      <c r="G272" s="21">
        <f>E272*137.88</f>
        <v>508.67924857441602</v>
      </c>
      <c r="H272" s="154">
        <f>G272*Input!L272/100</f>
        <v>9.4030163341406112E-2</v>
      </c>
      <c r="I272" s="18">
        <v>0.3</v>
      </c>
      <c r="J272" s="130">
        <f>(((C272*Constants!$B$24*0.000000001*Input!G272*(Constants!$B$4/Constants!$B$3))-(I272*0.000000000000001))/Input!F272)*1000000000000</f>
        <v>90.533049845486289</v>
      </c>
      <c r="K272" s="18">
        <f>J272*Input!P272/100</f>
        <v>0.31316962472524618</v>
      </c>
      <c r="L272" s="135">
        <f>(J272/Constants!$B$4)*602200000000*Constants!$B$17/(365.2425*24*60)</f>
        <v>1.249909273305664</v>
      </c>
      <c r="M272" s="133">
        <f>L272*Input!P272/100</f>
        <v>4.3236543862136953E-3</v>
      </c>
      <c r="N272" s="18">
        <v>5.0000000000000001E-3</v>
      </c>
      <c r="O272" s="130">
        <f>(((G272*Constants!$B$23*0.000000001*Input!G272*(Constants!$B$7/Constants!$B$6))-(N272*0.000000001))/Input!F272)*1000000</f>
        <v>1.6457827141471315</v>
      </c>
      <c r="P272" s="18">
        <f>O272*Input!N272/100</f>
        <v>1.0180040393875097E-4</v>
      </c>
      <c r="Q272" s="131">
        <f>(O272/Constants!$B$7)*602200000000000000*Constants!$B$18/(365.2425*24*60)</f>
        <v>1.2279526469504507</v>
      </c>
      <c r="R272" s="132">
        <f>Q272*Input!N272/100</f>
        <v>7.5955394598973099E-5</v>
      </c>
      <c r="S272" s="133">
        <f>Input!S272*Constants!$B$17/Constants!$B$18</f>
        <v>1.0080011508920181</v>
      </c>
      <c r="T272" s="18">
        <f>S272*Input!T272/100</f>
        <v>8.113097181302307E-4</v>
      </c>
      <c r="U272" s="18">
        <f>S272*1/((U271+U273)/2)</f>
        <v>1.0085738229021104</v>
      </c>
      <c r="V272" s="18">
        <f>U272*Input!T272/100</f>
        <v>8.1177064455544164E-4</v>
      </c>
      <c r="W272" s="134">
        <v>3.0000000000000001E-3</v>
      </c>
      <c r="X272" s="130">
        <f>(((Constants!$B$25*0.000000001*Input!G272/Input!W272*(Constants!$B$11/Constants!$B$9)-(W272*0.000000001))/Input!F272)*1000000000)</f>
        <v>15.556268050663933</v>
      </c>
      <c r="Y272" s="130">
        <f>X272*Input!X272/100</f>
        <v>4.5545701514468677E-2</v>
      </c>
      <c r="Z272" s="130">
        <f>(X272/Constants!$B$11)*6.022E+23*0.000000001*Constants!$B$19/(365.2425*24*60)</f>
        <v>3.7977879455686646E-3</v>
      </c>
      <c r="AA272" s="130">
        <f>Z272*Input!X272/100</f>
        <v>1.1119178174403804E-5</v>
      </c>
      <c r="AB272" s="135">
        <v>0.05</v>
      </c>
      <c r="AC272" s="135">
        <v>0</v>
      </c>
      <c r="AD272" s="130">
        <f>(((Input!G272*Constants!$B$25*0.000000001*Input!U272*(Constants!$B$10/Constants!$B$9))-((AB272*0.000000000000001)+(Input!G272*AC272*0.000000000000001)))/Input!F272)*1000000000000</f>
        <v>0.85356068142274111</v>
      </c>
      <c r="AE272" s="130">
        <f>AD272*Input!V272/100</f>
        <v>5.0066276959001817E-3</v>
      </c>
      <c r="AF272" s="130">
        <f>(AD272/Constants!$B$10)*602200000000*Constants!$B$16/(365.2425*24*60)</f>
        <v>3.8961347878450764E-2</v>
      </c>
      <c r="AG272" s="130">
        <f>AF272*Input!V272/100</f>
        <v>2.2853086793163098E-4</v>
      </c>
      <c r="AH272" s="18">
        <f>AF272/Z272</f>
        <v>10.258958224329415</v>
      </c>
      <c r="AI272" s="134">
        <f>AH272*SQRT((AG272/AF272)^2+(AA272/Z272)^2)</f>
        <v>6.725453593593729E-2</v>
      </c>
      <c r="AJ272" s="133">
        <f t="shared" si="1489"/>
        <v>8.5738229021103951</v>
      </c>
      <c r="AK272" s="134">
        <f>V272*1000</f>
        <v>0.81177064455544168</v>
      </c>
      <c r="AL272" s="134">
        <f>AF272/Q272</f>
        <v>3.1728705479978414E-2</v>
      </c>
      <c r="AM272" s="134">
        <f>AL272*SQRT((R272/Q272)^2+(AG272/AF272)^2)</f>
        <v>1.861175797493168E-4</v>
      </c>
      <c r="AN272" s="18">
        <f>AL272*1/((AN271+AN273)/2)</f>
        <v>3.1765568006428505E-2</v>
      </c>
      <c r="AO272" s="130">
        <f>AN272*SQRT((R272/Q272)^2+(AG272/AF272)^2)</f>
        <v>1.8633381183639849E-4</v>
      </c>
      <c r="AP272" s="18">
        <f>ThU_Alter_Kombi(AN272,U272)</f>
        <v>3.4895</v>
      </c>
      <c r="AQ272" s="18">
        <f t="shared" si="1495"/>
        <v>1.9699999999999999E-2</v>
      </c>
      <c r="AR272" s="155">
        <f>(AQ272/AP272)</f>
        <v>5.6455079524287142E-3</v>
      </c>
      <c r="AS272" s="132">
        <f t="shared" si="1496"/>
        <v>3.0927804545234304E-3</v>
      </c>
      <c r="AT272" s="132">
        <f t="shared" si="1497"/>
        <v>9.0570751375736463E-6</v>
      </c>
      <c r="AU272" s="18">
        <v>0.75</v>
      </c>
      <c r="AV272" s="18">
        <f>AU272/2</f>
        <v>0.375</v>
      </c>
      <c r="AW272" s="18">
        <f t="shared" si="1499"/>
        <v>3.2385000000000002</v>
      </c>
      <c r="AX272" s="136">
        <f t="shared" si="1500"/>
        <v>0.13223086680000001</v>
      </c>
      <c r="AY272" s="136">
        <f t="shared" si="1501"/>
        <v>0.12759144044185583</v>
      </c>
      <c r="AZ272" s="155">
        <f t="shared" si="1502"/>
        <v>4.0830899119962946E-2</v>
      </c>
      <c r="BA272" s="18" t="str">
        <f>Input!B272</f>
        <v>E4-19,5</v>
      </c>
      <c r="BB272" s="137">
        <f>Input!E272</f>
        <v>19.5</v>
      </c>
      <c r="BC272" s="18">
        <f>((U272-1)*EXP(Constants!$B$17*AW272*1000))*1000</f>
        <v>8.6525402992961542</v>
      </c>
      <c r="BD272" s="133">
        <f>SQRT((EXP(Constants!$B$17*AW272*1000)*V272)^2+((U272-1)*Constants!$B$17*EXP(Constants!$B$17*AW272*1000)*AY272*1000)^2)*1000</f>
        <v>0.81922954193600817</v>
      </c>
      <c r="BE272" s="18">
        <f t="shared" si="1503"/>
        <v>3180.5</v>
      </c>
      <c r="BF272" s="138">
        <f t="shared" si="1504"/>
        <v>63.795720220927912</v>
      </c>
      <c r="BG272" s="20">
        <f t="shared" si="1505"/>
        <v>3.9398314170713542</v>
      </c>
      <c r="BH272" s="18"/>
      <c r="BI272" s="18"/>
      <c r="BJ272" s="18"/>
      <c r="BK272" s="18"/>
      <c r="BL272" s="18"/>
      <c r="BM272" s="18"/>
      <c r="BN272" s="160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</row>
    <row r="273" spans="1:110" ht="15" customHeight="1" x14ac:dyDescent="0.2">
      <c r="A273" s="139">
        <f>Input!A273</f>
        <v>10815</v>
      </c>
      <c r="B273" s="139" t="str">
        <f>Input!B273</f>
        <v>Hu1-13</v>
      </c>
      <c r="C273" s="139">
        <f>Input!O273</f>
        <v>2.1104041674738463</v>
      </c>
      <c r="D273" s="139">
        <f>C273*Input!P273/100</f>
        <v>2.8379105918625244E-2</v>
      </c>
      <c r="E273" s="140">
        <f>Input!M273</f>
        <v>2.7324103751352045</v>
      </c>
      <c r="F273" s="141">
        <f>E273*Input!N273/100</f>
        <v>3.8876560828983946E-4</v>
      </c>
      <c r="G273" s="142">
        <f t="shared" ref="G273" si="1506">E273*137.88</f>
        <v>376.744742523642</v>
      </c>
      <c r="H273" s="141">
        <f>G273*Input!L273/100</f>
        <v>9.8207272146788968E-2</v>
      </c>
      <c r="I273" s="139">
        <v>0</v>
      </c>
      <c r="J273" s="143">
        <f>(((C273*Constants!$B$24*0.000000001*Input!G273*(Constants!$B$4/Constants!$B$3))-(I273*0.000000000000001))/Input!F273)*1000000000000</f>
        <v>761.93513470613414</v>
      </c>
      <c r="K273" s="139">
        <f>J273*Input!P273/100</f>
        <v>10.245922664581423</v>
      </c>
      <c r="L273" s="144">
        <f>(J273/Constants!$B$4)*602200000000*Constants!$B$17/(365.2425*24*60)</f>
        <v>10.51936052250513</v>
      </c>
      <c r="M273" s="145">
        <f>L273*Input!P273/100</f>
        <v>0.14145633858452739</v>
      </c>
      <c r="N273" s="139">
        <v>0</v>
      </c>
      <c r="O273" s="143">
        <f>(((G273*Constants!$B$23*0.000000001*Input!G273*(Constants!$B$7/Constants!$B$6))-(N273*0.000000001))/Input!F273)*1000000</f>
        <v>13.701908583913099</v>
      </c>
      <c r="P273" s="139">
        <f>O273*Input!N273/100</f>
        <v>1.9494988285180873E-3</v>
      </c>
      <c r="Q273" s="146">
        <f>(O273/Constants!$B$7)*602200000000000000*Constants!$B$18/(365.2425*24*60)</f>
        <v>10.22327842506737</v>
      </c>
      <c r="R273" s="147">
        <f>Q273*Input!N273/100</f>
        <v>1.4545615445633951E-3</v>
      </c>
      <c r="S273" s="145">
        <f>Input!S273*Constants!$B$17/Constants!$B$18</f>
        <v>1.0007592934522695</v>
      </c>
      <c r="T273" s="139">
        <f>S273*Input!T273/100</f>
        <v>2.5119377838270923E-3</v>
      </c>
      <c r="U273" s="145">
        <f>S273</f>
        <v>1.0007592934522695</v>
      </c>
      <c r="V273" s="139">
        <f>U273*Input!T273/100</f>
        <v>2.5119377838270923E-3</v>
      </c>
      <c r="W273" s="148">
        <v>0</v>
      </c>
      <c r="X273" s="143">
        <f>(((Constants!$B$25*0.000000001*Input!G273/Input!W273*(Constants!$B$11/Constants!$B$9))-(W273*0.000000001))/Input!F273)*1000000000</f>
        <v>0.82723664604733027</v>
      </c>
      <c r="Y273" s="143">
        <f>X273*Input!X273/100</f>
        <v>9.0106054007560183E-3</v>
      </c>
      <c r="Z273" s="143">
        <f>(X273/Constants!$B$11)*6.022E+23*0.000000001*Constants!$B$19/(365.2425*24*60)</f>
        <v>2.0195520881096662E-4</v>
      </c>
      <c r="AA273" s="143">
        <f>Z273*Input!X273/100</f>
        <v>2.199780079760622E-6</v>
      </c>
      <c r="AB273" s="144">
        <v>0</v>
      </c>
      <c r="AC273" s="144">
        <v>0</v>
      </c>
      <c r="AD273" s="143">
        <f>(((Input!G273*Constants!$B$25*0.000000001*Input!U273*(Constants!$B$10/Constants!$B$9))-((AB273*0.000000000000001)+(Input!G273*AC273*0.000000000000001)))/Input!F273)*1000000000000</f>
        <v>224.14473700089391</v>
      </c>
      <c r="AE273" s="143">
        <f>AD273*Input!V273/100</f>
        <v>1.0641129065587807</v>
      </c>
      <c r="AF273" s="143">
        <f>(AD273/Constants!$B$10)*602200000000*Constants!$B$16/(365.2425*24*60)</f>
        <v>10.231236353177941</v>
      </c>
      <c r="AG273" s="143">
        <f>AF273*Input!V273/100</f>
        <v>4.8572144941447452E-2</v>
      </c>
      <c r="AH273" s="139">
        <f t="shared" ref="AH273" si="1507">AF273/Z273</f>
        <v>50660.91839579412</v>
      </c>
      <c r="AI273" s="148">
        <f t="shared" ref="AI273" si="1508">AH273*SQRT((AG273/AF273)^2+(AA273/Z273)^2)</f>
        <v>601.95505408292695</v>
      </c>
      <c r="AJ273" s="145">
        <f t="shared" si="1489"/>
        <v>0.75929345226954936</v>
      </c>
      <c r="AK273" s="148">
        <f t="shared" ref="AK273" si="1509">V273*1000</f>
        <v>2.5119377838270922</v>
      </c>
      <c r="AL273" s="148">
        <f t="shared" ref="AL273" si="1510">AF273/Q273</f>
        <v>1.0007784125384924</v>
      </c>
      <c r="AM273" s="148">
        <f t="shared" ref="AM273" si="1511">AL273*SQRT((R273/Q273)^2+(AG273/AF273)^2)</f>
        <v>4.7532651851904424E-3</v>
      </c>
      <c r="AN273" s="139">
        <f>AF273/Q273</f>
        <v>1.0007784125384924</v>
      </c>
      <c r="AO273" s="143">
        <f t="shared" ref="AO273" si="1512">AN273*SQRT((R273/Q273)^2+(AG273/AF273)^2)</f>
        <v>4.7532651851904424E-3</v>
      </c>
      <c r="AP273" s="139">
        <f t="shared" ref="AP273" si="1513">ThU_Alter_Kombi(AN273,U273)</f>
        <v>879.50649999999996</v>
      </c>
      <c r="AQ273" s="139" t="e">
        <f t="shared" si="1495"/>
        <v>#VALUE!</v>
      </c>
      <c r="AR273" s="139" t="e">
        <f>(AQ273/AP273)*100</f>
        <v>#VALUE!</v>
      </c>
      <c r="AS273" s="147">
        <f t="shared" si="1496"/>
        <v>1.9754446706232179E-5</v>
      </c>
      <c r="AT273" s="147">
        <f t="shared" si="1497"/>
        <v>2.1519200063718595E-7</v>
      </c>
      <c r="AU273" s="139">
        <v>0.75</v>
      </c>
      <c r="AV273" s="139">
        <f t="shared" ref="AV273" si="1514">AU273/2</f>
        <v>0.375</v>
      </c>
      <c r="AW273" s="139">
        <f t="shared" si="1499"/>
        <v>879.50490000000002</v>
      </c>
      <c r="AX273" s="149">
        <f t="shared" si="1500"/>
        <v>322.81223339249999</v>
      </c>
      <c r="AY273" s="149">
        <f t="shared" si="1501"/>
        <v>2034.6274225292059</v>
      </c>
      <c r="AZ273" s="150">
        <f t="shared" si="1502"/>
        <v>0.36703858431317438</v>
      </c>
      <c r="BA273" s="139" t="str">
        <f>Input!B273</f>
        <v>Hu1-13</v>
      </c>
      <c r="BB273" s="151">
        <f>Input!E273</f>
        <v>0</v>
      </c>
      <c r="BC273" s="139">
        <f>((U273-1)*EXP(Constants!$B$17*AW273*1000))*1000</f>
        <v>9.0852175889765547</v>
      </c>
      <c r="BD273" s="145">
        <f>SQRT((EXP(Constants!$B$17*AW273*1000)*V273)^2+((U273-1)*Constants!$B$17*EXP(Constants!$B$17*AW273*1000)*AY273*1000)^2)*1000</f>
        <v>60.205110707959541</v>
      </c>
      <c r="BE273" s="139">
        <f t="shared" si="1503"/>
        <v>879446.9</v>
      </c>
      <c r="BF273" s="152">
        <f t="shared" si="1504"/>
        <v>1017313.711264603</v>
      </c>
      <c r="BG273" s="161">
        <f t="shared" si="1505"/>
        <v>231.33781546063085</v>
      </c>
      <c r="BH273" s="139"/>
      <c r="BI273" s="18"/>
      <c r="BJ273" s="18"/>
      <c r="BK273" s="18"/>
      <c r="BL273" s="18"/>
      <c r="BM273" s="18"/>
      <c r="BN273" s="160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</row>
    <row r="274" spans="1:110" ht="15" customHeight="1" x14ac:dyDescent="0.2">
      <c r="A274" s="18">
        <f>Input!A274</f>
        <v>11153</v>
      </c>
      <c r="B274" s="18" t="str">
        <f>Input!B274</f>
        <v>E4-20,5</v>
      </c>
      <c r="C274" s="18">
        <f>Input!O274</f>
        <v>1.7116448336116867</v>
      </c>
      <c r="D274" s="18">
        <f>C274*Input!P274/100</f>
        <v>4.5287588949180771E-3</v>
      </c>
      <c r="E274" s="153">
        <f>Input!M274</f>
        <v>2.2511752047532343</v>
      </c>
      <c r="F274" s="154">
        <f>E274*Input!N274/100</f>
        <v>1.0503221266029204E-4</v>
      </c>
      <c r="G274" s="21">
        <f>E274*137.88</f>
        <v>310.39203723137592</v>
      </c>
      <c r="H274" s="154">
        <f>G274*Input!L274/100</f>
        <v>1.6943556453263686E-2</v>
      </c>
      <c r="I274" s="18">
        <v>0.3</v>
      </c>
      <c r="J274" s="130">
        <f>(((C274*Constants!$B$24*0.000000001*Input!G274*(Constants!$B$4/Constants!$B$3))-(I274*0.000000000000001))/Input!F274)*1000000000000</f>
        <v>72.595711386218042</v>
      </c>
      <c r="K274" s="18">
        <f>J274*Input!P274/100</f>
        <v>0.19207750767985943</v>
      </c>
      <c r="L274" s="135">
        <f>(J274/Constants!$B$4)*602200000000*Constants!$B$17/(365.2425*24*60)</f>
        <v>1.0022643997823899</v>
      </c>
      <c r="M274" s="133">
        <f>L274*Input!P274/100</f>
        <v>2.6518432600276063E-3</v>
      </c>
      <c r="N274" s="18">
        <v>5.0000000000000001E-3</v>
      </c>
      <c r="O274" s="130">
        <f>(((G274*Constants!$B$23*0.000000001*Input!G274*(Constants!$B$7/Constants!$B$6))-(N274*0.000000001))/Input!F274)*1000000</f>
        <v>1.326145077515253</v>
      </c>
      <c r="P274" s="18">
        <f>O274*Input!N274/100</f>
        <v>6.1873439040143374E-5</v>
      </c>
      <c r="Q274" s="131">
        <f>(O274/Constants!$B$7)*602200000000000000*Constants!$B$18/(365.2425*24*60)</f>
        <v>0.98946437107224594</v>
      </c>
      <c r="R274" s="132">
        <f>Q274*Input!N274/100</f>
        <v>4.6165057265560189E-5</v>
      </c>
      <c r="S274" s="133">
        <f>Input!S274*Constants!$B$17/Constants!$B$18</f>
        <v>1.007181919531033</v>
      </c>
      <c r="T274" s="18">
        <f>S274*Input!T274/100</f>
        <v>8.0690142339575059E-4</v>
      </c>
      <c r="U274" s="18">
        <f>S274*1/((U273+U275)/2)</f>
        <v>1.0079569229127947</v>
      </c>
      <c r="V274" s="18">
        <f>U274*Input!T274/100</f>
        <v>8.0752231553028297E-4</v>
      </c>
      <c r="W274" s="134">
        <v>3.0000000000000001E-3</v>
      </c>
      <c r="X274" s="130">
        <f>(((Constants!$B$25*0.000000001*Input!G274/Input!W274*(Constants!$B$11/Constants!$B$9)-(W274*0.000000001))/Input!F274)*1000000000)</f>
        <v>3.566933924798203</v>
      </c>
      <c r="Y274" s="130">
        <f>X274*Input!X274/100</f>
        <v>8.7431082045934701E-3</v>
      </c>
      <c r="Z274" s="130">
        <f>(X274/Constants!$B$11)*6.022E+23*0.000000001*Constants!$B$19/(365.2425*24*60)</f>
        <v>8.7080388548977121E-4</v>
      </c>
      <c r="AA274" s="130">
        <f>Z274*Input!X274/100</f>
        <v>2.1344753663325073E-6</v>
      </c>
      <c r="AB274" s="135">
        <v>0.05</v>
      </c>
      <c r="AC274" s="135">
        <v>0</v>
      </c>
      <c r="AD274" s="130">
        <f>(((Input!G274*Constants!$B$25*0.000000001*Input!U274*(Constants!$B$10/Constants!$B$9))-((AB274*0.000000000000001)+(Input!G274*AC274*0.000000000000001)))/Input!F274)*1000000000000</f>
        <v>0.34087229590547047</v>
      </c>
      <c r="AE274" s="130">
        <f>AD274*Input!V274/100</f>
        <v>2.1747188773797851E-3</v>
      </c>
      <c r="AF274" s="130">
        <f>(AD274/Constants!$B$10)*602200000000*Constants!$B$16/(365.2425*24*60)</f>
        <v>1.5559343807592363E-2</v>
      </c>
      <c r="AG274" s="130">
        <f>AF274*Input!V274/100</f>
        <v>9.9266496880101362E-5</v>
      </c>
      <c r="AH274" s="18">
        <f>AF274/Z274</f>
        <v>17.867793273385811</v>
      </c>
      <c r="AI274" s="134">
        <f>AH274*SQRT((AG274/AF274)^2+(AA274/Z274)^2)</f>
        <v>0.12211800198710503</v>
      </c>
      <c r="AJ274" s="133">
        <f t="shared" si="1489"/>
        <v>7.9569229127947061</v>
      </c>
      <c r="AK274" s="134">
        <f>V274*1000</f>
        <v>0.80752231553028297</v>
      </c>
      <c r="AL274" s="134">
        <f>AF274/Q274</f>
        <v>1.5725016748941931E-2</v>
      </c>
      <c r="AM274" s="134">
        <f>AL274*SQRT((R274/Q274)^2+(AG274/AF274)^2)</f>
        <v>1.0032615039764592E-4</v>
      </c>
      <c r="AN274" s="18">
        <f>AL274*1/((AN273+AN275)/2)</f>
        <v>1.5743274975218588E-2</v>
      </c>
      <c r="AO274" s="130">
        <f>AN274*SQRT((R274/Q274)^2+(AG274/AF274)^2)</f>
        <v>1.0044263851239145E-4</v>
      </c>
      <c r="AP274" s="18">
        <f>ThU_Alter_Kombi(AN274,U274)</f>
        <v>1.7165999999999999</v>
      </c>
      <c r="AQ274" s="18">
        <f t="shared" si="1495"/>
        <v>1.06E-2</v>
      </c>
      <c r="AR274" s="155">
        <f>(AQ274/AP274)</f>
        <v>6.1749970872655253E-3</v>
      </c>
      <c r="AS274" s="132">
        <f t="shared" si="1496"/>
        <v>8.8007604007622146E-4</v>
      </c>
      <c r="AT274" s="132">
        <f t="shared" si="1497"/>
        <v>2.1575936119111441E-6</v>
      </c>
      <c r="AU274" s="18">
        <v>0.75</v>
      </c>
      <c r="AV274" s="18">
        <f>AU274/2</f>
        <v>0.375</v>
      </c>
      <c r="AW274" s="18">
        <f t="shared" si="1499"/>
        <v>1.6452</v>
      </c>
      <c r="AX274" s="136">
        <f t="shared" si="1500"/>
        <v>3.5291877499999999E-2</v>
      </c>
      <c r="AY274" s="136">
        <f t="shared" si="1501"/>
        <v>3.746870500443715E-2</v>
      </c>
      <c r="AZ274" s="155">
        <f t="shared" si="1502"/>
        <v>2.1451420799902747E-2</v>
      </c>
      <c r="BA274" s="18" t="str">
        <f>Input!B274</f>
        <v>E4-20,5</v>
      </c>
      <c r="BB274" s="137">
        <f>Input!E274</f>
        <v>20.5</v>
      </c>
      <c r="BC274" s="18">
        <f>((U274-1)*EXP(Constants!$B$17*AW274*1000))*1000</f>
        <v>7.9939516300336964</v>
      </c>
      <c r="BD274" s="133">
        <f>SQRT((EXP(Constants!$B$17*AW274*1000)*V274)^2+((U274-1)*Constants!$B$17*EXP(Constants!$B$17*AW274*1000)*AY274*1000)^2)*1000</f>
        <v>0.81128068036493861</v>
      </c>
      <c r="BE274" s="18">
        <f t="shared" si="1503"/>
        <v>1587.2</v>
      </c>
      <c r="BF274" s="138">
        <f t="shared" si="1504"/>
        <v>18.734352502218574</v>
      </c>
      <c r="BG274" s="20">
        <f t="shared" si="1505"/>
        <v>2.2774559326791359</v>
      </c>
      <c r="BH274" s="18"/>
      <c r="BI274" s="18"/>
      <c r="BJ274" s="18"/>
      <c r="BK274" s="18"/>
      <c r="BL274" s="18"/>
      <c r="BM274" s="18"/>
      <c r="BN274" s="160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</row>
    <row r="275" spans="1:110" ht="15" customHeight="1" x14ac:dyDescent="0.2">
      <c r="A275" s="139">
        <f>Input!A275</f>
        <v>10815</v>
      </c>
      <c r="B275" s="139" t="str">
        <f>Input!B275</f>
        <v>Hu1-13</v>
      </c>
      <c r="C275" s="139">
        <f>Input!O275</f>
        <v>2.0642645867568361</v>
      </c>
      <c r="D275" s="139">
        <f>C275*Input!P275/100</f>
        <v>1.4529084888021855E-2</v>
      </c>
      <c r="E275" s="140">
        <f>Input!M275</f>
        <v>2.7325600726613328</v>
      </c>
      <c r="F275" s="141">
        <f>E275*Input!N275/100</f>
        <v>4.8895956431543636E-4</v>
      </c>
      <c r="G275" s="142">
        <f t="shared" ref="G275" si="1515">E275*137.88</f>
        <v>376.76538281854454</v>
      </c>
      <c r="H275" s="141">
        <f>G275*Input!L275/100</f>
        <v>2.1798315162400262E-2</v>
      </c>
      <c r="I275" s="139">
        <v>0</v>
      </c>
      <c r="J275" s="143">
        <f>(((C275*Constants!$B$24*0.000000001*Input!G275*(Constants!$B$4/Constants!$B$3))-(I275*0.000000000000001))/Input!F275)*1000000000000</f>
        <v>745.27701386334752</v>
      </c>
      <c r="K275" s="139">
        <f>J275*Input!P275/100</f>
        <v>5.2455451054964701</v>
      </c>
      <c r="L275" s="144">
        <f>(J275/Constants!$B$4)*602200000000*Constants!$B$17/(365.2425*24*60)</f>
        <v>10.289376668511686</v>
      </c>
      <c r="M275" s="145">
        <f>L275*Input!P275/100</f>
        <v>7.2420574387951686E-2</v>
      </c>
      <c r="N275" s="139">
        <v>0</v>
      </c>
      <c r="O275" s="143">
        <f>(((G275*Constants!$B$23*0.000000001*Input!G275*(Constants!$B$7/Constants!$B$6))-(N275*0.000000001))/Input!F275)*1000000</f>
        <v>13.702659255128852</v>
      </c>
      <c r="P275" s="139">
        <f>O275*Input!N275/100</f>
        <v>2.4519301026108033E-3</v>
      </c>
      <c r="Q275" s="146">
        <f>(O275/Constants!$B$7)*602200000000000000*Constants!$B$18/(365.2425*24*60)</f>
        <v>10.223838516444227</v>
      </c>
      <c r="R275" s="147">
        <f>Q275*Input!N275/100</f>
        <v>1.829435947866723E-3</v>
      </c>
      <c r="S275" s="145">
        <f>Input!S275*Constants!$B$17/Constants!$B$18</f>
        <v>0.99770293570823432</v>
      </c>
      <c r="T275" s="139">
        <f>S275*Input!T275/100</f>
        <v>2.0226722137449754E-3</v>
      </c>
      <c r="U275" s="145">
        <f>S275</f>
        <v>0.99770293570823432</v>
      </c>
      <c r="V275" s="139">
        <f>U275*Input!T275/100</f>
        <v>2.0226722137449754E-3</v>
      </c>
      <c r="W275" s="148">
        <v>0</v>
      </c>
      <c r="X275" s="143">
        <f>(((Constants!$B$25*0.000000001*Input!G275/Input!W275*(Constants!$B$11/Constants!$B$9))-(W275*0.000000001))/Input!F275)*1000000000</f>
        <v>0.83296286078442094</v>
      </c>
      <c r="Y275" s="143">
        <f>X275*Input!X275/100</f>
        <v>4.8945532394674938E-3</v>
      </c>
      <c r="Z275" s="143">
        <f>(X275/Constants!$B$11)*6.022E+23*0.000000001*Constants!$B$19/(365.2425*24*60)</f>
        <v>2.0335316294954503E-4</v>
      </c>
      <c r="AA275" s="143">
        <f>Z275*Input!X275/100</f>
        <v>1.1949186804479343E-6</v>
      </c>
      <c r="AB275" s="144">
        <v>0</v>
      </c>
      <c r="AC275" s="144">
        <v>0</v>
      </c>
      <c r="AD275" s="143">
        <f>(((Input!G275*Constants!$B$25*0.000000001*Input!U275*(Constants!$B$10/Constants!$B$9))-((AB275*0.000000000000001)+(Input!G275*AC275*0.000000000000001)))/Input!F275)*1000000000000</f>
        <v>223.28878839318031</v>
      </c>
      <c r="AE275" s="143">
        <f>AD275*Input!V275/100</f>
        <v>0.79249121851653048</v>
      </c>
      <c r="AF275" s="143">
        <f>(AD275/Constants!$B$10)*602200000000*Constants!$B$16/(365.2425*24*60)</f>
        <v>10.192166006807698</v>
      </c>
      <c r="AG275" s="143">
        <f>AF275*Input!V275/100</f>
        <v>3.6173791421336254E-2</v>
      </c>
      <c r="AH275" s="139">
        <f t="shared" ref="AH275" si="1516">AF275/Z275</f>
        <v>50120.518702413923</v>
      </c>
      <c r="AI275" s="148">
        <f t="shared" ref="AI275" si="1517">AH275*SQRT((AG275/AF275)^2+(AA275/Z275)^2)</f>
        <v>344.06530351263694</v>
      </c>
      <c r="AJ275" s="145">
        <f t="shared" si="1489"/>
        <v>-2.2970642917656825</v>
      </c>
      <c r="AK275" s="148">
        <f t="shared" ref="AK275" si="1518">V275*1000</f>
        <v>2.0226722137449755</v>
      </c>
      <c r="AL275" s="148">
        <f t="shared" ref="AL275" si="1519">AF275/Q275</f>
        <v>0.99690209214615566</v>
      </c>
      <c r="AM275" s="148">
        <f t="shared" ref="AM275" si="1520">AL275*SQRT((R275/Q275)^2+(AG275/AF275)^2)</f>
        <v>3.5426749468723969E-3</v>
      </c>
      <c r="AN275" s="139">
        <f>AF275/Q275</f>
        <v>0.99690209214615566</v>
      </c>
      <c r="AO275" s="143">
        <f t="shared" ref="AO275" si="1521">AN275*SQRT((R275/Q275)^2+(AG275/AF275)^2)</f>
        <v>3.5426749468723969E-3</v>
      </c>
      <c r="AP275" s="139" t="str">
        <f t="shared" ref="AP275" si="1522">ThU_Alter_Kombi(AN275,U275)</f>
        <v>Out of range</v>
      </c>
      <c r="AQ275" s="139" t="e">
        <f t="shared" si="1495"/>
        <v>#VALUE!</v>
      </c>
      <c r="AR275" s="139" t="e">
        <f>(AQ275/AP275)*100</f>
        <v>#VALUE!</v>
      </c>
      <c r="AS275" s="147">
        <f t="shared" si="1496"/>
        <v>1.9890099263839872E-5</v>
      </c>
      <c r="AT275" s="147">
        <f t="shared" si="1497"/>
        <v>1.1692991714178006E-7</v>
      </c>
      <c r="AU275" s="139">
        <v>0.75</v>
      </c>
      <c r="AV275" s="139">
        <f t="shared" ref="AV275" si="1523">AU275/2</f>
        <v>0.375</v>
      </c>
      <c r="AW275" s="139" t="str">
        <f t="shared" si="1499"/>
        <v>Out of range</v>
      </c>
      <c r="AX275" s="149">
        <f t="shared" si="1500"/>
        <v>316.23702241889998</v>
      </c>
      <c r="AY275" s="149" t="e">
        <f t="shared" si="1501"/>
        <v>#VALUE!</v>
      </c>
      <c r="AZ275" s="150" t="e">
        <f t="shared" si="1502"/>
        <v>#VALUE!</v>
      </c>
      <c r="BA275" s="139" t="str">
        <f>Input!B275</f>
        <v>Hu1-13</v>
      </c>
      <c r="BB275" s="151">
        <f>Input!E275</f>
        <v>0</v>
      </c>
      <c r="BC275" s="139" t="e">
        <f>((U275-1)*EXP(Constants!$B$17*AW275*1000))*1000</f>
        <v>#VALUE!</v>
      </c>
      <c r="BD275" s="145" t="e">
        <f>SQRT((EXP(Constants!$B$17*AW275*1000)*V275)^2+((U275-1)*Constants!$B$17*EXP(Constants!$B$17*AW275*1000)*AY275*1000)^2)*1000</f>
        <v>#VALUE!</v>
      </c>
      <c r="BE275" s="139" t="e">
        <f t="shared" si="1503"/>
        <v>#VALUE!</v>
      </c>
      <c r="BF275" s="152" t="e">
        <f t="shared" si="1504"/>
        <v>#VALUE!</v>
      </c>
      <c r="BG275" s="161" t="e">
        <f t="shared" si="1505"/>
        <v>#VALUE!</v>
      </c>
      <c r="BH275" s="139"/>
      <c r="BI275" s="18"/>
      <c r="BJ275" s="18"/>
      <c r="BK275" s="18"/>
      <c r="BL275" s="18"/>
      <c r="BM275" s="18"/>
      <c r="BN275" s="160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</row>
    <row r="276" spans="1:110" ht="15" customHeight="1" x14ac:dyDescent="0.2">
      <c r="A276" s="18">
        <f>Input!A276</f>
        <v>11154</v>
      </c>
      <c r="B276" s="18" t="str">
        <f>Input!B276</f>
        <v>E4-21,5</v>
      </c>
      <c r="C276" s="18">
        <f>Input!O276</f>
        <v>1.4138152875606078</v>
      </c>
      <c r="D276" s="18">
        <f>C276*Input!P276/100</f>
        <v>4.2535159955840122E-3</v>
      </c>
      <c r="E276" s="153">
        <f>Input!M276</f>
        <v>1.8592397228854949</v>
      </c>
      <c r="F276" s="154">
        <f>E276*Input!N276/100</f>
        <v>1.0574772339585392E-4</v>
      </c>
      <c r="G276" s="21">
        <f>E276*137.88</f>
        <v>256.35197299145204</v>
      </c>
      <c r="H276" s="154">
        <f>G276*Input!L276/100</f>
        <v>1.2788385762102365E-2</v>
      </c>
      <c r="I276" s="18">
        <v>0.3</v>
      </c>
      <c r="J276" s="130">
        <f>(((C276*Constants!$B$24*0.000000001*Input!G276*(Constants!$B$4/Constants!$B$3))-(I276*0.000000000000001))/Input!F276)*1000000000000</f>
        <v>54.591245692372709</v>
      </c>
      <c r="K276" s="18">
        <f>J276*Input!P276/100</f>
        <v>0.16423979766975741</v>
      </c>
      <c r="L276" s="135">
        <f>(J276/Constants!$B$4)*602200000000*Constants!$B$17/(365.2425*24*60)</f>
        <v>0.7536927602534147</v>
      </c>
      <c r="M276" s="133">
        <f>L276*Input!P276/100</f>
        <v>2.2675127647156217E-3</v>
      </c>
      <c r="N276" s="18">
        <v>5.0000000000000001E-3</v>
      </c>
      <c r="O276" s="130">
        <f>(((G276*Constants!$B$23*0.000000001*Input!G276*(Constants!$B$7/Constants!$B$6))-(N276*0.000000001))/Input!F276)*1000000</f>
        <v>0.99712718022602409</v>
      </c>
      <c r="P276" s="18">
        <f>O276*Input!N276/100</f>
        <v>5.6713466234135186E-5</v>
      </c>
      <c r="Q276" s="131">
        <f>(O276/Constants!$B$7)*602200000000000000*Constants!$B$18/(365.2425*24*60)</f>
        <v>0.74397728799776597</v>
      </c>
      <c r="R276" s="132">
        <f>Q276*Input!N276/100</f>
        <v>4.2315094441875046E-5</v>
      </c>
      <c r="S276" s="133">
        <f>Input!S276*Constants!$B$17/Constants!$B$18</f>
        <v>1.0070462726362159</v>
      </c>
      <c r="T276" s="18">
        <f>S276*Input!T276/100</f>
        <v>7.6697247396723275E-4</v>
      </c>
      <c r="U276" s="18">
        <f>S276*1/((U275+U277)/2)</f>
        <v>1.0073580025841444</v>
      </c>
      <c r="V276" s="18">
        <f>U276*Input!T276/100</f>
        <v>7.6720988936299843E-4</v>
      </c>
      <c r="W276" s="134">
        <v>3.0000000000000001E-3</v>
      </c>
      <c r="X276" s="130">
        <f>(((Constants!$B$25*0.000000001*Input!G276/Input!W276*(Constants!$B$11/Constants!$B$9)-(W276*0.000000001))/Input!F276)*1000000000)</f>
        <v>9.345420622965305</v>
      </c>
      <c r="Y276" s="130">
        <f>X276*Input!X276/100</f>
        <v>2.2354452820340889E-2</v>
      </c>
      <c r="Z276" s="130">
        <f>(X276/Constants!$B$11)*6.022E+23*0.000000001*Constants!$B$19/(365.2425*24*60)</f>
        <v>2.2815192996530854E-3</v>
      </c>
      <c r="AA276" s="130">
        <f>Z276*Input!X276/100</f>
        <v>5.4574446245319559E-6</v>
      </c>
      <c r="AB276" s="135">
        <v>0.05</v>
      </c>
      <c r="AC276" s="135">
        <v>0</v>
      </c>
      <c r="AD276" s="130">
        <f>(((Input!G276*Constants!$B$25*0.000000001*Input!U276*(Constants!$B$10/Constants!$B$9))-((AB276*0.000000000000001)+(Input!G276*AC276*0.000000000000001)))/Input!F276)*1000000000000</f>
        <v>0.5252382062930756</v>
      </c>
      <c r="AE276" s="130">
        <f>AD276*Input!V276/100</f>
        <v>2.6843008583311958E-3</v>
      </c>
      <c r="AF276" s="130">
        <f>(AD276/Constants!$B$10)*602200000000*Constants!$B$16/(365.2425*24*60)</f>
        <v>2.3974849029278159E-2</v>
      </c>
      <c r="AG276" s="130">
        <f>AF276*Input!V276/100</f>
        <v>1.2252670703803028E-4</v>
      </c>
      <c r="AH276" s="18">
        <f>AF276/Z276</f>
        <v>10.508282368211233</v>
      </c>
      <c r="AI276" s="134">
        <f>AH276*SQRT((AG276/AF276)^2+(AA276/Z276)^2)</f>
        <v>5.9295362887436948E-2</v>
      </c>
      <c r="AJ276" s="133">
        <f t="shared" si="1489"/>
        <v>7.3580025841444296</v>
      </c>
      <c r="AK276" s="134">
        <f>V276*1000</f>
        <v>0.76720988936299839</v>
      </c>
      <c r="AL276" s="134">
        <f>AF276/Q276</f>
        <v>3.2225243184238375E-2</v>
      </c>
      <c r="AM276" s="134">
        <f>AL276*SQRT((R276/Q276)^2+(AG276/AF276)^2)</f>
        <v>1.647016605100071E-4</v>
      </c>
      <c r="AN276" s="18">
        <f>AL276*1/((AN275+AN277)/2)</f>
        <v>3.2284877680447084E-2</v>
      </c>
      <c r="AO276" s="130">
        <f>AN276*SQRT((R276/Q276)^2+(AG276/AF276)^2)</f>
        <v>1.6500644953807117E-4</v>
      </c>
      <c r="AP276" s="18">
        <f>ThU_Alter_Kombi(AN276,U276)</f>
        <v>3.5518999999999998</v>
      </c>
      <c r="AQ276" s="18">
        <f t="shared" si="1495"/>
        <v>1.9599999999999999E-2</v>
      </c>
      <c r="AR276" s="155">
        <f>(AQ276/AP276)</f>
        <v>5.5181733719980855E-3</v>
      </c>
      <c r="AS276" s="132">
        <f t="shared" si="1496"/>
        <v>3.0666518137848534E-3</v>
      </c>
      <c r="AT276" s="132">
        <f t="shared" si="1497"/>
        <v>7.3375723442359456E-6</v>
      </c>
      <c r="AU276" s="18">
        <v>0.75</v>
      </c>
      <c r="AV276" s="18">
        <f>AU276/2</f>
        <v>0.375</v>
      </c>
      <c r="AW276" s="18">
        <f t="shared" si="1499"/>
        <v>3.3027000000000002</v>
      </c>
      <c r="AX276" s="136">
        <f t="shared" si="1500"/>
        <v>0.12884222209999999</v>
      </c>
      <c r="AY276" s="136">
        <f t="shared" si="1501"/>
        <v>0.12632268574845443</v>
      </c>
      <c r="AZ276" s="155">
        <f t="shared" si="1502"/>
        <v>3.901117936839555E-2</v>
      </c>
      <c r="BA276" s="18" t="str">
        <f>Input!B276</f>
        <v>E4-21,5</v>
      </c>
      <c r="BB276" s="137">
        <f>Input!E276</f>
        <v>21.5</v>
      </c>
      <c r="BC276" s="18">
        <f>((U276-1)*EXP(Constants!$B$17*AW276*1000))*1000</f>
        <v>7.426902831407534</v>
      </c>
      <c r="BD276" s="133">
        <f>SQRT((EXP(Constants!$B$17*AW276*1000)*V276)^2+((U276-1)*Constants!$B$17*EXP(Constants!$B$17*AW276*1000)*AY276*1000)^2)*1000</f>
        <v>0.77439855952366077</v>
      </c>
      <c r="BE276" s="18">
        <f t="shared" si="1503"/>
        <v>3244.7000000000003</v>
      </c>
      <c r="BF276" s="138">
        <f t="shared" si="1504"/>
        <v>63.161342874227216</v>
      </c>
      <c r="BG276" s="20">
        <f t="shared" si="1505"/>
        <v>3.8248307672042396</v>
      </c>
      <c r="BH276" s="18"/>
      <c r="BI276" s="18"/>
      <c r="BJ276" s="18"/>
      <c r="BK276" s="18"/>
      <c r="BL276" s="18"/>
      <c r="BM276" s="18"/>
      <c r="BN276" s="160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</row>
    <row r="277" spans="1:110" ht="15" customHeight="1" x14ac:dyDescent="0.2">
      <c r="A277" s="139">
        <f>Input!A277</f>
        <v>10815</v>
      </c>
      <c r="B277" s="139" t="str">
        <f>Input!B277</f>
        <v>Hu1-13</v>
      </c>
      <c r="C277" s="139">
        <f>Input!O277</f>
        <v>2.1030065250519239</v>
      </c>
      <c r="D277" s="139">
        <f>C277*Input!P277/100</f>
        <v>3.1192537921164699E-2</v>
      </c>
      <c r="E277" s="140">
        <f>Input!M277</f>
        <v>2.7324543850866925</v>
      </c>
      <c r="F277" s="141">
        <f>E277*Input!N277/100</f>
        <v>4.1529387981464883E-4</v>
      </c>
      <c r="G277" s="142">
        <f t="shared" ref="G277" si="1524">E277*137.88</f>
        <v>376.75081061575315</v>
      </c>
      <c r="H277" s="141">
        <f>G277*Input!L277/100</f>
        <v>3.2769237955349952E-2</v>
      </c>
      <c r="I277" s="139">
        <v>0</v>
      </c>
      <c r="J277" s="143">
        <f>(((C277*Constants!$B$24*0.000000001*Input!G277*(Constants!$B$4/Constants!$B$3))-(I277*0.000000000000001))/Input!F277)*1000000000000</f>
        <v>759.26430806442875</v>
      </c>
      <c r="K277" s="139">
        <f>J277*Input!P277/100</f>
        <v>11.261677241301863</v>
      </c>
      <c r="L277" s="144">
        <f>(J277/Constants!$B$4)*602200000000*Constants!$B$17/(365.2425*24*60)</f>
        <v>10.48248679525793</v>
      </c>
      <c r="M277" s="145">
        <f>L277*Input!P277/100</f>
        <v>0.15547995832353304</v>
      </c>
      <c r="N277" s="139">
        <v>0</v>
      </c>
      <c r="O277" s="143">
        <f>(((G277*Constants!$B$23*0.000000001*Input!G277*(Constants!$B$7/Constants!$B$6))-(N277*0.000000001))/Input!F277)*1000000</f>
        <v>13.702129275628209</v>
      </c>
      <c r="P277" s="139">
        <f>O277*Input!N277/100</f>
        <v>2.0825271446999775E-3</v>
      </c>
      <c r="Q277" s="146">
        <f>(O277/Constants!$B$7)*602200000000000000*Constants!$B$18/(365.2425*24*60)</f>
        <v>10.223443087737238</v>
      </c>
      <c r="R277" s="147">
        <f>Q277*Input!N277/100</f>
        <v>1.5538167327305433E-3</v>
      </c>
      <c r="S277" s="145">
        <f>Input!S277*Constants!$B$17/Constants!$B$18</f>
        <v>1.0016781583077383</v>
      </c>
      <c r="T277" s="139">
        <f>S277*Input!T277/100</f>
        <v>2.4513297896383633E-3</v>
      </c>
      <c r="U277" s="145">
        <f>S277</f>
        <v>1.0016781583077383</v>
      </c>
      <c r="V277" s="139">
        <f>U277*Input!T277/100</f>
        <v>2.4513297896383633E-3</v>
      </c>
      <c r="W277" s="148">
        <v>0</v>
      </c>
      <c r="X277" s="143">
        <f>(((Constants!$B$25*0.000000001*Input!G277/Input!W277*(Constants!$B$11/Constants!$B$9))-(W277*0.000000001))/Input!F277)*1000000000</f>
        <v>0.82052939032188044</v>
      </c>
      <c r="Y277" s="143">
        <f>X277*Input!X277/100</f>
        <v>6.206355392377105E-3</v>
      </c>
      <c r="Z277" s="143">
        <f>(X277/Constants!$B$11)*6.022E+23*0.000000001*Constants!$B$19/(365.2425*24*60)</f>
        <v>2.0031775085131975E-4</v>
      </c>
      <c r="AA277" s="143">
        <f>Z277*Input!X277/100</f>
        <v>1.5151719948717953E-6</v>
      </c>
      <c r="AB277" s="144">
        <v>0</v>
      </c>
      <c r="AC277" s="144">
        <v>0</v>
      </c>
      <c r="AD277" s="143">
        <f>(((Input!G277*Constants!$B$25*0.000000001*Input!U277*(Constants!$B$10/Constants!$B$9))-((AB277*0.000000000000001)+(Input!G277*AC277*0.000000000000001)))/Input!F277)*1000000000000</f>
        <v>223.8404338648117</v>
      </c>
      <c r="AE277" s="143">
        <f>AD277*Input!V277/100</f>
        <v>0.81942721119872419</v>
      </c>
      <c r="AF277" s="143">
        <f>(AD277/Constants!$B$10)*602200000000*Constants!$B$16/(365.2425*24*60)</f>
        <v>10.217346233115661</v>
      </c>
      <c r="AG277" s="143">
        <f>AF277*Input!V277/100</f>
        <v>3.7403302813066579E-2</v>
      </c>
      <c r="AH277" s="139">
        <f t="shared" ref="AH277" si="1525">AF277/Z277</f>
        <v>51005.695649504378</v>
      </c>
      <c r="AI277" s="148">
        <f t="shared" ref="AI277" si="1526">AH277*SQRT((AG277/AF277)^2+(AA277/Z277)^2)</f>
        <v>428.60847861534671</v>
      </c>
      <c r="AJ277" s="145">
        <f t="shared" si="1489"/>
        <v>1.67815830773832</v>
      </c>
      <c r="AK277" s="148">
        <f t="shared" ref="AK277" si="1527">V277*1000</f>
        <v>2.4513297896383635</v>
      </c>
      <c r="AL277" s="148">
        <f t="shared" ref="AL277" si="1528">AF277/Q277</f>
        <v>0.99940363979441627</v>
      </c>
      <c r="AM277" s="148">
        <f t="shared" ref="AM277" si="1529">AL277*SQRT((R277/Q277)^2+(AG277/AF277)^2)</f>
        <v>3.6617335899554225E-3</v>
      </c>
      <c r="AN277" s="139">
        <f>AF277/Q277</f>
        <v>0.99940363979441627</v>
      </c>
      <c r="AO277" s="143">
        <f t="shared" ref="AO277" si="1530">AN277*SQRT((R277/Q277)^2+(AG277/AF277)^2)</f>
        <v>3.6617335899554225E-3</v>
      </c>
      <c r="AP277" s="139">
        <f t="shared" ref="AP277" si="1531">ThU_Alter_Kombi(AN277,U277)</f>
        <v>634.29190000000006</v>
      </c>
      <c r="AQ277" s="139" t="e">
        <f t="shared" si="1495"/>
        <v>#VALUE!</v>
      </c>
      <c r="AR277" s="139" t="e">
        <f>(AQ277/AP277)*100</f>
        <v>#VALUE!</v>
      </c>
      <c r="AS277" s="147">
        <f t="shared" si="1496"/>
        <v>1.9593961557979995E-5</v>
      </c>
      <c r="AT277" s="147">
        <f t="shared" si="1497"/>
        <v>1.4823556327913582E-7</v>
      </c>
      <c r="AU277" s="139">
        <v>0.75</v>
      </c>
      <c r="AV277" s="139">
        <f t="shared" ref="AV277" si="1532">AU277/2</f>
        <v>0.375</v>
      </c>
      <c r="AW277" s="139">
        <f t="shared" si="1499"/>
        <v>634.2903</v>
      </c>
      <c r="AX277" s="149">
        <f t="shared" si="1500"/>
        <v>288.14039931169998</v>
      </c>
      <c r="AY277" s="149">
        <f t="shared" si="1501"/>
        <v>181.99261693423136</v>
      </c>
      <c r="AZ277" s="150">
        <f t="shared" si="1502"/>
        <v>0.45427212005559597</v>
      </c>
      <c r="BA277" s="139" t="str">
        <f>Input!B277</f>
        <v>Hu1-13</v>
      </c>
      <c r="BB277" s="151">
        <f>Input!E277</f>
        <v>0</v>
      </c>
      <c r="BC277" s="139">
        <f>((U277-1)*EXP(Constants!$B$17*AW277*1000))*1000</f>
        <v>10.051302526387744</v>
      </c>
      <c r="BD277" s="145">
        <f>SQRT((EXP(Constants!$B$17*AW277*1000)*V277)^2+((U277-1)*Constants!$B$17*EXP(Constants!$B$17*AW277*1000)*AY277*1000)^2)*1000</f>
        <v>15.563298315293965</v>
      </c>
      <c r="BE277" s="139">
        <f t="shared" si="1503"/>
        <v>634232.30000000005</v>
      </c>
      <c r="BF277" s="152">
        <f t="shared" si="1504"/>
        <v>90996.308467115683</v>
      </c>
      <c r="BG277" s="161">
        <f t="shared" si="1505"/>
        <v>28.692322259103026</v>
      </c>
      <c r="BH277" s="139"/>
      <c r="BI277" s="18"/>
      <c r="BJ277" s="18"/>
      <c r="BK277" s="18"/>
      <c r="BL277" s="18"/>
      <c r="BM277" s="18"/>
      <c r="BN277" s="160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</row>
    <row r="278" spans="1:110" ht="15" customHeight="1" x14ac:dyDescent="0.2">
      <c r="A278" s="18">
        <f>Input!A278</f>
        <v>11155</v>
      </c>
      <c r="B278" s="18" t="str">
        <f>Input!B278</f>
        <v>E4-23</v>
      </c>
      <c r="C278" s="18">
        <f>Input!O278</f>
        <v>1.1937943246827765</v>
      </c>
      <c r="D278" s="18">
        <f>C278*Input!P278/100</f>
        <v>3.6086577414279407E-3</v>
      </c>
      <c r="E278" s="153">
        <f>Input!M278</f>
        <v>1.5648305074771056</v>
      </c>
      <c r="F278" s="154">
        <f>E278*Input!N278/100</f>
        <v>7.3583807830925014E-5</v>
      </c>
      <c r="G278" s="21">
        <f>E278*137.88</f>
        <v>215.75883037094331</v>
      </c>
      <c r="H278" s="154">
        <f>G278*Input!L278/100</f>
        <v>1.1488871412806721E-2</v>
      </c>
      <c r="I278" s="18">
        <v>0.3</v>
      </c>
      <c r="J278" s="130">
        <f>(((C278*Constants!$B$24*0.000000001*Input!G278*(Constants!$B$4/Constants!$B$3))-(I278*0.000000000000001))/Input!F278)*1000000000000</f>
        <v>47.781177570548238</v>
      </c>
      <c r="K278" s="18">
        <f>J278*Input!P278/100</f>
        <v>0.14443519521699874</v>
      </c>
      <c r="L278" s="135">
        <f>(J278/Constants!$B$4)*602200000000*Constants!$B$17/(365.2425*24*60)</f>
        <v>0.65967220851193298</v>
      </c>
      <c r="M278" s="133">
        <f>L278*Input!P278/100</f>
        <v>1.9940882385112908E-3</v>
      </c>
      <c r="N278" s="18">
        <v>5.0000000000000001E-3</v>
      </c>
      <c r="O278" s="130">
        <f>(((G278*Constants!$B$23*0.000000001*Input!G278*(Constants!$B$7/Constants!$B$6))-(N278*0.000000001))/Input!F278)*1000000</f>
        <v>0.86992083461752023</v>
      </c>
      <c r="P278" s="18">
        <f>O278*Input!N278/100</f>
        <v>4.0906722623791925E-5</v>
      </c>
      <c r="Q278" s="131">
        <f>(O278/Constants!$B$7)*602200000000000000*Constants!$B$18/(365.2425*24*60)</f>
        <v>0.64906599293060208</v>
      </c>
      <c r="R278" s="132">
        <f>Q278*Input!N278/100</f>
        <v>3.052135491044082E-5</v>
      </c>
      <c r="S278" s="133">
        <f>Input!S278*Constants!$B$17/Constants!$B$18</f>
        <v>1.0080983021275636</v>
      </c>
      <c r="T278" s="18">
        <f>S278*Input!T278/100</f>
        <v>1.1085534835536723E-3</v>
      </c>
      <c r="U278" s="18">
        <f>S278*1/((U277+U279)/2)</f>
        <v>1.0072940931000185</v>
      </c>
      <c r="V278" s="18">
        <f>U278*Input!T278/100</f>
        <v>1.1076691365439523E-3</v>
      </c>
      <c r="W278" s="134">
        <v>3.0000000000000001E-3</v>
      </c>
      <c r="X278" s="130">
        <f>(((Constants!$B$25*0.000000001*Input!G278/Input!W278*(Constants!$B$11/Constants!$B$9)-(W278*0.000000001))/Input!F278)*1000000000)</f>
        <v>3.7197678616418348</v>
      </c>
      <c r="Y278" s="130">
        <f>X278*Input!X278/100</f>
        <v>9.2047823388631562E-3</v>
      </c>
      <c r="Z278" s="130">
        <f>(X278/Constants!$B$11)*6.022E+23*0.000000001*Constants!$B$19/(365.2425*24*60)</f>
        <v>9.0811559040049859E-4</v>
      </c>
      <c r="AA278" s="130">
        <f>Z278*Input!X278/100</f>
        <v>2.2471849478465281E-6</v>
      </c>
      <c r="AB278" s="135">
        <v>0.05</v>
      </c>
      <c r="AC278" s="135">
        <v>0</v>
      </c>
      <c r="AD278" s="130">
        <f>(((Input!G278*Constants!$B$25*0.000000001*Input!U278*(Constants!$B$10/Constants!$B$9))-((AB278*0.000000000000001)+(Input!G278*AC278*0.000000000000001)))/Input!F278)*1000000000000</f>
        <v>0.25509321686459657</v>
      </c>
      <c r="AE278" s="130">
        <f>AD278*Input!V278/100</f>
        <v>2.0474484078749811E-3</v>
      </c>
      <c r="AF278" s="130">
        <f>(AD278/Constants!$B$10)*602200000000*Constants!$B$16/(365.2425*24*60)</f>
        <v>1.1643900404512981E-2</v>
      </c>
      <c r="AG278" s="130">
        <f>AF278*Input!V278/100</f>
        <v>9.3457151223779386E-5</v>
      </c>
      <c r="AH278" s="18">
        <f>AF278/Z278</f>
        <v>12.822046584816112</v>
      </c>
      <c r="AI278" s="134">
        <f>AH278*SQRT((AG278/AF278)^2+(AA278/Z278)^2)</f>
        <v>0.10769338769429687</v>
      </c>
      <c r="AJ278" s="133">
        <f t="shared" si="1489"/>
        <v>7.294093100018495</v>
      </c>
      <c r="AK278" s="134">
        <f>V278*1000</f>
        <v>1.1076691365439524</v>
      </c>
      <c r="AL278" s="134">
        <f>AF278/Q278</f>
        <v>1.7939470764659123E-2</v>
      </c>
      <c r="AM278" s="134">
        <f>AL278*SQRT((R278/Q278)^2+(AG278/AF278)^2)</f>
        <v>1.4398960375982045E-4</v>
      </c>
      <c r="AN278" s="18">
        <f>AL278*1/((AN277+AN279)/2)</f>
        <v>1.7910002461961828E-2</v>
      </c>
      <c r="AO278" s="130">
        <f>AN278*SQRT((R278/Q278)^2+(AG278/AF278)^2)</f>
        <v>1.4375307898801854E-4</v>
      </c>
      <c r="AP278" s="18">
        <f>ThU_Alter_Kombi(AN278,U278)</f>
        <v>1.9562999999999999</v>
      </c>
      <c r="AQ278" s="18">
        <f t="shared" si="1495"/>
        <v>1.5800000000000002E-2</v>
      </c>
      <c r="AR278" s="155">
        <f>(AQ278/AP278)</f>
        <v>8.0764708889229687E-3</v>
      </c>
      <c r="AS278" s="132">
        <f t="shared" si="1496"/>
        <v>1.399111338895233E-3</v>
      </c>
      <c r="AT278" s="132">
        <f t="shared" si="1497"/>
        <v>3.4628075904935393E-6</v>
      </c>
      <c r="AU278" s="18">
        <v>0.75</v>
      </c>
      <c r="AV278" s="18">
        <f>AU278/2</f>
        <v>0.375</v>
      </c>
      <c r="AW278" s="18">
        <f t="shared" si="1499"/>
        <v>1.8426</v>
      </c>
      <c r="AX278" s="136">
        <f t="shared" si="1500"/>
        <v>6.0279243099999998E-2</v>
      </c>
      <c r="AY278" s="136">
        <f t="shared" si="1501"/>
        <v>5.9140081255814346E-2</v>
      </c>
      <c r="AZ278" s="155">
        <f t="shared" si="1502"/>
        <v>3.2714231574948439E-2</v>
      </c>
      <c r="BA278" s="18" t="str">
        <f>Input!B278</f>
        <v>E4-23</v>
      </c>
      <c r="BB278" s="137">
        <f>Input!E278</f>
        <v>23</v>
      </c>
      <c r="BC278" s="18">
        <f>((U278-1)*EXP(Constants!$B$17*AW278*1000))*1000</f>
        <v>7.3321206417326472</v>
      </c>
      <c r="BD278" s="133">
        <f>SQRT((EXP(Constants!$B$17*AW278*1000)*V278)^2+((U278-1)*Constants!$B$17*EXP(Constants!$B$17*AW278*1000)*AY278*1000)^2)*1000</f>
        <v>1.1134446097381216</v>
      </c>
      <c r="BE278" s="18">
        <f t="shared" si="1503"/>
        <v>1784.6</v>
      </c>
      <c r="BF278" s="138">
        <f t="shared" si="1504"/>
        <v>29.570040627907172</v>
      </c>
      <c r="BG278" s="20">
        <f t="shared" si="1505"/>
        <v>3.2095995471515439</v>
      </c>
      <c r="BH278" s="18"/>
      <c r="BI278" s="18"/>
      <c r="BJ278" s="18"/>
      <c r="BK278" s="18"/>
      <c r="BL278" s="18"/>
      <c r="BM278" s="18"/>
      <c r="BN278" s="160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</row>
    <row r="279" spans="1:110" ht="15" customHeight="1" x14ac:dyDescent="0.2">
      <c r="A279" s="139">
        <f>Input!A279</f>
        <v>10815</v>
      </c>
      <c r="B279" s="139" t="str">
        <f>Input!B279</f>
        <v>Hu1-13</v>
      </c>
      <c r="C279" s="139">
        <f>Input!O279</f>
        <v>2.0959692346855499</v>
      </c>
      <c r="D279" s="139">
        <f>C279*Input!P279/100</f>
        <v>2.5847833121439515E-2</v>
      </c>
      <c r="E279" s="140">
        <f>Input!M279</f>
        <v>2.7321661158004056</v>
      </c>
      <c r="F279" s="141">
        <f>E279*Input!N279/100</f>
        <v>4.3211298657260249E-4</v>
      </c>
      <c r="G279" s="142">
        <f t="shared" ref="G279" si="1533">E279*137.88</f>
        <v>376.7110640465599</v>
      </c>
      <c r="H279" s="141">
        <f>G279*Input!L279/100</f>
        <v>3.032508613696085E-2</v>
      </c>
      <c r="I279" s="139">
        <v>0</v>
      </c>
      <c r="J279" s="143">
        <f>(((C279*Constants!$B$24*0.000000001*Input!G279*(Constants!$B$4/Constants!$B$3))-(I279*0.000000000000001))/Input!F279)*1000000000000</f>
        <v>756.72358204336149</v>
      </c>
      <c r="K279" s="139">
        <f>J279*Input!P279/100</f>
        <v>9.3320381540090747</v>
      </c>
      <c r="L279" s="144">
        <f>(J279/Constants!$B$4)*602200000000*Constants!$B$17/(365.2425*24*60)</f>
        <v>10.447409251531292</v>
      </c>
      <c r="M279" s="145">
        <f>L279*Input!P279/100</f>
        <v>0.12883914821654224</v>
      </c>
      <c r="N279" s="139">
        <v>0</v>
      </c>
      <c r="O279" s="143">
        <f>(((G279*Constants!$B$23*0.000000001*Input!G279*(Constants!$B$7/Constants!$B$6))-(N279*0.000000001))/Input!F279)*1000000</f>
        <v>13.700683724314175</v>
      </c>
      <c r="P279" s="139">
        <f>O279*Input!N279/100</f>
        <v>2.1668680128791038E-3</v>
      </c>
      <c r="Q279" s="146">
        <f>(O279/Constants!$B$7)*602200000000000000*Constants!$B$18/(365.2425*24*60)</f>
        <v>10.222364531894407</v>
      </c>
      <c r="R279" s="147">
        <f>Q279*Input!N279/100</f>
        <v>1.6167452052660727E-3</v>
      </c>
      <c r="S279" s="145">
        <f>Input!S279*Constants!$B$17/Constants!$B$18</f>
        <v>0.99991861275059291</v>
      </c>
      <c r="T279" s="139">
        <f>S279*Input!T279/100</f>
        <v>2.0980802903493839E-3</v>
      </c>
      <c r="U279" s="145">
        <f>S279</f>
        <v>0.99991861275059291</v>
      </c>
      <c r="V279" s="139">
        <f>U279*Input!T279/100</f>
        <v>2.0980802903493839E-3</v>
      </c>
      <c r="W279" s="148">
        <v>0</v>
      </c>
      <c r="X279" s="143">
        <f>(((Constants!$B$25*0.000000001*Input!G279/Input!W279*(Constants!$B$11/Constants!$B$9))-(W279*0.000000001))/Input!F279)*1000000000</f>
        <v>0.82792103454054189</v>
      </c>
      <c r="Y279" s="143">
        <f>X279*Input!X279/100</f>
        <v>4.3157928760586221E-3</v>
      </c>
      <c r="Z279" s="143">
        <f>(X279/Constants!$B$11)*6.022E+23*0.000000001*Constants!$B$19/(365.2425*24*60)</f>
        <v>2.0212229016757091E-4</v>
      </c>
      <c r="AA279" s="143">
        <f>Z279*Input!X279/100</f>
        <v>1.0536245651518595E-6</v>
      </c>
      <c r="AB279" s="144">
        <v>0</v>
      </c>
      <c r="AC279" s="144">
        <v>0</v>
      </c>
      <c r="AD279" s="143">
        <f>(((Input!G279*Constants!$B$25*0.000000001*Input!U279*(Constants!$B$10/Constants!$B$9))-((AB279*0.000000000000001)+(Input!G279*AC279*0.000000000000001)))/Input!F279)*1000000000000</f>
        <v>224.82088476305785</v>
      </c>
      <c r="AE279" s="143">
        <f>AD279*Input!V279/100</f>
        <v>0.61766615512705503</v>
      </c>
      <c r="AF279" s="143">
        <f>(AD279/Constants!$B$10)*602200000000*Constants!$B$16/(365.2425*24*60)</f>
        <v>10.262099569762606</v>
      </c>
      <c r="AG279" s="143">
        <f>AF279*Input!V279/100</f>
        <v>2.8193784538596455E-2</v>
      </c>
      <c r="AH279" s="139">
        <f t="shared" ref="AH279" si="1534">AF279/Z279</f>
        <v>50771.736067579383</v>
      </c>
      <c r="AI279" s="148">
        <f t="shared" ref="AI279" si="1535">AH279*SQRT((AG279/AF279)^2+(AA279/Z279)^2)</f>
        <v>299.1717931953886</v>
      </c>
      <c r="AJ279" s="145">
        <f t="shared" si="1489"/>
        <v>-8.1387249407094409E-2</v>
      </c>
      <c r="AK279" s="148">
        <f t="shared" ref="AK279" si="1536">V279*1000</f>
        <v>2.098080290349384</v>
      </c>
      <c r="AL279" s="148">
        <f t="shared" ref="AL279" si="1537">AF279/Q279</f>
        <v>1.0038870691554995</v>
      </c>
      <c r="AM279" s="148">
        <f t="shared" ref="AM279" si="1538">AL279*SQRT((R279/Q279)^2+(AG279/AF279)^2)</f>
        <v>2.7626154620010524E-3</v>
      </c>
      <c r="AN279" s="139">
        <f>AF279/Q279</f>
        <v>1.0038870691554995</v>
      </c>
      <c r="AO279" s="143">
        <f t="shared" ref="AO279" si="1539">AN279*SQRT((R279/Q279)^2+(AG279/AF279)^2)</f>
        <v>2.7626154620010524E-3</v>
      </c>
      <c r="AP279" s="139" t="str">
        <f t="shared" ref="AP279" si="1540">ThU_Alter_Kombi(AN279,U279)</f>
        <v>Out of range</v>
      </c>
      <c r="AQ279" s="139" t="e">
        <f t="shared" si="1495"/>
        <v>#VALUE!</v>
      </c>
      <c r="AR279" s="139" t="e">
        <f>(AQ279/AP279)*100</f>
        <v>#VALUE!</v>
      </c>
      <c r="AS279" s="147">
        <f t="shared" si="1496"/>
        <v>1.9772557468180372E-5</v>
      </c>
      <c r="AT279" s="147">
        <f t="shared" si="1497"/>
        <v>1.0311796217564555E-7</v>
      </c>
      <c r="AU279" s="139">
        <v>0.75</v>
      </c>
      <c r="AV279" s="139">
        <f t="shared" ref="AV279" si="1541">AU279/2</f>
        <v>0.375</v>
      </c>
      <c r="AW279" s="139" t="str">
        <f t="shared" si="1499"/>
        <v>Out of range</v>
      </c>
      <c r="AX279" s="149">
        <f t="shared" si="1500"/>
        <v>216.19437584830001</v>
      </c>
      <c r="AY279" s="149" t="e">
        <f t="shared" si="1501"/>
        <v>#VALUE!</v>
      </c>
      <c r="AZ279" s="150" t="e">
        <f t="shared" si="1502"/>
        <v>#VALUE!</v>
      </c>
      <c r="BA279" s="139" t="str">
        <f>Input!B279</f>
        <v>Hu1-13</v>
      </c>
      <c r="BB279" s="151">
        <f>Input!E279</f>
        <v>0</v>
      </c>
      <c r="BC279" s="139" t="e">
        <f>((U279-1)*EXP(Constants!$B$17*AW279*1000))*1000</f>
        <v>#VALUE!</v>
      </c>
      <c r="BD279" s="145" t="e">
        <f>SQRT((EXP(Constants!$B$17*AW279*1000)*V279)^2+((U279-1)*Constants!$B$17*EXP(Constants!$B$17*AW279*1000)*AY279*1000)^2)*1000</f>
        <v>#VALUE!</v>
      </c>
      <c r="BE279" s="139" t="e">
        <f t="shared" si="1503"/>
        <v>#VALUE!</v>
      </c>
      <c r="BF279" s="152" t="e">
        <f t="shared" si="1504"/>
        <v>#VALUE!</v>
      </c>
      <c r="BG279" s="161" t="e">
        <f t="shared" si="1505"/>
        <v>#VALUE!</v>
      </c>
      <c r="BH279" s="139"/>
      <c r="BI279" s="18"/>
      <c r="BJ279" s="18"/>
      <c r="BK279" s="18"/>
      <c r="BL279" s="18"/>
      <c r="BM279" s="18"/>
      <c r="BN279" s="160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</row>
    <row r="280" spans="1:110" ht="15" customHeight="1" x14ac:dyDescent="0.2">
      <c r="A280" s="18">
        <f>Input!A280</f>
        <v>11156</v>
      </c>
      <c r="B280" s="18" t="str">
        <f>Input!B280</f>
        <v>E4-24,5</v>
      </c>
      <c r="C280" s="18">
        <f>Input!O280</f>
        <v>1.1546139291999977</v>
      </c>
      <c r="D280" s="18">
        <f>C280*Input!P280/100</f>
        <v>3.7940543768114759E-3</v>
      </c>
      <c r="E280" s="153">
        <f>Input!M280</f>
        <v>1.5170265308141724</v>
      </c>
      <c r="F280" s="154">
        <f>E280*Input!N280/100</f>
        <v>8.8575099179195996E-5</v>
      </c>
      <c r="G280" s="21">
        <f>E280*137.88</f>
        <v>209.16761806865807</v>
      </c>
      <c r="H280" s="154">
        <f>G280*Input!L280/100</f>
        <v>9.8916183852350518E-3</v>
      </c>
      <c r="I280" s="18">
        <v>0.3</v>
      </c>
      <c r="J280" s="130">
        <f>(((C280*Constants!$B$24*0.000000001*Input!G280*(Constants!$B$4/Constants!$B$3))-(I280*0.000000000000001))/Input!F280)*1000000000000</f>
        <v>48.514400639978049</v>
      </c>
      <c r="K280" s="18">
        <f>J280*Input!P280/100</f>
        <v>0.15941802660741236</v>
      </c>
      <c r="L280" s="135">
        <f>(J280/Constants!$B$4)*602200000000*Constants!$B$17/(365.2425*24*60)</f>
        <v>0.66979516709386622</v>
      </c>
      <c r="M280" s="133">
        <f>L280*Input!P280/100</f>
        <v>2.2009428615159844E-3</v>
      </c>
      <c r="N280" s="18">
        <v>5.0000000000000001E-3</v>
      </c>
      <c r="O280" s="130">
        <f>(((G280*Constants!$B$23*0.000000001*Input!G280*(Constants!$B$7/Constants!$B$6))-(N280*0.000000001))/Input!F280)*1000000</f>
        <v>0.88534443237644378</v>
      </c>
      <c r="P280" s="18">
        <f>O280*Input!N280/100</f>
        <v>5.1692880323856684E-5</v>
      </c>
      <c r="Q280" s="131">
        <f>(O280/Constants!$B$7)*602200000000000000*Constants!$B$18/(365.2425*24*60)</f>
        <v>0.66057385938877178</v>
      </c>
      <c r="R280" s="132">
        <f>Q280*Input!N280/100</f>
        <v>3.8569131074552013E-5</v>
      </c>
      <c r="S280" s="133">
        <f>Input!S280*Constants!$B$17/Constants!$B$18</f>
        <v>1.0079383576241865</v>
      </c>
      <c r="T280" s="18">
        <f>S280*Input!T280/100</f>
        <v>1.0713684668994363E-3</v>
      </c>
      <c r="U280" s="18">
        <f>S280*1/((U279+U281)/2)</f>
        <v>1.0080617902720725</v>
      </c>
      <c r="V280" s="18">
        <f>U280*Input!T280/100</f>
        <v>1.0714996672310149E-3</v>
      </c>
      <c r="W280" s="134">
        <v>3.0000000000000001E-3</v>
      </c>
      <c r="X280" s="130">
        <f>(((Constants!$B$25*0.000000001*Input!G280/Input!W280*(Constants!$B$11/Constants!$B$9)-(W280*0.000000001))/Input!F280)*1000000000)</f>
        <v>7.5918688711338262</v>
      </c>
      <c r="Y280" s="130">
        <f>X280*Input!X280/100</f>
        <v>1.9497346760785208E-2</v>
      </c>
      <c r="Z280" s="130">
        <f>(X280/Constants!$B$11)*6.022E+23*0.000000001*Constants!$B$19/(365.2425*24*60)</f>
        <v>1.8534206269285446E-3</v>
      </c>
      <c r="AA280" s="130">
        <f>Z280*Input!X280/100</f>
        <v>4.759932668781832E-6</v>
      </c>
      <c r="AB280" s="135">
        <v>0.05</v>
      </c>
      <c r="AC280" s="135">
        <v>0</v>
      </c>
      <c r="AD280" s="130">
        <f>(((Input!G280*Constants!$B$25*0.000000001*Input!U280*(Constants!$B$10/Constants!$B$9))-((AB280*0.000000000000001)+(Input!G280*AC280*0.000000000000001)))/Input!F280)*1000000000000</f>
        <v>0.57556459514227165</v>
      </c>
      <c r="AE280" s="130">
        <f>AD280*Input!V280/100</f>
        <v>3.475534048278515E-3</v>
      </c>
      <c r="AF280" s="130">
        <f>(AD280/Constants!$B$10)*602200000000*Constants!$B$16/(365.2425*24*60)</f>
        <v>2.6272030689697919E-2</v>
      </c>
      <c r="AG280" s="130">
        <f>AF280*Input!V280/100</f>
        <v>1.5864307490437766E-4</v>
      </c>
      <c r="AH280" s="18">
        <f>AF280/Z280</f>
        <v>14.174888478086842</v>
      </c>
      <c r="AI280" s="134">
        <f>AH280*SQRT((AG280/AF280)^2+(AA280/Z280)^2)</f>
        <v>9.3014495209503306E-2</v>
      </c>
      <c r="AJ280" s="133">
        <f t="shared" si="1489"/>
        <v>8.0617902720725443</v>
      </c>
      <c r="AK280" s="134">
        <f>V280*1000</f>
        <v>1.0714996672310149</v>
      </c>
      <c r="AL280" s="134">
        <f>AF280/Q280</f>
        <v>3.9771526402827079E-2</v>
      </c>
      <c r="AM280" s="134">
        <f>AL280*SQRT((R280/Q280)^2+(AG280/AF280)^2)</f>
        <v>2.4017070693013821E-4</v>
      </c>
      <c r="AN280" s="18">
        <f>AL280*1/((AN279+AN281)/2)</f>
        <v>3.9758610219520332E-2</v>
      </c>
      <c r="AO280" s="130">
        <f>AN280*SQRT((R280/Q280)^2+(AG280/AF280)^2)</f>
        <v>2.4009270919768505E-4</v>
      </c>
      <c r="AP280" s="18">
        <f>ThU_Alter_Kombi(AN280,U280)</f>
        <v>4.3876999999999997</v>
      </c>
      <c r="AQ280" s="18">
        <f t="shared" si="1495"/>
        <v>2.75E-2</v>
      </c>
      <c r="AR280" s="155">
        <f>(AQ280/AP280)</f>
        <v>6.267520568862958E-3</v>
      </c>
      <c r="AS280" s="132">
        <f t="shared" si="1496"/>
        <v>2.8057734961591009E-3</v>
      </c>
      <c r="AT280" s="132">
        <f t="shared" si="1497"/>
        <v>7.2076158948898493E-6</v>
      </c>
      <c r="AU280" s="18">
        <v>0.75</v>
      </c>
      <c r="AV280" s="18">
        <f>AU280/2</f>
        <v>0.375</v>
      </c>
      <c r="AW280" s="18">
        <f t="shared" si="1499"/>
        <v>4.1599000000000004</v>
      </c>
      <c r="AX280" s="136">
        <f t="shared" si="1500"/>
        <v>0.1186287241</v>
      </c>
      <c r="AY280" s="136">
        <f t="shared" si="1501"/>
        <v>0.11745692165261096</v>
      </c>
      <c r="AZ280" s="155">
        <f t="shared" si="1502"/>
        <v>2.8517205726099181E-2</v>
      </c>
      <c r="BA280" s="18" t="str">
        <f>Input!B280</f>
        <v>E4-24,5</v>
      </c>
      <c r="BB280" s="137">
        <f>Input!E280</f>
        <v>24.5</v>
      </c>
      <c r="BC280" s="18">
        <f>((U280-1)*EXP(Constants!$B$17*AW280*1000))*1000</f>
        <v>8.15698925766762</v>
      </c>
      <c r="BD280" s="133">
        <f>SQRT((EXP(Constants!$B$17*AW280*1000)*V280)^2+((U280-1)*Constants!$B$17*EXP(Constants!$B$17*AW280*1000)*AY280*1000)^2)*1000</f>
        <v>1.0841560200503484</v>
      </c>
      <c r="BE280" s="18">
        <f t="shared" si="1503"/>
        <v>4101.9000000000005</v>
      </c>
      <c r="BF280" s="138">
        <f t="shared" si="1504"/>
        <v>58.728460826305479</v>
      </c>
      <c r="BG280" s="20">
        <f t="shared" si="1505"/>
        <v>2.8235515674081335</v>
      </c>
      <c r="BH280" s="18"/>
      <c r="BI280" s="18"/>
      <c r="BJ280" s="18"/>
      <c r="BK280" s="18"/>
      <c r="BL280" s="18"/>
      <c r="BM280" s="18"/>
      <c r="BN280" s="160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</row>
    <row r="281" spans="1:110" ht="15" customHeight="1" x14ac:dyDescent="0.2">
      <c r="A281" s="139">
        <f>Input!A281</f>
        <v>10815</v>
      </c>
      <c r="B281" s="139" t="str">
        <f>Input!B281</f>
        <v>Hu1-13</v>
      </c>
      <c r="C281" s="139">
        <f>Input!O281</f>
        <v>2.0911978355147269</v>
      </c>
      <c r="D281" s="139">
        <f>C281*Input!P281/100</f>
        <v>1.8643773470422391E-2</v>
      </c>
      <c r="E281" s="140">
        <f>Input!M281</f>
        <v>2.7328040028732263</v>
      </c>
      <c r="F281" s="141">
        <f>E281*Input!N281/100</f>
        <v>4.9937786232366838E-4</v>
      </c>
      <c r="G281" s="142">
        <f t="shared" ref="G281" si="1542">E281*137.88</f>
        <v>376.79901591616044</v>
      </c>
      <c r="H281" s="141">
        <f>G281*Input!L281/100</f>
        <v>3.3736157286906779E-2</v>
      </c>
      <c r="I281" s="139">
        <v>0</v>
      </c>
      <c r="J281" s="143">
        <f>(((C281*Constants!$B$24*0.000000001*Input!G281*(Constants!$B$4/Constants!$B$3))-(I281*0.000000000000001))/Input!F281)*1000000000000</f>
        <v>755.00092781153762</v>
      </c>
      <c r="K281" s="139">
        <f>J281*Input!P281/100</f>
        <v>6.7311021602183123</v>
      </c>
      <c r="L281" s="144">
        <f>(J281/Constants!$B$4)*602200000000*Constants!$B$17/(365.2425*24*60)</f>
        <v>10.423626097172406</v>
      </c>
      <c r="M281" s="145">
        <f>L281*Input!P281/100</f>
        <v>9.2930338964429746E-2</v>
      </c>
      <c r="N281" s="139">
        <v>0</v>
      </c>
      <c r="O281" s="143">
        <f>(((G281*Constants!$B$23*0.000000001*Input!G281*(Constants!$B$7/Constants!$B$6))-(N281*0.000000001))/Input!F281)*1000000</f>
        <v>13.703882464312452</v>
      </c>
      <c r="P281" s="139">
        <f>O281*Input!N281/100</f>
        <v>2.504173560697401E-3</v>
      </c>
      <c r="Q281" s="146">
        <f>(O281/Constants!$B$7)*602200000000000000*Constants!$B$18/(365.2425*24*60)</f>
        <v>10.224751178208059</v>
      </c>
      <c r="R281" s="147">
        <f>Q281*Input!N281/100</f>
        <v>1.8684158764392062E-3</v>
      </c>
      <c r="S281" s="145">
        <f>Input!S281*Constants!$B$17/Constants!$B$18</f>
        <v>0.99983649621380344</v>
      </c>
      <c r="T281" s="139">
        <f>S281*Input!T281/100</f>
        <v>2.7089792761315133E-3</v>
      </c>
      <c r="U281" s="145">
        <f>S281</f>
        <v>0.99983649621380344</v>
      </c>
      <c r="V281" s="139">
        <f>U281*Input!T281/100</f>
        <v>2.7089792761315133E-3</v>
      </c>
      <c r="W281" s="148">
        <v>0</v>
      </c>
      <c r="X281" s="143">
        <f>(((Constants!$B$25*0.000000001*Input!G281/Input!W281*(Constants!$B$11/Constants!$B$9))-(W281*0.000000001))/Input!F281)*1000000000</f>
        <v>0.82054062949133855</v>
      </c>
      <c r="Y281" s="143">
        <f>X281*Input!X281/100</f>
        <v>5.1157640865828339E-3</v>
      </c>
      <c r="Z281" s="143">
        <f>(X281/Constants!$B$11)*6.022E+23*0.000000001*Constants!$B$19/(365.2425*24*60)</f>
        <v>2.0032049469593255E-4</v>
      </c>
      <c r="AA281" s="143">
        <f>Z281*Input!X281/100</f>
        <v>1.2489233996947086E-6</v>
      </c>
      <c r="AB281" s="144">
        <v>0</v>
      </c>
      <c r="AC281" s="144">
        <v>0</v>
      </c>
      <c r="AD281" s="143">
        <f>(((Input!G281*Constants!$B$25*0.000000001*Input!U281*(Constants!$B$10/Constants!$B$9))-((AB281*0.000000000000001)+(Input!G281*AC281*0.000000000000001)))/Input!F281)*1000000000000</f>
        <v>223.27748798444128</v>
      </c>
      <c r="AE281" s="143">
        <f>AD281*Input!V281/100</f>
        <v>0.78140396993834571</v>
      </c>
      <c r="AF281" s="143">
        <f>(AD281/Constants!$B$10)*602200000000*Constants!$B$16/(365.2425*24*60)</f>
        <v>10.191650192096885</v>
      </c>
      <c r="AG281" s="143">
        <f>AF281*Input!V281/100</f>
        <v>3.56677065485543E-2</v>
      </c>
      <c r="AH281" s="139">
        <f t="shared" ref="AH281" si="1543">AF281/Z281</f>
        <v>50876.722362166889</v>
      </c>
      <c r="AI281" s="148">
        <f t="shared" ref="AI281" si="1544">AH281*SQRT((AG281/AF281)^2+(AA281/Z281)^2)</f>
        <v>363.75417556589321</v>
      </c>
      <c r="AJ281" s="145">
        <f t="shared" si="1489"/>
        <v>-0.16350378619656158</v>
      </c>
      <c r="AK281" s="148">
        <f t="shared" ref="AK281" si="1545">V281*1000</f>
        <v>2.7089792761315135</v>
      </c>
      <c r="AL281" s="148">
        <f t="shared" ref="AL281" si="1546">AF281/Q281</f>
        <v>0.99676266096511745</v>
      </c>
      <c r="AM281" s="148">
        <f t="shared" ref="AM281" si="1547">AL281*SQRT((R281/Q281)^2+(AG281/AF281)^2)</f>
        <v>3.493121153311051E-3</v>
      </c>
      <c r="AN281" s="139">
        <f>AF281/Q281</f>
        <v>0.99676266096511745</v>
      </c>
      <c r="AO281" s="143">
        <f t="shared" ref="AO281" si="1548">AN281*SQRT((R281/Q281)^2+(AG281/AF281)^2)</f>
        <v>3.493121153311051E-3</v>
      </c>
      <c r="AP281" s="139">
        <f t="shared" ref="AP281" si="1549">ThU_Alter_Kombi(AN281,U281)</f>
        <v>633.26260000000002</v>
      </c>
      <c r="AQ281" s="139" t="e">
        <f t="shared" si="1495"/>
        <v>#VALUE!</v>
      </c>
      <c r="AR281" s="139" t="e">
        <f>(AQ281/AP281)*100</f>
        <v>#VALUE!</v>
      </c>
      <c r="AS281" s="147">
        <f t="shared" si="1496"/>
        <v>1.9591723182748372E-5</v>
      </c>
      <c r="AT281" s="147">
        <f t="shared" si="1497"/>
        <v>1.2219952441382871E-7</v>
      </c>
      <c r="AU281" s="139">
        <v>0.75</v>
      </c>
      <c r="AV281" s="139">
        <f t="shared" ref="AV281" si="1550">AU281/2</f>
        <v>0.375</v>
      </c>
      <c r="AW281" s="139">
        <f t="shared" si="1499"/>
        <v>633.26089999999999</v>
      </c>
      <c r="AX281" s="149">
        <f t="shared" si="1500"/>
        <v>293.20992946479998</v>
      </c>
      <c r="AY281" s="149">
        <f t="shared" si="1501"/>
        <v>187.46233429223003</v>
      </c>
      <c r="AZ281" s="150">
        <f t="shared" si="1502"/>
        <v>0.46301600093231715</v>
      </c>
      <c r="BA281" s="139" t="str">
        <f>Input!B281</f>
        <v>Hu1-13</v>
      </c>
      <c r="BB281" s="151">
        <f>Input!E281</f>
        <v>0</v>
      </c>
      <c r="BC281" s="139">
        <f>((U281-1)*EXP(Constants!$B$17*AW281*1000))*1000</f>
        <v>-0.97646255425920669</v>
      </c>
      <c r="BD281" s="145">
        <f>SQRT((EXP(Constants!$B$17*AW281*1000)*V281)^2+((U281-1)*Constants!$B$17*EXP(Constants!$B$17*AW281*1000)*AY281*1000)^2)*1000</f>
        <v>16.186566655375724</v>
      </c>
      <c r="BE281" s="139">
        <f t="shared" si="1503"/>
        <v>633202.9</v>
      </c>
      <c r="BF281" s="152">
        <f t="shared" si="1504"/>
        <v>93731.167146115011</v>
      </c>
      <c r="BG281" s="161">
        <f t="shared" si="1505"/>
        <v>29.602701555114173</v>
      </c>
      <c r="BH281" s="139"/>
      <c r="BI281" s="18"/>
      <c r="BJ281" s="18"/>
      <c r="BK281" s="18"/>
      <c r="BL281" s="18"/>
      <c r="BM281" s="18"/>
      <c r="BN281" s="160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</row>
    <row r="282" spans="1:110" ht="15" customHeight="1" x14ac:dyDescent="0.2">
      <c r="A282" s="18">
        <f>Input!A282</f>
        <v>11157</v>
      </c>
      <c r="B282" s="18" t="str">
        <f>Input!B282</f>
        <v>E4-25,5</v>
      </c>
      <c r="C282" s="18">
        <f>Input!O282</f>
        <v>1.0293418227336597</v>
      </c>
      <c r="D282" s="18">
        <f>C282*Input!P282/100</f>
        <v>3.4051827131909725E-3</v>
      </c>
      <c r="E282" s="153">
        <f>Input!M282</f>
        <v>1.3524519206122934</v>
      </c>
      <c r="F282" s="154">
        <f>E282*Input!N282/100</f>
        <v>6.9328287939410282E-5</v>
      </c>
      <c r="G282" s="21">
        <f>E282*137.88</f>
        <v>186.47607081402299</v>
      </c>
      <c r="H282" s="154">
        <f>G282*Input!L282/100</f>
        <v>8.4785881932906808E-3</v>
      </c>
      <c r="I282" s="18">
        <v>0.3</v>
      </c>
      <c r="J282" s="130">
        <f>(((C282*Constants!$B$24*0.000000001*Input!G282*(Constants!$B$4/Constants!$B$3))-(I282*0.000000000000001))/Input!F282)*1000000000000</f>
        <v>40.574918433575981</v>
      </c>
      <c r="K282" s="18">
        <f>J282*Input!P282/100</f>
        <v>0.13422655894056351</v>
      </c>
      <c r="L282" s="135">
        <f>(J282/Constants!$B$4)*602200000000*Constants!$B$17/(365.2425*24*60)</f>
        <v>0.56018179990957251</v>
      </c>
      <c r="M282" s="133">
        <f>L282*Input!P282/100</f>
        <v>1.8531466799147516E-3</v>
      </c>
      <c r="N282" s="18">
        <v>5.0000000000000001E-3</v>
      </c>
      <c r="O282" s="130">
        <f>(((G282*Constants!$B$23*0.000000001*Input!G282*(Constants!$B$7/Constants!$B$6))-(N282*0.000000001))/Input!F282)*1000000</f>
        <v>0.74046641656752732</v>
      </c>
      <c r="P282" s="18">
        <f>O282*Input!N282/100</f>
        <v>3.795718587468598E-5</v>
      </c>
      <c r="Q282" s="131">
        <f>(O282/Constants!$B$7)*602200000000000000*Constants!$B$18/(365.2425*24*60)</f>
        <v>0.55247736434830685</v>
      </c>
      <c r="R282" s="132">
        <f>Q282*Input!N282/100</f>
        <v>2.8320644314073188E-5</v>
      </c>
      <c r="S282" s="133">
        <f>Input!S282*Constants!$B$17/Constants!$B$18</f>
        <v>1.0089037689178126</v>
      </c>
      <c r="T282" s="18">
        <f>S282*Input!T282/100</f>
        <v>1.0904334642514136E-3</v>
      </c>
      <c r="U282" s="18">
        <f>S282*1/((U281+U283)/2)</f>
        <v>1.0078644770370699</v>
      </c>
      <c r="V282" s="18">
        <f>U282*Input!T282/100</f>
        <v>1.0893101870065459E-3</v>
      </c>
      <c r="W282" s="134">
        <v>3.0000000000000001E-3</v>
      </c>
      <c r="X282" s="130">
        <f>(((Constants!$B$25*0.000000001*Input!G282/Input!W282*(Constants!$B$11/Constants!$B$9)-(W282*0.000000001))/Input!F282)*1000000000)</f>
        <v>1.8062105136852062</v>
      </c>
      <c r="Y282" s="130">
        <f>X282*Input!X282/100</f>
        <v>3.2560412117628164E-3</v>
      </c>
      <c r="Z282" s="130">
        <f>(X282/Constants!$B$11)*6.022E+23*0.000000001*Constants!$B$19/(365.2425*24*60)</f>
        <v>4.4095437888397001E-4</v>
      </c>
      <c r="AA282" s="130">
        <f>Z282*Input!X282/100</f>
        <v>7.9490492347101509E-7</v>
      </c>
      <c r="AB282" s="135">
        <v>0.05</v>
      </c>
      <c r="AC282" s="135">
        <v>0</v>
      </c>
      <c r="AD282" s="130">
        <f>(((Input!G282*Constants!$B$25*0.000000001*Input!U282*(Constants!$B$10/Constants!$B$9))-((AB282*0.000000000000001)+(Input!G282*AC282*0.000000000000001)))/Input!F282)*1000000000000</f>
        <v>0.20651959285516211</v>
      </c>
      <c r="AE282" s="130">
        <f>AD282*Input!V282/100</f>
        <v>1.8786811025032759E-3</v>
      </c>
      <c r="AF282" s="130">
        <f>(AD282/Constants!$B$10)*602200000000*Constants!$B$16/(365.2425*24*60)</f>
        <v>9.4267248668649974E-3</v>
      </c>
      <c r="AG282" s="130">
        <f>AF282*Input!V282/100</f>
        <v>8.575365475515613E-5</v>
      </c>
      <c r="AH282" s="18">
        <f>AF282/Z282</f>
        <v>21.378004887316216</v>
      </c>
      <c r="AI282" s="134">
        <f>AH282*SQRT((AG282/AF282)^2+(AA282/Z282)^2)</f>
        <v>0.19825454237325504</v>
      </c>
      <c r="AJ282" s="133">
        <f t="shared" ref="AJ282:AJ283" si="1551">(U282-1)*1000</f>
        <v>7.8644770370699391</v>
      </c>
      <c r="AK282" s="134">
        <f>V282*1000</f>
        <v>1.0893101870065458</v>
      </c>
      <c r="AL282" s="134">
        <f>AF282/Q282</f>
        <v>1.7062644508494217E-2</v>
      </c>
      <c r="AM282" s="134">
        <f>AL282*SQRT((R282/Q282)^2+(AG282/AF282)^2)</f>
        <v>1.5521905832525294E-4</v>
      </c>
      <c r="AN282" s="18">
        <f>AL282*1/((AN281+AN283)/2)</f>
        <v>1.7054706279276334E-2</v>
      </c>
      <c r="AO282" s="130">
        <f>AN282*SQRT((R282/Q282)^2+(AG282/AF282)^2)</f>
        <v>1.5514684416974167E-4</v>
      </c>
      <c r="AP282" s="18">
        <f>ThU_Alter_Kombi(AN282,U282)</f>
        <v>1.861</v>
      </c>
      <c r="AQ282" s="18">
        <f t="shared" ref="AQ282:AQ283" si="1552">Montealter(AN282,AO282,U282,V282)</f>
        <v>1.6899999999999998E-2</v>
      </c>
      <c r="AR282" s="155">
        <f>(AQ282/AP282)</f>
        <v>9.0811391724879096E-3</v>
      </c>
      <c r="AS282" s="132">
        <f t="shared" ref="AS282:AS283" si="1553">Z282/Q282</f>
        <v>7.9814017250120735E-4</v>
      </c>
      <c r="AT282" s="132">
        <f t="shared" ref="AT282:AT283" si="1554">AS282*SQRT((Y282/X282)^2+(P282/O282)^2)</f>
        <v>1.4393824802052802E-6</v>
      </c>
      <c r="AU282" s="18">
        <v>0.75</v>
      </c>
      <c r="AV282" s="18">
        <f>AU282/2</f>
        <v>0.375</v>
      </c>
      <c r="AW282" s="18">
        <f t="shared" ref="AW282:AW283" si="1555">marincorr_age(AN282,U282,AS282,AU282)</f>
        <v>1.7962</v>
      </c>
      <c r="AX282" s="136">
        <f t="shared" ref="AX282:AX283" si="1556">marincorr_age_error(AN282, AO282, U282, V282, AS282, AT282, AU282, AV282)</f>
        <v>3.2370367400000002E-2</v>
      </c>
      <c r="AY282" s="136">
        <f t="shared" ref="AY282:AY283" si="1557">SQRT(((AU282*EXP(-0.0000091577*AW282*1000))/(0.0000091577*(EXP(-0.0000091577*AW282*1000)+(AJ282/1000)*EXP(-(0.0000091577-0.0000028263)*AW282*1000)-AS282*AU282*EXP(-0.0000091577*AW282*1000))))^2*AT282^2+((AS282*EXP(-0.0000091577*AW282*1000))/(0.0000091577*(EXP(-0.0000091577*AW282*1000)+(AJ282/1000)*EXP(-(0.0000091577-0.0000028263)*AW282*1000)-AS282*AU282*EXP(-0.0000091577*AW282*1000))))^2*AV282^2+((0.0000091577/(0.0000091577-0.0000028263))*(EXP(-(0.0000091577-0.0000028263)*AW282*1000)-1)/(0.0000091577*(EXP(-0.0000091577*AW282*1000)+(AJ282/1000)*EXP(-(0.0000091577-0.0000028263)*AW282*1000)-AS282*AU282*EXP(-0.0000091577*AW282*1000))))^2*T282^2+(1/(0.0000091577*(EXP(-0.0000091577*AW282*1000)+(AJ282/1000)*EXP(-(0.0000091577-0.0000028263)*AW282*1000)-AS282*AU282*EXP(-0.0000091577*AW282*1000))))^2*AO282^2)/1000</f>
        <v>3.672818935231012E-2</v>
      </c>
      <c r="AZ282" s="155">
        <f t="shared" ref="AZ282:AZ283" si="1558">AX282/AW282</f>
        <v>1.8021583008573656E-2</v>
      </c>
      <c r="BA282" s="18" t="str">
        <f>Input!B282</f>
        <v>E4-25,5</v>
      </c>
      <c r="BB282" s="137">
        <f>Input!E282</f>
        <v>25.5</v>
      </c>
      <c r="BC282" s="18">
        <f>((U282-1)*EXP(Constants!$B$17*AW282*1000))*1000</f>
        <v>7.9044431549252332</v>
      </c>
      <c r="BD282" s="133">
        <f>SQRT((EXP(Constants!$B$17*AW282*1000)*V282)^2+((U282-1)*Constants!$B$17*EXP(Constants!$B$17*AW282*1000)*AY282*1000)^2)*1000</f>
        <v>1.0948462080169674</v>
      </c>
      <c r="BE282" s="18">
        <f t="shared" ref="BE282:BE283" si="1559">AW282*1000-58</f>
        <v>1738.2</v>
      </c>
      <c r="BF282" s="138">
        <f t="shared" ref="BF282:BF283" si="1560">AY282/2*1000</f>
        <v>18.364094676155059</v>
      </c>
      <c r="BG282" s="20">
        <f t="shared" ref="BG282:BG283" si="1561">AY282/AW282*100</f>
        <v>2.0447717042818239</v>
      </c>
      <c r="BH282" s="18"/>
      <c r="BI282" s="18"/>
      <c r="BJ282" s="18"/>
      <c r="BK282" s="18"/>
      <c r="BL282" s="18"/>
      <c r="BM282" s="18"/>
      <c r="BN282" s="160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</row>
    <row r="283" spans="1:110" ht="15" customHeight="1" x14ac:dyDescent="0.2">
      <c r="A283" s="139">
        <f>Input!A283</f>
        <v>10815</v>
      </c>
      <c r="B283" s="139" t="str">
        <f>Input!B283</f>
        <v>Hu1-13</v>
      </c>
      <c r="C283" s="139">
        <f>Input!O283</f>
        <v>2.1327963022156706</v>
      </c>
      <c r="D283" s="139">
        <f>C283*Input!P283/100</f>
        <v>2.6018826915514669E-2</v>
      </c>
      <c r="E283" s="140">
        <f>Input!M283</f>
        <v>2.7318594527052356</v>
      </c>
      <c r="F283" s="141">
        <f>E283*Input!N283/100</f>
        <v>4.3506931233436503E-4</v>
      </c>
      <c r="G283" s="142">
        <f t="shared" ref="G283" si="1562">E283*137.88</f>
        <v>376.66878133899786</v>
      </c>
      <c r="H283" s="141">
        <f>G283*Input!L283/100</f>
        <v>3.1584861636903501E-2</v>
      </c>
      <c r="I283" s="139">
        <v>0</v>
      </c>
      <c r="J283" s="143">
        <f>(((C283*Constants!$B$24*0.000000001*Input!G283*(Constants!$B$4/Constants!$B$3))-(I283*0.000000000000001))/Input!F283)*1000000000000</f>
        <v>770.01953600889135</v>
      </c>
      <c r="K283" s="139">
        <f>J283*Input!P283/100</f>
        <v>9.3937733332370996</v>
      </c>
      <c r="L283" s="144">
        <f>(J283/Constants!$B$4)*602200000000*Constants!$B$17/(365.2425*24*60)</f>
        <v>10.630974658720428</v>
      </c>
      <c r="M283" s="145">
        <f>L283*Input!P283/100</f>
        <v>0.12969147091127073</v>
      </c>
      <c r="N283" s="139">
        <v>0</v>
      </c>
      <c r="O283" s="143">
        <f>(((G283*Constants!$B$23*0.000000001*Input!G283*(Constants!$B$7/Constants!$B$6))-(N283*0.000000001))/Input!F283)*1000000</f>
        <v>13.699145935651714</v>
      </c>
      <c r="P283" s="139">
        <f>O283*Input!N283/100</f>
        <v>2.1816927645710725E-3</v>
      </c>
      <c r="Q283" s="146">
        <f>(O283/Constants!$B$7)*602200000000000000*Constants!$B$18/(365.2425*24*60)</f>
        <v>10.22121715585121</v>
      </c>
      <c r="R283" s="147">
        <f>Q283*Input!N283/100</f>
        <v>1.6278062602425617E-3</v>
      </c>
      <c r="S283" s="145">
        <f>Input!S283*Constants!$B$17/Constants!$B$18</f>
        <v>1.0022258681306528</v>
      </c>
      <c r="T283" s="139">
        <f>S283*Input!T283/100</f>
        <v>2.394644747765629E-3</v>
      </c>
      <c r="U283" s="145">
        <f>S283</f>
        <v>1.0022258681306528</v>
      </c>
      <c r="V283" s="139">
        <f>U283*Input!T283/100</f>
        <v>2.394644747765629E-3</v>
      </c>
      <c r="W283" s="148">
        <v>0</v>
      </c>
      <c r="X283" s="143">
        <f>(((Constants!$B$25*0.000000001*Input!G283/Input!W283*(Constants!$B$11/Constants!$B$9))-(W283*0.000000001))/Input!F283)*1000000000</f>
        <v>0.82248752014761684</v>
      </c>
      <c r="Y283" s="143">
        <f>X283*Input!X283/100</f>
        <v>6.0447049274110218E-3</v>
      </c>
      <c r="Z283" s="143">
        <f>(X283/Constants!$B$11)*6.022E+23*0.000000001*Constants!$B$19/(365.2425*24*60)</f>
        <v>2.0079579364563397E-4</v>
      </c>
      <c r="AA283" s="143">
        <f>Z283*Input!X283/100</f>
        <v>1.4757078904192139E-6</v>
      </c>
      <c r="AB283" s="144">
        <v>0</v>
      </c>
      <c r="AC283" s="144">
        <v>0</v>
      </c>
      <c r="AD283" s="143">
        <f>(((Input!G283*Constants!$B$25*0.000000001*Input!U283*(Constants!$B$10/Constants!$B$9))-((AB283*0.000000000000001)+(Input!G283*AC283*0.000000000000001)))/Input!F283)*1000000000000</f>
        <v>224.85861455731163</v>
      </c>
      <c r="AE283" s="143">
        <f>AD283*Input!V283/100</f>
        <v>0.67744628413446917</v>
      </c>
      <c r="AF283" s="143">
        <f>(AD283/Constants!$B$10)*602200000000*Constants!$B$16/(365.2425*24*60)</f>
        <v>10.263821771442343</v>
      </c>
      <c r="AG283" s="143">
        <f>AF283*Input!V283/100</f>
        <v>3.0922488488026603E-2</v>
      </c>
      <c r="AH283" s="139">
        <f t="shared" ref="AH283" si="1563">AF283/Z283</f>
        <v>51115.721027284155</v>
      </c>
      <c r="AI283" s="148">
        <f t="shared" ref="AI283" si="1564">AH283*SQRT((AG283/AF283)^2+(AA283/Z283)^2)</f>
        <v>406.00467849209457</v>
      </c>
      <c r="AJ283" s="145">
        <f t="shared" si="1551"/>
        <v>2.2258681306528416</v>
      </c>
      <c r="AK283" s="148">
        <f t="shared" ref="AK283" si="1565">V283*1000</f>
        <v>2.394644747765629</v>
      </c>
      <c r="AL283" s="148">
        <f t="shared" ref="AL283" si="1566">AF283/Q283</f>
        <v>1.0041682526592974</v>
      </c>
      <c r="AM283" s="148">
        <f t="shared" ref="AM283" si="1567">AL283*SQRT((R283/Q283)^2+(AG283/AF283)^2)</f>
        <v>3.0295473507834683E-3</v>
      </c>
      <c r="AN283" s="139">
        <f>AF283/Q283</f>
        <v>1.0041682526592974</v>
      </c>
      <c r="AO283" s="143">
        <f t="shared" ref="AO283" si="1568">AN283*SQRT((R283/Q283)^2+(AG283/AF283)^2)</f>
        <v>3.0295473507834683E-3</v>
      </c>
      <c r="AP283" s="139" t="str">
        <f t="shared" ref="AP283" si="1569">ThU_Alter_Kombi(AN283,U283)</f>
        <v>Out of range</v>
      </c>
      <c r="AQ283" s="139" t="e">
        <f t="shared" si="1552"/>
        <v>#VALUE!</v>
      </c>
      <c r="AR283" s="139" t="e">
        <f>(AQ283/AP283)*100</f>
        <v>#VALUE!</v>
      </c>
      <c r="AS283" s="147">
        <f t="shared" si="1553"/>
        <v>1.964499829951142E-5</v>
      </c>
      <c r="AT283" s="147">
        <f t="shared" si="1554"/>
        <v>1.4441081800029441E-7</v>
      </c>
      <c r="AU283" s="139">
        <v>0.75</v>
      </c>
      <c r="AV283" s="139">
        <f t="shared" ref="AV283" si="1570">AU283/2</f>
        <v>0.375</v>
      </c>
      <c r="AW283" s="139" t="str">
        <f t="shared" si="1555"/>
        <v>Out of range</v>
      </c>
      <c r="AX283" s="149">
        <f t="shared" si="1556"/>
        <v>332.08093213749999</v>
      </c>
      <c r="AY283" s="149" t="e">
        <f t="shared" si="1557"/>
        <v>#VALUE!</v>
      </c>
      <c r="AZ283" s="150" t="e">
        <f t="shared" si="1558"/>
        <v>#VALUE!</v>
      </c>
      <c r="BA283" s="139" t="str">
        <f>Input!B283</f>
        <v>Hu1-13</v>
      </c>
      <c r="BB283" s="151">
        <f>Input!E283</f>
        <v>0</v>
      </c>
      <c r="BC283" s="139" t="e">
        <f>((U283-1)*EXP(Constants!$B$17*AW283*1000))*1000</f>
        <v>#VALUE!</v>
      </c>
      <c r="BD283" s="145" t="e">
        <f>SQRT((EXP(Constants!$B$17*AW283*1000)*V283)^2+((U283-1)*Constants!$B$17*EXP(Constants!$B$17*AW283*1000)*AY283*1000)^2)*1000</f>
        <v>#VALUE!</v>
      </c>
      <c r="BE283" s="139" t="e">
        <f t="shared" si="1559"/>
        <v>#VALUE!</v>
      </c>
      <c r="BF283" s="152" t="e">
        <f t="shared" si="1560"/>
        <v>#VALUE!</v>
      </c>
      <c r="BG283" s="161" t="e">
        <f t="shared" si="1561"/>
        <v>#VALUE!</v>
      </c>
      <c r="BH283" s="139"/>
      <c r="BI283" s="18"/>
      <c r="BJ283" s="18"/>
      <c r="BK283" s="18"/>
      <c r="BL283" s="18"/>
      <c r="BM283" s="18"/>
      <c r="BN283" s="160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</row>
    <row r="285" spans="1:110" ht="15" customHeight="1" x14ac:dyDescent="0.2">
      <c r="A285" s="139">
        <f>Input!A285</f>
        <v>10815</v>
      </c>
      <c r="B285" s="139" t="str">
        <f>Input!B285</f>
        <v>Hu1-13</v>
      </c>
      <c r="C285" s="139">
        <f>Input!O285</f>
        <v>2.0894970716383923</v>
      </c>
      <c r="D285" s="139">
        <f>C285*Input!P285/100</f>
        <v>2.413260811461735E-2</v>
      </c>
      <c r="E285" s="140">
        <f>Input!M285</f>
        <v>2.7321558211555228</v>
      </c>
      <c r="F285" s="141">
        <f>E285*Input!N285/100</f>
        <v>3.8043334769678419E-4</v>
      </c>
      <c r="G285" s="142">
        <f t="shared" ref="G285" si="1571">E285*137.88</f>
        <v>376.70964462092348</v>
      </c>
      <c r="H285" s="141">
        <f>G285*Input!L285/100</f>
        <v>5.1896955613378017E-2</v>
      </c>
      <c r="I285" s="139">
        <v>0</v>
      </c>
      <c r="J285" s="143">
        <f>(((C285*Constants!$B$24*0.000000001*Input!G285*(Constants!$B$4/Constants!$B$3))-(I285*0.000000000000001))/Input!F285)*1000000000000</f>
        <v>754.38688820093114</v>
      </c>
      <c r="K285" s="139">
        <f>J285*Input!P285/100</f>
        <v>8.712777532386669</v>
      </c>
      <c r="L285" s="144">
        <f>(J285/Constants!$B$4)*602200000000*Constants!$B$17/(365.2425*24*60)</f>
        <v>10.415148598570692</v>
      </c>
      <c r="M285" s="145">
        <f>L285*Input!P285/100</f>
        <v>0.1202895677607871</v>
      </c>
      <c r="N285" s="139">
        <v>0</v>
      </c>
      <c r="O285" s="143">
        <f>(((G285*Constants!$B$23*0.000000001*Input!G285*(Constants!$B$7/Constants!$B$6))-(N285*0.000000001))/Input!F285)*1000000</f>
        <v>13.7006321009254</v>
      </c>
      <c r="P285" s="139">
        <f>O285*Input!N285/100</f>
        <v>1.9077159858007899E-3</v>
      </c>
      <c r="Q285" s="146">
        <f>(O285/Constants!$B$7)*602200000000000000*Constants!$B$18/(365.2425*24*60)</f>
        <v>10.22232601461242</v>
      </c>
      <c r="R285" s="147">
        <f>Q285*Input!N285/100</f>
        <v>1.4233864982642801E-3</v>
      </c>
      <c r="S285" s="145">
        <f>Input!S285*Constants!$B$17/Constants!$B$18</f>
        <v>1.0007099121582785</v>
      </c>
      <c r="T285" s="139">
        <f>S285*Input!T285/100</f>
        <v>2.5656676041480981E-3</v>
      </c>
      <c r="U285" s="145">
        <f>S285</f>
        <v>1.0007099121582785</v>
      </c>
      <c r="V285" s="139">
        <f>U285*Input!T285/100</f>
        <v>2.5656676041480981E-3</v>
      </c>
      <c r="W285" s="148">
        <v>0</v>
      </c>
      <c r="X285" s="143">
        <f>(((Constants!$B$25*0.000000001*Input!G285/Input!W285*(Constants!$B$11/Constants!$B$9))-(W285*0.000000001))/Input!F285)*1000000000</f>
        <v>0.82456077755126</v>
      </c>
      <c r="Y285" s="143">
        <f>X285*Input!X285/100</f>
        <v>5.3002753440814961E-3</v>
      </c>
      <c r="Z285" s="143">
        <f>(X285/Constants!$B$11)*6.022E+23*0.000000001*Constants!$B$19/(365.2425*24*60)</f>
        <v>2.013019428036437E-4</v>
      </c>
      <c r="AA285" s="143">
        <f>Z285*Input!X285/100</f>
        <v>1.2939685626649E-6</v>
      </c>
      <c r="AB285" s="144">
        <v>0</v>
      </c>
      <c r="AC285" s="144">
        <v>0</v>
      </c>
      <c r="AD285" s="143">
        <f>(((Input!G285*Constants!$B$25*0.000000001*Input!U285*(Constants!$B$10/Constants!$B$9))-((AB285*0.000000000000001)+(Input!G285*AC285*0.000000000000001)))/Input!F285)*1000000000000</f>
        <v>222.88907483397153</v>
      </c>
      <c r="AE285" s="143">
        <f>AD285*Input!V285/100</f>
        <v>1.0940336647006854</v>
      </c>
      <c r="AF285" s="143">
        <f>(AD285/Constants!$B$10)*602200000000*Constants!$B$16/(365.2425*24*60)</f>
        <v>10.173920814203338</v>
      </c>
      <c r="AG285" s="143">
        <f>AF285*Input!V285/100</f>
        <v>4.9937897947795663E-2</v>
      </c>
      <c r="AH285" s="139">
        <f t="shared" ref="AH285" si="1572">AF285/Z285</f>
        <v>50540.599223760611</v>
      </c>
      <c r="AI285" s="148">
        <f t="shared" ref="AI285" si="1573">AH285*SQRT((AG285/AF285)^2+(AA285/Z285)^2)</f>
        <v>408.75995266120765</v>
      </c>
      <c r="AJ285" s="145">
        <f t="shared" ref="AJ285:AJ293" si="1574">(U285-1)*1000</f>
        <v>0.70991215827853615</v>
      </c>
      <c r="AK285" s="148">
        <f t="shared" ref="AK285" si="1575">V285*1000</f>
        <v>2.5656676041480981</v>
      </c>
      <c r="AL285" s="148">
        <f t="shared" ref="AL285" si="1576">AF285/Q285</f>
        <v>0.99526475673541537</v>
      </c>
      <c r="AM285" s="148">
        <f t="shared" ref="AM285" si="1577">AL285*SQRT((R285/Q285)^2+(AG285/AF285)^2)</f>
        <v>4.8871448301916268E-3</v>
      </c>
      <c r="AN285" s="139">
        <f>AF285/Q285</f>
        <v>0.99526475673541537</v>
      </c>
      <c r="AO285" s="143">
        <f t="shared" ref="AO285" si="1578">AN285*SQRT((R285/Q285)^2+(AG285/AF285)^2)</f>
        <v>4.8871448301916268E-3</v>
      </c>
      <c r="AP285" s="139">
        <f t="shared" ref="AP285" si="1579">ThU_Alter_Kombi(AN285,U285)</f>
        <v>562.85990000000004</v>
      </c>
      <c r="AQ285" s="139" t="e">
        <f t="shared" ref="AQ285:AQ293" si="1580">Montealter(AN285,AO285,U285,V285)</f>
        <v>#VALUE!</v>
      </c>
      <c r="AR285" s="139" t="e">
        <f>(AQ285/AP285)*100</f>
        <v>#VALUE!</v>
      </c>
      <c r="AS285" s="147">
        <f t="shared" ref="AS285:AS293" si="1581">Z285/Q285</f>
        <v>1.9692381412595366E-5</v>
      </c>
      <c r="AT285" s="147">
        <f t="shared" ref="AT285:AT293" si="1582">AS285*SQRT((Y285/X285)^2+(P285/O285)^2)</f>
        <v>1.2661229116475169E-7</v>
      </c>
      <c r="AU285" s="139">
        <v>0.75</v>
      </c>
      <c r="AV285" s="139">
        <f t="shared" ref="AV285" si="1583">AU285/2</f>
        <v>0.375</v>
      </c>
      <c r="AW285" s="139">
        <f t="shared" ref="AW285:AW293" si="1584">marincorr_age(AN285,U285,AS285,AU285)</f>
        <v>562.85829999999999</v>
      </c>
      <c r="AX285" s="149">
        <f t="shared" ref="AX285:AX293" si="1585">marincorr_age_error(AN285, AO285, U285, V285, AS285, AT285, AU285, AV285)</f>
        <v>238.7856233787</v>
      </c>
      <c r="AY285" s="149">
        <f t="shared" ref="AY285:AY293" si="1586">SQRT(((AU285*EXP(-0.0000091577*AW285*1000))/(0.0000091577*(EXP(-0.0000091577*AW285*1000)+(AJ285/1000)*EXP(-(0.0000091577-0.0000028263)*AW285*1000)-AS285*AU285*EXP(-0.0000091577*AW285*1000))))^2*AT285^2+((AS285*EXP(-0.0000091577*AW285*1000))/(0.0000091577*(EXP(-0.0000091577*AW285*1000)+(AJ285/1000)*EXP(-(0.0000091577-0.0000028263)*AW285*1000)-AS285*AU285*EXP(-0.0000091577*AW285*1000))))^2*AV285^2+((0.0000091577/(0.0000091577-0.0000028263))*(EXP(-(0.0000091577-0.0000028263)*AW285*1000)-1)/(0.0000091577*(EXP(-0.0000091577*AW285*1000)+(AJ285/1000)*EXP(-(0.0000091577-0.0000028263)*AW285*1000)-AS285*AU285*EXP(-0.0000091577*AW285*1000))))^2*T285^2+(1/(0.0000091577*(EXP(-0.0000091577*AW285*1000)+(AJ285/1000)*EXP(-(0.0000091577-0.0000028263)*AW285*1000)-AS285*AU285*EXP(-0.0000091577*AW285*1000))))^2*AO285^2)/1000</f>
        <v>114.47388526884066</v>
      </c>
      <c r="AZ285" s="150">
        <f t="shared" ref="AZ285:AZ293" si="1587">AX285/AW285</f>
        <v>0.42423754500679833</v>
      </c>
      <c r="BA285" s="139" t="str">
        <f>Input!B285</f>
        <v>Hu1-13</v>
      </c>
      <c r="BB285" s="151">
        <f>Input!E285</f>
        <v>0</v>
      </c>
      <c r="BC285" s="139">
        <f>((U285-1)*EXP(Constants!$B$17*AW285*1000))*1000</f>
        <v>3.4757346153051776</v>
      </c>
      <c r="BD285" s="145">
        <f>SQRT((EXP(Constants!$B$17*AW285*1000)*V285)^2+((U285-1)*Constants!$B$17*EXP(Constants!$B$17*AW285*1000)*AY285*1000)^2)*1000</f>
        <v>12.611609791534505</v>
      </c>
      <c r="BE285" s="139">
        <f t="shared" ref="BE285:BE293" si="1588">AW285*1000-58</f>
        <v>562800.29999999993</v>
      </c>
      <c r="BF285" s="152">
        <f t="shared" ref="BF285:BF293" si="1589">AY285/2*1000</f>
        <v>57236.942634420331</v>
      </c>
      <c r="BG285" s="161">
        <f t="shared" ref="BG285:BG293" si="1590">AY285/AW285*100</f>
        <v>20.337958109321772</v>
      </c>
      <c r="BH285" s="139"/>
      <c r="BI285" s="18"/>
      <c r="BJ285" s="18"/>
      <c r="BK285" s="18"/>
      <c r="BL285" s="18"/>
      <c r="BM285" s="18"/>
      <c r="BN285" s="160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</row>
    <row r="286" spans="1:110" ht="15" customHeight="1" x14ac:dyDescent="0.2">
      <c r="A286" s="18">
        <f>Input!A286</f>
        <v>11158</v>
      </c>
      <c r="B286" s="18" t="str">
        <f>Input!B286</f>
        <v>E4-29,5</v>
      </c>
      <c r="C286" s="18">
        <f>Input!O286</f>
        <v>1.433194995971121</v>
      </c>
      <c r="D286" s="18">
        <f>C286*Input!P286/100</f>
        <v>3.4181625090440528E-3</v>
      </c>
      <c r="E286" s="153">
        <f>Input!M286</f>
        <v>1.8841091799930474</v>
      </c>
      <c r="F286" s="154">
        <f>E286*Input!N286/100</f>
        <v>7.8798434024825913E-5</v>
      </c>
      <c r="G286" s="21">
        <f>E286*137.88</f>
        <v>259.78097373744134</v>
      </c>
      <c r="H286" s="154">
        <f>G286*Input!L286/100</f>
        <v>3.0957686389917902E-2</v>
      </c>
      <c r="I286" s="18">
        <v>0.3</v>
      </c>
      <c r="J286" s="130">
        <f>(((C286*Constants!$B$24*0.000000001*Input!G286*(Constants!$B$4/Constants!$B$3))-(I286*0.000000000000001))/Input!F286)*1000000000000</f>
        <v>45.095522980079586</v>
      </c>
      <c r="K286" s="18">
        <f>J286*Input!P286/100</f>
        <v>0.10755258454680551</v>
      </c>
      <c r="L286" s="135">
        <f>(J286/Constants!$B$4)*602200000000*Constants!$B$17/(365.2425*24*60)</f>
        <v>0.62259376496836716</v>
      </c>
      <c r="M286" s="133">
        <f>L286*Input!P286/100</f>
        <v>1.4848828468993196E-3</v>
      </c>
      <c r="N286" s="18">
        <v>5.0000000000000001E-3</v>
      </c>
      <c r="O286" s="130">
        <f>(((G286*Constants!$B$23*0.000000001*Input!G286*(Constants!$B$7/Constants!$B$6))-(N286*0.000000001))/Input!F286)*1000000</f>
        <v>0.82341535927652532</v>
      </c>
      <c r="P286" s="18">
        <f>O286*Input!N286/100</f>
        <v>3.44374102902142E-5</v>
      </c>
      <c r="Q286" s="131">
        <f>(O286/Constants!$B$7)*602200000000000000*Constants!$B$18/(365.2425*24*60)</f>
        <v>0.61436729239633558</v>
      </c>
      <c r="R286" s="132">
        <f>Q286*Input!N286/100</f>
        <v>2.5694466685355367E-5</v>
      </c>
      <c r="S286" s="133">
        <f>Input!S286*Constants!$B$17/Constants!$B$18</f>
        <v>1.00637893445592</v>
      </c>
      <c r="T286" s="18">
        <f>S286*Input!T286/100</f>
        <v>6.9175964284874105E-4</v>
      </c>
      <c r="U286" s="18">
        <f>S286*1/((U285+U287)/2)</f>
        <v>1.0061021754172184</v>
      </c>
      <c r="V286" s="18">
        <f>U286*Input!T286/100</f>
        <v>6.9156940562575017E-4</v>
      </c>
      <c r="W286" s="134">
        <v>3.0000000000000001E-3</v>
      </c>
      <c r="X286" s="130">
        <f>(((Constants!$B$25*0.000000001*Input!G286/Input!W286*(Constants!$B$11/Constants!$B$9)-(W286*0.000000001))/Input!F286)*1000000000)</f>
        <v>0.89540053870315484</v>
      </c>
      <c r="Y286" s="130">
        <f>X286*Input!X286/100</f>
        <v>2.264308388076387E-3</v>
      </c>
      <c r="Z286" s="130">
        <f>(X286/Constants!$B$11)*6.022E+23*0.000000001*Constants!$B$19/(365.2425*24*60)</f>
        <v>2.1859621866038729E-4</v>
      </c>
      <c r="AA286" s="130">
        <f>Z286*Input!X286/100</f>
        <v>5.5279087974570481E-7</v>
      </c>
      <c r="AB286" s="135">
        <v>0.05</v>
      </c>
      <c r="AC286" s="135">
        <v>0</v>
      </c>
      <c r="AD286" s="130">
        <f>(((Input!G286*Constants!$B$25*0.000000001*Input!U286*(Constants!$B$10/Constants!$B$9))-((AB286*0.000000000000001)+(Input!G286*AC286*0.000000000000001)))/Input!F286)*1000000000000</f>
        <v>0.19876812713132649</v>
      </c>
      <c r="AE286" s="130">
        <f>AD286*Input!V286/100</f>
        <v>1.8011807781846455E-3</v>
      </c>
      <c r="AF286" s="130">
        <f>(AD286/Constants!$B$10)*602200000000*Constants!$B$16/(365.2425*24*60)</f>
        <v>9.0729040323218081E-3</v>
      </c>
      <c r="AG286" s="130">
        <f>AF286*Input!V286/100</f>
        <v>8.221610064542617E-5</v>
      </c>
      <c r="AH286" s="18">
        <f>AF286/Z286</f>
        <v>41.505310969800163</v>
      </c>
      <c r="AI286" s="134">
        <f>AH286*SQRT((AG286/AF286)^2+(AA286/Z286)^2)</f>
        <v>0.39048023279052235</v>
      </c>
      <c r="AJ286" s="133">
        <f t="shared" si="1574"/>
        <v>6.1021754172183584</v>
      </c>
      <c r="AK286" s="134">
        <f>V286*1000</f>
        <v>0.6915694056257502</v>
      </c>
      <c r="AL286" s="134">
        <f>AF286/Q286</f>
        <v>1.4767882575475341E-2</v>
      </c>
      <c r="AM286" s="134">
        <f>AL286*SQRT((R286/Q286)^2+(AG286/AF286)^2)</f>
        <v>1.3382381729104713E-4</v>
      </c>
      <c r="AN286" s="18">
        <f>AL286*1/((AN285+AN287)/2)</f>
        <v>1.4822311523246028E-2</v>
      </c>
      <c r="AO286" s="130">
        <f>AN286*SQRT((R286/Q286)^2+(AG286/AF286)^2)</f>
        <v>1.3431704233699278E-4</v>
      </c>
      <c r="AP286" s="18">
        <f>ThU_Alter_Kombi(AN286,U286)</f>
        <v>1.6184000000000001</v>
      </c>
      <c r="AQ286" s="18">
        <f t="shared" si="1580"/>
        <v>1.5900000000000001E-2</v>
      </c>
      <c r="AR286" s="155">
        <f>(AQ286/AP286)</f>
        <v>9.8245180425111222E-3</v>
      </c>
      <c r="AS286" s="132">
        <f t="shared" si="1581"/>
        <v>3.5580705770932915E-4</v>
      </c>
      <c r="AT286" s="132">
        <f t="shared" si="1582"/>
        <v>8.9989568238107013E-7</v>
      </c>
      <c r="AU286" s="18">
        <v>0.75</v>
      </c>
      <c r="AV286" s="18">
        <f>AU286/2</f>
        <v>0.375</v>
      </c>
      <c r="AW286" s="18">
        <f t="shared" si="1584"/>
        <v>1.5894999999999999</v>
      </c>
      <c r="AX286" s="136">
        <f t="shared" si="1585"/>
        <v>2.0965427500000001E-2</v>
      </c>
      <c r="AY286" s="136">
        <f t="shared" si="1586"/>
        <v>2.0735125386156343E-2</v>
      </c>
      <c r="AZ286" s="155">
        <f t="shared" si="1587"/>
        <v>1.3189951242529099E-2</v>
      </c>
      <c r="BA286" s="18" t="str">
        <f>Input!B286</f>
        <v>E4-29,5</v>
      </c>
      <c r="BB286" s="137">
        <f>Input!E286</f>
        <v>29.5</v>
      </c>
      <c r="BC286" s="18">
        <f>((U286-1)*EXP(Constants!$B$17*AW286*1000))*1000</f>
        <v>6.1296092114635323</v>
      </c>
      <c r="BD286" s="133">
        <f>SQRT((EXP(Constants!$B$17*AW286*1000)*V286)^2+((U286-1)*Constants!$B$17*EXP(Constants!$B$17*AW286*1000)*AY286*1000)^2)*1000</f>
        <v>0.69467861447781798</v>
      </c>
      <c r="BE286" s="18">
        <f t="shared" si="1588"/>
        <v>1531.5</v>
      </c>
      <c r="BF286" s="138">
        <f t="shared" si="1589"/>
        <v>10.367562693078172</v>
      </c>
      <c r="BG286" s="20">
        <f t="shared" si="1590"/>
        <v>1.3045061582986062</v>
      </c>
      <c r="BH286" s="18"/>
      <c r="BI286" s="18"/>
      <c r="BJ286" s="18"/>
      <c r="BK286" s="18"/>
      <c r="BL286" s="18"/>
      <c r="BM286" s="18"/>
      <c r="BN286" s="160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</row>
    <row r="287" spans="1:110" ht="15" customHeight="1" x14ac:dyDescent="0.2">
      <c r="A287" s="139">
        <f>Input!A287</f>
        <v>10815</v>
      </c>
      <c r="B287" s="139" t="str">
        <f>Input!B287</f>
        <v>Hu1-13</v>
      </c>
      <c r="C287" s="139">
        <f>Input!O287</f>
        <v>2.0960343417311367</v>
      </c>
      <c r="D287" s="139">
        <f>C287*Input!P287/100</f>
        <v>1.750580283325627E-2</v>
      </c>
      <c r="E287" s="140">
        <f>Input!M287</f>
        <v>2.7326569547505275</v>
      </c>
      <c r="F287" s="141">
        <f>E287*Input!N287/100</f>
        <v>3.5171003535072439E-4</v>
      </c>
      <c r="G287" s="142">
        <f t="shared" ref="G287" si="1591">E287*137.88</f>
        <v>376.77874092100274</v>
      </c>
      <c r="H287" s="141">
        <f>G287*Input!L287/100</f>
        <v>2.1628256395465995E-2</v>
      </c>
      <c r="I287" s="139">
        <v>0</v>
      </c>
      <c r="J287" s="143">
        <f>(((C287*Constants!$B$24*0.000000001*Input!G287*(Constants!$B$4/Constants!$B$3))-(I287*0.000000000000001))/Input!F287)*1000000000000</f>
        <v>756.74708813111204</v>
      </c>
      <c r="K287" s="139">
        <f>J287*Input!P287/100</f>
        <v>6.3202520377232156</v>
      </c>
      <c r="L287" s="144">
        <f>(J287/Constants!$B$4)*602200000000*Constants!$B$17/(365.2425*24*60)</f>
        <v>10.447733779171847</v>
      </c>
      <c r="M287" s="145">
        <f>L287*Input!P287/100</f>
        <v>8.7258096850397066E-2</v>
      </c>
      <c r="N287" s="139">
        <v>0</v>
      </c>
      <c r="O287" s="143">
        <f>(((G287*Constants!$B$23*0.000000001*Input!G287*(Constants!$B$7/Constants!$B$6))-(N287*0.000000001))/Input!F287)*1000000</f>
        <v>13.703145078759757</v>
      </c>
      <c r="P287" s="139">
        <f>O287*Input!N287/100</f>
        <v>1.7636804472249202E-3</v>
      </c>
      <c r="Q287" s="146">
        <f>(O287/Constants!$B$7)*602200000000000000*Constants!$B$18/(365.2425*24*60)</f>
        <v>10.2242009995402</v>
      </c>
      <c r="R287" s="147">
        <f>Q287*Input!N287/100</f>
        <v>1.3159185929759267E-3</v>
      </c>
      <c r="S287" s="145">
        <f>Input!S287*Constants!$B$17/Constants!$B$18</f>
        <v>0.99984024874081057</v>
      </c>
      <c r="T287" s="139">
        <f>S287*Input!T287/100</f>
        <v>2.0530580193888369E-3</v>
      </c>
      <c r="U287" s="145">
        <f>S287</f>
        <v>0.99984024874081057</v>
      </c>
      <c r="V287" s="139">
        <f>U287*Input!T287/100</f>
        <v>2.0530580193888369E-3</v>
      </c>
      <c r="W287" s="148">
        <v>0</v>
      </c>
      <c r="X287" s="143">
        <f>(((Constants!$B$25*0.000000001*Input!G287/Input!W287*(Constants!$B$11/Constants!$B$9))-(W287*0.000000001))/Input!F287)*1000000000</f>
        <v>0.84839174745458013</v>
      </c>
      <c r="Y287" s="143">
        <f>X287*Input!X287/100</f>
        <v>4.0976649821448047E-3</v>
      </c>
      <c r="Z287" s="143">
        <f>(X287/Constants!$B$11)*6.022E+23*0.000000001*Constants!$B$19/(365.2425*24*60)</f>
        <v>2.0711985298205412E-4</v>
      </c>
      <c r="AA287" s="143">
        <f>Z287*Input!X287/100</f>
        <v>1.0003724944495411E-6</v>
      </c>
      <c r="AB287" s="144">
        <v>0</v>
      </c>
      <c r="AC287" s="144">
        <v>0</v>
      </c>
      <c r="AD287" s="143">
        <f>(((Input!G287*Constants!$B$25*0.000000001*Input!U287*(Constants!$B$10/Constants!$B$9))-((AB287*0.000000000000001)+(Input!G287*AC287*0.000000000000001)))/Input!F287)*1000000000000</f>
        <v>223.40622737260264</v>
      </c>
      <c r="AE287" s="143">
        <f>AD287*Input!V287/100</f>
        <v>0.69246983851229471</v>
      </c>
      <c r="AF287" s="143">
        <f>(AD287/Constants!$B$10)*602200000000*Constants!$B$16/(365.2425*24*60)</f>
        <v>10.197526587527207</v>
      </c>
      <c r="AG287" s="143">
        <f>AF287*Input!V287/100</f>
        <v>3.160824867031338E-2</v>
      </c>
      <c r="AH287" s="139">
        <f t="shared" ref="AH287" si="1592">AF287/Z287</f>
        <v>49234.906459743244</v>
      </c>
      <c r="AI287" s="148">
        <f t="shared" ref="AI287" si="1593">AH287*SQRT((AG287/AF287)^2+(AA287/Z287)^2)</f>
        <v>282.55711898865297</v>
      </c>
      <c r="AJ287" s="145">
        <f t="shared" si="1574"/>
        <v>-0.15975125918943345</v>
      </c>
      <c r="AK287" s="148">
        <f t="shared" ref="AK287" si="1594">V287*1000</f>
        <v>2.0530580193888368</v>
      </c>
      <c r="AL287" s="148">
        <f t="shared" ref="AL287" si="1595">AF287/Q287</f>
        <v>0.99739105168079223</v>
      </c>
      <c r="AM287" s="148">
        <f t="shared" ref="AM287" si="1596">AL287*SQRT((R287/Q287)^2+(AG287/AF287)^2)</f>
        <v>3.0941768884296408E-3</v>
      </c>
      <c r="AN287" s="139">
        <f>AF287/Q287</f>
        <v>0.99739105168079223</v>
      </c>
      <c r="AO287" s="143">
        <f t="shared" ref="AO287" si="1597">AN287*SQRT((R287/Q287)^2+(AG287/AF287)^2)</f>
        <v>3.0941768884296408E-3</v>
      </c>
      <c r="AP287" s="139">
        <f t="shared" ref="AP287" si="1598">ThU_Alter_Kombi(AN287,U287)</f>
        <v>658.62580000000003</v>
      </c>
      <c r="AQ287" s="139" t="e">
        <f t="shared" si="1580"/>
        <v>#VALUE!</v>
      </c>
      <c r="AR287" s="139" t="e">
        <f>(AQ287/AP287)*100</f>
        <v>#VALUE!</v>
      </c>
      <c r="AS287" s="147">
        <f t="shared" si="1581"/>
        <v>2.0257803322858056E-5</v>
      </c>
      <c r="AT287" s="147">
        <f t="shared" si="1582"/>
        <v>9.7878319637218192E-8</v>
      </c>
      <c r="AU287" s="139">
        <v>0.75</v>
      </c>
      <c r="AV287" s="139">
        <f t="shared" ref="AV287" si="1599">AU287/2</f>
        <v>0.375</v>
      </c>
      <c r="AW287" s="139">
        <f t="shared" si="1584"/>
        <v>658.6241</v>
      </c>
      <c r="AX287" s="149">
        <f t="shared" si="1585"/>
        <v>314.03711797490001</v>
      </c>
      <c r="AY287" s="149">
        <f t="shared" si="1586"/>
        <v>193.73351439300882</v>
      </c>
      <c r="AZ287" s="150">
        <f t="shared" si="1587"/>
        <v>0.47680781492037722</v>
      </c>
      <c r="BA287" s="139" t="str">
        <f>Input!B287</f>
        <v>Hu1-13</v>
      </c>
      <c r="BB287" s="151">
        <f>Input!E287</f>
        <v>0</v>
      </c>
      <c r="BC287" s="139">
        <f>((U287-1)*EXP(Constants!$B$17*AW287*1000))*1000</f>
        <v>-1.0248429938648667</v>
      </c>
      <c r="BD287" s="145">
        <f>SQRT((EXP(Constants!$B$17*AW287*1000)*V287)^2+((U287-1)*Constants!$B$17*EXP(Constants!$B$17*AW287*1000)*AY287*1000)^2)*1000</f>
        <v>13.182776976366837</v>
      </c>
      <c r="BE287" s="139">
        <f t="shared" si="1588"/>
        <v>658566.1</v>
      </c>
      <c r="BF287" s="152">
        <f t="shared" si="1589"/>
        <v>96866.757196504404</v>
      </c>
      <c r="BG287" s="161">
        <f t="shared" si="1590"/>
        <v>29.414883906162682</v>
      </c>
      <c r="BH287" s="139"/>
      <c r="BI287" s="18"/>
      <c r="BJ287" s="18"/>
      <c r="BK287" s="18"/>
      <c r="BL287" s="18"/>
      <c r="BM287" s="18"/>
      <c r="BN287" s="160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</row>
    <row r="288" spans="1:110" ht="15" customHeight="1" x14ac:dyDescent="0.2">
      <c r="A288" s="18">
        <f>Input!A288</f>
        <v>11159</v>
      </c>
      <c r="B288" s="18" t="str">
        <f>Input!B288</f>
        <v>E4-49</v>
      </c>
      <c r="C288" s="18">
        <f>Input!O288</f>
        <v>0.80321221637696127</v>
      </c>
      <c r="D288" s="18">
        <f>C288*Input!P288/100</f>
        <v>1.7072687558773933E-3</v>
      </c>
      <c r="E288" s="153">
        <f>Input!M288</f>
        <v>1.0556522178782017</v>
      </c>
      <c r="F288" s="154">
        <f>E288*Input!N288/100</f>
        <v>6.1587096312404468E-5</v>
      </c>
      <c r="G288" s="21">
        <f>E288*137.88</f>
        <v>145.55332780104646</v>
      </c>
      <c r="H288" s="154">
        <f>G288*Input!L288/100</f>
        <v>8.9334116120897943E-3</v>
      </c>
      <c r="I288" s="18">
        <v>0.3</v>
      </c>
      <c r="J288" s="130">
        <f>(((C288*Constants!$B$24*0.000000001*Input!G288*(Constants!$B$4/Constants!$B$3))-(I288*0.000000000000001))/Input!F288)*1000000000000</f>
        <v>39.193166820313103</v>
      </c>
      <c r="K288" s="18">
        <f>J288*Input!P288/100</f>
        <v>8.3307085962954941E-2</v>
      </c>
      <c r="L288" s="135">
        <f>(J288/Constants!$B$4)*602200000000*Constants!$B$17/(365.2425*24*60)</f>
        <v>0.54110518470915747</v>
      </c>
      <c r="M288" s="133">
        <f>L288*Input!P288/100</f>
        <v>1.1501468188123893E-3</v>
      </c>
      <c r="N288" s="18">
        <v>5.0000000000000001E-3</v>
      </c>
      <c r="O288" s="130">
        <f>(((G288*Constants!$B$23*0.000000001*Input!G288*(Constants!$B$7/Constants!$B$6))-(N288*0.000000001))/Input!F288)*1000000</f>
        <v>0.71546317152915995</v>
      </c>
      <c r="P288" s="18">
        <f>O288*Input!N288/100</f>
        <v>4.1740355873555929E-5</v>
      </c>
      <c r="Q288" s="131">
        <f>(O288/Constants!$B$7)*602200000000000000*Constants!$B$18/(365.2425*24*60)</f>
        <v>0.53382192419615737</v>
      </c>
      <c r="R288" s="132">
        <f>Q288*Input!N288/100</f>
        <v>3.1143345983037599E-5</v>
      </c>
      <c r="S288" s="133">
        <f>Input!S288*Constants!$B$17/Constants!$B$18</f>
        <v>1.0056898486981201</v>
      </c>
      <c r="T288" s="18">
        <f>S288*Input!T288/100</f>
        <v>1.1740165417545873E-3</v>
      </c>
      <c r="U288" s="18">
        <f>S288*1/((U287+U289)/2)</f>
        <v>1.0059058581218621</v>
      </c>
      <c r="V288" s="18">
        <f>U288*Input!T288/100</f>
        <v>1.174268705617011E-3</v>
      </c>
      <c r="W288" s="134">
        <v>3.0000000000000001E-3</v>
      </c>
      <c r="X288" s="130">
        <f>(((Constants!$B$25*0.000000001*Input!G288/Input!W288*(Constants!$B$11/Constants!$B$9)-(W288*0.000000001))/Input!F288)*1000000000)</f>
        <v>0.12727262485637733</v>
      </c>
      <c r="Y288" s="130">
        <f>X288*Input!X288/100</f>
        <v>3.07819032967102E-4</v>
      </c>
      <c r="Z288" s="130">
        <f>(X288/Constants!$B$11)*6.022E+23*0.000000001*Constants!$B$19/(365.2425*24*60)</f>
        <v>3.1071362289865108E-5</v>
      </c>
      <c r="AA288" s="130">
        <f>Z288*Input!X288/100</f>
        <v>7.5148577345912355E-8</v>
      </c>
      <c r="AB288" s="135">
        <v>0.05</v>
      </c>
      <c r="AC288" s="135">
        <v>0</v>
      </c>
      <c r="AD288" s="130">
        <f>(((Input!G288*Constants!$B$25*0.000000001*Input!U288*(Constants!$B$10/Constants!$B$9))-((AB288*0.000000000000001)+(Input!G288*AC288*0.000000000000001)))/Input!F288)*1000000000000</f>
        <v>0.15927672594987374</v>
      </c>
      <c r="AE288" s="130">
        <f>AD288*Input!V288/100</f>
        <v>1.6705695694460073E-3</v>
      </c>
      <c r="AF288" s="130">
        <f>(AD288/Constants!$B$10)*602200000000*Constants!$B$16/(365.2425*24*60)</f>
        <v>7.2702926267994841E-3</v>
      </c>
      <c r="AG288" s="130">
        <f>AF288*Input!V288/100</f>
        <v>7.625426471361067E-5</v>
      </c>
      <c r="AH288" s="18">
        <f>AF288/Z288</f>
        <v>233.98692850911516</v>
      </c>
      <c r="AI288" s="134">
        <f>AH288*SQRT((AG288/AF288)^2+(AA288/Z288)^2)</f>
        <v>2.5185688898231597</v>
      </c>
      <c r="AJ288" s="133">
        <f t="shared" si="1574"/>
        <v>5.905858121862062</v>
      </c>
      <c r="AK288" s="134">
        <f>V288*1000</f>
        <v>1.1742687056170109</v>
      </c>
      <c r="AL288" s="134">
        <f>AF288/Q288</f>
        <v>1.3619321907295725E-2</v>
      </c>
      <c r="AM288" s="134">
        <f>AL288*SQRT((R288/Q288)^2+(AG288/AF288)^2)</f>
        <v>1.4284809387245598E-4</v>
      </c>
      <c r="AN288" s="18">
        <f>AL288*1/((AN287+AN289)/2)</f>
        <v>1.3629032328281996E-2</v>
      </c>
      <c r="AO288" s="130">
        <f>AN288*SQRT((R288/Q288)^2+(AG288/AF288)^2)</f>
        <v>1.429499429320516E-4</v>
      </c>
      <c r="AP288" s="18">
        <f>ThU_Alter_Kombi(AN288,U288)</f>
        <v>1.4875</v>
      </c>
      <c r="AQ288" s="18">
        <f t="shared" si="1580"/>
        <v>1.6199999999999999E-2</v>
      </c>
      <c r="AR288" s="155">
        <f>(AQ288/AP288)</f>
        <v>1.0890756302521008E-2</v>
      </c>
      <c r="AS288" s="132">
        <f t="shared" si="1581"/>
        <v>5.8205481793677087E-5</v>
      </c>
      <c r="AT288" s="132">
        <f t="shared" si="1582"/>
        <v>1.4081556723100044E-7</v>
      </c>
      <c r="AU288" s="18">
        <v>0.75</v>
      </c>
      <c r="AV288" s="18">
        <f>AU288/2</f>
        <v>0.375</v>
      </c>
      <c r="AW288" s="18">
        <f t="shared" si="1584"/>
        <v>1.4827999999999999</v>
      </c>
      <c r="AX288" s="136">
        <f t="shared" si="1585"/>
        <v>1.6265257299999999E-2</v>
      </c>
      <c r="AY288" s="136">
        <f t="shared" si="1586"/>
        <v>1.6003618417521299E-2</v>
      </c>
      <c r="AZ288" s="155">
        <f t="shared" si="1587"/>
        <v>1.0969286012948476E-2</v>
      </c>
      <c r="BA288" s="18" t="str">
        <f>Input!B288</f>
        <v>E4-49</v>
      </c>
      <c r="BB288" s="137">
        <f>Input!E288</f>
        <v>49</v>
      </c>
      <c r="BC288" s="18">
        <f>((U288-1)*EXP(Constants!$B$17*AW288*1000))*1000</f>
        <v>5.9306232631760887</v>
      </c>
      <c r="BD288" s="133">
        <f>SQRT((EXP(Constants!$B$17*AW288*1000)*V288)^2+((U288-1)*Constants!$B$17*EXP(Constants!$B$17*AW288*1000)*AY288*1000)^2)*1000</f>
        <v>1.1791928181658613</v>
      </c>
      <c r="BE288" s="18">
        <f t="shared" si="1588"/>
        <v>1424.8</v>
      </c>
      <c r="BF288" s="138">
        <f t="shared" si="1589"/>
        <v>8.0018092087606494</v>
      </c>
      <c r="BG288" s="20">
        <f t="shared" si="1590"/>
        <v>1.0792836807068587</v>
      </c>
      <c r="BH288" s="18"/>
      <c r="BI288" s="18"/>
      <c r="BJ288" s="18"/>
      <c r="BK288" s="18"/>
      <c r="BL288" s="18"/>
      <c r="BM288" s="18"/>
      <c r="BN288" s="160"/>
      <c r="BO288" s="18"/>
      <c r="BP288" s="18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</row>
    <row r="289" spans="1:110" ht="15" customHeight="1" x14ac:dyDescent="0.2">
      <c r="A289" s="139">
        <f>Input!A289</f>
        <v>10815</v>
      </c>
      <c r="B289" s="139" t="str">
        <f>Input!B289</f>
        <v>Hu1-13</v>
      </c>
      <c r="C289" s="139">
        <f>Input!O289</f>
        <v>2.0956053451026349</v>
      </c>
      <c r="D289" s="139">
        <f>C289*Input!P289/100</f>
        <v>2.2558676378764627E-2</v>
      </c>
      <c r="E289" s="140">
        <f>Input!M289</f>
        <v>2.7316975049249979</v>
      </c>
      <c r="F289" s="141">
        <f>E289*Input!N289/100</f>
        <v>3.3404522026762059E-4</v>
      </c>
      <c r="G289" s="142">
        <f t="shared" ref="G289" si="1600">E289*137.88</f>
        <v>376.64645197905867</v>
      </c>
      <c r="H289" s="141">
        <f>G289*Input!L289/100</f>
        <v>2.9545060579040484E-2</v>
      </c>
      <c r="I289" s="139">
        <v>0</v>
      </c>
      <c r="J289" s="143">
        <f>(((C289*Constants!$B$24*0.000000001*Input!G289*(Constants!$B$4/Constants!$B$3))-(I289*0.000000000000001))/Input!F289)*1000000000000</f>
        <v>756.59220424253579</v>
      </c>
      <c r="K289" s="139">
        <f>J289*Input!P289/100</f>
        <v>8.1445290861136073</v>
      </c>
      <c r="L289" s="144">
        <f>(J289/Constants!$B$4)*602200000000*Constants!$B$17/(365.2425*24*60)</f>
        <v>10.445595435120172</v>
      </c>
      <c r="M289" s="145">
        <f>L289*Input!P289/100</f>
        <v>0.11244426702530495</v>
      </c>
      <c r="N289" s="139">
        <v>0</v>
      </c>
      <c r="O289" s="143">
        <f>(((G289*Constants!$B$23*0.000000001*Input!G289*(Constants!$B$7/Constants!$B$6))-(N289*0.000000001))/Input!F289)*1000000</f>
        <v>13.698333834475266</v>
      </c>
      <c r="P289" s="139">
        <f>O289*Input!N289/100</f>
        <v>1.6750987013704232E-3</v>
      </c>
      <c r="Q289" s="146">
        <f>(O289/Constants!$B$7)*602200000000000000*Constants!$B$18/(365.2425*24*60)</f>
        <v>10.220611230305487</v>
      </c>
      <c r="R289" s="147">
        <f>Q289*Input!N289/100</f>
        <v>1.249825913572686E-3</v>
      </c>
      <c r="S289" s="145">
        <f>Input!S289*Constants!$B$17/Constants!$B$18</f>
        <v>0.99973026887373984</v>
      </c>
      <c r="T289" s="139">
        <f>S289*Input!T289/100</f>
        <v>1.8660831846914671E-3</v>
      </c>
      <c r="U289" s="145">
        <f>S289</f>
        <v>0.99973026887373984</v>
      </c>
      <c r="V289" s="139">
        <f>U289*Input!T289/100</f>
        <v>1.8660831846914671E-3</v>
      </c>
      <c r="W289" s="148">
        <v>0</v>
      </c>
      <c r="X289" s="143">
        <f>(((Constants!$B$25*0.000000001*Input!G289/Input!W289*(Constants!$B$11/Constants!$B$9))-(W289*0.000000001))/Input!F289)*1000000000</f>
        <v>0.84805386559178186</v>
      </c>
      <c r="Y289" s="143">
        <f>X289*Input!X289/100</f>
        <v>5.326485243090243E-3</v>
      </c>
      <c r="Z289" s="143">
        <f>(X289/Constants!$B$11)*6.022E+23*0.000000001*Constants!$B$19/(365.2425*24*60)</f>
        <v>2.070373650960533E-4</v>
      </c>
      <c r="AA289" s="143">
        <f>Z289*Input!X289/100</f>
        <v>1.3003672463457034E-6</v>
      </c>
      <c r="AB289" s="144">
        <v>0</v>
      </c>
      <c r="AC289" s="144">
        <v>0</v>
      </c>
      <c r="AD289" s="143">
        <f>(((Input!G289*Constants!$B$25*0.000000001*Input!U289*(Constants!$B$10/Constants!$B$9))-((AB289*0.000000000000001)+(Input!G289*AC289*0.000000000000001)))/Input!F289)*1000000000000</f>
        <v>224.17707192862952</v>
      </c>
      <c r="AE289" s="143">
        <f>AD289*Input!V289/100</f>
        <v>0.71268091254745902</v>
      </c>
      <c r="AF289" s="143">
        <f>(AD289/Constants!$B$10)*602200000000*Constants!$B$16/(365.2425*24*60)</f>
        <v>10.232712302569178</v>
      </c>
      <c r="AG289" s="143">
        <f>AF289*Input!V289/100</f>
        <v>3.2530796655031474E-2</v>
      </c>
      <c r="AH289" s="139">
        <f t="shared" ref="AH289" si="1601">AF289/Z289</f>
        <v>49424.471267888257</v>
      </c>
      <c r="AI289" s="148">
        <f t="shared" ref="AI289" si="1602">AH289*SQRT((AG289/AF289)^2+(AA289/Z289)^2)</f>
        <v>347.92699132893677</v>
      </c>
      <c r="AJ289" s="145">
        <f t="shared" si="1574"/>
        <v>-0.26973112626016427</v>
      </c>
      <c r="AK289" s="148">
        <f t="shared" ref="AK289" si="1603">V289*1000</f>
        <v>1.8660831846914672</v>
      </c>
      <c r="AL289" s="148">
        <f t="shared" ref="AL289" si="1604">AF289/Q289</f>
        <v>1.0011839871403982</v>
      </c>
      <c r="AM289" s="148">
        <f t="shared" ref="AM289" si="1605">AL289*SQRT((R289/Q289)^2+(AG289/AF289)^2)</f>
        <v>3.1852159257675094E-3</v>
      </c>
      <c r="AN289" s="139">
        <f>AF289/Q289</f>
        <v>1.0011839871403982</v>
      </c>
      <c r="AO289" s="143">
        <f t="shared" ref="AO289" si="1606">AN289*SQRT((R289/Q289)^2+(AG289/AF289)^2)</f>
        <v>3.1852159257675094E-3</v>
      </c>
      <c r="AP289" s="139" t="str">
        <f t="shared" ref="AP289" si="1607">ThU_Alter_Kombi(AN289,U289)</f>
        <v>Out of range</v>
      </c>
      <c r="AQ289" s="139" t="e">
        <f t="shared" si="1580"/>
        <v>#VALUE!</v>
      </c>
      <c r="AR289" s="139" t="e">
        <f>(AQ289/AP289)*100</f>
        <v>#VALUE!</v>
      </c>
      <c r="AS289" s="147">
        <f t="shared" si="1581"/>
        <v>2.0256847700278402E-5</v>
      </c>
      <c r="AT289" s="147">
        <f t="shared" si="1582"/>
        <v>1.2725400212033021E-7</v>
      </c>
      <c r="AU289" s="139">
        <v>0.75</v>
      </c>
      <c r="AV289" s="139">
        <f t="shared" ref="AV289" si="1608">AU289/2</f>
        <v>0.375</v>
      </c>
      <c r="AW289" s="139" t="str">
        <f t="shared" si="1584"/>
        <v>Out of range</v>
      </c>
      <c r="AX289" s="149">
        <f t="shared" si="1585"/>
        <v>300.78841484470001</v>
      </c>
      <c r="AY289" s="149" t="e">
        <f t="shared" si="1586"/>
        <v>#VALUE!</v>
      </c>
      <c r="AZ289" s="150" t="e">
        <f t="shared" si="1587"/>
        <v>#VALUE!</v>
      </c>
      <c r="BA289" s="139" t="str">
        <f>Input!B289</f>
        <v>Hu1-13</v>
      </c>
      <c r="BB289" s="151">
        <f>Input!E289</f>
        <v>0</v>
      </c>
      <c r="BC289" s="139" t="e">
        <f>((U289-1)*EXP(Constants!$B$17*AW289*1000))*1000</f>
        <v>#VALUE!</v>
      </c>
      <c r="BD289" s="145" t="e">
        <f>SQRT((EXP(Constants!$B$17*AW289*1000)*V289)^2+((U289-1)*Constants!$B$17*EXP(Constants!$B$17*AW289*1000)*AY289*1000)^2)*1000</f>
        <v>#VALUE!</v>
      </c>
      <c r="BE289" s="139" t="e">
        <f t="shared" si="1588"/>
        <v>#VALUE!</v>
      </c>
      <c r="BF289" s="152" t="e">
        <f t="shared" si="1589"/>
        <v>#VALUE!</v>
      </c>
      <c r="BG289" s="161" t="e">
        <f t="shared" si="1590"/>
        <v>#VALUE!</v>
      </c>
      <c r="BH289" s="139"/>
      <c r="BI289" s="18"/>
      <c r="BJ289" s="18"/>
      <c r="BK289" s="18"/>
      <c r="BL289" s="18"/>
      <c r="BM289" s="18"/>
      <c r="BN289" s="160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</row>
    <row r="290" spans="1:110" ht="15" customHeight="1" x14ac:dyDescent="0.2">
      <c r="A290" s="18">
        <f>Input!A290</f>
        <v>11160</v>
      </c>
      <c r="B290" s="18" t="str">
        <f>Input!B290</f>
        <v>E4-47,5</v>
      </c>
      <c r="C290" s="18">
        <f>Input!O290</f>
        <v>1.2319776072388753</v>
      </c>
      <c r="D290" s="18">
        <f>C290*Input!P290/100</f>
        <v>2.6766593126438909E-3</v>
      </c>
      <c r="E290" s="153">
        <f>Input!M290</f>
        <v>1.6242048729825425</v>
      </c>
      <c r="F290" s="154">
        <f>E290*Input!N290/100</f>
        <v>6.3331914386852606E-5</v>
      </c>
      <c r="G290" s="21">
        <f>E290*137.88</f>
        <v>223.94536788683294</v>
      </c>
      <c r="H290" s="154">
        <f>G290*Input!L290/100</f>
        <v>8.0893129254144894E-3</v>
      </c>
      <c r="I290" s="18">
        <v>0.3</v>
      </c>
      <c r="J290" s="130">
        <f>(((C290*Constants!$B$24*0.000000001*Input!G290*(Constants!$B$4/Constants!$B$3))-(I290*0.000000000000001))/Input!F290)*1000000000000</f>
        <v>34.72526222134131</v>
      </c>
      <c r="K290" s="18">
        <f>J290*Input!P290/100</f>
        <v>7.5445930155394567E-2</v>
      </c>
      <c r="L290" s="135">
        <f>(J290/Constants!$B$4)*602200000000*Constants!$B$17/(365.2425*24*60)</f>
        <v>0.47942080093957334</v>
      </c>
      <c r="M290" s="133">
        <f>L290*Input!P290/100</f>
        <v>1.0416148345310679E-3</v>
      </c>
      <c r="N290" s="18">
        <v>5.0000000000000001E-3</v>
      </c>
      <c r="O290" s="130">
        <f>(((G290*Constants!$B$23*0.000000001*Input!G290*(Constants!$B$7/Constants!$B$6))-(N290*0.000000001))/Input!F290)*1000000</f>
        <v>0.63587051211751966</v>
      </c>
      <c r="P290" s="18">
        <f>O290*Input!N290/100</f>
        <v>2.4794222394248244E-5</v>
      </c>
      <c r="Q290" s="131">
        <f>(O290/Constants!$B$7)*602200000000000000*Constants!$B$18/(365.2425*24*60)</f>
        <v>0.47443618878758159</v>
      </c>
      <c r="R290" s="132">
        <f>Q290*Input!N290/100</f>
        <v>1.8499484018382645E-5</v>
      </c>
      <c r="S290" s="133">
        <f>Input!S290*Constants!$B$17/Constants!$B$18</f>
        <v>1.0058390043804539</v>
      </c>
      <c r="T290" s="18">
        <f>S290*Input!T290/100</f>
        <v>8.8841566548263236E-4</v>
      </c>
      <c r="U290" s="18">
        <f>S290*1/((U289+U291)/2)</f>
        <v>1.0062602065694817</v>
      </c>
      <c r="V290" s="18">
        <f>U290*Input!T290/100</f>
        <v>8.887876958189368E-4</v>
      </c>
      <c r="W290" s="134">
        <v>3.0000000000000001E-3</v>
      </c>
      <c r="X290" s="130">
        <f>(((Constants!$B$25*0.000000001*Input!G290/Input!W290*(Constants!$B$11/Constants!$B$9)-(W290*0.000000001))/Input!F290)*1000000000)</f>
        <v>0.33406673376660678</v>
      </c>
      <c r="Y290" s="130">
        <f>X290*Input!X290/100</f>
        <v>6.6308178624282317E-4</v>
      </c>
      <c r="Z290" s="130">
        <f>(X290/Constants!$B$11)*6.022E+23*0.000000001*Constants!$B$19/(365.2425*24*60)</f>
        <v>8.1556489665923928E-5</v>
      </c>
      <c r="AA290" s="130">
        <f>Z290*Input!X290/100</f>
        <v>1.6187970061441919E-7</v>
      </c>
      <c r="AB290" s="135">
        <v>0.05</v>
      </c>
      <c r="AC290" s="135">
        <v>0</v>
      </c>
      <c r="AD290" s="130">
        <f>(((Input!G290*Constants!$B$25*0.000000001*Input!U290*(Constants!$B$10/Constants!$B$9))-((AB290*0.000000000000001)+(Input!G290*AC290*0.000000000000001)))/Input!F290)*1000000000000</f>
        <v>0.14949941336898218</v>
      </c>
      <c r="AE290" s="130">
        <f>AD290*Input!V290/100</f>
        <v>1.1009516777631518E-3</v>
      </c>
      <c r="AF290" s="130">
        <f>(AD290/Constants!$B$10)*602200000000*Constants!$B$16/(365.2425*24*60)</f>
        <v>6.8240006582595174E-3</v>
      </c>
      <c r="AG290" s="130">
        <f>AF290*Input!V290/100</f>
        <v>5.0253675278477234E-5</v>
      </c>
      <c r="AH290" s="18">
        <f>AF290/Z290</f>
        <v>83.672074242189126</v>
      </c>
      <c r="AI290" s="134">
        <f>AH290*SQRT((AG290/AF290)^2+(AA290/Z290)^2)</f>
        <v>0.63817158367761262</v>
      </c>
      <c r="AJ290" s="133">
        <f t="shared" si="1574"/>
        <v>6.2602065694816744</v>
      </c>
      <c r="AK290" s="134">
        <f>V290*1000</f>
        <v>0.8887876958189368</v>
      </c>
      <c r="AL290" s="134">
        <f>AF290/Q290</f>
        <v>1.4383389841525799E-2</v>
      </c>
      <c r="AM290" s="134">
        <f>AL290*SQRT((R290/Q290)^2+(AG290/AF290)^2)</f>
        <v>1.059244233493307E-4</v>
      </c>
      <c r="AN290" s="18">
        <f>AL290*1/((AN289+AN291)/2)</f>
        <v>1.4389359766073414E-2</v>
      </c>
      <c r="AO290" s="130">
        <f>AN290*SQRT((R290/Q290)^2+(AG290/AF290)^2)</f>
        <v>1.0596838800732248E-4</v>
      </c>
      <c r="AP290" s="18">
        <f>ThU_Alter_Kombi(AN290,U290)</f>
        <v>1.5706</v>
      </c>
      <c r="AQ290" s="18">
        <f t="shared" si="1580"/>
        <v>1.1900000000000001E-2</v>
      </c>
      <c r="AR290" s="155">
        <f>(AQ290/AP290)</f>
        <v>7.5767222717432834E-3</v>
      </c>
      <c r="AS290" s="132">
        <f t="shared" si="1581"/>
        <v>1.7190191556495926E-4</v>
      </c>
      <c r="AT290" s="132">
        <f t="shared" si="1582"/>
        <v>3.4127020162788379E-7</v>
      </c>
      <c r="AU290" s="18">
        <v>0.75</v>
      </c>
      <c r="AV290" s="18">
        <f>AU290/2</f>
        <v>0.375</v>
      </c>
      <c r="AW290" s="18">
        <f t="shared" si="1584"/>
        <v>1.5566</v>
      </c>
      <c r="AX290" s="136">
        <f t="shared" si="1585"/>
        <v>1.1670727400000001E-2</v>
      </c>
      <c r="AY290" s="136">
        <f t="shared" si="1586"/>
        <v>1.3673412306920469E-2</v>
      </c>
      <c r="AZ290" s="155">
        <f t="shared" si="1587"/>
        <v>7.4975763844275988E-3</v>
      </c>
      <c r="BA290" s="18" t="str">
        <f>Input!B290</f>
        <v>E4-47,5</v>
      </c>
      <c r="BB290" s="137">
        <f>Input!E290</f>
        <v>47.5</v>
      </c>
      <c r="BC290" s="18">
        <f>((U290-1)*EXP(Constants!$B$17*AW290*1000))*1000</f>
        <v>6.2877670110057755</v>
      </c>
      <c r="BD290" s="133">
        <f>SQRT((EXP(Constants!$B$17*AW290*1000)*V290)^2+((U290-1)*Constants!$B$17*EXP(Constants!$B$17*AW290*1000)*AY290*1000)^2)*1000</f>
        <v>0.8927005998831562</v>
      </c>
      <c r="BE290" s="18">
        <f t="shared" si="1588"/>
        <v>1498.6</v>
      </c>
      <c r="BF290" s="138">
        <f t="shared" si="1589"/>
        <v>6.8367061534602342</v>
      </c>
      <c r="BG290" s="20">
        <f t="shared" si="1590"/>
        <v>0.8784152837543665</v>
      </c>
      <c r="BH290" s="18"/>
      <c r="BI290" s="18"/>
      <c r="BJ290" s="18"/>
      <c r="BK290" s="18"/>
      <c r="BL290" s="18"/>
      <c r="BM290" s="18"/>
      <c r="BN290" s="160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</row>
    <row r="291" spans="1:110" ht="15" customHeight="1" x14ac:dyDescent="0.2">
      <c r="A291" s="139">
        <f>Input!A291</f>
        <v>10815</v>
      </c>
      <c r="B291" s="139" t="str">
        <f>Input!B291</f>
        <v>Hu1-13</v>
      </c>
      <c r="C291" s="139">
        <f>Input!O291</f>
        <v>2.1077382301984442</v>
      </c>
      <c r="D291" s="139">
        <f>C291*Input!P291/100</f>
        <v>1.638623679242036E-2</v>
      </c>
      <c r="E291" s="140">
        <f>Input!M291</f>
        <v>2.7314685481731393</v>
      </c>
      <c r="F291" s="141">
        <f>E291*Input!N291/100</f>
        <v>3.6043640093743522E-4</v>
      </c>
      <c r="G291" s="142">
        <f t="shared" ref="G291" si="1609">E291*137.88</f>
        <v>376.61488342211243</v>
      </c>
      <c r="H291" s="141">
        <f>G291*Input!L291/100</f>
        <v>3.1626761474040456E-2</v>
      </c>
      <c r="I291" s="139">
        <v>0</v>
      </c>
      <c r="J291" s="143">
        <f>(((C291*Constants!$B$24*0.000000001*Input!G291*(Constants!$B$4/Constants!$B$3))-(I291*0.000000000000001))/Input!F291)*1000000000000</f>
        <v>760.97263126325902</v>
      </c>
      <c r="K291" s="139">
        <f>J291*Input!P291/100</f>
        <v>5.9160466654613648</v>
      </c>
      <c r="L291" s="144">
        <f>(J291/Constants!$B$4)*602200000000*Constants!$B$17/(365.2425*24*60)</f>
        <v>10.506072093794382</v>
      </c>
      <c r="M291" s="145">
        <f>L291*Input!P291/100</f>
        <v>8.1677592891099118E-2</v>
      </c>
      <c r="N291" s="139">
        <v>0</v>
      </c>
      <c r="O291" s="143">
        <f>(((G291*Constants!$B$23*0.000000001*Input!G291*(Constants!$B$7/Constants!$B$6))-(N291*0.000000001))/Input!F291)*1000000</f>
        <v>13.697185711004431</v>
      </c>
      <c r="P291" s="139">
        <f>O291*Input!N291/100</f>
        <v>1.8074395635812985E-3</v>
      </c>
      <c r="Q291" s="146">
        <f>(O291/Constants!$B$7)*602200000000000000*Constants!$B$18/(365.2425*24*60)</f>
        <v>10.219754591550615</v>
      </c>
      <c r="R291" s="147">
        <f>Q291*Input!N291/100</f>
        <v>1.3485681780615699E-3</v>
      </c>
      <c r="S291" s="145">
        <f>Input!S291*Constants!$B$17/Constants!$B$18</f>
        <v>0.99943256756503052</v>
      </c>
      <c r="T291" s="139">
        <f>S291*Input!T291/100</f>
        <v>1.8452502453199314E-3</v>
      </c>
      <c r="U291" s="145">
        <f>S291</f>
        <v>0.99943256756503052</v>
      </c>
      <c r="V291" s="139">
        <f>U291*Input!T291/100</f>
        <v>1.8452502453199314E-3</v>
      </c>
      <c r="W291" s="148">
        <v>0</v>
      </c>
      <c r="X291" s="143">
        <f>(((Constants!$B$25*0.000000001*Input!G291/Input!W291*(Constants!$B$11/Constants!$B$9))-(W291*0.000000001))/Input!F291)*1000000000</f>
        <v>0.84229233206417531</v>
      </c>
      <c r="Y291" s="143">
        <f>X291*Input!X291/100</f>
        <v>3.380405028692089E-3</v>
      </c>
      <c r="Z291" s="143">
        <f>(X291/Constants!$B$11)*6.022E+23*0.000000001*Constants!$B$19/(365.2425*24*60)</f>
        <v>2.056307884988983E-4</v>
      </c>
      <c r="AA291" s="143">
        <f>Z291*Input!X291/100</f>
        <v>8.2526615170780571E-7</v>
      </c>
      <c r="AB291" s="144">
        <v>0</v>
      </c>
      <c r="AC291" s="144">
        <v>0</v>
      </c>
      <c r="AD291" s="143">
        <f>(((Input!G291*Constants!$B$25*0.000000001*Input!U291*(Constants!$B$10/Constants!$B$9))-((AB291*0.000000000000001)+(Input!G291*AC291*0.000000000000001)))/Input!F291)*1000000000000</f>
        <v>223.44232953452442</v>
      </c>
      <c r="AE291" s="143">
        <f>AD291*Input!V291/100</f>
        <v>0.67565752789086619</v>
      </c>
      <c r="AF291" s="143">
        <f>(AD291/Constants!$B$10)*602200000000*Constants!$B$16/(365.2425*24*60)</f>
        <v>10.199174494841134</v>
      </c>
      <c r="AG291" s="143">
        <f>AF291*Input!V291/100</f>
        <v>3.0840839513567517E-2</v>
      </c>
      <c r="AH291" s="139">
        <f t="shared" ref="AH291" si="1610">AF291/Z291</f>
        <v>49599.452345122809</v>
      </c>
      <c r="AI291" s="148">
        <f t="shared" ref="AI291" si="1611">AH291*SQRT((AG291/AF291)^2+(AA291/Z291)^2)</f>
        <v>249.23713046922251</v>
      </c>
      <c r="AJ291" s="145">
        <f t="shared" si="1574"/>
        <v>-0.5674324349694837</v>
      </c>
      <c r="AK291" s="148">
        <f t="shared" ref="AK291" si="1612">V291*1000</f>
        <v>1.8452502453199313</v>
      </c>
      <c r="AL291" s="148">
        <f t="shared" ref="AL291" si="1613">AF291/Q291</f>
        <v>0.99798624355163135</v>
      </c>
      <c r="AM291" s="148">
        <f t="shared" ref="AM291" si="1614">AL291*SQRT((R291/Q291)^2+(AG291/AF291)^2)</f>
        <v>3.0206391807484612E-3</v>
      </c>
      <c r="AN291" s="139">
        <f>AF291/Q291</f>
        <v>0.99798624355163135</v>
      </c>
      <c r="AO291" s="143">
        <f t="shared" ref="AO291" si="1615">AN291*SQRT((R291/Q291)^2+(AG291/AF291)^2)</f>
        <v>3.0206391807484612E-3</v>
      </c>
      <c r="AP291" s="139">
        <f t="shared" ref="AP291" si="1616">ThU_Alter_Kombi(AN291,U291)</f>
        <v>733.20759999999996</v>
      </c>
      <c r="AQ291" s="139" t="e">
        <f t="shared" si="1580"/>
        <v>#VALUE!</v>
      </c>
      <c r="AR291" s="139" t="e">
        <f>(AQ291/AP291)*100</f>
        <v>#VALUE!</v>
      </c>
      <c r="AS291" s="147">
        <f t="shared" si="1581"/>
        <v>2.0120912557813048E-5</v>
      </c>
      <c r="AT291" s="147">
        <f t="shared" si="1582"/>
        <v>8.0795689203174882E-8</v>
      </c>
      <c r="AU291" s="139">
        <v>0.75</v>
      </c>
      <c r="AV291" s="139">
        <f t="shared" ref="AV291" si="1617">AU291/2</f>
        <v>0.375</v>
      </c>
      <c r="AW291" s="139">
        <f t="shared" si="1584"/>
        <v>733.20590000000004</v>
      </c>
      <c r="AX291" s="149">
        <f t="shared" si="1585"/>
        <v>327.5962717969</v>
      </c>
      <c r="AY291" s="149">
        <f t="shared" si="1586"/>
        <v>362.91457162092922</v>
      </c>
      <c r="AZ291" s="150">
        <f t="shared" si="1587"/>
        <v>0.44679983043903487</v>
      </c>
      <c r="BA291" s="139" t="str">
        <f>Input!B291</f>
        <v>Hu1-13</v>
      </c>
      <c r="BB291" s="151">
        <f>Input!E291</f>
        <v>0</v>
      </c>
      <c r="BC291" s="139">
        <f>((U291-1)*EXP(Constants!$B$17*AW291*1000))*1000</f>
        <v>-4.4929857034271174</v>
      </c>
      <c r="BD291" s="145">
        <f>SQRT((EXP(Constants!$B$17*AW291*1000)*V291)^2+((U291-1)*Constants!$B$17*EXP(Constants!$B$17*AW291*1000)*AY291*1000)^2)*1000</f>
        <v>15.31835527862188</v>
      </c>
      <c r="BE291" s="139">
        <f t="shared" si="1588"/>
        <v>733147.9</v>
      </c>
      <c r="BF291" s="152">
        <f t="shared" si="1589"/>
        <v>181457.28581046461</v>
      </c>
      <c r="BG291" s="161">
        <f t="shared" si="1590"/>
        <v>49.496951895903898</v>
      </c>
      <c r="BH291" s="139"/>
      <c r="BI291" s="18"/>
      <c r="BJ291" s="18"/>
      <c r="BK291" s="18"/>
      <c r="BL291" s="18"/>
      <c r="BM291" s="18"/>
      <c r="BN291" s="160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</row>
    <row r="292" spans="1:110" ht="15" customHeight="1" x14ac:dyDescent="0.2">
      <c r="A292" s="18">
        <f>Input!A292</f>
        <v>11161</v>
      </c>
      <c r="B292" s="18" t="str">
        <f>Input!B292</f>
        <v>E4-46</v>
      </c>
      <c r="C292" s="18">
        <f>Input!O292</f>
        <v>0.99811794732746217</v>
      </c>
      <c r="D292" s="18">
        <f>C292*Input!P292/100</f>
        <v>2.5547184859182866E-3</v>
      </c>
      <c r="E292" s="153">
        <f>Input!M292</f>
        <v>1.3095198817031799</v>
      </c>
      <c r="F292" s="154">
        <f>E292*Input!N292/100</f>
        <v>5.7292617029064859E-5</v>
      </c>
      <c r="G292" s="21">
        <f>E292*137.88</f>
        <v>180.55660128923444</v>
      </c>
      <c r="H292" s="154">
        <f>G292*Input!L292/100</f>
        <v>8.3748464156221877E-3</v>
      </c>
      <c r="I292" s="18">
        <v>0.3</v>
      </c>
      <c r="J292" s="130">
        <f>(((C292*Constants!$B$24*0.000000001*Input!G292*(Constants!$B$4/Constants!$B$3))-(I292*0.000000000000001))/Input!F292)*1000000000000</f>
        <v>36.20247219206189</v>
      </c>
      <c r="K292" s="18">
        <f>J292*Input!P292/100</f>
        <v>9.2661518804109916E-2</v>
      </c>
      <c r="L292" s="135">
        <f>(J292/Constants!$B$4)*602200000000*Constants!$B$17/(365.2425*24*60)</f>
        <v>0.49981532475352264</v>
      </c>
      <c r="M292" s="133">
        <f>L292*Input!P292/100</f>
        <v>1.2792951505501335E-3</v>
      </c>
      <c r="N292" s="18">
        <v>5.0000000000000001E-3</v>
      </c>
      <c r="O292" s="130">
        <f>(((G292*Constants!$B$23*0.000000001*Input!G292*(Constants!$B$7/Constants!$B$6))-(N292*0.000000001))/Input!F292)*1000000</f>
        <v>0.65971145228015671</v>
      </c>
      <c r="P292" s="18">
        <f>O292*Input!N292/100</f>
        <v>2.8862941382773382E-5</v>
      </c>
      <c r="Q292" s="131">
        <f>(O292/Constants!$B$7)*602200000000000000*Constants!$B$18/(365.2425*24*60)</f>
        <v>0.49222440914428178</v>
      </c>
      <c r="R292" s="132">
        <f>Q292*Input!N292/100</f>
        <v>2.1535239716087912E-5</v>
      </c>
      <c r="S292" s="133">
        <f>Input!S292*Constants!$B$17/Constants!$B$18</f>
        <v>1.0067487775479702</v>
      </c>
      <c r="T292" s="18">
        <f>S292*Input!T292/100</f>
        <v>1.1446073849019924E-3</v>
      </c>
      <c r="U292" s="18">
        <f>S292*1/((U291+U293)/2)</f>
        <v>1.0073203637947927</v>
      </c>
      <c r="V292" s="18">
        <f>U292*Input!T292/100</f>
        <v>1.1452572410069234E-3</v>
      </c>
      <c r="W292" s="134">
        <v>3.0000000000000001E-3</v>
      </c>
      <c r="X292" s="130">
        <f>(((Constants!$B$25*0.000000001*Input!G292/Input!W292*(Constants!$B$11/Constants!$B$9)-(W292*0.000000001))/Input!F292)*1000000000)</f>
        <v>0.25560279971724365</v>
      </c>
      <c r="Y292" s="130">
        <f>X292*Input!X292/100</f>
        <v>5.6235443241465469E-4</v>
      </c>
      <c r="Z292" s="130">
        <f>(X292/Constants!$B$11)*6.022E+23*0.000000001*Constants!$B$19/(365.2425*24*60)</f>
        <v>6.2400906725075338E-5</v>
      </c>
      <c r="AA292" s="130">
        <f>Z292*Input!X292/100</f>
        <v>1.3728889715746017E-7</v>
      </c>
      <c r="AB292" s="135">
        <v>0.05</v>
      </c>
      <c r="AC292" s="135">
        <v>0</v>
      </c>
      <c r="AD292" s="130">
        <f>(((Input!G292*Constants!$B$25*0.000000001*Input!U292*(Constants!$B$10/Constants!$B$9))-((AB292*0.000000000000001)+(Input!G292*AC292*0.000000000000001)))/Input!F292)*1000000000000</f>
        <v>0.15409263393902858</v>
      </c>
      <c r="AE292" s="130">
        <f>AD292*Input!V292/100</f>
        <v>1.416564521989773E-3</v>
      </c>
      <c r="AF292" s="130">
        <f>(AD292/Constants!$B$10)*602200000000*Constants!$B$16/(365.2425*24*60)</f>
        <v>7.0336612815836159E-3</v>
      </c>
      <c r="AG292" s="130">
        <f>AF292*Input!V292/100</f>
        <v>6.4660034529144864E-5</v>
      </c>
      <c r="AH292" s="18">
        <f>AF292/Z292</f>
        <v>112.71729291646962</v>
      </c>
      <c r="AI292" s="134">
        <f>AH292*SQRT((AG292/AF292)^2+(AA292/Z292)^2)</f>
        <v>1.0654655667840336</v>
      </c>
      <c r="AJ292" s="133">
        <f t="shared" si="1574"/>
        <v>7.320363794792728</v>
      </c>
      <c r="AK292" s="134">
        <f>V292*1000</f>
        <v>1.1452572410069235</v>
      </c>
      <c r="AL292" s="134">
        <f>AF292/Q292</f>
        <v>1.4289541824655623E-2</v>
      </c>
      <c r="AM292" s="134">
        <f>AL292*SQRT((R292/Q292)^2+(AG292/AF292)^2)</f>
        <v>1.3136440532375275E-4</v>
      </c>
      <c r="AN292" s="18">
        <f>AL292*1/((AN291+AN293)/2)</f>
        <v>1.4318375545741023E-2</v>
      </c>
      <c r="AO292" s="130">
        <f>AN292*SQRT((R292/Q292)^2+(AG292/AF292)^2)</f>
        <v>1.3162947502788554E-4</v>
      </c>
      <c r="AP292" s="18">
        <f>ThU_Alter_Kombi(AN292,U292)</f>
        <v>1.5610999999999999</v>
      </c>
      <c r="AQ292" s="18">
        <f t="shared" si="1580"/>
        <v>1.37E-2</v>
      </c>
      <c r="AR292" s="155">
        <f>(AQ292/AP292)</f>
        <v>8.7758631734033699E-3</v>
      </c>
      <c r="AS292" s="132">
        <f t="shared" si="1581"/>
        <v>1.267732878862256E-4</v>
      </c>
      <c r="AT292" s="132">
        <f t="shared" si="1582"/>
        <v>2.7897039826317724E-7</v>
      </c>
      <c r="AU292" s="18">
        <v>0.75</v>
      </c>
      <c r="AV292" s="18">
        <f>AU292/2</f>
        <v>0.375</v>
      </c>
      <c r="AW292" s="18">
        <f t="shared" si="1584"/>
        <v>1.5508</v>
      </c>
      <c r="AX292" s="136">
        <f t="shared" si="1585"/>
        <v>1.4998268699999999E-2</v>
      </c>
      <c r="AY292" s="136">
        <f t="shared" si="1586"/>
        <v>1.5467013681081113E-2</v>
      </c>
      <c r="AZ292" s="155">
        <f t="shared" si="1587"/>
        <v>9.6713107428424046E-3</v>
      </c>
      <c r="BA292" s="18" t="str">
        <f>Input!B292</f>
        <v>E4-46</v>
      </c>
      <c r="BB292" s="137">
        <f>Input!E292</f>
        <v>46</v>
      </c>
      <c r="BC292" s="18">
        <f>((U292-1)*EXP(Constants!$B$17*AW292*1000))*1000</f>
        <v>7.3524712126840077</v>
      </c>
      <c r="BD292" s="133">
        <f>SQRT((EXP(Constants!$B$17*AW292*1000)*V292)^2+((U292-1)*Constants!$B$17*EXP(Constants!$B$17*AW292*1000)*AY292*1000)^2)*1000</f>
        <v>1.1502804313273669</v>
      </c>
      <c r="BE292" s="18">
        <f t="shared" si="1588"/>
        <v>1492.8</v>
      </c>
      <c r="BF292" s="138">
        <f t="shared" si="1589"/>
        <v>7.7335068405405565</v>
      </c>
      <c r="BG292" s="20">
        <f t="shared" si="1590"/>
        <v>0.99735708544500346</v>
      </c>
      <c r="BH292" s="18"/>
      <c r="BI292" s="18"/>
      <c r="BJ292" s="18"/>
      <c r="BK292" s="18"/>
      <c r="BL292" s="18"/>
      <c r="BM292" s="18"/>
      <c r="BN292" s="160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</row>
    <row r="293" spans="1:110" ht="15" customHeight="1" x14ac:dyDescent="0.2">
      <c r="A293" s="139">
        <f>Input!A293</f>
        <v>10815</v>
      </c>
      <c r="B293" s="139" t="str">
        <f>Input!B293</f>
        <v>Hu1-13</v>
      </c>
      <c r="C293" s="139">
        <f>Input!O293</f>
        <v>2.1077382301984442</v>
      </c>
      <c r="D293" s="139">
        <f>C293*Input!P293/100</f>
        <v>1.638623679242036E-2</v>
      </c>
      <c r="E293" s="140">
        <f>Input!M293</f>
        <v>2.7314685481731393</v>
      </c>
      <c r="F293" s="141">
        <f>E293*Input!N293/100</f>
        <v>3.6043640093743522E-4</v>
      </c>
      <c r="G293" s="142">
        <f t="shared" ref="G293" si="1618">E293*137.88</f>
        <v>376.61488342211243</v>
      </c>
      <c r="H293" s="141">
        <f>G293*Input!L293/100</f>
        <v>3.1626761474040456E-2</v>
      </c>
      <c r="I293" s="139">
        <v>0</v>
      </c>
      <c r="J293" s="143">
        <f>(((C293*Constants!$B$24*0.000000001*Input!G293*(Constants!$B$4/Constants!$B$3))-(I293*0.000000000000001))/Input!F293)*1000000000000</f>
        <v>760.97263126325902</v>
      </c>
      <c r="K293" s="139">
        <f>J293*Input!P293/100</f>
        <v>5.9160466654613648</v>
      </c>
      <c r="L293" s="144">
        <f>(J293/Constants!$B$4)*602200000000*Constants!$B$17/(365.2425*24*60)</f>
        <v>10.506072093794382</v>
      </c>
      <c r="M293" s="145">
        <f>L293*Input!P293/100</f>
        <v>8.1677592891099118E-2</v>
      </c>
      <c r="N293" s="139">
        <v>0</v>
      </c>
      <c r="O293" s="143">
        <f>(((G293*Constants!$B$23*0.000000001*Input!G293*(Constants!$B$7/Constants!$B$6))-(N293*0.000000001))/Input!F293)*1000000</f>
        <v>13.697185711004431</v>
      </c>
      <c r="P293" s="139">
        <f>O293*Input!N293/100</f>
        <v>1.8074395635812985E-3</v>
      </c>
      <c r="Q293" s="146">
        <f>(O293/Constants!$B$7)*602200000000000000*Constants!$B$18/(365.2425*24*60)</f>
        <v>10.219754591550615</v>
      </c>
      <c r="R293" s="147">
        <f>Q293*Input!N293/100</f>
        <v>1.3485681780615699E-3</v>
      </c>
      <c r="S293" s="145">
        <f>Input!S293*Constants!$B$17/Constants!$B$18</f>
        <v>0.99943256756503052</v>
      </c>
      <c r="T293" s="139">
        <f>S293*Input!T293/100</f>
        <v>1.8452502453199314E-3</v>
      </c>
      <c r="U293" s="145">
        <f>S293</f>
        <v>0.99943256756503052</v>
      </c>
      <c r="V293" s="139">
        <f>U293*Input!T293/100</f>
        <v>1.8452502453199314E-3</v>
      </c>
      <c r="W293" s="148">
        <v>0</v>
      </c>
      <c r="X293" s="143">
        <f>(((Constants!$B$25*0.000000001*Input!G293/Input!W293*(Constants!$B$11/Constants!$B$9))-(W293*0.000000001))/Input!F293)*1000000000</f>
        <v>0.84229233206417531</v>
      </c>
      <c r="Y293" s="143">
        <f>X293*Input!X293/100</f>
        <v>3.380405028692089E-3</v>
      </c>
      <c r="Z293" s="143">
        <f>(X293/Constants!$B$11)*6.022E+23*0.000000001*Constants!$B$19/(365.2425*24*60)</f>
        <v>2.056307884988983E-4</v>
      </c>
      <c r="AA293" s="143">
        <f>Z293*Input!X293/100</f>
        <v>8.2526615170780571E-7</v>
      </c>
      <c r="AB293" s="144">
        <v>0</v>
      </c>
      <c r="AC293" s="144">
        <v>0</v>
      </c>
      <c r="AD293" s="143">
        <f>(((Input!G293*Constants!$B$25*0.000000001*Input!U293*(Constants!$B$10/Constants!$B$9))-((AB293*0.000000000000001)+(Input!G293*AC293*0.000000000000001)))/Input!F293)*1000000000000</f>
        <v>223.44232953452442</v>
      </c>
      <c r="AE293" s="143">
        <f>AD293*Input!V293/100</f>
        <v>0.67565752789086619</v>
      </c>
      <c r="AF293" s="143">
        <f>(AD293/Constants!$B$10)*602200000000*Constants!$B$16/(365.2425*24*60)</f>
        <v>10.199174494841134</v>
      </c>
      <c r="AG293" s="143">
        <f>AF293*Input!V293/100</f>
        <v>3.0840839513567517E-2</v>
      </c>
      <c r="AH293" s="139">
        <f t="shared" ref="AH293" si="1619">AF293/Z293</f>
        <v>49599.452345122809</v>
      </c>
      <c r="AI293" s="148">
        <f t="shared" ref="AI293" si="1620">AH293*SQRT((AG293/AF293)^2+(AA293/Z293)^2)</f>
        <v>249.23713046922251</v>
      </c>
      <c r="AJ293" s="145">
        <f t="shared" si="1574"/>
        <v>-0.5674324349694837</v>
      </c>
      <c r="AK293" s="148">
        <f t="shared" ref="AK293" si="1621">V293*1000</f>
        <v>1.8452502453199313</v>
      </c>
      <c r="AL293" s="148">
        <f t="shared" ref="AL293" si="1622">AF293/Q293</f>
        <v>0.99798624355163135</v>
      </c>
      <c r="AM293" s="148">
        <f t="shared" ref="AM293" si="1623">AL293*SQRT((R293/Q293)^2+(AG293/AF293)^2)</f>
        <v>3.0206391807484612E-3</v>
      </c>
      <c r="AN293" s="139">
        <f>AF293/Q293</f>
        <v>0.99798624355163135</v>
      </c>
      <c r="AO293" s="143">
        <f t="shared" ref="AO293" si="1624">AN293*SQRT((R293/Q293)^2+(AG293/AF293)^2)</f>
        <v>3.0206391807484612E-3</v>
      </c>
      <c r="AP293" s="139">
        <f t="shared" ref="AP293" si="1625">ThU_Alter_Kombi(AN293,U293)</f>
        <v>733.20759999999996</v>
      </c>
      <c r="AQ293" s="139" t="e">
        <f t="shared" si="1580"/>
        <v>#VALUE!</v>
      </c>
      <c r="AR293" s="139" t="e">
        <f>(AQ293/AP293)*100</f>
        <v>#VALUE!</v>
      </c>
      <c r="AS293" s="147">
        <f t="shared" si="1581"/>
        <v>2.0120912557813048E-5</v>
      </c>
      <c r="AT293" s="147">
        <f t="shared" si="1582"/>
        <v>8.0795689203174882E-8</v>
      </c>
      <c r="AU293" s="139">
        <v>0.75</v>
      </c>
      <c r="AV293" s="139">
        <f t="shared" ref="AV293" si="1626">AU293/2</f>
        <v>0.375</v>
      </c>
      <c r="AW293" s="139">
        <f t="shared" si="1584"/>
        <v>733.20590000000004</v>
      </c>
      <c r="AX293" s="149">
        <f t="shared" si="1585"/>
        <v>336.32682112190002</v>
      </c>
      <c r="AY293" s="149">
        <f t="shared" si="1586"/>
        <v>362.91457162092922</v>
      </c>
      <c r="AZ293" s="150">
        <f t="shared" si="1587"/>
        <v>0.45870719414819222</v>
      </c>
      <c r="BA293" s="139" t="str">
        <f>Input!B293</f>
        <v>Hu1-13</v>
      </c>
      <c r="BB293" s="151">
        <f>Input!E293</f>
        <v>0</v>
      </c>
      <c r="BC293" s="139">
        <f>((U293-1)*EXP(Constants!$B$17*AW293*1000))*1000</f>
        <v>-4.4929857034271174</v>
      </c>
      <c r="BD293" s="145">
        <f>SQRT((EXP(Constants!$B$17*AW293*1000)*V293)^2+((U293-1)*Constants!$B$17*EXP(Constants!$B$17*AW293*1000)*AY293*1000)^2)*1000</f>
        <v>15.31835527862188</v>
      </c>
      <c r="BE293" s="139">
        <f t="shared" si="1588"/>
        <v>733147.9</v>
      </c>
      <c r="BF293" s="152">
        <f t="shared" si="1589"/>
        <v>181457.28581046461</v>
      </c>
      <c r="BG293" s="161">
        <f t="shared" si="1590"/>
        <v>49.496951895903898</v>
      </c>
      <c r="BH293" s="139"/>
      <c r="BI293" s="18"/>
      <c r="BJ293" s="18"/>
      <c r="BK293" s="18"/>
      <c r="BL293" s="18"/>
      <c r="BM293" s="18"/>
      <c r="BN293" s="160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258" activePane="bottomLeft" state="frozenSplit"/>
      <selection pane="bottomLeft" activeCell="A292" activeCellId="3" sqref="A286:XFD286 A288:XFD288 A290:XFD290 A292:XFD292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7" bestFit="1" customWidth="1"/>
    <col min="4" max="6" width="11.5703125" style="77" bestFit="1" customWidth="1"/>
    <col min="7" max="7" width="12.85546875" style="77" bestFit="1" customWidth="1"/>
    <col min="8" max="8" width="11.5703125" style="77" bestFit="1" customWidth="1"/>
    <col min="9" max="9" width="14" style="76" bestFit="1" customWidth="1"/>
    <col min="10" max="10" width="11.5703125" style="76" bestFit="1" customWidth="1"/>
    <col min="11" max="12" width="11.5703125" style="74" bestFit="1" customWidth="1"/>
    <col min="13" max="13" width="14.28515625" style="74" bestFit="1" customWidth="1"/>
    <col min="14" max="14" width="11.5703125" style="74" bestFit="1" customWidth="1"/>
    <col min="15" max="15" width="14.5703125" style="79" bestFit="1" customWidth="1"/>
    <col min="16" max="16" width="11.5703125" style="79" bestFit="1" customWidth="1"/>
    <col min="17" max="17" width="14.5703125" style="179" bestFit="1" customWidth="1"/>
    <col min="18" max="18" width="13.7109375" style="79" bestFit="1" customWidth="1"/>
    <col min="19" max="19" width="11.5703125" style="74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2" t="s">
        <v>65</v>
      </c>
      <c r="B1" s="162" t="s">
        <v>0</v>
      </c>
      <c r="C1" s="163" t="s">
        <v>120</v>
      </c>
      <c r="D1" s="163" t="s">
        <v>109</v>
      </c>
      <c r="E1" s="164" t="s">
        <v>121</v>
      </c>
      <c r="F1" s="163" t="s">
        <v>109</v>
      </c>
      <c r="G1" s="165" t="s">
        <v>122</v>
      </c>
      <c r="H1" s="163" t="s">
        <v>109</v>
      </c>
      <c r="I1" s="166" t="s">
        <v>123</v>
      </c>
      <c r="J1" s="163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5" t="s">
        <v>124</v>
      </c>
      <c r="X1" s="163" t="s">
        <v>109</v>
      </c>
      <c r="Y1" s="165" t="s">
        <v>122</v>
      </c>
      <c r="Z1" s="163" t="s">
        <v>109</v>
      </c>
      <c r="AA1" s="165" t="s">
        <v>125</v>
      </c>
      <c r="AB1" s="163" t="s">
        <v>109</v>
      </c>
    </row>
    <row r="2" spans="1:28" ht="18.75" thickBot="1" x14ac:dyDescent="0.35">
      <c r="A2" s="167"/>
      <c r="B2" s="167"/>
      <c r="C2" s="168" t="s">
        <v>130</v>
      </c>
      <c r="D2" s="168" t="s">
        <v>33</v>
      </c>
      <c r="E2" s="169" t="s">
        <v>36</v>
      </c>
      <c r="F2" s="169" t="s">
        <v>37</v>
      </c>
      <c r="G2" s="170" t="s">
        <v>76</v>
      </c>
      <c r="H2" s="170" t="s">
        <v>77</v>
      </c>
      <c r="I2" s="171" t="s">
        <v>76</v>
      </c>
      <c r="J2" s="171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70" t="s">
        <v>76</v>
      </c>
      <c r="X2" s="170" t="s">
        <v>77</v>
      </c>
      <c r="Y2" s="170" t="s">
        <v>76</v>
      </c>
      <c r="Z2" s="170" t="s">
        <v>77</v>
      </c>
      <c r="AA2" s="170" t="s">
        <v>76</v>
      </c>
      <c r="AB2" s="170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2">
        <f>Calc!O7*1000</f>
        <v>13701.615715514246</v>
      </c>
      <c r="D7" s="172">
        <f>Calc!P7*1000</f>
        <v>1.1017748846541349</v>
      </c>
      <c r="E7" s="172">
        <f>Calc!X7</f>
        <v>0.88360920982303437</v>
      </c>
      <c r="F7" s="172">
        <f>Calc!Y7</f>
        <v>4.3948522963121817E-3</v>
      </c>
      <c r="G7" s="172">
        <f>Calc!AN7</f>
        <v>1.0036010197358118</v>
      </c>
      <c r="H7" s="173">
        <f>Calc!AO7</f>
        <v>2.312621532853085E-3</v>
      </c>
      <c r="I7" s="15">
        <f>Calc!AH7</f>
        <v>47561.601756511307</v>
      </c>
      <c r="J7" s="15">
        <f>Calc!AI7</f>
        <v>260.6863559729901</v>
      </c>
      <c r="K7" s="15">
        <f>Calc!AJ7</f>
        <v>-1.9475354608159412</v>
      </c>
      <c r="L7" s="15">
        <f>Calc!AK7</f>
        <v>1.3040789190793023</v>
      </c>
      <c r="M7" s="174" t="str">
        <f>Calc!AP7</f>
        <v>Out of range</v>
      </c>
      <c r="N7" s="174" t="e">
        <f>Calc!AQ7</f>
        <v>#VALUE!</v>
      </c>
      <c r="O7" s="174" t="str">
        <f>Calc!AW7</f>
        <v>Out of range</v>
      </c>
      <c r="P7" s="174">
        <f>Calc!AX7</f>
        <v>0</v>
      </c>
      <c r="Q7" s="178" t="e">
        <f>Calc!BC7</f>
        <v>#VALUE!</v>
      </c>
      <c r="R7" s="174" t="e">
        <f>Calc!BD7</f>
        <v>#VALUE!</v>
      </c>
      <c r="S7" s="15">
        <f>Input!E7</f>
        <v>0</v>
      </c>
      <c r="T7" s="68"/>
      <c r="U7" s="68">
        <f>Input!K7</f>
        <v>7.1278391944295787E-3</v>
      </c>
      <c r="W7" s="68">
        <f>Calc!AS7</f>
        <v>2.110107697536524E-5</v>
      </c>
      <c r="X7" s="68">
        <f>Calc!AT7</f>
        <v>1.0496522049330135E-7</v>
      </c>
      <c r="Y7" s="68">
        <f>Calc!AN7</f>
        <v>1.0036010197358118</v>
      </c>
      <c r="Z7" s="68">
        <f>Calc!AO7</f>
        <v>2.312621532853085E-3</v>
      </c>
      <c r="AA7" s="68">
        <f>1+K7/1000</f>
        <v>0.99805246453918406</v>
      </c>
      <c r="AB7" s="68">
        <f>J7/1000</f>
        <v>0.26068635597299011</v>
      </c>
    </row>
    <row r="8" spans="1:28" x14ac:dyDescent="0.2">
      <c r="A8" s="68">
        <f>Input!A8</f>
        <v>10889</v>
      </c>
      <c r="B8" s="68" t="str">
        <f>Input!B8</f>
        <v>M5-14-44B_322</v>
      </c>
      <c r="C8" s="175">
        <f>Calc!O8*1000</f>
        <v>147.238669640165</v>
      </c>
      <c r="D8" s="175">
        <f>Calc!P8*1000</f>
        <v>1.5963276006054735E-2</v>
      </c>
      <c r="E8" s="175">
        <f>Calc!X8</f>
        <v>0.47849708770151966</v>
      </c>
      <c r="F8" s="175">
        <f>Calc!Y8</f>
        <v>1.1861673252756416E-3</v>
      </c>
      <c r="G8" s="175">
        <f>Calc!AN8</f>
        <v>2.2654657163810685</v>
      </c>
      <c r="H8" s="71">
        <f>Calc!AO8</f>
        <v>6.3038534375559081E-3</v>
      </c>
      <c r="I8" s="70">
        <f>Calc!AH8</f>
        <v>2138.1836455027619</v>
      </c>
      <c r="J8" s="70">
        <f>Calc!AI8</f>
        <v>7.9648970319201853</v>
      </c>
      <c r="K8" s="70">
        <f>Calc!AJ8</f>
        <v>1147.5203354847704</v>
      </c>
      <c r="L8" s="70">
        <f>Calc!AK8</f>
        <v>3.0451384211461736</v>
      </c>
      <c r="M8" s="176">
        <f>Calc!AP8</f>
        <v>266.48349999999999</v>
      </c>
      <c r="N8" s="176">
        <f>Calc!AQ8</f>
        <v>2.5747</v>
      </c>
      <c r="O8" s="176">
        <f>Calc!AW8</f>
        <v>266.4581</v>
      </c>
      <c r="P8" s="176">
        <f>Calc!AY8</f>
        <v>2.644115333472457</v>
      </c>
      <c r="Q8" s="177">
        <f>Calc!BC8</f>
        <v>2434.0684827011642</v>
      </c>
      <c r="R8" s="176">
        <f>Calc!BD8</f>
        <v>19.277022206651871</v>
      </c>
      <c r="S8" s="70">
        <f>Input!E8</f>
        <v>322</v>
      </c>
      <c r="T8" s="68"/>
      <c r="U8" s="68">
        <f>Input!K8</f>
        <v>7.1340449797128698E-3</v>
      </c>
      <c r="W8" s="68">
        <f>Calc!AS8</f>
        <v>1.0633435102352742E-3</v>
      </c>
      <c r="X8" s="68">
        <f>Calc!AT8</f>
        <v>2.6384884815552283E-6</v>
      </c>
      <c r="Y8" s="68">
        <f>Calc!AN8</f>
        <v>2.2654657163810685</v>
      </c>
      <c r="Z8" s="68">
        <f>Calc!AO8</f>
        <v>6.3038534375559081E-3</v>
      </c>
      <c r="AA8" s="68">
        <f>1+K8/1000</f>
        <v>2.1475203354847703</v>
      </c>
      <c r="AB8" s="68">
        <f>J8/1000</f>
        <v>7.9648970319201855E-3</v>
      </c>
    </row>
    <row r="9" spans="1:28" x14ac:dyDescent="0.2">
      <c r="A9" s="13">
        <f>Input!A9</f>
        <v>10815</v>
      </c>
      <c r="B9" s="13" t="str">
        <f>Input!B9</f>
        <v>Hu1-13</v>
      </c>
      <c r="C9" s="172">
        <f>Calc!O9*1000</f>
        <v>13701.615715514246</v>
      </c>
      <c r="D9" s="172">
        <f>Calc!P9*1000</f>
        <v>1.1017748846541349</v>
      </c>
      <c r="E9" s="172">
        <f>Calc!X9</f>
        <v>0.88360920982303437</v>
      </c>
      <c r="F9" s="172">
        <f>Calc!Y9</f>
        <v>4.3948522963121817E-3</v>
      </c>
      <c r="G9" s="172">
        <f>Calc!AN9</f>
        <v>1.0036010197358118</v>
      </c>
      <c r="H9" s="173">
        <f>Calc!AO9</f>
        <v>2.312621532853085E-3</v>
      </c>
      <c r="I9" s="15">
        <f>Calc!AH9</f>
        <v>47561.601756511307</v>
      </c>
      <c r="J9" s="15">
        <f>Calc!AI9</f>
        <v>260.6863559729901</v>
      </c>
      <c r="K9" s="15">
        <f>Calc!AJ9</f>
        <v>-1.9475354608159412</v>
      </c>
      <c r="L9" s="15">
        <f>Calc!AK9</f>
        <v>1.3040789190793023</v>
      </c>
      <c r="M9" s="174" t="str">
        <f>Calc!AP9</f>
        <v>Out of range</v>
      </c>
      <c r="N9" s="174" t="e">
        <f>Calc!AQ9</f>
        <v>#VALUE!</v>
      </c>
      <c r="O9" s="174" t="str">
        <f>Calc!AW9</f>
        <v>Out of range</v>
      </c>
      <c r="P9" s="174">
        <f>Calc!AX9</f>
        <v>148.654917297</v>
      </c>
      <c r="Q9" s="178" t="e">
        <f>Calc!BC9</f>
        <v>#VALUE!</v>
      </c>
      <c r="R9" s="174" t="e">
        <f>Calc!BD9</f>
        <v>#VALUE!</v>
      </c>
      <c r="S9" s="15">
        <f>Input!E9</f>
        <v>0</v>
      </c>
      <c r="T9" s="68"/>
      <c r="U9" s="68">
        <f>Input!K9</f>
        <v>7.1278391944295787E-3</v>
      </c>
      <c r="W9" s="68">
        <f>Calc!AS9</f>
        <v>2.110107697536524E-5</v>
      </c>
      <c r="X9" s="68">
        <f>Calc!AT9</f>
        <v>1.0496522049330135E-7</v>
      </c>
      <c r="Y9" s="68">
        <f>Calc!AN9</f>
        <v>1.0036010197358118</v>
      </c>
      <c r="Z9" s="68">
        <f>Calc!AO9</f>
        <v>2.312621532853085E-3</v>
      </c>
      <c r="AA9" s="68">
        <f>1+K9/1000</f>
        <v>0.99805246453918406</v>
      </c>
      <c r="AB9" s="68">
        <f>J9/1000</f>
        <v>0.26068635597299011</v>
      </c>
    </row>
    <row r="10" spans="1:28" x14ac:dyDescent="0.2">
      <c r="H10" s="75"/>
    </row>
    <row r="11" spans="1:28" x14ac:dyDescent="0.2">
      <c r="A11" s="13">
        <f>Input!A11</f>
        <v>10815</v>
      </c>
      <c r="B11" s="13" t="str">
        <f>Input!B11</f>
        <v>Hu1-13</v>
      </c>
      <c r="C11" s="172">
        <f>Calc!O11*1000</f>
        <v>13697.435160189829</v>
      </c>
      <c r="D11" s="172">
        <f>Calc!P11*1000</f>
        <v>2.5381718074033448</v>
      </c>
      <c r="E11" s="172">
        <f>Calc!X11</f>
        <v>0.88312105286703191</v>
      </c>
      <c r="F11" s="172">
        <f>Calc!Y11</f>
        <v>7.837280870973214E-3</v>
      </c>
      <c r="G11" s="172">
        <f>Calc!AN11</f>
        <v>0.99543909866441393</v>
      </c>
      <c r="H11" s="173">
        <f>Calc!AO11</f>
        <v>3.9369826820964925E-3</v>
      </c>
      <c r="I11" s="15">
        <f>Calc!AH11</f>
        <v>47186.475446306933</v>
      </c>
      <c r="J11" s="15">
        <f>Calc!AI11</f>
        <v>458.37737283531385</v>
      </c>
      <c r="K11" s="15">
        <f>Calc!AJ11</f>
        <v>-7.836688726692298E-2</v>
      </c>
      <c r="L11" s="15">
        <f>Calc!AK11</f>
        <v>2.512853774313732</v>
      </c>
      <c r="M11" s="174">
        <f>Calc!AP11</f>
        <v>590.45600000000002</v>
      </c>
      <c r="N11" s="174" t="e">
        <f>Calc!AQ11</f>
        <v>#VALUE!</v>
      </c>
      <c r="O11" s="174">
        <f>Calc!AW11</f>
        <v>590.45429999999999</v>
      </c>
      <c r="P11" s="174">
        <f>Calc!AX11</f>
        <v>263.69312286169998</v>
      </c>
      <c r="Q11" s="178">
        <f>Calc!BC11</f>
        <v>-0.41475954543054638</v>
      </c>
      <c r="R11" s="174">
        <f>Calc!BD11</f>
        <v>13.30022687415344</v>
      </c>
      <c r="S11" s="15">
        <f>Input!E11</f>
        <v>0</v>
      </c>
      <c r="T11" s="68"/>
      <c r="U11" s="68">
        <f>Input!K11</f>
        <v>7.1521020256389758E-3</v>
      </c>
      <c r="W11" s="68">
        <f>Calc!AS11</f>
        <v>2.1095856158977485E-5</v>
      </c>
      <c r="X11" s="68">
        <f>Calc!AT11</f>
        <v>1.8725653431902138E-7</v>
      </c>
      <c r="Y11" s="68">
        <f>Calc!AN11</f>
        <v>0.99543909866441393</v>
      </c>
      <c r="Z11" s="68">
        <f>Calc!AO11</f>
        <v>3.9369826820964925E-3</v>
      </c>
      <c r="AA11" s="68">
        <f t="shared" ref="AA11:AA19" si="0">1+K11/1000</f>
        <v>0.99992163311273308</v>
      </c>
      <c r="AB11" s="68">
        <f t="shared" ref="AB11:AB19" si="1">J11/1000</f>
        <v>0.45837737283531382</v>
      </c>
    </row>
    <row r="12" spans="1:28" x14ac:dyDescent="0.2">
      <c r="A12" s="68">
        <f>Input!A12</f>
        <v>10890</v>
      </c>
      <c r="B12" s="68" t="str">
        <f>Input!B12</f>
        <v>M5-14-44B_331,25</v>
      </c>
      <c r="C12" s="175">
        <f>Calc!O12*1000</f>
        <v>199.20155594283653</v>
      </c>
      <c r="D12" s="175">
        <f>Calc!P12*1000</f>
        <v>1.244095171460234E-2</v>
      </c>
      <c r="E12" s="175">
        <f>Calc!X12</f>
        <v>0.20007994533155873</v>
      </c>
      <c r="F12" s="175">
        <f>Calc!Y12</f>
        <v>4.1632032596910639E-4</v>
      </c>
      <c r="G12" s="175">
        <f>Calc!AN12</f>
        <v>2.2598355138316815</v>
      </c>
      <c r="H12" s="71">
        <f>Calc!AO12</f>
        <v>4.2478248446924565E-3</v>
      </c>
      <c r="I12" s="70">
        <f>Calc!AH12</f>
        <v>6852.0805604189227</v>
      </c>
      <c r="J12" s="70">
        <f>Calc!AI12</f>
        <v>19.209053430821903</v>
      </c>
      <c r="K12" s="70">
        <f>Calc!AJ12</f>
        <v>1131.2101705093744</v>
      </c>
      <c r="L12" s="70">
        <f>Calc!AK12</f>
        <v>2.5219189592738229</v>
      </c>
      <c r="M12" s="176">
        <f>Calc!AP12</f>
        <v>271.59649999999999</v>
      </c>
      <c r="N12" s="176">
        <f>Calc!AQ12</f>
        <v>1.9792000000000001</v>
      </c>
      <c r="O12" s="176">
        <f>Calc!AW12</f>
        <v>271.58859999999999</v>
      </c>
      <c r="P12" s="176">
        <f>Calc!AY12</f>
        <v>1.9854126629328774</v>
      </c>
      <c r="Q12" s="177">
        <f>Calc!BC12</f>
        <v>2434.4657587500997</v>
      </c>
      <c r="R12" s="176">
        <f>Calc!BD12</f>
        <v>14.680315036861954</v>
      </c>
      <c r="S12" s="70">
        <f>Input!E12</f>
        <v>331.25</v>
      </c>
      <c r="T12" s="68"/>
      <c r="U12" s="68">
        <f>Input!K12</f>
        <v>7.1543551584463509E-3</v>
      </c>
      <c r="W12" s="68">
        <f>Calc!AS12</f>
        <v>3.2864498120982125E-4</v>
      </c>
      <c r="X12" s="68">
        <f>Calc!AT12</f>
        <v>6.8414254347233934E-7</v>
      </c>
      <c r="Y12" s="68">
        <f>Calc!AN12</f>
        <v>2.2598355138316815</v>
      </c>
      <c r="Z12" s="68">
        <f>Calc!AO12</f>
        <v>4.2478248446924565E-3</v>
      </c>
      <c r="AA12" s="68">
        <f t="shared" si="0"/>
        <v>2.1312101705093744</v>
      </c>
      <c r="AB12" s="68">
        <f t="shared" si="1"/>
        <v>1.9209053430821903E-2</v>
      </c>
    </row>
    <row r="13" spans="1:28" x14ac:dyDescent="0.2">
      <c r="A13" s="13">
        <f>Input!A13</f>
        <v>10815</v>
      </c>
      <c r="B13" s="13" t="str">
        <f>Input!B13</f>
        <v>Hu1-13</v>
      </c>
      <c r="C13" s="172">
        <f>Calc!O13*1000</f>
        <v>13699.926064839383</v>
      </c>
      <c r="D13" s="172">
        <f>Calc!P13*1000</f>
        <v>2.589229774142261</v>
      </c>
      <c r="E13" s="172">
        <f>Calc!X13</f>
        <v>0.90502759155128332</v>
      </c>
      <c r="F13" s="172">
        <f>Calc!Y13</f>
        <v>9.1093552708813915E-3</v>
      </c>
      <c r="G13" s="172">
        <f>Calc!AN13</f>
        <v>0.99753948162953732</v>
      </c>
      <c r="H13" s="173">
        <f>Calc!AO13</f>
        <v>3.5729878969840995E-3</v>
      </c>
      <c r="I13" s="15">
        <f>Calc!AH13</f>
        <v>46149.853480572434</v>
      </c>
      <c r="J13" s="15">
        <f>Calc!AI13</f>
        <v>492.96905719261167</v>
      </c>
      <c r="K13" s="15">
        <f>Calc!AJ13</f>
        <v>-1.0759985301597164</v>
      </c>
      <c r="L13" s="15">
        <f>Calc!AK13</f>
        <v>2.3286636106792642</v>
      </c>
      <c r="M13" s="174">
        <f>Calc!AP13</f>
        <v>762.52499999999998</v>
      </c>
      <c r="N13" s="174" t="e">
        <f>Calc!AQ13</f>
        <v>#VALUE!</v>
      </c>
      <c r="O13" s="174">
        <f>Calc!AW13</f>
        <v>762.52319999999997</v>
      </c>
      <c r="P13" s="174">
        <f>Calc!AX13</f>
        <v>328.65412204339998</v>
      </c>
      <c r="Q13" s="178">
        <f>Calc!BC13</f>
        <v>-9.2547350468643668</v>
      </c>
      <c r="R13" s="174">
        <f>Calc!BD13</f>
        <v>25.132804807603062</v>
      </c>
      <c r="S13" s="15">
        <f>Input!E13</f>
        <v>0</v>
      </c>
      <c r="T13" s="68"/>
      <c r="U13" s="68">
        <f>Input!K13</f>
        <v>7.1473712880570301E-3</v>
      </c>
      <c r="W13" s="68">
        <f>Calc!AS13</f>
        <v>2.1615225323509826E-5</v>
      </c>
      <c r="X13" s="68">
        <f>Calc!AT13</f>
        <v>2.1760162538889512E-7</v>
      </c>
      <c r="Y13" s="68">
        <f>Calc!AN13</f>
        <v>0.99753948162953732</v>
      </c>
      <c r="Z13" s="68">
        <f>Calc!AO13</f>
        <v>3.5729878969840995E-3</v>
      </c>
      <c r="AA13" s="68">
        <f t="shared" si="0"/>
        <v>0.99892400146984028</v>
      </c>
      <c r="AB13" s="68">
        <f t="shared" si="1"/>
        <v>0.49296905719261169</v>
      </c>
    </row>
    <row r="14" spans="1:28" x14ac:dyDescent="0.2">
      <c r="A14" s="68">
        <f>Input!A14</f>
        <v>10891</v>
      </c>
      <c r="B14" s="68" t="str">
        <f>Input!B14</f>
        <v>M5-14-44B_346,5</v>
      </c>
      <c r="C14" s="175">
        <f>Calc!O14*1000</f>
        <v>280.32701801732549</v>
      </c>
      <c r="D14" s="175">
        <f>Calc!P14*1000</f>
        <v>2.4337700703993773E-2</v>
      </c>
      <c r="E14" s="175">
        <f>Calc!X14</f>
        <v>0.14727047358908915</v>
      </c>
      <c r="F14" s="175">
        <f>Calc!Y14</f>
        <v>3.9182463037615078E-4</v>
      </c>
      <c r="G14" s="175">
        <f>Calc!AN14</f>
        <v>2.1858435407692109</v>
      </c>
      <c r="H14" s="71">
        <f>Calc!AO14</f>
        <v>3.9909539571725203E-3</v>
      </c>
      <c r="I14" s="70">
        <f>Calc!AH14</f>
        <v>12714.451659240711</v>
      </c>
      <c r="J14" s="70">
        <f>Calc!AI14</f>
        <v>41.012243714117659</v>
      </c>
      <c r="K14" s="70">
        <f>Calc!AJ14</f>
        <v>1073.5827739719484</v>
      </c>
      <c r="L14" s="70">
        <f>Calc!AK14</f>
        <v>2.0540152194110437</v>
      </c>
      <c r="M14" s="176">
        <f>Calc!AP14</f>
        <v>269.39120000000003</v>
      </c>
      <c r="N14" s="176">
        <f>Calc!AQ14</f>
        <v>1.8008</v>
      </c>
      <c r="O14" s="176">
        <f>Calc!AW14</f>
        <v>269.38690000000003</v>
      </c>
      <c r="P14" s="176">
        <f>Calc!AY14</f>
        <v>1.8234752028000796</v>
      </c>
      <c r="Q14" s="177">
        <f>Calc!BC14</f>
        <v>2296.1353728332565</v>
      </c>
      <c r="R14" s="176">
        <f>Calc!BD14</f>
        <v>12.60604092956525</v>
      </c>
      <c r="S14" s="70">
        <f>Input!E14</f>
        <v>346.5</v>
      </c>
      <c r="T14" s="68"/>
      <c r="U14" s="68">
        <f>Input!K14</f>
        <v>7.1478863493836106E-3</v>
      </c>
      <c r="W14" s="68">
        <f>Calc!AS14</f>
        <v>1.7189644572397755E-4</v>
      </c>
      <c r="X14" s="68">
        <f>Calc!AT14</f>
        <v>4.5758738834727187E-7</v>
      </c>
      <c r="Y14" s="68">
        <f>Calc!AN14</f>
        <v>2.1858435407692109</v>
      </c>
      <c r="Z14" s="68">
        <f>Calc!AO14</f>
        <v>3.9909539571725203E-3</v>
      </c>
      <c r="AA14" s="68">
        <f t="shared" si="0"/>
        <v>2.0735827739719483</v>
      </c>
      <c r="AB14" s="68">
        <f t="shared" si="1"/>
        <v>4.1012243714117658E-2</v>
      </c>
    </row>
    <row r="15" spans="1:28" x14ac:dyDescent="0.2">
      <c r="A15" s="13">
        <f>Input!A15</f>
        <v>10815</v>
      </c>
      <c r="B15" s="13" t="str">
        <f>Input!B15</f>
        <v>Hu1-13</v>
      </c>
      <c r="C15" s="172">
        <f>Calc!O15*1000</f>
        <v>13700.605051231014</v>
      </c>
      <c r="D15" s="172">
        <f>Calc!P15*1000</f>
        <v>2.4906821550498082</v>
      </c>
      <c r="E15" s="172">
        <f>Calc!X15</f>
        <v>0.8831575665291993</v>
      </c>
      <c r="F15" s="172">
        <f>Calc!Y15</f>
        <v>8.1098010071984535E-3</v>
      </c>
      <c r="G15" s="172">
        <f>Calc!AN15</f>
        <v>1.0022093647894452</v>
      </c>
      <c r="H15" s="173">
        <f>Calc!AO15</f>
        <v>3.1217875912964051E-3</v>
      </c>
      <c r="I15" s="15">
        <f>Calc!AH15</f>
        <v>47516.433814444179</v>
      </c>
      <c r="J15" s="15">
        <f>Calc!AI15</f>
        <v>460.66978389108829</v>
      </c>
      <c r="K15" s="15">
        <f>Calc!AJ15</f>
        <v>1.4062442537292608</v>
      </c>
      <c r="L15" s="15">
        <f>Calc!AK15</f>
        <v>1.9851621197802516</v>
      </c>
      <c r="M15" s="174" t="str">
        <f>Calc!AP15</f>
        <v>Out of range</v>
      </c>
      <c r="N15" s="174" t="e">
        <f>Calc!AQ15</f>
        <v>#VALUE!</v>
      </c>
      <c r="O15" s="174" t="str">
        <f>Calc!AW15</f>
        <v>Out of range</v>
      </c>
      <c r="P15" s="174">
        <f>Calc!AX15</f>
        <v>339.7202344982</v>
      </c>
      <c r="Q15" s="178" t="e">
        <f>Calc!BC15</f>
        <v>#VALUE!</v>
      </c>
      <c r="R15" s="174" t="e">
        <f>Calc!BD15</f>
        <v>#VALUE!</v>
      </c>
      <c r="S15" s="15">
        <f>Input!E15</f>
        <v>0</v>
      </c>
      <c r="T15" s="68"/>
      <c r="U15" s="68">
        <f>Input!K15</f>
        <v>7.1331348142090857E-3</v>
      </c>
      <c r="W15" s="68">
        <f>Calc!AS15</f>
        <v>2.1091847269160815E-5</v>
      </c>
      <c r="X15" s="68">
        <f>Calc!AT15</f>
        <v>1.9371877423727144E-7</v>
      </c>
      <c r="Y15" s="68">
        <f>Calc!AN15</f>
        <v>1.0022093647894452</v>
      </c>
      <c r="Z15" s="68">
        <f>Calc!AO15</f>
        <v>3.1217875912964051E-3</v>
      </c>
      <c r="AA15" s="68">
        <f t="shared" si="0"/>
        <v>1.0014062442537293</v>
      </c>
      <c r="AB15" s="68">
        <f t="shared" si="1"/>
        <v>0.46066978389108831</v>
      </c>
    </row>
    <row r="16" spans="1:28" x14ac:dyDescent="0.2">
      <c r="A16" s="68">
        <f>Input!A16</f>
        <v>10892</v>
      </c>
      <c r="B16" s="68" t="str">
        <f>Input!B16</f>
        <v>M5-14-44B_618,75</v>
      </c>
      <c r="C16" s="175">
        <f>Calc!O16*1000</f>
        <v>285.63266761377025</v>
      </c>
      <c r="D16" s="175">
        <f>Calc!P16*1000</f>
        <v>1.8847718226426297E-2</v>
      </c>
      <c r="E16" s="175">
        <f>Calc!X16</f>
        <v>6.9020583528667967E-2</v>
      </c>
      <c r="F16" s="175">
        <f>Calc!Y16</f>
        <v>1.7100022691264247E-4</v>
      </c>
      <c r="G16" s="175">
        <f>Calc!AN16</f>
        <v>2.1011239828055128</v>
      </c>
      <c r="H16" s="71">
        <f>Calc!AO16</f>
        <v>4.8060000118417918E-3</v>
      </c>
      <c r="I16" s="70">
        <f>Calc!AH16</f>
        <v>26616.241826059493</v>
      </c>
      <c r="J16" s="70">
        <f>Calc!AI16</f>
        <v>89.731611687948472</v>
      </c>
      <c r="K16" s="70">
        <f>Calc!AJ16</f>
        <v>985.15406984982917</v>
      </c>
      <c r="L16" s="70">
        <f>Calc!AK16</f>
        <v>1.6348463181528816</v>
      </c>
      <c r="M16" s="176">
        <f>Calc!AP16</f>
        <v>277.91849999999999</v>
      </c>
      <c r="N16" s="176">
        <f>Calc!AQ16</f>
        <v>2.2896999999999998</v>
      </c>
      <c r="O16" s="176">
        <f>Calc!AW16</f>
        <v>277.91649999999998</v>
      </c>
      <c r="P16" s="176">
        <f>Calc!AY16</f>
        <v>2.284887382530707</v>
      </c>
      <c r="Q16" s="177">
        <f>Calc!BC16</f>
        <v>2158.3408554012858</v>
      </c>
      <c r="R16" s="176">
        <f>Calc!BD16</f>
        <v>14.370683180773435</v>
      </c>
      <c r="S16" s="70">
        <f>Input!E16</f>
        <v>618.75</v>
      </c>
      <c r="T16" s="68"/>
      <c r="U16" s="68">
        <f>Input!K16</f>
        <v>7.137523244743431E-3</v>
      </c>
      <c r="W16" s="68">
        <f>Calc!AS16</f>
        <v>7.9065481762506234E-5</v>
      </c>
      <c r="X16" s="68">
        <f>Calc!AT16</f>
        <v>1.9595617886198405E-7</v>
      </c>
      <c r="Y16" s="68">
        <f>Calc!AN16</f>
        <v>2.1011239828055128</v>
      </c>
      <c r="Z16" s="68">
        <f>Calc!AO16</f>
        <v>4.8060000118417918E-3</v>
      </c>
      <c r="AA16" s="68">
        <f t="shared" si="0"/>
        <v>1.9851540698498291</v>
      </c>
      <c r="AB16" s="68">
        <f t="shared" si="1"/>
        <v>8.9731611687948479E-2</v>
      </c>
    </row>
    <row r="17" spans="1:28" x14ac:dyDescent="0.2">
      <c r="A17" s="13">
        <f>Input!A17</f>
        <v>10815</v>
      </c>
      <c r="B17" s="13" t="str">
        <f>Input!B17</f>
        <v>Hu1-13</v>
      </c>
      <c r="C17" s="172">
        <f>Calc!O17*1000</f>
        <v>13702.24298819626</v>
      </c>
      <c r="D17" s="172">
        <f>Calc!P17*1000</f>
        <v>2.3842062464656988</v>
      </c>
      <c r="E17" s="172">
        <f>Calc!X17</f>
        <v>0.8688305897620362</v>
      </c>
      <c r="F17" s="172">
        <f>Calc!Y17</f>
        <v>5.8212821783571135E-3</v>
      </c>
      <c r="G17" s="172">
        <f>Calc!AN17</f>
        <v>1.000933714730156</v>
      </c>
      <c r="H17" s="173">
        <f>Calc!AO17</f>
        <v>3.1053858592259859E-3</v>
      </c>
      <c r="I17" s="15">
        <f>Calc!AH17</f>
        <v>48244.266614181717</v>
      </c>
      <c r="J17" s="15">
        <f>Calc!AI17</f>
        <v>356.1164509587943</v>
      </c>
      <c r="K17" s="15">
        <f>Calc!AJ17</f>
        <v>-0.72481986003769538</v>
      </c>
      <c r="L17" s="15">
        <f>Calc!AK17</f>
        <v>3.0484620641075946</v>
      </c>
      <c r="M17" s="174" t="str">
        <f>Calc!AP17</f>
        <v>Out of range</v>
      </c>
      <c r="N17" s="174" t="e">
        <f>Calc!AQ17</f>
        <v>#VALUE!</v>
      </c>
      <c r="O17" s="174" t="str">
        <f>Calc!AW17</f>
        <v>Out of range</v>
      </c>
      <c r="P17" s="174">
        <f>Calc!AX17</f>
        <v>287.7205359033</v>
      </c>
      <c r="Q17" s="178" t="e">
        <f>Calc!BC17</f>
        <v>#VALUE!</v>
      </c>
      <c r="R17" s="174" t="e">
        <f>Calc!BD17</f>
        <v>#VALUE!</v>
      </c>
      <c r="S17" s="15">
        <f>Input!E17</f>
        <v>0</v>
      </c>
      <c r="T17" s="68"/>
      <c r="U17" s="68">
        <f>Input!K17</f>
        <v>7.1302621723482963E-3</v>
      </c>
      <c r="W17" s="68">
        <f>Calc!AS17</f>
        <v>2.074720552257136E-5</v>
      </c>
      <c r="X17" s="68">
        <f>Calc!AT17</f>
        <v>1.3905594439851641E-7</v>
      </c>
      <c r="Y17" s="68">
        <f>Calc!AN17</f>
        <v>1.000933714730156</v>
      </c>
      <c r="Z17" s="68">
        <f>Calc!AO17</f>
        <v>3.1053858592259859E-3</v>
      </c>
      <c r="AA17" s="68">
        <f t="shared" si="0"/>
        <v>0.9992751801399623</v>
      </c>
      <c r="AB17" s="68">
        <f t="shared" si="1"/>
        <v>0.3561164509587943</v>
      </c>
    </row>
    <row r="18" spans="1:28" x14ac:dyDescent="0.2">
      <c r="A18" s="68">
        <f>Input!A18</f>
        <v>10893</v>
      </c>
      <c r="B18" s="68" t="str">
        <f>Input!B18</f>
        <v>M5-14-44B_653</v>
      </c>
      <c r="C18" s="175">
        <f>Calc!O18*1000</f>
        <v>302.60352212767305</v>
      </c>
      <c r="D18" s="175">
        <f>Calc!P18*1000</f>
        <v>2.8487455137125063E-2</v>
      </c>
      <c r="E18" s="175">
        <f>Calc!X18</f>
        <v>0.16004807462889956</v>
      </c>
      <c r="F18" s="175">
        <f>Calc!Y18</f>
        <v>7.1147244130044746E-4</v>
      </c>
      <c r="G18" s="175">
        <f>Calc!AN18</f>
        <v>11.46960622171029</v>
      </c>
      <c r="H18" s="71">
        <f>Calc!AO18</f>
        <v>6.0908577613322128E-2</v>
      </c>
      <c r="I18" s="70">
        <f>Calc!AH18</f>
        <v>66400.108543118258</v>
      </c>
      <c r="J18" s="70">
        <f>Calc!AI18</f>
        <v>459.80877351377615</v>
      </c>
      <c r="K18" s="70">
        <f>Calc!AJ18</f>
        <v>2980.259167940399</v>
      </c>
      <c r="L18" s="70">
        <f>Calc!AK18</f>
        <v>12.047221179183131</v>
      </c>
      <c r="M18" s="176" t="str">
        <f>Calc!AP18</f>
        <v>Out of range</v>
      </c>
      <c r="N18" s="176" t="e">
        <f>Calc!AQ18</f>
        <v>#VALUE!</v>
      </c>
      <c r="O18" s="176" t="str">
        <f>Calc!AW18</f>
        <v>Out of range</v>
      </c>
      <c r="P18" s="176" t="e">
        <f>Calc!AY18</f>
        <v>#VALUE!</v>
      </c>
      <c r="Q18" s="177" t="e">
        <f>Calc!BC18</f>
        <v>#VALUE!</v>
      </c>
      <c r="R18" s="176" t="e">
        <f>Calc!BD18</f>
        <v>#VALUE!</v>
      </c>
      <c r="S18" s="70">
        <f>Input!E18</f>
        <v>653</v>
      </c>
      <c r="T18" s="68"/>
      <c r="U18" s="68">
        <f>Input!K18</f>
        <v>7.1587793870285452E-3</v>
      </c>
      <c r="W18" s="68">
        <f>Calc!AS18</f>
        <v>1.7305838482581607E-4</v>
      </c>
      <c r="X18" s="68">
        <f>Calc!AT18</f>
        <v>7.6948053658087499E-7</v>
      </c>
      <c r="Y18" s="68">
        <f>Calc!AN18</f>
        <v>11.46960622171029</v>
      </c>
      <c r="Z18" s="68">
        <f>Calc!AO18</f>
        <v>6.0908577613322128E-2</v>
      </c>
      <c r="AA18" s="68">
        <f t="shared" si="0"/>
        <v>3.9802591679403991</v>
      </c>
      <c r="AB18" s="68">
        <f t="shared" si="1"/>
        <v>0.45980877351377614</v>
      </c>
    </row>
    <row r="19" spans="1:28" x14ac:dyDescent="0.2">
      <c r="A19" s="13">
        <f>Input!A19</f>
        <v>10815</v>
      </c>
      <c r="B19" s="13" t="str">
        <f>Input!B19</f>
        <v>Hu1-13</v>
      </c>
      <c r="C19" s="172">
        <f>Calc!O19*1000</f>
        <v>13698.567590098577</v>
      </c>
      <c r="D19" s="172">
        <f>Calc!P19*1000</f>
        <v>2.7632137285455443</v>
      </c>
      <c r="E19" s="172">
        <f>Calc!X19</f>
        <v>0.8658172853776106</v>
      </c>
      <c r="F19" s="172">
        <f>Calc!Y19</f>
        <v>7.8981949888965765E-3</v>
      </c>
      <c r="G19" s="172">
        <f>Calc!AN19</f>
        <v>1.0028134609976298</v>
      </c>
      <c r="H19" s="173">
        <f>Calc!AO19</f>
        <v>4.059916557623439E-3</v>
      </c>
      <c r="I19" s="15">
        <f>Calc!AH19</f>
        <v>48490.078724757434</v>
      </c>
      <c r="J19" s="15">
        <f>Calc!AI19</f>
        <v>483.84541137952459</v>
      </c>
      <c r="K19" s="15">
        <f>Calc!AJ19</f>
        <v>0.69171692018099584</v>
      </c>
      <c r="L19" s="15">
        <f>Calc!AK19</f>
        <v>3.2666460901569954</v>
      </c>
      <c r="M19" s="174" t="str">
        <f>Calc!AP19</f>
        <v>Out of range</v>
      </c>
      <c r="N19" s="174" t="e">
        <f>Calc!AQ19</f>
        <v>#VALUE!</v>
      </c>
      <c r="O19" s="174" t="str">
        <f>Calc!AW19</f>
        <v>Out of range</v>
      </c>
      <c r="P19" s="174">
        <f>Calc!AX19</f>
        <v>304.19394316249998</v>
      </c>
      <c r="Q19" s="178" t="e">
        <f>Calc!BC19</f>
        <v>#VALUE!</v>
      </c>
      <c r="R19" s="174" t="e">
        <f>Calc!BD19</f>
        <v>#VALUE!</v>
      </c>
      <c r="S19" s="15">
        <f>Input!E19</f>
        <v>0</v>
      </c>
      <c r="T19" s="68"/>
      <c r="U19" s="68">
        <f>Input!K19</f>
        <v>7.1236781443474182E-3</v>
      </c>
      <c r="W19" s="68">
        <f>Calc!AS19</f>
        <v>2.0680796719053922E-5</v>
      </c>
      <c r="X19" s="68">
        <f>Calc!AT19</f>
        <v>1.8870135383637778E-7</v>
      </c>
      <c r="Y19" s="68">
        <f>Calc!AN19</f>
        <v>1.0028134609976298</v>
      </c>
      <c r="Z19" s="68">
        <f>Calc!AO19</f>
        <v>4.059916557623439E-3</v>
      </c>
      <c r="AA19" s="68">
        <f t="shared" si="0"/>
        <v>1.000691716920181</v>
      </c>
      <c r="AB19" s="68">
        <f t="shared" si="1"/>
        <v>0.48384541137952458</v>
      </c>
    </row>
    <row r="20" spans="1:28" x14ac:dyDescent="0.2">
      <c r="H20" s="75"/>
    </row>
    <row r="21" spans="1:28" x14ac:dyDescent="0.2">
      <c r="A21" s="13">
        <f>Input!A21</f>
        <v>10815</v>
      </c>
      <c r="B21" s="13" t="str">
        <f>Input!B21</f>
        <v>Hu1-13</v>
      </c>
      <c r="C21" s="172">
        <f>Calc!O21*1000</f>
        <v>13702.379602845522</v>
      </c>
      <c r="D21" s="172">
        <f>Calc!P21*1000</f>
        <v>1.4991704571482873</v>
      </c>
      <c r="E21" s="172">
        <f>Calc!X21</f>
        <v>0.88986070829187047</v>
      </c>
      <c r="F21" s="172">
        <f>Calc!Y21</f>
        <v>3.4205022606849478E-3</v>
      </c>
      <c r="G21" s="172">
        <f>Calc!AN21</f>
        <v>0.99626022605358877</v>
      </c>
      <c r="H21" s="173">
        <f>Calc!AO21</f>
        <v>2.5796414223910771E-3</v>
      </c>
      <c r="I21" s="15">
        <f>Calc!AH21</f>
        <v>46884.639959721702</v>
      </c>
      <c r="J21" s="15">
        <f>Calc!AI21</f>
        <v>217.23284650543968</v>
      </c>
      <c r="K21" s="15">
        <f>Calc!AJ21</f>
        <v>-0.90313185095880488</v>
      </c>
      <c r="L21" s="15">
        <f>Calc!AK21</f>
        <v>1.5823413933688879</v>
      </c>
      <c r="M21" s="174">
        <f>Calc!AP21</f>
        <v>655.298</v>
      </c>
      <c r="N21" s="174" t="e">
        <f>Calc!AQ21</f>
        <v>#VALUE!</v>
      </c>
      <c r="O21" s="174">
        <f>Calc!AW21</f>
        <v>655.2962</v>
      </c>
      <c r="P21" s="174">
        <f>Calc!AX21</f>
        <v>288.55879786359998</v>
      </c>
      <c r="Q21" s="178">
        <f>Calc!BC21</f>
        <v>-5.7396513742789761</v>
      </c>
      <c r="R21" s="174">
        <f>Calc!BD21</f>
        <v>10.352828070056303</v>
      </c>
      <c r="S21" s="15">
        <f>Input!E21</f>
        <v>0</v>
      </c>
      <c r="T21" s="68"/>
      <c r="U21" s="68">
        <f>Input!K21</f>
        <v>7.1422341560600996E-3</v>
      </c>
      <c r="W21" s="68">
        <f>Calc!AS21</f>
        <v>2.1249181542387222E-5</v>
      </c>
      <c r="X21" s="68">
        <f>Calc!AT21</f>
        <v>8.1712013446050295E-8</v>
      </c>
      <c r="Y21" s="68">
        <f>Calc!AN21</f>
        <v>0.99626022605358877</v>
      </c>
      <c r="Z21" s="68">
        <f>Calc!AO21</f>
        <v>2.5796414223910771E-3</v>
      </c>
      <c r="AA21" s="68">
        <f t="shared" ref="AA21:AA31" si="2">1+K21/1000</f>
        <v>0.9990968681490412</v>
      </c>
      <c r="AB21" s="68">
        <f t="shared" ref="AB21:AB31" si="3">J21/1000</f>
        <v>0.21723284650543967</v>
      </c>
    </row>
    <row r="22" spans="1:28" x14ac:dyDescent="0.2">
      <c r="A22" s="68">
        <f>Input!A22</f>
        <v>10894</v>
      </c>
      <c r="B22" s="68" t="str">
        <f>Input!B22</f>
        <v>M5-14-42_58,75</v>
      </c>
      <c r="C22" s="175">
        <f>Calc!O22*1000</f>
        <v>1358.0467507983044</v>
      </c>
      <c r="D22" s="175">
        <f>Calc!P22*1000</f>
        <v>6.6424630282533148E-2</v>
      </c>
      <c r="E22" s="175">
        <f>Calc!X22</f>
        <v>7.88543186866736E-2</v>
      </c>
      <c r="F22" s="175">
        <f>Calc!Y22</f>
        <v>1.5284370341317778E-4</v>
      </c>
      <c r="G22" s="175">
        <f>Calc!AN22</f>
        <v>1.0250631653141058</v>
      </c>
      <c r="H22" s="71">
        <f>Calc!AO22</f>
        <v>2.0674408893385692E-3</v>
      </c>
      <c r="I22" s="70">
        <f>Calc!AH22</f>
        <v>53754.936824490338</v>
      </c>
      <c r="J22" s="70">
        <f>Calc!AI22</f>
        <v>150.3455839746826</v>
      </c>
      <c r="K22" s="70">
        <f>Calc!AJ22</f>
        <v>162.28997513986454</v>
      </c>
      <c r="L22" s="70">
        <f>Calc!AK22</f>
        <v>0.52356550124050871</v>
      </c>
      <c r="M22" s="176">
        <f>Calc!AP22</f>
        <v>208.9606</v>
      </c>
      <c r="N22" s="176">
        <f>Calc!AQ22</f>
        <v>1.1873</v>
      </c>
      <c r="O22" s="176">
        <f>Calc!AW22</f>
        <v>208.95939999999999</v>
      </c>
      <c r="P22" s="176">
        <f>Calc!AY22</f>
        <v>1.22537324862438</v>
      </c>
      <c r="Q22" s="177">
        <f>Calc!BC22</f>
        <v>292.6802363370121</v>
      </c>
      <c r="R22" s="176">
        <f>Calc!BD22</f>
        <v>1.3841667668044177</v>
      </c>
      <c r="S22" s="70">
        <f>Input!E22</f>
        <v>58.75</v>
      </c>
      <c r="T22" s="68"/>
      <c r="U22" s="68">
        <f>Input!K22</f>
        <v>7.1443989744335327E-3</v>
      </c>
      <c r="W22" s="68">
        <f>Calc!AS22</f>
        <v>1.8998833366007092E-5</v>
      </c>
      <c r="X22" s="68">
        <f>Calc!AT22</f>
        <v>3.6837252554851733E-8</v>
      </c>
      <c r="Y22" s="68">
        <f>Calc!AN22</f>
        <v>1.0250631653141058</v>
      </c>
      <c r="Z22" s="68">
        <f>Calc!AO22</f>
        <v>2.0674408893385692E-3</v>
      </c>
      <c r="AA22" s="68">
        <f t="shared" si="2"/>
        <v>1.1622899751398645</v>
      </c>
      <c r="AB22" s="68">
        <f t="shared" si="3"/>
        <v>0.15034558397468259</v>
      </c>
    </row>
    <row r="23" spans="1:28" x14ac:dyDescent="0.2">
      <c r="A23" s="13">
        <f>Input!A23</f>
        <v>10815</v>
      </c>
      <c r="B23" s="13" t="str">
        <f>Input!B23</f>
        <v>Hu1-13</v>
      </c>
      <c r="C23" s="172">
        <f>Calc!O23*1000</f>
        <v>13701.470390200906</v>
      </c>
      <c r="D23" s="172">
        <f>Calc!P23*1000</f>
        <v>1.3332251945884417</v>
      </c>
      <c r="E23" s="172">
        <f>Calc!X23</f>
        <v>0.88989842634719007</v>
      </c>
      <c r="F23" s="172">
        <f>Calc!Y23</f>
        <v>3.9324796571439972E-3</v>
      </c>
      <c r="G23" s="172">
        <f>Calc!AN23</f>
        <v>0.99636056432625753</v>
      </c>
      <c r="H23" s="173">
        <f>Calc!AO23</f>
        <v>3.1665193261460737E-3</v>
      </c>
      <c r="I23" s="15">
        <f>Calc!AH23</f>
        <v>46884.263370521905</v>
      </c>
      <c r="J23" s="15">
        <f>Calc!AI23</f>
        <v>255.15769400638541</v>
      </c>
      <c r="K23" s="15">
        <f>Calc!AJ23</f>
        <v>0.42829955381318285</v>
      </c>
      <c r="L23" s="15">
        <f>Calc!AK23</f>
        <v>1.4065878816624291</v>
      </c>
      <c r="M23" s="174">
        <f>Calc!AP23</f>
        <v>595.63070000000005</v>
      </c>
      <c r="N23" s="174" t="e">
        <f>Calc!AQ23</f>
        <v>#VALUE!</v>
      </c>
      <c r="O23" s="174">
        <f>Calc!AW23</f>
        <v>595.62900000000002</v>
      </c>
      <c r="P23" s="174">
        <f>Calc!AX23</f>
        <v>213.15413195010001</v>
      </c>
      <c r="Q23" s="178">
        <f>Calc!BC23</f>
        <v>2.3001362023994134</v>
      </c>
      <c r="R23" s="174">
        <f>Calc!BD23</f>
        <v>7.5791842752988989</v>
      </c>
      <c r="S23" s="15">
        <f>Input!E23</f>
        <v>0</v>
      </c>
      <c r="T23" s="68"/>
      <c r="U23" s="68">
        <f>Input!K23</f>
        <v>7.1395446009696051E-3</v>
      </c>
      <c r="W23" s="68">
        <f>Calc!AS23</f>
        <v>2.1251492349407606E-5</v>
      </c>
      <c r="X23" s="68">
        <f>Calc!AT23</f>
        <v>9.3933551006726988E-8</v>
      </c>
      <c r="Y23" s="68">
        <f>Calc!AN23</f>
        <v>0.99636056432625753</v>
      </c>
      <c r="Z23" s="68">
        <f>Calc!AO23</f>
        <v>3.1665193261460737E-3</v>
      </c>
      <c r="AA23" s="68">
        <f t="shared" si="2"/>
        <v>1.0004282995538132</v>
      </c>
      <c r="AB23" s="68">
        <f t="shared" si="3"/>
        <v>0.25515769400638544</v>
      </c>
    </row>
    <row r="24" spans="1:28" x14ac:dyDescent="0.2">
      <c r="A24" s="68">
        <f>Input!A24</f>
        <v>10895</v>
      </c>
      <c r="B24" s="68" t="str">
        <f>Input!B24</f>
        <v>M5-14-42_162,75</v>
      </c>
      <c r="C24" s="175">
        <f>Calc!O24*1000</f>
        <v>661.38209082670801</v>
      </c>
      <c r="D24" s="175">
        <f>Calc!P24*1000</f>
        <v>2.8284402254664925E-2</v>
      </c>
      <c r="E24" s="175">
        <f>Calc!X24</f>
        <v>2.4536005134334093</v>
      </c>
      <c r="F24" s="175">
        <f>Calc!Y24</f>
        <v>3.9896504613797703E-3</v>
      </c>
      <c r="G24" s="175">
        <f>Calc!AN24</f>
        <v>1.0855902034941289</v>
      </c>
      <c r="H24" s="71">
        <f>Calc!AO24</f>
        <v>2.1566062817766165E-3</v>
      </c>
      <c r="I24" s="70">
        <f>Calc!AH24</f>
        <v>893.17706721611967</v>
      </c>
      <c r="J24" s="70">
        <f>Calc!AI24</f>
        <v>2.2926403166460929</v>
      </c>
      <c r="K24" s="70">
        <f>Calc!AJ24</f>
        <v>185.59794021642028</v>
      </c>
      <c r="L24" s="70">
        <f>Calc!AK24</f>
        <v>0.65706453260532927</v>
      </c>
      <c r="M24" s="176">
        <f>Calc!AP24</f>
        <v>230.7158</v>
      </c>
      <c r="N24" s="176">
        <f>Calc!AQ24</f>
        <v>1.5011000000000001</v>
      </c>
      <c r="O24" s="176">
        <f>Calc!AW24</f>
        <v>230.64259999999999</v>
      </c>
      <c r="P24" s="176">
        <f>Calc!AY24</f>
        <v>1.5167909156653343</v>
      </c>
      <c r="Q24" s="177">
        <f>Calc!BC24</f>
        <v>355.83600979362302</v>
      </c>
      <c r="R24" s="176">
        <f>Calc!BD24</f>
        <v>1.9766006652339614</v>
      </c>
      <c r="S24" s="70">
        <f>Input!E24</f>
        <v>162.75</v>
      </c>
      <c r="T24" s="68"/>
      <c r="U24" s="68">
        <f>Input!K24</f>
        <v>7.1428212293925741E-3</v>
      </c>
      <c r="W24" s="68">
        <f>Calc!AS24</f>
        <v>1.2138571865668753E-3</v>
      </c>
      <c r="X24" s="68">
        <f>Calc!AT24</f>
        <v>1.9744618203836995E-6</v>
      </c>
      <c r="Y24" s="68">
        <f>Calc!AN24</f>
        <v>1.0855902034941289</v>
      </c>
      <c r="Z24" s="68">
        <f>Calc!AO24</f>
        <v>2.1566062817766165E-3</v>
      </c>
      <c r="AA24" s="68">
        <f t="shared" si="2"/>
        <v>1.1855979402164203</v>
      </c>
      <c r="AB24" s="68">
        <f t="shared" si="3"/>
        <v>2.2926403166460929E-3</v>
      </c>
    </row>
    <row r="25" spans="1:28" x14ac:dyDescent="0.2">
      <c r="A25" s="13">
        <f>Input!A25</f>
        <v>10815</v>
      </c>
      <c r="B25" s="13" t="str">
        <f>Input!B25</f>
        <v>Hu1-13</v>
      </c>
      <c r="C25" s="172">
        <f>Calc!O25*1000</f>
        <v>13699.488543402418</v>
      </c>
      <c r="D25" s="172">
        <f>Calc!P25*1000</f>
        <v>1.1827186108034682</v>
      </c>
      <c r="E25" s="172">
        <f>Calc!X25</f>
        <v>0.88917533976660024</v>
      </c>
      <c r="F25" s="172">
        <f>Calc!Y25</f>
        <v>2.7629116507428002E-3</v>
      </c>
      <c r="G25" s="172">
        <f>Calc!AN25</f>
        <v>1.0010587167751961</v>
      </c>
      <c r="H25" s="173">
        <f>Calc!AO25</f>
        <v>2.2206979012277892E-3</v>
      </c>
      <c r="I25" s="15">
        <f>Calc!AH25</f>
        <v>47136.824835166866</v>
      </c>
      <c r="J25" s="15">
        <f>Calc!AI25</f>
        <v>179.91684286505679</v>
      </c>
      <c r="K25" s="15">
        <f>Calc!AJ25</f>
        <v>-0.20273458270991807</v>
      </c>
      <c r="L25" s="15">
        <f>Calc!AK25</f>
        <v>1.3288982575925017</v>
      </c>
      <c r="M25" s="174" t="str">
        <f>Calc!AP25</f>
        <v>Out of range</v>
      </c>
      <c r="N25" s="174" t="e">
        <f>Calc!AQ25</f>
        <v>#VALUE!</v>
      </c>
      <c r="O25" s="174" t="str">
        <f>Calc!AW25</f>
        <v>Out of range</v>
      </c>
      <c r="P25" s="174">
        <f>Calc!AX25</f>
        <v>346.60589825469998</v>
      </c>
      <c r="Q25" s="178" t="e">
        <f>Calc!BC25</f>
        <v>#VALUE!</v>
      </c>
      <c r="R25" s="174" t="e">
        <f>Calc!BD25</f>
        <v>#VALUE!</v>
      </c>
      <c r="S25" s="15">
        <f>Input!E25</f>
        <v>0</v>
      </c>
      <c r="T25" s="68"/>
      <c r="U25" s="68">
        <f>Input!K25</f>
        <v>7.1365322746616304E-3</v>
      </c>
      <c r="W25" s="68">
        <f>Calc!AS25</f>
        <v>2.1237296323539105E-5</v>
      </c>
      <c r="X25" s="68">
        <f>Calc!AT25</f>
        <v>6.6015570291520499E-8</v>
      </c>
      <c r="Y25" s="68">
        <f>Calc!AN25</f>
        <v>1.0010587167751961</v>
      </c>
      <c r="Z25" s="68">
        <f>Calc!AO25</f>
        <v>2.2206979012277892E-3</v>
      </c>
      <c r="AA25" s="68">
        <f t="shared" si="2"/>
        <v>0.99979726541729008</v>
      </c>
      <c r="AB25" s="68">
        <f t="shared" si="3"/>
        <v>0.1799168428650568</v>
      </c>
    </row>
    <row r="26" spans="1:28" x14ac:dyDescent="0.2">
      <c r="A26" s="68">
        <f>Input!A26</f>
        <v>10896</v>
      </c>
      <c r="B26" s="68" t="str">
        <f>Input!B26</f>
        <v>M5-14-42_211,25</v>
      </c>
      <c r="C26" s="175">
        <f>Calc!O26*1000</f>
        <v>908.36026086704305</v>
      </c>
      <c r="D26" s="175">
        <f>Calc!P26*1000</f>
        <v>4.4498187498559987E-2</v>
      </c>
      <c r="E26" s="175">
        <f>Calc!X26</f>
        <v>0.14640910758567521</v>
      </c>
      <c r="F26" s="175">
        <f>Calc!Y26</f>
        <v>2.6810411911135345E-4</v>
      </c>
      <c r="G26" s="175">
        <f>Calc!AN26</f>
        <v>1.1311471775263069</v>
      </c>
      <c r="H26" s="71">
        <f>Calc!AO26</f>
        <v>2.1175440012877449E-3</v>
      </c>
      <c r="I26" s="70">
        <f>Calc!AH26</f>
        <v>21435.09829424342</v>
      </c>
      <c r="J26" s="70">
        <f>Calc!AI26</f>
        <v>56.123098619482931</v>
      </c>
      <c r="K26" s="70">
        <f>Calc!AJ26</f>
        <v>204.40225626237108</v>
      </c>
      <c r="L26" s="70">
        <f>Calc!AK26</f>
        <v>0.59904065010420404</v>
      </c>
      <c r="M26" s="176">
        <f>Calc!AP26</f>
        <v>247.9331</v>
      </c>
      <c r="N26" s="176">
        <f>Calc!AQ26</f>
        <v>1.6414</v>
      </c>
      <c r="O26" s="176">
        <f>Calc!AW26</f>
        <v>247.93</v>
      </c>
      <c r="P26" s="176">
        <f>Calc!AY26</f>
        <v>1.6670908133533062</v>
      </c>
      <c r="Q26" s="177">
        <f>Calc!BC26</f>
        <v>411.48115884099093</v>
      </c>
      <c r="R26" s="176">
        <f>Calc!BD26</f>
        <v>2.2807535738325058</v>
      </c>
      <c r="S26" s="70">
        <f>Input!E26</f>
        <v>211.25</v>
      </c>
      <c r="T26" s="68"/>
      <c r="U26" s="68">
        <f>Input!K26</f>
        <v>7.1395446197963413E-3</v>
      </c>
      <c r="W26" s="68">
        <f>Calc!AS26</f>
        <v>5.2738301397380573E-5</v>
      </c>
      <c r="X26" s="68">
        <f>Calc!AT26</f>
        <v>9.6608841807653969E-8</v>
      </c>
      <c r="Y26" s="68">
        <f>Calc!AN26</f>
        <v>1.1311471775263069</v>
      </c>
      <c r="Z26" s="68">
        <f>Calc!AO26</f>
        <v>2.1175440012877449E-3</v>
      </c>
      <c r="AA26" s="68">
        <f t="shared" si="2"/>
        <v>1.2044022562623711</v>
      </c>
      <c r="AB26" s="68">
        <f t="shared" si="3"/>
        <v>5.6123098619482933E-2</v>
      </c>
    </row>
    <row r="27" spans="1:28" x14ac:dyDescent="0.2">
      <c r="A27" s="13">
        <f>Input!A27</f>
        <v>10815</v>
      </c>
      <c r="B27" s="13" t="str">
        <f>Input!B27</f>
        <v>Hu1-13</v>
      </c>
      <c r="C27" s="172">
        <f>Calc!O27*1000</f>
        <v>13700.540360783469</v>
      </c>
      <c r="D27" s="172">
        <f>Calc!P27*1000</f>
        <v>1.1998522950235373</v>
      </c>
      <c r="E27" s="172">
        <f>Calc!X27</f>
        <v>0.88830308406908698</v>
      </c>
      <c r="F27" s="172">
        <f>Calc!Y27</f>
        <v>4.6039760903123809E-3</v>
      </c>
      <c r="G27" s="172">
        <f>Calc!AN27</f>
        <v>0.99770978441393776</v>
      </c>
      <c r="H27" s="173">
        <f>Calc!AO27</f>
        <v>2.3746277691336875E-3</v>
      </c>
      <c r="I27" s="15">
        <f>Calc!AH27</f>
        <v>47028.874691885627</v>
      </c>
      <c r="J27" s="15">
        <f>Calc!AI27</f>
        <v>268.18601173070078</v>
      </c>
      <c r="K27" s="15">
        <f>Calc!AJ27</f>
        <v>-0.90115222332043388</v>
      </c>
      <c r="L27" s="15">
        <f>Calc!AK27</f>
        <v>1.502083535830733</v>
      </c>
      <c r="M27" s="174">
        <f>Calc!AP27</f>
        <v>753.3306</v>
      </c>
      <c r="N27" s="174" t="e">
        <f>Calc!AQ27</f>
        <v>#VALUE!</v>
      </c>
      <c r="O27" s="174">
        <f>Calc!AW27</f>
        <v>753.32889999999998</v>
      </c>
      <c r="P27" s="174">
        <f>Calc!AX27</f>
        <v>344.0943621605</v>
      </c>
      <c r="Q27" s="178">
        <f>Calc!BC27</f>
        <v>-7.5523461942423671</v>
      </c>
      <c r="R27" s="174">
        <f>Calc!BD27</f>
        <v>14.62870105696118</v>
      </c>
      <c r="S27" s="15">
        <f>Input!E27</f>
        <v>0</v>
      </c>
      <c r="T27" s="68"/>
      <c r="U27" s="68">
        <f>Input!K27</f>
        <v>7.1357571864571635E-3</v>
      </c>
      <c r="W27" s="68">
        <f>Calc!AS27</f>
        <v>2.1214834310846965E-5</v>
      </c>
      <c r="X27" s="68">
        <f>Calc!AT27</f>
        <v>1.0996982270856933E-7</v>
      </c>
      <c r="Y27" s="68">
        <f>Calc!AN27</f>
        <v>0.99770978441393776</v>
      </c>
      <c r="Z27" s="68">
        <f>Calc!AO27</f>
        <v>2.3746277691336875E-3</v>
      </c>
      <c r="AA27" s="68">
        <f t="shared" si="2"/>
        <v>0.99909884777667957</v>
      </c>
      <c r="AB27" s="68">
        <f t="shared" si="3"/>
        <v>0.26818601173070078</v>
      </c>
    </row>
    <row r="28" spans="1:28" x14ac:dyDescent="0.2">
      <c r="A28" s="68">
        <f>Input!A28</f>
        <v>10897</v>
      </c>
      <c r="B28" s="68" t="str">
        <f>Input!B28</f>
        <v>M5-14-42_224</v>
      </c>
      <c r="C28" s="175">
        <f>Calc!O28*1000</f>
        <v>811.11218676392832</v>
      </c>
      <c r="D28" s="175">
        <f>Calc!P28*1000</f>
        <v>3.6397073868818311E-2</v>
      </c>
      <c r="E28" s="175">
        <f>Calc!X28</f>
        <v>0.13195404017132462</v>
      </c>
      <c r="F28" s="175">
        <f>Calc!Y28</f>
        <v>2.0741176373892373E-4</v>
      </c>
      <c r="G28" s="175">
        <f>Calc!AN28</f>
        <v>1.052501506503799</v>
      </c>
      <c r="H28" s="71">
        <f>Calc!AO28</f>
        <v>1.7434671985346456E-3</v>
      </c>
      <c r="I28" s="70">
        <f>Calc!AH28</f>
        <v>19737.801829527583</v>
      </c>
      <c r="J28" s="70">
        <f>Calc!AI28</f>
        <v>45.063963111239921</v>
      </c>
      <c r="K28" s="70">
        <f>Calc!AJ28</f>
        <v>144.84411610959702</v>
      </c>
      <c r="L28" s="70">
        <f>Calc!AK28</f>
        <v>0.69261592547447548</v>
      </c>
      <c r="M28" s="176">
        <f>Calc!AP28</f>
        <v>239.6687</v>
      </c>
      <c r="N28" s="176">
        <f>Calc!AQ28</f>
        <v>1.3880999999999999</v>
      </c>
      <c r="O28" s="176">
        <f>Calc!AW28</f>
        <v>239.6653</v>
      </c>
      <c r="P28" s="176">
        <f>Calc!AY28</f>
        <v>1.4576246026548383</v>
      </c>
      <c r="Q28" s="177">
        <f>Calc!BC28</f>
        <v>284.8628850271503</v>
      </c>
      <c r="R28" s="176">
        <f>Calc!BD28</f>
        <v>1.7968176448265292</v>
      </c>
      <c r="S28" s="70">
        <f>Input!E28</f>
        <v>224</v>
      </c>
      <c r="T28" s="68"/>
      <c r="U28" s="68">
        <f>Input!K28</f>
        <v>7.1408033665607846E-3</v>
      </c>
      <c r="W28" s="68">
        <f>Calc!AS28</f>
        <v>5.3230180168596497E-5</v>
      </c>
      <c r="X28" s="68">
        <f>Calc!AT28</f>
        <v>8.3703868186608416E-8</v>
      </c>
      <c r="Y28" s="68">
        <f>Calc!AN28</f>
        <v>1.052501506503799</v>
      </c>
      <c r="Z28" s="68">
        <f>Calc!AO28</f>
        <v>1.7434671985346456E-3</v>
      </c>
      <c r="AA28" s="68">
        <f t="shared" si="2"/>
        <v>1.144844116109597</v>
      </c>
      <c r="AB28" s="68">
        <f t="shared" si="3"/>
        <v>4.5063963111239919E-2</v>
      </c>
    </row>
    <row r="29" spans="1:28" x14ac:dyDescent="0.2">
      <c r="A29" s="13">
        <f>Input!A29</f>
        <v>10815</v>
      </c>
      <c r="B29" s="13" t="str">
        <f>Input!B29</f>
        <v>Hu1-13</v>
      </c>
      <c r="C29" s="172">
        <f>Calc!O29*1000</f>
        <v>13700.645234504893</v>
      </c>
      <c r="D29" s="172">
        <f>Calc!P29*1000</f>
        <v>1.1044676818972499</v>
      </c>
      <c r="E29" s="172">
        <f>Calc!X29</f>
        <v>0.88411349458437827</v>
      </c>
      <c r="F29" s="172">
        <f>Calc!Y29</f>
        <v>2.7480554364022369E-3</v>
      </c>
      <c r="G29" s="172">
        <f>Calc!AN29</f>
        <v>0.99876573799713497</v>
      </c>
      <c r="H29" s="173">
        <f>Calc!AO29</f>
        <v>2.709177992936494E-3</v>
      </c>
      <c r="I29" s="15">
        <f>Calc!AH29</f>
        <v>47302.104846026821</v>
      </c>
      <c r="J29" s="15">
        <f>Calc!AI29</f>
        <v>195.10374849637194</v>
      </c>
      <c r="K29" s="15">
        <f>Calc!AJ29</f>
        <v>-0.16045094242989055</v>
      </c>
      <c r="L29" s="15">
        <f>Calc!AK29</f>
        <v>1.2775283238384338</v>
      </c>
      <c r="M29" s="174">
        <f>Calc!AP29</f>
        <v>752.77970000000005</v>
      </c>
      <c r="N29" s="174" t="e">
        <f>Calc!AQ29</f>
        <v>#VALUE!</v>
      </c>
      <c r="O29" s="174">
        <f>Calc!AW29</f>
        <v>752.77800000000002</v>
      </c>
      <c r="P29" s="174">
        <f>Calc!AX29</f>
        <v>332.13405009960002</v>
      </c>
      <c r="Q29" s="178">
        <f>Calc!BC29</f>
        <v>-1.3426129056448806</v>
      </c>
      <c r="R29" s="174">
        <f>Calc!BD29</f>
        <v>10.773207050882792</v>
      </c>
      <c r="S29" s="15">
        <f>Input!E29</f>
        <v>0</v>
      </c>
      <c r="T29" s="68"/>
      <c r="U29" s="68">
        <f>Input!K29</f>
        <v>7.1313618294102758E-3</v>
      </c>
      <c r="W29" s="68">
        <f>Calc!AS29</f>
        <v>2.1114615115928125E-5</v>
      </c>
      <c r="X29" s="68">
        <f>Calc!AT29</f>
        <v>6.5651802504616564E-8</v>
      </c>
      <c r="Y29" s="68">
        <f>Calc!AN29</f>
        <v>0.99876573799713497</v>
      </c>
      <c r="Z29" s="68">
        <f>Calc!AO29</f>
        <v>2.709177992936494E-3</v>
      </c>
      <c r="AA29" s="68">
        <f t="shared" si="2"/>
        <v>0.99983954905757011</v>
      </c>
      <c r="AB29" s="68">
        <f t="shared" si="3"/>
        <v>0.19510374849637194</v>
      </c>
    </row>
    <row r="30" spans="1:28" x14ac:dyDescent="0.2">
      <c r="A30" s="68">
        <f>Input!A30</f>
        <v>10898</v>
      </c>
      <c r="B30" s="68" t="str">
        <f>Input!B30</f>
        <v>M5-14-42_277,5</v>
      </c>
      <c r="C30" s="175">
        <f>Calc!O30*1000</f>
        <v>1416.000572004167</v>
      </c>
      <c r="D30" s="175">
        <f>Calc!P30*1000</f>
        <v>8.4504328819137955E-2</v>
      </c>
      <c r="E30" s="175">
        <f>Calc!X30</f>
        <v>0.20568806466596518</v>
      </c>
      <c r="F30" s="175">
        <f>Calc!Y30</f>
        <v>4.2528632779873106E-4</v>
      </c>
      <c r="G30" s="175">
        <f>Calc!AN30</f>
        <v>1.2195106119185841</v>
      </c>
      <c r="H30" s="71">
        <f>Calc!AO30</f>
        <v>2.3017734785482653E-3</v>
      </c>
      <c r="I30" s="70">
        <f>Calc!AH30</f>
        <v>25626.868405106332</v>
      </c>
      <c r="J30" s="70">
        <f>Calc!AI30</f>
        <v>71.727839327168681</v>
      </c>
      <c r="K30" s="70">
        <f>Calc!AJ30</f>
        <v>246.53199340173114</v>
      </c>
      <c r="L30" s="70">
        <f>Calc!AK30</f>
        <v>0.42407881723669377</v>
      </c>
      <c r="M30" s="176">
        <f>Calc!AP30</f>
        <v>280.27600000000001</v>
      </c>
      <c r="N30" s="176">
        <f>Calc!AQ30</f>
        <v>2.1417000000000002</v>
      </c>
      <c r="O30" s="176">
        <f>Calc!AW30</f>
        <v>280.27339999999998</v>
      </c>
      <c r="P30" s="176">
        <f>Calc!AY30</f>
        <v>2.1707936650277282</v>
      </c>
      <c r="Q30" s="177">
        <f>Calc!BC30</f>
        <v>543.72310925757915</v>
      </c>
      <c r="R30" s="176">
        <f>Calc!BD30</f>
        <v>3.4597300288345987</v>
      </c>
      <c r="S30" s="70">
        <f>Input!E30</f>
        <v>277.5</v>
      </c>
      <c r="T30" s="68"/>
      <c r="U30" s="68">
        <f>Input!K30</f>
        <v>7.1377850579739943E-3</v>
      </c>
      <c r="W30" s="68">
        <f>Calc!AS30</f>
        <v>4.7529345494139271E-5</v>
      </c>
      <c r="X30" s="68">
        <f>Calc!AT30</f>
        <v>9.8313914552053083E-8</v>
      </c>
      <c r="Y30" s="68">
        <f>Calc!AN30</f>
        <v>1.2195106119185841</v>
      </c>
      <c r="Z30" s="68">
        <f>Calc!AO30</f>
        <v>2.3017734785482653E-3</v>
      </c>
      <c r="AA30" s="68">
        <f t="shared" si="2"/>
        <v>1.2465319934017312</v>
      </c>
      <c r="AB30" s="68">
        <f t="shared" si="3"/>
        <v>7.1727839327168683E-2</v>
      </c>
    </row>
    <row r="31" spans="1:28" x14ac:dyDescent="0.2">
      <c r="A31" s="13">
        <f>Input!A31</f>
        <v>10815</v>
      </c>
      <c r="B31" s="13" t="str">
        <f>Input!B31</f>
        <v>Hu1-13</v>
      </c>
      <c r="C31" s="172">
        <f>Calc!O31*1000</f>
        <v>13699.349099261308</v>
      </c>
      <c r="D31" s="172">
        <f>Calc!P31*1000</f>
        <v>1.707746382398921</v>
      </c>
      <c r="E31" s="172">
        <f>Calc!X31</f>
        <v>0.86896419984056628</v>
      </c>
      <c r="F31" s="172">
        <f>Calc!Y31</f>
        <v>4.9833335405908528E-3</v>
      </c>
      <c r="G31" s="172">
        <f>Calc!AN31</f>
        <v>0.99880323836935758</v>
      </c>
      <c r="H31" s="173">
        <f>Calc!AO31</f>
        <v>2.464550672808818E-3</v>
      </c>
      <c r="I31" s="15">
        <f>Calc!AH31</f>
        <v>48124.011227857263</v>
      </c>
      <c r="J31" s="15">
        <f>Calc!AI31</f>
        <v>300.38379683250901</v>
      </c>
      <c r="K31" s="15">
        <f>Calc!AJ31</f>
        <v>1.6695615003581299</v>
      </c>
      <c r="L31" s="15">
        <f>Calc!AK31</f>
        <v>1.4399738891588432</v>
      </c>
      <c r="M31" s="174">
        <f>Calc!AP31</f>
        <v>614.80449999999996</v>
      </c>
      <c r="N31" s="174" t="e">
        <f>Calc!AQ31</f>
        <v>#VALUE!</v>
      </c>
      <c r="O31" s="174">
        <f>Calc!AW31</f>
        <v>614.80280000000005</v>
      </c>
      <c r="P31" s="174">
        <f>Calc!AX31</f>
        <v>239.58384081029999</v>
      </c>
      <c r="Q31" s="178">
        <f>Calc!BC31</f>
        <v>9.4647219452969118</v>
      </c>
      <c r="R31" s="174">
        <f>Calc!BD31</f>
        <v>8.5601458005701048</v>
      </c>
      <c r="S31" s="15">
        <f>Input!E31</f>
        <v>0</v>
      </c>
      <c r="T31" s="68"/>
      <c r="U31" s="68">
        <f>Input!K31</f>
        <v>7.1233602575446293E-3</v>
      </c>
      <c r="W31" s="68">
        <f>Calc!AS31</f>
        <v>2.0754779431004417E-5</v>
      </c>
      <c r="X31" s="68">
        <f>Calc!AT31</f>
        <v>1.1905256967291708E-7</v>
      </c>
      <c r="Y31" s="68">
        <f>Calc!AN31</f>
        <v>0.99880323836935758</v>
      </c>
      <c r="Z31" s="68">
        <f>Calc!AO31</f>
        <v>2.464550672808818E-3</v>
      </c>
      <c r="AA31" s="68">
        <f t="shared" si="2"/>
        <v>1.0016695615003581</v>
      </c>
      <c r="AB31" s="68">
        <f t="shared" si="3"/>
        <v>0.30038379683250899</v>
      </c>
    </row>
    <row r="32" spans="1:28" x14ac:dyDescent="0.2">
      <c r="H32" s="75"/>
    </row>
    <row r="33" spans="1:28" x14ac:dyDescent="0.2">
      <c r="A33" s="13">
        <f>Input!A33</f>
        <v>10815</v>
      </c>
      <c r="B33" s="13" t="str">
        <f>Input!B33</f>
        <v>Hu1-13</v>
      </c>
      <c r="C33" s="172">
        <f>Calc!O33*1000</f>
        <v>13697.340155487494</v>
      </c>
      <c r="D33" s="172">
        <f>Calc!P33*1000</f>
        <v>1.7495772048681764</v>
      </c>
      <c r="E33" s="172">
        <f>Calc!X33</f>
        <v>0.8811335686195505</v>
      </c>
      <c r="F33" s="172">
        <f>Calc!Y33</f>
        <v>5.9373437733326248E-3</v>
      </c>
      <c r="G33" s="172">
        <f>Calc!AN33</f>
        <v>0.9993359040219526</v>
      </c>
      <c r="H33" s="173">
        <f>Calc!AO33</f>
        <v>3.9314734517548492E-3</v>
      </c>
      <c r="I33" s="15">
        <f>Calc!AH33</f>
        <v>47477.71556879556</v>
      </c>
      <c r="J33" s="15">
        <f>Calc!AI33</f>
        <v>370.40355877841921</v>
      </c>
      <c r="K33" s="15">
        <f>Calc!AJ33</f>
        <v>1.5633732497362107</v>
      </c>
      <c r="L33" s="15">
        <f>Calc!AK33</f>
        <v>2.6478512883644063</v>
      </c>
      <c r="M33" s="174">
        <f>Calc!AP33</f>
        <v>637.79219999999998</v>
      </c>
      <c r="N33" s="174" t="e">
        <f>Calc!AQ33</f>
        <v>#VALUE!</v>
      </c>
      <c r="O33" s="174">
        <f>Calc!AW33</f>
        <v>637.79049999999995</v>
      </c>
      <c r="P33" s="174">
        <f>Calc!AX33</f>
        <v>293.39709074450002</v>
      </c>
      <c r="Q33" s="178">
        <f>Calc!BC33</f>
        <v>9.4567510642165225</v>
      </c>
      <c r="R33" s="174">
        <f>Calc!BD33</f>
        <v>16.903880162022432</v>
      </c>
      <c r="S33" s="15">
        <f>Input!E33</f>
        <v>0</v>
      </c>
      <c r="T33" s="68"/>
      <c r="U33" s="68">
        <f>Input!K33</f>
        <v>7.1294664320751691E-3</v>
      </c>
      <c r="W33" s="68">
        <f>Calc!AS33</f>
        <v>2.1048525440823022E-5</v>
      </c>
      <c r="X33" s="68">
        <f>Calc!AT33</f>
        <v>1.4185679336252914E-7</v>
      </c>
      <c r="Y33" s="68">
        <f>Calc!AN33</f>
        <v>0.9993359040219526</v>
      </c>
      <c r="Z33" s="68">
        <f>Calc!AO33</f>
        <v>3.9314734517548492E-3</v>
      </c>
      <c r="AA33" s="68">
        <f t="shared" ref="AA33:AA43" si="4">1+K33/1000</f>
        <v>1.0015633732497362</v>
      </c>
      <c r="AB33" s="68">
        <f t="shared" ref="AB33:AB43" si="5">J33/1000</f>
        <v>0.37040355877841918</v>
      </c>
    </row>
    <row r="34" spans="1:28" x14ac:dyDescent="0.2">
      <c r="A34" s="68">
        <f>Input!A34</f>
        <v>10903</v>
      </c>
      <c r="B34" s="68" t="str">
        <f>Input!B34</f>
        <v>M43_401_14_44</v>
      </c>
      <c r="C34" s="175">
        <f>Calc!O34*1000</f>
        <v>448.77246831528458</v>
      </c>
      <c r="D34" s="175">
        <f>Calc!P34*1000</f>
        <v>3.4600154256668222E-2</v>
      </c>
      <c r="E34" s="175">
        <f>Calc!X34</f>
        <v>0.84874959805290207</v>
      </c>
      <c r="F34" s="175">
        <f>Calc!Y34</f>
        <v>1.5809179182462018E-3</v>
      </c>
      <c r="G34" s="175">
        <f>Calc!AN34</f>
        <v>1.9632165992405455</v>
      </c>
      <c r="H34" s="71">
        <f>Calc!AO34</f>
        <v>4.232205329741447E-3</v>
      </c>
      <c r="I34" s="70">
        <f>Calc!AH34</f>
        <v>3171.2553658796237</v>
      </c>
      <c r="J34" s="70">
        <f>Calc!AI34</f>
        <v>9.0315421043892918</v>
      </c>
      <c r="K34" s="70">
        <f>Calc!AJ34</f>
        <v>1014.7661415502766</v>
      </c>
      <c r="L34" s="70">
        <f>Calc!AK34</f>
        <v>1.1882757901123422</v>
      </c>
      <c r="M34" s="176">
        <f>Calc!AP34</f>
        <v>218.03559999999999</v>
      </c>
      <c r="N34" s="176">
        <f>Calc!AQ34</f>
        <v>1.2665</v>
      </c>
      <c r="O34" s="176">
        <f>Calc!AW34</f>
        <v>218.018</v>
      </c>
      <c r="P34" s="176">
        <f>Calc!AY34</f>
        <v>1.2356932754463634</v>
      </c>
      <c r="Q34" s="177">
        <f>Calc!BC34</f>
        <v>1877.4567353084487</v>
      </c>
      <c r="R34" s="176">
        <f>Calc!BD34</f>
        <v>6.9063295040224189</v>
      </c>
      <c r="S34" s="70">
        <f>Input!E34</f>
        <v>44</v>
      </c>
      <c r="T34" s="68"/>
      <c r="U34" s="68">
        <f>Input!K34</f>
        <v>7.1365154128865127E-3</v>
      </c>
      <c r="W34" s="68">
        <f>Calc!AS34</f>
        <v>6.1882741702883623E-4</v>
      </c>
      <c r="X34" s="68">
        <f>Calc!AT34</f>
        <v>1.1536418869214591E-6</v>
      </c>
      <c r="Y34" s="68">
        <f>Calc!AN34</f>
        <v>1.9632165992405455</v>
      </c>
      <c r="Z34" s="68">
        <f>Calc!AO34</f>
        <v>4.232205329741447E-3</v>
      </c>
      <c r="AA34" s="68">
        <f t="shared" si="4"/>
        <v>2.0147661415502767</v>
      </c>
      <c r="AB34" s="68">
        <f t="shared" si="5"/>
        <v>9.0315421043892924E-3</v>
      </c>
    </row>
    <row r="35" spans="1:28" x14ac:dyDescent="0.2">
      <c r="A35" s="13">
        <f>Input!A35</f>
        <v>10815</v>
      </c>
      <c r="B35" s="13" t="str">
        <f>Input!B35</f>
        <v>Hu1-13</v>
      </c>
      <c r="C35" s="172">
        <f>Calc!O35*1000</f>
        <v>13697.803628802629</v>
      </c>
      <c r="D35" s="172">
        <f>Calc!P35*1000</f>
        <v>1.6684146927616301</v>
      </c>
      <c r="E35" s="172">
        <f>Calc!X35</f>
        <v>0.90501567409192529</v>
      </c>
      <c r="F35" s="172">
        <f>Calc!Y35</f>
        <v>5.42819711095741E-3</v>
      </c>
      <c r="G35" s="172">
        <f>Calc!AN35</f>
        <v>0.99989308330963989</v>
      </c>
      <c r="H35" s="173">
        <f>Calc!AO35</f>
        <v>3.128602917771573E-3</v>
      </c>
      <c r="I35" s="15">
        <f>Calc!AH35</f>
        <v>46252.182270761092</v>
      </c>
      <c r="J35" s="15">
        <f>Calc!AI35</f>
        <v>312.84487191800457</v>
      </c>
      <c r="K35" s="15">
        <f>Calc!AJ35</f>
        <v>0.69436921953025532</v>
      </c>
      <c r="L35" s="15">
        <f>Calc!AK35</f>
        <v>1.8368448552095695</v>
      </c>
      <c r="M35" s="174">
        <f>Calc!AP35</f>
        <v>742.76430000000005</v>
      </c>
      <c r="N35" s="174" t="e">
        <f>Calc!AQ35</f>
        <v>#VALUE!</v>
      </c>
      <c r="O35" s="174">
        <f>Calc!AW35</f>
        <v>742.76250000000005</v>
      </c>
      <c r="P35" s="174">
        <f>Calc!AX35</f>
        <v>335.9454393469</v>
      </c>
      <c r="Q35" s="178">
        <f>Calc!BC35</f>
        <v>5.6483806723675647</v>
      </c>
      <c r="R35" s="174">
        <f>Calc!BD35</f>
        <v>16.241898634574468</v>
      </c>
      <c r="S35" s="15">
        <f>Input!E35</f>
        <v>0</v>
      </c>
      <c r="T35" s="68"/>
      <c r="U35" s="68">
        <f>Input!K35</f>
        <v>7.1269880330882881E-3</v>
      </c>
      <c r="W35" s="68">
        <f>Calc!AS35</f>
        <v>2.161828986697856E-5</v>
      </c>
      <c r="X35" s="68">
        <f>Calc!AT35</f>
        <v>1.2969116010973025E-7</v>
      </c>
      <c r="Y35" s="68">
        <f>Calc!AN35</f>
        <v>0.99989308330963989</v>
      </c>
      <c r="Z35" s="68">
        <f>Calc!AO35</f>
        <v>3.128602917771573E-3</v>
      </c>
      <c r="AA35" s="68">
        <f t="shared" si="4"/>
        <v>1.0006943692195303</v>
      </c>
      <c r="AB35" s="68">
        <f t="shared" si="5"/>
        <v>0.31284487191800459</v>
      </c>
    </row>
    <row r="36" spans="1:28" x14ac:dyDescent="0.2">
      <c r="A36" s="68">
        <f>Input!A36</f>
        <v>10904</v>
      </c>
      <c r="B36" s="68" t="str">
        <f>Input!B36</f>
        <v>M43_401_14_119</v>
      </c>
      <c r="C36" s="175">
        <f>Calc!O36*1000</f>
        <v>340.83764230772823</v>
      </c>
      <c r="D36" s="175">
        <f>Calc!P36*1000</f>
        <v>2.9863700097719655E-2</v>
      </c>
      <c r="E36" s="175">
        <f>Calc!X36</f>
        <v>0.14494363216777603</v>
      </c>
      <c r="F36" s="175">
        <f>Calc!Y36</f>
        <v>5.4594281484552515E-4</v>
      </c>
      <c r="G36" s="175">
        <f>Calc!AN36</f>
        <v>2.3603040447193333</v>
      </c>
      <c r="H36" s="71">
        <f>Calc!AO36</f>
        <v>7.3795068692033977E-3</v>
      </c>
      <c r="I36" s="70">
        <f>Calc!AH36</f>
        <v>16937.70698965454</v>
      </c>
      <c r="J36" s="70">
        <f>Calc!AI36</f>
        <v>82.898866862076019</v>
      </c>
      <c r="K36" s="70">
        <f>Calc!AJ36</f>
        <v>1325.5390637490696</v>
      </c>
      <c r="L36" s="70">
        <f>Calc!AK36</f>
        <v>2.5670517331202336</v>
      </c>
      <c r="M36" s="176">
        <f>Calc!AP36</f>
        <v>232.94720000000001</v>
      </c>
      <c r="N36" s="176">
        <f>Calc!AQ36</f>
        <v>2.1705000000000001</v>
      </c>
      <c r="O36" s="176">
        <f>Calc!AW36</f>
        <v>232.94399999999999</v>
      </c>
      <c r="P36" s="176">
        <f>Calc!AY36</f>
        <v>2.0494361163750727</v>
      </c>
      <c r="Q36" s="177">
        <f>Calc!BC36</f>
        <v>2557.9372242520003</v>
      </c>
      <c r="R36" s="176">
        <f>Calc!BD36</f>
        <v>15.601498999408474</v>
      </c>
      <c r="S36" s="70">
        <f>Input!E36</f>
        <v>119</v>
      </c>
      <c r="T36" s="68"/>
      <c r="U36" s="68">
        <f>Input!K36</f>
        <v>7.126285986838711E-3</v>
      </c>
      <c r="W36" s="68">
        <f>Calc!AS36</f>
        <v>1.3914504912671815E-4</v>
      </c>
      <c r="X36" s="68">
        <f>Calc!AT36</f>
        <v>5.2424372944184639E-7</v>
      </c>
      <c r="Y36" s="68">
        <f>Calc!AN36</f>
        <v>2.3603040447193333</v>
      </c>
      <c r="Z36" s="68">
        <f>Calc!AO36</f>
        <v>7.3795068692033977E-3</v>
      </c>
      <c r="AA36" s="68">
        <f t="shared" si="4"/>
        <v>2.3255390637490696</v>
      </c>
      <c r="AB36" s="68">
        <f t="shared" si="5"/>
        <v>8.2898866862076023E-2</v>
      </c>
    </row>
    <row r="37" spans="1:28" x14ac:dyDescent="0.2">
      <c r="A37" s="13">
        <f>Input!A37</f>
        <v>10815</v>
      </c>
      <c r="B37" s="13" t="str">
        <f>Input!B37</f>
        <v>Hu1-13</v>
      </c>
      <c r="C37" s="172">
        <f>Calc!O37*1000</f>
        <v>13701.398518924445</v>
      </c>
      <c r="D37" s="172">
        <f>Calc!P37*1000</f>
        <v>2.1819934056287669</v>
      </c>
      <c r="E37" s="172">
        <f>Calc!X37</f>
        <v>0.89923640750119338</v>
      </c>
      <c r="F37" s="172">
        <f>Calc!Y37</f>
        <v>5.9963041622416481E-3</v>
      </c>
      <c r="G37" s="172">
        <f>Calc!AN37</f>
        <v>0.99713613539823098</v>
      </c>
      <c r="H37" s="173">
        <f>Calc!AO37</f>
        <v>2.9818722055556246E-3</v>
      </c>
      <c r="I37" s="15">
        <f>Calc!AH37</f>
        <v>46433.273357257101</v>
      </c>
      <c r="J37" s="15">
        <f>Calc!AI37</f>
        <v>339.25687538796927</v>
      </c>
      <c r="K37" s="15">
        <f>Calc!AJ37</f>
        <v>-1.3258509718689915</v>
      </c>
      <c r="L37" s="15">
        <f>Calc!AK37</f>
        <v>2.2365777648538314</v>
      </c>
      <c r="M37" s="174">
        <f>Calc!AP37</f>
        <v>757.22109999999998</v>
      </c>
      <c r="N37" s="174" t="e">
        <f>Calc!AQ37</f>
        <v>#VALUE!</v>
      </c>
      <c r="O37" s="174">
        <f>Calc!AW37</f>
        <v>757.21929999999998</v>
      </c>
      <c r="P37" s="174">
        <f>Calc!AX37</f>
        <v>325.11935526590003</v>
      </c>
      <c r="Q37" s="178">
        <f>Calc!BC37</f>
        <v>-11.234313431357041</v>
      </c>
      <c r="R37" s="174">
        <f>Calc!BD37</f>
        <v>24.641890378574431</v>
      </c>
      <c r="S37" s="15">
        <f>Input!E37</f>
        <v>0</v>
      </c>
      <c r="T37" s="68"/>
      <c r="U37" s="68">
        <f>Input!K37</f>
        <v>7.1212358233307196E-3</v>
      </c>
      <c r="W37" s="68">
        <f>Calc!AS37</f>
        <v>2.1474603518177068E-5</v>
      </c>
      <c r="X37" s="68">
        <f>Calc!AT37</f>
        <v>1.4323816406429236E-7</v>
      </c>
      <c r="Y37" s="68">
        <f>Calc!AN37</f>
        <v>0.99713613539823098</v>
      </c>
      <c r="Z37" s="68">
        <f>Calc!AO37</f>
        <v>2.9818722055556246E-3</v>
      </c>
      <c r="AA37" s="68">
        <f t="shared" si="4"/>
        <v>0.99867414902813101</v>
      </c>
      <c r="AB37" s="68">
        <f t="shared" si="5"/>
        <v>0.33925687538796928</v>
      </c>
    </row>
    <row r="38" spans="1:28" x14ac:dyDescent="0.2">
      <c r="A38" s="68">
        <f>Input!A38</f>
        <v>10905</v>
      </c>
      <c r="B38" s="68" t="str">
        <f>Input!B38</f>
        <v>M43_401_14_122.5</v>
      </c>
      <c r="C38" s="175">
        <f>Calc!O38*1000</f>
        <v>505.22584854907672</v>
      </c>
      <c r="D38" s="175">
        <f>Calc!P38*1000</f>
        <v>2.8553436725323445E-2</v>
      </c>
      <c r="E38" s="175">
        <f>Calc!X38</f>
        <v>4.3045766905119764</v>
      </c>
      <c r="F38" s="175">
        <f>Calc!Y38</f>
        <v>6.9928906628213871E-3</v>
      </c>
      <c r="G38" s="175">
        <f>Calc!AN38</f>
        <v>2.0565623631413352</v>
      </c>
      <c r="H38" s="71">
        <f>Calc!AO38</f>
        <v>3.5428390282186643E-3</v>
      </c>
      <c r="I38" s="70">
        <f>Calc!AH38</f>
        <v>736.39410111539485</v>
      </c>
      <c r="J38" s="70">
        <f>Calc!AI38</f>
        <v>1.7431833902090084</v>
      </c>
      <c r="K38" s="70">
        <f>Calc!AJ38</f>
        <v>1024.9288341387658</v>
      </c>
      <c r="L38" s="70">
        <f>Calc!AK38</f>
        <v>1.1887462624317839</v>
      </c>
      <c r="M38" s="176">
        <f>Calc!AP38</f>
        <v>243.0915</v>
      </c>
      <c r="N38" s="176">
        <f>Calc!AQ38</f>
        <v>1.1793</v>
      </c>
      <c r="O38" s="176">
        <f>Calc!AW38</f>
        <v>243.0163</v>
      </c>
      <c r="P38" s="176">
        <f>Calc!AY38</f>
        <v>1.2635480375808679</v>
      </c>
      <c r="Q38" s="177">
        <f>Calc!BC38</f>
        <v>2034.8655738763357</v>
      </c>
      <c r="R38" s="176">
        <f>Calc!BD38</f>
        <v>7.6301223679021595</v>
      </c>
      <c r="S38" s="70">
        <f>Input!E38</f>
        <v>122.5</v>
      </c>
      <c r="T38" s="68"/>
      <c r="U38" s="68">
        <f>Input!K38</f>
        <v>7.1256290744916503E-3</v>
      </c>
      <c r="W38" s="68">
        <f>Calc!AS38</f>
        <v>2.7877964351281179E-3</v>
      </c>
      <c r="X38" s="68">
        <f>Calc!AT38</f>
        <v>4.5315836489068563E-6</v>
      </c>
      <c r="Y38" s="68">
        <f>Calc!AN38</f>
        <v>2.0565623631413352</v>
      </c>
      <c r="Z38" s="68">
        <f>Calc!AO38</f>
        <v>3.5428390282186643E-3</v>
      </c>
      <c r="AA38" s="68">
        <f t="shared" si="4"/>
        <v>2.0249288341387657</v>
      </c>
      <c r="AB38" s="68">
        <f t="shared" si="5"/>
        <v>1.7431833902090083E-3</v>
      </c>
    </row>
    <row r="39" spans="1:28" x14ac:dyDescent="0.2">
      <c r="A39" s="13">
        <f>Input!A39</f>
        <v>10815</v>
      </c>
      <c r="B39" s="13" t="str">
        <f>Input!B39</f>
        <v>Hu1-13</v>
      </c>
      <c r="C39" s="172">
        <f>Calc!O39*1000</f>
        <v>13701.721229172595</v>
      </c>
      <c r="D39" s="172">
        <f>Calc!P39*1000</f>
        <v>1.9765614492914105</v>
      </c>
      <c r="E39" s="172">
        <f>Calc!X39</f>
        <v>0.89709695944873602</v>
      </c>
      <c r="F39" s="172">
        <f>Calc!Y39</f>
        <v>5.0810882120492055E-3</v>
      </c>
      <c r="G39" s="172">
        <f>Calc!AN39</f>
        <v>0.99931861524021426</v>
      </c>
      <c r="H39" s="173">
        <f>Calc!AO39</f>
        <v>3.4104088937987284E-3</v>
      </c>
      <c r="I39" s="15">
        <f>Calc!AH39</f>
        <v>46646.981848035764</v>
      </c>
      <c r="J39" s="15">
        <f>Calc!AI39</f>
        <v>308.38548834671593</v>
      </c>
      <c r="K39" s="15">
        <f>Calc!AJ39</f>
        <v>1.7967264280223105</v>
      </c>
      <c r="L39" s="15">
        <f>Calc!AK39</f>
        <v>2.650456164373638</v>
      </c>
      <c r="M39" s="174">
        <f>Calc!AP39</f>
        <v>625.47649999999999</v>
      </c>
      <c r="N39" s="174" t="e">
        <f>Calc!AQ39</f>
        <v>#VALUE!</v>
      </c>
      <c r="O39" s="174">
        <f>Calc!AW39</f>
        <v>625.47479999999996</v>
      </c>
      <c r="P39" s="174">
        <f>Calc!AX39</f>
        <v>292.3180313931</v>
      </c>
      <c r="Q39" s="178">
        <f>Calc!BC39</f>
        <v>10.497044823167821</v>
      </c>
      <c r="R39" s="174">
        <f>Calc!BD39</f>
        <v>16.270322328367786</v>
      </c>
      <c r="S39" s="15">
        <f>Input!E39</f>
        <v>0</v>
      </c>
      <c r="T39" s="68"/>
      <c r="U39" s="68">
        <f>Input!K39</f>
        <v>7.1119770286346617E-3</v>
      </c>
      <c r="W39" s="68">
        <f>Calc!AS39</f>
        <v>2.1423006926702035E-5</v>
      </c>
      <c r="X39" s="68">
        <f>Calc!AT39</f>
        <v>1.2137761323453902E-7</v>
      </c>
      <c r="Y39" s="68">
        <f>Calc!AN39</f>
        <v>0.99931861524021426</v>
      </c>
      <c r="Z39" s="68">
        <f>Calc!AO39</f>
        <v>3.4104088937987284E-3</v>
      </c>
      <c r="AA39" s="68">
        <f t="shared" si="4"/>
        <v>1.0017967264280223</v>
      </c>
      <c r="AB39" s="68">
        <f t="shared" si="5"/>
        <v>0.30838548834671592</v>
      </c>
    </row>
    <row r="40" spans="1:28" x14ac:dyDescent="0.2">
      <c r="A40" s="68">
        <f>Input!A40</f>
        <v>10906</v>
      </c>
      <c r="B40" s="68" t="str">
        <f>Input!B40</f>
        <v>M43_401_14_337.5</v>
      </c>
      <c r="C40" s="175">
        <f>Calc!O40*1000</f>
        <v>441.96757798953166</v>
      </c>
      <c r="D40" s="175">
        <f>Calc!P40*1000</f>
        <v>3.1266092368473296E-2</v>
      </c>
      <c r="E40" s="175">
        <f>Calc!X40</f>
        <v>0.11176653755289787</v>
      </c>
      <c r="F40" s="175">
        <f>Calc!Y40</f>
        <v>2.582717939638418E-4</v>
      </c>
      <c r="G40" s="175">
        <f>Calc!AN40</f>
        <v>1.5517026306655064</v>
      </c>
      <c r="H40" s="71">
        <f>Calc!AO40</f>
        <v>3.1731749651251417E-3</v>
      </c>
      <c r="I40" s="70">
        <f>Calc!AH40</f>
        <v>18764.730119664207</v>
      </c>
      <c r="J40" s="70">
        <f>Calc!AI40</f>
        <v>57.887706691331068</v>
      </c>
      <c r="K40" s="70">
        <f>Calc!AJ40</f>
        <v>516.92442420241628</v>
      </c>
      <c r="L40" s="70">
        <f>Calc!AK40</f>
        <v>1.2423742421804396</v>
      </c>
      <c r="M40" s="176">
        <f>Calc!AP40</f>
        <v>285.37970000000001</v>
      </c>
      <c r="N40" s="176">
        <f>Calc!AQ40</f>
        <v>2.3229000000000002</v>
      </c>
      <c r="O40" s="176">
        <f>Calc!AW40</f>
        <v>285.37650000000002</v>
      </c>
      <c r="P40" s="176">
        <f>Calc!AY40</f>
        <v>2.4241874530484102</v>
      </c>
      <c r="Q40" s="177">
        <f>Calc!BC40</f>
        <v>1156.6073354836112</v>
      </c>
      <c r="R40" s="176">
        <f>Calc!BD40</f>
        <v>8.3866685422278557</v>
      </c>
      <c r="S40" s="70">
        <f>Input!E40</f>
        <v>337.5</v>
      </c>
      <c r="T40" s="68"/>
      <c r="U40" s="68">
        <f>Input!K40</f>
        <v>7.1209405489180873E-3</v>
      </c>
      <c r="W40" s="68">
        <f>Calc!AS40</f>
        <v>8.2744199041332833E-5</v>
      </c>
      <c r="X40" s="68">
        <f>Calc!AT40</f>
        <v>1.9129611732301802E-7</v>
      </c>
      <c r="Y40" s="68">
        <f>Calc!AN40</f>
        <v>1.5517026306655064</v>
      </c>
      <c r="Z40" s="68">
        <f>Calc!AO40</f>
        <v>3.1731749651251417E-3</v>
      </c>
      <c r="AA40" s="68">
        <f t="shared" si="4"/>
        <v>1.5169244242024162</v>
      </c>
      <c r="AB40" s="68">
        <f t="shared" si="5"/>
        <v>5.7887706691331066E-2</v>
      </c>
    </row>
    <row r="41" spans="1:28" x14ac:dyDescent="0.2">
      <c r="A41" s="13">
        <f>Input!A41</f>
        <v>10815</v>
      </c>
      <c r="B41" s="13" t="str">
        <f>Input!B41</f>
        <v>Hu1-13</v>
      </c>
      <c r="C41" s="172">
        <f>Calc!O41*1000</f>
        <v>13697.344152823225</v>
      </c>
      <c r="D41" s="172">
        <f>Calc!P41*1000</f>
        <v>2.0492251379349482</v>
      </c>
      <c r="E41" s="172">
        <f>Calc!X41</f>
        <v>0.89122355474814441</v>
      </c>
      <c r="F41" s="172">
        <f>Calc!Y41</f>
        <v>3.6182159237455659E-3</v>
      </c>
      <c r="G41" s="172">
        <f>Calc!AN41</f>
        <v>1.0019315383571488</v>
      </c>
      <c r="H41" s="173">
        <f>Calc!AO41</f>
        <v>3.4811153420385558E-3</v>
      </c>
      <c r="I41" s="15">
        <f>Calc!AH41</f>
        <v>47062.1309711547</v>
      </c>
      <c r="J41" s="15">
        <f>Calc!AI41</f>
        <v>251.38104686392086</v>
      </c>
      <c r="K41" s="15">
        <f>Calc!AJ41</f>
        <v>-1.3043606280648268</v>
      </c>
      <c r="L41" s="15">
        <f>Calc!AK41</f>
        <v>2.1450253940378716</v>
      </c>
      <c r="M41" s="174" t="str">
        <f>Calc!AP41</f>
        <v>Out of range</v>
      </c>
      <c r="N41" s="174" t="e">
        <f>Calc!AQ41</f>
        <v>#VALUE!</v>
      </c>
      <c r="O41" s="174" t="str">
        <f>Calc!AW41</f>
        <v>Out of range</v>
      </c>
      <c r="P41" s="174">
        <f>Calc!AX41</f>
        <v>254.9847725736</v>
      </c>
      <c r="Q41" s="178" t="e">
        <f>Calc!BC41</f>
        <v>#VALUE!</v>
      </c>
      <c r="R41" s="174" t="e">
        <f>Calc!BD41</f>
        <v>#VALUE!</v>
      </c>
      <c r="S41" s="15">
        <f>Input!E41</f>
        <v>0</v>
      </c>
      <c r="T41" s="68"/>
      <c r="U41" s="68">
        <f>Input!K41</f>
        <v>7.1085868835183592E-3</v>
      </c>
      <c r="W41" s="68">
        <f>Calc!AS41</f>
        <v>2.1289548893807046E-5</v>
      </c>
      <c r="X41" s="68">
        <f>Calc!AT41</f>
        <v>8.6490610685846129E-8</v>
      </c>
      <c r="Y41" s="68">
        <f>Calc!AN41</f>
        <v>1.0019315383571488</v>
      </c>
      <c r="Z41" s="68">
        <f>Calc!AO41</f>
        <v>3.4811153420385558E-3</v>
      </c>
      <c r="AA41" s="68">
        <f t="shared" si="4"/>
        <v>0.99869563937193517</v>
      </c>
      <c r="AB41" s="68">
        <f t="shared" si="5"/>
        <v>0.25138104686392088</v>
      </c>
    </row>
    <row r="42" spans="1:28" x14ac:dyDescent="0.2">
      <c r="A42" s="68">
        <f>Input!A42</f>
        <v>10899</v>
      </c>
      <c r="B42" s="68" t="str">
        <f>Input!B42</f>
        <v>RuWa51_3_20</v>
      </c>
      <c r="C42" s="175">
        <f>Calc!O42*1000</f>
        <v>3721.1889075301046</v>
      </c>
      <c r="D42" s="175">
        <f>Calc!P42*1000</f>
        <v>0.33550939970888982</v>
      </c>
      <c r="E42" s="175">
        <f>Calc!X42</f>
        <v>0.46564720519399655</v>
      </c>
      <c r="F42" s="175">
        <f>Calc!Y42</f>
        <v>1.2844916905453514E-3</v>
      </c>
      <c r="G42" s="175">
        <f>Calc!AN42</f>
        <v>0.90780273728076155</v>
      </c>
      <c r="H42" s="71">
        <f>Calc!AO42</f>
        <v>2.6245762388111744E-3</v>
      </c>
      <c r="I42" s="70">
        <f>Calc!AH42</f>
        <v>22214.578715387768</v>
      </c>
      <c r="J42" s="70">
        <f>Calc!AI42</f>
        <v>88.746824721501667</v>
      </c>
      <c r="K42" s="70">
        <f>Calc!AJ42</f>
        <v>-37.98557071586761</v>
      </c>
      <c r="L42" s="70">
        <f>Calc!AK42</f>
        <v>0.73117232957466516</v>
      </c>
      <c r="M42" s="176">
        <f>Calc!AP42</f>
        <v>341.60759999999999</v>
      </c>
      <c r="N42" s="176">
        <f>Calc!AQ42</f>
        <v>8.4504000000000001</v>
      </c>
      <c r="O42" s="176">
        <f>Calc!AW42</f>
        <v>341.60379999999998</v>
      </c>
      <c r="P42" s="176">
        <f>Calc!AY42</f>
        <v>7.7172305963638568</v>
      </c>
      <c r="Q42" s="177">
        <f>Calc!BC42</f>
        <v>-99.607034483383359</v>
      </c>
      <c r="R42" s="176">
        <f>Calc!BD42</f>
        <v>2.8951473811299362</v>
      </c>
      <c r="S42" s="70">
        <f>Input!E42</f>
        <v>20</v>
      </c>
      <c r="T42" s="68"/>
      <c r="U42" s="68">
        <f>Input!K42</f>
        <v>7.1077936730022384E-3</v>
      </c>
      <c r="W42" s="68">
        <f>Calc!AS42</f>
        <v>4.0944111735889258E-5</v>
      </c>
      <c r="X42" s="68">
        <f>Calc!AT42</f>
        <v>1.1300498681735448E-7</v>
      </c>
      <c r="Y42" s="68">
        <f>Calc!AN42</f>
        <v>0.90780273728076155</v>
      </c>
      <c r="Z42" s="68">
        <f>Calc!AO42</f>
        <v>2.6245762388111744E-3</v>
      </c>
      <c r="AA42" s="68">
        <f t="shared" si="4"/>
        <v>0.96201442928413239</v>
      </c>
      <c r="AB42" s="68">
        <f t="shared" si="5"/>
        <v>8.8746824721501666E-2</v>
      </c>
    </row>
    <row r="43" spans="1:28" x14ac:dyDescent="0.2">
      <c r="A43" s="13">
        <f>Input!A43</f>
        <v>10815</v>
      </c>
      <c r="B43" s="13" t="str">
        <f>Input!B43</f>
        <v>Hu1-13</v>
      </c>
      <c r="C43" s="172">
        <f>Calc!O43*1000</f>
        <v>13697.344152823225</v>
      </c>
      <c r="D43" s="172">
        <f>Calc!P43*1000</f>
        <v>2.0492251379349482</v>
      </c>
      <c r="E43" s="172">
        <f>Calc!X43</f>
        <v>0.89122355474814441</v>
      </c>
      <c r="F43" s="172">
        <f>Calc!Y43</f>
        <v>3.6182159237455659E-3</v>
      </c>
      <c r="G43" s="172">
        <f>Calc!AN43</f>
        <v>1.0019315383571488</v>
      </c>
      <c r="H43" s="173">
        <f>Calc!AO43</f>
        <v>3.4811153420385558E-3</v>
      </c>
      <c r="I43" s="15">
        <f>Calc!AH43</f>
        <v>47062.1309711547</v>
      </c>
      <c r="J43" s="15">
        <f>Calc!AI43</f>
        <v>251.38104686392086</v>
      </c>
      <c r="K43" s="15">
        <f>Calc!AJ43</f>
        <v>-1.3043606280648268</v>
      </c>
      <c r="L43" s="15">
        <f>Calc!AK43</f>
        <v>2.1450253940378716</v>
      </c>
      <c r="M43" s="174" t="str">
        <f>Calc!AP43</f>
        <v>Out of range</v>
      </c>
      <c r="N43" s="174" t="e">
        <f>Calc!AQ43</f>
        <v>#VALUE!</v>
      </c>
      <c r="O43" s="174" t="str">
        <f>Calc!AW43</f>
        <v>Out of range</v>
      </c>
      <c r="P43" s="174">
        <f>Calc!AX43</f>
        <v>262.9444310655</v>
      </c>
      <c r="Q43" s="178" t="e">
        <f>Calc!BC43</f>
        <v>#VALUE!</v>
      </c>
      <c r="R43" s="174" t="e">
        <f>Calc!BD43</f>
        <v>#VALUE!</v>
      </c>
      <c r="S43" s="15">
        <f>Input!E43</f>
        <v>0</v>
      </c>
      <c r="T43" s="68"/>
      <c r="U43" s="68">
        <f>Input!K43</f>
        <v>7.1085868835183592E-3</v>
      </c>
      <c r="W43" s="68">
        <f>Calc!AS43</f>
        <v>2.1289548893807046E-5</v>
      </c>
      <c r="X43" s="68">
        <f>Calc!AT43</f>
        <v>8.6490610685846129E-8</v>
      </c>
      <c r="Y43" s="68">
        <f>Calc!AN43</f>
        <v>1.0019315383571488</v>
      </c>
      <c r="Z43" s="68">
        <f>Calc!AO43</f>
        <v>3.4811153420385558E-3</v>
      </c>
      <c r="AA43" s="68">
        <f t="shared" si="4"/>
        <v>0.99869563937193517</v>
      </c>
      <c r="AB43" s="68">
        <f t="shared" si="5"/>
        <v>0.25138104686392088</v>
      </c>
    </row>
    <row r="44" spans="1:28" x14ac:dyDescent="0.2">
      <c r="H44" s="75"/>
    </row>
    <row r="45" spans="1:28" x14ac:dyDescent="0.2">
      <c r="A45" s="13">
        <f>Input!A45</f>
        <v>10815</v>
      </c>
      <c r="B45" s="13" t="str">
        <f>Input!B45</f>
        <v>Hu1-13</v>
      </c>
      <c r="C45" s="172">
        <f>Calc!O45*1000</f>
        <v>13699.798716316256</v>
      </c>
      <c r="D45" s="172">
        <f>Calc!P45*1000</f>
        <v>1.6897092417385273</v>
      </c>
      <c r="E45" s="172">
        <f>Calc!X45</f>
        <v>0.87366295787734982</v>
      </c>
      <c r="F45" s="172">
        <f>Calc!Y45</f>
        <v>4.7577251956000257E-3</v>
      </c>
      <c r="G45" s="172">
        <f>Calc!AN45</f>
        <v>0.99752434734938933</v>
      </c>
      <c r="H45" s="173">
        <f>Calc!AO45</f>
        <v>2.3407725688143243E-3</v>
      </c>
      <c r="I45" s="15">
        <f>Calc!AH45</f>
        <v>47805.470585122595</v>
      </c>
      <c r="J45" s="15">
        <f>Calc!AI45</f>
        <v>283.414753228319</v>
      </c>
      <c r="K45" s="15">
        <f>Calc!AJ45</f>
        <v>8.3180166550622658E-2</v>
      </c>
      <c r="L45" s="15">
        <f>Calc!AK45</f>
        <v>1.6714127702693256</v>
      </c>
      <c r="M45" s="174">
        <f>Calc!AP45</f>
        <v>649.3193</v>
      </c>
      <c r="N45" s="174" t="e">
        <f>Calc!AQ45</f>
        <v>#VALUE!</v>
      </c>
      <c r="O45" s="174">
        <f>Calc!AW45</f>
        <v>649.31759999999997</v>
      </c>
      <c r="P45" s="174">
        <f>Calc!AX45</f>
        <v>292.50652690769999</v>
      </c>
      <c r="Q45" s="178">
        <f>Calc!BC45</f>
        <v>0.51978858565678665</v>
      </c>
      <c r="R45" s="174">
        <f>Calc!BD45</f>
        <v>10.446569140722556</v>
      </c>
      <c r="S45" s="15">
        <f>Input!E45</f>
        <v>0</v>
      </c>
      <c r="T45" s="68"/>
    </row>
    <row r="46" spans="1:28" x14ac:dyDescent="0.2">
      <c r="A46" s="68">
        <f>Input!A46</f>
        <v>10909</v>
      </c>
      <c r="B46" s="68" t="str">
        <f>Input!B46</f>
        <v>M43_401_14_5B_Base</v>
      </c>
      <c r="C46" s="175">
        <f>Calc!O46*1000</f>
        <v>355.66093988063375</v>
      </c>
      <c r="D46" s="175">
        <f>Calc!P46*1000</f>
        <v>4.3239908962123236E-2</v>
      </c>
      <c r="E46" s="175">
        <f>Calc!X46</f>
        <v>0.10160221082926885</v>
      </c>
      <c r="F46" s="175">
        <f>Calc!Y46</f>
        <v>7.5248768065357098E-4</v>
      </c>
      <c r="G46" s="175">
        <f>Calc!AN46</f>
        <v>1.2427736145297283</v>
      </c>
      <c r="H46" s="71">
        <f>Calc!AO46</f>
        <v>4.2833929699179771E-3</v>
      </c>
      <c r="I46" s="70">
        <f>Calc!AH46</f>
        <v>13300.677991965171</v>
      </c>
      <c r="J46" s="70">
        <f>Calc!AI46</f>
        <v>108.64019966474144</v>
      </c>
      <c r="K46" s="70">
        <f>Calc!AJ46</f>
        <v>1175.0270158264957</v>
      </c>
      <c r="L46" s="70">
        <f>Calc!AK46</f>
        <v>4.0859229167125717</v>
      </c>
      <c r="M46" s="176">
        <f>Calc!AP46</f>
        <v>84.387799999999999</v>
      </c>
      <c r="N46" s="176">
        <f>Calc!AQ46</f>
        <v>0.46339999999999998</v>
      </c>
      <c r="O46" s="176">
        <f>Calc!AW46</f>
        <v>84.384699999999995</v>
      </c>
      <c r="P46" s="176">
        <f>Calc!AY46</f>
        <v>0.46815780022447206</v>
      </c>
      <c r="Q46" s="177">
        <f>Calc!BC46</f>
        <v>1490.9743404447327</v>
      </c>
      <c r="R46" s="176">
        <f>Calc!BD46</f>
        <v>5.5461665468920769</v>
      </c>
      <c r="S46" s="70">
        <f>Input!E46</f>
        <v>0</v>
      </c>
      <c r="T46" s="68"/>
    </row>
    <row r="47" spans="1:28" x14ac:dyDescent="0.2">
      <c r="A47" s="13">
        <f>Input!A47</f>
        <v>10815</v>
      </c>
      <c r="B47" s="13" t="str">
        <f>Input!B47</f>
        <v>Hu1-13</v>
      </c>
      <c r="C47" s="172">
        <f>Calc!O47*1000</f>
        <v>13702.982521447948</v>
      </c>
      <c r="D47" s="172">
        <f>Calc!P47*1000</f>
        <v>1.9151357625160403</v>
      </c>
      <c r="E47" s="172">
        <f>Calc!X47</f>
        <v>0.86903499298929132</v>
      </c>
      <c r="F47" s="172">
        <f>Calc!Y47</f>
        <v>5.5839796114856557E-3</v>
      </c>
      <c r="G47" s="172">
        <f>Calc!AN47</f>
        <v>1.0032352461295939</v>
      </c>
      <c r="H47" s="173">
        <f>Calc!AO47</f>
        <v>2.8936583373674351E-3</v>
      </c>
      <c r="I47" s="15">
        <f>Calc!AH47</f>
        <v>48346.434440228353</v>
      </c>
      <c r="J47" s="15">
        <f>Calc!AI47</f>
        <v>340.44537704798125</v>
      </c>
      <c r="K47" s="15">
        <f>Calc!AJ47</f>
        <v>-1.2592040976158181</v>
      </c>
      <c r="L47" s="15">
        <f>Calc!AK47</f>
        <v>1.6289030720414592</v>
      </c>
      <c r="M47" s="174" t="str">
        <f>Calc!AP47</f>
        <v>Out of range</v>
      </c>
      <c r="N47" s="174" t="e">
        <f>Calc!AQ47</f>
        <v>#VALUE!</v>
      </c>
      <c r="O47" s="174" t="str">
        <f>Calc!AW47</f>
        <v>Out of range</v>
      </c>
      <c r="P47" s="174">
        <f>Calc!AX47</f>
        <v>162.97707018240001</v>
      </c>
      <c r="Q47" s="178" t="e">
        <f>Calc!BC47</f>
        <v>#VALUE!</v>
      </c>
      <c r="R47" s="174" t="e">
        <f>Calc!BD47</f>
        <v>#VALUE!</v>
      </c>
      <c r="S47" s="15">
        <f>Input!E47</f>
        <v>0</v>
      </c>
      <c r="T47" s="68"/>
    </row>
    <row r="48" spans="1:28" x14ac:dyDescent="0.2">
      <c r="A48" s="68">
        <f>Input!A48</f>
        <v>10910</v>
      </c>
      <c r="B48" s="68" t="str">
        <f>Input!B48</f>
        <v>M43_401_14_15_E</v>
      </c>
      <c r="C48" s="175">
        <f>Calc!O48*1000</f>
        <v>521.0014184524739</v>
      </c>
      <c r="D48" s="175">
        <f>Calc!P48*1000</f>
        <v>4.3617277567264912E-2</v>
      </c>
      <c r="E48" s="175">
        <f>Calc!X48</f>
        <v>0.88104661370507709</v>
      </c>
      <c r="F48" s="175">
        <f>Calc!Y48</f>
        <v>1.8479692990908821E-3</v>
      </c>
      <c r="G48" s="175">
        <f>Calc!AN48</f>
        <v>2.5215293986936778</v>
      </c>
      <c r="H48" s="71">
        <f>Calc!AO48</f>
        <v>5.3136447716169528E-3</v>
      </c>
      <c r="I48" s="70">
        <f>Calc!AH48</f>
        <v>4574.1970586690331</v>
      </c>
      <c r="J48" s="70">
        <f>Calc!AI48</f>
        <v>13.594780214495124</v>
      </c>
      <c r="K48" s="70">
        <f>Calc!AJ48</f>
        <v>1674.9581310378621</v>
      </c>
      <c r="L48" s="70">
        <f>Calc!AK48</f>
        <v>2.5089117671179979</v>
      </c>
      <c r="M48" s="176">
        <f>Calc!AP48</f>
        <v>190.21709999999999</v>
      </c>
      <c r="N48" s="176">
        <f>Calc!AQ48</f>
        <v>0.83189999999999997</v>
      </c>
      <c r="O48" s="176">
        <f>Calc!AW48</f>
        <v>190.2054</v>
      </c>
      <c r="P48" s="176">
        <f>Calc!AY48</f>
        <v>0.94927843873771123</v>
      </c>
      <c r="Q48" s="177">
        <f>Calc!BC48</f>
        <v>2864.9738413131454</v>
      </c>
      <c r="R48" s="176">
        <f>Calc!BD48</f>
        <v>8.7933259482982873</v>
      </c>
      <c r="S48" s="70">
        <f>Input!E48</f>
        <v>0</v>
      </c>
      <c r="T48" s="68"/>
    </row>
    <row r="49" spans="1:20" x14ac:dyDescent="0.2">
      <c r="A49" s="13">
        <f>Input!A49</f>
        <v>10815</v>
      </c>
      <c r="B49" s="13" t="str">
        <f>Input!B49</f>
        <v>Hu1-13</v>
      </c>
      <c r="C49" s="172">
        <f>Calc!O49*1000</f>
        <v>13701.398727236699</v>
      </c>
      <c r="D49" s="172">
        <f>Calc!P49*1000</f>
        <v>1.8059792202852332</v>
      </c>
      <c r="E49" s="172">
        <f>Calc!X49</f>
        <v>0.87178445407295846</v>
      </c>
      <c r="F49" s="172">
        <f>Calc!Y49</f>
        <v>4.455295691791504E-3</v>
      </c>
      <c r="G49" s="172">
        <f>Calc!AN49</f>
        <v>1.0042713519674447</v>
      </c>
      <c r="H49" s="173">
        <f>Calc!AO49</f>
        <v>3.2146420497872401E-3</v>
      </c>
      <c r="I49" s="15">
        <f>Calc!AH49</f>
        <v>48238.154933357509</v>
      </c>
      <c r="J49" s="15">
        <f>Calc!AI49</f>
        <v>290.81857548873097</v>
      </c>
      <c r="K49" s="15">
        <f>Calc!AJ49</f>
        <v>0.30493278560594916</v>
      </c>
      <c r="L49" s="15">
        <f>Calc!AK49</f>
        <v>2.0345521827358488</v>
      </c>
      <c r="M49" s="174" t="str">
        <f>Calc!AP49</f>
        <v>Out of range</v>
      </c>
      <c r="N49" s="174" t="e">
        <f>Calc!AQ49</f>
        <v>#VALUE!</v>
      </c>
      <c r="O49" s="174" t="str">
        <f>Calc!AW49</f>
        <v>Out of range</v>
      </c>
      <c r="P49" s="174">
        <f>Calc!AX49</f>
        <v>253.5840374977</v>
      </c>
      <c r="Q49" s="178" t="e">
        <f>Calc!BC49</f>
        <v>#VALUE!</v>
      </c>
      <c r="R49" s="174" t="e">
        <f>Calc!BD49</f>
        <v>#VALUE!</v>
      </c>
      <c r="S49" s="15">
        <f>Input!E49</f>
        <v>0</v>
      </c>
      <c r="T49" s="68"/>
    </row>
    <row r="50" spans="1:20" x14ac:dyDescent="0.2">
      <c r="A50" s="68">
        <f>Input!A50</f>
        <v>10911</v>
      </c>
      <c r="B50" s="68" t="str">
        <f>Input!B50</f>
        <v>M43_401_14_15_F</v>
      </c>
      <c r="C50" s="175">
        <f>Calc!O50*1000</f>
        <v>315.8533880886377</v>
      </c>
      <c r="D50" s="175">
        <f>Calc!P50*1000</f>
        <v>2.7295545057482405E-2</v>
      </c>
      <c r="E50" s="175">
        <f>Calc!X50</f>
        <v>0.46576044270680572</v>
      </c>
      <c r="F50" s="175">
        <f>Calc!Y50</f>
        <v>9.6401776699841905E-4</v>
      </c>
      <c r="G50" s="175">
        <f>Calc!AN50</f>
        <v>1.545828078003278</v>
      </c>
      <c r="H50" s="71">
        <f>Calc!AO50</f>
        <v>4.3737905353657108E-3</v>
      </c>
      <c r="I50" s="70">
        <f>Calc!AH50</f>
        <v>3203.7859293314878</v>
      </c>
      <c r="J50" s="70">
        <f>Calc!AI50</f>
        <v>11.227924063646011</v>
      </c>
      <c r="K50" s="70">
        <f>Calc!AJ50</f>
        <v>1366.3301701829851</v>
      </c>
      <c r="L50" s="70">
        <f>Calc!AK50</f>
        <v>3.5170835864028884</v>
      </c>
      <c r="M50" s="176">
        <f>Calc!AP50</f>
        <v>101.7499</v>
      </c>
      <c r="N50" s="176">
        <f>Calc!AQ50</f>
        <v>0.51680000000000004</v>
      </c>
      <c r="O50" s="176">
        <f>Calc!AW50</f>
        <v>101.736</v>
      </c>
      <c r="P50" s="176">
        <f>Calc!AY50</f>
        <v>0.49102305795012152</v>
      </c>
      <c r="Q50" s="177">
        <f>Calc!BC50</f>
        <v>1820.7227432681188</v>
      </c>
      <c r="R50" s="176">
        <f>Calc!BD50</f>
        <v>5.3226782807474038</v>
      </c>
      <c r="S50" s="70">
        <f>Input!E50</f>
        <v>0</v>
      </c>
      <c r="T50" s="68"/>
    </row>
    <row r="51" spans="1:20" x14ac:dyDescent="0.2">
      <c r="A51" s="13">
        <f>Input!A51</f>
        <v>10815</v>
      </c>
      <c r="B51" s="13" t="str">
        <f>Input!B51</f>
        <v>Hu1-13</v>
      </c>
      <c r="C51" s="172">
        <f>Calc!O51*1000</f>
        <v>13699.55804629926</v>
      </c>
      <c r="D51" s="172">
        <f>Calc!P51*1000</f>
        <v>1.934166983671453</v>
      </c>
      <c r="E51" s="172">
        <f>Calc!X51</f>
        <v>0.89454863522525641</v>
      </c>
      <c r="F51" s="172">
        <f>Calc!Y51</f>
        <v>4.8796232347997279E-3</v>
      </c>
      <c r="G51" s="172">
        <f>Calc!AN51</f>
        <v>0.99570806327775552</v>
      </c>
      <c r="H51" s="173">
        <f>Calc!AO51</f>
        <v>2.3537289454246685E-3</v>
      </c>
      <c r="I51" s="15">
        <f>Calc!AH51</f>
        <v>46603.491260355586</v>
      </c>
      <c r="J51" s="15">
        <f>Calc!AI51</f>
        <v>276.98040246335921</v>
      </c>
      <c r="K51" s="15">
        <f>Calc!AJ51</f>
        <v>-0.74966990579627968</v>
      </c>
      <c r="L51" s="15">
        <f>Calc!AK51</f>
        <v>2.1534350972570997</v>
      </c>
      <c r="M51" s="174">
        <f>Calc!AP51</f>
        <v>625.42179999999996</v>
      </c>
      <c r="N51" s="174" t="e">
        <f>Calc!AQ51</f>
        <v>#VALUE!</v>
      </c>
      <c r="O51" s="174">
        <f>Calc!AW51</f>
        <v>625.41999999999996</v>
      </c>
      <c r="P51" s="174">
        <f>Calc!AX51</f>
        <v>271.60531341040002</v>
      </c>
      <c r="Q51" s="178">
        <f>Calc!BC51</f>
        <v>-4.3791317329874655</v>
      </c>
      <c r="R51" s="174">
        <f>Calc!BD51</f>
        <v>12.681188014953323</v>
      </c>
      <c r="S51" s="15">
        <f>Input!E51</f>
        <v>0</v>
      </c>
      <c r="T51" s="68"/>
    </row>
    <row r="52" spans="1:20" x14ac:dyDescent="0.2">
      <c r="A52" s="68">
        <f>Input!A52</f>
        <v>10912</v>
      </c>
      <c r="B52" s="68" t="str">
        <f>Input!B52</f>
        <v>M43_401_14_15_G</v>
      </c>
      <c r="C52" s="175">
        <f>Calc!O52*1000</f>
        <v>728.42216933266366</v>
      </c>
      <c r="D52" s="175">
        <f>Calc!P52*1000</f>
        <v>4.702818111863092E-2</v>
      </c>
      <c r="E52" s="175">
        <f>Calc!X52</f>
        <v>0.21902433360227902</v>
      </c>
      <c r="F52" s="175">
        <f>Calc!Y52</f>
        <v>4.4374819203778519E-4</v>
      </c>
      <c r="G52" s="175">
        <f>Calc!AN52</f>
        <v>1.3913708083153964</v>
      </c>
      <c r="H52" s="71">
        <f>Calc!AO52</f>
        <v>3.0662345277545759E-3</v>
      </c>
      <c r="I52" s="70">
        <f>Calc!AH52</f>
        <v>14095.084225695173</v>
      </c>
      <c r="J52" s="70">
        <f>Calc!AI52</f>
        <v>42.184389806373815</v>
      </c>
      <c r="K52" s="70">
        <f>Calc!AJ52</f>
        <v>1416.4992288043238</v>
      </c>
      <c r="L52" s="70">
        <f>Calc!AK52</f>
        <v>1.4488912515241166</v>
      </c>
      <c r="M52" s="176">
        <f>Calc!AP52</f>
        <v>84.719800000000006</v>
      </c>
      <c r="N52" s="176">
        <f>Calc!AQ52</f>
        <v>0.25509999999999999</v>
      </c>
      <c r="O52" s="176">
        <f>Calc!AW52</f>
        <v>84.716999999999999</v>
      </c>
      <c r="P52" s="176">
        <f>Calc!AY52</f>
        <v>0.27007588583776315</v>
      </c>
      <c r="Q52" s="177">
        <f>Calc!BC52</f>
        <v>1799.0611632661592</v>
      </c>
      <c r="R52" s="176">
        <f>Calc!BD52</f>
        <v>2.2948870309959717</v>
      </c>
      <c r="S52" s="70">
        <f>Input!E52</f>
        <v>0</v>
      </c>
      <c r="T52" s="68"/>
    </row>
    <row r="53" spans="1:20" x14ac:dyDescent="0.2">
      <c r="A53" s="13">
        <f>Input!A53</f>
        <v>10815</v>
      </c>
      <c r="B53" s="13" t="str">
        <f>Input!B53</f>
        <v>Hu1-13</v>
      </c>
      <c r="C53" s="172">
        <f>Calc!O53*1000</f>
        <v>13698.004477412453</v>
      </c>
      <c r="D53" s="172">
        <f>Calc!P53*1000</f>
        <v>1.4253946976478549</v>
      </c>
      <c r="E53" s="172">
        <f>Calc!X53</f>
        <v>0.91188667901968568</v>
      </c>
      <c r="F53" s="172">
        <f>Calc!Y53</f>
        <v>5.025214364144266E-3</v>
      </c>
      <c r="G53" s="172">
        <f>Calc!AN53</f>
        <v>0.99762636148759365</v>
      </c>
      <c r="H53" s="173">
        <f>Calc!AO53</f>
        <v>3.3175190799815063E-3</v>
      </c>
      <c r="I53" s="15">
        <f>Calc!AH53</f>
        <v>45800.28474531282</v>
      </c>
      <c r="J53" s="15">
        <f>Calc!AI53</f>
        <v>294.75010233950297</v>
      </c>
      <c r="K53" s="15">
        <f>Calc!AJ53</f>
        <v>1.8309840421077972</v>
      </c>
      <c r="L53" s="15">
        <f>Calc!AK53</f>
        <v>1.487655934596869</v>
      </c>
      <c r="M53" s="174">
        <f>Calc!AP53</f>
        <v>578.82169999999996</v>
      </c>
      <c r="N53" s="174" t="e">
        <f>Calc!AQ53</f>
        <v>#VALUE!</v>
      </c>
      <c r="O53" s="174">
        <f>Calc!AW53</f>
        <v>578.82000000000005</v>
      </c>
      <c r="P53" s="174">
        <f>Calc!AX53</f>
        <v>237.7545197163</v>
      </c>
      <c r="Q53" s="178">
        <f>Calc!BC53</f>
        <v>9.3775479799451453</v>
      </c>
      <c r="R53" s="174">
        <f>Calc!BD53</f>
        <v>7.9451206527700755</v>
      </c>
      <c r="S53" s="15">
        <f>Input!E53</f>
        <v>0</v>
      </c>
      <c r="T53" s="68"/>
    </row>
    <row r="54" spans="1:20" x14ac:dyDescent="0.2">
      <c r="A54" s="68">
        <f>Input!A54</f>
        <v>10907</v>
      </c>
      <c r="B54" s="68" t="str">
        <f>Input!B54</f>
        <v>M43_401_14_341.5</v>
      </c>
      <c r="C54" s="175">
        <f>Calc!O54*1000</f>
        <v>471.95684398890108</v>
      </c>
      <c r="D54" s="175">
        <f>Calc!P54*1000</f>
        <v>2.7200287068516193E-2</v>
      </c>
      <c r="E54" s="175">
        <f>Calc!X54</f>
        <v>0.14160165559365454</v>
      </c>
      <c r="F54" s="175">
        <f>Calc!Y54</f>
        <v>2.779061830188894E-4</v>
      </c>
      <c r="G54" s="175">
        <f>Calc!AN54</f>
        <v>1.552379355773182</v>
      </c>
      <c r="H54" s="71">
        <f>Calc!AO54</f>
        <v>2.8396204883571956E-3</v>
      </c>
      <c r="I54" s="70">
        <f>Calc!AH54</f>
        <v>15756.040117636767</v>
      </c>
      <c r="J54" s="70">
        <f>Calc!AI54</f>
        <v>42.261550607965582</v>
      </c>
      <c r="K54" s="70">
        <f>Calc!AJ54</f>
        <v>512.21150468177984</v>
      </c>
      <c r="L54" s="70">
        <f>Calc!AK54</f>
        <v>1.1728423489258557</v>
      </c>
      <c r="M54" s="176">
        <f>Calc!AP54</f>
        <v>289.89120000000003</v>
      </c>
      <c r="N54" s="176">
        <f>Calc!AQ54</f>
        <v>2.4586000000000001</v>
      </c>
      <c r="O54" s="176">
        <f>Calc!AW54</f>
        <v>289.88749999999999</v>
      </c>
      <c r="P54" s="176">
        <f>Calc!AY54</f>
        <v>2.2825808562996359</v>
      </c>
      <c r="Q54" s="177">
        <f>Calc!BC54</f>
        <v>1160.7452713123828</v>
      </c>
      <c r="R54" s="176">
        <f>Calc!BD54</f>
        <v>7.9353698105281749</v>
      </c>
      <c r="S54" s="70">
        <f>Input!E54</f>
        <v>341.5</v>
      </c>
      <c r="T54" s="68"/>
    </row>
    <row r="55" spans="1:20" x14ac:dyDescent="0.2">
      <c r="A55" s="13">
        <f>Input!A55</f>
        <v>10815</v>
      </c>
      <c r="B55" s="13" t="str">
        <f>Input!B55</f>
        <v>Hu1-13</v>
      </c>
      <c r="C55" s="172">
        <f>Calc!O55*1000</f>
        <v>13697.319727852921</v>
      </c>
      <c r="D55" s="172">
        <f>Calc!P55*1000</f>
        <v>2.2383472171534193</v>
      </c>
      <c r="E55" s="172">
        <f>Calc!X55</f>
        <v>0.90748400586982747</v>
      </c>
      <c r="F55" s="172">
        <f>Calc!Y55</f>
        <v>5.4618990326566075E-3</v>
      </c>
      <c r="G55" s="172">
        <f>Calc!AN55</f>
        <v>0.9951631488509618</v>
      </c>
      <c r="H55" s="173">
        <f>Calc!AO55</f>
        <v>3.031690889599876E-3</v>
      </c>
      <c r="I55" s="15">
        <f>Calc!AH55</f>
        <v>45906.557729243934</v>
      </c>
      <c r="J55" s="15">
        <f>Calc!AI55</f>
        <v>309.58549625292835</v>
      </c>
      <c r="K55" s="15">
        <f>Calc!AJ55</f>
        <v>0.16480213979352953</v>
      </c>
      <c r="L55" s="15">
        <f>Calc!AK55</f>
        <v>1.6649584878769252</v>
      </c>
      <c r="M55" s="174">
        <f>Calc!AP55</f>
        <v>576.26850000000002</v>
      </c>
      <c r="N55" s="174" t="e">
        <f>Calc!AQ55</f>
        <v>#VALUE!</v>
      </c>
      <c r="O55" s="174">
        <f>Calc!AW55</f>
        <v>576.26670000000001</v>
      </c>
      <c r="P55" s="174">
        <f>Calc!AX55</f>
        <v>199.6030963341</v>
      </c>
      <c r="Q55" s="178">
        <f>Calc!BC55</f>
        <v>0.83798885844090409</v>
      </c>
      <c r="R55" s="174">
        <f>Calc!BD55</f>
        <v>8.4682259260130426</v>
      </c>
      <c r="S55" s="15">
        <f>Input!E55</f>
        <v>0</v>
      </c>
      <c r="T55" s="68"/>
    </row>
    <row r="56" spans="1:20" x14ac:dyDescent="0.2">
      <c r="A56" s="68">
        <f>Input!A56</f>
        <v>10908</v>
      </c>
      <c r="B56" s="68" t="str">
        <f>Input!B56</f>
        <v>M43_401_14_544.5</v>
      </c>
      <c r="C56" s="175">
        <f>Calc!O56*1000</f>
        <v>704.06637686401405</v>
      </c>
      <c r="D56" s="175">
        <f>Calc!P56*1000</f>
        <v>4.454496649760574E-2</v>
      </c>
      <c r="E56" s="175">
        <f>Calc!X56</f>
        <v>0.27640292013096218</v>
      </c>
      <c r="F56" s="175">
        <f>Calc!Y56</f>
        <v>5.1091601703866837E-4</v>
      </c>
      <c r="G56" s="175">
        <f>Calc!AN56</f>
        <v>1.8218707488356558</v>
      </c>
      <c r="H56" s="71">
        <f>Calc!AO56</f>
        <v>3.3977079049275958E-3</v>
      </c>
      <c r="I56" s="70">
        <f>Calc!AH56</f>
        <v>14143.580508051031</v>
      </c>
      <c r="J56" s="70">
        <f>Calc!AI56</f>
        <v>37.127399319558087</v>
      </c>
      <c r="K56" s="70">
        <f>Calc!AJ56</f>
        <v>727.08477468601257</v>
      </c>
      <c r="L56" s="70">
        <f>Calc!AK56</f>
        <v>0.89239966328445031</v>
      </c>
      <c r="M56" s="176">
        <f>Calc!AP56</f>
        <v>294.90910000000002</v>
      </c>
      <c r="N56" s="176">
        <f>Calc!AQ56</f>
        <v>2.3451</v>
      </c>
      <c r="O56" s="176">
        <f>Calc!AW56</f>
        <v>294.90519999999998</v>
      </c>
      <c r="P56" s="176">
        <f>Calc!AY56</f>
        <v>2.1704946218805623</v>
      </c>
      <c r="Q56" s="177">
        <f>Calc!BC56</f>
        <v>1671.1766670798665</v>
      </c>
      <c r="R56" s="176">
        <f>Calc!BD56</f>
        <v>10.439881342972063</v>
      </c>
      <c r="S56" s="70">
        <f>Input!E56</f>
        <v>544.5</v>
      </c>
      <c r="T56" s="68"/>
    </row>
    <row r="57" spans="1:20" x14ac:dyDescent="0.2">
      <c r="A57" s="13">
        <f>Input!A57</f>
        <v>10815</v>
      </c>
      <c r="B57" s="13" t="str">
        <f>Input!B57</f>
        <v>Hu1-13</v>
      </c>
      <c r="C57" s="172">
        <f>Calc!O57*1000</f>
        <v>13701.6835333582</v>
      </c>
      <c r="D57" s="172">
        <f>Calc!P57*1000</f>
        <v>1.0391082787089363</v>
      </c>
      <c r="E57" s="172">
        <f>Calc!X57</f>
        <v>0.88423246549270484</v>
      </c>
      <c r="F57" s="172">
        <f>Calc!Y57</f>
        <v>2.8118849343629964E-3</v>
      </c>
      <c r="G57" s="172">
        <f>Calc!AN57</f>
        <v>0.99925855849484402</v>
      </c>
      <c r="H57" s="173">
        <f>Calc!AO57</f>
        <v>2.2849216046870648E-3</v>
      </c>
      <c r="I57" s="15">
        <f>Calc!AH57</f>
        <v>47322.663660372011</v>
      </c>
      <c r="J57" s="15">
        <f>Calc!AI57</f>
        <v>185.31793574821111</v>
      </c>
      <c r="K57" s="15">
        <f>Calc!AJ57</f>
        <v>-0.71304903480440274</v>
      </c>
      <c r="L57" s="15">
        <f>Calc!AK57</f>
        <v>1.0230499154115935</v>
      </c>
      <c r="M57" s="174" t="str">
        <f>Calc!AP57</f>
        <v>Out of range</v>
      </c>
      <c r="N57" s="174" t="e">
        <f>Calc!AQ57</f>
        <v>#VALUE!</v>
      </c>
      <c r="O57" s="174" t="str">
        <f>Calc!AW57</f>
        <v>Out of range</v>
      </c>
      <c r="P57" s="174">
        <f>Calc!AX57</f>
        <v>354.853105046</v>
      </c>
      <c r="Q57" s="178" t="e">
        <f>Calc!BC57</f>
        <v>#VALUE!</v>
      </c>
      <c r="R57" s="174" t="e">
        <f>Calc!BD57</f>
        <v>#VALUE!</v>
      </c>
      <c r="S57" s="15">
        <f>Input!E57</f>
        <v>0</v>
      </c>
      <c r="T57" s="68"/>
    </row>
    <row r="58" spans="1:20" x14ac:dyDescent="0.2">
      <c r="H58" s="75"/>
    </row>
    <row r="59" spans="1:20" x14ac:dyDescent="0.2">
      <c r="A59" s="13">
        <f>Input!A59</f>
        <v>10815</v>
      </c>
      <c r="B59" s="13" t="str">
        <f>Input!B59</f>
        <v>Hu1-13</v>
      </c>
      <c r="C59" s="172">
        <f>Calc!O59*1000</f>
        <v>13700.915881512001</v>
      </c>
      <c r="D59" s="172">
        <f>Calc!P59*1000</f>
        <v>2.191256390423177</v>
      </c>
      <c r="E59" s="172">
        <f>Calc!X59</f>
        <v>0.95543508326183535</v>
      </c>
      <c r="F59" s="172">
        <f>Calc!Y59</f>
        <v>5.841769918352193E-3</v>
      </c>
      <c r="G59" s="172">
        <f>Calc!AN59</f>
        <v>0.99648937876634358</v>
      </c>
      <c r="H59" s="173">
        <f>Calc!AO59</f>
        <v>3.3549691739982851E-3</v>
      </c>
      <c r="I59" s="15">
        <f>Calc!AH59</f>
        <v>43672.184781704651</v>
      </c>
      <c r="J59" s="15">
        <f>Calc!AI59</f>
        <v>304.74847409069878</v>
      </c>
      <c r="K59" s="15">
        <f>Calc!AJ59</f>
        <v>0.16429357744440765</v>
      </c>
      <c r="L59" s="15">
        <f>Calc!AK59</f>
        <v>1.5935044827275708</v>
      </c>
      <c r="M59" s="174">
        <f>Calc!AP59</f>
        <v>609.33280000000002</v>
      </c>
      <c r="N59" s="174" t="e">
        <f>Calc!AQ59</f>
        <v>#VALUE!</v>
      </c>
      <c r="O59" s="174">
        <f>Calc!AW59</f>
        <v>609.33100000000002</v>
      </c>
      <c r="P59" s="174">
        <f>Calc!AX59</f>
        <v>263.1206772045</v>
      </c>
      <c r="Q59" s="178">
        <f>Calc!BC59</f>
        <v>0.91710647305843718</v>
      </c>
      <c r="R59" s="174">
        <f>Calc!BD59</f>
        <v>8.9002798116418358</v>
      </c>
      <c r="S59" s="15">
        <f>Input!E59</f>
        <v>0</v>
      </c>
      <c r="T59" s="68"/>
    </row>
    <row r="60" spans="1:20" x14ac:dyDescent="0.2">
      <c r="A60" s="68">
        <f>Input!A60</f>
        <v>10969</v>
      </c>
      <c r="B60" s="68" t="str">
        <f>Input!B60</f>
        <v>M43_401_5A-2</v>
      </c>
      <c r="C60" s="175">
        <f>Calc!O60*1000</f>
        <v>204.14823592564488</v>
      </c>
      <c r="D60" s="175">
        <f>Calc!P60*1000</f>
        <v>2.2694940037190161E-2</v>
      </c>
      <c r="E60" s="175">
        <f>Calc!X60</f>
        <v>13.258727752019945</v>
      </c>
      <c r="F60" s="175">
        <f>Calc!Y60</f>
        <v>1.4427973960766454E-2</v>
      </c>
      <c r="G60" s="175">
        <f>Calc!AN60</f>
        <v>1.225682704503126</v>
      </c>
      <c r="H60" s="71">
        <f>Calc!AO60</f>
        <v>2.8176488271170093E-3</v>
      </c>
      <c r="I60" s="70">
        <f>Calc!AH60</f>
        <v>57.577462650657353</v>
      </c>
      <c r="J60" s="70">
        <f>Calc!AI60</f>
        <v>0.14630181804742112</v>
      </c>
      <c r="K60" s="70">
        <f>Calc!AJ60</f>
        <v>140.02342363512255</v>
      </c>
      <c r="L60" s="70">
        <f>Calc!AK60</f>
        <v>5.0191856651293447</v>
      </c>
      <c r="M60" s="176" t="str">
        <f>Calc!AP60</f>
        <v>Out of range</v>
      </c>
      <c r="N60" s="176" t="e">
        <f>Calc!AQ60</f>
        <v>#VALUE!</v>
      </c>
      <c r="O60" s="176" t="str">
        <f>Calc!AW60</f>
        <v>Out of range</v>
      </c>
      <c r="P60" s="176" t="e">
        <f>Calc!AY60</f>
        <v>#VALUE!</v>
      </c>
      <c r="Q60" s="177" t="e">
        <f>Calc!BC60</f>
        <v>#VALUE!</v>
      </c>
      <c r="R60" s="176" t="e">
        <f>Calc!BD60</f>
        <v>#VALUE!</v>
      </c>
      <c r="S60" s="70">
        <f>Input!E60</f>
        <v>0</v>
      </c>
      <c r="T60" s="68"/>
    </row>
    <row r="61" spans="1:20" x14ac:dyDescent="0.2">
      <c r="A61" s="13">
        <f>Input!A61</f>
        <v>10815</v>
      </c>
      <c r="B61" s="13" t="str">
        <f>Input!B61</f>
        <v>Hu1-13</v>
      </c>
      <c r="C61" s="172">
        <f>Calc!O61*1000</f>
        <v>13700.115647949342</v>
      </c>
      <c r="D61" s="172">
        <f>Calc!P61*1000</f>
        <v>1.6782419220400326</v>
      </c>
      <c r="E61" s="172">
        <f>Calc!X61</f>
        <v>0.94870010257140747</v>
      </c>
      <c r="F61" s="172">
        <f>Calc!Y61</f>
        <v>4.5470738288187961E-3</v>
      </c>
      <c r="G61" s="172">
        <f>Calc!AN61</f>
        <v>1.0000452744046133</v>
      </c>
      <c r="H61" s="173">
        <f>Calc!AO61</f>
        <v>2.2701616880321423E-3</v>
      </c>
      <c r="I61" s="15">
        <f>Calc!AH61</f>
        <v>44136.590045077697</v>
      </c>
      <c r="J61" s="15">
        <f>Calc!AI61</f>
        <v>234.00947084671145</v>
      </c>
      <c r="K61" s="15">
        <f>Calc!AJ61</f>
        <v>1.4386087502413769</v>
      </c>
      <c r="L61" s="15">
        <f>Calc!AK61</f>
        <v>1.7316206710602762</v>
      </c>
      <c r="M61" s="174">
        <f>Calc!AP61</f>
        <v>677.42100000000005</v>
      </c>
      <c r="N61" s="174" t="e">
        <f>Calc!AQ61</f>
        <v>#VALUE!</v>
      </c>
      <c r="O61" s="174">
        <f>Calc!AW61</f>
        <v>677.41920000000005</v>
      </c>
      <c r="P61" s="174">
        <f>Calc!AX61</f>
        <v>305.75428134330002</v>
      </c>
      <c r="Q61" s="178">
        <f>Calc!BC61</f>
        <v>9.7317538179005254</v>
      </c>
      <c r="R61" s="174">
        <f>Calc!BD61</f>
        <v>12.70813573620396</v>
      </c>
      <c r="S61" s="15">
        <f>Input!E61</f>
        <v>0</v>
      </c>
      <c r="T61" s="68"/>
    </row>
    <row r="62" spans="1:20" x14ac:dyDescent="0.2">
      <c r="A62" s="68">
        <f>Input!A62</f>
        <v>10970</v>
      </c>
      <c r="B62" s="68" t="str">
        <f>Input!B62</f>
        <v>M43_401_5A-3</v>
      </c>
      <c r="C62" s="175">
        <f>Calc!O62*1000</f>
        <v>318.52850456068307</v>
      </c>
      <c r="D62" s="175">
        <f>Calc!P62*1000</f>
        <v>2.1768324513094284E-2</v>
      </c>
      <c r="E62" s="175">
        <f>Calc!X62</f>
        <v>4.2549150104113558</v>
      </c>
      <c r="F62" s="175">
        <f>Calc!Y62</f>
        <v>6.7001346355028057E-3</v>
      </c>
      <c r="G62" s="175">
        <f>Calc!AN62</f>
        <v>1.1858899522364481</v>
      </c>
      <c r="H62" s="71">
        <f>Calc!AO62</f>
        <v>2.3077283367481118E-3</v>
      </c>
      <c r="I62" s="70">
        <f>Calc!AH62</f>
        <v>270.7109916284341</v>
      </c>
      <c r="J62" s="70">
        <f>Calc!AI62</f>
        <v>0.6774172522622679</v>
      </c>
      <c r="K62" s="70">
        <f>Calc!AJ62</f>
        <v>122.28281082939051</v>
      </c>
      <c r="L62" s="70">
        <f>Calc!AK62</f>
        <v>2.5371136578231566</v>
      </c>
      <c r="M62" s="176" t="str">
        <f>Calc!AP62</f>
        <v>Out of range</v>
      </c>
      <c r="N62" s="176" t="e">
        <f>Calc!AQ62</f>
        <v>#VALUE!</v>
      </c>
      <c r="O62" s="176" t="str">
        <f>Calc!AW62</f>
        <v>Out of range</v>
      </c>
      <c r="P62" s="176" t="e">
        <f>Calc!AY62</f>
        <v>#VALUE!</v>
      </c>
      <c r="Q62" s="177" t="e">
        <f>Calc!BC62</f>
        <v>#VALUE!</v>
      </c>
      <c r="R62" s="176" t="e">
        <f>Calc!BD62</f>
        <v>#VALUE!</v>
      </c>
      <c r="S62" s="70">
        <f>Input!E62</f>
        <v>0</v>
      </c>
      <c r="T62" s="68"/>
    </row>
    <row r="63" spans="1:20" x14ac:dyDescent="0.2">
      <c r="A63" s="13">
        <f>Input!A63</f>
        <v>10815</v>
      </c>
      <c r="B63" s="13" t="str">
        <f>Input!B63</f>
        <v>Hu1-13</v>
      </c>
      <c r="C63" s="172">
        <f>Calc!O63*1000</f>
        <v>13703.431241243788</v>
      </c>
      <c r="D63" s="172">
        <f>Calc!P63*1000</f>
        <v>1.742376816137331</v>
      </c>
      <c r="E63" s="172">
        <f>Calc!X63</f>
        <v>0.9450780958562367</v>
      </c>
      <c r="F63" s="172">
        <f>Calc!Y63</f>
        <v>6.0682625914397961E-3</v>
      </c>
      <c r="G63" s="172">
        <f>Calc!AN63</f>
        <v>0.99544793287966038</v>
      </c>
      <c r="H63" s="173">
        <f>Calc!AO63</f>
        <v>3.3144444762769321E-3</v>
      </c>
      <c r="I63" s="15">
        <f>Calc!AH63</f>
        <v>44112.737108494206</v>
      </c>
      <c r="J63" s="15">
        <f>Calc!AI63</f>
        <v>319.01219404715613</v>
      </c>
      <c r="K63" s="15">
        <f>Calc!AJ63</f>
        <v>-0.53576087119810989</v>
      </c>
      <c r="L63" s="15">
        <f>Calc!AK63</f>
        <v>1.1423472312681082</v>
      </c>
      <c r="M63" s="174">
        <f>Calc!AP63</f>
        <v>607.84259999999995</v>
      </c>
      <c r="N63" s="174" t="e">
        <f>Calc!AQ63</f>
        <v>#VALUE!</v>
      </c>
      <c r="O63" s="174">
        <f>Calc!AW63</f>
        <v>607.84079999999994</v>
      </c>
      <c r="P63" s="174">
        <f>Calc!AX63</f>
        <v>258.02318090739999</v>
      </c>
      <c r="Q63" s="178">
        <f>Calc!BC63</f>
        <v>-2.9781307981279781</v>
      </c>
      <c r="R63" s="174">
        <f>Calc!BD63</f>
        <v>6.4117092017205941</v>
      </c>
      <c r="S63" s="15">
        <f>Input!E63</f>
        <v>0</v>
      </c>
      <c r="T63" s="68"/>
    </row>
    <row r="64" spans="1:20" x14ac:dyDescent="0.2">
      <c r="A64" s="68">
        <f>Input!A64</f>
        <v>10971</v>
      </c>
      <c r="B64" s="68" t="str">
        <f>Input!B64</f>
        <v>M43_401_5A-4</v>
      </c>
      <c r="C64" s="175">
        <f>Calc!O64*1000</f>
        <v>573.17281278673875</v>
      </c>
      <c r="D64" s="175">
        <f>Calc!P64*1000</f>
        <v>2.7412566220418867E-2</v>
      </c>
      <c r="E64" s="175">
        <f>Calc!X64</f>
        <v>1.6321299424611644</v>
      </c>
      <c r="F64" s="175">
        <f>Calc!Y64</f>
        <v>2.5343622339199425E-3</v>
      </c>
      <c r="G64" s="175">
        <f>Calc!AN64</f>
        <v>1.3635375843314652</v>
      </c>
      <c r="H64" s="71">
        <f>Calc!AO64</f>
        <v>2.6749619768874949E-3</v>
      </c>
      <c r="I64" s="70">
        <f>Calc!AH64</f>
        <v>1458.5612942335329</v>
      </c>
      <c r="J64" s="70">
        <f>Calc!AI64</f>
        <v>3.6485809127676383</v>
      </c>
      <c r="K64" s="70">
        <f>Calc!AJ64</f>
        <v>1372.9426465407521</v>
      </c>
      <c r="L64" s="70">
        <f>Calc!AK64</f>
        <v>1.4610525605720446</v>
      </c>
      <c r="M64" s="176">
        <f>Calc!AP64</f>
        <v>84.576499999999996</v>
      </c>
      <c r="N64" s="176">
        <f>Calc!AQ64</f>
        <v>0.23569999999999999</v>
      </c>
      <c r="O64" s="176">
        <f>Calc!AW64</f>
        <v>84.548699999999997</v>
      </c>
      <c r="P64" s="176">
        <f>Calc!AY64</f>
        <v>0.24345562456957584</v>
      </c>
      <c r="Q64" s="177">
        <f>Calc!BC64</f>
        <v>1742.9130113605706</v>
      </c>
      <c r="R64" s="176">
        <f>Calc!BD64</f>
        <v>2.2077302404796812</v>
      </c>
      <c r="S64" s="70">
        <f>Input!E64</f>
        <v>0</v>
      </c>
      <c r="T64" s="68"/>
    </row>
    <row r="65" spans="1:20" x14ac:dyDescent="0.2">
      <c r="A65" s="13">
        <f>Input!A65</f>
        <v>10815</v>
      </c>
      <c r="B65" s="13" t="str">
        <f>Input!B65</f>
        <v>Hu1-13</v>
      </c>
      <c r="C65" s="172">
        <f>Calc!O65*1000</f>
        <v>13701.042479327452</v>
      </c>
      <c r="D65" s="172">
        <f>Calc!P65*1000</f>
        <v>1.8781152474585683</v>
      </c>
      <c r="E65" s="172">
        <f>Calc!X65</f>
        <v>0.94601447298011643</v>
      </c>
      <c r="F65" s="172">
        <f>Calc!Y65</f>
        <v>6.2369441810654425E-3</v>
      </c>
      <c r="G65" s="172">
        <f>Calc!AN65</f>
        <v>0.99785308052746402</v>
      </c>
      <c r="H65" s="173">
        <f>Calc!AO65</f>
        <v>3.2628722171375024E-3</v>
      </c>
      <c r="I65" s="15">
        <f>Calc!AH65</f>
        <v>44167.850465933705</v>
      </c>
      <c r="J65" s="15">
        <f>Calc!AI65</f>
        <v>324.98431116375838</v>
      </c>
      <c r="K65" s="15">
        <f>Calc!AJ65</f>
        <v>0.37506693493249976</v>
      </c>
      <c r="L65" s="15">
        <f>Calc!AK65</f>
        <v>1.4171285935984723</v>
      </c>
      <c r="M65" s="174">
        <f>Calc!AP65</f>
        <v>645.77329999999995</v>
      </c>
      <c r="N65" s="174" t="e">
        <f>Calc!AQ65</f>
        <v>#VALUE!</v>
      </c>
      <c r="O65" s="174">
        <f>Calc!AW65</f>
        <v>645.77149999999995</v>
      </c>
      <c r="P65" s="174">
        <f>Calc!AX65</f>
        <v>302.89032636979999</v>
      </c>
      <c r="Q65" s="178">
        <f>Calc!BC65</f>
        <v>2.3204361031380967</v>
      </c>
      <c r="R65" s="174">
        <f>Calc!BD65</f>
        <v>8.8256699917347952</v>
      </c>
      <c r="S65" s="15">
        <f>Input!E65</f>
        <v>0</v>
      </c>
      <c r="T65" s="68"/>
    </row>
    <row r="66" spans="1:20" x14ac:dyDescent="0.2">
      <c r="A66" s="68">
        <f>Input!A66</f>
        <v>10972</v>
      </c>
      <c r="B66" s="68" t="str">
        <f>Input!B66</f>
        <v>M43_401_5A-5</v>
      </c>
      <c r="C66" s="175">
        <f>Calc!O66*1000</f>
        <v>579.22759045551868</v>
      </c>
      <c r="D66" s="175">
        <f>Calc!P66*1000</f>
        <v>4.8946448232824902E-2</v>
      </c>
      <c r="E66" s="175">
        <f>Calc!X66</f>
        <v>56.692674794143976</v>
      </c>
      <c r="F66" s="175">
        <f>Calc!Y66</f>
        <v>9.220343841151403E-2</v>
      </c>
      <c r="G66" s="175">
        <f>Calc!AN66</f>
        <v>1.0896953868957795</v>
      </c>
      <c r="H66" s="71">
        <f>Calc!AO66</f>
        <v>2.7688918309635422E-3</v>
      </c>
      <c r="I66" s="70">
        <f>Calc!AH66</f>
        <v>33.952975241181441</v>
      </c>
      <c r="J66" s="70">
        <f>Calc!AI66</f>
        <v>0.10239238397943688</v>
      </c>
      <c r="K66" s="70">
        <f>Calc!AJ66</f>
        <v>46.843827794242898</v>
      </c>
      <c r="L66" s="70">
        <f>Calc!AK66</f>
        <v>2.3576820075655549</v>
      </c>
      <c r="M66" s="176" t="str">
        <f>Calc!AP66</f>
        <v>Out of range</v>
      </c>
      <c r="N66" s="176" t="e">
        <f>Calc!AQ66</f>
        <v>#VALUE!</v>
      </c>
      <c r="O66" s="176" t="str">
        <f>Calc!AW66</f>
        <v>Out of range</v>
      </c>
      <c r="P66" s="176" t="e">
        <f>Calc!AY66</f>
        <v>#VALUE!</v>
      </c>
      <c r="Q66" s="177" t="e">
        <f>Calc!BC66</f>
        <v>#VALUE!</v>
      </c>
      <c r="R66" s="176" t="e">
        <f>Calc!BD66</f>
        <v>#VALUE!</v>
      </c>
      <c r="S66" s="70">
        <f>Input!E66</f>
        <v>0</v>
      </c>
      <c r="T66" s="68"/>
    </row>
    <row r="67" spans="1:20" x14ac:dyDescent="0.2">
      <c r="A67" s="13">
        <f>Input!A67</f>
        <v>10815</v>
      </c>
      <c r="B67" s="13" t="str">
        <f>Input!B67</f>
        <v>Hu1-13</v>
      </c>
      <c r="C67" s="172">
        <f>Calc!O67*1000</f>
        <v>13701.042479327452</v>
      </c>
      <c r="D67" s="172">
        <f>Calc!P67*1000</f>
        <v>1.8781152474585683</v>
      </c>
      <c r="E67" s="172">
        <f>Calc!X67</f>
        <v>0.94601447298011643</v>
      </c>
      <c r="F67" s="172">
        <f>Calc!Y67</f>
        <v>6.2369441810654425E-3</v>
      </c>
      <c r="G67" s="172">
        <f>Calc!AN67</f>
        <v>0.99785308052746402</v>
      </c>
      <c r="H67" s="173">
        <f>Calc!AO67</f>
        <v>3.2628722171375024E-3</v>
      </c>
      <c r="I67" s="15">
        <f>Calc!AH67</f>
        <v>44167.850465933705</v>
      </c>
      <c r="J67" s="15">
        <f>Calc!AI67</f>
        <v>324.98431116375838</v>
      </c>
      <c r="K67" s="15">
        <f>Calc!AJ67</f>
        <v>0.37506693493249976</v>
      </c>
      <c r="L67" s="15">
        <f>Calc!AK67</f>
        <v>1.4171285935984723</v>
      </c>
      <c r="M67" s="174">
        <f>Calc!AP67</f>
        <v>645.77329999999995</v>
      </c>
      <c r="N67" s="174" t="e">
        <f>Calc!AQ67</f>
        <v>#VALUE!</v>
      </c>
      <c r="O67" s="174">
        <f>Calc!AW67</f>
        <v>645.77149999999995</v>
      </c>
      <c r="P67" s="174">
        <f>Calc!AX67</f>
        <v>279.47555500470003</v>
      </c>
      <c r="Q67" s="178">
        <f>Calc!BC67</f>
        <v>2.3204361031380967</v>
      </c>
      <c r="R67" s="174">
        <f>Calc!BD67</f>
        <v>8.8256699917347952</v>
      </c>
      <c r="S67" s="15">
        <f>Input!E67</f>
        <v>0</v>
      </c>
      <c r="T67" s="68"/>
    </row>
    <row r="68" spans="1:20" ht="13.5" customHeight="1" x14ac:dyDescent="0.2">
      <c r="H68" s="75"/>
    </row>
    <row r="69" spans="1:20" x14ac:dyDescent="0.2">
      <c r="A69" s="13">
        <f>Input!A69</f>
        <v>10815</v>
      </c>
      <c r="B69" s="13" t="str">
        <f>Input!B69</f>
        <v>Hu1-13</v>
      </c>
      <c r="C69" s="172">
        <f>Calc!O69*1000</f>
        <v>13700.112283101877</v>
      </c>
      <c r="D69" s="172">
        <f>Calc!P69*1000</f>
        <v>1.160782258617606</v>
      </c>
      <c r="E69" s="172">
        <f>Calc!X69</f>
        <v>0.9311453367141066</v>
      </c>
      <c r="F69" s="172">
        <f>Calc!Y69</f>
        <v>2.421849619613533E-3</v>
      </c>
      <c r="G69" s="172">
        <f>Calc!AN69</f>
        <v>1.0005885002999368</v>
      </c>
      <c r="H69" s="173">
        <f>Calc!AO69</f>
        <v>1.9125646362006317E-3</v>
      </c>
      <c r="I69" s="15">
        <f>Calc!AH69</f>
        <v>44993.1076242411</v>
      </c>
      <c r="J69" s="15">
        <f>Calc!AI69</f>
        <v>145.17716433981016</v>
      </c>
      <c r="K69" s="15">
        <f>Calc!AJ69</f>
        <v>-1.3115235925493796</v>
      </c>
      <c r="L69" s="15">
        <f>Calc!AK69</f>
        <v>0.92015230551698812</v>
      </c>
      <c r="M69" s="174" t="str">
        <f>Calc!AP69</f>
        <v>Out of range</v>
      </c>
      <c r="N69" s="174" t="e">
        <f>Calc!AQ69</f>
        <v>#VALUE!</v>
      </c>
      <c r="O69" s="174" t="str">
        <f>Calc!AW69</f>
        <v>Out of range</v>
      </c>
      <c r="P69" s="174">
        <f>Calc!AX69</f>
        <v>216.60871955440001</v>
      </c>
      <c r="Q69" s="178" t="e">
        <f>Calc!BC69</f>
        <v>#VALUE!</v>
      </c>
      <c r="R69" s="174" t="e">
        <f>Calc!BD69</f>
        <v>#VALUE!</v>
      </c>
      <c r="S69" s="15">
        <f>Input!E69</f>
        <v>0</v>
      </c>
      <c r="T69" s="68"/>
    </row>
    <row r="70" spans="1:20" x14ac:dyDescent="0.2">
      <c r="A70" s="68">
        <f>Input!A70</f>
        <v>10900</v>
      </c>
      <c r="B70" s="68" t="str">
        <f>Input!B70</f>
        <v>RuWa51_3_34</v>
      </c>
      <c r="C70" s="175">
        <f>Calc!O70*1000</f>
        <v>4706.0661314831314</v>
      </c>
      <c r="D70" s="175">
        <f>Calc!P70*1000</f>
        <v>0.25567538838172638</v>
      </c>
      <c r="E70" s="175">
        <f>Calc!X70</f>
        <v>0.28270365801121666</v>
      </c>
      <c r="F70" s="175">
        <f>Calc!Y70</f>
        <v>6.1859819189847285E-4</v>
      </c>
      <c r="G70" s="175">
        <f>Calc!AN70</f>
        <v>0.89165943598119335</v>
      </c>
      <c r="H70" s="71">
        <f>Calc!AO70</f>
        <v>1.3841870515214328E-3</v>
      </c>
      <c r="I70" s="70">
        <f>Calc!AH70</f>
        <v>45347.077257022436</v>
      </c>
      <c r="J70" s="70">
        <f>Calc!AI70</f>
        <v>121.63596016494378</v>
      </c>
      <c r="K70" s="70">
        <f>Calc!AJ70</f>
        <v>-41.021171808400148</v>
      </c>
      <c r="L70" s="70">
        <f>Calc!AK70</f>
        <v>0.30162548915005877</v>
      </c>
      <c r="M70" s="176">
        <f>Calc!AP70</f>
        <v>311.87389999999999</v>
      </c>
      <c r="N70" s="176">
        <f>Calc!AQ70</f>
        <v>2.8184999999999998</v>
      </c>
      <c r="O70" s="176">
        <f>Calc!AW70</f>
        <v>311.87209999999999</v>
      </c>
      <c r="P70" s="176">
        <f>Calc!AY70</f>
        <v>3.0233275732154037</v>
      </c>
      <c r="Q70" s="177">
        <f>Calc!BC70</f>
        <v>-98.909975447390352</v>
      </c>
      <c r="R70" s="176">
        <f>Calc!BD70</f>
        <v>1.1140473041241024</v>
      </c>
      <c r="S70" s="70">
        <f>Input!E70</f>
        <v>0</v>
      </c>
      <c r="T70" s="68"/>
    </row>
    <row r="71" spans="1:20" x14ac:dyDescent="0.2">
      <c r="A71" s="13">
        <f>Input!A71</f>
        <v>10815</v>
      </c>
      <c r="B71" s="13" t="str">
        <f>Input!B71</f>
        <v>Hu1-13</v>
      </c>
      <c r="C71" s="172">
        <f>Calc!O71*1000</f>
        <v>13701.035154090445</v>
      </c>
      <c r="D71" s="172">
        <f>Calc!P71*1000</f>
        <v>1.037796203729124</v>
      </c>
      <c r="E71" s="172">
        <f>Calc!X71</f>
        <v>0.92692462733028103</v>
      </c>
      <c r="F71" s="172">
        <f>Calc!Y71</f>
        <v>3.5106052750641377E-3</v>
      </c>
      <c r="G71" s="172">
        <f>Calc!AN71</f>
        <v>0.99867418215339832</v>
      </c>
      <c r="H71" s="173">
        <f>Calc!AO71</f>
        <v>2.6808817953003997E-3</v>
      </c>
      <c r="I71" s="15">
        <f>Calc!AH71</f>
        <v>45114.548092872101</v>
      </c>
      <c r="J71" s="15">
        <f>Calc!AI71</f>
        <v>209.40463951587972</v>
      </c>
      <c r="K71" s="15">
        <f>Calc!AJ71</f>
        <v>-1.7236954810928573E-2</v>
      </c>
      <c r="L71" s="15">
        <f>Calc!AK71</f>
        <v>1.0685189034157625</v>
      </c>
      <c r="M71" s="174">
        <f>Calc!AP71</f>
        <v>724.5471</v>
      </c>
      <c r="N71" s="174" t="e">
        <f>Calc!AQ71</f>
        <v>#VALUE!</v>
      </c>
      <c r="O71" s="174">
        <f>Calc!AW71</f>
        <v>724.54520000000002</v>
      </c>
      <c r="P71" s="174">
        <f>Calc!AX71</f>
        <v>334.46578462769997</v>
      </c>
      <c r="Q71" s="178">
        <f>Calc!BC71</f>
        <v>-0.13318852978175427</v>
      </c>
      <c r="R71" s="174">
        <f>Calc!BD71</f>
        <v>8.2569211685526795</v>
      </c>
      <c r="S71" s="15">
        <f>Input!E71</f>
        <v>0</v>
      </c>
      <c r="T71" s="68"/>
    </row>
    <row r="72" spans="1:20" x14ac:dyDescent="0.2">
      <c r="A72" s="68">
        <f>Input!A72</f>
        <v>10901</v>
      </c>
      <c r="B72" s="68" t="str">
        <f>Input!B72</f>
        <v>RuWa51_3_87</v>
      </c>
      <c r="C72" s="175">
        <f>Calc!O72*1000</f>
        <v>3559.9002718268557</v>
      </c>
      <c r="D72" s="175">
        <f>Calc!P72*1000</f>
        <v>0.15140954329495127</v>
      </c>
      <c r="E72" s="175">
        <f>Calc!X72</f>
        <v>1.1221679708933645</v>
      </c>
      <c r="F72" s="175">
        <f>Calc!Y72</f>
        <v>1.8229268244616304E-3</v>
      </c>
      <c r="G72" s="175">
        <f>Calc!AN72</f>
        <v>0.85511435156154725</v>
      </c>
      <c r="H72" s="71">
        <f>Calc!AO72</f>
        <v>1.4245170596431627E-3</v>
      </c>
      <c r="I72" s="70">
        <f>Calc!AH72</f>
        <v>8282.9632628478357</v>
      </c>
      <c r="J72" s="70">
        <f>Calc!AI72</f>
        <v>19.269674036880239</v>
      </c>
      <c r="K72" s="70">
        <f>Calc!AJ72</f>
        <v>-33.978758314362921</v>
      </c>
      <c r="L72" s="70">
        <f>Calc!AK72</f>
        <v>0.39129847995875161</v>
      </c>
      <c r="M72" s="176">
        <f>Calc!AP72</f>
        <v>244.53139999999999</v>
      </c>
      <c r="N72" s="176">
        <f>Calc!AQ72</f>
        <v>1.5612999999999999</v>
      </c>
      <c r="O72" s="176">
        <f>Calc!AW72</f>
        <v>244.5224</v>
      </c>
      <c r="P72" s="176">
        <f>Calc!AY72</f>
        <v>1.6412587345348852</v>
      </c>
      <c r="Q72" s="177">
        <f>Calc!BC72</f>
        <v>-67.74783191947715</v>
      </c>
      <c r="R72" s="176">
        <f>Calc!BD72</f>
        <v>0.84092110372094619</v>
      </c>
      <c r="S72" s="70">
        <f>Input!E72</f>
        <v>0</v>
      </c>
      <c r="T72" s="68"/>
    </row>
    <row r="73" spans="1:20" x14ac:dyDescent="0.2">
      <c r="A73" s="13">
        <f>Input!A73</f>
        <v>10815</v>
      </c>
      <c r="B73" s="13" t="str">
        <f>Input!B73</f>
        <v>Hu1-13</v>
      </c>
      <c r="C73" s="172">
        <f>Calc!O73*1000</f>
        <v>13700.249243087146</v>
      </c>
      <c r="D73" s="172">
        <f>Calc!P73*1000</f>
        <v>1.4015214737724451</v>
      </c>
      <c r="E73" s="172">
        <f>Calc!X73</f>
        <v>0.92862873263472712</v>
      </c>
      <c r="F73" s="172">
        <f>Calc!Y73</f>
        <v>3.4152788915036351E-3</v>
      </c>
      <c r="G73" s="172">
        <f>Calc!AN73</f>
        <v>0.99947423524719292</v>
      </c>
      <c r="H73" s="173">
        <f>Calc!AO73</f>
        <v>2.3436431162754995E-3</v>
      </c>
      <c r="I73" s="15">
        <f>Calc!AH73</f>
        <v>45065.249892202191</v>
      </c>
      <c r="J73" s="15">
        <f>Calc!AI73</f>
        <v>196.5069108010652</v>
      </c>
      <c r="K73" s="15">
        <f>Calc!AJ73</f>
        <v>-0.71347252245901327</v>
      </c>
      <c r="L73" s="15">
        <f>Calc!AK73</f>
        <v>1.1325999503631499</v>
      </c>
      <c r="M73" s="174" t="str">
        <f>Calc!AP73</f>
        <v>Out of range</v>
      </c>
      <c r="N73" s="174" t="e">
        <f>Calc!AQ73</f>
        <v>#VALUE!</v>
      </c>
      <c r="O73" s="174" t="str">
        <f>Calc!AW73</f>
        <v>Out of range</v>
      </c>
      <c r="P73" s="174">
        <f>Calc!AX73</f>
        <v>335.6744416674</v>
      </c>
      <c r="Q73" s="178" t="e">
        <f>Calc!BC73</f>
        <v>#VALUE!</v>
      </c>
      <c r="R73" s="174" t="e">
        <f>Calc!BD73</f>
        <v>#VALUE!</v>
      </c>
      <c r="S73" s="15">
        <f>Input!E73</f>
        <v>0</v>
      </c>
      <c r="T73" s="68"/>
    </row>
    <row r="74" spans="1:20" x14ac:dyDescent="0.2">
      <c r="A74" s="68">
        <f>Input!A74</f>
        <v>10902</v>
      </c>
      <c r="B74" s="68" t="str">
        <f>Input!B74</f>
        <v>RuWa51_3_98</v>
      </c>
      <c r="C74" s="175">
        <f>Calc!O74*1000</f>
        <v>4191.1191591389706</v>
      </c>
      <c r="D74" s="175">
        <f>Calc!P74*1000</f>
        <v>0.21595173300401455</v>
      </c>
      <c r="E74" s="175">
        <f>Calc!X74</f>
        <v>0.24899310287326354</v>
      </c>
      <c r="F74" s="175">
        <f>Calc!Y74</f>
        <v>4.0365534896263954E-4</v>
      </c>
      <c r="G74" s="175">
        <f>Calc!AN74</f>
        <v>0.9129295774084385</v>
      </c>
      <c r="H74" s="71">
        <f>Calc!AO74</f>
        <v>1.1943102108152757E-3</v>
      </c>
      <c r="I74" s="70">
        <f>Calc!AH74</f>
        <v>46971.220177914416</v>
      </c>
      <c r="J74" s="70">
        <f>Calc!AI74</f>
        <v>97.81870314762152</v>
      </c>
      <c r="K74" s="70">
        <f>Calc!AJ74</f>
        <v>-34.728060302330888</v>
      </c>
      <c r="L74" s="70">
        <f>Calc!AK74</f>
        <v>0.40463538175546693</v>
      </c>
      <c r="M74" s="176">
        <f>Calc!AP74</f>
        <v>344.28059999999999</v>
      </c>
      <c r="N74" s="176">
        <f>Calc!AQ74</f>
        <v>3.2231000000000001</v>
      </c>
      <c r="O74" s="176">
        <f>Calc!AW74</f>
        <v>344.27879999999999</v>
      </c>
      <c r="P74" s="176">
        <f>Calc!AY74</f>
        <v>3.6645068795752289</v>
      </c>
      <c r="Q74" s="177">
        <f>Calc!BC74</f>
        <v>-91.755134272469277</v>
      </c>
      <c r="R74" s="176">
        <f>Calc!BD74</f>
        <v>1.4294500019120173</v>
      </c>
      <c r="S74" s="70">
        <f>Input!E74</f>
        <v>0</v>
      </c>
      <c r="T74" s="68"/>
    </row>
    <row r="75" spans="1:20" x14ac:dyDescent="0.2">
      <c r="A75" s="13">
        <f>Input!A75</f>
        <v>10815</v>
      </c>
      <c r="B75" s="13" t="str">
        <f>Input!B75</f>
        <v>Hu1-13</v>
      </c>
      <c r="C75" s="172">
        <f>Calc!O75*1000</f>
        <v>13699.007943680979</v>
      </c>
      <c r="D75" s="172">
        <f>Calc!P75*1000</f>
        <v>1.3844604232281195</v>
      </c>
      <c r="E75" s="172">
        <f>Calc!X75</f>
        <v>0.93043996993525924</v>
      </c>
      <c r="F75" s="172">
        <f>Calc!Y75</f>
        <v>2.728725454958939E-3</v>
      </c>
      <c r="G75" s="172">
        <f>Calc!AN75</f>
        <v>1.0008391424761121</v>
      </c>
      <c r="H75" s="173">
        <f>Calc!AO75</f>
        <v>2.0390159088217621E-3</v>
      </c>
      <c r="I75" s="15">
        <f>Calc!AH75</f>
        <v>45034.865526896778</v>
      </c>
      <c r="J75" s="15">
        <f>Calc!AI75</f>
        <v>160.75166643915102</v>
      </c>
      <c r="K75" s="15">
        <f>Calc!AJ75</f>
        <v>0.66372939929948416</v>
      </c>
      <c r="L75" s="15">
        <f>Calc!AK75</f>
        <v>1.0857599959991593</v>
      </c>
      <c r="M75" s="174">
        <f>Calc!AP75</f>
        <v>986.41290000000004</v>
      </c>
      <c r="N75" s="174" t="e">
        <f>Calc!AQ75</f>
        <v>#VALUE!</v>
      </c>
      <c r="O75" s="174">
        <f>Calc!AW75</f>
        <v>986.41110000000003</v>
      </c>
      <c r="P75" s="174">
        <f>Calc!AX75</f>
        <v>356.15369574930003</v>
      </c>
      <c r="Q75" s="178">
        <f>Calc!BC75</f>
        <v>10.738447924835899</v>
      </c>
      <c r="R75" s="174">
        <f>Calc!BD75</f>
        <v>72.689732605611297</v>
      </c>
      <c r="S75" s="15">
        <f>Input!E75</f>
        <v>0</v>
      </c>
      <c r="T75" s="68"/>
    </row>
    <row r="76" spans="1:20" ht="13.5" customHeight="1" x14ac:dyDescent="0.2">
      <c r="H76" s="75"/>
    </row>
    <row r="77" spans="1:20" x14ac:dyDescent="0.2">
      <c r="A77" s="13">
        <f>Input!A77</f>
        <v>10815</v>
      </c>
      <c r="B77" s="13" t="str">
        <f>Input!B77</f>
        <v>Hu1-13</v>
      </c>
      <c r="C77" s="172">
        <f>Calc!O77*1000</f>
        <v>13700.552084927052</v>
      </c>
      <c r="D77" s="172">
        <f>Calc!P77*1000</f>
        <v>1.8213238378651526</v>
      </c>
      <c r="E77" s="172">
        <f>Calc!X77</f>
        <v>0.97340269408500968</v>
      </c>
      <c r="F77" s="172">
        <f>Calc!Y77</f>
        <v>4.9289005667454665E-3</v>
      </c>
      <c r="G77" s="172">
        <f>Calc!AN77</f>
        <v>0.99975529778588512</v>
      </c>
      <c r="H77" s="173">
        <f>Calc!AO77</f>
        <v>3.717508978191703E-3</v>
      </c>
      <c r="I77" s="15">
        <f>Calc!AH77</f>
        <v>43005.407538177169</v>
      </c>
      <c r="J77" s="15">
        <f>Calc!AI77</f>
        <v>270.10953125271561</v>
      </c>
      <c r="K77" s="15">
        <f>Calc!AJ77</f>
        <v>-0.23028461614915674</v>
      </c>
      <c r="L77" s="15">
        <f>Calc!AK77</f>
        <v>1.7610344526493453</v>
      </c>
      <c r="M77" s="174" t="str">
        <f>Calc!AP77</f>
        <v>Out of range</v>
      </c>
      <c r="N77" s="174" t="e">
        <f>Calc!AQ77</f>
        <v>#VALUE!</v>
      </c>
      <c r="O77" s="174" t="str">
        <f>Calc!AW77</f>
        <v>Out of range</v>
      </c>
      <c r="P77" s="174">
        <f>Calc!AX77</f>
        <v>322.3972664222</v>
      </c>
      <c r="Q77" s="178" t="e">
        <f>Calc!BC77</f>
        <v>#VALUE!</v>
      </c>
      <c r="R77" s="174" t="e">
        <f>Calc!BD77</f>
        <v>#VALUE!</v>
      </c>
      <c r="S77" s="15">
        <f>Input!E77</f>
        <v>0</v>
      </c>
      <c r="T77" s="68"/>
    </row>
    <row r="78" spans="1:20" x14ac:dyDescent="0.2">
      <c r="A78" s="68">
        <f>Input!A78</f>
        <v>10982</v>
      </c>
      <c r="B78" s="68" t="str">
        <f>Input!B78</f>
        <v>E4-18</v>
      </c>
      <c r="C78" s="175">
        <f>Calc!O78*1000</f>
        <v>1740.1594977471482</v>
      </c>
      <c r="D78" s="175">
        <f>Calc!P78*1000</f>
        <v>0.10735622035644189</v>
      </c>
      <c r="E78" s="175">
        <f>Calc!X78</f>
        <v>0.31709363209778629</v>
      </c>
      <c r="F78" s="175">
        <f>Calc!Y78</f>
        <v>6.6609354403950743E-4</v>
      </c>
      <c r="G78" s="175">
        <f>Calc!AN78</f>
        <v>9.3984876189311135E-3</v>
      </c>
      <c r="H78" s="71">
        <f>Calc!AO78</f>
        <v>9.5347562319726272E-5</v>
      </c>
      <c r="I78" s="70">
        <f>Calc!AH78</f>
        <v>157.64462443744924</v>
      </c>
      <c r="J78" s="70">
        <f>Calc!AI78</f>
        <v>1.6331984869553087</v>
      </c>
      <c r="K78" s="70">
        <f>Calc!AJ78</f>
        <v>7.0543571004826333</v>
      </c>
      <c r="L78" s="70">
        <f>Calc!AK78</f>
        <v>0.62641759210108305</v>
      </c>
      <c r="M78" s="176">
        <f>Calc!AP78</f>
        <v>1.0225</v>
      </c>
      <c r="N78" s="176">
        <f>Calc!AQ78</f>
        <v>1.09E-2</v>
      </c>
      <c r="O78" s="176">
        <f>Calc!AW78</f>
        <v>1.0176000000000001</v>
      </c>
      <c r="P78" s="176">
        <f>Calc!AY78</f>
        <v>1.073267356954774E-2</v>
      </c>
      <c r="Q78" s="177">
        <f>Calc!BC78</f>
        <v>7.074644412978115</v>
      </c>
      <c r="R78" s="176">
        <f>Calc!BD78</f>
        <v>0.62821911519627549</v>
      </c>
      <c r="S78" s="70">
        <f>Input!E78</f>
        <v>18</v>
      </c>
      <c r="T78" s="68"/>
    </row>
    <row r="79" spans="1:20" x14ac:dyDescent="0.2">
      <c r="A79" s="13">
        <f>Input!A79</f>
        <v>10815</v>
      </c>
      <c r="B79" s="13" t="str">
        <f>Input!B79</f>
        <v>Hu1-13</v>
      </c>
      <c r="C79" s="172">
        <f>Calc!O79*1000</f>
        <v>13702.015828907395</v>
      </c>
      <c r="D79" s="172">
        <f>Calc!P79*1000</f>
        <v>1.6370049484776945</v>
      </c>
      <c r="E79" s="172">
        <f>Calc!X79</f>
        <v>0.9570502784318996</v>
      </c>
      <c r="F79" s="172">
        <f>Calc!Y79</f>
        <v>5.9473847709547679E-3</v>
      </c>
      <c r="G79" s="172">
        <f>Calc!AN79</f>
        <v>1.0004097016272029</v>
      </c>
      <c r="H79" s="173">
        <f>Calc!AO79</f>
        <v>3.2792177942868117E-3</v>
      </c>
      <c r="I79" s="15">
        <f>Calc!AH79</f>
        <v>43773.516328165482</v>
      </c>
      <c r="J79" s="15">
        <f>Calc!AI79</f>
        <v>307.49936727613283</v>
      </c>
      <c r="K79" s="15">
        <f>Calc!AJ79</f>
        <v>-0.99519203364428765</v>
      </c>
      <c r="L79" s="15">
        <f>Calc!AK79</f>
        <v>1.828015900704399</v>
      </c>
      <c r="M79" s="174" t="str">
        <f>Calc!AP79</f>
        <v>Out of range</v>
      </c>
      <c r="N79" s="174" t="e">
        <f>Calc!AQ79</f>
        <v>#VALUE!</v>
      </c>
      <c r="O79" s="174" t="str">
        <f>Calc!AW79</f>
        <v>Out of range</v>
      </c>
      <c r="P79" s="174">
        <f>Calc!AX79</f>
        <v>312.75490838780001</v>
      </c>
      <c r="Q79" s="178" t="e">
        <f>Calc!BC79</f>
        <v>#VALUE!</v>
      </c>
      <c r="R79" s="174" t="e">
        <f>Calc!BD79</f>
        <v>#VALUE!</v>
      </c>
      <c r="S79" s="15">
        <f>Input!E79</f>
        <v>0</v>
      </c>
      <c r="T79" s="68"/>
    </row>
    <row r="80" spans="1:20" x14ac:dyDescent="0.2">
      <c r="A80" s="68">
        <f>Input!A80</f>
        <v>10983</v>
      </c>
      <c r="B80" s="68" t="str">
        <f>Input!B80</f>
        <v>E4-28</v>
      </c>
      <c r="C80" s="175">
        <f>Calc!O80*1000</f>
        <v>853.24297046562413</v>
      </c>
      <c r="D80" s="175">
        <f>Calc!P80*1000</f>
        <v>5.5307845530107973E-2</v>
      </c>
      <c r="E80" s="175">
        <f>Calc!X80</f>
        <v>1.3825271217720971</v>
      </c>
      <c r="F80" s="175">
        <f>Calc!Y80</f>
        <v>2.1682801506334786E-3</v>
      </c>
      <c r="G80" s="175">
        <f>Calc!AN80</f>
        <v>1.3109495950936953E-2</v>
      </c>
      <c r="H80" s="71">
        <f>Calc!AO80</f>
        <v>1.3868864685534545E-4</v>
      </c>
      <c r="I80" s="70">
        <f>Calc!AH80</f>
        <v>24.739130030745581</v>
      </c>
      <c r="J80" s="70">
        <f>Calc!AI80</f>
        <v>0.26457693472030547</v>
      </c>
      <c r="K80" s="70">
        <f>Calc!AJ80</f>
        <v>8.429484164832024</v>
      </c>
      <c r="L80" s="70">
        <f>Calc!AK80</f>
        <v>1.2455513945261194</v>
      </c>
      <c r="M80" s="176">
        <f>Calc!AP80</f>
        <v>1.4269000000000001</v>
      </c>
      <c r="N80" s="176">
        <f>Calc!AQ80</f>
        <v>1.6E-2</v>
      </c>
      <c r="O80" s="176">
        <f>Calc!AW80</f>
        <v>1.3837999999999999</v>
      </c>
      <c r="P80" s="176">
        <f>Calc!AY80</f>
        <v>2.6425109435553321E-2</v>
      </c>
      <c r="Q80" s="177">
        <f>Calc!BC80</f>
        <v>8.4624670650276954</v>
      </c>
      <c r="R80" s="176">
        <f>Calc!BD80</f>
        <v>1.2504251494207776</v>
      </c>
      <c r="S80" s="70">
        <f>Input!E80</f>
        <v>28</v>
      </c>
      <c r="T80" s="68"/>
    </row>
    <row r="81" spans="1:20" x14ac:dyDescent="0.2">
      <c r="A81" s="13">
        <f>Input!A81</f>
        <v>10815</v>
      </c>
      <c r="B81" s="13" t="str">
        <f>Input!B81</f>
        <v>Hu1-13</v>
      </c>
      <c r="C81" s="172">
        <f>Calc!O81*1000</f>
        <v>13699.031309469348</v>
      </c>
      <c r="D81" s="172">
        <f>Calc!P81*1000</f>
        <v>2.0739088696808627</v>
      </c>
      <c r="E81" s="172">
        <f>Calc!X81</f>
        <v>0.95825337493141693</v>
      </c>
      <c r="F81" s="172">
        <f>Calc!Y81</f>
        <v>4.9653381101539343E-3</v>
      </c>
      <c r="G81" s="172">
        <f>Calc!AN81</f>
        <v>1.0005831484134295</v>
      </c>
      <c r="H81" s="173">
        <f>Calc!AO81</f>
        <v>2.7625402487792693E-3</v>
      </c>
      <c r="I81" s="15">
        <f>Calc!AH81</f>
        <v>43716.613731426805</v>
      </c>
      <c r="J81" s="15">
        <f>Calc!AI81</f>
        <v>256.5884513872287</v>
      </c>
      <c r="K81" s="15">
        <f>Calc!AJ81</f>
        <v>0.49024778563699911</v>
      </c>
      <c r="L81" s="15">
        <f>Calc!AK81</f>
        <v>2.0107819734346095</v>
      </c>
      <c r="M81" s="174">
        <f>Calc!AP81</f>
        <v>981.30650000000003</v>
      </c>
      <c r="N81" s="174" t="e">
        <f>Calc!AQ81</f>
        <v>#VALUE!</v>
      </c>
      <c r="O81" s="174">
        <f>Calc!AW81</f>
        <v>981.30470000000003</v>
      </c>
      <c r="P81" s="174">
        <f>Calc!AX81</f>
        <v>334.98913822430001</v>
      </c>
      <c r="Q81" s="178">
        <f>Calc!BC81</f>
        <v>7.8182161205869232</v>
      </c>
      <c r="R81" s="174">
        <f>Calc!BD81</f>
        <v>83.021657221688457</v>
      </c>
      <c r="S81" s="15">
        <f>Input!E81</f>
        <v>0</v>
      </c>
      <c r="T81" s="68"/>
    </row>
    <row r="82" spans="1:20" x14ac:dyDescent="0.2">
      <c r="A82" s="68">
        <f>Input!A82</f>
        <v>10984</v>
      </c>
      <c r="B82" s="68" t="str">
        <f>Input!B82</f>
        <v>E8-Top</v>
      </c>
      <c r="C82" s="175">
        <f>Calc!O82*1000</f>
        <v>1221.0443079001982</v>
      </c>
      <c r="D82" s="175">
        <f>Calc!P82*1000</f>
        <v>7.0226823105103559E-2</v>
      </c>
      <c r="E82" s="175">
        <f>Calc!X82</f>
        <v>2.4499651349416003</v>
      </c>
      <c r="F82" s="175">
        <f>Calc!Y82</f>
        <v>4.5928180833712745E-3</v>
      </c>
      <c r="G82" s="175">
        <f>Calc!AN82</f>
        <v>2.3215083761787436E-2</v>
      </c>
      <c r="H82" s="71">
        <f>Calc!AO82</f>
        <v>1.8538913897504921E-4</v>
      </c>
      <c r="I82" s="70">
        <f>Calc!AH82</f>
        <v>35.381707504885114</v>
      </c>
      <c r="J82" s="70">
        <f>Calc!AI82</f>
        <v>0.29022211156832145</v>
      </c>
      <c r="K82" s="70">
        <f>Calc!AJ82</f>
        <v>8.7226080105924364</v>
      </c>
      <c r="L82" s="70">
        <f>Calc!AK82</f>
        <v>0.91289020878826777</v>
      </c>
      <c r="M82" s="176">
        <f>Calc!AP82</f>
        <v>2.5388999999999999</v>
      </c>
      <c r="N82" s="176">
        <f>Calc!AQ82</f>
        <v>1.8200000000000001E-2</v>
      </c>
      <c r="O82" s="176">
        <f>Calc!AW82</f>
        <v>2.4855999999999998</v>
      </c>
      <c r="P82" s="176">
        <f>Calc!AY82</f>
        <v>3.3734478582793402E-2</v>
      </c>
      <c r="Q82" s="177">
        <f>Calc!BC82</f>
        <v>8.7840079456288613</v>
      </c>
      <c r="R82" s="176">
        <f>Calc!BD82</f>
        <v>0.91931658000608107</v>
      </c>
      <c r="S82" s="70" t="str">
        <f>Input!E82</f>
        <v>Top</v>
      </c>
      <c r="T82" s="68"/>
    </row>
    <row r="83" spans="1:20" x14ac:dyDescent="0.2">
      <c r="A83" s="13">
        <f>Input!A83</f>
        <v>10815</v>
      </c>
      <c r="B83" s="13" t="str">
        <f>Input!B83</f>
        <v>Hu1-13</v>
      </c>
      <c r="C83" s="172">
        <f>Calc!O83*1000</f>
        <v>13699.031309469348</v>
      </c>
      <c r="D83" s="172">
        <f>Calc!P83*1000</f>
        <v>2.0739088696808627</v>
      </c>
      <c r="E83" s="172">
        <f>Calc!X83</f>
        <v>0.95825337493141693</v>
      </c>
      <c r="F83" s="172">
        <f>Calc!Y83</f>
        <v>4.9653381101539343E-3</v>
      </c>
      <c r="G83" s="172">
        <f>Calc!AN83</f>
        <v>1.0005831484134295</v>
      </c>
      <c r="H83" s="173">
        <f>Calc!AO83</f>
        <v>2.7625402487792693E-3</v>
      </c>
      <c r="I83" s="15">
        <f>Calc!AH83</f>
        <v>43716.613731426805</v>
      </c>
      <c r="J83" s="15">
        <f>Calc!AI83</f>
        <v>256.5884513872287</v>
      </c>
      <c r="K83" s="15">
        <f>Calc!AJ83</f>
        <v>0.49024778563699911</v>
      </c>
      <c r="L83" s="15">
        <f>Calc!AK83</f>
        <v>2.0107819734346095</v>
      </c>
      <c r="M83" s="174">
        <f>Calc!AP83</f>
        <v>981.30650000000003</v>
      </c>
      <c r="N83" s="174" t="e">
        <f>Calc!AQ83</f>
        <v>#VALUE!</v>
      </c>
      <c r="O83" s="174">
        <f>Calc!AW83</f>
        <v>981.30470000000003</v>
      </c>
      <c r="P83" s="174">
        <f>Calc!AX83</f>
        <v>326.19471047259998</v>
      </c>
      <c r="Q83" s="178">
        <f>Calc!BC83</f>
        <v>7.8182161205869232</v>
      </c>
      <c r="R83" s="174">
        <f>Calc!BD83</f>
        <v>83.021657221688457</v>
      </c>
      <c r="S83" s="15">
        <f>Input!E83</f>
        <v>0</v>
      </c>
      <c r="T83" s="68"/>
    </row>
    <row r="84" spans="1:20" ht="13.5" customHeight="1" x14ac:dyDescent="0.2">
      <c r="H84" s="75"/>
    </row>
    <row r="85" spans="1:20" x14ac:dyDescent="0.2">
      <c r="A85" s="13">
        <f>Input!A85</f>
        <v>10815</v>
      </c>
      <c r="B85" s="13" t="str">
        <f>Input!B85</f>
        <v>Hu1-13</v>
      </c>
      <c r="C85" s="172">
        <f>Calc!O85*1000</f>
        <v>13700.965751869373</v>
      </c>
      <c r="D85" s="172">
        <f>Calc!P85*1000</f>
        <v>1.449619707958788</v>
      </c>
      <c r="E85" s="172">
        <f>Calc!X85</f>
        <v>0.96155728359165338</v>
      </c>
      <c r="F85" s="172">
        <f>Calc!Y85</f>
        <v>5.0152627151015252E-3</v>
      </c>
      <c r="G85" s="172">
        <f>Calc!AN85</f>
        <v>0.99814100929249117</v>
      </c>
      <c r="H85" s="173">
        <f>Calc!AO85</f>
        <v>3.055592421281094E-3</v>
      </c>
      <c r="I85" s="15">
        <f>Calc!AH85</f>
        <v>43466.207338192646</v>
      </c>
      <c r="J85" s="15">
        <f>Calc!AI85</f>
        <v>262.83411938454225</v>
      </c>
      <c r="K85" s="15">
        <f>Calc!AJ85</f>
        <v>-0.72348628318064101</v>
      </c>
      <c r="L85" s="15">
        <f>Calc!AK85</f>
        <v>1.5071445236107239</v>
      </c>
      <c r="M85" s="174">
        <f>Calc!AP85</f>
        <v>774.69079999999997</v>
      </c>
      <c r="N85" s="174" t="e">
        <f>Calc!AQ85</f>
        <v>#VALUE!</v>
      </c>
      <c r="O85" s="174">
        <f>Calc!AW85</f>
        <v>774.68889999999999</v>
      </c>
      <c r="P85" s="174">
        <f>Calc!AX85</f>
        <v>338.3280358559</v>
      </c>
      <c r="Q85" s="178">
        <f>Calc!BC85</f>
        <v>-6.4401051335432768</v>
      </c>
      <c r="R85" s="174">
        <f>Calc!BD85</f>
        <v>16.162524581241101</v>
      </c>
      <c r="S85" s="15">
        <f>Input!E85</f>
        <v>0</v>
      </c>
      <c r="T85" s="68"/>
    </row>
    <row r="86" spans="1:20" x14ac:dyDescent="0.2">
      <c r="A86" s="68">
        <f>Input!A86</f>
        <v>10973</v>
      </c>
      <c r="B86" s="68" t="str">
        <f>Input!B86</f>
        <v>EO-C-19</v>
      </c>
      <c r="C86" s="175">
        <f>Calc!O86*1000</f>
        <v>1186.3243995240205</v>
      </c>
      <c r="D86" s="175">
        <f>Calc!P86*1000</f>
        <v>4.7750256655376355E-2</v>
      </c>
      <c r="E86" s="175">
        <f>Calc!X86</f>
        <v>2.0825648605091646E-2</v>
      </c>
      <c r="F86" s="175">
        <f>Calc!Y86</f>
        <v>1.0099975584503269E-4</v>
      </c>
      <c r="G86" s="175">
        <f>Calc!AN86</f>
        <v>3.9847579822950927E-3</v>
      </c>
      <c r="H86" s="71">
        <f>Calc!AO86</f>
        <v>6.4188205646246874E-5</v>
      </c>
      <c r="I86" s="70">
        <f>Calc!AH86</f>
        <v>692.93419051767512</v>
      </c>
      <c r="J86" s="70">
        <f>Calc!AI86</f>
        <v>11.656964001687189</v>
      </c>
      <c r="K86" s="70">
        <f>Calc!AJ86</f>
        <v>13.455266701881685</v>
      </c>
      <c r="L86" s="70">
        <f>Calc!AK86</f>
        <v>0.66763080999698621</v>
      </c>
      <c r="M86" s="176">
        <f>Calc!AP86</f>
        <v>0.42959999999999998</v>
      </c>
      <c r="N86" s="176">
        <f>Calc!AQ86</f>
        <v>6.8999999999999999E-3</v>
      </c>
      <c r="O86" s="176">
        <f>Calc!AW86</f>
        <v>0.42909999999999998</v>
      </c>
      <c r="P86" s="176">
        <f>Calc!AY86</f>
        <v>6.9529334809641978E-3</v>
      </c>
      <c r="Q86" s="177">
        <f>Calc!BC86</f>
        <v>13.471570171864848</v>
      </c>
      <c r="R86" s="176">
        <f>Calc!BD86</f>
        <v>0.66843981678624353</v>
      </c>
      <c r="S86" s="70">
        <f>Input!E86</f>
        <v>19</v>
      </c>
      <c r="T86" s="68"/>
    </row>
    <row r="87" spans="1:20" x14ac:dyDescent="0.2">
      <c r="A87" s="13">
        <f>Input!A87</f>
        <v>10815</v>
      </c>
      <c r="B87" s="13" t="str">
        <f>Input!B87</f>
        <v>Hu1-13</v>
      </c>
      <c r="C87" s="172">
        <f>Calc!O87*1000</f>
        <v>13698.955666212258</v>
      </c>
      <c r="D87" s="172">
        <f>Calc!P87*1000</f>
        <v>1.4230965029716971</v>
      </c>
      <c r="E87" s="172">
        <f>Calc!X87</f>
        <v>0.95601394336765255</v>
      </c>
      <c r="F87" s="172">
        <f>Calc!Y87</f>
        <v>3.6425457326753857E-3</v>
      </c>
      <c r="G87" s="172">
        <f>Calc!AN87</f>
        <v>0.99956364400048425</v>
      </c>
      <c r="H87" s="173">
        <f>Calc!AO87</f>
        <v>2.9631130072145214E-3</v>
      </c>
      <c r="I87" s="15">
        <f>Calc!AH87</f>
        <v>43774.129117364457</v>
      </c>
      <c r="J87" s="15">
        <f>Calc!AI87</f>
        <v>211.27115922571195</v>
      </c>
      <c r="K87" s="15">
        <f>Calc!AJ87</f>
        <v>-2.5120235049964634</v>
      </c>
      <c r="L87" s="15">
        <f>Calc!AK87</f>
        <v>1.5335529820364564</v>
      </c>
      <c r="M87" s="174" t="str">
        <f>Calc!AP87</f>
        <v>Out of range</v>
      </c>
      <c r="N87" s="174" t="e">
        <f>Calc!AQ87</f>
        <v>#VALUE!</v>
      </c>
      <c r="O87" s="174" t="str">
        <f>Calc!AW87</f>
        <v>Out of range</v>
      </c>
      <c r="P87" s="174">
        <f>Calc!AX87</f>
        <v>274.48690572319998</v>
      </c>
      <c r="Q87" s="178" t="e">
        <f>Calc!BC87</f>
        <v>#VALUE!</v>
      </c>
      <c r="R87" s="174" t="e">
        <f>Calc!BD87</f>
        <v>#VALUE!</v>
      </c>
      <c r="S87" s="15">
        <f>Input!E87</f>
        <v>0</v>
      </c>
      <c r="T87" s="68"/>
    </row>
    <row r="88" spans="1:20" x14ac:dyDescent="0.2">
      <c r="A88" s="68">
        <f>Input!A88</f>
        <v>10974</v>
      </c>
      <c r="B88" s="68" t="str">
        <f>Input!B88</f>
        <v>EO-C-52</v>
      </c>
      <c r="C88" s="175">
        <f>Calc!O88*1000</f>
        <v>980.12975527018909</v>
      </c>
      <c r="D88" s="175">
        <f>Calc!P88*1000</f>
        <v>4.8729804077404265E-2</v>
      </c>
      <c r="E88" s="175">
        <f>Calc!X88</f>
        <v>5.5165738040991862E-2</v>
      </c>
      <c r="F88" s="175">
        <f>Calc!Y88</f>
        <v>1.6139829958065392E-4</v>
      </c>
      <c r="G88" s="175">
        <f>Calc!AN88</f>
        <v>7.583652175888053E-3</v>
      </c>
      <c r="H88" s="71">
        <f>Calc!AO88</f>
        <v>7.3645217679226983E-5</v>
      </c>
      <c r="I88" s="70">
        <f>Calc!AH88</f>
        <v>411.37073228490607</v>
      </c>
      <c r="J88" s="70">
        <f>Calc!AI88</f>
        <v>4.1721533240922568</v>
      </c>
      <c r="K88" s="70">
        <f>Calc!AJ88</f>
        <v>11.528644431185953</v>
      </c>
      <c r="L88" s="70">
        <f>Calc!AK88</f>
        <v>0.85105168760789107</v>
      </c>
      <c r="M88" s="176">
        <f>Calc!AP88</f>
        <v>0.8206</v>
      </c>
      <c r="N88" s="176">
        <f>Calc!AQ88</f>
        <v>8.0000000000000002E-3</v>
      </c>
      <c r="O88" s="176">
        <f>Calc!AW88</f>
        <v>0.81910000000000005</v>
      </c>
      <c r="P88" s="176">
        <f>Calc!AY88</f>
        <v>8.0743090541211156E-3</v>
      </c>
      <c r="Q88" s="177">
        <f>Calc!BC88</f>
        <v>11.555324285701472</v>
      </c>
      <c r="R88" s="176">
        <f>Calc!BD88</f>
        <v>0.85302125166473519</v>
      </c>
      <c r="S88" s="70">
        <f>Input!E88</f>
        <v>52</v>
      </c>
      <c r="T88" s="68"/>
    </row>
    <row r="89" spans="1:20" x14ac:dyDescent="0.2">
      <c r="A89" s="13">
        <f>Input!A89</f>
        <v>10815</v>
      </c>
      <c r="B89" s="13" t="str">
        <f>Input!B89</f>
        <v>Hu1-13</v>
      </c>
      <c r="C89" s="172">
        <f>Calc!O89*1000</f>
        <v>13698.034746606962</v>
      </c>
      <c r="D89" s="172">
        <f>Calc!P89*1000</f>
        <v>1.6141801932423228</v>
      </c>
      <c r="E89" s="172">
        <f>Calc!X89</f>
        <v>0.95864294742776734</v>
      </c>
      <c r="F89" s="172">
        <f>Calc!Y89</f>
        <v>4.8260230017940012E-3</v>
      </c>
      <c r="G89" s="172">
        <f>Calc!AN89</f>
        <v>0.99839736812461533</v>
      </c>
      <c r="H89" s="173">
        <f>Calc!AO89</f>
        <v>2.8498005932531775E-3</v>
      </c>
      <c r="I89" s="15">
        <f>Calc!AH89</f>
        <v>43600.215784224354</v>
      </c>
      <c r="J89" s="15">
        <f>Calc!AI89</f>
        <v>252.26776919101283</v>
      </c>
      <c r="K89" s="15">
        <f>Calc!AJ89</f>
        <v>0.55466758167832531</v>
      </c>
      <c r="L89" s="15">
        <f>Calc!AK89</f>
        <v>1.4934712431183421</v>
      </c>
      <c r="M89" s="174">
        <f>Calc!AP89</f>
        <v>658.17380000000003</v>
      </c>
      <c r="N89" s="174" t="e">
        <f>Calc!AQ89</f>
        <v>#VALUE!</v>
      </c>
      <c r="O89" s="174">
        <f>Calc!AW89</f>
        <v>658.17190000000005</v>
      </c>
      <c r="P89" s="174">
        <f>Calc!AX89</f>
        <v>294.27386722990002</v>
      </c>
      <c r="Q89" s="178">
        <f>Calc!BC89</f>
        <v>3.553788777029014</v>
      </c>
      <c r="R89" s="174">
        <f>Calc!BD89</f>
        <v>9.7030726029497973</v>
      </c>
      <c r="S89" s="15">
        <f>Input!E89</f>
        <v>0</v>
      </c>
      <c r="T89" s="68"/>
    </row>
    <row r="90" spans="1:20" x14ac:dyDescent="0.2">
      <c r="A90" s="68">
        <f>Input!A90</f>
        <v>10975</v>
      </c>
      <c r="B90" s="68" t="str">
        <f>Input!B90</f>
        <v>EO-C-69</v>
      </c>
      <c r="C90" s="175">
        <f>Calc!O90*1000</f>
        <v>1050.3814850105312</v>
      </c>
      <c r="D90" s="175">
        <f>Calc!P90*1000</f>
        <v>5.950775172709729E-2</v>
      </c>
      <c r="E90" s="175">
        <f>Calc!X90</f>
        <v>6.0419876623099715E-2</v>
      </c>
      <c r="F90" s="175">
        <f>Calc!Y90</f>
        <v>1.5890867750543945E-4</v>
      </c>
      <c r="G90" s="175">
        <f>Calc!AN90</f>
        <v>8.1857079654436629E-3</v>
      </c>
      <c r="H90" s="71">
        <f>Calc!AO90</f>
        <v>8.2271428494117601E-5</v>
      </c>
      <c r="I90" s="70">
        <f>Calc!AH90</f>
        <v>434.35630355242478</v>
      </c>
      <c r="J90" s="70">
        <f>Calc!AI90</f>
        <v>4.5124792697962484</v>
      </c>
      <c r="K90" s="70">
        <f>Calc!AJ90</f>
        <v>10.986386210505072</v>
      </c>
      <c r="L90" s="70">
        <f>Calc!AK90</f>
        <v>0.66038696845682099</v>
      </c>
      <c r="M90" s="176">
        <f>Calc!AP90</f>
        <v>0.88649999999999995</v>
      </c>
      <c r="N90" s="176">
        <f>Calc!AQ90</f>
        <v>8.2000000000000007E-3</v>
      </c>
      <c r="O90" s="176">
        <f>Calc!AW90</f>
        <v>0.88500000000000001</v>
      </c>
      <c r="P90" s="176">
        <f>Calc!AY90</f>
        <v>9.0095780629600181E-3</v>
      </c>
      <c r="Q90" s="177">
        <f>Calc!BC90</f>
        <v>11.013859256854737</v>
      </c>
      <c r="R90" s="176">
        <f>Calc!BD90</f>
        <v>0.66203842072852381</v>
      </c>
      <c r="S90" s="70">
        <f>Input!E90</f>
        <v>69</v>
      </c>
      <c r="T90" s="68"/>
    </row>
    <row r="91" spans="1:20" x14ac:dyDescent="0.2">
      <c r="A91" s="13">
        <f>Input!A91</f>
        <v>10815</v>
      </c>
      <c r="B91" s="13" t="str">
        <f>Input!B91</f>
        <v>Hu1-13</v>
      </c>
      <c r="C91" s="172">
        <f>Calc!O91*1000</f>
        <v>13698.029943346988</v>
      </c>
      <c r="D91" s="172">
        <f>Calc!P91*1000</f>
        <v>1.7723202752512572</v>
      </c>
      <c r="E91" s="172">
        <f>Calc!X91</f>
        <v>0.95343191829028939</v>
      </c>
      <c r="F91" s="172">
        <f>Calc!Y91</f>
        <v>6.8415494499160382E-3</v>
      </c>
      <c r="G91" s="172">
        <f>Calc!AN91</f>
        <v>0.99902001244354111</v>
      </c>
      <c r="H91" s="173">
        <f>Calc!AO91</f>
        <v>3.2889744343861985E-3</v>
      </c>
      <c r="I91" s="15">
        <f>Calc!AH91</f>
        <v>43865.839148245854</v>
      </c>
      <c r="J91" s="15">
        <f>Calc!AI91</f>
        <v>346.2697122088303</v>
      </c>
      <c r="K91" s="15">
        <f>Calc!AJ91</f>
        <v>0.43353742245044735</v>
      </c>
      <c r="L91" s="15">
        <f>Calc!AK91</f>
        <v>2.0037336703829784</v>
      </c>
      <c r="M91" s="174">
        <f>Calc!AP91</f>
        <v>702.07529999999997</v>
      </c>
      <c r="N91" s="174" t="e">
        <f>Calc!AQ91</f>
        <v>#VALUE!</v>
      </c>
      <c r="O91" s="174">
        <f>Calc!AW91</f>
        <v>702.07339999999999</v>
      </c>
      <c r="P91" s="174">
        <f>Calc!AX91</f>
        <v>321.3435580094</v>
      </c>
      <c r="Q91" s="178">
        <f>Calc!BC91</f>
        <v>3.1440635863081643</v>
      </c>
      <c r="R91" s="174">
        <f>Calc!BD91</f>
        <v>14.763978958179875</v>
      </c>
      <c r="S91" s="15">
        <f>Input!E91</f>
        <v>0</v>
      </c>
      <c r="T91" s="68"/>
    </row>
    <row r="92" spans="1:20" x14ac:dyDescent="0.2">
      <c r="A92" s="68">
        <f>Input!A92</f>
        <v>10976</v>
      </c>
      <c r="B92" s="68" t="str">
        <f>Input!B92</f>
        <v>EO-C-105,5</v>
      </c>
      <c r="C92" s="175">
        <f>Calc!O92*1000</f>
        <v>1131.8778254377848</v>
      </c>
      <c r="D92" s="175">
        <f>Calc!P92*1000</f>
        <v>5.6678758821892425E-2</v>
      </c>
      <c r="E92" s="175">
        <f>Calc!X92</f>
        <v>3.0934691230020926E-2</v>
      </c>
      <c r="F92" s="175">
        <f>Calc!Y92</f>
        <v>1.0384391909267533E-4</v>
      </c>
      <c r="G92" s="175">
        <f>Calc!AN92</f>
        <v>9.9362619254129581E-3</v>
      </c>
      <c r="H92" s="71">
        <f>Calc!AO92</f>
        <v>7.8940874121790033E-5</v>
      </c>
      <c r="I92" s="70">
        <f>Calc!AH92</f>
        <v>1110.4827077906662</v>
      </c>
      <c r="J92" s="70">
        <f>Calc!AI92</f>
        <v>9.5775365877907568</v>
      </c>
      <c r="K92" s="70">
        <f>Calc!AJ92</f>
        <v>12.531053767892653</v>
      </c>
      <c r="L92" s="70">
        <f>Calc!AK92</f>
        <v>0.62554981404488552</v>
      </c>
      <c r="M92" s="176">
        <f>Calc!AP92</f>
        <v>1.0753999999999999</v>
      </c>
      <c r="N92" s="176">
        <f>Calc!AQ92</f>
        <v>9.7999999999999997E-3</v>
      </c>
      <c r="O92" s="176">
        <f>Calc!AW92</f>
        <v>1.0746</v>
      </c>
      <c r="P92" s="176">
        <f>Calc!AY92</f>
        <v>8.6309231277869533E-3</v>
      </c>
      <c r="Q92" s="177">
        <f>Calc!BC92</f>
        <v>12.569112941739238</v>
      </c>
      <c r="R92" s="176">
        <f>Calc!BD92</f>
        <v>0.62744980150604701</v>
      </c>
      <c r="S92" s="70">
        <f>Input!E92</f>
        <v>105.5</v>
      </c>
      <c r="T92" s="68"/>
    </row>
    <row r="93" spans="1:20" x14ac:dyDescent="0.2">
      <c r="A93" s="13">
        <f>Input!A93</f>
        <v>10815</v>
      </c>
      <c r="B93" s="13" t="str">
        <f>Input!B93</f>
        <v>Hu1-13</v>
      </c>
      <c r="C93" s="172">
        <f>Calc!O93*1000</f>
        <v>13698.730265425456</v>
      </c>
      <c r="D93" s="172">
        <f>Calc!P93*1000</f>
        <v>2.2008323020090645</v>
      </c>
      <c r="E93" s="172">
        <f>Calc!X93</f>
        <v>0.95828594088461205</v>
      </c>
      <c r="F93" s="172">
        <f>Calc!Y93</f>
        <v>5.7850927580718149E-3</v>
      </c>
      <c r="G93" s="172">
        <f>Calc!AN93</f>
        <v>0.99983442734224848</v>
      </c>
      <c r="H93" s="173">
        <f>Calc!AO93</f>
        <v>2.8707749342794363E-3</v>
      </c>
      <c r="I93" s="15">
        <f>Calc!AH93</f>
        <v>43681.456777899475</v>
      </c>
      <c r="J93" s="15">
        <f>Calc!AI93</f>
        <v>291.92365193590302</v>
      </c>
      <c r="K93" s="15">
        <f>Calc!AJ93</f>
        <v>-4.7103598931563795E-2</v>
      </c>
      <c r="L93" s="15">
        <f>Calc!AK93</f>
        <v>1.7123020010106105</v>
      </c>
      <c r="M93" s="174" t="str">
        <f>Calc!AP93</f>
        <v>Out of range</v>
      </c>
      <c r="N93" s="174" t="e">
        <f>Calc!AQ93</f>
        <v>#VALUE!</v>
      </c>
      <c r="O93" s="174" t="str">
        <f>Calc!AW93</f>
        <v>Out of range</v>
      </c>
      <c r="P93" s="174">
        <f>Calc!AX93</f>
        <v>335.98487202389998</v>
      </c>
      <c r="Q93" s="178" t="e">
        <f>Calc!BC93</f>
        <v>#VALUE!</v>
      </c>
      <c r="R93" s="174" t="e">
        <f>Calc!BD93</f>
        <v>#VALUE!</v>
      </c>
      <c r="S93" s="15">
        <f>Input!E93</f>
        <v>0</v>
      </c>
      <c r="T93" s="68"/>
    </row>
    <row r="94" spans="1:20" x14ac:dyDescent="0.2">
      <c r="A94" s="68">
        <f>Input!A94</f>
        <v>10977</v>
      </c>
      <c r="B94" s="68" t="str">
        <f>Input!B94</f>
        <v>EO-C-117</v>
      </c>
      <c r="C94" s="175">
        <f>Calc!O94*1000</f>
        <v>526.8336861715693</v>
      </c>
      <c r="D94" s="175">
        <f>Calc!P94*1000</f>
        <v>3.4349841488552635E-2</v>
      </c>
      <c r="E94" s="175">
        <f>Calc!X94</f>
        <v>0.91299721660683386</v>
      </c>
      <c r="F94" s="175">
        <f>Calc!Y94</f>
        <v>2.4230379649848449E-3</v>
      </c>
      <c r="G94" s="175">
        <f>Calc!AN94</f>
        <v>1.5533332673163416E-2</v>
      </c>
      <c r="H94" s="71">
        <f>Calc!AO94</f>
        <v>3.2562295808913539E-4</v>
      </c>
      <c r="I94" s="70">
        <f>Calc!AH94</f>
        <v>27.384521208497301</v>
      </c>
      <c r="J94" s="70">
        <f>Calc!AI94</f>
        <v>0.57863714336471184</v>
      </c>
      <c r="K94" s="70">
        <f>Calc!AJ94</f>
        <v>15.634331518920686</v>
      </c>
      <c r="L94" s="70">
        <f>Calc!AK94</f>
        <v>1.7098394356157087</v>
      </c>
      <c r="M94" s="176">
        <f>Calc!AP94</f>
        <v>1.6806000000000001</v>
      </c>
      <c r="N94" s="176">
        <f>Calc!AQ94</f>
        <v>3.6700000000000003E-2</v>
      </c>
      <c r="O94" s="176">
        <f>Calc!AW94</f>
        <v>1.6349</v>
      </c>
      <c r="P94" s="176">
        <f>Calc!AY94</f>
        <v>4.2362948153304734E-2</v>
      </c>
      <c r="Q94" s="177">
        <f>Calc!BC94</f>
        <v>15.706631637524016</v>
      </c>
      <c r="R94" s="176">
        <f>Calc!BD94</f>
        <v>1.7177475217162874</v>
      </c>
      <c r="S94" s="70">
        <f>Input!E94</f>
        <v>117</v>
      </c>
      <c r="T94" s="68"/>
    </row>
    <row r="95" spans="1:20" x14ac:dyDescent="0.2">
      <c r="A95" s="13">
        <f>Input!A95</f>
        <v>10815</v>
      </c>
      <c r="B95" s="13" t="str">
        <f>Input!B95</f>
        <v>Hu1-13</v>
      </c>
      <c r="C95" s="172">
        <f>Calc!O95*1000</f>
        <v>13697.597713396066</v>
      </c>
      <c r="D95" s="172">
        <f>Calc!P95*1000</f>
        <v>1.3283677198252895</v>
      </c>
      <c r="E95" s="172">
        <f>Calc!X95</f>
        <v>0.95844343079763894</v>
      </c>
      <c r="F95" s="172">
        <f>Calc!Y95</f>
        <v>6.3565344348324813E-3</v>
      </c>
      <c r="G95" s="172">
        <f>Calc!AN95</f>
        <v>0.9994868699964079</v>
      </c>
      <c r="H95" s="173">
        <f>Calc!AO95</f>
        <v>2.446618226715924E-3</v>
      </c>
      <c r="I95" s="15">
        <f>Calc!AH95</f>
        <v>43655.487733425158</v>
      </c>
      <c r="J95" s="15">
        <f>Calc!AI95</f>
        <v>308.59215475283457</v>
      </c>
      <c r="K95" s="15">
        <f>Calc!AJ95</f>
        <v>-0.45462945210350547</v>
      </c>
      <c r="L95" s="15">
        <f>Calc!AK95</f>
        <v>1.9820554119514509</v>
      </c>
      <c r="M95" s="174" t="str">
        <f>Calc!AP95</f>
        <v>Out of range</v>
      </c>
      <c r="N95" s="174" t="e">
        <f>Calc!AQ95</f>
        <v>#VALUE!</v>
      </c>
      <c r="O95" s="174" t="str">
        <f>Calc!AW95</f>
        <v>Out of range</v>
      </c>
      <c r="P95" s="174">
        <f>Calc!AX95</f>
        <v>348.86643800259998</v>
      </c>
      <c r="Q95" s="178" t="e">
        <f>Calc!BC95</f>
        <v>#VALUE!</v>
      </c>
      <c r="R95" s="174" t="e">
        <f>Calc!BD95</f>
        <v>#VALUE!</v>
      </c>
      <c r="S95" s="15">
        <f>Input!E95</f>
        <v>0</v>
      </c>
      <c r="T95" s="68"/>
    </row>
    <row r="96" spans="1:20" x14ac:dyDescent="0.2">
      <c r="A96" s="68">
        <f>Input!A96</f>
        <v>10978</v>
      </c>
      <c r="B96" s="68" t="str">
        <f>Input!B96</f>
        <v>EO-C-162,5</v>
      </c>
      <c r="C96" s="175">
        <f>Calc!O96*1000</f>
        <v>632.3951008708417</v>
      </c>
      <c r="D96" s="175">
        <f>Calc!P96*1000</f>
        <v>3.1600054844013382E-2</v>
      </c>
      <c r="E96" s="175">
        <f>Calc!X96</f>
        <v>4.0091616638882527E-2</v>
      </c>
      <c r="F96" s="175">
        <f>Calc!Y96</f>
        <v>1.1404580276822049E-4</v>
      </c>
      <c r="G96" s="175">
        <f>Calc!AN96</f>
        <v>1.3994769429954406E-2</v>
      </c>
      <c r="H96" s="71">
        <f>Calc!AO96</f>
        <v>1.6597996321239579E-4</v>
      </c>
      <c r="I96" s="70">
        <f>Calc!AH96</f>
        <v>674.40753541258744</v>
      </c>
      <c r="J96" s="70">
        <f>Calc!AI96</f>
        <v>8.2253505421473374</v>
      </c>
      <c r="K96" s="70">
        <f>Calc!AJ96</f>
        <v>16.018411906270956</v>
      </c>
      <c r="L96" s="70">
        <f>Calc!AK96</f>
        <v>1.1800355756444028</v>
      </c>
      <c r="M96" s="176">
        <f>Calc!AP96</f>
        <v>1.5124</v>
      </c>
      <c r="N96" s="176">
        <f>Calc!AQ96</f>
        <v>1.7999999999999999E-2</v>
      </c>
      <c r="O96" s="176">
        <f>Calc!AW96</f>
        <v>1.5106999999999999</v>
      </c>
      <c r="P96" s="176">
        <f>Calc!AY96</f>
        <v>1.8192137955298664E-2</v>
      </c>
      <c r="Q96" s="177">
        <f>Calc!BC96</f>
        <v>16.086848757445406</v>
      </c>
      <c r="R96" s="176">
        <f>Calc!BD96</f>
        <v>1.1850774318141275</v>
      </c>
      <c r="S96" s="70">
        <f>Input!E96</f>
        <v>162.5</v>
      </c>
      <c r="T96" s="68"/>
    </row>
    <row r="97" spans="1:20" x14ac:dyDescent="0.2">
      <c r="A97" s="13">
        <f>Input!A97</f>
        <v>10815</v>
      </c>
      <c r="B97" s="13" t="str">
        <f>Input!B97</f>
        <v>Hu1-13</v>
      </c>
      <c r="C97" s="172">
        <f>Calc!O97*1000</f>
        <v>13697.49174846546</v>
      </c>
      <c r="D97" s="172">
        <f>Calc!P97*1000</f>
        <v>1.4919484275331012</v>
      </c>
      <c r="E97" s="172">
        <f>Calc!X97</f>
        <v>0.96129150388554896</v>
      </c>
      <c r="F97" s="172">
        <f>Calc!Y97</f>
        <v>5.7002698217474314E-3</v>
      </c>
      <c r="G97" s="172">
        <f>Calc!AN97</f>
        <v>0.9997668144009122</v>
      </c>
      <c r="H97" s="173">
        <f>Calc!AO97</f>
        <v>3.0326849842111088E-3</v>
      </c>
      <c r="I97" s="15">
        <f>Calc!AH97</f>
        <v>43538.001476967678</v>
      </c>
      <c r="J97" s="15">
        <f>Calc!AI97</f>
        <v>289.95189760155495</v>
      </c>
      <c r="K97" s="15">
        <f>Calc!AJ97</f>
        <v>0.74126165137422539</v>
      </c>
      <c r="L97" s="15">
        <f>Calc!AK97</f>
        <v>1.3590261602317102</v>
      </c>
      <c r="M97" s="174">
        <f>Calc!AP97</f>
        <v>725.22059999999999</v>
      </c>
      <c r="N97" s="174" t="e">
        <f>Calc!AQ97</f>
        <v>#VALUE!</v>
      </c>
      <c r="O97" s="174">
        <f>Calc!AW97</f>
        <v>725.21870000000001</v>
      </c>
      <c r="P97" s="174">
        <f>Calc!AX97</f>
        <v>321.4687919786</v>
      </c>
      <c r="Q97" s="178">
        <f>Calc!BC97</f>
        <v>5.7385643986024322</v>
      </c>
      <c r="R97" s="174">
        <f>Calc!BD97</f>
        <v>11.586728360145194</v>
      </c>
      <c r="S97" s="15">
        <f>Input!E97</f>
        <v>0</v>
      </c>
      <c r="T97" s="68"/>
    </row>
    <row r="98" spans="1:20" x14ac:dyDescent="0.2">
      <c r="A98" s="68">
        <f>Input!A98</f>
        <v>10979</v>
      </c>
      <c r="B98" s="68" t="str">
        <f>Input!B98</f>
        <v>E1-Top</v>
      </c>
      <c r="C98" s="175">
        <f>Calc!O98*1000</f>
        <v>1771.3460473774605</v>
      </c>
      <c r="D98" s="175">
        <f>Calc!P98*1000</f>
        <v>8.912926303795965E-2</v>
      </c>
      <c r="E98" s="175">
        <f>Calc!X98</f>
        <v>0.51125464550759181</v>
      </c>
      <c r="F98" s="175">
        <f>Calc!Y98</f>
        <v>9.3188497613540635E-4</v>
      </c>
      <c r="G98" s="175">
        <f>Calc!AN98</f>
        <v>6.0899219486416816E-3</v>
      </c>
      <c r="H98" s="71">
        <f>Calc!AO98</f>
        <v>5.7708517318012128E-5</v>
      </c>
      <c r="I98" s="70">
        <f>Calc!AH98</f>
        <v>64.470407915701145</v>
      </c>
      <c r="J98" s="70">
        <f>Calc!AI98</f>
        <v>0.62211681343098268</v>
      </c>
      <c r="K98" s="70">
        <f>Calc!AJ98</f>
        <v>8.9316702025081796</v>
      </c>
      <c r="L98" s="70">
        <f>Calc!AK98</f>
        <v>0.62722181797776699</v>
      </c>
      <c r="M98" s="176">
        <f>Calc!AP98</f>
        <v>0.66020000000000001</v>
      </c>
      <c r="N98" s="176">
        <f>Calc!AQ98</f>
        <v>6.6E-3</v>
      </c>
      <c r="O98" s="176">
        <f>Calc!AW98</f>
        <v>0.65249999999999997</v>
      </c>
      <c r="P98" s="176">
        <f>Calc!AY98</f>
        <v>7.3717920351287205E-3</v>
      </c>
      <c r="Q98" s="177">
        <f>Calc!BC98</f>
        <v>8.9481320795193344</v>
      </c>
      <c r="R98" s="176">
        <f>Calc!BD98</f>
        <v>0.62837787216135477</v>
      </c>
      <c r="S98" s="70" t="str">
        <f>Input!E98</f>
        <v>Top</v>
      </c>
      <c r="T98" s="68"/>
    </row>
    <row r="99" spans="1:20" x14ac:dyDescent="0.2">
      <c r="A99" s="13">
        <f>Input!A99</f>
        <v>10815</v>
      </c>
      <c r="B99" s="13" t="str">
        <f>Input!B99</f>
        <v>Hu1-13</v>
      </c>
      <c r="C99" s="172">
        <f>Calc!O99*1000</f>
        <v>13697.49174846546</v>
      </c>
      <c r="D99" s="172">
        <f>Calc!P99*1000</f>
        <v>1.4919484275331012</v>
      </c>
      <c r="E99" s="172">
        <f>Calc!X99</f>
        <v>0.96129150388554896</v>
      </c>
      <c r="F99" s="172">
        <f>Calc!Y99</f>
        <v>5.7002698217474314E-3</v>
      </c>
      <c r="G99" s="172">
        <f>Calc!AN99</f>
        <v>0.9997668144009122</v>
      </c>
      <c r="H99" s="173">
        <f>Calc!AO99</f>
        <v>3.0326849842111088E-3</v>
      </c>
      <c r="I99" s="15">
        <f>Calc!AH99</f>
        <v>43538.001476967678</v>
      </c>
      <c r="J99" s="15">
        <f>Calc!AI99</f>
        <v>289.95189760155495</v>
      </c>
      <c r="K99" s="15">
        <f>Calc!AJ99</f>
        <v>0.74126165137422539</v>
      </c>
      <c r="L99" s="15">
        <f>Calc!AK99</f>
        <v>1.3590261602317102</v>
      </c>
      <c r="M99" s="174">
        <f>Calc!AP99</f>
        <v>725.22059999999999</v>
      </c>
      <c r="N99" s="174" t="e">
        <f>Calc!AQ99</f>
        <v>#VALUE!</v>
      </c>
      <c r="O99" s="174">
        <f>Calc!AW99</f>
        <v>725.21870000000001</v>
      </c>
      <c r="P99" s="174">
        <f>Calc!AX99</f>
        <v>326.3801291309</v>
      </c>
      <c r="Q99" s="178">
        <f>Calc!BC99</f>
        <v>5.7385643986024322</v>
      </c>
      <c r="R99" s="174">
        <f>Calc!BD99</f>
        <v>11.586728360145194</v>
      </c>
      <c r="S99" s="15">
        <f>Input!E99</f>
        <v>0</v>
      </c>
      <c r="T99" s="68"/>
    </row>
    <row r="100" spans="1:20" ht="13.5" customHeight="1" x14ac:dyDescent="0.2">
      <c r="H100" s="75"/>
    </row>
    <row r="101" spans="1:20" x14ac:dyDescent="0.2">
      <c r="A101" s="13">
        <f>Input!A101</f>
        <v>10815</v>
      </c>
      <c r="B101" s="13" t="str">
        <f>Input!B101</f>
        <v>Hu1-13</v>
      </c>
      <c r="C101" s="172">
        <f>Calc!O101*1000</f>
        <v>13700.32859801433</v>
      </c>
      <c r="D101" s="172">
        <f>Calc!P101*1000</f>
        <v>1.7767841531717004</v>
      </c>
      <c r="E101" s="172">
        <f>Calc!X101</f>
        <v>0.94827812014602331</v>
      </c>
      <c r="F101" s="172">
        <f>Calc!Y101</f>
        <v>5.4481595850410748E-3</v>
      </c>
      <c r="G101" s="172">
        <f>Calc!AN101</f>
        <v>0.99938485470015737</v>
      </c>
      <c r="H101" s="173">
        <f>Calc!AO101</f>
        <v>3.3164556005589423E-3</v>
      </c>
      <c r="I101" s="15">
        <f>Calc!AH101</f>
        <v>44127.756337296203</v>
      </c>
      <c r="J101" s="15">
        <f>Calc!AI101</f>
        <v>292.72467228135639</v>
      </c>
      <c r="K101" s="15">
        <f>Calc!AJ101</f>
        <v>-1.4941836521322749</v>
      </c>
      <c r="L101" s="15">
        <f>Calc!AK101</f>
        <v>2.0422767355193656</v>
      </c>
      <c r="M101" s="174" t="str">
        <f>Calc!AP101</f>
        <v>Out of range</v>
      </c>
      <c r="N101" s="174" t="e">
        <f>Calc!AQ101</f>
        <v>#VALUE!</v>
      </c>
      <c r="O101" s="174" t="str">
        <f>Calc!AW101</f>
        <v>Out of range</v>
      </c>
      <c r="P101" s="174">
        <f>Calc!AX101</f>
        <v>306.52464221600002</v>
      </c>
      <c r="Q101" s="178" t="e">
        <f>Calc!BC101</f>
        <v>#VALUE!</v>
      </c>
      <c r="R101" s="174" t="e">
        <f>Calc!BD101</f>
        <v>#VALUE!</v>
      </c>
      <c r="S101" s="15">
        <f>Input!E101</f>
        <v>0</v>
      </c>
      <c r="T101" s="68"/>
    </row>
    <row r="102" spans="1:20" x14ac:dyDescent="0.2">
      <c r="A102" s="68">
        <f>Input!A102</f>
        <v>10980</v>
      </c>
      <c r="B102" s="68" t="str">
        <f>Input!B102</f>
        <v>E1-59,5</v>
      </c>
      <c r="C102" s="175">
        <f>Calc!O102*1000</f>
        <v>1523.1835442797512</v>
      </c>
      <c r="D102" s="175">
        <f>Calc!P102*1000</f>
        <v>8.1857344356358108E-2</v>
      </c>
      <c r="E102" s="175">
        <f>Calc!X102</f>
        <v>5.6292414467813037E-2</v>
      </c>
      <c r="F102" s="175">
        <f>Calc!Y102</f>
        <v>1.340477024629726E-4</v>
      </c>
      <c r="G102" s="175">
        <f>Calc!AN102</f>
        <v>4.4995514266348534E-3</v>
      </c>
      <c r="H102" s="71">
        <f>Calc!AO102</f>
        <v>4.2340942190767501E-5</v>
      </c>
      <c r="I102" s="70">
        <f>Calc!AH102</f>
        <v>371.89205593509519</v>
      </c>
      <c r="J102" s="70">
        <f>Calc!AI102</f>
        <v>3.6097744889327696</v>
      </c>
      <c r="K102" s="70">
        <f>Calc!AJ102</f>
        <v>16.511599941922306</v>
      </c>
      <c r="L102" s="70">
        <f>Calc!AK102</f>
        <v>0.49408222695964527</v>
      </c>
      <c r="M102" s="176">
        <f>Calc!AP102</f>
        <v>0.48380000000000001</v>
      </c>
      <c r="N102" s="176">
        <f>Calc!AQ102</f>
        <v>6.3E-3</v>
      </c>
      <c r="O102" s="176">
        <f>Calc!AW102</f>
        <v>0.48280000000000001</v>
      </c>
      <c r="P102" s="176">
        <f>Calc!AY102</f>
        <v>4.6004387852817763E-3</v>
      </c>
      <c r="Q102" s="177">
        <f>Calc!BC102</f>
        <v>16.534112173975075</v>
      </c>
      <c r="R102" s="176">
        <f>Calc!BD102</f>
        <v>0.49475591471066921</v>
      </c>
      <c r="S102" s="70">
        <f>Input!E102</f>
        <v>59.5</v>
      </c>
      <c r="T102" s="68"/>
    </row>
    <row r="103" spans="1:20" x14ac:dyDescent="0.2">
      <c r="A103" s="13">
        <f>Input!A103</f>
        <v>10815</v>
      </c>
      <c r="B103" s="13" t="str">
        <f>Input!B103</f>
        <v>Hu1-13</v>
      </c>
      <c r="C103" s="172">
        <f>Calc!O103*1000</f>
        <v>13699.894832197071</v>
      </c>
      <c r="D103" s="172">
        <f>Calc!P103*1000</f>
        <v>1.9776148847288848</v>
      </c>
      <c r="E103" s="172">
        <f>Calc!X103</f>
        <v>0.94201439144868926</v>
      </c>
      <c r="F103" s="172">
        <f>Calc!Y103</f>
        <v>4.5442142618854755E-3</v>
      </c>
      <c r="G103" s="172">
        <f>Calc!AN103</f>
        <v>0.99951706659586903</v>
      </c>
      <c r="H103" s="173">
        <f>Calc!AO103</f>
        <v>3.4066861742873258E-3</v>
      </c>
      <c r="I103" s="15">
        <f>Calc!AH103</f>
        <v>44425.644690443223</v>
      </c>
      <c r="J103" s="15">
        <f>Calc!AI103</f>
        <v>262.32287874539719</v>
      </c>
      <c r="K103" s="15">
        <f>Calc!AJ103</f>
        <v>-7.7223248313718074E-3</v>
      </c>
      <c r="L103" s="15">
        <f>Calc!AK103</f>
        <v>1.6834238698575359</v>
      </c>
      <c r="M103" s="174">
        <f>Calc!AP103</f>
        <v>835.17790000000002</v>
      </c>
      <c r="N103" s="174" t="e">
        <f>Calc!AQ103</f>
        <v>#VALUE!</v>
      </c>
      <c r="O103" s="174">
        <f>Calc!AW103</f>
        <v>835.17610000000002</v>
      </c>
      <c r="P103" s="174">
        <f>Calc!AX103</f>
        <v>333.99662423630002</v>
      </c>
      <c r="Q103" s="178">
        <f>Calc!BC103</f>
        <v>-8.1535012353758665E-2</v>
      </c>
      <c r="R103" s="174">
        <f>Calc!BD103</f>
        <v>17.775544252810906</v>
      </c>
      <c r="S103" s="15">
        <f>Input!E103</f>
        <v>0</v>
      </c>
      <c r="T103" s="68"/>
    </row>
    <row r="104" spans="1:20" x14ac:dyDescent="0.2">
      <c r="A104" s="68">
        <f>Input!A104</f>
        <v>10981</v>
      </c>
      <c r="B104" s="68" t="str">
        <f>Input!B104</f>
        <v>E1-92</v>
      </c>
      <c r="C104" s="175">
        <f>Calc!O104*1000</f>
        <v>1695.4078749826986</v>
      </c>
      <c r="D104" s="175">
        <f>Calc!P104*1000</f>
        <v>9.9551594943616276E-2</v>
      </c>
      <c r="E104" s="175">
        <f>Calc!X104</f>
        <v>3.7021776969281057E-2</v>
      </c>
      <c r="F104" s="175">
        <f>Calc!Y104</f>
        <v>1.2100650450584137E-4</v>
      </c>
      <c r="G104" s="175">
        <f>Calc!AN104</f>
        <v>6.1794035006956108E-3</v>
      </c>
      <c r="H104" s="71">
        <f>Calc!AO104</f>
        <v>6.1580671953019516E-5</v>
      </c>
      <c r="I104" s="70">
        <f>Calc!AH104</f>
        <v>864.29793258153018</v>
      </c>
      <c r="J104" s="70">
        <f>Calc!AI104</f>
        <v>9.0644384733371286</v>
      </c>
      <c r="K104" s="70">
        <f>Calc!AJ104</f>
        <v>18.0986059241921</v>
      </c>
      <c r="L104" s="70">
        <f>Calc!AK104</f>
        <v>0.57942210951255324</v>
      </c>
      <c r="M104" s="176">
        <f>Calc!AP104</f>
        <v>0.66390000000000005</v>
      </c>
      <c r="N104" s="176">
        <f>Calc!AQ104</f>
        <v>8.0999999999999996E-3</v>
      </c>
      <c r="O104" s="176">
        <f>Calc!AW104</f>
        <v>0.6633</v>
      </c>
      <c r="P104" s="176">
        <f>Calc!AY104</f>
        <v>6.6619909824723929E-3</v>
      </c>
      <c r="Q104" s="177">
        <f>Calc!BC104</f>
        <v>18.132515932766953</v>
      </c>
      <c r="R104" s="176">
        <f>Calc!BD104</f>
        <v>0.58050782961665881</v>
      </c>
      <c r="S104" s="70">
        <f>Input!E104</f>
        <v>92</v>
      </c>
      <c r="T104" s="68"/>
    </row>
    <row r="105" spans="1:20" x14ac:dyDescent="0.2">
      <c r="A105" s="13">
        <f>Input!A105</f>
        <v>10815</v>
      </c>
      <c r="B105" s="13" t="str">
        <f>Input!B105</f>
        <v>Hu1-13</v>
      </c>
      <c r="C105" s="172">
        <f>Calc!O105*1000</f>
        <v>13698.795635568638</v>
      </c>
      <c r="D105" s="172">
        <f>Calc!P105*1000</f>
        <v>1.9602769008818239</v>
      </c>
      <c r="E105" s="172">
        <f>Calc!X105</f>
        <v>0.947008105368913</v>
      </c>
      <c r="F105" s="172">
        <f>Calc!Y105</f>
        <v>7.8589590586661331E-3</v>
      </c>
      <c r="G105" s="172">
        <f>Calc!AN105</f>
        <v>0.9991762033706495</v>
      </c>
      <c r="H105" s="173">
        <f>Calc!AO105</f>
        <v>2.4325635327395877E-3</v>
      </c>
      <c r="I105" s="15">
        <f>Calc!AH105</f>
        <v>44172.766755174489</v>
      </c>
      <c r="J105" s="15">
        <f>Calc!AI105</f>
        <v>381.9743366114979</v>
      </c>
      <c r="K105" s="15">
        <f>Calc!AJ105</f>
        <v>0.55510386198198702</v>
      </c>
      <c r="L105" s="15">
        <f>Calc!AK105</f>
        <v>1.7050808640485389</v>
      </c>
      <c r="M105" s="174">
        <f>Calc!AP105</f>
        <v>700.89679999999998</v>
      </c>
      <c r="N105" s="174" t="e">
        <f>Calc!AQ105</f>
        <v>#VALUE!</v>
      </c>
      <c r="O105" s="174">
        <f>Calc!AW105</f>
        <v>700.89499999999998</v>
      </c>
      <c r="P105" s="174">
        <f>Calc!AX105</f>
        <v>325.44424506569999</v>
      </c>
      <c r="Q105" s="178">
        <f>Calc!BC105</f>
        <v>4.0123122643568045</v>
      </c>
      <c r="R105" s="174">
        <f>Calc!BD105</f>
        <v>12.59565990945544</v>
      </c>
      <c r="S105" s="15">
        <f>Input!E105</f>
        <v>0</v>
      </c>
      <c r="T105" s="68"/>
    </row>
    <row r="106" spans="1:20" x14ac:dyDescent="0.2">
      <c r="A106" s="68">
        <f>Input!A106</f>
        <v>10985</v>
      </c>
      <c r="B106" s="68" t="str">
        <f>Input!B106</f>
        <v>E8-48</v>
      </c>
      <c r="C106" s="175">
        <f>Calc!O106*1000</f>
        <v>1310.1691526602217</v>
      </c>
      <c r="D106" s="175">
        <f>Calc!P106*1000</f>
        <v>7.6552548285315894E-2</v>
      </c>
      <c r="E106" s="175">
        <f>Calc!X106</f>
        <v>8.0182880509575588E-2</v>
      </c>
      <c r="F106" s="175">
        <f>Calc!Y106</f>
        <v>2.7996384021700783E-4</v>
      </c>
      <c r="G106" s="175">
        <f>Calc!AN106</f>
        <v>5.3824151165749552E-3</v>
      </c>
      <c r="H106" s="71">
        <f>Calc!AO106</f>
        <v>8.2351686790570905E-5</v>
      </c>
      <c r="I106" s="70">
        <f>Calc!AH106</f>
        <v>268.55766260574478</v>
      </c>
      <c r="J106" s="70">
        <f>Calc!AI106</f>
        <v>4.2145742564259407</v>
      </c>
      <c r="K106" s="70">
        <f>Calc!AJ106</f>
        <v>15.704202326312755</v>
      </c>
      <c r="L106" s="70">
        <f>Calc!AK106</f>
        <v>0.94797252235621621</v>
      </c>
      <c r="M106" s="176">
        <f>Calc!AP106</f>
        <v>0.57940000000000003</v>
      </c>
      <c r="N106" s="176">
        <f>Calc!AQ106</f>
        <v>9.7000000000000003E-3</v>
      </c>
      <c r="O106" s="176">
        <f>Calc!AW106</f>
        <v>0.57779999999999998</v>
      </c>
      <c r="P106" s="176">
        <f>Calc!AY106</f>
        <v>8.9533912103666718E-3</v>
      </c>
      <c r="Q106" s="177">
        <f>Calc!BC106</f>
        <v>15.729830271585431</v>
      </c>
      <c r="R106" s="176">
        <f>Calc!BD106</f>
        <v>0.94951961743957158</v>
      </c>
      <c r="S106" s="70">
        <f>Input!E106</f>
        <v>48</v>
      </c>
      <c r="T106" s="68"/>
    </row>
    <row r="107" spans="1:20" x14ac:dyDescent="0.2">
      <c r="A107" s="13">
        <f>Input!A107</f>
        <v>10815</v>
      </c>
      <c r="B107" s="13" t="str">
        <f>Input!B107</f>
        <v>Hu1-13</v>
      </c>
      <c r="C107" s="172">
        <f>Calc!O107*1000</f>
        <v>13702.067611241568</v>
      </c>
      <c r="D107" s="172">
        <f>Calc!P107*1000</f>
        <v>1.9321868351636917</v>
      </c>
      <c r="E107" s="172">
        <f>Calc!X107</f>
        <v>0.9373241909886153</v>
      </c>
      <c r="F107" s="172">
        <f>Calc!Y107</f>
        <v>4.7620449510039275E-3</v>
      </c>
      <c r="G107" s="172">
        <f>Calc!AN107</f>
        <v>0.99912435273018263</v>
      </c>
      <c r="H107" s="173">
        <f>Calc!AO107</f>
        <v>3.4976115255773823E-3</v>
      </c>
      <c r="I107" s="15">
        <f>Calc!AH107</f>
        <v>44637.47853347924</v>
      </c>
      <c r="J107" s="15">
        <f>Calc!AI107</f>
        <v>275.33040168546506</v>
      </c>
      <c r="K107" s="15">
        <f>Calc!AJ107</f>
        <v>1.0600381006018456</v>
      </c>
      <c r="L107" s="15">
        <f>Calc!AK107</f>
        <v>2.1576482743319252</v>
      </c>
      <c r="M107" s="174">
        <f>Calc!AP107</f>
        <v>658.54679999999996</v>
      </c>
      <c r="N107" s="174" t="e">
        <f>Calc!AQ107</f>
        <v>#VALUE!</v>
      </c>
      <c r="O107" s="174">
        <f>Calc!AW107</f>
        <v>658.54499999999996</v>
      </c>
      <c r="P107" s="174">
        <f>Calc!AX107</f>
        <v>301.64068587330001</v>
      </c>
      <c r="Q107" s="178">
        <f>Calc!BC107</f>
        <v>6.7988831370570368</v>
      </c>
      <c r="R107" s="174">
        <f>Calc!BD107</f>
        <v>14.413759274778901</v>
      </c>
      <c r="S107" s="15">
        <f>Input!E107</f>
        <v>0</v>
      </c>
      <c r="T107" s="68"/>
    </row>
    <row r="108" spans="1:20" x14ac:dyDescent="0.2">
      <c r="A108" s="68">
        <f>Input!A108</f>
        <v>10986</v>
      </c>
      <c r="B108" s="68" t="str">
        <f>Input!B108</f>
        <v>EO-B-85,5</v>
      </c>
      <c r="C108" s="175">
        <f>Calc!O108*1000</f>
        <v>560.8829791282634</v>
      </c>
      <c r="D108" s="175">
        <f>Calc!P108*1000</f>
        <v>4.1739071088180514E-2</v>
      </c>
      <c r="E108" s="175">
        <f>Calc!X108</f>
        <v>0.20918024220312009</v>
      </c>
      <c r="F108" s="175">
        <f>Calc!Y108</f>
        <v>7.7917229632220859E-4</v>
      </c>
      <c r="G108" s="175">
        <f>Calc!AN108</f>
        <v>2.0945755307026793E-2</v>
      </c>
      <c r="H108" s="71">
        <f>Calc!AO108</f>
        <v>2.9424478697000157E-4</v>
      </c>
      <c r="I108" s="70">
        <f>Calc!AH108</f>
        <v>171.27804615240373</v>
      </c>
      <c r="J108" s="70">
        <f>Calc!AI108</f>
        <v>2.4892183523684062</v>
      </c>
      <c r="K108" s="70">
        <f>Calc!AJ108</f>
        <v>16.742840511278388</v>
      </c>
      <c r="L108" s="70">
        <f>Calc!AK108</f>
        <v>1.7269879658814682</v>
      </c>
      <c r="M108" s="176">
        <f>Calc!AP108</f>
        <v>2.2698</v>
      </c>
      <c r="N108" s="176">
        <f>Calc!AQ108</f>
        <v>3.4799999999999998E-2</v>
      </c>
      <c r="O108" s="176">
        <f>Calc!AW108</f>
        <v>2.2599999999999998</v>
      </c>
      <c r="P108" s="176">
        <f>Calc!AY108</f>
        <v>3.2865799826071657E-2</v>
      </c>
      <c r="Q108" s="177">
        <f>Calc!BC108</f>
        <v>16.849965180101655</v>
      </c>
      <c r="R108" s="176">
        <f>Calc!BD108</f>
        <v>1.7380383475586065</v>
      </c>
      <c r="S108" s="70">
        <f>Input!E108</f>
        <v>85.5</v>
      </c>
      <c r="T108" s="68"/>
    </row>
    <row r="109" spans="1:20" x14ac:dyDescent="0.2">
      <c r="A109" s="13">
        <f>Input!A109</f>
        <v>10815</v>
      </c>
      <c r="B109" s="13" t="str">
        <f>Input!B109</f>
        <v>Hu1-13</v>
      </c>
      <c r="C109" s="172">
        <f>Calc!O109*1000</f>
        <v>13705.136318806466</v>
      </c>
      <c r="D109" s="172">
        <f>Calc!P109*1000</f>
        <v>2.50517754583207</v>
      </c>
      <c r="E109" s="172">
        <f>Calc!X109</f>
        <v>0.95343679236260048</v>
      </c>
      <c r="F109" s="172">
        <f>Calc!Y109</f>
        <v>5.7903985245424845E-3</v>
      </c>
      <c r="G109" s="172">
        <f>Calc!AN109</f>
        <v>0.99659855098747452</v>
      </c>
      <c r="H109" s="173">
        <f>Calc!AO109</f>
        <v>3.0723083682970935E-3</v>
      </c>
      <c r="I109" s="15">
        <f>Calc!AH109</f>
        <v>43781.993611834485</v>
      </c>
      <c r="J109" s="15">
        <f>Calc!AI109</f>
        <v>298.08365384435967</v>
      </c>
      <c r="K109" s="15">
        <f>Calc!AJ109</f>
        <v>0.36351398619216546</v>
      </c>
      <c r="L109" s="15">
        <f>Calc!AK109</f>
        <v>1.7623469562913037</v>
      </c>
      <c r="M109" s="174">
        <f>Calc!AP109</f>
        <v>604.42650000000003</v>
      </c>
      <c r="N109" s="174" t="e">
        <f>Calc!AQ109</f>
        <v>#VALUE!</v>
      </c>
      <c r="O109" s="174">
        <f>Calc!AW109</f>
        <v>604.42470000000003</v>
      </c>
      <c r="P109" s="174">
        <f>Calc!AX109</f>
        <v>256.49499251819998</v>
      </c>
      <c r="Q109" s="178">
        <f>Calc!BC109</f>
        <v>2.0012765712961262</v>
      </c>
      <c r="R109" s="174">
        <f>Calc!BD109</f>
        <v>9.7219743093659137</v>
      </c>
      <c r="S109" s="15">
        <f>Input!E109</f>
        <v>0</v>
      </c>
      <c r="T109" s="68"/>
    </row>
    <row r="110" spans="1:20" x14ac:dyDescent="0.2">
      <c r="A110" s="68">
        <f>Input!A110</f>
        <v>10987</v>
      </c>
      <c r="B110" s="68" t="str">
        <f>Input!B110</f>
        <v>EO-B-177</v>
      </c>
      <c r="C110" s="175">
        <f>Calc!O110*1000</f>
        <v>601.36941457807666</v>
      </c>
      <c r="D110" s="175">
        <f>Calc!P110*1000</f>
        <v>4.5520612737319506E-2</v>
      </c>
      <c r="E110" s="175">
        <f>Calc!X110</f>
        <v>0.1962925708856556</v>
      </c>
      <c r="F110" s="175">
        <f>Calc!Y110</f>
        <v>5.9996543970204815E-4</v>
      </c>
      <c r="G110" s="175">
        <f>Calc!AN110</f>
        <v>2.2375508138497872E-2</v>
      </c>
      <c r="H110" s="71">
        <f>Calc!AO110</f>
        <v>2.746217425472269E-4</v>
      </c>
      <c r="I110" s="70">
        <f>Calc!AH110</f>
        <v>208.79229142449003</v>
      </c>
      <c r="J110" s="70">
        <f>Calc!AI110</f>
        <v>2.6407951889799497</v>
      </c>
      <c r="K110" s="70">
        <f>Calc!AJ110</f>
        <v>19.077437219288118</v>
      </c>
      <c r="L110" s="70">
        <f>Calc!AK110</f>
        <v>1.3649556635641225</v>
      </c>
      <c r="M110" s="176">
        <f>Calc!AP110</f>
        <v>2.4207999999999998</v>
      </c>
      <c r="N110" s="176">
        <f>Calc!AQ110</f>
        <v>3.0499999999999999E-2</v>
      </c>
      <c r="O110" s="176">
        <f>Calc!AW110</f>
        <v>2.4121999999999999</v>
      </c>
      <c r="P110" s="176">
        <f>Calc!AY110</f>
        <v>3.0563431653914314E-2</v>
      </c>
      <c r="Q110" s="177">
        <f>Calc!BC110</f>
        <v>19.207747484924685</v>
      </c>
      <c r="R110" s="176">
        <f>Calc!BD110</f>
        <v>1.3742801227917945</v>
      </c>
      <c r="S110" s="70">
        <f>Input!E110</f>
        <v>177</v>
      </c>
      <c r="T110" s="68"/>
    </row>
    <row r="111" spans="1:20" x14ac:dyDescent="0.2">
      <c r="A111" s="13">
        <f>Input!A111</f>
        <v>10815</v>
      </c>
      <c r="B111" s="13" t="str">
        <f>Input!B111</f>
        <v>Hu1-13</v>
      </c>
      <c r="C111" s="172">
        <f>Calc!O111*1000</f>
        <v>13705.136318806466</v>
      </c>
      <c r="D111" s="172">
        <f>Calc!P111*1000</f>
        <v>2.50517754583207</v>
      </c>
      <c r="E111" s="172">
        <f>Calc!X111</f>
        <v>0.95343679236260048</v>
      </c>
      <c r="F111" s="172">
        <f>Calc!Y111</f>
        <v>5.7903985245424845E-3</v>
      </c>
      <c r="G111" s="172">
        <f>Calc!AN111</f>
        <v>0.99659855098747452</v>
      </c>
      <c r="H111" s="173">
        <f>Calc!AO111</f>
        <v>3.0723083682970935E-3</v>
      </c>
      <c r="I111" s="15">
        <f>Calc!AH111</f>
        <v>43781.993611834485</v>
      </c>
      <c r="J111" s="15">
        <f>Calc!AI111</f>
        <v>298.08365384435967</v>
      </c>
      <c r="K111" s="15">
        <f>Calc!AJ111</f>
        <v>0.36351398619216546</v>
      </c>
      <c r="L111" s="15">
        <f>Calc!AK111</f>
        <v>1.7623469562913037</v>
      </c>
      <c r="M111" s="174">
        <f>Calc!AP111</f>
        <v>604.42650000000003</v>
      </c>
      <c r="N111" s="174" t="e">
        <f>Calc!AQ111</f>
        <v>#VALUE!</v>
      </c>
      <c r="O111" s="174">
        <f>Calc!AW111</f>
        <v>604.42470000000003</v>
      </c>
      <c r="P111" s="174">
        <f>Calc!AX111</f>
        <v>235.8503519484</v>
      </c>
      <c r="Q111" s="178">
        <f>Calc!BC111</f>
        <v>2.0012765712961262</v>
      </c>
      <c r="R111" s="174">
        <f>Calc!BD111</f>
        <v>9.7219743093659137</v>
      </c>
      <c r="S111" s="15">
        <f>Input!E111</f>
        <v>0</v>
      </c>
      <c r="T111" s="68"/>
    </row>
    <row r="112" spans="1:20" ht="13.5" customHeight="1" x14ac:dyDescent="0.2">
      <c r="H112" s="75"/>
    </row>
    <row r="113" spans="1:20" x14ac:dyDescent="0.2">
      <c r="A113" s="13">
        <f>Input!A113</f>
        <v>10815</v>
      </c>
      <c r="B113" s="13" t="str">
        <f>Input!B113</f>
        <v>Hu1-13</v>
      </c>
      <c r="C113" s="172">
        <f>Calc!O113*1000</f>
        <v>13702.070606486173</v>
      </c>
      <c r="D113" s="172">
        <f>Calc!P113*1000</f>
        <v>3.528908082906741</v>
      </c>
      <c r="E113" s="172">
        <f>Calc!X113</f>
        <v>0.95956502139012501</v>
      </c>
      <c r="F113" s="172">
        <f>Calc!Y113</f>
        <v>1.1360603904160748E-2</v>
      </c>
      <c r="G113" s="172">
        <f>Calc!AN113</f>
        <v>0.99806759762335262</v>
      </c>
      <c r="H113" s="173">
        <f>Calc!AO113</f>
        <v>6.2802258930109971E-3</v>
      </c>
      <c r="I113" s="15">
        <f>Calc!AH113</f>
        <v>43556.761135123168</v>
      </c>
      <c r="J113" s="15">
        <f>Calc!AI113</f>
        <v>583.88393604896942</v>
      </c>
      <c r="K113" s="15">
        <f>Calc!AJ113</f>
        <v>2.7478220149557142</v>
      </c>
      <c r="L113" s="15">
        <f>Calc!AK113</f>
        <v>1.0674151318674212</v>
      </c>
      <c r="M113" s="174">
        <f>Calc!AP113</f>
        <v>561.77059999999994</v>
      </c>
      <c r="N113" s="174" t="e">
        <f>Calc!AQ113</f>
        <v>#VALUE!</v>
      </c>
      <c r="O113" s="174">
        <f>Calc!AW113</f>
        <v>561.76869999999997</v>
      </c>
      <c r="P113" s="174">
        <f>Calc!AX113</f>
        <v>235.38335699660001</v>
      </c>
      <c r="Q113" s="178">
        <f>Calc!BC113</f>
        <v>13.412050325158134</v>
      </c>
      <c r="R113" s="174">
        <f>Calc!BD113</f>
        <v>6.8946953998287928</v>
      </c>
      <c r="S113" s="15">
        <f>Input!E113</f>
        <v>0</v>
      </c>
      <c r="T113" s="68"/>
    </row>
    <row r="114" spans="1:20" x14ac:dyDescent="0.2">
      <c r="A114" s="68">
        <f>Input!A114</f>
        <v>11019</v>
      </c>
      <c r="B114" s="68" t="str">
        <f>Input!B114</f>
        <v>KMS6-7,3cm-a</v>
      </c>
      <c r="C114" s="175">
        <f>Calc!O114*1000</f>
        <v>65.872269760917462</v>
      </c>
      <c r="D114" s="175">
        <f>Calc!P114*1000</f>
        <v>8.0750774598415259E-3</v>
      </c>
      <c r="E114" s="175">
        <f>Calc!X114</f>
        <v>1.4119917295290518</v>
      </c>
      <c r="F114" s="175">
        <f>Calc!Y114</f>
        <v>3.3171801018740872E-3</v>
      </c>
      <c r="G114" s="175">
        <f>Calc!AN114</f>
        <v>1.2291067352537977E-2</v>
      </c>
      <c r="H114" s="71">
        <f>Calc!AO114</f>
        <v>3.1842627980866399E-4</v>
      </c>
      <c r="I114" s="70">
        <f>Calc!AH114</f>
        <v>1.7506389568737457</v>
      </c>
      <c r="J114" s="70">
        <f>Calc!AI114</f>
        <v>4.5539618806550643E-2</v>
      </c>
      <c r="K114" s="70">
        <f>Calc!AJ114</f>
        <v>-90.822113706296676</v>
      </c>
      <c r="L114" s="70">
        <f>Calc!AK114</f>
        <v>0.91873218609741114</v>
      </c>
      <c r="M114" s="176">
        <f>Calc!AP114</f>
        <v>1.4844999999999999</v>
      </c>
      <c r="N114" s="176">
        <f>Calc!AQ114</f>
        <v>3.7400000000000003E-2</v>
      </c>
      <c r="O114" s="176">
        <f>Calc!AW114</f>
        <v>0.85160000000000002</v>
      </c>
      <c r="P114" s="176">
        <f>Calc!AY114</f>
        <v>0.3201712062487565</v>
      </c>
      <c r="Q114" s="177">
        <f>Calc!BC114</f>
        <v>-91.040645921470983</v>
      </c>
      <c r="R114" s="176">
        <f>Calc!BD114</f>
        <v>0.92460921262914897</v>
      </c>
      <c r="S114" s="70">
        <f>Input!E114</f>
        <v>7.3</v>
      </c>
      <c r="T114" s="68"/>
    </row>
    <row r="115" spans="1:20" x14ac:dyDescent="0.2">
      <c r="A115" s="13">
        <f>Input!A115</f>
        <v>10815</v>
      </c>
      <c r="B115" s="13" t="str">
        <f>Input!B115</f>
        <v>Hu1-13</v>
      </c>
      <c r="C115" s="172">
        <f>Calc!O115*1000</f>
        <v>13698.256323319247</v>
      </c>
      <c r="D115" s="172">
        <f>Calc!P115*1000</f>
        <v>3.0441079398696647</v>
      </c>
      <c r="E115" s="172">
        <f>Calc!X115</f>
        <v>0.95533980597338564</v>
      </c>
      <c r="F115" s="172">
        <f>Calc!Y115</f>
        <v>1.0005109007066929E-2</v>
      </c>
      <c r="G115" s="172">
        <f>Calc!AN115</f>
        <v>0.99987350368112604</v>
      </c>
      <c r="H115" s="173">
        <f>Calc!AO115</f>
        <v>4.9526856064680668E-3</v>
      </c>
      <c r="I115" s="15">
        <f>Calc!AH115</f>
        <v>43816.360775991328</v>
      </c>
      <c r="J115" s="15">
        <f>Calc!AI115</f>
        <v>507.52517995546725</v>
      </c>
      <c r="K115" s="15">
        <f>Calc!AJ115</f>
        <v>-1.3112804085955165</v>
      </c>
      <c r="L115" s="15">
        <f>Calc!AK115</f>
        <v>1.5338463040805341</v>
      </c>
      <c r="M115" s="174" t="str">
        <f>Calc!AP115</f>
        <v>Out of range</v>
      </c>
      <c r="N115" s="174" t="e">
        <f>Calc!AQ115</f>
        <v>#VALUE!</v>
      </c>
      <c r="O115" s="174" t="str">
        <f>Calc!AW115</f>
        <v>Out of range</v>
      </c>
      <c r="P115" s="174">
        <f>Calc!AX115</f>
        <v>323.35826026680002</v>
      </c>
      <c r="Q115" s="178" t="e">
        <f>Calc!BC115</f>
        <v>#VALUE!</v>
      </c>
      <c r="R115" s="174" t="e">
        <f>Calc!BD115</f>
        <v>#VALUE!</v>
      </c>
      <c r="S115" s="15">
        <f>Input!E115</f>
        <v>0</v>
      </c>
      <c r="T115" s="68"/>
    </row>
    <row r="116" spans="1:20" x14ac:dyDescent="0.2">
      <c r="A116" s="68">
        <f>Input!A116</f>
        <v>11020</v>
      </c>
      <c r="B116" s="68" t="str">
        <f>Input!B116</f>
        <v>KMS6-7,3cm-b</v>
      </c>
      <c r="C116" s="175">
        <f>Calc!O116*1000</f>
        <v>67.974603103310116</v>
      </c>
      <c r="D116" s="175">
        <f>Calc!P116*1000</f>
        <v>9.4589636555802766E-3</v>
      </c>
      <c r="E116" s="175">
        <f>Calc!X116</f>
        <v>0.91209714526139662</v>
      </c>
      <c r="F116" s="175">
        <f>Calc!Y116</f>
        <v>2.3821997959724808E-3</v>
      </c>
      <c r="G116" s="175">
        <f>Calc!AN116</f>
        <v>1.1794852944133655E-2</v>
      </c>
      <c r="H116" s="71">
        <f>Calc!AO116</f>
        <v>4.9435451053539631E-4</v>
      </c>
      <c r="I116" s="70">
        <f>Calc!AH116</f>
        <v>2.6919314503752432</v>
      </c>
      <c r="J116" s="70">
        <f>Calc!AI116</f>
        <v>0.11304442813321058</v>
      </c>
      <c r="K116" s="70">
        <f>Calc!AJ116</f>
        <v>-92.632548792183073</v>
      </c>
      <c r="L116" s="70">
        <f>Calc!AK116</f>
        <v>1.1083106616461205</v>
      </c>
      <c r="M116" s="176">
        <f>Calc!AP116</f>
        <v>1.4271</v>
      </c>
      <c r="N116" s="176">
        <f>Calc!AQ116</f>
        <v>6.3200000000000006E-2</v>
      </c>
      <c r="O116" s="176">
        <f>Calc!AW116</f>
        <v>1.0305</v>
      </c>
      <c r="P116" s="176">
        <f>Calc!AY116</f>
        <v>0.20786469343647451</v>
      </c>
      <c r="Q116" s="177">
        <f>Calc!BC116</f>
        <v>-92.902328636130079</v>
      </c>
      <c r="R116" s="176">
        <f>Calc!BD116</f>
        <v>1.1128736230841869</v>
      </c>
      <c r="S116" s="70">
        <f>Input!E116</f>
        <v>7.3</v>
      </c>
      <c r="T116" s="68"/>
    </row>
    <row r="117" spans="1:20" x14ac:dyDescent="0.2">
      <c r="A117" s="13">
        <f>Input!A117</f>
        <v>10815</v>
      </c>
      <c r="B117" s="13" t="str">
        <f>Input!B117</f>
        <v>Hu1-13</v>
      </c>
      <c r="C117" s="172">
        <f>Calc!O117*1000</f>
        <v>13701.824670816548</v>
      </c>
      <c r="D117" s="172">
        <f>Calc!P117*1000</f>
        <v>3.6874621443037818</v>
      </c>
      <c r="E117" s="172">
        <f>Calc!X117</f>
        <v>0.95732635138894018</v>
      </c>
      <c r="F117" s="172">
        <f>Calc!Y117</f>
        <v>1.2273409717057577E-2</v>
      </c>
      <c r="G117" s="172">
        <f>Calc!AN117</f>
        <v>1.004192626551988</v>
      </c>
      <c r="H117" s="173">
        <f>Calc!AO117</f>
        <v>5.6369093703059177E-3</v>
      </c>
      <c r="I117" s="15">
        <f>Calc!AH117</f>
        <v>43925.756514766472</v>
      </c>
      <c r="J117" s="15">
        <f>Calc!AI117</f>
        <v>614.65140399222048</v>
      </c>
      <c r="K117" s="15">
        <f>Calc!AJ117</f>
        <v>3.7313498486690744</v>
      </c>
      <c r="L117" s="15">
        <f>Calc!AK117</f>
        <v>1.0561784191988772</v>
      </c>
      <c r="M117" s="174">
        <f>Calc!AP117</f>
        <v>738.22749999999996</v>
      </c>
      <c r="N117" s="174" t="e">
        <f>Calc!AQ117</f>
        <v>#VALUE!</v>
      </c>
      <c r="O117" s="174">
        <f>Calc!AW117</f>
        <v>738.22569999999996</v>
      </c>
      <c r="P117" s="174">
        <f>Calc!AX117</f>
        <v>314.52232929140001</v>
      </c>
      <c r="Q117" s="178">
        <f>Calc!BC117</f>
        <v>29.966715333938708</v>
      </c>
      <c r="R117" s="174">
        <f>Calc!BD117</f>
        <v>45.948686803976841</v>
      </c>
      <c r="S117" s="15">
        <f>Input!E117</f>
        <v>0</v>
      </c>
      <c r="T117" s="68"/>
    </row>
    <row r="118" spans="1:20" x14ac:dyDescent="0.2">
      <c r="A118" s="68">
        <f>Input!A118</f>
        <v>11021</v>
      </c>
      <c r="B118" s="68" t="str">
        <f>Input!B118</f>
        <v>KMS6-7,3cm-c</v>
      </c>
      <c r="C118" s="175">
        <f>Calc!O118*1000</f>
        <v>73.817664149159896</v>
      </c>
      <c r="D118" s="175">
        <f>Calc!P118*1000</f>
        <v>9.5576632568128775E-3</v>
      </c>
      <c r="E118" s="175">
        <f>Calc!X118</f>
        <v>4.7546731681316077</v>
      </c>
      <c r="F118" s="175">
        <f>Calc!Y118</f>
        <v>1.0005255785739192E-2</v>
      </c>
      <c r="G118" s="175">
        <f>Calc!AN118</f>
        <v>2.8581333985370404E-2</v>
      </c>
      <c r="H118" s="71">
        <f>Calc!AO118</f>
        <v>4.8005451713225552E-4</v>
      </c>
      <c r="I118" s="70">
        <f>Calc!AH118</f>
        <v>1.3609458409611195</v>
      </c>
      <c r="J118" s="70">
        <f>Calc!AI118</f>
        <v>2.3036587797768404E-2</v>
      </c>
      <c r="K118" s="70">
        <f>Calc!AJ118</f>
        <v>-95.194688695465771</v>
      </c>
      <c r="L118" s="70">
        <f>Calc!AK118</f>
        <v>1.5696927591312864</v>
      </c>
      <c r="M118" s="176">
        <f>Calc!AP118</f>
        <v>3.5019999999999998</v>
      </c>
      <c r="N118" s="176">
        <f>Calc!AQ118</f>
        <v>5.74E-2</v>
      </c>
      <c r="O118" s="176">
        <f>Calc!AW118</f>
        <v>1.5787</v>
      </c>
      <c r="P118" s="176">
        <f>Calc!AY118</f>
        <v>0.97309902306107599</v>
      </c>
      <c r="Q118" s="177">
        <f>Calc!BC118</f>
        <v>-95.619744900616112</v>
      </c>
      <c r="R118" s="176">
        <f>Calc!BD118</f>
        <v>1.5984177254490461</v>
      </c>
      <c r="S118" s="70">
        <f>Input!E118</f>
        <v>7.3</v>
      </c>
      <c r="T118" s="68"/>
    </row>
    <row r="119" spans="1:20" x14ac:dyDescent="0.2">
      <c r="A119" s="13">
        <f>Input!A119</f>
        <v>10815</v>
      </c>
      <c r="B119" s="13" t="str">
        <f>Input!B119</f>
        <v>Hu1-13</v>
      </c>
      <c r="C119" s="172">
        <f>Calc!O119*1000</f>
        <v>13700.685484859792</v>
      </c>
      <c r="D119" s="172">
        <f>Calc!P119*1000</f>
        <v>4.3995794859322421</v>
      </c>
      <c r="E119" s="172">
        <f>Calc!X119</f>
        <v>0.93914495805611509</v>
      </c>
      <c r="F119" s="172">
        <f>Calc!Y119</f>
        <v>1.3664618249913212E-2</v>
      </c>
      <c r="G119" s="172">
        <f>Calc!AN119</f>
        <v>1.0028883058838913</v>
      </c>
      <c r="H119" s="173">
        <f>Calc!AO119</f>
        <v>4.9675125522555645E-3</v>
      </c>
      <c r="I119" s="15">
        <f>Calc!AH119</f>
        <v>44714.26145983208</v>
      </c>
      <c r="J119" s="15">
        <f>Calc!AI119</f>
        <v>687.11063480232667</v>
      </c>
      <c r="K119" s="15">
        <f>Calc!AJ119</f>
        <v>-0.91455952953556352</v>
      </c>
      <c r="L119" s="15">
        <f>Calc!AK119</f>
        <v>1.0779844779901455</v>
      </c>
      <c r="M119" s="174" t="str">
        <f>Calc!AP119</f>
        <v>Out of range</v>
      </c>
      <c r="N119" s="174" t="e">
        <f>Calc!AQ119</f>
        <v>#VALUE!</v>
      </c>
      <c r="O119" s="174" t="str">
        <f>Calc!AW119</f>
        <v>Out of range</v>
      </c>
      <c r="P119" s="174">
        <f>Calc!AX119</f>
        <v>214.11746963889999</v>
      </c>
      <c r="Q119" s="178" t="e">
        <f>Calc!BC119</f>
        <v>#VALUE!</v>
      </c>
      <c r="R119" s="174" t="e">
        <f>Calc!BD119</f>
        <v>#VALUE!</v>
      </c>
      <c r="S119" s="15">
        <f>Input!E119</f>
        <v>0</v>
      </c>
      <c r="T119" s="68"/>
    </row>
    <row r="120" spans="1:20" x14ac:dyDescent="0.2">
      <c r="A120" s="68">
        <f>Input!A120</f>
        <v>11022</v>
      </c>
      <c r="B120" s="68" t="str">
        <f>Input!B120</f>
        <v>KMS6-7,3cm-d</v>
      </c>
      <c r="C120" s="175">
        <f>Calc!O120*1000</f>
        <v>74.74162472235416</v>
      </c>
      <c r="D120" s="175">
        <f>Calc!P120*1000</f>
        <v>1.0184977950691737E-2</v>
      </c>
      <c r="E120" s="175">
        <f>Calc!X120</f>
        <v>11.837904980575667</v>
      </c>
      <c r="F120" s="175">
        <f>Calc!Y120</f>
        <v>2.8466206833753106E-2</v>
      </c>
      <c r="G120" s="175">
        <f>Calc!AN120</f>
        <v>2.6278796534736332E-2</v>
      </c>
      <c r="H120" s="71">
        <f>Calc!AO120</f>
        <v>8.0102135999574498E-4</v>
      </c>
      <c r="I120" s="70">
        <f>Calc!AH120</f>
        <v>0.50812142871282462</v>
      </c>
      <c r="J120" s="70">
        <f>Calc!AI120</f>
        <v>1.5536351655967735E-2</v>
      </c>
      <c r="K120" s="70">
        <f>Calc!AJ120</f>
        <v>-95.753250314020818</v>
      </c>
      <c r="L120" s="70">
        <f>Calc!AK120</f>
        <v>1.5365874046237977</v>
      </c>
      <c r="M120" s="176">
        <f>Calc!AP120</f>
        <v>3.2176</v>
      </c>
      <c r="N120" s="176">
        <f>Calc!AQ120</f>
        <v>0.1004</v>
      </c>
      <c r="O120" s="176" t="str">
        <f>Calc!AW120</f>
        <v>Out of range</v>
      </c>
      <c r="P120" s="176" t="e">
        <f>Calc!AY120</f>
        <v>#VALUE!</v>
      </c>
      <c r="Q120" s="177" t="e">
        <f>Calc!BC120</f>
        <v>#VALUE!</v>
      </c>
      <c r="R120" s="176" t="e">
        <f>Calc!BD120</f>
        <v>#VALUE!</v>
      </c>
      <c r="S120" s="70">
        <f>Input!E120</f>
        <v>7.3</v>
      </c>
      <c r="T120" s="68"/>
    </row>
    <row r="121" spans="1:20" x14ac:dyDescent="0.2">
      <c r="A121" s="13">
        <f>Input!A121</f>
        <v>10815</v>
      </c>
      <c r="B121" s="13" t="str">
        <f>Input!B121</f>
        <v>Hu1-13</v>
      </c>
      <c r="C121" s="172">
        <f>Calc!O121*1000</f>
        <v>13702.40623988968</v>
      </c>
      <c r="D121" s="172">
        <f>Calc!P121*1000</f>
        <v>4.2053265493488095</v>
      </c>
      <c r="E121" s="172">
        <f>Calc!X121</f>
        <v>0.95969732949998277</v>
      </c>
      <c r="F121" s="172">
        <f>Calc!Y121</f>
        <v>1.1716580784719943E-2</v>
      </c>
      <c r="G121" s="172">
        <f>Calc!AN121</f>
        <v>1.0012169179296544</v>
      </c>
      <c r="H121" s="173">
        <f>Calc!AO121</f>
        <v>5.2772473462153243E-3</v>
      </c>
      <c r="I121" s="15">
        <f>Calc!AH121</f>
        <v>43689.247186674074</v>
      </c>
      <c r="J121" s="15">
        <f>Calc!AI121</f>
        <v>580.81714000302566</v>
      </c>
      <c r="K121" s="15">
        <f>Calc!AJ121</f>
        <v>2.0135409508694746</v>
      </c>
      <c r="L121" s="15">
        <f>Calc!AK121</f>
        <v>1.4419097520528803</v>
      </c>
      <c r="M121" s="174">
        <f>Calc!AP121</f>
        <v>698.17719999999997</v>
      </c>
      <c r="N121" s="174" t="e">
        <f>Calc!AQ121</f>
        <v>#VALUE!</v>
      </c>
      <c r="O121" s="174">
        <f>Calc!AW121</f>
        <v>698.17529999999999</v>
      </c>
      <c r="P121" s="174">
        <f>Calc!AX121</f>
        <v>314.48622091599998</v>
      </c>
      <c r="Q121" s="178">
        <f>Calc!BC121</f>
        <v>14.442675877495638</v>
      </c>
      <c r="R121" s="174">
        <f>Calc!BD121</f>
        <v>18.108487208235076</v>
      </c>
      <c r="S121" s="15">
        <f>Input!E121</f>
        <v>0</v>
      </c>
      <c r="T121" s="68"/>
    </row>
    <row r="122" spans="1:20" x14ac:dyDescent="0.2">
      <c r="A122" s="68">
        <f>Input!A122</f>
        <v>11023</v>
      </c>
      <c r="B122" s="68" t="str">
        <f>Input!B122</f>
        <v>KMS6-7,3cm-e</v>
      </c>
      <c r="C122" s="175">
        <f>Calc!O122*1000</f>
        <v>104.22742802359953</v>
      </c>
      <c r="D122" s="175">
        <f>Calc!P122*1000</f>
        <v>1.6480041519358092E-2</v>
      </c>
      <c r="E122" s="175">
        <f>Calc!X122</f>
        <v>14.409849400459695</v>
      </c>
      <c r="F122" s="175">
        <f>Calc!Y122</f>
        <v>4.0160865651094835E-2</v>
      </c>
      <c r="G122" s="175">
        <f>Calc!AN122</f>
        <v>5.5279324603537988E-2</v>
      </c>
      <c r="H122" s="71">
        <f>Calc!AO122</f>
        <v>1.1508178781793569E-3</v>
      </c>
      <c r="I122" s="70">
        <f>Calc!AH122</f>
        <v>1.2231844065752038</v>
      </c>
      <c r="J122" s="70">
        <f>Calc!AI122</f>
        <v>2.5690991586914728E-2</v>
      </c>
      <c r="K122" s="70">
        <f>Calc!AJ122</f>
        <v>-98.689202433893001</v>
      </c>
      <c r="L122" s="70">
        <f>Calc!AK122</f>
        <v>1.6183514563782604</v>
      </c>
      <c r="M122" s="176">
        <f>Calc!AP122</f>
        <v>6.9095000000000004</v>
      </c>
      <c r="N122" s="176">
        <f>Calc!AQ122</f>
        <v>0.15440000000000001</v>
      </c>
      <c r="O122" s="176">
        <f>Calc!AW122</f>
        <v>2.7191000000000001</v>
      </c>
      <c r="P122" s="176">
        <f>Calc!AY122</f>
        <v>2.1427165623361035</v>
      </c>
      <c r="Q122" s="177">
        <f>Calc!BC122</f>
        <v>-99.449403368239985</v>
      </c>
      <c r="R122" s="176">
        <f>Calc!BD122</f>
        <v>1.7381592382416025</v>
      </c>
      <c r="S122" s="70">
        <f>Input!E122</f>
        <v>7.3</v>
      </c>
      <c r="T122" s="68"/>
    </row>
    <row r="123" spans="1:20" x14ac:dyDescent="0.2">
      <c r="A123" s="13">
        <f>Input!A123</f>
        <v>10815</v>
      </c>
      <c r="B123" s="13" t="str">
        <f>Input!B123</f>
        <v>Hu1-13</v>
      </c>
      <c r="C123" s="172">
        <f>Calc!O123*1000</f>
        <v>13705.099768015718</v>
      </c>
      <c r="D123" s="172">
        <f>Calc!P123*1000</f>
        <v>3.3935629897962007</v>
      </c>
      <c r="E123" s="172">
        <f>Calc!X123</f>
        <v>0.96432765341995097</v>
      </c>
      <c r="F123" s="172">
        <f>Calc!Y123</f>
        <v>7.7492093177769826E-3</v>
      </c>
      <c r="G123" s="172">
        <f>Calc!AN123</f>
        <v>1.000731093520006</v>
      </c>
      <c r="H123" s="173">
        <f>Calc!AO123</f>
        <v>4.562274418593801E-3</v>
      </c>
      <c r="I123" s="15">
        <f>Calc!AH123</f>
        <v>43466.913568509503</v>
      </c>
      <c r="J123" s="15">
        <f>Calc!AI123</f>
        <v>401.44654436551957</v>
      </c>
      <c r="K123" s="15">
        <f>Calc!AJ123</f>
        <v>0.9698330666223498</v>
      </c>
      <c r="L123" s="15">
        <f>Calc!AK123</f>
        <v>1.3003538494307176</v>
      </c>
      <c r="M123" s="174">
        <f>Calc!AP123</f>
        <v>798.38620000000003</v>
      </c>
      <c r="N123" s="174" t="e">
        <f>Calc!AQ123</f>
        <v>#VALUE!</v>
      </c>
      <c r="O123" s="174">
        <f>Calc!AW123</f>
        <v>798.38440000000003</v>
      </c>
      <c r="P123" s="174">
        <f>Calc!AX123</f>
        <v>325.05914028230001</v>
      </c>
      <c r="Q123" s="178">
        <f>Calc!BC123</f>
        <v>9.2299844270523828</v>
      </c>
      <c r="R123" s="174">
        <f>Calc!BD123</f>
        <v>24.206130904374064</v>
      </c>
      <c r="S123" s="15">
        <f>Input!E123</f>
        <v>0</v>
      </c>
      <c r="T123" s="68"/>
    </row>
    <row r="124" spans="1:20" x14ac:dyDescent="0.2">
      <c r="A124" s="68">
        <f>Input!A124</f>
        <v>11024</v>
      </c>
      <c r="B124" s="68" t="str">
        <f>Input!B124</f>
        <v>KMS6-19,9cm-a</v>
      </c>
      <c r="C124" s="175">
        <f>Calc!O124*1000</f>
        <v>81.649192530954764</v>
      </c>
      <c r="D124" s="175">
        <f>Calc!P124*1000</f>
        <v>8.7679615145940491E-3</v>
      </c>
      <c r="E124" s="175">
        <f>Calc!X124</f>
        <v>36.176054836344065</v>
      </c>
      <c r="F124" s="175">
        <f>Calc!Y124</f>
        <v>8.924177580394059E-2</v>
      </c>
      <c r="G124" s="175">
        <f>Calc!AN124</f>
        <v>8.8476005887286005E-2</v>
      </c>
      <c r="H124" s="71">
        <f>Calc!AO124</f>
        <v>6.9862188921435424E-4</v>
      </c>
      <c r="I124" s="70">
        <f>Calc!AH124</f>
        <v>0.60950616857820383</v>
      </c>
      <c r="J124" s="70">
        <f>Calc!AI124</f>
        <v>5.0417432090454888E-3</v>
      </c>
      <c r="K124" s="70">
        <f>Calc!AJ124</f>
        <v>-91.701967072270406</v>
      </c>
      <c r="L124" s="70">
        <f>Calc!AK124</f>
        <v>1.0843583632813685</v>
      </c>
      <c r="M124" s="176">
        <f>Calc!AP124</f>
        <v>11.1942</v>
      </c>
      <c r="N124" s="176">
        <f>Calc!AQ124</f>
        <v>9.7699999999999995E-2</v>
      </c>
      <c r="O124" s="176" t="str">
        <f>Calc!AW124</f>
        <v>Out of range</v>
      </c>
      <c r="P124" s="176" t="e">
        <f>Calc!AY124</f>
        <v>#VALUE!</v>
      </c>
      <c r="Q124" s="177" t="e">
        <f>Calc!BC124</f>
        <v>#VALUE!</v>
      </c>
      <c r="R124" s="176" t="e">
        <f>Calc!BD124</f>
        <v>#VALUE!</v>
      </c>
      <c r="S124" s="70">
        <f>Input!E124</f>
        <v>19.899999999999999</v>
      </c>
      <c r="T124" s="68"/>
    </row>
    <row r="125" spans="1:20" x14ac:dyDescent="0.2">
      <c r="A125" s="13">
        <f>Input!A125</f>
        <v>10815</v>
      </c>
      <c r="B125" s="13" t="str">
        <f>Input!B125</f>
        <v>Hu1-13</v>
      </c>
      <c r="C125" s="172">
        <f>Calc!O125*1000</f>
        <v>13709.205887070955</v>
      </c>
      <c r="D125" s="172">
        <f>Calc!P125*1000</f>
        <v>5.4069692854952818</v>
      </c>
      <c r="E125" s="172">
        <f>Calc!X125</f>
        <v>0.94191147293257971</v>
      </c>
      <c r="F125" s="172">
        <f>Calc!Y125</f>
        <v>1.1669879699989861E-2</v>
      </c>
      <c r="G125" s="172">
        <f>Calc!AN125</f>
        <v>0.99668282599609448</v>
      </c>
      <c r="H125" s="173">
        <f>Calc!AO125</f>
        <v>4.6512358472421212E-3</v>
      </c>
      <c r="I125" s="15">
        <f>Calc!AH125</f>
        <v>44334.622624236225</v>
      </c>
      <c r="J125" s="15">
        <f>Calc!AI125</f>
        <v>586.69996521203825</v>
      </c>
      <c r="K125" s="15">
        <f>Calc!AJ125</f>
        <v>2.0261875132703278</v>
      </c>
      <c r="L125" s="15">
        <f>Calc!AK125</f>
        <v>1.3727711632030577</v>
      </c>
      <c r="M125" s="174">
        <f>Calc!AP125</f>
        <v>555.04520000000002</v>
      </c>
      <c r="N125" s="174" t="e">
        <f>Calc!AQ125</f>
        <v>#VALUE!</v>
      </c>
      <c r="O125" s="174">
        <f>Calc!AW125</f>
        <v>555.04340000000002</v>
      </c>
      <c r="P125" s="174">
        <f>Calc!AX125</f>
        <v>199.0808660511</v>
      </c>
      <c r="Q125" s="178">
        <f>Calc!BC125</f>
        <v>9.7038404747940685</v>
      </c>
      <c r="R125" s="174">
        <f>Calc!BD125</f>
        <v>7.000272747319042</v>
      </c>
      <c r="S125" s="15">
        <f>Input!E125</f>
        <v>0</v>
      </c>
      <c r="T125" s="68"/>
    </row>
    <row r="126" spans="1:20" x14ac:dyDescent="0.2">
      <c r="A126" s="68">
        <f>Input!A126</f>
        <v>11025</v>
      </c>
      <c r="B126" s="68" t="str">
        <f>Input!B126</f>
        <v>KMS6-19,9cm-b</v>
      </c>
      <c r="C126" s="175">
        <f>Calc!O126*1000</f>
        <v>92.889462290141694</v>
      </c>
      <c r="D126" s="175">
        <f>Calc!P126*1000</f>
        <v>1.4408949644517536E-2</v>
      </c>
      <c r="E126" s="175">
        <f>Calc!X126</f>
        <v>24.364842902935369</v>
      </c>
      <c r="F126" s="175">
        <f>Calc!Y126</f>
        <v>4.9505057251384342E-2</v>
      </c>
      <c r="G126" s="175">
        <f>Calc!AN126</f>
        <v>0.10048178579214279</v>
      </c>
      <c r="H126" s="71">
        <f>Calc!AO126</f>
        <v>7.5532096203973441E-4</v>
      </c>
      <c r="I126" s="70">
        <f>Calc!AH126</f>
        <v>1.16680116845683</v>
      </c>
      <c r="J126" s="70">
        <f>Calc!AI126</f>
        <v>9.0837880361123342E-3</v>
      </c>
      <c r="K126" s="70">
        <f>Calc!AJ126</f>
        <v>-85.502902310593768</v>
      </c>
      <c r="L126" s="70">
        <f>Calc!AK126</f>
        <v>1.4092737293803643</v>
      </c>
      <c r="M126" s="176">
        <f>Calc!AP126</f>
        <v>12.7148</v>
      </c>
      <c r="N126" s="176">
        <f>Calc!AQ126</f>
        <v>0.11</v>
      </c>
      <c r="O126" s="176">
        <f>Calc!AW126</f>
        <v>4.7366999999999999</v>
      </c>
      <c r="P126" s="176">
        <f>Calc!AY126</f>
        <v>4.1409270723877105</v>
      </c>
      <c r="Q126" s="177">
        <f>Calc!BC126</f>
        <v>-86.653514245205642</v>
      </c>
      <c r="R126" s="176">
        <f>Calc!BD126</f>
        <v>1.750794248404111</v>
      </c>
      <c r="S126" s="70">
        <f>Input!E126</f>
        <v>19.899999999999999</v>
      </c>
      <c r="T126" s="68"/>
    </row>
    <row r="127" spans="1:20" x14ac:dyDescent="0.2">
      <c r="A127" s="13">
        <f>Input!A127</f>
        <v>10815</v>
      </c>
      <c r="B127" s="13" t="str">
        <f>Input!B127</f>
        <v>Hu1-13</v>
      </c>
      <c r="C127" s="172">
        <f>Calc!O127*1000</f>
        <v>13706.278830155756</v>
      </c>
      <c r="D127" s="172">
        <f>Calc!P127*1000</f>
        <v>5.0410212632866314</v>
      </c>
      <c r="E127" s="172">
        <f>Calc!X127</f>
        <v>0.96355140813224016</v>
      </c>
      <c r="F127" s="172">
        <f>Calc!Y127</f>
        <v>1.0341972924693917E-2</v>
      </c>
      <c r="G127" s="172">
        <f>Calc!AN127</f>
        <v>0.99652619267767606</v>
      </c>
      <c r="H127" s="173">
        <f>Calc!AO127</f>
        <v>5.5428632817457425E-3</v>
      </c>
      <c r="I127" s="15">
        <f>Calc!AH127</f>
        <v>43322.870001457042</v>
      </c>
      <c r="J127" s="15">
        <f>Calc!AI127</f>
        <v>523.47911065184553</v>
      </c>
      <c r="K127" s="15">
        <f>Calc!AJ127</f>
        <v>2.3210811135754295</v>
      </c>
      <c r="L127" s="15">
        <f>Calc!AK127</f>
        <v>1.3290484507096432</v>
      </c>
      <c r="M127" s="174">
        <f>Calc!AP127</f>
        <v>545.49009999999998</v>
      </c>
      <c r="N127" s="174" t="e">
        <f>Calc!AQ127</f>
        <v>#VALUE!</v>
      </c>
      <c r="O127" s="174">
        <f>Calc!AW127</f>
        <v>545.48820000000001</v>
      </c>
      <c r="P127" s="174">
        <f>Calc!AX127</f>
        <v>203.64994465929999</v>
      </c>
      <c r="Q127" s="178">
        <f>Calc!BC127</f>
        <v>10.820402843020355</v>
      </c>
      <c r="R127" s="174">
        <f>Calc!BD127</f>
        <v>6.8196028266113959</v>
      </c>
      <c r="S127" s="15">
        <f>Input!E127</f>
        <v>0</v>
      </c>
      <c r="T127" s="68"/>
    </row>
    <row r="128" spans="1:20" x14ac:dyDescent="0.2">
      <c r="A128" s="68">
        <f>Input!A128</f>
        <v>11026</v>
      </c>
      <c r="B128" s="68" t="str">
        <f>Input!B128</f>
        <v>KMS6-19,9cm-c</v>
      </c>
      <c r="C128" s="175">
        <f>Calc!O128*1000</f>
        <v>85.035726213121379</v>
      </c>
      <c r="D128" s="175">
        <f>Calc!P128*1000</f>
        <v>1.4400889102670246E-2</v>
      </c>
      <c r="E128" s="175">
        <f>Calc!X128</f>
        <v>47.20571316280715</v>
      </c>
      <c r="F128" s="175">
        <f>Calc!Y128</f>
        <v>0.14434822354286073</v>
      </c>
      <c r="G128" s="175">
        <f>Calc!AN128</f>
        <v>0.15653823001117609</v>
      </c>
      <c r="H128" s="71">
        <f>Calc!AO128</f>
        <v>1.9572005491485505E-3</v>
      </c>
      <c r="I128" s="70">
        <f>Calc!AH128</f>
        <v>0.86035660096488342</v>
      </c>
      <c r="J128" s="70">
        <f>Calc!AI128</f>
        <v>1.1073136894339058E-2</v>
      </c>
      <c r="K128" s="70">
        <f>Calc!AJ128</f>
        <v>-105.15349978914557</v>
      </c>
      <c r="L128" s="70">
        <f>Calc!AK128</f>
        <v>1.1274541206338857</v>
      </c>
      <c r="M128" s="176">
        <f>Calc!AP128</f>
        <v>21.048300000000001</v>
      </c>
      <c r="N128" s="176">
        <f>Calc!AQ128</f>
        <v>0.29049999999999998</v>
      </c>
      <c r="O128" s="176">
        <f>Calc!AW128</f>
        <v>2.9607999999999999</v>
      </c>
      <c r="P128" s="176">
        <f>Calc!AY128</f>
        <v>9.8205321266579162</v>
      </c>
      <c r="Q128" s="177">
        <f>Calc!BC128</f>
        <v>-106.03579657276919</v>
      </c>
      <c r="R128" s="176">
        <f>Calc!BD128</f>
        <v>3.1509478335851644</v>
      </c>
      <c r="S128" s="70">
        <f>Input!E128</f>
        <v>19.899999999999999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2">
        <f>Calc!O129*1000</f>
        <v>13696.26829468783</v>
      </c>
      <c r="D129" s="172">
        <f>Calc!P129*1000</f>
        <v>5.2519208988268007</v>
      </c>
      <c r="E129" s="172">
        <f>Calc!X129</f>
        <v>0.96642182819746192</v>
      </c>
      <c r="F129" s="172">
        <f>Calc!Y129</f>
        <v>1.0698344842842156E-2</v>
      </c>
      <c r="G129" s="172">
        <f>Calc!AN129</f>
        <v>1.0001028352207744</v>
      </c>
      <c r="H129" s="173">
        <f>Calc!AO129</f>
        <v>4.8741155962052328E-3</v>
      </c>
      <c r="I129" s="15">
        <f>Calc!AH129</f>
        <v>43317.562616272837</v>
      </c>
      <c r="J129" s="15">
        <f>Calc!AI129</f>
        <v>523.67913323499738</v>
      </c>
      <c r="K129" s="15">
        <f>Calc!AJ129</f>
        <v>-13.623922169152426</v>
      </c>
      <c r="L129" s="15">
        <f>Calc!AK129</f>
        <v>1.4373641427163708</v>
      </c>
      <c r="M129" s="174" t="str">
        <f>Calc!AP129</f>
        <v>Out of range</v>
      </c>
      <c r="N129" s="174" t="e">
        <f>Calc!AQ129</f>
        <v>#VALUE!</v>
      </c>
      <c r="O129" s="174" t="str">
        <f>Calc!AW129</f>
        <v>Out of range</v>
      </c>
      <c r="P129" s="174">
        <f>Calc!AX129</f>
        <v>0</v>
      </c>
      <c r="Q129" s="178" t="e">
        <f>Calc!BC129</f>
        <v>#VALUE!</v>
      </c>
      <c r="R129" s="174" t="e">
        <f>Calc!BD129</f>
        <v>#VALUE!</v>
      </c>
      <c r="S129" s="15">
        <f>Input!E129</f>
        <v>0</v>
      </c>
      <c r="T129" s="68"/>
    </row>
    <row r="130" spans="1:20" ht="13.5" customHeight="1" x14ac:dyDescent="0.2">
      <c r="H130" s="75"/>
    </row>
    <row r="131" spans="1:20" x14ac:dyDescent="0.2">
      <c r="A131" s="13">
        <f>Input!A131</f>
        <v>10815</v>
      </c>
      <c r="B131" s="13" t="str">
        <f>Input!B131</f>
        <v>Hu1-13</v>
      </c>
      <c r="C131" s="172">
        <f>Calc!O131*1000</f>
        <v>13704.374054165473</v>
      </c>
      <c r="D131" s="172">
        <f>Calc!P131*1000</f>
        <v>3.0602085428345496</v>
      </c>
      <c r="E131" s="172">
        <f>Calc!X131</f>
        <v>0.9659167664776761</v>
      </c>
      <c r="F131" s="172">
        <f>Calc!Y131</f>
        <v>1.4766837971061568E-2</v>
      </c>
      <c r="G131" s="172">
        <f>Calc!AN131</f>
        <v>0.99370930490473108</v>
      </c>
      <c r="H131" s="173">
        <f>Calc!AO131</f>
        <v>5.7313477949849524E-3</v>
      </c>
      <c r="I131" s="15">
        <f>Calc!AH131</f>
        <v>43088.629910924821</v>
      </c>
      <c r="J131" s="15">
        <f>Calc!AI131</f>
        <v>703.98903283030165</v>
      </c>
      <c r="K131" s="15">
        <f>Calc!AJ131</f>
        <v>-5.1309115717628195</v>
      </c>
      <c r="L131" s="15">
        <f>Calc!AK131</f>
        <v>1.7559739395661325</v>
      </c>
      <c r="M131" s="174" t="str">
        <f>Calc!AP131</f>
        <v>Out of range</v>
      </c>
      <c r="N131" s="174" t="e">
        <f>Calc!AQ131</f>
        <v>#VALUE!</v>
      </c>
      <c r="O131" s="174" t="str">
        <f>Calc!AW131</f>
        <v>Out of range</v>
      </c>
      <c r="P131" s="174">
        <f>Calc!AX131</f>
        <v>310.65874612170001</v>
      </c>
      <c r="Q131" s="178" t="e">
        <f>Calc!BC131</f>
        <v>#VALUE!</v>
      </c>
      <c r="R131" s="174" t="e">
        <f>Calc!BD131</f>
        <v>#VALUE!</v>
      </c>
      <c r="S131" s="15">
        <f>Input!E131</f>
        <v>0</v>
      </c>
      <c r="T131" s="68"/>
    </row>
    <row r="132" spans="1:20" x14ac:dyDescent="0.2">
      <c r="A132" s="68">
        <f>Input!A132</f>
        <v>11027</v>
      </c>
      <c r="B132" s="68" t="str">
        <f>Input!B132</f>
        <v>KMS6-15,8cm-a</v>
      </c>
      <c r="C132" s="175">
        <f>Calc!O132*1000</f>
        <v>85.550631414701741</v>
      </c>
      <c r="D132" s="175">
        <f>Calc!P132*1000</f>
        <v>1.1857759692134567E-2</v>
      </c>
      <c r="E132" s="175">
        <f>Calc!X132</f>
        <v>10.366017505995258</v>
      </c>
      <c r="F132" s="175">
        <f>Calc!Y132</f>
        <v>3.0999691846419038E-2</v>
      </c>
      <c r="G132" s="175">
        <f>Calc!AN132</f>
        <v>5.2598240101872883E-2</v>
      </c>
      <c r="H132" s="71">
        <f>Calc!AO132</f>
        <v>6.666049611258883E-4</v>
      </c>
      <c r="I132" s="70">
        <f>Calc!AH132</f>
        <v>1.3250767260275618</v>
      </c>
      <c r="J132" s="70">
        <f>Calc!AI132</f>
        <v>1.7253603668251349E-2</v>
      </c>
      <c r="K132" s="70">
        <f>Calc!AJ132</f>
        <v>-93.199573014688724</v>
      </c>
      <c r="L132" s="70">
        <f>Calc!AK132</f>
        <v>1.3432104460783569</v>
      </c>
      <c r="M132" s="176">
        <f>Calc!AP132</f>
        <v>6.5223000000000004</v>
      </c>
      <c r="N132" s="176">
        <f>Calc!AQ132</f>
        <v>8.2699999999999996E-2</v>
      </c>
      <c r="O132" s="176">
        <f>Calc!AW132</f>
        <v>2.8816000000000002</v>
      </c>
      <c r="P132" s="176">
        <f>Calc!AY132</f>
        <v>1.8546586424919449</v>
      </c>
      <c r="Q132" s="177">
        <f>Calc!BC132</f>
        <v>-93.960566448858103</v>
      </c>
      <c r="R132" s="176">
        <f>Calc!BD132</f>
        <v>1.4407120716722894</v>
      </c>
      <c r="S132" s="70">
        <f>Input!E132</f>
        <v>15.8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2">
        <f>Calc!O133*1000</f>
        <v>13694.217064315415</v>
      </c>
      <c r="D133" s="172">
        <f>Calc!P133*1000</f>
        <v>3.84998595343172</v>
      </c>
      <c r="E133" s="172">
        <f>Calc!X133</f>
        <v>0.97175381198704491</v>
      </c>
      <c r="F133" s="172">
        <f>Calc!Y133</f>
        <v>1.3123430936619534E-2</v>
      </c>
      <c r="G133" s="172">
        <f>Calc!AN133</f>
        <v>1.0038730718080824</v>
      </c>
      <c r="H133" s="173">
        <f>Calc!AO133</f>
        <v>5.4054292527470332E-3</v>
      </c>
      <c r="I133" s="15">
        <f>Calc!AH133</f>
        <v>43235.808891828441</v>
      </c>
      <c r="J133" s="15">
        <f>Calc!AI133</f>
        <v>628.47784811364841</v>
      </c>
      <c r="K133" s="15">
        <f>Calc!AJ133</f>
        <v>0.66372132259084893</v>
      </c>
      <c r="L133" s="15">
        <f>Calc!AK133</f>
        <v>1.9795698107581612</v>
      </c>
      <c r="M133" s="174" t="str">
        <f>Calc!AP133</f>
        <v>Out of range</v>
      </c>
      <c r="N133" s="174" t="e">
        <f>Calc!AQ133</f>
        <v>#VALUE!</v>
      </c>
      <c r="O133" s="174" t="str">
        <f>Calc!AW133</f>
        <v>Out of range</v>
      </c>
      <c r="P133" s="174">
        <f>Calc!AX133</f>
        <v>274.59877774040001</v>
      </c>
      <c r="Q133" s="178" t="e">
        <f>Calc!BC133</f>
        <v>#VALUE!</v>
      </c>
      <c r="R133" s="174" t="e">
        <f>Calc!BD133</f>
        <v>#VALUE!</v>
      </c>
      <c r="S133" s="15">
        <f>Input!E133</f>
        <v>0</v>
      </c>
      <c r="T133" s="68"/>
    </row>
    <row r="134" spans="1:20" x14ac:dyDescent="0.2">
      <c r="A134" s="68">
        <f>Input!A134</f>
        <v>11028</v>
      </c>
      <c r="B134" s="68" t="str">
        <f>Input!B134</f>
        <v>KMS6-15,8cm-b</v>
      </c>
      <c r="C134" s="175">
        <f>Calc!O134*1000</f>
        <v>74.496137299835979</v>
      </c>
      <c r="D134" s="175">
        <f>Calc!P134*1000</f>
        <v>1.3132917026800237E-2</v>
      </c>
      <c r="E134" s="175">
        <f>Calc!X134</f>
        <v>2.7207575781258306</v>
      </c>
      <c r="F134" s="175">
        <f>Calc!Y134</f>
        <v>8.6029438364580227E-3</v>
      </c>
      <c r="G134" s="175">
        <f>Calc!AN134</f>
        <v>4.0194930148395189E-2</v>
      </c>
      <c r="H134" s="71">
        <f>Calc!AO134</f>
        <v>9.6061267031629293E-4</v>
      </c>
      <c r="I134" s="70">
        <f>Calc!AH134</f>
        <v>3.373522905279617</v>
      </c>
      <c r="J134" s="70">
        <f>Calc!AI134</f>
        <v>8.1323740213368606E-2</v>
      </c>
      <c r="K134" s="70">
        <f>Calc!AJ134</f>
        <v>-94.728332734278382</v>
      </c>
      <c r="L134" s="70">
        <f>Calc!AK134</f>
        <v>2.0515876737881071</v>
      </c>
      <c r="M134" s="176">
        <f>Calc!AP134</f>
        <v>4.9561999999999999</v>
      </c>
      <c r="N134" s="176">
        <f>Calc!AQ134</f>
        <v>0.12540000000000001</v>
      </c>
      <c r="O134" s="176">
        <f>Calc!AW134</f>
        <v>3.8698000000000001</v>
      </c>
      <c r="P134" s="176">
        <f>Calc!AY134</f>
        <v>0.55999605852795098</v>
      </c>
      <c r="Q134" s="177">
        <f>Calc!BC134</f>
        <v>-95.768512109679818</v>
      </c>
      <c r="R134" s="176">
        <f>Calc!BD134</f>
        <v>2.0796299793095936</v>
      </c>
      <c r="S134" s="70">
        <f>Input!E134</f>
        <v>15.8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2">
        <f>Calc!O135*1000</f>
        <v>13696.194580269101</v>
      </c>
      <c r="D135" s="172">
        <f>Calc!P135*1000</f>
        <v>4.638834924777071</v>
      </c>
      <c r="E135" s="172">
        <f>Calc!X135</f>
        <v>0.95576334923276607</v>
      </c>
      <c r="F135" s="172">
        <f>Calc!Y135</f>
        <v>1.0972754989631031E-2</v>
      </c>
      <c r="G135" s="172">
        <f>Calc!AN135</f>
        <v>1.0020517115787138</v>
      </c>
      <c r="H135" s="173">
        <f>Calc!AO135</f>
        <v>5.5512108384402565E-3</v>
      </c>
      <c r="I135" s="15">
        <f>Calc!AH135</f>
        <v>43885.748325826993</v>
      </c>
      <c r="J135" s="15">
        <f>Calc!AI135</f>
        <v>559.22874015525417</v>
      </c>
      <c r="K135" s="15">
        <f>Calc!AJ135</f>
        <v>1.6546745528265294</v>
      </c>
      <c r="L135" s="15">
        <f>Calc!AK135</f>
        <v>1.427215389150764</v>
      </c>
      <c r="M135" s="174">
        <f>Calc!AP135</f>
        <v>874.43029999999999</v>
      </c>
      <c r="N135" s="174" t="e">
        <f>Calc!AQ135</f>
        <v>#VALUE!</v>
      </c>
      <c r="O135" s="174">
        <f>Calc!AW135</f>
        <v>874.42840000000001</v>
      </c>
      <c r="P135" s="174">
        <f>Calc!AX135</f>
        <v>334.7739474393</v>
      </c>
      <c r="Q135" s="178">
        <f>Calc!BC135</f>
        <v>19.517153687788134</v>
      </c>
      <c r="R135" s="174">
        <f>Calc!BD135</f>
        <v>106.24966076140623</v>
      </c>
      <c r="S135" s="15">
        <f>Input!E135</f>
        <v>0</v>
      </c>
      <c r="T135" s="68"/>
    </row>
    <row r="136" spans="1:20" x14ac:dyDescent="0.2">
      <c r="A136" s="68">
        <f>Input!A136</f>
        <v>11029</v>
      </c>
      <c r="B136" s="68" t="str">
        <f>Input!B136</f>
        <v>KMS6-15,8cm-c</v>
      </c>
      <c r="C136" s="175">
        <f>Calc!O136*1000</f>
        <v>93.337448727944505</v>
      </c>
      <c r="D136" s="175">
        <f>Calc!P136*1000</f>
        <v>1.6147810161360812E-2</v>
      </c>
      <c r="E136" s="175">
        <f>Calc!X136</f>
        <v>19.691366065655675</v>
      </c>
      <c r="F136" s="175">
        <f>Calc!Y136</f>
        <v>4.2150011071634463E-2</v>
      </c>
      <c r="G136" s="175">
        <f>Calc!AN136</f>
        <v>9.042142225425881E-2</v>
      </c>
      <c r="H136" s="71">
        <f>Calc!AO136</f>
        <v>9.6169012288532243E-4</v>
      </c>
      <c r="I136" s="70">
        <f>Calc!AH136</f>
        <v>1.3104226583078873</v>
      </c>
      <c r="J136" s="70">
        <f>Calc!AI136</f>
        <v>1.4214847945223593E-2</v>
      </c>
      <c r="K136" s="70">
        <f>Calc!AJ136</f>
        <v>-80.702156652379344</v>
      </c>
      <c r="L136" s="70">
        <f>Calc!AK136</f>
        <v>1.3017832374315352</v>
      </c>
      <c r="M136" s="176">
        <f>Calc!AP136</f>
        <v>11.307</v>
      </c>
      <c r="N136" s="176">
        <f>Calc!AQ136</f>
        <v>0.1321</v>
      </c>
      <c r="O136" s="176">
        <f>Calc!AW136</f>
        <v>4.9729000000000001</v>
      </c>
      <c r="P136" s="176">
        <f>Calc!AY136</f>
        <v>3.265157437548095</v>
      </c>
      <c r="Q136" s="177">
        <f>Calc!BC136</f>
        <v>-81.842700745444915</v>
      </c>
      <c r="R136" s="176">
        <f>Calc!BD136</f>
        <v>1.5203949311225078</v>
      </c>
      <c r="S136" s="70">
        <f>Input!E136</f>
        <v>15.8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2">
        <f>Calc!O137*1000</f>
        <v>13704.299955990737</v>
      </c>
      <c r="D137" s="172">
        <f>Calc!P137*1000</f>
        <v>5.30401094574745</v>
      </c>
      <c r="E137" s="172">
        <f>Calc!X137</f>
        <v>0.95656163245557491</v>
      </c>
      <c r="F137" s="172">
        <f>Calc!Y137</f>
        <v>1.4886440835858725E-2</v>
      </c>
      <c r="G137" s="172">
        <f>Calc!AN137</f>
        <v>0.99875965736247851</v>
      </c>
      <c r="H137" s="173">
        <f>Calc!AO137</f>
        <v>6.2933383798290214E-3</v>
      </c>
      <c r="I137" s="15">
        <f>Calc!AH137</f>
        <v>43730.930602779161</v>
      </c>
      <c r="J137" s="15">
        <f>Calc!AI137</f>
        <v>734.03450246178488</v>
      </c>
      <c r="K137" s="15">
        <f>Calc!AJ137</f>
        <v>3.2527514567215476</v>
      </c>
      <c r="L137" s="15">
        <f>Calc!AK137</f>
        <v>1.8490387779145703</v>
      </c>
      <c r="M137" s="174">
        <f>Calc!AP137</f>
        <v>561.46029999999996</v>
      </c>
      <c r="N137" s="174" t="e">
        <f>Calc!AQ137</f>
        <v>#VALUE!</v>
      </c>
      <c r="O137" s="174">
        <f>Calc!AW137</f>
        <v>561.45839999999998</v>
      </c>
      <c r="P137" s="174">
        <f>Calc!AX137</f>
        <v>231.07565197060001</v>
      </c>
      <c r="Q137" s="178">
        <f>Calc!BC137</f>
        <v>15.862701447223397</v>
      </c>
      <c r="R137" s="174">
        <f>Calc!BD137</f>
        <v>10.615803775332106</v>
      </c>
      <c r="S137" s="15">
        <f>Input!E137</f>
        <v>0</v>
      </c>
      <c r="T137" s="68"/>
    </row>
    <row r="138" spans="1:20" x14ac:dyDescent="0.2">
      <c r="A138" s="68">
        <f>Input!A138</f>
        <v>11030</v>
      </c>
      <c r="B138" s="68" t="str">
        <f>Input!B138</f>
        <v>KMS6-15,8cm-d</v>
      </c>
      <c r="C138" s="175">
        <f>Calc!O138*1000</f>
        <v>81.768867729324597</v>
      </c>
      <c r="D138" s="175">
        <f>Calc!P138*1000</f>
        <v>1.6089150291855522E-2</v>
      </c>
      <c r="E138" s="175">
        <f>Calc!X138</f>
        <v>5.4424112676836076</v>
      </c>
      <c r="F138" s="175">
        <f>Calc!Y138</f>
        <v>1.6205832830359285E-2</v>
      </c>
      <c r="G138" s="175">
        <f>Calc!AN138</f>
        <v>4.1003520797272347E-2</v>
      </c>
      <c r="H138" s="71">
        <f>Calc!AO138</f>
        <v>6.8979399364893187E-4</v>
      </c>
      <c r="I138" s="70">
        <f>Calc!AH138</f>
        <v>1.8767686396175016</v>
      </c>
      <c r="J138" s="70">
        <f>Calc!AI138</f>
        <v>3.2061147604542241E-2</v>
      </c>
      <c r="K138" s="70">
        <f>Calc!AJ138</f>
        <v>-95.226616558172765</v>
      </c>
      <c r="L138" s="70">
        <f>Calc!AK138</f>
        <v>1.4464713861865521</v>
      </c>
      <c r="M138" s="176">
        <f>Calc!AP138</f>
        <v>5.0612000000000004</v>
      </c>
      <c r="N138" s="176">
        <f>Calc!AQ138</f>
        <v>9.1600000000000001E-2</v>
      </c>
      <c r="O138" s="176">
        <f>Calc!AW138</f>
        <v>3.0722</v>
      </c>
      <c r="P138" s="176">
        <f>Calc!AY138</f>
        <v>1.0085290779388334</v>
      </c>
      <c r="Q138" s="177">
        <f>Calc!BC138</f>
        <v>-96.055814268142029</v>
      </c>
      <c r="R138" s="176">
        <f>Calc!BD138</f>
        <v>1.4844582505145911</v>
      </c>
      <c r="S138" s="70">
        <f>Input!E138</f>
        <v>15.8</v>
      </c>
      <c r="T138" s="68"/>
    </row>
    <row r="139" spans="1:20" x14ac:dyDescent="0.2">
      <c r="A139" s="13">
        <f>Input!A139</f>
        <v>10815</v>
      </c>
      <c r="B139" s="13" t="str">
        <f>Input!B139</f>
        <v>Hu1-13</v>
      </c>
      <c r="C139" s="172">
        <f>Calc!O139*1000</f>
        <v>13700.192516396441</v>
      </c>
      <c r="D139" s="172">
        <f>Calc!P139*1000</f>
        <v>4.9945700923209557</v>
      </c>
      <c r="E139" s="172">
        <f>Calc!X139</f>
        <v>0.96114655400790561</v>
      </c>
      <c r="F139" s="172">
        <f>Calc!Y139</f>
        <v>1.3654905510334365E-2</v>
      </c>
      <c r="G139" s="172">
        <f>Calc!AN139</f>
        <v>0.99484540609846051</v>
      </c>
      <c r="H139" s="173">
        <f>Calc!AO139</f>
        <v>6.3825309052111083E-3</v>
      </c>
      <c r="I139" s="15">
        <f>Calc!AH139</f>
        <v>43338.760359948887</v>
      </c>
      <c r="J139" s="15">
        <f>Calc!AI139</f>
        <v>675.39368590183949</v>
      </c>
      <c r="K139" s="15">
        <f>Calc!AJ139</f>
        <v>0.34840205901875976</v>
      </c>
      <c r="L139" s="15">
        <f>Calc!AK139</f>
        <v>1.1977998135995125</v>
      </c>
      <c r="M139" s="174">
        <f>Calc!AP139</f>
        <v>564.54570000000001</v>
      </c>
      <c r="N139" s="174" t="e">
        <f>Calc!AQ139</f>
        <v>#VALUE!</v>
      </c>
      <c r="O139" s="174">
        <f>Calc!AW139</f>
        <v>564.54380000000003</v>
      </c>
      <c r="P139" s="174">
        <f>Calc!AX139</f>
        <v>238.7442443649</v>
      </c>
      <c r="Q139" s="178">
        <f>Calc!BC139</f>
        <v>1.7139117860473527</v>
      </c>
      <c r="R139" s="174">
        <f>Calc!BD139</f>
        <v>5.92411591772143</v>
      </c>
      <c r="S139" s="15">
        <f>Input!E139</f>
        <v>0</v>
      </c>
      <c r="T139" s="68"/>
    </row>
    <row r="140" spans="1:20" x14ac:dyDescent="0.2">
      <c r="A140" s="68">
        <f>Input!A140</f>
        <v>11031</v>
      </c>
      <c r="B140" s="68" t="str">
        <f>Input!B140</f>
        <v>KMS6-15,8cm-e</v>
      </c>
      <c r="C140" s="175">
        <f>Calc!O140*1000</f>
        <v>82.524808303470934</v>
      </c>
      <c r="D140" s="175">
        <f>Calc!P140*1000</f>
        <v>1.1601929870270086E-2</v>
      </c>
      <c r="E140" s="175">
        <f>Calc!X140</f>
        <v>16.604440415662307</v>
      </c>
      <c r="F140" s="175">
        <f>Calc!Y140</f>
        <v>5.4953505413914028E-2</v>
      </c>
      <c r="G140" s="175">
        <f>Calc!AN140</f>
        <v>7.2553861512146572E-2</v>
      </c>
      <c r="H140" s="71">
        <f>Calc!AO140</f>
        <v>1.0762738459720804E-3</v>
      </c>
      <c r="I140" s="70">
        <f>Calc!AH140</f>
        <v>1.1004343677582507</v>
      </c>
      <c r="J140" s="70">
        <f>Calc!AI140</f>
        <v>1.6724613437482175E-2</v>
      </c>
      <c r="K140" s="70">
        <f>Calc!AJ140</f>
        <v>-96.083884597109588</v>
      </c>
      <c r="L140" s="70">
        <f>Calc!AK140</f>
        <v>1.0107091349434931</v>
      </c>
      <c r="M140" s="176">
        <f>Calc!AP140</f>
        <v>9.1369000000000007</v>
      </c>
      <c r="N140" s="176">
        <f>Calc!AQ140</f>
        <v>0.1497</v>
      </c>
      <c r="O140" s="176">
        <f>Calc!AW140</f>
        <v>2.9998999999999998</v>
      </c>
      <c r="P140" s="176">
        <f>Calc!AY140</f>
        <v>3.1610379410507581</v>
      </c>
      <c r="Q140" s="177">
        <f>Calc!BC140</f>
        <v>-96.900773915535964</v>
      </c>
      <c r="R140" s="176">
        <f>Calc!BD140</f>
        <v>1.3364853163726431</v>
      </c>
      <c r="S140" s="70">
        <f>Input!E140</f>
        <v>15.8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2">
        <f>Calc!O141*1000</f>
        <v>13694.435108840471</v>
      </c>
      <c r="D141" s="172">
        <f>Calc!P141*1000</f>
        <v>5.3022780726061098</v>
      </c>
      <c r="E141" s="172">
        <f>Calc!X141</f>
        <v>0.95986612923706061</v>
      </c>
      <c r="F141" s="172">
        <f>Calc!Y141</f>
        <v>1.4532917233594178E-2</v>
      </c>
      <c r="G141" s="172">
        <f>Calc!AN141</f>
        <v>1.0022071763949583</v>
      </c>
      <c r="H141" s="173">
        <f>Calc!AO141</f>
        <v>5.7021376878876803E-3</v>
      </c>
      <c r="I141" s="15">
        <f>Calc!AH141</f>
        <v>43699.331459219895</v>
      </c>
      <c r="J141" s="15">
        <f>Calc!AI141</f>
        <v>706.60368865935925</v>
      </c>
      <c r="K141" s="15">
        <f>Calc!AJ141</f>
        <v>0.14078938673312003</v>
      </c>
      <c r="L141" s="15">
        <f>Calc!AK141</f>
        <v>1.4142265482348704</v>
      </c>
      <c r="M141" s="174" t="str">
        <f>Calc!AP141</f>
        <v>Out of range</v>
      </c>
      <c r="N141" s="174" t="e">
        <f>Calc!AQ141</f>
        <v>#VALUE!</v>
      </c>
      <c r="O141" s="174" t="str">
        <f>Calc!AW141</f>
        <v>Out of range</v>
      </c>
      <c r="P141" s="174">
        <f>Calc!AX141</f>
        <v>317.5141916179</v>
      </c>
      <c r="Q141" s="178" t="e">
        <f>Calc!BC141</f>
        <v>#VALUE!</v>
      </c>
      <c r="R141" s="174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11032</v>
      </c>
      <c r="B142" s="68" t="str">
        <f>Input!B142</f>
        <v>KMS6-0,7cm-a</v>
      </c>
      <c r="C142" s="175">
        <f>Calc!O142*1000</f>
        <v>81.340675974479268</v>
      </c>
      <c r="D142" s="175">
        <f>Calc!P142*1000</f>
        <v>9.7173204493657007E-3</v>
      </c>
      <c r="E142" s="175">
        <f>Calc!X142</f>
        <v>68.038864597534555</v>
      </c>
      <c r="F142" s="175">
        <f>Calc!Y142</f>
        <v>0.14314264847659058</v>
      </c>
      <c r="G142" s="175">
        <f>Calc!AN142</f>
        <v>0.11185015019152378</v>
      </c>
      <c r="H142" s="71">
        <f>Calc!AO142</f>
        <v>9.4948877392080501E-4</v>
      </c>
      <c r="I142" s="70">
        <f>Calc!AH142</f>
        <v>0.40975726112555888</v>
      </c>
      <c r="J142" s="70">
        <f>Calc!AI142</f>
        <v>3.5833007019536755E-3</v>
      </c>
      <c r="K142" s="70">
        <f>Calc!AJ142</f>
        <v>-100.62648662596885</v>
      </c>
      <c r="L142" s="70">
        <f>Calc!AK142</f>
        <v>1.0774963246781801</v>
      </c>
      <c r="M142" s="176">
        <f>Calc!AP142</f>
        <v>14.517099999999999</v>
      </c>
      <c r="N142" s="176">
        <f>Calc!AQ142</f>
        <v>0.13370000000000001</v>
      </c>
      <c r="O142" s="176" t="str">
        <f>Calc!AW142</f>
        <v>Out of range</v>
      </c>
      <c r="P142" s="176" t="e">
        <f>Calc!AY142</f>
        <v>#VALUE!</v>
      </c>
      <c r="Q142" s="177" t="e">
        <f>Calc!BC142</f>
        <v>#VALUE!</v>
      </c>
      <c r="R142" s="176" t="e">
        <f>Calc!BD142</f>
        <v>#VALUE!</v>
      </c>
      <c r="S142" s="70">
        <f>Input!E142</f>
        <v>0.7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2">
        <f>Calc!O143*1000</f>
        <v>13703.290274317558</v>
      </c>
      <c r="D143" s="172">
        <f>Calc!P143*1000</f>
        <v>6.4513913368211044</v>
      </c>
      <c r="E143" s="172">
        <f>Calc!X143</f>
        <v>0.9638172448341078</v>
      </c>
      <c r="F143" s="172">
        <f>Calc!Y143</f>
        <v>1.3414241945858853E-2</v>
      </c>
      <c r="G143" s="172">
        <f>Calc!AN143</f>
        <v>1.0031213577715625</v>
      </c>
      <c r="H143" s="173">
        <f>Calc!AO143</f>
        <v>4.1902268028164626E-3</v>
      </c>
      <c r="I143" s="15">
        <f>Calc!AH143</f>
        <v>43588.053103593018</v>
      </c>
      <c r="J143" s="15">
        <f>Calc!AI143</f>
        <v>633.0527723244162</v>
      </c>
      <c r="K143" s="15">
        <f>Calc!AJ143</f>
        <v>-4.721035444142152</v>
      </c>
      <c r="L143" s="15">
        <f>Calc!AK143</f>
        <v>1.0879013536455544</v>
      </c>
      <c r="M143" s="174" t="str">
        <f>Calc!AP143</f>
        <v>Out of range</v>
      </c>
      <c r="N143" s="174" t="e">
        <f>Calc!AQ143</f>
        <v>#VALUE!</v>
      </c>
      <c r="O143" s="174" t="str">
        <f>Calc!AW143</f>
        <v>Out of range</v>
      </c>
      <c r="P143" s="174">
        <f>Calc!AX143</f>
        <v>0</v>
      </c>
      <c r="Q143" s="178" t="e">
        <f>Calc!BC143</f>
        <v>#VALUE!</v>
      </c>
      <c r="R143" s="174" t="e">
        <f>Calc!BD143</f>
        <v>#VALUE!</v>
      </c>
      <c r="S143" s="15">
        <f>Input!E143</f>
        <v>0</v>
      </c>
      <c r="T143" s="68"/>
    </row>
    <row r="144" spans="1:20" x14ac:dyDescent="0.2">
      <c r="A144" s="68">
        <f>Input!A144</f>
        <v>11033</v>
      </c>
      <c r="B144" s="68" t="str">
        <f>Input!B144</f>
        <v>KMS6-0,7cm-b</v>
      </c>
      <c r="C144" s="175">
        <f>Calc!O144*1000</f>
        <v>88.54872799371131</v>
      </c>
      <c r="D144" s="175">
        <f>Calc!P144*1000</f>
        <v>9.4250827421772428E-3</v>
      </c>
      <c r="E144" s="175">
        <f>Calc!X144</f>
        <v>4.3939389580135177</v>
      </c>
      <c r="F144" s="175">
        <f>Calc!Y144</f>
        <v>1.1474899831523236E-2</v>
      </c>
      <c r="G144" s="175">
        <f>Calc!AN144</f>
        <v>1.6239437608623591E-2</v>
      </c>
      <c r="H144" s="71">
        <f>Calc!AO144</f>
        <v>2.5430115704995325E-4</v>
      </c>
      <c r="I144" s="70">
        <f>Calc!AH144</f>
        <v>1.0014734267584655</v>
      </c>
      <c r="J144" s="70">
        <f>Calc!AI144</f>
        <v>1.5898783689065953E-2</v>
      </c>
      <c r="K144" s="70">
        <f>Calc!AJ144</f>
        <v>-104.52904338459834</v>
      </c>
      <c r="L144" s="70">
        <f>Calc!AK144</f>
        <v>0.87116379729320403</v>
      </c>
      <c r="M144" s="176">
        <f>Calc!AP144</f>
        <v>1.9964</v>
      </c>
      <c r="N144" s="176">
        <f>Calc!AQ144</f>
        <v>3.1800000000000002E-2</v>
      </c>
      <c r="O144" s="176">
        <f>Calc!AW144</f>
        <v>0.50270000000000004</v>
      </c>
      <c r="P144" s="176">
        <f>Calc!AY144</f>
        <v>0.75350935186097656</v>
      </c>
      <c r="Q144" s="177">
        <f>Calc!BC144</f>
        <v>-104.6774387018001</v>
      </c>
      <c r="R144" s="176">
        <f>Calc!BD144</f>
        <v>0.90034968748188804</v>
      </c>
      <c r="S144" s="70">
        <f>Input!E144</f>
        <v>0.7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2">
        <f>Calc!O145*1000</f>
        <v>13694.241617121148</v>
      </c>
      <c r="D145" s="172">
        <f>Calc!P145*1000</f>
        <v>5.1255921745808255</v>
      </c>
      <c r="E145" s="172">
        <f>Calc!X145</f>
        <v>0.94752912475368445</v>
      </c>
      <c r="F145" s="172">
        <f>Calc!Y145</f>
        <v>1.7729912584256366E-2</v>
      </c>
      <c r="G145" s="172">
        <f>Calc!AN145</f>
        <v>0.99944217789309542</v>
      </c>
      <c r="H145" s="173">
        <f>Calc!AO145</f>
        <v>5.1406719442396286E-3</v>
      </c>
      <c r="I145" s="15">
        <f>Calc!AH145</f>
        <v>44145.548858282287</v>
      </c>
      <c r="J145" s="15">
        <f>Calc!AI145</f>
        <v>856.52023803912311</v>
      </c>
      <c r="K145" s="15">
        <f>Calc!AJ145</f>
        <v>-1.0316861257576582</v>
      </c>
      <c r="L145" s="15">
        <f>Calc!AK145</f>
        <v>1.3130489559414444</v>
      </c>
      <c r="M145" s="174" t="str">
        <f>Calc!AP145</f>
        <v>Out of range</v>
      </c>
      <c r="N145" s="174" t="e">
        <f>Calc!AQ145</f>
        <v>#VALUE!</v>
      </c>
      <c r="O145" s="174" t="str">
        <f>Calc!AW145</f>
        <v>Out of range</v>
      </c>
      <c r="P145" s="174">
        <f>Calc!AX145</f>
        <v>321.52022058580002</v>
      </c>
      <c r="Q145" s="178" t="e">
        <f>Calc!BC145</f>
        <v>#VALUE!</v>
      </c>
      <c r="R145" s="174" t="e">
        <f>Calc!BD145</f>
        <v>#VALUE!</v>
      </c>
      <c r="S145" s="15">
        <f>Input!E145</f>
        <v>0</v>
      </c>
      <c r="T145" s="68"/>
    </row>
    <row r="146" spans="1:20" x14ac:dyDescent="0.2">
      <c r="A146" s="68">
        <f>Input!A146</f>
        <v>11034</v>
      </c>
      <c r="B146" s="68" t="str">
        <f>Input!B146</f>
        <v>KMS6-0,7cm-c</v>
      </c>
      <c r="C146" s="175">
        <f>Calc!O146*1000</f>
        <v>94.157155661073304</v>
      </c>
      <c r="D146" s="175">
        <f>Calc!P146*1000</f>
        <v>9.4999400352722575E-3</v>
      </c>
      <c r="E146" s="175">
        <f>Calc!X146</f>
        <v>2.8020604550303418</v>
      </c>
      <c r="F146" s="175">
        <f>Calc!Y146</f>
        <v>6.5235804058739874E-3</v>
      </c>
      <c r="G146" s="175">
        <f>Calc!AN146</f>
        <v>1.3799924372253695E-2</v>
      </c>
      <c r="H146" s="71">
        <f>Calc!AO146</f>
        <v>2.8923575188363439E-4</v>
      </c>
      <c r="I146" s="70">
        <f>Calc!AH146</f>
        <v>1.4115254340703656</v>
      </c>
      <c r="J146" s="70">
        <f>Calc!AI146</f>
        <v>2.9766098003237651E-2</v>
      </c>
      <c r="K146" s="70">
        <f>Calc!AJ146</f>
        <v>-108.47852294166016</v>
      </c>
      <c r="L146" s="70">
        <f>Calc!AK146</f>
        <v>1.2034599480808403</v>
      </c>
      <c r="M146" s="176">
        <f>Calc!AP146</f>
        <v>1.7016</v>
      </c>
      <c r="N146" s="176">
        <f>Calc!AQ146</f>
        <v>3.3399999999999999E-2</v>
      </c>
      <c r="O146" s="176">
        <f>Calc!AW146</f>
        <v>0.80430000000000001</v>
      </c>
      <c r="P146" s="176">
        <f>Calc!AY146</f>
        <v>0.45251306723491308</v>
      </c>
      <c r="Q146" s="177">
        <f>Calc!BC146</f>
        <v>-108.7250252810566</v>
      </c>
      <c r="R146" s="176">
        <f>Calc!BD146</f>
        <v>1.2141594430611555</v>
      </c>
      <c r="S146" s="70">
        <f>Input!E146</f>
        <v>0.7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2">
        <f>Calc!O147*1000</f>
        <v>13701.213357605264</v>
      </c>
      <c r="D147" s="172">
        <f>Calc!P147*1000</f>
        <v>4.600702943083169</v>
      </c>
      <c r="E147" s="172">
        <f>Calc!X147</f>
        <v>0.95171406999877672</v>
      </c>
      <c r="F147" s="172">
        <f>Calc!Y147</f>
        <v>1.0898828529028865E-2</v>
      </c>
      <c r="G147" s="172">
        <f>Calc!AN147</f>
        <v>0.99252573527111221</v>
      </c>
      <c r="H147" s="173">
        <f>Calc!AO147</f>
        <v>6.3532137420932375E-3</v>
      </c>
      <c r="I147" s="15">
        <f>Calc!AH147</f>
        <v>43669.492521261549</v>
      </c>
      <c r="J147" s="15">
        <f>Calc!AI147</f>
        <v>572.72708937852985</v>
      </c>
      <c r="K147" s="15">
        <f>Calc!AJ147</f>
        <v>2.0436488980615231</v>
      </c>
      <c r="L147" s="15">
        <f>Calc!AK147</f>
        <v>1.7995802819021378</v>
      </c>
      <c r="M147" s="174">
        <f>Calc!AP147</f>
        <v>498.92809999999997</v>
      </c>
      <c r="N147" s="174" t="e">
        <f>Calc!AQ147</f>
        <v>#VALUE!</v>
      </c>
      <c r="O147" s="174">
        <f>Calc!AW147</f>
        <v>498.92630000000003</v>
      </c>
      <c r="P147" s="174">
        <f>Calc!AX147</f>
        <v>165.6736748877</v>
      </c>
      <c r="Q147" s="178">
        <f>Calc!BC147</f>
        <v>8.35396970598166</v>
      </c>
      <c r="R147" s="174">
        <f>Calc!BD147</f>
        <v>7.5457798623757384</v>
      </c>
      <c r="S147" s="15">
        <f>Input!E147</f>
        <v>0</v>
      </c>
      <c r="T147" s="68"/>
    </row>
    <row r="148" spans="1:20" ht="13.5" customHeight="1" x14ac:dyDescent="0.2">
      <c r="H148" s="75"/>
    </row>
    <row r="149" spans="1:20" x14ac:dyDescent="0.2">
      <c r="A149" s="13">
        <f>Input!A149</f>
        <v>10815</v>
      </c>
      <c r="B149" s="13" t="str">
        <f>Input!B149</f>
        <v>Hu1-13</v>
      </c>
      <c r="C149" s="172">
        <f>Calc!O149*1000</f>
        <v>13701.899469593855</v>
      </c>
      <c r="D149" s="172">
        <f>Calc!P149*1000</f>
        <v>2.0401542615097013</v>
      </c>
      <c r="E149" s="172">
        <f>Calc!X149</f>
        <v>0.98072543924548461</v>
      </c>
      <c r="F149" s="172">
        <f>Calc!Y149</f>
        <v>3.8662519571025255E-3</v>
      </c>
      <c r="G149" s="172">
        <f>Calc!AN149</f>
        <v>0.99461730482435962</v>
      </c>
      <c r="H149" s="173">
        <f>Calc!AO149</f>
        <v>2.6754256434820783E-3</v>
      </c>
      <c r="I149" s="15">
        <f>Calc!AH149</f>
        <v>42469.111615393012</v>
      </c>
      <c r="J149" s="15">
        <f>Calc!AI149</f>
        <v>202.58544389350061</v>
      </c>
      <c r="K149" s="15">
        <f>Calc!AJ149</f>
        <v>-1.1946185801638975</v>
      </c>
      <c r="L149" s="15">
        <f>Calc!AK149</f>
        <v>1.2498267601594455</v>
      </c>
      <c r="M149" s="174">
        <f>Calc!AP149</f>
        <v>610.80290000000002</v>
      </c>
      <c r="N149" s="174" t="e">
        <f>Calc!AQ149</f>
        <v>#VALUE!</v>
      </c>
      <c r="O149" s="174">
        <f>Calc!AW149</f>
        <v>610.80100000000004</v>
      </c>
      <c r="P149" s="174">
        <f>Calc!AX149</f>
        <v>233.7539841112</v>
      </c>
      <c r="Q149" s="178">
        <f>Calc!BC149</f>
        <v>-6.6962256022747706</v>
      </c>
      <c r="R149" s="174">
        <f>Calc!BD149</f>
        <v>7.2309016121848275</v>
      </c>
      <c r="S149" s="15">
        <f>Input!E149</f>
        <v>0</v>
      </c>
      <c r="T149" s="68"/>
    </row>
    <row r="150" spans="1:20" x14ac:dyDescent="0.2">
      <c r="A150" s="68">
        <f>Input!A150</f>
        <v>11065</v>
      </c>
      <c r="B150" s="68" t="str">
        <f>Input!B150</f>
        <v>NAH14-103</v>
      </c>
      <c r="C150" s="175">
        <f>Calc!O150*1000</f>
        <v>1602.2015773651078</v>
      </c>
      <c r="D150" s="175">
        <f>Calc!P150*1000</f>
        <v>0.10031200913544674</v>
      </c>
      <c r="E150" s="175">
        <f>Calc!X150</f>
        <v>4.5929235273592495E-2</v>
      </c>
      <c r="F150" s="175">
        <f>Calc!Y150</f>
        <v>1.9187062449076196E-4</v>
      </c>
      <c r="G150" s="175">
        <f>Calc!AN150</f>
        <v>9.8035464393342278E-2</v>
      </c>
      <c r="H150" s="71">
        <f>Calc!AO150</f>
        <v>3.9496711815659993E-4</v>
      </c>
      <c r="I150" s="70">
        <f>Calc!AH150</f>
        <v>10389.909477381025</v>
      </c>
      <c r="J150" s="70">
        <f>Calc!AI150</f>
        <v>60.296569485306115</v>
      </c>
      <c r="K150" s="70">
        <f>Calc!AJ150</f>
        <v>16.47572290978183</v>
      </c>
      <c r="L150" s="70">
        <f>Calc!AK150</f>
        <v>0.60621822309767626</v>
      </c>
      <c r="M150" s="176">
        <f>Calc!AP150</f>
        <v>11.0564</v>
      </c>
      <c r="N150" s="176">
        <f>Calc!AQ150</f>
        <v>4.3999999999999997E-2</v>
      </c>
      <c r="O150" s="176">
        <f>Calc!AW150</f>
        <v>11.0557</v>
      </c>
      <c r="P150" s="176">
        <f>Calc!AY150</f>
        <v>4.7454363274892206E-2</v>
      </c>
      <c r="Q150" s="177">
        <f>Calc!BC150</f>
        <v>16.997866010209172</v>
      </c>
      <c r="R150" s="176">
        <f>Calc!BD150</f>
        <v>0.6254344307915225</v>
      </c>
      <c r="S150" s="70">
        <f>Input!E150</f>
        <v>103</v>
      </c>
      <c r="T150" s="68"/>
    </row>
    <row r="151" spans="1:20" x14ac:dyDescent="0.2">
      <c r="A151" s="13">
        <f>Input!A151</f>
        <v>10815</v>
      </c>
      <c r="B151" s="13" t="str">
        <f>Input!B151</f>
        <v>Hu1-13</v>
      </c>
      <c r="C151" s="172">
        <f>Calc!O151*1000</f>
        <v>13697.803487050085</v>
      </c>
      <c r="D151" s="172">
        <f>Calc!P151*1000</f>
        <v>1.9342430929029131</v>
      </c>
      <c r="E151" s="172">
        <f>Calc!X151</f>
        <v>0.9957314656512114</v>
      </c>
      <c r="F151" s="172">
        <f>Calc!Y151</f>
        <v>5.6914661935231516E-3</v>
      </c>
      <c r="G151" s="172">
        <f>Calc!AN151</f>
        <v>0.99352185339444099</v>
      </c>
      <c r="H151" s="173">
        <f>Calc!AO151</f>
        <v>2.9206704584191418E-3</v>
      </c>
      <c r="I151" s="15">
        <f>Calc!AH151</f>
        <v>41770.526903525679</v>
      </c>
      <c r="J151" s="15">
        <f>Calc!AI151</f>
        <v>268.41614606845144</v>
      </c>
      <c r="K151" s="15">
        <f>Calc!AJ151</f>
        <v>0.83705325458449664</v>
      </c>
      <c r="L151" s="15">
        <f>Calc!AK151</f>
        <v>1.3118184642805062</v>
      </c>
      <c r="M151" s="174">
        <f>Calc!AP151</f>
        <v>531.44159999999999</v>
      </c>
      <c r="N151" s="174" t="e">
        <f>Calc!AQ151</f>
        <v>#VALUE!</v>
      </c>
      <c r="O151" s="174">
        <f>Calc!AW151</f>
        <v>531.43970000000002</v>
      </c>
      <c r="P151" s="174">
        <f>Calc!AX151</f>
        <v>105.9029399945</v>
      </c>
      <c r="Q151" s="178">
        <f>Calc!BC151</f>
        <v>3.750492387943213</v>
      </c>
      <c r="R151" s="174">
        <f>Calc!BD151</f>
        <v>5.9002977830028049</v>
      </c>
      <c r="S151" s="15">
        <f>Input!E151</f>
        <v>0</v>
      </c>
      <c r="T151" s="68"/>
    </row>
    <row r="152" spans="1:20" ht="13.5" customHeight="1" x14ac:dyDescent="0.2">
      <c r="H152" s="75"/>
    </row>
    <row r="153" spans="1:20" x14ac:dyDescent="0.2">
      <c r="A153" s="13">
        <f>Input!A153</f>
        <v>10815</v>
      </c>
      <c r="B153" s="13" t="str">
        <f>Input!B153</f>
        <v>Hu1-13</v>
      </c>
      <c r="C153" s="172">
        <f>Calc!O153*1000</f>
        <v>13700.157384303897</v>
      </c>
      <c r="D153" s="172">
        <f>Calc!P153*1000</f>
        <v>1.779799502760026</v>
      </c>
      <c r="E153" s="172">
        <f>Calc!X153</f>
        <v>1.0023872267977969</v>
      </c>
      <c r="F153" s="172">
        <f>Calc!Y153</f>
        <v>5.6375799949115821E-3</v>
      </c>
      <c r="G153" s="172">
        <f>Calc!AN153</f>
        <v>0.99915735671217221</v>
      </c>
      <c r="H153" s="173">
        <f>Calc!AO153</f>
        <v>4.1705644742379968E-3</v>
      </c>
      <c r="I153" s="15">
        <f>Calc!AH153</f>
        <v>41735.70480724705</v>
      </c>
      <c r="J153" s="15">
        <f>Calc!AI153</f>
        <v>292.26077514899782</v>
      </c>
      <c r="K153" s="15">
        <f>Calc!AJ153</f>
        <v>-8.323622358963334E-2</v>
      </c>
      <c r="L153" s="15">
        <f>Calc!AK153</f>
        <v>2.1794300247089864</v>
      </c>
      <c r="M153" s="174">
        <f>Calc!AP153</f>
        <v>788.59069999999997</v>
      </c>
      <c r="N153" s="174" t="e">
        <f>Calc!AQ153</f>
        <v>#VALUE!</v>
      </c>
      <c r="O153" s="174">
        <f>Calc!AW153</f>
        <v>788.58870000000002</v>
      </c>
      <c r="P153" s="174">
        <f>Calc!AX153</f>
        <v>323.27662004600001</v>
      </c>
      <c r="Q153" s="178">
        <f>Calc!BC153</f>
        <v>-0.7705675023949079</v>
      </c>
      <c r="R153" s="174">
        <f>Calc!BD153</f>
        <v>20.247473149679088</v>
      </c>
      <c r="S153" s="15">
        <f>Input!E153</f>
        <v>0</v>
      </c>
      <c r="T153" s="68"/>
    </row>
    <row r="154" spans="1:20" x14ac:dyDescent="0.2">
      <c r="A154" s="68">
        <f>Input!A154</f>
        <v>11051</v>
      </c>
      <c r="B154" s="68" t="str">
        <f>Input!B154</f>
        <v>E4-Top</v>
      </c>
      <c r="C154" s="175">
        <f>Calc!O154*1000</f>
        <v>1126.1448746634396</v>
      </c>
      <c r="D154" s="175">
        <f>Calc!P154*1000</f>
        <v>6.0558093151022625E-2</v>
      </c>
      <c r="E154" s="175">
        <f>Calc!X154</f>
        <v>8.6459869432277277</v>
      </c>
      <c r="F154" s="175">
        <f>Calc!Y154</f>
        <v>1.7731651332936537E-2</v>
      </c>
      <c r="G154" s="175">
        <f>Calc!AN154</f>
        <v>2.2054017885676867E-2</v>
      </c>
      <c r="H154" s="71">
        <f>Calc!AO154</f>
        <v>1.7413246171446095E-4</v>
      </c>
      <c r="I154" s="70">
        <f>Calc!AH154</f>
        <v>8.767310738782248</v>
      </c>
      <c r="J154" s="70">
        <f>Calc!AI154</f>
        <v>7.1519754223957871E-2</v>
      </c>
      <c r="K154" s="70">
        <f>Calc!AJ154</f>
        <v>8.4019735616067681</v>
      </c>
      <c r="L154" s="70">
        <f>Calc!AK154</f>
        <v>1.0794882798776813</v>
      </c>
      <c r="M154" s="176">
        <f>Calc!AP154</f>
        <v>2.4112</v>
      </c>
      <c r="N154" s="176">
        <f>Calc!AQ154</f>
        <v>2.12E-2</v>
      </c>
      <c r="O154" s="176">
        <f>Calc!AW154</f>
        <v>2.2073</v>
      </c>
      <c r="P154" s="176">
        <f>Calc!AY154</f>
        <v>0.10402734124680911</v>
      </c>
      <c r="Q154" s="177">
        <f>Calc!BC154</f>
        <v>8.4544739187982945</v>
      </c>
      <c r="R154" s="176">
        <f>Calc!BD154</f>
        <v>1.0862363783575866</v>
      </c>
      <c r="S154" s="70" t="str">
        <f>Input!E154</f>
        <v>Top</v>
      </c>
      <c r="T154" s="68"/>
    </row>
    <row r="155" spans="1:20" x14ac:dyDescent="0.2">
      <c r="A155" s="13">
        <f>Input!A155</f>
        <v>10815</v>
      </c>
      <c r="B155" s="13" t="str">
        <f>Input!B155</f>
        <v>Hu1-13</v>
      </c>
      <c r="C155" s="172">
        <f>Calc!O155*1000</f>
        <v>13697.475521593435</v>
      </c>
      <c r="D155" s="172">
        <f>Calc!P155*1000</f>
        <v>1.5774842599365613</v>
      </c>
      <c r="E155" s="172">
        <f>Calc!X155</f>
        <v>1.0130234200777388</v>
      </c>
      <c r="F155" s="172">
        <f>Calc!Y155</f>
        <v>5.098499943939642E-3</v>
      </c>
      <c r="G155" s="172">
        <f>Calc!AN155</f>
        <v>0.99815116144016647</v>
      </c>
      <c r="H155" s="173">
        <f>Calc!AO155</f>
        <v>3.604733623000296E-3</v>
      </c>
      <c r="I155" s="15">
        <f>Calc!AH155</f>
        <v>41247.838262000907</v>
      </c>
      <c r="J155" s="15">
        <f>Calc!AI155</f>
        <v>255.46916321032012</v>
      </c>
      <c r="K155" s="15">
        <f>Calc!AJ155</f>
        <v>-0.55927829138457952</v>
      </c>
      <c r="L155" s="15">
        <f>Calc!AK155</f>
        <v>1.6050152022937663</v>
      </c>
      <c r="M155" s="174">
        <f>Calc!AP155</f>
        <v>748.15350000000001</v>
      </c>
      <c r="N155" s="174" t="e">
        <f>Calc!AQ155</f>
        <v>#VALUE!</v>
      </c>
      <c r="O155" s="174">
        <f>Calc!AW155</f>
        <v>748.15150000000006</v>
      </c>
      <c r="P155" s="174">
        <f>Calc!AX155</f>
        <v>343.90262109439999</v>
      </c>
      <c r="Q155" s="178">
        <f>Calc!BC155</f>
        <v>-4.6191944585963771</v>
      </c>
      <c r="R155" s="174">
        <f>Calc!BD155</f>
        <v>14.461699310705175</v>
      </c>
      <c r="S155" s="15">
        <f>Input!E155</f>
        <v>0</v>
      </c>
      <c r="T155" s="68"/>
    </row>
    <row r="156" spans="1:20" x14ac:dyDescent="0.2">
      <c r="A156" s="68">
        <f>Input!A156</f>
        <v>11052</v>
      </c>
      <c r="B156" s="68" t="str">
        <f>Input!B156</f>
        <v>E4-10</v>
      </c>
      <c r="C156" s="175">
        <f>Calc!O156*1000</f>
        <v>1153.2353176726483</v>
      </c>
      <c r="D156" s="175">
        <f>Calc!P156*1000</f>
        <v>7.558105644151214E-2</v>
      </c>
      <c r="E156" s="175">
        <f>Calc!X156</f>
        <v>2.2912917012859912</v>
      </c>
      <c r="F156" s="175">
        <f>Calc!Y156</f>
        <v>4.1230640071918687E-3</v>
      </c>
      <c r="G156" s="175">
        <f>Calc!AN156</f>
        <v>1.1789044949680888E-2</v>
      </c>
      <c r="H156" s="71">
        <f>Calc!AO156</f>
        <v>1.1615187653548086E-4</v>
      </c>
      <c r="I156" s="70">
        <f>Calc!AH156</f>
        <v>18.100237848356517</v>
      </c>
      <c r="J156" s="70">
        <f>Calc!AI156</f>
        <v>0.18127910065421596</v>
      </c>
      <c r="K156" s="70">
        <f>Calc!AJ156</f>
        <v>8.0768555702548372</v>
      </c>
      <c r="L156" s="70">
        <f>Calc!AK156</f>
        <v>0.89242558141320305</v>
      </c>
      <c r="M156" s="176">
        <f>Calc!AP156</f>
        <v>1.2827</v>
      </c>
      <c r="N156" s="176">
        <f>Calc!AQ156</f>
        <v>1.2699999999999999E-2</v>
      </c>
      <c r="O156" s="176">
        <f>Calc!AW156</f>
        <v>1.23</v>
      </c>
      <c r="P156" s="176">
        <f>Calc!AY156</f>
        <v>2.9347445055768057E-2</v>
      </c>
      <c r="Q156" s="177">
        <f>Calc!BC156</f>
        <v>8.1049401310579015</v>
      </c>
      <c r="R156" s="176">
        <f>Calc!BD156</f>
        <v>0.89552894412657913</v>
      </c>
      <c r="S156" s="70">
        <f>Input!E156</f>
        <v>10</v>
      </c>
      <c r="T156" s="68"/>
    </row>
    <row r="157" spans="1:20" x14ac:dyDescent="0.2">
      <c r="A157" s="13">
        <f>Input!A157</f>
        <v>10815</v>
      </c>
      <c r="B157" s="13" t="str">
        <f>Input!B157</f>
        <v>Hu1-13</v>
      </c>
      <c r="C157" s="172">
        <f>Calc!O157*1000</f>
        <v>13700.81447322472</v>
      </c>
      <c r="D157" s="172">
        <f>Calc!P157*1000</f>
        <v>1.8783745048834775</v>
      </c>
      <c r="E157" s="172">
        <f>Calc!X157</f>
        <v>1.0026933737422072</v>
      </c>
      <c r="F157" s="172">
        <f>Calc!Y157</f>
        <v>5.1527487646476433E-3</v>
      </c>
      <c r="G157" s="172">
        <f>Calc!AN157</f>
        <v>0.99809582101395267</v>
      </c>
      <c r="H157" s="173">
        <f>Calc!AO157</f>
        <v>3.489359306521226E-3</v>
      </c>
      <c r="I157" s="15">
        <f>Calc!AH157</f>
        <v>41680.633100933512</v>
      </c>
      <c r="J157" s="15">
        <f>Calc!AI157</f>
        <v>258.99644815964012</v>
      </c>
      <c r="K157" s="15">
        <f>Calc!AJ157</f>
        <v>0.70072672766197108</v>
      </c>
      <c r="L157" s="15">
        <f>Calc!AK157</f>
        <v>1.5567985225316259</v>
      </c>
      <c r="M157" s="174">
        <f>Calc!AP157</f>
        <v>637.20669999999996</v>
      </c>
      <c r="N157" s="174" t="e">
        <f>Calc!AQ157</f>
        <v>#VALUE!</v>
      </c>
      <c r="O157" s="174">
        <f>Calc!AW157</f>
        <v>637.2047</v>
      </c>
      <c r="P157" s="174">
        <f>Calc!AX157</f>
        <v>291.51754553360001</v>
      </c>
      <c r="Q157" s="178">
        <f>Calc!BC157</f>
        <v>4.2316525713908515</v>
      </c>
      <c r="R157" s="174">
        <f>Calc!BD157</f>
        <v>9.5789677955202581</v>
      </c>
      <c r="S157" s="15">
        <f>Input!E157</f>
        <v>0</v>
      </c>
      <c r="T157" s="68"/>
    </row>
    <row r="158" spans="1:20" x14ac:dyDescent="0.2">
      <c r="A158" s="68">
        <f>Input!A158</f>
        <v>11053</v>
      </c>
      <c r="B158" s="68" t="str">
        <f>Input!B158</f>
        <v>E4-37</v>
      </c>
      <c r="C158" s="175">
        <f>Calc!O158*1000</f>
        <v>744.66860784049618</v>
      </c>
      <c r="D158" s="175">
        <f>Calc!P158*1000</f>
        <v>3.1737773387791358E-2</v>
      </c>
      <c r="E158" s="175">
        <f>Calc!X158</f>
        <v>1.1864534525142549</v>
      </c>
      <c r="F158" s="175">
        <f>Calc!Y158</f>
        <v>3.0993463491790535E-3</v>
      </c>
      <c r="G158" s="175">
        <f>Calc!AN158</f>
        <v>1.5802615425265686E-2</v>
      </c>
      <c r="H158" s="71">
        <f>Calc!AO158</f>
        <v>1.5318457516382561E-4</v>
      </c>
      <c r="I158" s="70">
        <f>Calc!AH158</f>
        <v>30.235970107104556</v>
      </c>
      <c r="J158" s="70">
        <f>Calc!AI158</f>
        <v>0.30354938525327119</v>
      </c>
      <c r="K158" s="70">
        <f>Calc!AJ158</f>
        <v>6.5246901651012656</v>
      </c>
      <c r="L158" s="70">
        <f>Calc!AK158</f>
        <v>0.92307711177040452</v>
      </c>
      <c r="M158" s="176">
        <f>Calc!AP158</f>
        <v>1.7256</v>
      </c>
      <c r="N158" s="176">
        <f>Calc!AQ158</f>
        <v>1.52E-2</v>
      </c>
      <c r="O158" s="176">
        <f>Calc!AW158</f>
        <v>1.6832</v>
      </c>
      <c r="P158" s="176">
        <f>Calc!AY158</f>
        <v>2.7159624195164597E-2</v>
      </c>
      <c r="Q158" s="177">
        <f>Calc!BC158</f>
        <v>6.5557567658725233</v>
      </c>
      <c r="R158" s="176">
        <f>Calc!BD158</f>
        <v>0.92747237889756939</v>
      </c>
      <c r="S158" s="70">
        <f>Input!E158</f>
        <v>37</v>
      </c>
      <c r="T158" s="68"/>
    </row>
    <row r="159" spans="1:20" x14ac:dyDescent="0.2">
      <c r="A159" s="13">
        <f>Input!A159</f>
        <v>10815</v>
      </c>
      <c r="B159" s="13" t="str">
        <f>Input!B159</f>
        <v>Hu1-13</v>
      </c>
      <c r="C159" s="172">
        <f>Calc!O159*1000</f>
        <v>13696.243766865598</v>
      </c>
      <c r="D159" s="172">
        <f>Calc!P159*1000</f>
        <v>1.5608172121828059</v>
      </c>
      <c r="E159" s="172">
        <f>Calc!X159</f>
        <v>1.0060090358253662</v>
      </c>
      <c r="F159" s="172">
        <f>Calc!Y159</f>
        <v>5.6964977366627308E-3</v>
      </c>
      <c r="G159" s="172">
        <f>Calc!AN159</f>
        <v>0.9968392294319256</v>
      </c>
      <c r="H159" s="173">
        <f>Calc!AO159</f>
        <v>4.0224023657019509E-3</v>
      </c>
      <c r="I159" s="15">
        <f>Calc!AH159</f>
        <v>41477.115453656232</v>
      </c>
      <c r="J159" s="15">
        <f>Calc!AI159</f>
        <v>288.35721146007683</v>
      </c>
      <c r="K159" s="15">
        <f>Calc!AJ159</f>
        <v>2.0055536865053458</v>
      </c>
      <c r="L159" s="15">
        <f>Calc!AK159</f>
        <v>1.5937779603003459</v>
      </c>
      <c r="M159" s="174">
        <f>Calc!AP159</f>
        <v>558.34490000000005</v>
      </c>
      <c r="N159" s="174" t="e">
        <f>Calc!AQ159</f>
        <v>#VALUE!</v>
      </c>
      <c r="O159" s="174">
        <f>Calc!AW159</f>
        <v>558.34299999999996</v>
      </c>
      <c r="P159" s="174">
        <f>Calc!AX159</f>
        <v>221.37317018389999</v>
      </c>
      <c r="Q159" s="178">
        <f>Calc!BC159</f>
        <v>9.6948771980057007</v>
      </c>
      <c r="R159" s="174">
        <f>Calc!BD159</f>
        <v>8.0299780949370998</v>
      </c>
      <c r="S159" s="15">
        <f>Input!E159</f>
        <v>0</v>
      </c>
      <c r="T159" s="68"/>
    </row>
    <row r="160" spans="1:20" x14ac:dyDescent="0.2">
      <c r="A160" s="68">
        <f>Input!A160</f>
        <v>11054</v>
      </c>
      <c r="B160" s="68" t="str">
        <f>Input!B160</f>
        <v>E4-40</v>
      </c>
      <c r="C160" s="175">
        <f>Calc!O160*1000</f>
        <v>658.99841584163562</v>
      </c>
      <c r="D160" s="175">
        <f>Calc!P160*1000</f>
        <v>3.6018592100603722E-2</v>
      </c>
      <c r="E160" s="175">
        <f>Calc!X160</f>
        <v>1.1795990106676366</v>
      </c>
      <c r="F160" s="175">
        <f>Calc!Y160</f>
        <v>2.2489584947156627E-3</v>
      </c>
      <c r="G160" s="175">
        <f>Calc!AN160</f>
        <v>1.7791201447838304E-2</v>
      </c>
      <c r="H160" s="71">
        <f>Calc!AO160</f>
        <v>1.4472465160296992E-4</v>
      </c>
      <c r="I160" s="70">
        <f>Calc!AH160</f>
        <v>30.303669000455187</v>
      </c>
      <c r="J160" s="70">
        <f>Calc!AI160</f>
        <v>0.25318340628428126</v>
      </c>
      <c r="K160" s="70">
        <f>Calc!AJ160</f>
        <v>7.5488542597208497</v>
      </c>
      <c r="L160" s="70">
        <f>Calc!AK160</f>
        <v>0.97702302201854696</v>
      </c>
      <c r="M160" s="176">
        <f>Calc!AP160</f>
        <v>1.9427000000000001</v>
      </c>
      <c r="N160" s="176">
        <f>Calc!AQ160</f>
        <v>1.4800000000000001E-2</v>
      </c>
      <c r="O160" s="176">
        <f>Calc!AW160</f>
        <v>1.8951</v>
      </c>
      <c r="P160" s="176">
        <f>Calc!AY160</f>
        <v>2.8730686462082804E-2</v>
      </c>
      <c r="Q160" s="177">
        <f>Calc!BC160</f>
        <v>7.5893343297554452</v>
      </c>
      <c r="R160" s="176">
        <f>Calc!BD160</f>
        <v>0.98226241517286961</v>
      </c>
      <c r="S160" s="70">
        <f>Input!E160</f>
        <v>40</v>
      </c>
      <c r="T160" s="68"/>
    </row>
    <row r="161" spans="1:20" x14ac:dyDescent="0.2">
      <c r="A161" s="13">
        <f>Input!A161</f>
        <v>10815</v>
      </c>
      <c r="B161" s="13" t="str">
        <f>Input!B161</f>
        <v>Hu1-13</v>
      </c>
      <c r="C161" s="172">
        <f>Calc!O161*1000</f>
        <v>13700.07672497265</v>
      </c>
      <c r="D161" s="172">
        <f>Calc!P161*1000</f>
        <v>1.6391496862367805</v>
      </c>
      <c r="E161" s="172">
        <f>Calc!X161</f>
        <v>1.0120945053258239</v>
      </c>
      <c r="F161" s="172">
        <f>Calc!Y161</f>
        <v>5.920858561476343E-3</v>
      </c>
      <c r="G161" s="172">
        <f>Calc!AN161</f>
        <v>0.99835937305883349</v>
      </c>
      <c r="H161" s="173">
        <f>Calc!AO161</f>
        <v>3.8799873395309768E-3</v>
      </c>
      <c r="I161" s="15">
        <f>Calc!AH161</f>
        <v>41302.150147643923</v>
      </c>
      <c r="J161" s="15">
        <f>Calc!AI161</f>
        <v>290.03764838329204</v>
      </c>
      <c r="K161" s="15">
        <f>Calc!AJ161</f>
        <v>-0.82806261800982828</v>
      </c>
      <c r="L161" s="15">
        <f>Calc!AK161</f>
        <v>1.3935119409903578</v>
      </c>
      <c r="M161" s="174">
        <f>Calc!AP161</f>
        <v>840.28560000000004</v>
      </c>
      <c r="N161" s="174" t="e">
        <f>Calc!AQ161</f>
        <v>#VALUE!</v>
      </c>
      <c r="O161" s="174">
        <f>Calc!AW161</f>
        <v>840.28359999999998</v>
      </c>
      <c r="P161" s="174">
        <f>Calc!AX161</f>
        <v>336.81040045719999</v>
      </c>
      <c r="Q161" s="178">
        <f>Calc!BC161</f>
        <v>-8.869906316032802</v>
      </c>
      <c r="R161" s="174">
        <f>Calc!BD161</f>
        <v>30.38956964511782</v>
      </c>
      <c r="S161" s="15">
        <f>Input!E161</f>
        <v>0</v>
      </c>
      <c r="T161" s="68"/>
    </row>
    <row r="162" spans="1:20" x14ac:dyDescent="0.2">
      <c r="A162" s="68">
        <f>Input!A162</f>
        <v>11055</v>
      </c>
      <c r="B162" s="68" t="str">
        <f>Input!B162</f>
        <v>E8-26</v>
      </c>
      <c r="C162" s="175">
        <f>Calc!O162*1000</f>
        <v>882.44678505748277</v>
      </c>
      <c r="D162" s="175">
        <f>Calc!P162*1000</f>
        <v>5.350484603815079E-2</v>
      </c>
      <c r="E162" s="175">
        <f>Calc!X162</f>
        <v>5.1445823536665602E-2</v>
      </c>
      <c r="F162" s="175">
        <f>Calc!Y162</f>
        <v>1.7930964456496764E-4</v>
      </c>
      <c r="G162" s="175">
        <f>Calc!AN162</f>
        <v>4.7289564321472757E-3</v>
      </c>
      <c r="H162" s="71">
        <f>Calc!AO162</f>
        <v>8.8758191415901677E-5</v>
      </c>
      <c r="I162" s="70">
        <f>Calc!AH162</f>
        <v>247.09354426414123</v>
      </c>
      <c r="J162" s="70">
        <f>Calc!AI162</f>
        <v>4.7169826757817717</v>
      </c>
      <c r="K162" s="70">
        <f>Calc!AJ162</f>
        <v>13.675580095287909</v>
      </c>
      <c r="L162" s="70">
        <f>Calc!AK162</f>
        <v>0.90773998239075293</v>
      </c>
      <c r="M162" s="176">
        <f>Calc!AP162</f>
        <v>0.50990000000000002</v>
      </c>
      <c r="N162" s="176">
        <f>Calc!AQ162</f>
        <v>0.01</v>
      </c>
      <c r="O162" s="176">
        <f>Calc!AW162</f>
        <v>0.50839999999999996</v>
      </c>
      <c r="P162" s="176">
        <f>Calc!AY162</f>
        <v>9.647658204417155E-3</v>
      </c>
      <c r="Q162" s="177">
        <f>Calc!BC162</f>
        <v>13.695215014941358</v>
      </c>
      <c r="R162" s="176">
        <f>Calc!BD162</f>
        <v>0.90904336018445375</v>
      </c>
      <c r="S162" s="70">
        <f>Input!E162</f>
        <v>26</v>
      </c>
      <c r="T162" s="68"/>
    </row>
    <row r="163" spans="1:20" x14ac:dyDescent="0.2">
      <c r="A163" s="13">
        <f>Input!A163</f>
        <v>10815</v>
      </c>
      <c r="B163" s="13" t="str">
        <f>Input!B163</f>
        <v>Hu1-13</v>
      </c>
      <c r="C163" s="172">
        <f>Calc!O163*1000</f>
        <v>13701.141675035798</v>
      </c>
      <c r="D163" s="172">
        <f>Calc!P163*1000</f>
        <v>1.5820435325199955</v>
      </c>
      <c r="E163" s="172">
        <f>Calc!X163</f>
        <v>0.99594154394105472</v>
      </c>
      <c r="F163" s="172">
        <f>Calc!Y163</f>
        <v>7.0929091031336315E-3</v>
      </c>
      <c r="G163" s="172">
        <f>Calc!AN163</f>
        <v>0.99508375940292926</v>
      </c>
      <c r="H163" s="173">
        <f>Calc!AO163</f>
        <v>4.8689956055578991E-3</v>
      </c>
      <c r="I163" s="15">
        <f>Calc!AH163</f>
        <v>41837.562681971998</v>
      </c>
      <c r="J163" s="15">
        <f>Calc!AI163</f>
        <v>361.47467994591915</v>
      </c>
      <c r="K163" s="15">
        <f>Calc!AJ163</f>
        <v>-0.88211310572561263</v>
      </c>
      <c r="L163" s="15">
        <f>Calc!AK163</f>
        <v>1.4286922755079756</v>
      </c>
      <c r="M163" s="174">
        <f>Calc!AP163</f>
        <v>611.529</v>
      </c>
      <c r="N163" s="174" t="e">
        <f>Calc!AQ163</f>
        <v>#VALUE!</v>
      </c>
      <c r="O163" s="174">
        <f>Calc!AW163</f>
        <v>611.52700000000004</v>
      </c>
      <c r="P163" s="174">
        <f>Calc!AX163</f>
        <v>259.73061846550002</v>
      </c>
      <c r="Q163" s="178">
        <f>Calc!BC163</f>
        <v>-4.9546716154083423</v>
      </c>
      <c r="R163" s="174">
        <f>Calc!BD163</f>
        <v>8.3177542464346832</v>
      </c>
      <c r="S163" s="15">
        <f>Input!E163</f>
        <v>0</v>
      </c>
      <c r="T163" s="68"/>
    </row>
    <row r="164" spans="1:20" x14ac:dyDescent="0.2">
      <c r="A164" s="68">
        <f>Input!A164</f>
        <v>11056</v>
      </c>
      <c r="B164" s="68" t="str">
        <f>Input!B164</f>
        <v>E8-29</v>
      </c>
      <c r="C164" s="175">
        <f>Calc!O164*1000</f>
        <v>1026.9003902420825</v>
      </c>
      <c r="D164" s="175">
        <f>Calc!P164*1000</f>
        <v>5.263709965338851E-2</v>
      </c>
      <c r="E164" s="175">
        <f>Calc!X164</f>
        <v>3.5423883089919658E-2</v>
      </c>
      <c r="F164" s="175">
        <f>Calc!Y164</f>
        <v>1.1168491357657702E-4</v>
      </c>
      <c r="G164" s="175">
        <f>Calc!AN164</f>
        <v>5.1793410717009816E-3</v>
      </c>
      <c r="H164" s="71">
        <f>Calc!AO164</f>
        <v>7.6800526544765603E-5</v>
      </c>
      <c r="I164" s="70">
        <f>Calc!AH164</f>
        <v>457.27899816907291</v>
      </c>
      <c r="J164" s="70">
        <f>Calc!AI164</f>
        <v>6.9321805545924651</v>
      </c>
      <c r="K164" s="70">
        <f>Calc!AJ164</f>
        <v>14.805680363494833</v>
      </c>
      <c r="L164" s="70">
        <f>Calc!AK164</f>
        <v>0.97709392933438466</v>
      </c>
      <c r="M164" s="176">
        <f>Calc!AP164</f>
        <v>0.55800000000000005</v>
      </c>
      <c r="N164" s="176">
        <f>Calc!AQ164</f>
        <v>7.7000000000000002E-3</v>
      </c>
      <c r="O164" s="176">
        <f>Calc!AW164</f>
        <v>0.55710000000000004</v>
      </c>
      <c r="P164" s="176">
        <f>Calc!AY164</f>
        <v>8.3361024214006034E-3</v>
      </c>
      <c r="Q164" s="177">
        <f>Calc!BC164</f>
        <v>14.828975711775788</v>
      </c>
      <c r="R164" s="176">
        <f>Calc!BD164</f>
        <v>0.97863135709219395</v>
      </c>
      <c r="S164" s="70">
        <f>Input!E164</f>
        <v>29</v>
      </c>
      <c r="T164" s="68"/>
    </row>
    <row r="165" spans="1:20" x14ac:dyDescent="0.2">
      <c r="A165" s="13">
        <f>Input!A165</f>
        <v>10815</v>
      </c>
      <c r="B165" s="13" t="str">
        <f>Input!B165</f>
        <v>Hu1-13</v>
      </c>
      <c r="C165" s="172">
        <f>Calc!O165*1000</f>
        <v>13700.661743113411</v>
      </c>
      <c r="D165" s="172">
        <f>Calc!P165*1000</f>
        <v>1.68014946747797</v>
      </c>
      <c r="E165" s="172">
        <f>Calc!X165</f>
        <v>0.99912683483689069</v>
      </c>
      <c r="F165" s="172">
        <f>Calc!Y165</f>
        <v>4.8787035328129672E-3</v>
      </c>
      <c r="G165" s="172">
        <f>Calc!AN165</f>
        <v>0.9979780060015262</v>
      </c>
      <c r="H165" s="173">
        <f>Calc!AO165</f>
        <v>3.7569403167499191E-3</v>
      </c>
      <c r="I165" s="15">
        <f>Calc!AH165</f>
        <v>41824.014840125004</v>
      </c>
      <c r="J165" s="15">
        <f>Calc!AI165</f>
        <v>257.82116355317442</v>
      </c>
      <c r="K165" s="15">
        <f>Calc!AJ165</f>
        <v>0.83240631787839803</v>
      </c>
      <c r="L165" s="15">
        <f>Calc!AK165</f>
        <v>1.3639228288384606</v>
      </c>
      <c r="M165" s="174">
        <f>Calc!AP165</f>
        <v>626.35749999999996</v>
      </c>
      <c r="N165" s="174" t="e">
        <f>Calc!AQ165</f>
        <v>#VALUE!</v>
      </c>
      <c r="O165" s="174">
        <f>Calc!AW165</f>
        <v>626.35559999999998</v>
      </c>
      <c r="P165" s="174">
        <f>Calc!AX165</f>
        <v>270.6282214881</v>
      </c>
      <c r="Q165" s="178">
        <f>Calc!BC165</f>
        <v>4.8752846378633699</v>
      </c>
      <c r="R165" s="174">
        <f>Calc!BD165</f>
        <v>8.2246594769146384</v>
      </c>
      <c r="S165" s="15">
        <f>Input!E165</f>
        <v>0</v>
      </c>
      <c r="T165" s="68"/>
    </row>
    <row r="166" spans="1:20" ht="13.5" customHeight="1" x14ac:dyDescent="0.2">
      <c r="H166" s="75"/>
    </row>
    <row r="167" spans="1:20" x14ac:dyDescent="0.2">
      <c r="A167" s="13">
        <f>Input!A167</f>
        <v>10815</v>
      </c>
      <c r="B167" s="13" t="str">
        <f>Input!B167</f>
        <v>Hu1-13</v>
      </c>
      <c r="C167" s="172">
        <f>Calc!O167*1000</f>
        <v>13699.290473633366</v>
      </c>
      <c r="D167" s="172">
        <f>Calc!P167*1000</f>
        <v>1.9122100325208691</v>
      </c>
      <c r="E167" s="172">
        <f>Calc!X167</f>
        <v>1.0225784496179009</v>
      </c>
      <c r="F167" s="172">
        <f>Calc!Y167</f>
        <v>6.0527650162076826E-3</v>
      </c>
      <c r="G167" s="172">
        <f>Calc!AN167</f>
        <v>1.0002739327232724</v>
      </c>
      <c r="H167" s="173">
        <f>Calc!AO167</f>
        <v>4.5718024341087279E-3</v>
      </c>
      <c r="I167" s="15">
        <f>Calc!AH167</f>
        <v>40954.744307690198</v>
      </c>
      <c r="J167" s="15">
        <f>Calc!AI167</f>
        <v>306.2211020888862</v>
      </c>
      <c r="K167" s="15">
        <f>Calc!AJ167</f>
        <v>-1.3399446019504158</v>
      </c>
      <c r="L167" s="15">
        <f>Calc!AK167</f>
        <v>1.4277020191852918</v>
      </c>
      <c r="M167" s="174" t="str">
        <f>Calc!AP167</f>
        <v>Out of range</v>
      </c>
      <c r="N167" s="174" t="e">
        <f>Calc!AQ167</f>
        <v>#VALUE!</v>
      </c>
      <c r="O167" s="174" t="str">
        <f>Calc!AW167</f>
        <v>Out of range</v>
      </c>
      <c r="P167" s="174">
        <f>Calc!AX167</f>
        <v>303.82209279289998</v>
      </c>
      <c r="Q167" s="178" t="e">
        <f>Calc!BC167</f>
        <v>#VALUE!</v>
      </c>
      <c r="R167" s="174" t="e">
        <f>Calc!BD167</f>
        <v>#VALUE!</v>
      </c>
      <c r="S167" s="15">
        <f>Input!E167</f>
        <v>0</v>
      </c>
      <c r="T167" s="68"/>
    </row>
    <row r="168" spans="1:20" x14ac:dyDescent="0.2">
      <c r="A168" s="68">
        <f>Input!A168</f>
        <v>11057</v>
      </c>
      <c r="B168" s="68" t="str">
        <f>Input!B168</f>
        <v>E8-60,5</v>
      </c>
      <c r="C168" s="175">
        <f>Calc!O168*1000</f>
        <v>523.58396500415211</v>
      </c>
      <c r="D168" s="175">
        <f>Calc!P168*1000</f>
        <v>3.9858711780173861E-2</v>
      </c>
      <c r="E168" s="175">
        <f>Calc!X168</f>
        <v>6.9892753652333536E-2</v>
      </c>
      <c r="F168" s="175">
        <f>Calc!Y168</f>
        <v>2.8738125153244918E-4</v>
      </c>
      <c r="G168" s="175">
        <f>Calc!AN168</f>
        <v>1.4117524562162004E-2</v>
      </c>
      <c r="H168" s="71">
        <f>Calc!AO168</f>
        <v>2.081725131744337E-4</v>
      </c>
      <c r="I168" s="70">
        <f>Calc!AH168</f>
        <v>323.20902095556397</v>
      </c>
      <c r="J168" s="70">
        <f>Calc!AI168</f>
        <v>4.9476932266326354</v>
      </c>
      <c r="K168" s="70">
        <f>Calc!AJ168</f>
        <v>7.86213301952432</v>
      </c>
      <c r="L168" s="70">
        <f>Calc!AK168</f>
        <v>1.4710104111499771</v>
      </c>
      <c r="M168" s="176">
        <f>Calc!AP168</f>
        <v>1.5382</v>
      </c>
      <c r="N168" s="176">
        <f>Calc!AQ168</f>
        <v>2.4400000000000002E-2</v>
      </c>
      <c r="O168" s="176">
        <f>Calc!AW168</f>
        <v>1.5347</v>
      </c>
      <c r="P168" s="176">
        <f>Calc!AY168</f>
        <v>2.3053636662555339E-2</v>
      </c>
      <c r="Q168" s="177">
        <f>Calc!BC168</f>
        <v>7.8962578836689215</v>
      </c>
      <c r="R168" s="176">
        <f>Calc!BD168</f>
        <v>1.4773952856518802</v>
      </c>
      <c r="S168" s="70">
        <f>Input!E168</f>
        <v>60.5</v>
      </c>
      <c r="T168" s="68"/>
    </row>
    <row r="169" spans="1:20" x14ac:dyDescent="0.2">
      <c r="A169" s="13">
        <f>Input!A169</f>
        <v>10815</v>
      </c>
      <c r="B169" s="13" t="str">
        <f>Input!B169</f>
        <v>Hu1-13</v>
      </c>
      <c r="C169" s="172">
        <f>Calc!O169*1000</f>
        <v>13698.081384533392</v>
      </c>
      <c r="D169" s="172">
        <f>Calc!P169*1000</f>
        <v>1.676584047547192</v>
      </c>
      <c r="E169" s="172">
        <f>Calc!X169</f>
        <v>1.023225077161392</v>
      </c>
      <c r="F169" s="172">
        <f>Calc!Y169</f>
        <v>6.3763296900017988E-3</v>
      </c>
      <c r="G169" s="172">
        <f>Calc!AN169</f>
        <v>0.99966576842391264</v>
      </c>
      <c r="H169" s="173">
        <f>Calc!AO169</f>
        <v>3.7458644539068576E-3</v>
      </c>
      <c r="I169" s="15">
        <f>Calc!AH169</f>
        <v>40900.368127806352</v>
      </c>
      <c r="J169" s="15">
        <f>Calc!AI169</f>
        <v>297.36212118229054</v>
      </c>
      <c r="K169" s="15">
        <f>Calc!AJ169</f>
        <v>0.93037171344434455</v>
      </c>
      <c r="L169" s="15">
        <f>Calc!AK169</f>
        <v>1.725468594911747</v>
      </c>
      <c r="M169" s="174">
        <f>Calc!AP169</f>
        <v>697.84630000000004</v>
      </c>
      <c r="N169" s="174" t="e">
        <f>Calc!AQ169</f>
        <v>#VALUE!</v>
      </c>
      <c r="O169" s="174">
        <f>Calc!AW169</f>
        <v>697.84429999999998</v>
      </c>
      <c r="P169" s="174">
        <f>Calc!AX169</f>
        <v>315.8729893885</v>
      </c>
      <c r="Q169" s="178">
        <f>Calc!BC169</f>
        <v>6.6671161455343446</v>
      </c>
      <c r="R169" s="174">
        <f>Calc!BD169</f>
        <v>13.515558031911533</v>
      </c>
      <c r="S169" s="15">
        <f>Input!E169</f>
        <v>0</v>
      </c>
      <c r="T169" s="68"/>
    </row>
    <row r="170" spans="1:20" x14ac:dyDescent="0.2">
      <c r="A170" s="68">
        <f>Input!A170</f>
        <v>11058</v>
      </c>
      <c r="B170" s="68" t="str">
        <f>Input!B170</f>
        <v>E1-35</v>
      </c>
      <c r="C170" s="175">
        <f>Calc!O170*1000</f>
        <v>1473.2241852574023</v>
      </c>
      <c r="D170" s="175">
        <f>Calc!P170*1000</f>
        <v>7.5308901788780316E-2</v>
      </c>
      <c r="E170" s="175">
        <f>Calc!X170</f>
        <v>1.7583349417636222E-2</v>
      </c>
      <c r="F170" s="175">
        <f>Calc!Y170</f>
        <v>7.4864550781821336E-5</v>
      </c>
      <c r="G170" s="175">
        <f>Calc!AN170</f>
        <v>3.3356153010018733E-3</v>
      </c>
      <c r="H170" s="71">
        <f>Calc!AO170</f>
        <v>4.6136810607631081E-5</v>
      </c>
      <c r="I170" s="70">
        <f>Calc!AH170</f>
        <v>853.5207566017059</v>
      </c>
      <c r="J170" s="70">
        <f>Calc!AI170</f>
        <v>12.352123514120953</v>
      </c>
      <c r="K170" s="70">
        <f>Calc!AJ170</f>
        <v>12.354331567319798</v>
      </c>
      <c r="L170" s="70">
        <f>Calc!AK170</f>
        <v>0.66785332599861702</v>
      </c>
      <c r="M170" s="176">
        <f>Calc!AP170</f>
        <v>0.3599</v>
      </c>
      <c r="N170" s="176">
        <f>Calc!AQ170</f>
        <v>4.5999999999999999E-3</v>
      </c>
      <c r="O170" s="176">
        <f>Calc!AW170</f>
        <v>0.35959999999999998</v>
      </c>
      <c r="P170" s="176">
        <f>Calc!AY170</f>
        <v>5.0010779704808871E-3</v>
      </c>
      <c r="Q170" s="177">
        <f>Calc!BC170</f>
        <v>12.366875264508833</v>
      </c>
      <c r="R170" s="176">
        <f>Calc!BD170</f>
        <v>0.66853143887927724</v>
      </c>
      <c r="S170" s="70">
        <f>Input!E170</f>
        <v>35</v>
      </c>
      <c r="T170" s="68"/>
    </row>
    <row r="171" spans="1:20" x14ac:dyDescent="0.2">
      <c r="A171" s="13">
        <f>Input!A171</f>
        <v>10815</v>
      </c>
      <c r="B171" s="13" t="str">
        <f>Input!B171</f>
        <v>Hu1-13</v>
      </c>
      <c r="C171" s="172">
        <f>Calc!O171*1000</f>
        <v>13702.035360571181</v>
      </c>
      <c r="D171" s="172">
        <f>Calc!P171*1000</f>
        <v>1.4536888137632034</v>
      </c>
      <c r="E171" s="172">
        <f>Calc!X171</f>
        <v>1.0092321298396421</v>
      </c>
      <c r="F171" s="172">
        <f>Calc!Y171</f>
        <v>5.526626487268458E-3</v>
      </c>
      <c r="G171" s="172">
        <f>Calc!AN171</f>
        <v>0.99889364172067752</v>
      </c>
      <c r="H171" s="173">
        <f>Calc!AO171</f>
        <v>2.8679095653119527E-3</v>
      </c>
      <c r="I171" s="15">
        <f>Calc!AH171</f>
        <v>41447.381035241866</v>
      </c>
      <c r="J171" s="15">
        <f>Calc!AI171</f>
        <v>256.23476738488966</v>
      </c>
      <c r="K171" s="15">
        <f>Calc!AJ171</f>
        <v>-2.8720174780061392E-2</v>
      </c>
      <c r="L171" s="15">
        <f>Calc!AK171</f>
        <v>1.3661324004673503</v>
      </c>
      <c r="M171" s="174">
        <f>Calc!AP171</f>
        <v>746.36620000000005</v>
      </c>
      <c r="N171" s="174" t="e">
        <f>Calc!AQ171</f>
        <v>#VALUE!</v>
      </c>
      <c r="O171" s="174">
        <f>Calc!AW171</f>
        <v>746.36429999999996</v>
      </c>
      <c r="P171" s="174">
        <f>Calc!AX171</f>
        <v>339.92027515780001</v>
      </c>
      <c r="Q171" s="178">
        <f>Calc!BC171</f>
        <v>-0.23601247558488311</v>
      </c>
      <c r="R171" s="174">
        <f>Calc!BD171</f>
        <v>11.228861610745465</v>
      </c>
      <c r="S171" s="15">
        <f>Input!E171</f>
        <v>0</v>
      </c>
      <c r="T171" s="68"/>
    </row>
    <row r="172" spans="1:20" x14ac:dyDescent="0.2">
      <c r="A172" s="68">
        <f>Input!A172</f>
        <v>11059</v>
      </c>
      <c r="B172" s="68" t="str">
        <f>Input!B172</f>
        <v>E1-62</v>
      </c>
      <c r="C172" s="175">
        <f>Calc!O172*1000</f>
        <v>1313.7075115691218</v>
      </c>
      <c r="D172" s="175">
        <f>Calc!P172*1000</f>
        <v>0.58022535805377751</v>
      </c>
      <c r="E172" s="175">
        <f>Calc!X172</f>
        <v>0.23069688191229162</v>
      </c>
      <c r="F172" s="175">
        <f>Calc!Y172</f>
        <v>2.1793087276382795E-3</v>
      </c>
      <c r="G172" s="175">
        <f>Calc!AN172</f>
        <v>6.6577389864849717E-3</v>
      </c>
      <c r="H172" s="71">
        <f>Calc!AO172</f>
        <v>1.5085575125879314E-4</v>
      </c>
      <c r="I172" s="70">
        <f>Calc!AH172</f>
        <v>115.77084257686094</v>
      </c>
      <c r="J172" s="70">
        <f>Calc!AI172</f>
        <v>2.8416041451603724</v>
      </c>
      <c r="K172" s="70">
        <f>Calc!AJ172</f>
        <v>16.649655726409751</v>
      </c>
      <c r="L172" s="70">
        <f>Calc!AK172</f>
        <v>0.94839626397351329</v>
      </c>
      <c r="M172" s="176">
        <f>Calc!AP172</f>
        <v>0.71640000000000004</v>
      </c>
      <c r="N172" s="176">
        <f>Calc!AQ172</f>
        <v>1.54E-2</v>
      </c>
      <c r="O172" s="176">
        <f>Calc!AW172</f>
        <v>0.71179999999999999</v>
      </c>
      <c r="P172" s="176">
        <f>Calc!AY172</f>
        <v>1.6486373312173376E-2</v>
      </c>
      <c r="Q172" s="177">
        <f>Calc!BC172</f>
        <v>16.683134207844791</v>
      </c>
      <c r="R172" s="176">
        <f>Calc!BD172</f>
        <v>0.95030357935678056</v>
      </c>
      <c r="S172" s="70">
        <f>Input!E172</f>
        <v>62</v>
      </c>
      <c r="T172" s="68"/>
    </row>
    <row r="173" spans="1:20" x14ac:dyDescent="0.2">
      <c r="A173" s="13">
        <f>Input!A173</f>
        <v>10815</v>
      </c>
      <c r="B173" s="13" t="str">
        <f>Input!B173</f>
        <v>Hu1-13</v>
      </c>
      <c r="C173" s="172">
        <f>Calc!O173*1000</f>
        <v>13703.3754412096</v>
      </c>
      <c r="D173" s="172">
        <f>Calc!P173*1000</f>
        <v>5.5118314115555771</v>
      </c>
      <c r="E173" s="172">
        <f>Calc!X173</f>
        <v>0.96757314225731583</v>
      </c>
      <c r="F173" s="172">
        <f>Calc!Y173</f>
        <v>1.29078394761448E-2</v>
      </c>
      <c r="G173" s="172">
        <f>Calc!AN173</f>
        <v>0.99941072395199204</v>
      </c>
      <c r="H173" s="173">
        <f>Calc!AO173</f>
        <v>6.8308553444120504E-3</v>
      </c>
      <c r="I173" s="15">
        <f>Calc!AH173</f>
        <v>43258.512966111084</v>
      </c>
      <c r="J173" s="15">
        <f>Calc!AI173</f>
        <v>648.18641585258058</v>
      </c>
      <c r="K173" s="15">
        <f>Calc!AJ173</f>
        <v>-1.0547812759557074</v>
      </c>
      <c r="L173" s="15">
        <f>Calc!AK173</f>
        <v>1.7949440320164058</v>
      </c>
      <c r="M173" s="174" t="str">
        <f>Calc!AP173</f>
        <v>Out of range</v>
      </c>
      <c r="N173" s="174" t="e">
        <f>Calc!AQ173</f>
        <v>#VALUE!</v>
      </c>
      <c r="O173" s="174" t="str">
        <f>Calc!AW173</f>
        <v>Out of range</v>
      </c>
      <c r="P173" s="174">
        <f>Calc!AX173</f>
        <v>306.03554001290001</v>
      </c>
      <c r="Q173" s="178" t="e">
        <f>Calc!BC173</f>
        <v>#VALUE!</v>
      </c>
      <c r="R173" s="174" t="e">
        <f>Calc!BD173</f>
        <v>#VALUE!</v>
      </c>
      <c r="S173" s="15">
        <f>Input!E173</f>
        <v>0</v>
      </c>
      <c r="T173" s="68"/>
    </row>
    <row r="174" spans="1:20" x14ac:dyDescent="0.2">
      <c r="A174" s="68">
        <f>Input!A174</f>
        <v>11060</v>
      </c>
      <c r="B174" s="68" t="str">
        <f>Input!B174</f>
        <v>E1-75</v>
      </c>
      <c r="C174" s="175">
        <f>Calc!O174*1000</f>
        <v>1202.2003184993603</v>
      </c>
      <c r="D174" s="175">
        <f>Calc!P174*1000</f>
        <v>6.1231028450534512E-2</v>
      </c>
      <c r="E174" s="175">
        <f>Calc!X174</f>
        <v>0.1408894694503445</v>
      </c>
      <c r="F174" s="175">
        <f>Calc!Y174</f>
        <v>3.9998098243343802E-4</v>
      </c>
      <c r="G174" s="175">
        <f>Calc!AN174</f>
        <v>8.3257654389638711E-3</v>
      </c>
      <c r="H174" s="71">
        <f>Calc!AO174</f>
        <v>8.8594679970988382E-5</v>
      </c>
      <c r="I174" s="70">
        <f>Calc!AH174</f>
        <v>217.29915518707261</v>
      </c>
      <c r="J174" s="70">
        <f>Calc!AI174</f>
        <v>2.3931393264983041</v>
      </c>
      <c r="K174" s="70">
        <f>Calc!AJ174</f>
        <v>15.542399644590477</v>
      </c>
      <c r="L174" s="70">
        <f>Calc!AK174</f>
        <v>0.92561760662496884</v>
      </c>
      <c r="M174" s="176">
        <f>Calc!AP174</f>
        <v>0.89770000000000005</v>
      </c>
      <c r="N174" s="176">
        <f>Calc!AQ174</f>
        <v>1.01E-2</v>
      </c>
      <c r="O174" s="176">
        <f>Calc!AW174</f>
        <v>0.89459999999999995</v>
      </c>
      <c r="P174" s="176">
        <f>Calc!AY174</f>
        <v>9.7626617159700078E-3</v>
      </c>
      <c r="Q174" s="177">
        <f>Calc!BC174</f>
        <v>15.581687790793618</v>
      </c>
      <c r="R174" s="176">
        <f>Calc!BD174</f>
        <v>0.9279574861812796</v>
      </c>
      <c r="S174" s="70">
        <f>Input!E174</f>
        <v>75</v>
      </c>
      <c r="T174" s="68"/>
    </row>
    <row r="175" spans="1:20" x14ac:dyDescent="0.2">
      <c r="A175" s="13">
        <f>Input!A175</f>
        <v>10815</v>
      </c>
      <c r="B175" s="13" t="str">
        <f>Input!B175</f>
        <v>Hu1-13</v>
      </c>
      <c r="C175" s="172">
        <f>Calc!O175*1000</f>
        <v>13702.423085681359</v>
      </c>
      <c r="D175" s="172">
        <f>Calc!P175*1000</f>
        <v>2.5457217970244428</v>
      </c>
      <c r="E175" s="172">
        <f>Calc!X175</f>
        <v>0.95896567348435768</v>
      </c>
      <c r="F175" s="172">
        <f>Calc!Y175</f>
        <v>6.2215153386184722E-3</v>
      </c>
      <c r="G175" s="172">
        <f>Calc!AN175</f>
        <v>1.0022097190907042</v>
      </c>
      <c r="H175" s="173">
        <f>Calc!AO175</f>
        <v>5.2872947718497669E-3</v>
      </c>
      <c r="I175" s="15">
        <f>Calc!AH175</f>
        <v>43765.989372274526</v>
      </c>
      <c r="J175" s="15">
        <f>Calc!AI175</f>
        <v>365.88089135727807</v>
      </c>
      <c r="K175" s="15">
        <f>Calc!AJ175</f>
        <v>0.47357165203965046</v>
      </c>
      <c r="L175" s="15">
        <f>Calc!AK175</f>
        <v>2.6452881162184019</v>
      </c>
      <c r="M175" s="174" t="str">
        <f>Calc!AP175</f>
        <v>Out of range</v>
      </c>
      <c r="N175" s="174" t="e">
        <f>Calc!AQ175</f>
        <v>#VALUE!</v>
      </c>
      <c r="O175" s="174" t="str">
        <f>Calc!AW175</f>
        <v>Out of range</v>
      </c>
      <c r="P175" s="174">
        <f>Calc!AX175</f>
        <v>298.51915972580002</v>
      </c>
      <c r="Q175" s="178" t="e">
        <f>Calc!BC175</f>
        <v>#VALUE!</v>
      </c>
      <c r="R175" s="174" t="e">
        <f>Calc!BD175</f>
        <v>#VALUE!</v>
      </c>
      <c r="S175" s="15">
        <f>Input!E175</f>
        <v>0</v>
      </c>
      <c r="T175" s="68"/>
    </row>
    <row r="176" spans="1:20" x14ac:dyDescent="0.2">
      <c r="A176" s="68">
        <f>Input!A176</f>
        <v>11061</v>
      </c>
      <c r="B176" s="68" t="str">
        <f>Input!B176</f>
        <v>E1-78,5</v>
      </c>
      <c r="C176" s="175">
        <f>Calc!O176*1000</f>
        <v>1512.1955409663576</v>
      </c>
      <c r="D176" s="175">
        <f>Calc!P176*1000</f>
        <v>9.4770033586910274E-2</v>
      </c>
      <c r="E176" s="175">
        <f>Calc!X176</f>
        <v>0.29032683192178693</v>
      </c>
      <c r="F176" s="175">
        <f>Calc!Y176</f>
        <v>1.0941383505714635E-3</v>
      </c>
      <c r="G176" s="175">
        <f>Calc!AN176</f>
        <v>8.5582012994787973E-3</v>
      </c>
      <c r="H176" s="71">
        <f>Calc!AO176</f>
        <v>1.9705601466279364E-4</v>
      </c>
      <c r="I176" s="70">
        <f>Calc!AH176</f>
        <v>135.00881637417999</v>
      </c>
      <c r="J176" s="70">
        <f>Calc!AI176</f>
        <v>3.149984049096981</v>
      </c>
      <c r="K176" s="70">
        <f>Calc!AJ176</f>
        <v>13.917823219702585</v>
      </c>
      <c r="L176" s="70">
        <f>Calc!AK176</f>
        <v>1.1671248787862505</v>
      </c>
      <c r="M176" s="176">
        <f>Calc!AP176</f>
        <v>0.92430000000000001</v>
      </c>
      <c r="N176" s="176">
        <f>Calc!AQ176</f>
        <v>2.07E-2</v>
      </c>
      <c r="O176" s="176">
        <f>Calc!AW176</f>
        <v>0.91920000000000002</v>
      </c>
      <c r="P176" s="176">
        <f>Calc!AY176</f>
        <v>2.15784753685315E-2</v>
      </c>
      <c r="Q176" s="177">
        <f>Calc!BC176</f>
        <v>13.953973443023667</v>
      </c>
      <c r="R176" s="176">
        <f>Calc!BD176</f>
        <v>1.1701566832858532</v>
      </c>
      <c r="S176" s="70">
        <f>Input!E176</f>
        <v>78.5</v>
      </c>
      <c r="T176" s="68"/>
    </row>
    <row r="177" spans="1:20" x14ac:dyDescent="0.2">
      <c r="A177" s="13">
        <f>Input!A177</f>
        <v>10815</v>
      </c>
      <c r="B177" s="13" t="str">
        <f>Input!B177</f>
        <v>Hu1-13</v>
      </c>
      <c r="C177" s="172">
        <f>Calc!O177*1000</f>
        <v>13699.845225666479</v>
      </c>
      <c r="D177" s="172">
        <f>Calc!P177*1000</f>
        <v>1.9548357303787784</v>
      </c>
      <c r="E177" s="172">
        <f>Calc!X177</f>
        <v>1.0081438520217048</v>
      </c>
      <c r="F177" s="172">
        <f>Calc!Y177</f>
        <v>4.7646946057173387E-2</v>
      </c>
      <c r="G177" s="172">
        <f>Calc!AN177</f>
        <v>0.97979653601130423</v>
      </c>
      <c r="H177" s="173">
        <f>Calc!AO177</f>
        <v>4.2689610658254808E-2</v>
      </c>
      <c r="I177" s="15">
        <f>Calc!AH177</f>
        <v>40692.360533652703</v>
      </c>
      <c r="J177" s="15">
        <f>Calc!AI177</f>
        <v>2615.7354891388827</v>
      </c>
      <c r="K177" s="15">
        <f>Calc!AJ177</f>
        <v>0.98323436302494294</v>
      </c>
      <c r="L177" s="15">
        <f>Calc!AK177</f>
        <v>2.189188388046694</v>
      </c>
      <c r="M177" s="174">
        <f>Calc!AP177</f>
        <v>418.57900000000001</v>
      </c>
      <c r="N177" s="174" t="e">
        <f>Calc!AQ177</f>
        <v>#VALUE!</v>
      </c>
      <c r="O177" s="174">
        <f>Calc!AW177</f>
        <v>418.57709999999997</v>
      </c>
      <c r="P177" s="174">
        <f>Calc!AX177</f>
        <v>192.87611318149999</v>
      </c>
      <c r="Q177" s="178">
        <f>Calc!BC177</f>
        <v>3.2038138224654555</v>
      </c>
      <c r="R177" s="174">
        <f>Calc!BD177</f>
        <v>7.3940349091977211</v>
      </c>
      <c r="S177" s="15">
        <f>Input!E177</f>
        <v>0</v>
      </c>
      <c r="T177" s="68"/>
    </row>
    <row r="178" spans="1:20" ht="13.5" customHeight="1" x14ac:dyDescent="0.2">
      <c r="H178" s="75"/>
    </row>
    <row r="179" spans="1:20" x14ac:dyDescent="0.2">
      <c r="A179" s="13">
        <f>Input!A179</f>
        <v>10815</v>
      </c>
      <c r="B179" s="13" t="str">
        <f>Input!B179</f>
        <v>Hu1-13</v>
      </c>
      <c r="C179" s="172">
        <f>Calc!O179*1000</f>
        <v>13700.36577192553</v>
      </c>
      <c r="D179" s="172">
        <f>Calc!P179*1000</f>
        <v>1.7630178402279681</v>
      </c>
      <c r="E179" s="172">
        <f>Calc!X179</f>
        <v>1.0072719109374479</v>
      </c>
      <c r="F179" s="172">
        <f>Calc!Y179</f>
        <v>5.6246367431773562E-3</v>
      </c>
      <c r="G179" s="172">
        <f>Calc!AN179</f>
        <v>0.99562749004926565</v>
      </c>
      <c r="H179" s="173">
        <f>Calc!AO179</f>
        <v>4.1156549236219964E-3</v>
      </c>
      <c r="I179" s="15">
        <f>Calc!AH179</f>
        <v>41387.20968635079</v>
      </c>
      <c r="J179" s="15">
        <f>Calc!AI179</f>
        <v>287.49235662641451</v>
      </c>
      <c r="K179" s="15">
        <f>Calc!AJ179</f>
        <v>-1.3977576687584925</v>
      </c>
      <c r="L179" s="15">
        <f>Calc!AK179</f>
        <v>1.6607893318064455</v>
      </c>
      <c r="M179" s="174">
        <f>Calc!AP179</f>
        <v>658.5059</v>
      </c>
      <c r="N179" s="174" t="e">
        <f>Calc!AQ179</f>
        <v>#VALUE!</v>
      </c>
      <c r="O179" s="174">
        <f>Calc!AW179</f>
        <v>658.50390000000004</v>
      </c>
      <c r="P179" s="174">
        <f>Calc!AX179</f>
        <v>307.65848085369998</v>
      </c>
      <c r="Q179" s="178">
        <f>Calc!BC179</f>
        <v>-8.9639125790800822</v>
      </c>
      <c r="R179" s="174">
        <f>Calc!BD179</f>
        <v>11.988201694775785</v>
      </c>
      <c r="S179" s="15">
        <f>Input!E179</f>
        <v>0</v>
      </c>
      <c r="T179" s="68"/>
    </row>
    <row r="180" spans="1:20" x14ac:dyDescent="0.2">
      <c r="A180" s="68">
        <f>Input!A180</f>
        <v>11062</v>
      </c>
      <c r="B180" s="68" t="str">
        <f>Input!B180</f>
        <v>E0-C-75</v>
      </c>
      <c r="C180" s="175">
        <f>Calc!O180*1000</f>
        <v>922.37265257245826</v>
      </c>
      <c r="D180" s="175">
        <f>Calc!P180*1000</f>
        <v>4.8717701236747624E-2</v>
      </c>
      <c r="E180" s="175">
        <f>Calc!X180</f>
        <v>6.2809156332123167E-2</v>
      </c>
      <c r="F180" s="175">
        <f>Calc!Y180</f>
        <v>2.686785682783732E-4</v>
      </c>
      <c r="G180" s="175">
        <f>Calc!AN180</f>
        <v>9.0848842170624961E-3</v>
      </c>
      <c r="H180" s="71">
        <f>Calc!AO180</f>
        <v>1.0559505660367773E-4</v>
      </c>
      <c r="I180" s="70">
        <f>Calc!AH180</f>
        <v>406.21369542323589</v>
      </c>
      <c r="J180" s="70">
        <f>Calc!AI180</f>
        <v>5.0310470310350057</v>
      </c>
      <c r="K180" s="70">
        <f>Calc!AJ180</f>
        <v>12.350748952804746</v>
      </c>
      <c r="L180" s="70">
        <f>Calc!AK180</f>
        <v>0.89354050252014283</v>
      </c>
      <c r="M180" s="176">
        <f>Calc!AP180</f>
        <v>0.98299999999999998</v>
      </c>
      <c r="N180" s="176">
        <f>Calc!AQ180</f>
        <v>1.2500000000000001E-2</v>
      </c>
      <c r="O180" s="176">
        <f>Calc!AW180</f>
        <v>0.98119999999999996</v>
      </c>
      <c r="P180" s="176">
        <f>Calc!AY180</f>
        <v>1.1560770795984863E-2</v>
      </c>
      <c r="Q180" s="177">
        <f>Calc!BC180</f>
        <v>12.384995634507417</v>
      </c>
      <c r="R180" s="176">
        <f>Calc!BD180</f>
        <v>0.89601824071503577</v>
      </c>
      <c r="S180" s="70">
        <f>Input!E180</f>
        <v>75</v>
      </c>
      <c r="T180" s="68"/>
    </row>
    <row r="181" spans="1:20" x14ac:dyDescent="0.2">
      <c r="A181" s="13">
        <f>Input!A181</f>
        <v>10815</v>
      </c>
      <c r="B181" s="13" t="str">
        <f>Input!B181</f>
        <v>Hu1-13</v>
      </c>
      <c r="C181" s="172">
        <f>Calc!O181*1000</f>
        <v>13699.390772797253</v>
      </c>
      <c r="D181" s="172">
        <f>Calc!P181*1000</f>
        <v>1.9462729784763366</v>
      </c>
      <c r="E181" s="172">
        <f>Calc!X181</f>
        <v>0.9943759093144251</v>
      </c>
      <c r="F181" s="172">
        <f>Calc!Y181</f>
        <v>7.0558305478317825E-3</v>
      </c>
      <c r="G181" s="172">
        <f>Calc!AN181</f>
        <v>0.99687041264894849</v>
      </c>
      <c r="H181" s="173">
        <f>Calc!AO181</f>
        <v>5.1998126854903518E-3</v>
      </c>
      <c r="I181" s="15">
        <f>Calc!AH181</f>
        <v>41973.307727984356</v>
      </c>
      <c r="J181" s="15">
        <f>Calc!AI181</f>
        <v>369.59730508199306</v>
      </c>
      <c r="K181" s="15">
        <f>Calc!AJ181</f>
        <v>-0.2435596228589354</v>
      </c>
      <c r="L181" s="15">
        <f>Calc!AK181</f>
        <v>1.5310463357263802</v>
      </c>
      <c r="M181" s="174">
        <f>Calc!AP181</f>
        <v>641.61659999999995</v>
      </c>
      <c r="N181" s="174" t="e">
        <f>Calc!AQ181</f>
        <v>#VALUE!</v>
      </c>
      <c r="O181" s="174">
        <f>Calc!AW181</f>
        <v>641.6146</v>
      </c>
      <c r="P181" s="174">
        <f>Calc!AX181</f>
        <v>298.2394523136</v>
      </c>
      <c r="Q181" s="178">
        <f>Calc!BC181</f>
        <v>-1.4892630337555826</v>
      </c>
      <c r="R181" s="174">
        <f>Calc!BD181</f>
        <v>9.4070927403472879</v>
      </c>
      <c r="S181" s="15">
        <f>Input!E181</f>
        <v>0</v>
      </c>
      <c r="T181" s="68"/>
    </row>
    <row r="182" spans="1:20" x14ac:dyDescent="0.2">
      <c r="A182" s="68">
        <f>Input!A182</f>
        <v>11063</v>
      </c>
      <c r="B182" s="68" t="str">
        <f>Input!B182</f>
        <v>E0-C-99,5</v>
      </c>
      <c r="C182" s="175">
        <f>Calc!O182*1000</f>
        <v>1185.6960238299198</v>
      </c>
      <c r="D182" s="175">
        <f>Calc!P182*1000</f>
        <v>6.2925820368448362E-2</v>
      </c>
      <c r="E182" s="175">
        <f>Calc!X182</f>
        <v>8.5717869068626898E-2</v>
      </c>
      <c r="F182" s="175">
        <f>Calc!Y182</f>
        <v>2.9306150985218234E-4</v>
      </c>
      <c r="G182" s="175">
        <f>Calc!AN182</f>
        <v>1.0130987158071873E-2</v>
      </c>
      <c r="H182" s="71">
        <f>Calc!AO182</f>
        <v>1.0682290789749099E-4</v>
      </c>
      <c r="I182" s="70">
        <f>Calc!AH182</f>
        <v>426.14697959913076</v>
      </c>
      <c r="J182" s="70">
        <f>Calc!AI182</f>
        <v>4.7236187944258656</v>
      </c>
      <c r="K182" s="70">
        <f>Calc!AJ182</f>
        <v>12.264438519469456</v>
      </c>
      <c r="L182" s="70">
        <f>Calc!AK182</f>
        <v>1.0691668647504338</v>
      </c>
      <c r="M182" s="176">
        <f>Calc!AP182</f>
        <v>1.0968</v>
      </c>
      <c r="N182" s="176">
        <f>Calc!AQ182</f>
        <v>1.0999999999999999E-2</v>
      </c>
      <c r="O182" s="176">
        <f>Calc!AW182</f>
        <v>1.0949</v>
      </c>
      <c r="P182" s="176">
        <f>Calc!AY182</f>
        <v>1.1736557062073135E-2</v>
      </c>
      <c r="Q182" s="177">
        <f>Calc!BC182</f>
        <v>12.302392689564934</v>
      </c>
      <c r="R182" s="176">
        <f>Calc!BD182</f>
        <v>1.0724756416116143</v>
      </c>
      <c r="S182" s="70">
        <f>Input!E182</f>
        <v>99.5</v>
      </c>
      <c r="T182" s="68"/>
    </row>
    <row r="183" spans="1:20" x14ac:dyDescent="0.2">
      <c r="A183" s="13">
        <f>Input!A183</f>
        <v>10815</v>
      </c>
      <c r="B183" s="13" t="str">
        <f>Input!B183</f>
        <v>Hu1-13</v>
      </c>
      <c r="C183" s="172">
        <f>Calc!O183*1000</f>
        <v>13698.864528551105</v>
      </c>
      <c r="D183" s="172">
        <f>Calc!P183*1000</f>
        <v>1.6417932155413761</v>
      </c>
      <c r="E183" s="172">
        <f>Calc!X183</f>
        <v>0.9989650904095797</v>
      </c>
      <c r="F183" s="172">
        <f>Calc!Y183</f>
        <v>5.4479070036127951E-3</v>
      </c>
      <c r="G183" s="172">
        <f>Calc!AN183</f>
        <v>0.99312382457342729</v>
      </c>
      <c r="H183" s="173">
        <f>Calc!AO183</f>
        <v>3.4364089371755977E-3</v>
      </c>
      <c r="I183" s="15">
        <f>Calc!AH183</f>
        <v>41621.860459926553</v>
      </c>
      <c r="J183" s="15">
        <f>Calc!AI183</f>
        <v>268.77492014556537</v>
      </c>
      <c r="K183" s="15">
        <f>Calc!AJ183</f>
        <v>0.93974538886198999</v>
      </c>
      <c r="L183" s="15">
        <f>Calc!AK183</f>
        <v>1.7818450237198125</v>
      </c>
      <c r="M183" s="174">
        <f>Calc!AP183</f>
        <v>524.0136</v>
      </c>
      <c r="N183" s="174" t="e">
        <f>Calc!AQ183</f>
        <v>#VALUE!</v>
      </c>
      <c r="O183" s="174">
        <f>Calc!AW183</f>
        <v>524.01160000000004</v>
      </c>
      <c r="P183" s="174">
        <f>Calc!AX183</f>
        <v>127.8365767698</v>
      </c>
      <c r="Q183" s="178">
        <f>Calc!BC183</f>
        <v>4.1232672567816984</v>
      </c>
      <c r="R183" s="174">
        <f>Calc!BD183</f>
        <v>7.845169308248896</v>
      </c>
      <c r="S183" s="15">
        <f>Input!E183</f>
        <v>0</v>
      </c>
      <c r="T183" s="68"/>
    </row>
    <row r="184" spans="1:20" x14ac:dyDescent="0.2">
      <c r="A184" s="68">
        <f>Input!A184</f>
        <v>11064</v>
      </c>
      <c r="B184" s="68" t="str">
        <f>Input!B184</f>
        <v>E0-C-166</v>
      </c>
      <c r="C184" s="175">
        <f>Calc!O184*1000</f>
        <v>371.48333909746577</v>
      </c>
      <c r="D184" s="175">
        <f>Calc!P184*1000</f>
        <v>2.0524207802077643E-2</v>
      </c>
      <c r="E184" s="175">
        <f>Calc!X184</f>
        <v>5.3922341589386094E-2</v>
      </c>
      <c r="F184" s="175">
        <f>Calc!Y184</f>
        <v>1.9604512081135294E-4</v>
      </c>
      <c r="G184" s="175">
        <f>Calc!AN184</f>
        <v>1.5921763423908358E-2</v>
      </c>
      <c r="H184" s="71">
        <f>Calc!AO184</f>
        <v>2.3212012790080341E-4</v>
      </c>
      <c r="I184" s="70">
        <f>Calc!AH184</f>
        <v>333.76318390133861</v>
      </c>
      <c r="J184" s="70">
        <f>Calc!AI184</f>
        <v>5.0148569309079836</v>
      </c>
      <c r="K184" s="70">
        <f>Calc!AJ184</f>
        <v>18.745959422096448</v>
      </c>
      <c r="L184" s="70">
        <f>Calc!AK184</f>
        <v>2.0757940127325822</v>
      </c>
      <c r="M184" s="176">
        <f>Calc!AP184</f>
        <v>1.7176</v>
      </c>
      <c r="N184" s="176">
        <f>Calc!AQ184</f>
        <v>2.6700000000000002E-2</v>
      </c>
      <c r="O184" s="176">
        <f>Calc!AW184</f>
        <v>1.7138</v>
      </c>
      <c r="P184" s="176">
        <f>Calc!AY184</f>
        <v>2.5589130233774088E-2</v>
      </c>
      <c r="Q184" s="177">
        <f>Calc!BC184</f>
        <v>18.836842849841549</v>
      </c>
      <c r="R184" s="176">
        <f>Calc!BD184</f>
        <v>2.0858582396808472</v>
      </c>
      <c r="S184" s="70">
        <f>Input!E184</f>
        <v>166</v>
      </c>
      <c r="T184" s="68"/>
    </row>
    <row r="185" spans="1:20" x14ac:dyDescent="0.2">
      <c r="A185" s="13">
        <f>Input!A185</f>
        <v>10815</v>
      </c>
      <c r="B185" s="13" t="str">
        <f>Input!B185</f>
        <v>Hu1-13</v>
      </c>
      <c r="C185" s="172">
        <f>Calc!O185*1000</f>
        <v>13698.429721167033</v>
      </c>
      <c r="D185" s="172">
        <f>Calc!P185*1000</f>
        <v>1.4969794752722765</v>
      </c>
      <c r="E185" s="172">
        <f>Calc!X185</f>
        <v>1.0030595211815605</v>
      </c>
      <c r="F185" s="172">
        <f>Calc!Y185</f>
        <v>5.5565690181861331E-3</v>
      </c>
      <c r="G185" s="172">
        <f>Calc!AN185</f>
        <v>0.99811261934450868</v>
      </c>
      <c r="H185" s="173">
        <f>Calc!AO185</f>
        <v>4.1241061630110324E-3</v>
      </c>
      <c r="I185" s="15">
        <f>Calc!AH185</f>
        <v>41658.867269164948</v>
      </c>
      <c r="J185" s="15">
        <f>Calc!AI185</f>
        <v>287.86273703835127</v>
      </c>
      <c r="K185" s="15">
        <f>Calc!AJ185</f>
        <v>-0.93651829503527129</v>
      </c>
      <c r="L185" s="15">
        <f>Calc!AK185</f>
        <v>1.565731686831729</v>
      </c>
      <c r="M185" s="174">
        <f>Calc!AP185</f>
        <v>820.05010000000004</v>
      </c>
      <c r="N185" s="174" t="e">
        <f>Calc!AQ185</f>
        <v>#VALUE!</v>
      </c>
      <c r="O185" s="174">
        <f>Calc!AW185</f>
        <v>820.04809999999998</v>
      </c>
      <c r="P185" s="174">
        <f>Calc!AX185</f>
        <v>333.63176101059997</v>
      </c>
      <c r="Q185" s="178">
        <f>Calc!BC185</f>
        <v>-9.4748291518546228</v>
      </c>
      <c r="R185" s="174">
        <f>Calc!BD185</f>
        <v>29.841630274693344</v>
      </c>
      <c r="S185" s="15">
        <f>Input!E185</f>
        <v>0</v>
      </c>
      <c r="T185" s="68"/>
    </row>
    <row r="186" spans="1:20" x14ac:dyDescent="0.2">
      <c r="A186" s="68">
        <f>Input!A186</f>
        <v>11091</v>
      </c>
      <c r="B186" s="68" t="str">
        <f>Input!B186</f>
        <v>M514-44B-605,0</v>
      </c>
      <c r="C186" s="175">
        <f>Calc!O186*1000</f>
        <v>331.84786504437972</v>
      </c>
      <c r="D186" s="175">
        <f>Calc!P186*1000</f>
        <v>1.6279844589632182E-2</v>
      </c>
      <c r="E186" s="175">
        <f>Calc!X186</f>
        <v>7.1054144626629984E-2</v>
      </c>
      <c r="F186" s="175">
        <f>Calc!Y186</f>
        <v>2.1039729572623611E-4</v>
      </c>
      <c r="G186" s="175">
        <f>Calc!AN186</f>
        <v>2.0323391024006829</v>
      </c>
      <c r="H186" s="71">
        <f>Calc!AO186</f>
        <v>3.8963810726966724E-3</v>
      </c>
      <c r="I186" s="70">
        <f>Calc!AH186</f>
        <v>28883.359777681169</v>
      </c>
      <c r="J186" s="70">
        <f>Calc!AI186</f>
        <v>101.87776107662219</v>
      </c>
      <c r="K186" s="70">
        <f>Calc!AJ186</f>
        <v>923.64070158666118</v>
      </c>
      <c r="L186" s="70">
        <f>Calc!AK186</f>
        <v>1.2211437194848747</v>
      </c>
      <c r="M186" s="176">
        <f>Calc!AP186</f>
        <v>280.1748</v>
      </c>
      <c r="N186" s="176">
        <f>Calc!AQ186</f>
        <v>1.6581999999999999</v>
      </c>
      <c r="O186" s="176">
        <f>Calc!AW186</f>
        <v>280.17290000000003</v>
      </c>
      <c r="P186" s="176">
        <f>Calc!AY186</f>
        <v>1.9463296117456808</v>
      </c>
      <c r="Q186" s="177">
        <f>Calc!BC186</f>
        <v>2036.4999022649824</v>
      </c>
      <c r="R186" s="176">
        <f>Calc!BD186</f>
        <v>11.50527751871595</v>
      </c>
      <c r="S186" s="70">
        <f>Input!E186</f>
        <v>605</v>
      </c>
      <c r="T186" s="68"/>
    </row>
    <row r="187" spans="1:20" x14ac:dyDescent="0.2">
      <c r="A187" s="13">
        <f>Input!A187</f>
        <v>10815</v>
      </c>
      <c r="B187" s="13" t="str">
        <f>Input!B187</f>
        <v>Hu1-13</v>
      </c>
      <c r="C187" s="172">
        <f>Calc!O187*1000</f>
        <v>13701.984545075145</v>
      </c>
      <c r="D187" s="172">
        <f>Calc!P187*1000</f>
        <v>1.7617205694029257</v>
      </c>
      <c r="E187" s="172">
        <f>Calc!X187</f>
        <v>0.99991869129526889</v>
      </c>
      <c r="F187" s="172">
        <f>Calc!Y187</f>
        <v>6.1646476218576171E-3</v>
      </c>
      <c r="G187" s="172">
        <f>Calc!AN187</f>
        <v>0.99323963915966729</v>
      </c>
      <c r="H187" s="173">
        <f>Calc!AO187</f>
        <v>3.6885710367543906E-3</v>
      </c>
      <c r="I187" s="15">
        <f>Calc!AH187</f>
        <v>41596.487501405041</v>
      </c>
      <c r="J187" s="15">
        <f>Calc!AI187</f>
        <v>299.33268627111971</v>
      </c>
      <c r="K187" s="15">
        <f>Calc!AJ187</f>
        <v>0.7916304678166064</v>
      </c>
      <c r="L187" s="15">
        <f>Calc!AK187</f>
        <v>1.6278134744913735</v>
      </c>
      <c r="M187" s="174">
        <f>Calc!AP187</f>
        <v>528.37469999999996</v>
      </c>
      <c r="N187" s="174" t="e">
        <f>Calc!AQ187</f>
        <v>#VALUE!</v>
      </c>
      <c r="O187" s="174">
        <f>Calc!AW187</f>
        <v>528.37279999999998</v>
      </c>
      <c r="P187" s="174">
        <f>Calc!AX187</f>
        <v>154.55419323929999</v>
      </c>
      <c r="Q187" s="178">
        <f>Calc!BC187</f>
        <v>3.5164050210112281</v>
      </c>
      <c r="R187" s="174">
        <f>Calc!BD187</f>
        <v>7.2548081763760521</v>
      </c>
      <c r="S187" s="15">
        <f>Input!E187</f>
        <v>0</v>
      </c>
      <c r="T187" s="68"/>
    </row>
    <row r="188" spans="1:20" x14ac:dyDescent="0.2">
      <c r="A188" s="68">
        <f>Input!A188</f>
        <v>11092</v>
      </c>
      <c r="B188" s="68" t="str">
        <f>Input!B188</f>
        <v>M514-44B-629,25</v>
      </c>
      <c r="C188" s="175">
        <f>Calc!O188*1000</f>
        <v>293.36415994891206</v>
      </c>
      <c r="D188" s="175">
        <f>Calc!P188*1000</f>
        <v>2.1093227443639145E-2</v>
      </c>
      <c r="E188" s="175">
        <f>Calc!X188</f>
        <v>7.2973920119032795E-2</v>
      </c>
      <c r="F188" s="175">
        <f>Calc!Y188</f>
        <v>1.6380681138551272E-4</v>
      </c>
      <c r="G188" s="175">
        <f>Calc!AN188</f>
        <v>2.1459657647207524</v>
      </c>
      <c r="H188" s="71">
        <f>Calc!AO188</f>
        <v>5.0600016126102062E-3</v>
      </c>
      <c r="I188" s="70">
        <f>Calc!AH188</f>
        <v>26232.401133063911</v>
      </c>
      <c r="J188" s="70">
        <f>Calc!AI188</f>
        <v>85.379929134001884</v>
      </c>
      <c r="K188" s="70">
        <f>Calc!AJ188</f>
        <v>1013.9979627031877</v>
      </c>
      <c r="L188" s="70">
        <f>Calc!AK188</f>
        <v>1.9246491355026525</v>
      </c>
      <c r="M188" s="176">
        <f>Calc!AP188</f>
        <v>282.45679999999999</v>
      </c>
      <c r="N188" s="176">
        <f>Calc!AQ188</f>
        <v>2.3401999999999998</v>
      </c>
      <c r="O188" s="176">
        <f>Calc!AW188</f>
        <v>282.45479999999998</v>
      </c>
      <c r="P188" s="176">
        <f>Calc!AY188</f>
        <v>2.4825874619826527</v>
      </c>
      <c r="Q188" s="177">
        <f>Calc!BC188</f>
        <v>2250.1689198484805</v>
      </c>
      <c r="R188" s="176">
        <f>Calc!BD188</f>
        <v>16.333017258197373</v>
      </c>
      <c r="S188" s="70">
        <f>Input!E188</f>
        <v>629.25</v>
      </c>
      <c r="T188" s="68"/>
    </row>
    <row r="189" spans="1:20" x14ac:dyDescent="0.2">
      <c r="A189" s="13">
        <f>Input!A189</f>
        <v>10815</v>
      </c>
      <c r="B189" s="13" t="str">
        <f>Input!B189</f>
        <v>Hu1-13</v>
      </c>
      <c r="C189" s="172">
        <f>Calc!O189*1000</f>
        <v>13702.469755749265</v>
      </c>
      <c r="D189" s="172">
        <f>Calc!P189*1000</f>
        <v>1.5707839375136623</v>
      </c>
      <c r="E189" s="172">
        <f>Calc!X189</f>
        <v>0.99780494270094244</v>
      </c>
      <c r="F189" s="172">
        <f>Calc!Y189</f>
        <v>3.6671324003755119E-3</v>
      </c>
      <c r="G189" s="172">
        <f>Calc!AN189</f>
        <v>0.99661816859957397</v>
      </c>
      <c r="H189" s="173">
        <f>Calc!AO189</f>
        <v>3.5867902747554205E-3</v>
      </c>
      <c r="I189" s="15">
        <f>Calc!AH189</f>
        <v>41827.877812993189</v>
      </c>
      <c r="J189" s="15">
        <f>Calc!AI189</f>
        <v>215.10461182878132</v>
      </c>
      <c r="K189" s="15">
        <f>Calc!AJ189</f>
        <v>0.8337935479481029</v>
      </c>
      <c r="L189" s="15">
        <f>Calc!AK189</f>
        <v>1.5072261869894281</v>
      </c>
      <c r="M189" s="174">
        <f>Calc!AP189</f>
        <v>587.86400000000003</v>
      </c>
      <c r="N189" s="174" t="e">
        <f>Calc!AQ189</f>
        <v>#VALUE!</v>
      </c>
      <c r="O189" s="174">
        <f>Calc!AW189</f>
        <v>587.86199999999997</v>
      </c>
      <c r="P189" s="174">
        <f>Calc!AX189</f>
        <v>223.56565224080001</v>
      </c>
      <c r="Q189" s="178">
        <f>Calc!BC189</f>
        <v>4.380716887872758</v>
      </c>
      <c r="R189" s="174">
        <f>Calc!BD189</f>
        <v>8.0124312906804089</v>
      </c>
      <c r="S189" s="15">
        <f>Input!E189</f>
        <v>0</v>
      </c>
      <c r="T189" s="68"/>
    </row>
    <row r="190" spans="1:20" x14ac:dyDescent="0.2">
      <c r="A190" s="68">
        <f>Input!A190</f>
        <v>11093</v>
      </c>
      <c r="B190" s="68" t="str">
        <f>Input!B190</f>
        <v>M514-44B-651,5</v>
      </c>
      <c r="C190" s="175">
        <f>Calc!O190*1000</f>
        <v>287.23589002523738</v>
      </c>
      <c r="D190" s="175">
        <f>Calc!P190*1000</f>
        <v>1.6305962770616651E-2</v>
      </c>
      <c r="E190" s="175">
        <f>Calc!X190</f>
        <v>8.7861133025607094E-2</v>
      </c>
      <c r="F190" s="175">
        <f>Calc!Y190</f>
        <v>1.7762221822999088E-4</v>
      </c>
      <c r="G190" s="175">
        <f>Calc!AN190</f>
        <v>2.1568443044309946</v>
      </c>
      <c r="H190" s="71">
        <f>Calc!AO190</f>
        <v>3.6188175243537933E-3</v>
      </c>
      <c r="I190" s="70">
        <f>Calc!AH190</f>
        <v>21476.985790965515</v>
      </c>
      <c r="J190" s="70">
        <f>Calc!AI190</f>
        <v>56.410747659633842</v>
      </c>
      <c r="K190" s="70">
        <f>Calc!AJ190</f>
        <v>1024.0015049982469</v>
      </c>
      <c r="L190" s="70">
        <f>Calc!AK190</f>
        <v>1.3172295528691729</v>
      </c>
      <c r="M190" s="176">
        <f>Calc!AP190</f>
        <v>281.93939999999998</v>
      </c>
      <c r="N190" s="176">
        <f>Calc!AQ190</f>
        <v>1.5940000000000001</v>
      </c>
      <c r="O190" s="176">
        <f>Calc!AW190</f>
        <v>281.93689999999998</v>
      </c>
      <c r="P190" s="176">
        <f>Calc!AY190</f>
        <v>1.7438190699347138</v>
      </c>
      <c r="Q190" s="177">
        <f>Calc!BC190</f>
        <v>2269.0490984179064</v>
      </c>
      <c r="R190" s="176">
        <f>Calc!BD190</f>
        <v>11.541532301649662</v>
      </c>
      <c r="S190" s="70">
        <f>Input!E190</f>
        <v>651.5</v>
      </c>
      <c r="T190" s="68"/>
    </row>
    <row r="191" spans="1:20" x14ac:dyDescent="0.2">
      <c r="A191" s="13">
        <f>Input!A191</f>
        <v>10815</v>
      </c>
      <c r="B191" s="13" t="str">
        <f>Input!B191</f>
        <v>Hu1-13</v>
      </c>
      <c r="C191" s="172">
        <f>Calc!O191*1000</f>
        <v>13702.469755749265</v>
      </c>
      <c r="D191" s="172">
        <f>Calc!P191*1000</f>
        <v>1.5707839375136623</v>
      </c>
      <c r="E191" s="172">
        <f>Calc!X191</f>
        <v>0.99780494270094244</v>
      </c>
      <c r="F191" s="172">
        <f>Calc!Y191</f>
        <v>3.6671324003755119E-3</v>
      </c>
      <c r="G191" s="172">
        <f>Calc!AN191</f>
        <v>0.99661816859957397</v>
      </c>
      <c r="H191" s="173">
        <f>Calc!AO191</f>
        <v>3.5867902747554205E-3</v>
      </c>
      <c r="I191" s="15">
        <f>Calc!AH191</f>
        <v>41827.877812993189</v>
      </c>
      <c r="J191" s="15">
        <f>Calc!AI191</f>
        <v>215.10461182878132</v>
      </c>
      <c r="K191" s="15">
        <f>Calc!AJ191</f>
        <v>0.8337935479481029</v>
      </c>
      <c r="L191" s="15">
        <f>Calc!AK191</f>
        <v>1.5072261869894281</v>
      </c>
      <c r="M191" s="174">
        <f>Calc!AP191</f>
        <v>587.86400000000003</v>
      </c>
      <c r="N191" s="174" t="e">
        <f>Calc!AQ191</f>
        <v>#VALUE!</v>
      </c>
      <c r="O191" s="174">
        <f>Calc!AW191</f>
        <v>587.86199999999997</v>
      </c>
      <c r="P191" s="174">
        <f>Calc!AX191</f>
        <v>236.88949971619999</v>
      </c>
      <c r="Q191" s="178">
        <f>Calc!BC191</f>
        <v>4.380716887872758</v>
      </c>
      <c r="R191" s="174">
        <f>Calc!BD191</f>
        <v>8.0124312906804089</v>
      </c>
      <c r="S191" s="15">
        <f>Input!E191</f>
        <v>0</v>
      </c>
      <c r="T191" s="68"/>
    </row>
    <row r="192" spans="1:20" ht="13.5" customHeight="1" x14ac:dyDescent="0.2">
      <c r="H192" s="75"/>
    </row>
    <row r="193" spans="1:20" x14ac:dyDescent="0.2">
      <c r="A193" s="13">
        <f>Input!A193</f>
        <v>10815</v>
      </c>
      <c r="B193" s="13" t="str">
        <f>Input!B193</f>
        <v>Hu1-13</v>
      </c>
      <c r="C193" s="172">
        <f>Calc!O193*1000</f>
        <v>13698.012432412721</v>
      </c>
      <c r="D193" s="172">
        <f>Calc!P193*1000</f>
        <v>2.3926096773560666</v>
      </c>
      <c r="E193" s="172">
        <f>Calc!X193</f>
        <v>0.99621496370348195</v>
      </c>
      <c r="F193" s="172">
        <f>Calc!Y193</f>
        <v>1.1537317491767403E-2</v>
      </c>
      <c r="G193" s="172">
        <f>Calc!AN193</f>
        <v>0.99116931412337761</v>
      </c>
      <c r="H193" s="173">
        <f>Calc!AO193</f>
        <v>8.2998839067137588E-3</v>
      </c>
      <c r="I193" s="15">
        <f>Calc!AH193</f>
        <v>41652.030010580464</v>
      </c>
      <c r="J193" s="15">
        <f>Calc!AI193</f>
        <v>595.2213893906486</v>
      </c>
      <c r="K193" s="15">
        <f>Calc!AJ193</f>
        <v>-1.0070853994307294</v>
      </c>
      <c r="L193" s="15">
        <f>Calc!AK193</f>
        <v>2.457528017525366</v>
      </c>
      <c r="M193" s="174">
        <f>Calc!AP193</f>
        <v>534.64229999999998</v>
      </c>
      <c r="N193" s="174" t="e">
        <f>Calc!AQ193</f>
        <v>#VALUE!</v>
      </c>
      <c r="O193" s="174">
        <f>Calc!AW193</f>
        <v>534.64030000000002</v>
      </c>
      <c r="P193" s="174">
        <f>Calc!AX193</f>
        <v>249.07572539660001</v>
      </c>
      <c r="Q193" s="178">
        <f>Calc!BC193</f>
        <v>-4.5532780355953442</v>
      </c>
      <c r="R193" s="174">
        <f>Calc!BD193</f>
        <v>11.239421179934928</v>
      </c>
      <c r="S193" s="15">
        <f>Input!E193</f>
        <v>0</v>
      </c>
      <c r="T193" s="68"/>
    </row>
    <row r="194" spans="1:20" x14ac:dyDescent="0.2">
      <c r="A194" s="68">
        <f>Input!A194</f>
        <v>11094</v>
      </c>
      <c r="B194" s="68" t="str">
        <f>Input!B194</f>
        <v>M43-401-14-68</v>
      </c>
      <c r="C194" s="175">
        <f>Calc!O194*1000</f>
        <v>757.34436056958373</v>
      </c>
      <c r="D194" s="175">
        <f>Calc!P194*1000</f>
        <v>4.1875464438630869E-2</v>
      </c>
      <c r="E194" s="175">
        <f>Calc!X194</f>
        <v>6.1532982927926284E-2</v>
      </c>
      <c r="F194" s="175">
        <f>Calc!Y194</f>
        <v>1.5648018787489245E-4</v>
      </c>
      <c r="G194" s="175">
        <f>Calc!AN194</f>
        <v>1.8834540662469603</v>
      </c>
      <c r="H194" s="71">
        <f>Calc!AO194</f>
        <v>2.9531488733452898E-3</v>
      </c>
      <c r="I194" s="70">
        <f>Calc!AH194</f>
        <v>70559.483714895934</v>
      </c>
      <c r="J194" s="70">
        <f>Calc!AI194</f>
        <v>210.76375513208981</v>
      </c>
      <c r="K194" s="70">
        <f>Calc!AJ194</f>
        <v>932.96250543065787</v>
      </c>
      <c r="L194" s="70">
        <f>Calc!AK194</f>
        <v>0.9271719999856568</v>
      </c>
      <c r="M194" s="176">
        <f>Calc!AP194</f>
        <v>220.66069999999999</v>
      </c>
      <c r="N194" s="176">
        <f>Calc!AQ194</f>
        <v>0.88260000000000005</v>
      </c>
      <c r="O194" s="176">
        <f>Calc!AW194</f>
        <v>220.65989999999999</v>
      </c>
      <c r="P194" s="176">
        <f>Calc!AY194</f>
        <v>0.93797569202589837</v>
      </c>
      <c r="Q194" s="177">
        <f>Calc!BC194</f>
        <v>1739.0260434140296</v>
      </c>
      <c r="R194" s="176">
        <f>Calc!BD194</f>
        <v>4.9169741995556864</v>
      </c>
      <c r="S194" s="70">
        <f>Input!E194</f>
        <v>68</v>
      </c>
      <c r="T194" s="68"/>
    </row>
    <row r="195" spans="1:20" x14ac:dyDescent="0.2">
      <c r="A195" s="13">
        <f>Input!A195</f>
        <v>10815</v>
      </c>
      <c r="B195" s="13" t="str">
        <f>Input!B195</f>
        <v>Hu1-13</v>
      </c>
      <c r="C195" s="172">
        <f>Calc!O195*1000</f>
        <v>13700.076962418392</v>
      </c>
      <c r="D195" s="172">
        <f>Calc!P195*1000</f>
        <v>2.1449370350376946</v>
      </c>
      <c r="E195" s="172">
        <f>Calc!X195</f>
        <v>0.99615882823075641</v>
      </c>
      <c r="F195" s="172">
        <f>Calc!Y195</f>
        <v>8.3092324122060329E-3</v>
      </c>
      <c r="G195" s="172">
        <f>Calc!AN195</f>
        <v>1.000701190694548</v>
      </c>
      <c r="H195" s="173">
        <f>Calc!AO195</f>
        <v>3.989622628333485E-3</v>
      </c>
      <c r="I195" s="15">
        <f>Calc!AH195</f>
        <v>42061.297394530717</v>
      </c>
      <c r="J195" s="15">
        <f>Calc!AI195</f>
        <v>388.80455881559033</v>
      </c>
      <c r="K195" s="15">
        <f>Calc!AJ195</f>
        <v>-0.95537192677697114</v>
      </c>
      <c r="L195" s="15">
        <f>Calc!AK195</f>
        <v>2.0106992412102058</v>
      </c>
      <c r="M195" s="174" t="str">
        <f>Calc!AP195</f>
        <v>Out of range</v>
      </c>
      <c r="N195" s="174" t="e">
        <f>Calc!AQ195</f>
        <v>#VALUE!</v>
      </c>
      <c r="O195" s="174" t="str">
        <f>Calc!AW195</f>
        <v>Out of range</v>
      </c>
      <c r="P195" s="174">
        <f>Calc!AX195</f>
        <v>315.06256192720002</v>
      </c>
      <c r="Q195" s="178" t="e">
        <f>Calc!BC195</f>
        <v>#VALUE!</v>
      </c>
      <c r="R195" s="174" t="e">
        <f>Calc!BD195</f>
        <v>#VALUE!</v>
      </c>
      <c r="S195" s="15">
        <f>Input!E195</f>
        <v>0</v>
      </c>
      <c r="T195" s="68"/>
    </row>
    <row r="196" spans="1:20" x14ac:dyDescent="0.2">
      <c r="A196" s="68">
        <f>Input!A196</f>
        <v>11095</v>
      </c>
      <c r="B196" s="68" t="str">
        <f>Input!B196</f>
        <v>M43-401-14-152</v>
      </c>
      <c r="C196" s="175">
        <f>Calc!O196*1000</f>
        <v>663.51321498811603</v>
      </c>
      <c r="D196" s="175">
        <f>Calc!P196*1000</f>
        <v>3.7239783078825604E-2</v>
      </c>
      <c r="E196" s="175">
        <f>Calc!X196</f>
        <v>0.54859081298493018</v>
      </c>
      <c r="F196" s="175">
        <f>Calc!Y196</f>
        <v>1.2244206414893698E-3</v>
      </c>
      <c r="G196" s="175">
        <f>Calc!AN196</f>
        <v>2.0223042439158392</v>
      </c>
      <c r="H196" s="71">
        <f>Calc!AO196</f>
        <v>4.2135692483663018E-3</v>
      </c>
      <c r="I196" s="70">
        <f>Calc!AH196</f>
        <v>7476.3692601055154</v>
      </c>
      <c r="J196" s="70">
        <f>Calc!AI196</f>
        <v>22.823840424706916</v>
      </c>
      <c r="K196" s="70">
        <f>Calc!AJ196</f>
        <v>994.25962342628816</v>
      </c>
      <c r="L196" s="70">
        <f>Calc!AK196</f>
        <v>1.1497100739164099</v>
      </c>
      <c r="M196" s="176">
        <f>Calc!AP196</f>
        <v>243.2884</v>
      </c>
      <c r="N196" s="176">
        <f>Calc!AQ196</f>
        <v>1.5398000000000001</v>
      </c>
      <c r="O196" s="176">
        <f>Calc!AW196</f>
        <v>243.28100000000001</v>
      </c>
      <c r="P196" s="176">
        <f>Calc!AY196</f>
        <v>1.501530887073228</v>
      </c>
      <c r="Q196" s="177">
        <f>Calc!BC196</f>
        <v>1975.4508741346658</v>
      </c>
      <c r="R196" s="176">
        <f>Calc!BD196</f>
        <v>8.6768823783724862</v>
      </c>
      <c r="S196" s="70">
        <f>Input!E196</f>
        <v>152</v>
      </c>
      <c r="T196" s="68"/>
    </row>
    <row r="197" spans="1:20" x14ac:dyDescent="0.2">
      <c r="A197" s="13">
        <f>Input!A197</f>
        <v>10815</v>
      </c>
      <c r="B197" s="13" t="str">
        <f>Input!B197</f>
        <v>Hu1-13</v>
      </c>
      <c r="C197" s="172">
        <f>Calc!O197*1000</f>
        <v>13699.800326522209</v>
      </c>
      <c r="D197" s="172">
        <f>Calc!P197*1000</f>
        <v>1.678886452155832</v>
      </c>
      <c r="E197" s="172">
        <f>Calc!X197</f>
        <v>0.99204083201732496</v>
      </c>
      <c r="F197" s="172">
        <f>Calc!Y197</f>
        <v>5.7276974299978736E-3</v>
      </c>
      <c r="G197" s="172">
        <f>Calc!AN197</f>
        <v>0.9995722556861647</v>
      </c>
      <c r="H197" s="173">
        <f>Calc!AO197</f>
        <v>2.9196918124946231E-3</v>
      </c>
      <c r="I197" s="15">
        <f>Calc!AH197</f>
        <v>42187.395264488281</v>
      </c>
      <c r="J197" s="15">
        <f>Calc!AI197</f>
        <v>272.9231824659762</v>
      </c>
      <c r="K197" s="15">
        <f>Calc!AJ197</f>
        <v>0.57400672799068353</v>
      </c>
      <c r="L197" s="15">
        <f>Calc!AK197</f>
        <v>1.9255254086953872</v>
      </c>
      <c r="M197" s="174">
        <f>Calc!AP197</f>
        <v>729.03300000000002</v>
      </c>
      <c r="N197" s="174" t="e">
        <f>Calc!AQ197</f>
        <v>#VALUE!</v>
      </c>
      <c r="O197" s="174">
        <f>Calc!AW197</f>
        <v>729.03110000000004</v>
      </c>
      <c r="P197" s="174">
        <f>Calc!AX197</f>
        <v>327.54957480069999</v>
      </c>
      <c r="Q197" s="178">
        <f>Calc!BC197</f>
        <v>4.4918082302669911</v>
      </c>
      <c r="R197" s="174">
        <f>Calc!BD197</f>
        <v>15.694540057717743</v>
      </c>
      <c r="S197" s="15">
        <f>Input!E197</f>
        <v>0</v>
      </c>
      <c r="T197" s="68"/>
    </row>
    <row r="198" spans="1:20" x14ac:dyDescent="0.2">
      <c r="A198" s="68">
        <f>Input!A198</f>
        <v>11096</v>
      </c>
      <c r="B198" s="68" t="str">
        <f>Input!B198</f>
        <v>M43-401-14-154</v>
      </c>
      <c r="C198" s="175">
        <f>Calc!O198*1000</f>
        <v>630.32328473991458</v>
      </c>
      <c r="D198" s="175">
        <f>Calc!P198*1000</f>
        <v>4.1031316037387931E-2</v>
      </c>
      <c r="E198" s="175">
        <f>Calc!X198</f>
        <v>9.2044774736690815E-2</v>
      </c>
      <c r="F198" s="175">
        <f>Calc!Y198</f>
        <v>2.3226879024396653E-4</v>
      </c>
      <c r="G198" s="175">
        <f>Calc!AN198</f>
        <v>2.0889970498481842</v>
      </c>
      <c r="H198" s="71">
        <f>Calc!AO198</f>
        <v>4.2340294371875356E-3</v>
      </c>
      <c r="I198" s="70">
        <f>Calc!AH198</f>
        <v>43630.515552240315</v>
      </c>
      <c r="J198" s="70">
        <f>Calc!AI198</f>
        <v>141.18696362392907</v>
      </c>
      <c r="K198" s="70">
        <f>Calc!AJ198</f>
        <v>1023.548451259539</v>
      </c>
      <c r="L198" s="70">
        <f>Calc!AK198</f>
        <v>0.93725989505978768</v>
      </c>
      <c r="M198" s="176">
        <f>Calc!AP198</f>
        <v>254.95089999999999</v>
      </c>
      <c r="N198" s="176">
        <f>Calc!AQ198</f>
        <v>1.5844</v>
      </c>
      <c r="O198" s="176">
        <f>Calc!AW198</f>
        <v>254.9496</v>
      </c>
      <c r="P198" s="176">
        <f>Calc!AY198</f>
        <v>1.5880132996750969</v>
      </c>
      <c r="Q198" s="177">
        <f>Calc!BC198</f>
        <v>2101.7252014704386</v>
      </c>
      <c r="R198" s="176">
        <f>Calc!BD198</f>
        <v>9.6134259515323031</v>
      </c>
      <c r="S198" s="70">
        <f>Input!E198</f>
        <v>154</v>
      </c>
      <c r="T198" s="68"/>
    </row>
    <row r="199" spans="1:20" x14ac:dyDescent="0.2">
      <c r="A199" s="13">
        <f>Input!A199</f>
        <v>10815</v>
      </c>
      <c r="B199" s="13" t="str">
        <f>Input!B199</f>
        <v>Hu1-13</v>
      </c>
      <c r="C199" s="172">
        <f>Calc!O199*1000</f>
        <v>13702.076351851823</v>
      </c>
      <c r="D199" s="172">
        <f>Calc!P199*1000</f>
        <v>1.8543026443128512</v>
      </c>
      <c r="E199" s="172">
        <f>Calc!X199</f>
        <v>0.97569757311304173</v>
      </c>
      <c r="F199" s="172">
        <f>Calc!Y199</f>
        <v>6.4022083519053941E-3</v>
      </c>
      <c r="G199" s="172">
        <f>Calc!AN199</f>
        <v>0.99630795938662509</v>
      </c>
      <c r="H199" s="173">
        <f>Calc!AO199</f>
        <v>2.7936326690233037E-3</v>
      </c>
      <c r="I199" s="15">
        <f>Calc!AH199</f>
        <v>42761.072326499714</v>
      </c>
      <c r="J199" s="15">
        <f>Calc!AI199</f>
        <v>305.07431407367608</v>
      </c>
      <c r="K199" s="15">
        <f>Calc!AJ199</f>
        <v>-0.38600516963538389</v>
      </c>
      <c r="L199" s="15">
        <f>Calc!AK199</f>
        <v>1.8335368728803432</v>
      </c>
      <c r="M199" s="174">
        <f>Calc!AP199</f>
        <v>628.32069999999999</v>
      </c>
      <c r="N199" s="174" t="e">
        <f>Calc!AQ199</f>
        <v>#VALUE!</v>
      </c>
      <c r="O199" s="174">
        <f>Calc!AW199</f>
        <v>628.31870000000004</v>
      </c>
      <c r="P199" s="174">
        <f>Calc!AX199</f>
        <v>274.73904561080002</v>
      </c>
      <c r="Q199" s="178">
        <f>Calc!BC199</f>
        <v>-2.2733364490877763</v>
      </c>
      <c r="R199" s="174">
        <f>Calc!BD199</f>
        <v>10.831481260651421</v>
      </c>
      <c r="S199" s="15">
        <f>Input!E199</f>
        <v>0</v>
      </c>
      <c r="T199" s="68"/>
    </row>
    <row r="200" spans="1:20" x14ac:dyDescent="0.2">
      <c r="A200" s="68">
        <f>Input!A200</f>
        <v>11097</v>
      </c>
      <c r="B200" s="68" t="str">
        <f>Input!B200</f>
        <v>M43-401-14-186,5</v>
      </c>
      <c r="C200" s="175">
        <f>Calc!O200*1000</f>
        <v>480.53265618674902</v>
      </c>
      <c r="D200" s="175">
        <f>Calc!P200*1000</f>
        <v>3.001868990108935E-2</v>
      </c>
      <c r="E200" s="175">
        <f>Calc!X200</f>
        <v>7.9323148630352308E-2</v>
      </c>
      <c r="F200" s="175">
        <f>Calc!Y200</f>
        <v>1.5562457882453316E-4</v>
      </c>
      <c r="G200" s="175">
        <f>Calc!AN200</f>
        <v>1.8515454258139967</v>
      </c>
      <c r="H200" s="71">
        <f>Calc!AO200</f>
        <v>3.3166027869550481E-3</v>
      </c>
      <c r="I200" s="70">
        <f>Calc!AH200</f>
        <v>34138.21872638911</v>
      </c>
      <c r="J200" s="70">
        <f>Calc!AI200</f>
        <v>90.66761781940545</v>
      </c>
      <c r="K200" s="70">
        <f>Calc!AJ200</f>
        <v>801.86913125523597</v>
      </c>
      <c r="L200" s="70">
        <f>Calc!AK200</f>
        <v>1.047252080830914</v>
      </c>
      <c r="M200" s="176">
        <f>Calc!AP200</f>
        <v>263.45499999999998</v>
      </c>
      <c r="N200" s="176">
        <f>Calc!AQ200</f>
        <v>1.6355999999999999</v>
      </c>
      <c r="O200" s="176">
        <f>Calc!AW200</f>
        <v>263.45330000000001</v>
      </c>
      <c r="P200" s="176">
        <f>Calc!AY200</f>
        <v>1.6037769330812619</v>
      </c>
      <c r="Q200" s="177">
        <f>Calc!BC200</f>
        <v>1686.5266163200261</v>
      </c>
      <c r="R200" s="176">
        <f>Calc!BD200</f>
        <v>7.9445855199773412</v>
      </c>
      <c r="S200" s="70">
        <f>Input!E200</f>
        <v>186.5</v>
      </c>
      <c r="T200" s="68"/>
    </row>
    <row r="201" spans="1:20" x14ac:dyDescent="0.2">
      <c r="A201" s="13">
        <f>Input!A201</f>
        <v>10815</v>
      </c>
      <c r="B201" s="13" t="str">
        <f>Input!B201</f>
        <v>Hu1-13</v>
      </c>
      <c r="C201" s="172">
        <f>Calc!O201*1000</f>
        <v>13696.697776834686</v>
      </c>
      <c r="D201" s="172">
        <f>Calc!P201*1000</f>
        <v>1.5827683464155653</v>
      </c>
      <c r="E201" s="172">
        <f>Calc!X201</f>
        <v>0.97471591176263428</v>
      </c>
      <c r="F201" s="172">
        <f>Calc!Y201</f>
        <v>5.7287437887369149E-3</v>
      </c>
      <c r="G201" s="172">
        <f>Calc!AN201</f>
        <v>0.99541848353886531</v>
      </c>
      <c r="H201" s="173">
        <f>Calc!AO201</f>
        <v>3.4963884825218055E-3</v>
      </c>
      <c r="I201" s="15">
        <f>Calc!AH201</f>
        <v>42749.136544346227</v>
      </c>
      <c r="J201" s="15">
        <f>Calc!AI201</f>
        <v>292.65953469673627</v>
      </c>
      <c r="K201" s="15">
        <f>Calc!AJ201</f>
        <v>0.16248399921248158</v>
      </c>
      <c r="L201" s="15">
        <f>Calc!AK201</f>
        <v>1.975722338599988</v>
      </c>
      <c r="M201" s="174">
        <f>Calc!AP201</f>
        <v>581.97239999999999</v>
      </c>
      <c r="N201" s="174" t="e">
        <f>Calc!AQ201</f>
        <v>#VALUE!</v>
      </c>
      <c r="O201" s="174">
        <f>Calc!AW201</f>
        <v>581.97050000000002</v>
      </c>
      <c r="P201" s="174">
        <f>Calc!AX201</f>
        <v>239.16644249550001</v>
      </c>
      <c r="Q201" s="178">
        <f>Calc!BC201</f>
        <v>0.83960807012323624</v>
      </c>
      <c r="R201" s="174">
        <f>Calc!BD201</f>
        <v>10.211989607303339</v>
      </c>
      <c r="S201" s="15">
        <f>Input!E201</f>
        <v>0</v>
      </c>
      <c r="T201" s="68"/>
    </row>
    <row r="202" spans="1:20" x14ac:dyDescent="0.2">
      <c r="A202" s="68">
        <f>Input!A202</f>
        <v>11098</v>
      </c>
      <c r="B202" s="68" t="str">
        <f>Input!B202</f>
        <v>M43-401-14-196,75</v>
      </c>
      <c r="C202" s="175">
        <f>Calc!O202*1000</f>
        <v>739.99443024241191</v>
      </c>
      <c r="D202" s="175">
        <f>Calc!P202*1000</f>
        <v>4.1843650481715164E-2</v>
      </c>
      <c r="E202" s="175">
        <f>Calc!X202</f>
        <v>0.13274674994247396</v>
      </c>
      <c r="F202" s="175">
        <f>Calc!Y202</f>
        <v>3.2500208968915434E-4</v>
      </c>
      <c r="G202" s="175">
        <f>Calc!AN202</f>
        <v>1.9922611415538671</v>
      </c>
      <c r="H202" s="71">
        <f>Calc!AO202</f>
        <v>3.8177763080884035E-3</v>
      </c>
      <c r="I202" s="70">
        <f>Calc!AH202</f>
        <v>33898.873348029054</v>
      </c>
      <c r="J202" s="70">
        <f>Calc!AI202</f>
        <v>105.37658556321546</v>
      </c>
      <c r="K202" s="70">
        <f>Calc!AJ202</f>
        <v>917.82060513296165</v>
      </c>
      <c r="L202" s="70">
        <f>Calc!AK202</f>
        <v>0.71265305881737717</v>
      </c>
      <c r="M202" s="176">
        <f>Calc!AP202</f>
        <v>265.41609999999997</v>
      </c>
      <c r="N202" s="176">
        <f>Calc!AQ202</f>
        <v>1.6113</v>
      </c>
      <c r="O202" s="176">
        <f>Calc!AW202</f>
        <v>265.41449999999998</v>
      </c>
      <c r="P202" s="176">
        <f>Calc!AY202</f>
        <v>1.6482293203546228</v>
      </c>
      <c r="Q202" s="177">
        <f>Calc!BC202</f>
        <v>1941.1145475730955</v>
      </c>
      <c r="R202" s="176">
        <f>Calc!BD202</f>
        <v>9.153839015454416</v>
      </c>
      <c r="S202" s="70">
        <f>Input!E202</f>
        <v>196.75</v>
      </c>
      <c r="T202" s="68"/>
    </row>
    <row r="203" spans="1:20" x14ac:dyDescent="0.2">
      <c r="A203" s="13">
        <f>Input!A203</f>
        <v>10815</v>
      </c>
      <c r="B203" s="13" t="str">
        <f>Input!B203</f>
        <v>Hu1-13</v>
      </c>
      <c r="C203" s="172">
        <f>Calc!O203*1000</f>
        <v>13697.824638039794</v>
      </c>
      <c r="D203" s="172">
        <f>Calc!P203*1000</f>
        <v>1.8925386369183901</v>
      </c>
      <c r="E203" s="172">
        <f>Calc!X203</f>
        <v>0.96751777505583025</v>
      </c>
      <c r="F203" s="172">
        <f>Calc!Y203</f>
        <v>6.4359980140150331E-3</v>
      </c>
      <c r="G203" s="172">
        <f>Calc!AN203</f>
        <v>1.002053113554034</v>
      </c>
      <c r="H203" s="173">
        <f>Calc!AO203</f>
        <v>2.7142521021775489E-3</v>
      </c>
      <c r="I203" s="15">
        <f>Calc!AH203</f>
        <v>43357.798279242626</v>
      </c>
      <c r="J203" s="15">
        <f>Calc!AI203</f>
        <v>311.35603083017696</v>
      </c>
      <c r="K203" s="15">
        <f>Calc!AJ203</f>
        <v>-0.61681565343441047</v>
      </c>
      <c r="L203" s="15">
        <f>Calc!AK203</f>
        <v>1.7920742339704212</v>
      </c>
      <c r="M203" s="174" t="str">
        <f>Calc!AP203</f>
        <v>Out of range</v>
      </c>
      <c r="N203" s="174" t="e">
        <f>Calc!AQ203</f>
        <v>#VALUE!</v>
      </c>
      <c r="O203" s="174" t="str">
        <f>Calc!AW203</f>
        <v>Out of range</v>
      </c>
      <c r="P203" s="174">
        <f>Calc!AX203</f>
        <v>278.9686876344</v>
      </c>
      <c r="Q203" s="178" t="e">
        <f>Calc!BC203</f>
        <v>#VALUE!</v>
      </c>
      <c r="R203" s="174" t="e">
        <f>Calc!BD203</f>
        <v>#VALUE!</v>
      </c>
      <c r="S203" s="15">
        <f>Input!E203</f>
        <v>0</v>
      </c>
      <c r="T203" s="68"/>
    </row>
    <row r="204" spans="1:20" x14ac:dyDescent="0.2">
      <c r="A204" s="68">
        <f>Input!A204</f>
        <v>11099</v>
      </c>
      <c r="B204" s="68" t="str">
        <f>Input!B204</f>
        <v>M43-401-14-200,75</v>
      </c>
      <c r="C204" s="175">
        <f>Calc!O204*1000</f>
        <v>400.89905314323715</v>
      </c>
      <c r="D204" s="175">
        <f>Calc!P204*1000</f>
        <v>3.2763059163813439E-2</v>
      </c>
      <c r="E204" s="175">
        <f>Calc!X204</f>
        <v>0.28396382520267527</v>
      </c>
      <c r="F204" s="175">
        <f>Calc!Y204</f>
        <v>5.913146279884372E-4</v>
      </c>
      <c r="G204" s="175">
        <f>Calc!AN204</f>
        <v>2.0636281044371469</v>
      </c>
      <c r="H204" s="71">
        <f>Calc!AO204</f>
        <v>4.3443214174475383E-3</v>
      </c>
      <c r="I204" s="70">
        <f>Calc!AH204</f>
        <v>8916.8328768933243</v>
      </c>
      <c r="J204" s="70">
        <f>Calc!AI204</f>
        <v>26.393447506200214</v>
      </c>
      <c r="K204" s="70">
        <f>Calc!AJ204</f>
        <v>957.34492870716053</v>
      </c>
      <c r="L204" s="70">
        <f>Calc!AK204</f>
        <v>1.6795472241971541</v>
      </c>
      <c r="M204" s="176">
        <f>Calc!AP204</f>
        <v>276.0376</v>
      </c>
      <c r="N204" s="176">
        <f>Calc!AQ204</f>
        <v>2.0985</v>
      </c>
      <c r="O204" s="176">
        <f>Calc!AW204</f>
        <v>276.03140000000002</v>
      </c>
      <c r="P204" s="176">
        <f>Calc!AY204</f>
        <v>2.1194558487162363</v>
      </c>
      <c r="Q204" s="177">
        <f>Calc!BC204</f>
        <v>2086.2864080795798</v>
      </c>
      <c r="R204" s="176">
        <f>Calc!BD204</f>
        <v>13.004273848551167</v>
      </c>
      <c r="S204" s="70">
        <f>Input!E204</f>
        <v>200.75</v>
      </c>
      <c r="T204" s="68"/>
    </row>
    <row r="205" spans="1:20" x14ac:dyDescent="0.2">
      <c r="A205" s="13">
        <f>Input!A205</f>
        <v>10815</v>
      </c>
      <c r="B205" s="13" t="str">
        <f>Input!B205</f>
        <v>Hu1-13</v>
      </c>
      <c r="C205" s="172">
        <f>Calc!O205*1000</f>
        <v>13697.62545877461</v>
      </c>
      <c r="D205" s="172">
        <f>Calc!P205*1000</f>
        <v>2.128034212791134</v>
      </c>
      <c r="E205" s="172">
        <f>Calc!X205</f>
        <v>0.96044196685247862</v>
      </c>
      <c r="F205" s="172">
        <f>Calc!Y205</f>
        <v>5.8573963503318668E-3</v>
      </c>
      <c r="G205" s="172">
        <f>Calc!AN205</f>
        <v>1.0008195857375395</v>
      </c>
      <c r="H205" s="173">
        <f>Calc!AO205</f>
        <v>2.4272651334171589E-3</v>
      </c>
      <c r="I205" s="15">
        <f>Calc!AH205</f>
        <v>43622.824653166259</v>
      </c>
      <c r="J205" s="15">
        <f>Calc!AI205</f>
        <v>286.22466607905238</v>
      </c>
      <c r="K205" s="15">
        <f>Calc!AJ205</f>
        <v>2.029872504241359</v>
      </c>
      <c r="L205" s="15">
        <f>Calc!AK205</f>
        <v>2.3070343449406345</v>
      </c>
      <c r="M205" s="174">
        <f>Calc!AP205</f>
        <v>673.81759999999997</v>
      </c>
      <c r="N205" s="174" t="e">
        <f>Calc!AQ205</f>
        <v>#VALUE!</v>
      </c>
      <c r="O205" s="174">
        <f>Calc!AW205</f>
        <v>673.81569999999999</v>
      </c>
      <c r="P205" s="174">
        <f>Calc!AX205</f>
        <v>315.38709625640001</v>
      </c>
      <c r="Q205" s="178">
        <f>Calc!BC205</f>
        <v>13.592542810909684</v>
      </c>
      <c r="R205" s="174">
        <f>Calc!BD205</f>
        <v>17.4358490358699</v>
      </c>
      <c r="S205" s="15">
        <f>Input!E205</f>
        <v>0</v>
      </c>
      <c r="T205" s="68"/>
    </row>
    <row r="206" spans="1:20" ht="13.5" customHeight="1" x14ac:dyDescent="0.2">
      <c r="H206" s="75"/>
    </row>
    <row r="207" spans="1:20" x14ac:dyDescent="0.2">
      <c r="A207" s="13">
        <f>Input!A207</f>
        <v>10815</v>
      </c>
      <c r="B207" s="13" t="str">
        <f>Input!B207</f>
        <v>Hu1-13</v>
      </c>
      <c r="C207" s="172">
        <f>Calc!O207*1000</f>
        <v>13702.974193759532</v>
      </c>
      <c r="D207" s="172">
        <f>Calc!P207*1000</f>
        <v>1.7440664312656853</v>
      </c>
      <c r="E207" s="172">
        <f>Calc!X207</f>
        <v>0.99390386161912814</v>
      </c>
      <c r="F207" s="172">
        <f>Calc!Y207</f>
        <v>6.8327671728094031E-3</v>
      </c>
      <c r="G207" s="172">
        <f>Calc!AN207</f>
        <v>0.99729228156550209</v>
      </c>
      <c r="H207" s="173">
        <f>Calc!AO207</f>
        <v>4.0113032923697256E-3</v>
      </c>
      <c r="I207" s="15">
        <f>Calc!AH207</f>
        <v>42022.002957359335</v>
      </c>
      <c r="J207" s="15">
        <f>Calc!AI207</f>
        <v>334.65722564148024</v>
      </c>
      <c r="K207" s="15">
        <f>Calc!AJ207</f>
        <v>-1.7718874703667176</v>
      </c>
      <c r="L207" s="15">
        <f>Calc!AK207</f>
        <v>1.4293484623421842</v>
      </c>
      <c r="M207" s="174">
        <f>Calc!AP207</f>
        <v>957.20150000000001</v>
      </c>
      <c r="N207" s="174" t="e">
        <f>Calc!AQ207</f>
        <v>#VALUE!</v>
      </c>
      <c r="O207" s="174">
        <f>Calc!AW207</f>
        <v>957.19949999999994</v>
      </c>
      <c r="P207" s="174">
        <f>Calc!AX207</f>
        <v>341.91440350089999</v>
      </c>
      <c r="Q207" s="178">
        <f>Calc!BC207</f>
        <v>-26.398832002095553</v>
      </c>
      <c r="R207" s="174">
        <f>Calc!BD207</f>
        <v>242.58320845002243</v>
      </c>
      <c r="S207" s="15">
        <f>Input!E207</f>
        <v>0</v>
      </c>
      <c r="T207" s="68"/>
    </row>
    <row r="208" spans="1:20" x14ac:dyDescent="0.2">
      <c r="A208" s="68">
        <f>Input!A208</f>
        <v>11100</v>
      </c>
      <c r="B208" s="68" t="str">
        <f>Input!B208</f>
        <v>M43-401-14-215,75</v>
      </c>
      <c r="C208" s="175">
        <f>Calc!O208*1000</f>
        <v>740.17364235399475</v>
      </c>
      <c r="D208" s="175">
        <f>Calc!P208*1000</f>
        <v>5.3311024015483092E-2</v>
      </c>
      <c r="E208" s="175">
        <f>Calc!X208</f>
        <v>3.2121241309580446E-2</v>
      </c>
      <c r="F208" s="175">
        <f>Calc!Y208</f>
        <v>1.1993565824557973E-4</v>
      </c>
      <c r="G208" s="175">
        <f>Calc!AN208</f>
        <v>1.8380582767878733</v>
      </c>
      <c r="H208" s="71">
        <f>Calc!AO208</f>
        <v>3.9041771446516335E-3</v>
      </c>
      <c r="I208" s="70">
        <f>Calc!AH208</f>
        <v>128967.89389802536</v>
      </c>
      <c r="J208" s="70">
        <f>Calc!AI208</f>
        <v>553.93317568530722</v>
      </c>
      <c r="K208" s="70">
        <f>Calc!AJ208</f>
        <v>765.08649968157556</v>
      </c>
      <c r="L208" s="70">
        <f>Calc!AK208</f>
        <v>0.80579627071269744</v>
      </c>
      <c r="M208" s="176">
        <f>Calc!AP208</f>
        <v>278.11320000000001</v>
      </c>
      <c r="N208" s="176">
        <f>Calc!AQ208</f>
        <v>2.2256</v>
      </c>
      <c r="O208" s="176">
        <f>Calc!AW208</f>
        <v>278.11270000000002</v>
      </c>
      <c r="P208" s="176">
        <f>Calc!AY208</f>
        <v>2.0926654161485114</v>
      </c>
      <c r="Q208" s="177">
        <f>Calc!BC208</f>
        <v>1677.1305817579907</v>
      </c>
      <c r="R208" s="176">
        <f>Calc!BD208</f>
        <v>10.060782550861191</v>
      </c>
      <c r="S208" s="70">
        <f>Input!E208</f>
        <v>215.75</v>
      </c>
      <c r="T208" s="68"/>
    </row>
    <row r="209" spans="1:20" x14ac:dyDescent="0.2">
      <c r="A209" s="13">
        <f>Input!A209</f>
        <v>10815</v>
      </c>
      <c r="B209" s="13" t="str">
        <f>Input!B209</f>
        <v>Hu1-13</v>
      </c>
      <c r="C209" s="172">
        <f>Calc!O209*1000</f>
        <v>13700.329533600421</v>
      </c>
      <c r="D209" s="172">
        <f>Calc!P209*1000</f>
        <v>1.8721757395584231</v>
      </c>
      <c r="E209" s="172">
        <f>Calc!X209</f>
        <v>1.0072794238218827</v>
      </c>
      <c r="F209" s="172">
        <f>Calc!Y209</f>
        <v>4.2275313472949052E-3</v>
      </c>
      <c r="G209" s="172">
        <f>Calc!AN209</f>
        <v>0.995340182138856</v>
      </c>
      <c r="H209" s="173">
        <f>Calc!AO209</f>
        <v>3.8295440234596316E-3</v>
      </c>
      <c r="I209" s="15">
        <f>Calc!AH209</f>
        <v>41374.848551808936</v>
      </c>
      <c r="J209" s="15">
        <f>Calc!AI209</f>
        <v>235.50616965606912</v>
      </c>
      <c r="K209" s="15">
        <f>Calc!AJ209</f>
        <v>-0.4727213824272658</v>
      </c>
      <c r="L209" s="15">
        <f>Calc!AK209</f>
        <v>2.0377473464586831</v>
      </c>
      <c r="M209" s="174">
        <f>Calc!AP209</f>
        <v>602.31089999999995</v>
      </c>
      <c r="N209" s="174" t="e">
        <f>Calc!AQ209</f>
        <v>#VALUE!</v>
      </c>
      <c r="O209" s="174">
        <f>Calc!AW209</f>
        <v>602.30889999999999</v>
      </c>
      <c r="P209" s="174">
        <f>Calc!AX209</f>
        <v>264.64937277270002</v>
      </c>
      <c r="Q209" s="178">
        <f>Calc!BC209</f>
        <v>-2.5870099433902545</v>
      </c>
      <c r="R209" s="174">
        <f>Calc!BD209</f>
        <v>11.192344139264623</v>
      </c>
      <c r="S209" s="15">
        <f>Input!E209</f>
        <v>0</v>
      </c>
      <c r="T209" s="68"/>
    </row>
    <row r="210" spans="1:20" x14ac:dyDescent="0.2">
      <c r="A210" s="68">
        <f>Input!A210</f>
        <v>11101</v>
      </c>
      <c r="B210" s="68" t="str">
        <f>Input!B210</f>
        <v>M43-401-14-296,75</v>
      </c>
      <c r="C210" s="175">
        <f>Calc!O210*1000</f>
        <v>383.13384159103214</v>
      </c>
      <c r="D210" s="175">
        <f>Calc!P210*1000</f>
        <v>2.3327317131803599E-2</v>
      </c>
      <c r="E210" s="175">
        <f>Calc!X210</f>
        <v>0.41858538468907841</v>
      </c>
      <c r="F210" s="175">
        <f>Calc!Y210</f>
        <v>8.0773080881257496E-4</v>
      </c>
      <c r="G210" s="175">
        <f>Calc!AN210</f>
        <v>1.8110263897510601</v>
      </c>
      <c r="H210" s="71">
        <f>Calc!AO210</f>
        <v>3.7752011337593913E-3</v>
      </c>
      <c r="I210" s="70">
        <f>Calc!AH210</f>
        <v>5043.914911264872</v>
      </c>
      <c r="J210" s="70">
        <f>Calc!AI210</f>
        <v>14.324469827498055</v>
      </c>
      <c r="K210" s="70">
        <f>Calc!AJ210</f>
        <v>720.67866941334717</v>
      </c>
      <c r="L210" s="70">
        <f>Calc!AK210</f>
        <v>1.481696903427923</v>
      </c>
      <c r="M210" s="176">
        <f>Calc!AP210</f>
        <v>293.07260000000002</v>
      </c>
      <c r="N210" s="176">
        <f>Calc!AQ210</f>
        <v>2.5941000000000001</v>
      </c>
      <c r="O210" s="176">
        <f>Calc!AW210</f>
        <v>293.0616</v>
      </c>
      <c r="P210" s="176">
        <f>Calc!AY210</f>
        <v>2.5254148037875956</v>
      </c>
      <c r="Q210" s="177">
        <f>Calc!BC210</f>
        <v>1647.8567503309571</v>
      </c>
      <c r="R210" s="176">
        <f>Calc!BD210</f>
        <v>12.222980831091116</v>
      </c>
      <c r="S210" s="70">
        <f>Input!E210</f>
        <v>296.75</v>
      </c>
      <c r="T210" s="68"/>
    </row>
    <row r="211" spans="1:20" x14ac:dyDescent="0.2">
      <c r="A211" s="13">
        <f>Input!A211</f>
        <v>10815</v>
      </c>
      <c r="B211" s="13" t="str">
        <f>Input!B211</f>
        <v>Hu1-13</v>
      </c>
      <c r="C211" s="172">
        <f>Calc!O211*1000</f>
        <v>13697.032464856189</v>
      </c>
      <c r="D211" s="172">
        <f>Calc!P211*1000</f>
        <v>1.8501534675319855</v>
      </c>
      <c r="E211" s="172">
        <f>Calc!X211</f>
        <v>1.0024531647011314</v>
      </c>
      <c r="F211" s="172">
        <f>Calc!Y211</f>
        <v>4.7482316902837992E-3</v>
      </c>
      <c r="G211" s="172">
        <f>Calc!AN211</f>
        <v>0.99589558916274434</v>
      </c>
      <c r="H211" s="173">
        <f>Calc!AO211</f>
        <v>2.3430356363743992E-3</v>
      </c>
      <c r="I211" s="15">
        <f>Calc!AH211</f>
        <v>41587.233613840952</v>
      </c>
      <c r="J211" s="15">
        <f>Calc!AI211</f>
        <v>219.87185494707344</v>
      </c>
      <c r="K211" s="15">
        <f>Calc!AJ211</f>
        <v>-4.3295358226558278E-2</v>
      </c>
      <c r="L211" s="15">
        <f>Calc!AK211</f>
        <v>1.6368763824254591</v>
      </c>
      <c r="M211" s="174">
        <f>Calc!AP211</f>
        <v>600.91520000000003</v>
      </c>
      <c r="N211" s="174" t="e">
        <f>Calc!AQ211</f>
        <v>#VALUE!</v>
      </c>
      <c r="O211" s="174">
        <f>Calc!AW211</f>
        <v>600.91330000000005</v>
      </c>
      <c r="P211" s="174">
        <f>Calc!AX211</f>
        <v>233.90292581969999</v>
      </c>
      <c r="Q211" s="178">
        <f>Calc!BC211</f>
        <v>-0.23600637475856784</v>
      </c>
      <c r="R211" s="174">
        <f>Calc!BD211</f>
        <v>8.9229346093093937</v>
      </c>
      <c r="S211" s="15">
        <f>Input!E211</f>
        <v>0</v>
      </c>
      <c r="T211" s="68"/>
    </row>
    <row r="212" spans="1:20" x14ac:dyDescent="0.2">
      <c r="A212" s="68">
        <f>Input!A212</f>
        <v>11102</v>
      </c>
      <c r="B212" s="68" t="str">
        <f>Input!B212</f>
        <v>M43-401-14-334,75</v>
      </c>
      <c r="C212" s="175">
        <f>Calc!O212*1000</f>
        <v>417.70198284547456</v>
      </c>
      <c r="D212" s="175">
        <f>Calc!P212*1000</f>
        <v>1.7572748576590122E-2</v>
      </c>
      <c r="E212" s="175">
        <f>Calc!X212</f>
        <v>0.11286952813249093</v>
      </c>
      <c r="F212" s="175">
        <f>Calc!Y212</f>
        <v>2.7242327517795317E-4</v>
      </c>
      <c r="G212" s="175">
        <f>Calc!AN212</f>
        <v>1.7264963587405628</v>
      </c>
      <c r="H212" s="71">
        <f>Calc!AO212</f>
        <v>3.3073065788131037E-3</v>
      </c>
      <c r="I212" s="70">
        <f>Calc!AH212</f>
        <v>19472.796423741329</v>
      </c>
      <c r="J212" s="70">
        <f>Calc!AI212</f>
        <v>59.998161551783319</v>
      </c>
      <c r="K212" s="70">
        <f>Calc!AJ212</f>
        <v>652.31504189530813</v>
      </c>
      <c r="L212" s="70">
        <f>Calc!AK212</f>
        <v>0.92857096290058683</v>
      </c>
      <c r="M212" s="176">
        <f>Calc!AP212</f>
        <v>292.34050000000002</v>
      </c>
      <c r="N212" s="176">
        <f>Calc!AQ212</f>
        <v>2.2639999999999998</v>
      </c>
      <c r="O212" s="176">
        <f>Calc!AW212</f>
        <v>292.33760000000001</v>
      </c>
      <c r="P212" s="176">
        <f>Calc!AY212</f>
        <v>2.2295386169011486</v>
      </c>
      <c r="Q212" s="177">
        <f>Calc!BC212</f>
        <v>1488.4965843691584</v>
      </c>
      <c r="R212" s="176">
        <f>Calc!BD212</f>
        <v>9.6021593921495629</v>
      </c>
      <c r="S212" s="70">
        <f>Input!E212</f>
        <v>334.75</v>
      </c>
      <c r="T212" s="68"/>
    </row>
    <row r="213" spans="1:20" x14ac:dyDescent="0.2">
      <c r="A213" s="13">
        <f>Input!A213</f>
        <v>10815</v>
      </c>
      <c r="B213" s="13" t="str">
        <f>Input!B213</f>
        <v>Hu1-13</v>
      </c>
      <c r="C213" s="172">
        <f>Calc!O213*1000</f>
        <v>13697.033094797567</v>
      </c>
      <c r="D213" s="172">
        <f>Calc!P213*1000</f>
        <v>1.7963021982215932</v>
      </c>
      <c r="E213" s="172">
        <f>Calc!X213</f>
        <v>0.99408543725355836</v>
      </c>
      <c r="F213" s="172">
        <f>Calc!Y213</f>
        <v>6.0697440985072485E-3</v>
      </c>
      <c r="G213" s="172">
        <f>Calc!AN213</f>
        <v>0.99853531852742705</v>
      </c>
      <c r="H213" s="173">
        <f>Calc!AO213</f>
        <v>4.4719690440224282E-3</v>
      </c>
      <c r="I213" s="15">
        <f>Calc!AH213</f>
        <v>42048.455994148353</v>
      </c>
      <c r="J213" s="15">
        <f>Calc!AI213</f>
        <v>318.35295800249827</v>
      </c>
      <c r="K213" s="15">
        <f>Calc!AJ213</f>
        <v>2.1442161445119901</v>
      </c>
      <c r="L213" s="15">
        <f>Calc!AK213</f>
        <v>2.3292414858154764</v>
      </c>
      <c r="M213" s="174">
        <f>Calc!AP213</f>
        <v>589.52089999999998</v>
      </c>
      <c r="N213" s="174" t="e">
        <f>Calc!AQ213</f>
        <v>#VALUE!</v>
      </c>
      <c r="O213" s="174">
        <f>Calc!AW213</f>
        <v>589.51900000000001</v>
      </c>
      <c r="P213" s="174">
        <f>Calc!AX213</f>
        <v>262.64360356830002</v>
      </c>
      <c r="Q213" s="178">
        <f>Calc!BC213</f>
        <v>11.318426269016097</v>
      </c>
      <c r="R213" s="174">
        <f>Calc!BD213</f>
        <v>13.003319926765224</v>
      </c>
      <c r="S213" s="15">
        <f>Input!E213</f>
        <v>0</v>
      </c>
      <c r="T213" s="68"/>
    </row>
    <row r="214" spans="1:20" x14ac:dyDescent="0.2">
      <c r="A214" s="68">
        <f>Input!A214</f>
        <v>11103</v>
      </c>
      <c r="B214" s="68" t="str">
        <f>Input!B214</f>
        <v>M43-401-14-436,25</v>
      </c>
      <c r="C214" s="175">
        <f>Calc!O214*1000</f>
        <v>693.97791290807322</v>
      </c>
      <c r="D214" s="175">
        <f>Calc!P214*1000</f>
        <v>3.430511206634481E-2</v>
      </c>
      <c r="E214" s="175">
        <f>Calc!X214</f>
        <v>5.196960494106332E-2</v>
      </c>
      <c r="F214" s="175">
        <f>Calc!Y214</f>
        <v>1.3423164847788783E-4</v>
      </c>
      <c r="G214" s="175">
        <f>Calc!AN214</f>
        <v>1.6942771280757578</v>
      </c>
      <c r="H214" s="71">
        <f>Calc!AO214</f>
        <v>3.7013174118997265E-3</v>
      </c>
      <c r="I214" s="70">
        <f>Calc!AH214</f>
        <v>69073.176201835711</v>
      </c>
      <c r="J214" s="70">
        <f>Calc!AI214</f>
        <v>233.6403725776122</v>
      </c>
      <c r="K214" s="70">
        <f>Calc!AJ214</f>
        <v>629.20106932329861</v>
      </c>
      <c r="L214" s="70">
        <f>Calc!AK214</f>
        <v>0.90636277021637768</v>
      </c>
      <c r="M214" s="176">
        <f>Calc!AP214</f>
        <v>289.7199</v>
      </c>
      <c r="N214" s="176">
        <f>Calc!AQ214</f>
        <v>2.67</v>
      </c>
      <c r="O214" s="176">
        <f>Calc!AW214</f>
        <v>289.71910000000003</v>
      </c>
      <c r="P214" s="176">
        <f>Calc!AY214</f>
        <v>2.4674064019763091</v>
      </c>
      <c r="Q214" s="177">
        <f>Calc!BC214</f>
        <v>1425.183069143088</v>
      </c>
      <c r="R214" s="176">
        <f>Calc!BD214</f>
        <v>10.13391904752681</v>
      </c>
      <c r="S214" s="70">
        <f>Input!E214</f>
        <v>436.24</v>
      </c>
      <c r="T214" s="68"/>
    </row>
    <row r="215" spans="1:20" x14ac:dyDescent="0.2">
      <c r="A215" s="13">
        <f>Input!A215</f>
        <v>10815</v>
      </c>
      <c r="B215" s="13" t="str">
        <f>Input!B215</f>
        <v>Hu1-13</v>
      </c>
      <c r="C215" s="172">
        <f>Calc!O215*1000</f>
        <v>13699.635634866463</v>
      </c>
      <c r="D215" s="172">
        <f>Calc!P215*1000</f>
        <v>1.7165523159528329</v>
      </c>
      <c r="E215" s="172">
        <f>Calc!X215</f>
        <v>1.0036599900061856</v>
      </c>
      <c r="F215" s="172">
        <f>Calc!Y215</f>
        <v>6.024365824008616E-3</v>
      </c>
      <c r="G215" s="172">
        <f>Calc!AN215</f>
        <v>0.99937004126209539</v>
      </c>
      <c r="H215" s="173">
        <f>Calc!AO215</f>
        <v>3.4531433212459215E-3</v>
      </c>
      <c r="I215" s="15">
        <f>Calc!AH215</f>
        <v>41690.063843337419</v>
      </c>
      <c r="J215" s="15">
        <f>Calc!AI215</f>
        <v>288.69370653929019</v>
      </c>
      <c r="K215" s="15">
        <f>Calc!AJ215</f>
        <v>0.3094015654605542</v>
      </c>
      <c r="L215" s="15">
        <f>Calc!AK215</f>
        <v>1.629839227999033</v>
      </c>
      <c r="M215" s="174">
        <f>Calc!AP215</f>
        <v>745.58609999999999</v>
      </c>
      <c r="N215" s="174" t="e">
        <f>Calc!AQ215</f>
        <v>#VALUE!</v>
      </c>
      <c r="O215" s="174">
        <f>Calc!AW215</f>
        <v>745.58420000000001</v>
      </c>
      <c r="P215" s="174">
        <f>Calc!AX215</f>
        <v>333.70958830389998</v>
      </c>
      <c r="Q215" s="178">
        <f>Calc!BC215</f>
        <v>2.5369639384364953</v>
      </c>
      <c r="R215" s="174">
        <f>Calc!BD215</f>
        <v>13.696937124522593</v>
      </c>
      <c r="S215" s="15">
        <f>Input!E215</f>
        <v>0</v>
      </c>
      <c r="T215" s="68"/>
    </row>
    <row r="216" spans="1:20" x14ac:dyDescent="0.2">
      <c r="A216" s="68">
        <f>Input!A216</f>
        <v>11104</v>
      </c>
      <c r="B216" s="68" t="str">
        <f>Input!B216</f>
        <v>M5-14-42-49</v>
      </c>
      <c r="C216" s="175">
        <f>Calc!O216*1000</f>
        <v>1450.7443585722306</v>
      </c>
      <c r="D216" s="175">
        <f>Calc!P216*1000</f>
        <v>8.4222541098455589E-2</v>
      </c>
      <c r="E216" s="175">
        <f>Calc!X216</f>
        <v>0.14941919648143323</v>
      </c>
      <c r="F216" s="175">
        <f>Calc!Y216</f>
        <v>5.6908579701572457E-4</v>
      </c>
      <c r="G216" s="175">
        <f>Calc!AN216</f>
        <v>1.0039048089629627</v>
      </c>
      <c r="H216" s="71">
        <f>Calc!AO216</f>
        <v>3.8701117374149684E-3</v>
      </c>
      <c r="I216" s="70">
        <f>Calc!AH216</f>
        <v>29753.850606663978</v>
      </c>
      <c r="J216" s="70">
        <f>Calc!AI216</f>
        <v>161.23166446671456</v>
      </c>
      <c r="K216" s="70">
        <f>Calc!AJ216</f>
        <v>144.21894455950456</v>
      </c>
      <c r="L216" s="70">
        <f>Calc!AK216</f>
        <v>0.6679646470086692</v>
      </c>
      <c r="M216" s="176">
        <f>Calc!AP216</f>
        <v>207.80090000000001</v>
      </c>
      <c r="N216" s="176">
        <f>Calc!AQ216</f>
        <v>2.4718</v>
      </c>
      <c r="O216" s="176">
        <f>Calc!AW216</f>
        <v>207.7987</v>
      </c>
      <c r="P216" s="176">
        <f>Calc!AY216</f>
        <v>2.287384591063546</v>
      </c>
      <c r="Q216" s="177">
        <f>Calc!BC216</f>
        <v>259.23966790265661</v>
      </c>
      <c r="R216" s="176">
        <f>Calc!BD216</f>
        <v>2.059618265738032</v>
      </c>
      <c r="S216" s="70">
        <f>Input!E216</f>
        <v>49</v>
      </c>
      <c r="T216" s="68"/>
    </row>
    <row r="217" spans="1:20" x14ac:dyDescent="0.2">
      <c r="A217" s="13">
        <f>Input!A217</f>
        <v>10815</v>
      </c>
      <c r="B217" s="13" t="str">
        <f>Input!B217</f>
        <v>Hu1-13</v>
      </c>
      <c r="C217" s="172">
        <f>Calc!O217*1000</f>
        <v>13698.425819539863</v>
      </c>
      <c r="D217" s="172">
        <f>Calc!P217*1000</f>
        <v>1.8991567528043363</v>
      </c>
      <c r="E217" s="172">
        <f>Calc!X217</f>
        <v>0.98855850756311803</v>
      </c>
      <c r="F217" s="172">
        <f>Calc!Y217</f>
        <v>4.1193578987563676E-3</v>
      </c>
      <c r="G217" s="172">
        <f>Calc!AN217</f>
        <v>0.99824737649691597</v>
      </c>
      <c r="H217" s="173">
        <f>Calc!AO217</f>
        <v>2.7392644791924218E-3</v>
      </c>
      <c r="I217" s="15">
        <f>Calc!AH217</f>
        <v>42275.649733258266</v>
      </c>
      <c r="J217" s="15">
        <f>Calc!AI217</f>
        <v>210.84871932491987</v>
      </c>
      <c r="K217" s="15">
        <f>Calc!AJ217</f>
        <v>1.0112221393911991</v>
      </c>
      <c r="L217" s="15">
        <f>Calc!AK217</f>
        <v>2.0984321324745077</v>
      </c>
      <c r="M217" s="174">
        <f>Calc!AP217</f>
        <v>626.89700000000005</v>
      </c>
      <c r="N217" s="174" t="e">
        <f>Calc!AQ217</f>
        <v>#VALUE!</v>
      </c>
      <c r="O217" s="174">
        <f>Calc!AW217</f>
        <v>626.89509999999996</v>
      </c>
      <c r="P217" s="174">
        <f>Calc!AX217</f>
        <v>283.77772602350001</v>
      </c>
      <c r="Q217" s="178">
        <f>Calc!BC217</f>
        <v>5.9316073144646833</v>
      </c>
      <c r="R217" s="174">
        <f>Calc!BD217</f>
        <v>12.519992121340735</v>
      </c>
      <c r="S217" s="15">
        <f>Input!E217</f>
        <v>0</v>
      </c>
      <c r="T217" s="68"/>
    </row>
    <row r="218" spans="1:20" x14ac:dyDescent="0.2">
      <c r="A218" s="68">
        <f>Input!A218</f>
        <v>11105</v>
      </c>
      <c r="B218" s="68" t="str">
        <f>Input!B218</f>
        <v>M5-14-42-64,5</v>
      </c>
      <c r="C218" s="175">
        <f>Calc!O218*1000</f>
        <v>1345.7776262856655</v>
      </c>
      <c r="D218" s="175">
        <f>Calc!P218*1000</f>
        <v>6.8747730230872661E-2</v>
      </c>
      <c r="E218" s="175">
        <f>Calc!X218</f>
        <v>0.19373294132460878</v>
      </c>
      <c r="F218" s="175">
        <f>Calc!Y218</f>
        <v>4.1941592121569641E-4</v>
      </c>
      <c r="G218" s="175">
        <f>Calc!AN218</f>
        <v>1.0294091720220957</v>
      </c>
      <c r="H218" s="71">
        <f>Calc!AO218</f>
        <v>1.5921305820302931E-3</v>
      </c>
      <c r="I218" s="70">
        <f>Calc!AH218</f>
        <v>21793.329138052137</v>
      </c>
      <c r="J218" s="70">
        <f>Calc!AI218</f>
        <v>57.973413763482256</v>
      </c>
      <c r="K218" s="70">
        <f>Calc!AJ218</f>
        <v>161.31480997374047</v>
      </c>
      <c r="L218" s="70">
        <f>Calc!AK218</f>
        <v>0.54217875773448077</v>
      </c>
      <c r="M218" s="176">
        <f>Calc!AP218</f>
        <v>212.0907</v>
      </c>
      <c r="N218" s="176">
        <f>Calc!AQ218</f>
        <v>0.99219999999999997</v>
      </c>
      <c r="O218" s="176">
        <f>Calc!AW218</f>
        <v>212.08770000000001</v>
      </c>
      <c r="P218" s="176">
        <f>Calc!AY218</f>
        <v>0.99737119285383347</v>
      </c>
      <c r="Q218" s="177">
        <f>Calc!BC218</f>
        <v>293.50128337216518</v>
      </c>
      <c r="R218" s="176">
        <f>Calc!BD218</f>
        <v>1.2866780813966168</v>
      </c>
      <c r="S218" s="70">
        <f>Input!E218</f>
        <v>64.5</v>
      </c>
      <c r="T218" s="68"/>
    </row>
    <row r="219" spans="1:20" x14ac:dyDescent="0.2">
      <c r="A219" s="13">
        <f>Input!A219</f>
        <v>10815</v>
      </c>
      <c r="B219" s="13" t="str">
        <f>Input!B219</f>
        <v>Hu1-13</v>
      </c>
      <c r="C219" s="172">
        <f>Calc!O219*1000</f>
        <v>13700.098899695095</v>
      </c>
      <c r="D219" s="172">
        <f>Calc!P219*1000</f>
        <v>2.4134901592071616</v>
      </c>
      <c r="E219" s="172">
        <f>Calc!X219</f>
        <v>0.98576968385536334</v>
      </c>
      <c r="F219" s="172">
        <f>Calc!Y219</f>
        <v>4.7556465041995828E-3</v>
      </c>
      <c r="G219" s="172">
        <f>Calc!AN219</f>
        <v>0.99615084934273479</v>
      </c>
      <c r="H219" s="173">
        <f>Calc!AO219</f>
        <v>3.5295755057400888E-3</v>
      </c>
      <c r="I219" s="15">
        <f>Calc!AH219</f>
        <v>42311.379325217233</v>
      </c>
      <c r="J219" s="15">
        <f>Calc!AI219</f>
        <v>253.15213034690035</v>
      </c>
      <c r="K219" s="15">
        <f>Calc!AJ219</f>
        <v>-1.1865298335236307</v>
      </c>
      <c r="L219" s="15">
        <f>Calc!AK219</f>
        <v>1.5295232021551863</v>
      </c>
      <c r="M219" s="174">
        <f>Calc!AP219</f>
        <v>669.30100000000004</v>
      </c>
      <c r="N219" s="174" t="e">
        <f>Calc!AQ219</f>
        <v>#VALUE!</v>
      </c>
      <c r="O219" s="174">
        <f>Calc!AW219</f>
        <v>669.29899999999998</v>
      </c>
      <c r="P219" s="174">
        <f>Calc!AX219</f>
        <v>305.67314388289998</v>
      </c>
      <c r="Q219" s="178">
        <f>Calc!BC219</f>
        <v>-7.844674364525952</v>
      </c>
      <c r="R219" s="174">
        <f>Calc!BD219</f>
        <v>11.126433562210059</v>
      </c>
      <c r="S219" s="15">
        <f>Input!E219</f>
        <v>0</v>
      </c>
      <c r="T219" s="68"/>
    </row>
    <row r="220" spans="1:20" ht="13.5" customHeight="1" x14ac:dyDescent="0.2">
      <c r="H220" s="75"/>
    </row>
    <row r="221" spans="1:20" x14ac:dyDescent="0.2">
      <c r="A221" s="13">
        <f>Input!A221</f>
        <v>10815</v>
      </c>
      <c r="B221" s="13" t="str">
        <f>Input!B221</f>
        <v>Hu1-13</v>
      </c>
      <c r="C221" s="172">
        <f>Calc!O221*1000</f>
        <v>13699.411410991586</v>
      </c>
      <c r="D221" s="172">
        <f>Calc!P221*1000</f>
        <v>2.4352713606676804</v>
      </c>
      <c r="E221" s="172">
        <f>Calc!X221</f>
        <v>0.88552530948960795</v>
      </c>
      <c r="F221" s="172">
        <f>Calc!Y221</f>
        <v>5.808138653139637E-3</v>
      </c>
      <c r="G221" s="172">
        <f>Calc!AN221</f>
        <v>0.99781079681160745</v>
      </c>
      <c r="H221" s="173">
        <f>Calc!AO221</f>
        <v>3.0823598034990917E-3</v>
      </c>
      <c r="I221" s="15">
        <f>Calc!AH221</f>
        <v>47177.28651234175</v>
      </c>
      <c r="J221" s="15">
        <f>Calc!AI221</f>
        <v>341.93358796214812</v>
      </c>
      <c r="K221" s="15">
        <f>Calc!AJ221</f>
        <v>-1.0414580349537017</v>
      </c>
      <c r="L221" s="15">
        <f>Calc!AK221</f>
        <v>1.9485607177166837</v>
      </c>
      <c r="M221" s="174">
        <f>Calc!AP221</f>
        <v>792.99990000000003</v>
      </c>
      <c r="N221" s="174" t="e">
        <f>Calc!AQ221</f>
        <v>#VALUE!</v>
      </c>
      <c r="O221" s="174">
        <f>Calc!AW221</f>
        <v>792.9982</v>
      </c>
      <c r="P221" s="174">
        <f>Calc!AX221</f>
        <v>342.35100802540001</v>
      </c>
      <c r="Q221" s="178">
        <f>Calc!BC221</f>
        <v>-9.7621258412189462</v>
      </c>
      <c r="R221" s="174">
        <f>Calc!BD221</f>
        <v>25.664754855834268</v>
      </c>
      <c r="S221" s="15">
        <f>Input!E221</f>
        <v>0</v>
      </c>
      <c r="T221" s="68"/>
    </row>
    <row r="222" spans="1:20" x14ac:dyDescent="0.2">
      <c r="A222" s="68">
        <f>Input!A222</f>
        <v>11108</v>
      </c>
      <c r="B222" s="68" t="str">
        <f>Input!B222</f>
        <v>EH-S-2-4,5</v>
      </c>
      <c r="C222" s="175">
        <f>Calc!O222*1000</f>
        <v>318.06869396441198</v>
      </c>
      <c r="D222" s="175">
        <f>Calc!P222*1000</f>
        <v>2.7652305145413541E-2</v>
      </c>
      <c r="E222" s="175">
        <f>Calc!X222</f>
        <v>14.078135340179427</v>
      </c>
      <c r="F222" s="175">
        <f>Calc!Y222</f>
        <v>3.4131927173299673E-2</v>
      </c>
      <c r="G222" s="175">
        <f>Calc!AN222</f>
        <v>0.20656446386366473</v>
      </c>
      <c r="H222" s="71">
        <f>Calc!AO222</f>
        <v>1.060318500873706E-3</v>
      </c>
      <c r="I222" s="70">
        <f>Calc!AH222</f>
        <v>14.23447989947697</v>
      </c>
      <c r="J222" s="70">
        <f>Calc!AI222</f>
        <v>8.0797825871219961E-2</v>
      </c>
      <c r="K222" s="70">
        <f>Calc!AJ222</f>
        <v>617.3477892387167</v>
      </c>
      <c r="L222" s="70">
        <f>Calc!AK222</f>
        <v>3.2831076229048697</v>
      </c>
      <c r="M222" s="176">
        <f>Calc!AP222</f>
        <v>14.775399999999999</v>
      </c>
      <c r="N222" s="176">
        <f>Calc!AQ222</f>
        <v>8.2400000000000001E-2</v>
      </c>
      <c r="O222" s="176">
        <f>Calc!AW222</f>
        <v>14.052099999999999</v>
      </c>
      <c r="P222" s="176">
        <f>Calc!AY222</f>
        <v>0.37361962840782104</v>
      </c>
      <c r="Q222" s="177">
        <f>Calc!BC222</f>
        <v>642.32115001512875</v>
      </c>
      <c r="R222" s="176">
        <f>Calc!BD222</f>
        <v>3.4824074927768707</v>
      </c>
      <c r="S222" s="70">
        <f>Input!E222</f>
        <v>4.5</v>
      </c>
      <c r="T222" s="68"/>
    </row>
    <row r="223" spans="1:20" x14ac:dyDescent="0.2">
      <c r="A223" s="13">
        <f>Input!A223</f>
        <v>10815</v>
      </c>
      <c r="B223" s="13" t="str">
        <f>Input!B223</f>
        <v>Hu1-13</v>
      </c>
      <c r="C223" s="172">
        <f>Calc!O223*1000</f>
        <v>13698.596874589135</v>
      </c>
      <c r="D223" s="172">
        <f>Calc!P223*1000</f>
        <v>2.3062844577909214</v>
      </c>
      <c r="E223" s="172">
        <f>Calc!X223</f>
        <v>0.88479647342927947</v>
      </c>
      <c r="F223" s="172">
        <f>Calc!Y223</f>
        <v>8.295742449585258E-3</v>
      </c>
      <c r="G223" s="172">
        <f>Calc!AN223</f>
        <v>0.99817005279033111</v>
      </c>
      <c r="H223" s="173">
        <f>Calc!AO223</f>
        <v>5.2774145047003347E-3</v>
      </c>
      <c r="I223" s="15">
        <f>Calc!AH223</f>
        <v>47230.339522684808</v>
      </c>
      <c r="J223" s="15">
        <f>Calc!AI223</f>
        <v>508.31790102152615</v>
      </c>
      <c r="K223" s="15">
        <f>Calc!AJ223</f>
        <v>-1.0809038692002337</v>
      </c>
      <c r="L223" s="15">
        <f>Calc!AK223</f>
        <v>2.8352877446378653</v>
      </c>
      <c r="M223" s="174">
        <f>Calc!AP223</f>
        <v>894.50099999999998</v>
      </c>
      <c r="N223" s="174" t="e">
        <f>Calc!AQ223</f>
        <v>#VALUE!</v>
      </c>
      <c r="O223" s="174">
        <f>Calc!AW223</f>
        <v>894.49919999999997</v>
      </c>
      <c r="P223" s="174">
        <f>Calc!AX223</f>
        <v>299.29604010809999</v>
      </c>
      <c r="Q223" s="178">
        <f>Calc!BC223</f>
        <v>-13.492419637354356</v>
      </c>
      <c r="R223" s="174">
        <f>Calc!BD223</f>
        <v>107.56289337967107</v>
      </c>
      <c r="S223" s="15">
        <f>Input!E223</f>
        <v>0</v>
      </c>
      <c r="T223" s="68"/>
    </row>
    <row r="224" spans="1:20" x14ac:dyDescent="0.2">
      <c r="A224" s="68">
        <f>Input!A224</f>
        <v>11109</v>
      </c>
      <c r="B224" s="68" t="str">
        <f>Input!B224</f>
        <v>EH-S-2-31</v>
      </c>
      <c r="C224" s="175">
        <f>Calc!O224*1000</f>
        <v>565.14140463667297</v>
      </c>
      <c r="D224" s="175">
        <f>Calc!P224*1000</f>
        <v>3.4638069576809212E-2</v>
      </c>
      <c r="E224" s="175">
        <f>Calc!X224</f>
        <v>3.6441365340288576</v>
      </c>
      <c r="F224" s="175">
        <f>Calc!Y224</f>
        <v>1.4802616868490983E-2</v>
      </c>
      <c r="G224" s="175">
        <f>Calc!AN224</f>
        <v>0.25540689276645429</v>
      </c>
      <c r="H224" s="71">
        <f>Calc!AO224</f>
        <v>1.2995952925138291E-3</v>
      </c>
      <c r="I224" s="70">
        <f>Calc!AH224</f>
        <v>120.95418771936281</v>
      </c>
      <c r="J224" s="70">
        <f>Calc!AI224</f>
        <v>0.78748067442514935</v>
      </c>
      <c r="K224" s="70">
        <f>Calc!AJ224</f>
        <v>996.42345413781561</v>
      </c>
      <c r="L224" s="70">
        <f>Calc!AK224</f>
        <v>1.7785400347429321</v>
      </c>
      <c r="M224" s="176">
        <f>Calc!AP224</f>
        <v>14.763999999999999</v>
      </c>
      <c r="N224" s="176">
        <f>Calc!AQ224</f>
        <v>8.1799999999999998E-2</v>
      </c>
      <c r="O224" s="176">
        <f>Calc!AW224</f>
        <v>14.6793</v>
      </c>
      <c r="P224" s="176">
        <f>Calc!AY224</f>
        <v>9.1352478592868533E-2</v>
      </c>
      <c r="Q224" s="177">
        <f>Calc!BC224</f>
        <v>1038.5680697065341</v>
      </c>
      <c r="R224" s="176">
        <f>Calc!BD224</f>
        <v>1.8730007989248554</v>
      </c>
      <c r="S224" s="70">
        <f>Input!E224</f>
        <v>31</v>
      </c>
      <c r="T224" s="68"/>
    </row>
    <row r="225" spans="1:20" x14ac:dyDescent="0.2">
      <c r="A225" s="13">
        <f>Input!A225</f>
        <v>10815</v>
      </c>
      <c r="B225" s="13" t="str">
        <f>Input!B225</f>
        <v>Hu1-13</v>
      </c>
      <c r="C225" s="172">
        <f>Calc!O225*1000</f>
        <v>13703.327962349249</v>
      </c>
      <c r="D225" s="172">
        <f>Calc!P225*1000</f>
        <v>2.4026418817284956</v>
      </c>
      <c r="E225" s="172">
        <f>Calc!X225</f>
        <v>0.88941205739393214</v>
      </c>
      <c r="F225" s="172">
        <f>Calc!Y225</f>
        <v>5.7471298934720829E-3</v>
      </c>
      <c r="G225" s="172">
        <f>Calc!AN225</f>
        <v>1.0001818834311889</v>
      </c>
      <c r="H225" s="173">
        <f>Calc!AO225</f>
        <v>3.1369306783476229E-3</v>
      </c>
      <c r="I225" s="15">
        <f>Calc!AH225</f>
        <v>47096.19838100527</v>
      </c>
      <c r="J225" s="15">
        <f>Calc!AI225</f>
        <v>338.17501678536701</v>
      </c>
      <c r="K225" s="15">
        <f>Calc!AJ225</f>
        <v>0.50129248986485742</v>
      </c>
      <c r="L225" s="15">
        <f>Calc!AK225</f>
        <v>3.3144205752604017</v>
      </c>
      <c r="M225" s="174">
        <f>Calc!AP225</f>
        <v>820.80629999999996</v>
      </c>
      <c r="N225" s="174" t="e">
        <f>Calc!AQ225</f>
        <v>#VALUE!</v>
      </c>
      <c r="O225" s="174">
        <f>Calc!AW225</f>
        <v>820.80460000000005</v>
      </c>
      <c r="P225" s="174">
        <f>Calc!AX225</f>
        <v>327.5489503805</v>
      </c>
      <c r="Q225" s="178">
        <f>Calc!BC225</f>
        <v>5.0824543939759907</v>
      </c>
      <c r="R225" s="174">
        <f>Calc!BD225</f>
        <v>37.370172434671566</v>
      </c>
      <c r="S225" s="15">
        <f>Input!E225</f>
        <v>0</v>
      </c>
      <c r="T225" s="68"/>
    </row>
    <row r="226" spans="1:20" x14ac:dyDescent="0.2">
      <c r="A226" s="68">
        <f>Input!A226</f>
        <v>11111</v>
      </c>
      <c r="B226" s="68" t="str">
        <f>Input!B226</f>
        <v>EH-S-1-17,5</v>
      </c>
      <c r="C226" s="175">
        <f>Calc!O226*1000</f>
        <v>338.71596658378331</v>
      </c>
      <c r="D226" s="175">
        <f>Calc!P226*1000</f>
        <v>3.0894983925476346E-2</v>
      </c>
      <c r="E226" s="175">
        <f>Calc!X226</f>
        <v>0.23751089213040694</v>
      </c>
      <c r="F226" s="175">
        <f>Calc!Y226</f>
        <v>5.3818171039448628E-4</v>
      </c>
      <c r="G226" s="175">
        <f>Calc!AN226</f>
        <v>8.0017403148039318E-2</v>
      </c>
      <c r="H226" s="71">
        <f>Calc!AO226</f>
        <v>6.0049187518952272E-4</v>
      </c>
      <c r="I226" s="70">
        <f>Calc!AH226</f>
        <v>348.39229530667888</v>
      </c>
      <c r="J226" s="70">
        <f>Calc!AI226</f>
        <v>2.7309123476939914</v>
      </c>
      <c r="K226" s="70">
        <f>Calc!AJ226</f>
        <v>742.48119198520635</v>
      </c>
      <c r="L226" s="70">
        <f>Calc!AK226</f>
        <v>2.9370495488030679</v>
      </c>
      <c r="M226" s="176">
        <f>Calc!AP226</f>
        <v>5.1101000000000001</v>
      </c>
      <c r="N226" s="176">
        <f>Calc!AQ226</f>
        <v>4.3499999999999997E-2</v>
      </c>
      <c r="O226" s="176">
        <f>Calc!AW226</f>
        <v>5.0994000000000002</v>
      </c>
      <c r="P226" s="176">
        <f>Calc!AY226</f>
        <v>4.0526908244271201E-2</v>
      </c>
      <c r="Q226" s="177">
        <f>Calc!BC226</f>
        <v>753.24335218376984</v>
      </c>
      <c r="R226" s="176">
        <f>Calc!BD226</f>
        <v>2.9808667792945216</v>
      </c>
      <c r="S226" s="70">
        <f>Input!E226</f>
        <v>17.5</v>
      </c>
      <c r="T226" s="68"/>
    </row>
    <row r="227" spans="1:20" x14ac:dyDescent="0.2">
      <c r="A227" s="13">
        <f>Input!A227</f>
        <v>10815</v>
      </c>
      <c r="B227" s="13" t="str">
        <f>Input!B227</f>
        <v>Hu1-13</v>
      </c>
      <c r="C227" s="172">
        <f>Calc!O227*1000</f>
        <v>13701.043854145353</v>
      </c>
      <c r="D227" s="172">
        <f>Calc!P227*1000</f>
        <v>2.2465924898471541</v>
      </c>
      <c r="E227" s="172">
        <f>Calc!X227</f>
        <v>0.89695912555518598</v>
      </c>
      <c r="F227" s="172">
        <f>Calc!Y227</f>
        <v>6.2159295237644652E-3</v>
      </c>
      <c r="G227" s="172">
        <f>Calc!AN227</f>
        <v>0.99773822244140709</v>
      </c>
      <c r="H227" s="173">
        <f>Calc!AO227</f>
        <v>3.3612448437567335E-3</v>
      </c>
      <c r="I227" s="15">
        <f>Calc!AH227</f>
        <v>46578.065034645486</v>
      </c>
      <c r="J227" s="15">
        <f>Calc!AI227</f>
        <v>358.82437730451971</v>
      </c>
      <c r="K227" s="15">
        <f>Calc!AJ227</f>
        <v>0.72903286490388908</v>
      </c>
      <c r="L227" s="15">
        <f>Calc!AK227</f>
        <v>2.2557181549800589</v>
      </c>
      <c r="M227" s="174">
        <f>Calc!AP227</f>
        <v>623.23879999999997</v>
      </c>
      <c r="N227" s="174" t="e">
        <f>Calc!AQ227</f>
        <v>#VALUE!</v>
      </c>
      <c r="O227" s="174">
        <f>Calc!AW227</f>
        <v>623.23710000000005</v>
      </c>
      <c r="P227" s="174">
        <f>Calc!AX227</f>
        <v>290.62573862199997</v>
      </c>
      <c r="Q227" s="178">
        <f>Calc!BC227</f>
        <v>4.2324288505118179</v>
      </c>
      <c r="R227" s="174">
        <f>Calc!BD227</f>
        <v>13.220800807987198</v>
      </c>
      <c r="S227" s="15">
        <f>Input!E227</f>
        <v>0</v>
      </c>
      <c r="T227" s="68"/>
    </row>
    <row r="228" spans="1:20" x14ac:dyDescent="0.2">
      <c r="A228" s="68">
        <f>Input!A228</f>
        <v>11112</v>
      </c>
      <c r="B228" s="68" t="str">
        <f>Input!B228</f>
        <v>EH-S-1-21,5</v>
      </c>
      <c r="C228" s="175">
        <f>Calc!O228*1000</f>
        <v>254.00872452861756</v>
      </c>
      <c r="D228" s="175">
        <f>Calc!P228*1000</f>
        <v>2.3359120322206453E-2</v>
      </c>
      <c r="E228" s="175">
        <f>Calc!X228</f>
        <v>8.3308611873172435E-3</v>
      </c>
      <c r="F228" s="175">
        <f>Calc!Y228</f>
        <v>4.6406171110089933E-5</v>
      </c>
      <c r="G228" s="175">
        <f>Calc!AN228</f>
        <v>0.10791776975782788</v>
      </c>
      <c r="H228" s="71">
        <f>Calc!AO228</f>
        <v>6.7151948317173871E-4</v>
      </c>
      <c r="I228" s="70">
        <f>Calc!AH228</f>
        <v>10072.10307319011</v>
      </c>
      <c r="J228" s="70">
        <f>Calc!AI228</f>
        <v>84.112893001592298</v>
      </c>
      <c r="K228" s="70">
        <f>Calc!AJ228</f>
        <v>813.93753444343315</v>
      </c>
      <c r="L228" s="70">
        <f>Calc!AK228</f>
        <v>3.3881934173797261</v>
      </c>
      <c r="M228" s="176">
        <f>Calc!AP228</f>
        <v>6.6597</v>
      </c>
      <c r="N228" s="176">
        <f>Calc!AQ228</f>
        <v>4.5499999999999999E-2</v>
      </c>
      <c r="O228" s="176">
        <f>Calc!AW228</f>
        <v>6.6592000000000002</v>
      </c>
      <c r="P228" s="176">
        <f>Calc!AY228</f>
        <v>4.4496449487192863E-2</v>
      </c>
      <c r="Q228" s="177">
        <f>Calc!BC228</f>
        <v>829.37821873639041</v>
      </c>
      <c r="R228" s="176">
        <f>Calc!BD228</f>
        <v>3.4540391217381754</v>
      </c>
      <c r="S228" s="70">
        <f>Input!E228</f>
        <v>21.5</v>
      </c>
      <c r="T228" s="68"/>
    </row>
    <row r="229" spans="1:20" x14ac:dyDescent="0.2">
      <c r="A229" s="13">
        <f>Input!A229</f>
        <v>10815</v>
      </c>
      <c r="B229" s="13" t="str">
        <f>Input!B229</f>
        <v>Hu1-13</v>
      </c>
      <c r="C229" s="172">
        <f>Calc!O229*1000</f>
        <v>13697.809214557798</v>
      </c>
      <c r="D229" s="172">
        <f>Calc!P229*1000</f>
        <v>1.9351825156959763</v>
      </c>
      <c r="E229" s="172">
        <f>Calc!X229</f>
        <v>0.88584925650418556</v>
      </c>
      <c r="F229" s="172">
        <f>Calc!Y229</f>
        <v>6.9603859201471177E-3</v>
      </c>
      <c r="G229" s="172">
        <f>Calc!AN229</f>
        <v>1.0054171248910999</v>
      </c>
      <c r="H229" s="173">
        <f>Calc!AO229</f>
        <v>4.8336137902434892E-3</v>
      </c>
      <c r="I229" s="15">
        <f>Calc!AH229</f>
        <v>47513.978338461973</v>
      </c>
      <c r="J229" s="15">
        <f>Calc!AI229</f>
        <v>437.61891891388109</v>
      </c>
      <c r="K229" s="15">
        <f>Calc!AJ229</f>
        <v>-0.68183845630320761</v>
      </c>
      <c r="L229" s="15">
        <f>Calc!AK229</f>
        <v>2.4841621706524166</v>
      </c>
      <c r="M229" s="174" t="str">
        <f>Calc!AP229</f>
        <v>Out of range</v>
      </c>
      <c r="N229" s="174" t="e">
        <f>Calc!AQ229</f>
        <v>#VALUE!</v>
      </c>
      <c r="O229" s="174" t="str">
        <f>Calc!AW229</f>
        <v>Out of range</v>
      </c>
      <c r="P229" s="174">
        <f>Calc!AX229</f>
        <v>246.40222502989999</v>
      </c>
      <c r="Q229" s="178" t="e">
        <f>Calc!BC229</f>
        <v>#VALUE!</v>
      </c>
      <c r="R229" s="174" t="e">
        <f>Calc!BD229</f>
        <v>#VALUE!</v>
      </c>
      <c r="S229" s="15">
        <f>Input!E229</f>
        <v>0</v>
      </c>
      <c r="T229" s="68"/>
    </row>
    <row r="230" spans="1:20" x14ac:dyDescent="0.2">
      <c r="A230" s="68">
        <f>Input!A230</f>
        <v>11113</v>
      </c>
      <c r="B230" s="68" t="str">
        <f>Input!B230</f>
        <v>EH-S-1-31,5</v>
      </c>
      <c r="C230" s="175">
        <f>Calc!O230*1000</f>
        <v>337.67082682057736</v>
      </c>
      <c r="D230" s="175">
        <f>Calc!P230*1000</f>
        <v>2.3839939757432961E-2</v>
      </c>
      <c r="E230" s="175">
        <f>Calc!X230</f>
        <v>0.10624034500210876</v>
      </c>
      <c r="F230" s="175">
        <f>Calc!Y230</f>
        <v>2.8942799447950269E-4</v>
      </c>
      <c r="G230" s="175">
        <f>Calc!AN230</f>
        <v>0.11686373955816877</v>
      </c>
      <c r="H230" s="71">
        <f>Calc!AO230</f>
        <v>7.3923202462883113E-4</v>
      </c>
      <c r="I230" s="70">
        <f>Calc!AH230</f>
        <v>1140.3441735124068</v>
      </c>
      <c r="J230" s="70">
        <f>Calc!AI230</f>
        <v>7.8534679656241675</v>
      </c>
      <c r="K230" s="70">
        <f>Calc!AJ230</f>
        <v>860.56988482138559</v>
      </c>
      <c r="L230" s="70">
        <f>Calc!AK230</f>
        <v>3.8052312903983601</v>
      </c>
      <c r="M230" s="176">
        <f>Calc!AP230</f>
        <v>7.0404999999999998</v>
      </c>
      <c r="N230" s="176">
        <f>Calc!AQ230</f>
        <v>4.6199999999999998E-2</v>
      </c>
      <c r="O230" s="176">
        <f>Calc!AW230</f>
        <v>7.0359999999999996</v>
      </c>
      <c r="P230" s="176">
        <f>Calc!AY230</f>
        <v>4.8256037835620463E-2</v>
      </c>
      <c r="Q230" s="177">
        <f>Calc!BC230</f>
        <v>877.82814575853661</v>
      </c>
      <c r="R230" s="176">
        <f>Calc!BD230</f>
        <v>3.8833835562334693</v>
      </c>
      <c r="S230" s="70">
        <f>Input!E230</f>
        <v>31.5</v>
      </c>
      <c r="T230" s="68"/>
    </row>
    <row r="231" spans="1:20" x14ac:dyDescent="0.2">
      <c r="A231" s="13">
        <f>Input!A231</f>
        <v>10815</v>
      </c>
      <c r="B231" s="13" t="str">
        <f>Input!B231</f>
        <v>Hu1-13</v>
      </c>
      <c r="C231" s="172">
        <f>Calc!O231*1000</f>
        <v>13700.989877736552</v>
      </c>
      <c r="D231" s="172">
        <f>Calc!P231*1000</f>
        <v>2.1776230277069151</v>
      </c>
      <c r="E231" s="172">
        <f>Calc!X231</f>
        <v>0.88744876809737727</v>
      </c>
      <c r="F231" s="172">
        <f>Calc!Y231</f>
        <v>8.0907918935763847E-3</v>
      </c>
      <c r="G231" s="172">
        <f>Calc!AN231</f>
        <v>1.0036676666025321</v>
      </c>
      <c r="H231" s="173">
        <f>Calc!AO231</f>
        <v>4.7763293092683576E-3</v>
      </c>
      <c r="I231" s="15">
        <f>Calc!AH231</f>
        <v>47356.807502386568</v>
      </c>
      <c r="J231" s="15">
        <f>Calc!AI231</f>
        <v>486.96917529010892</v>
      </c>
      <c r="K231" s="15">
        <f>Calc!AJ231</f>
        <v>1.6908129038379904</v>
      </c>
      <c r="L231" s="15">
        <f>Calc!AK231</f>
        <v>2.1376151957410809</v>
      </c>
      <c r="M231" s="174" t="str">
        <f>Calc!AP231</f>
        <v>Out of range</v>
      </c>
      <c r="N231" s="174" t="e">
        <f>Calc!AQ231</f>
        <v>#VALUE!</v>
      </c>
      <c r="O231" s="174" t="str">
        <f>Calc!AW231</f>
        <v>Out of range</v>
      </c>
      <c r="P231" s="174">
        <f>Calc!AX231</f>
        <v>323.96216540009999</v>
      </c>
      <c r="Q231" s="178" t="e">
        <f>Calc!BC231</f>
        <v>#VALUE!</v>
      </c>
      <c r="R231" s="174" t="e">
        <f>Calc!BD231</f>
        <v>#VALUE!</v>
      </c>
      <c r="S231" s="15">
        <f>Input!E231</f>
        <v>0</v>
      </c>
      <c r="T231" s="68"/>
    </row>
    <row r="232" spans="1:20" x14ac:dyDescent="0.2">
      <c r="A232" s="68">
        <f>Input!A232</f>
        <v>11114</v>
      </c>
      <c r="B232" s="68" t="str">
        <f>Input!B232</f>
        <v>EH-S-1-35</v>
      </c>
      <c r="C232" s="175">
        <f>Calc!O232*1000</f>
        <v>370.47993597584644</v>
      </c>
      <c r="D232" s="175">
        <f>Calc!P232*1000</f>
        <v>2.918085246158866E-2</v>
      </c>
      <c r="E232" s="175">
        <f>Calc!X232</f>
        <v>0.14795314468906923</v>
      </c>
      <c r="F232" s="175">
        <f>Calc!Y232</f>
        <v>6.6380349085229341E-4</v>
      </c>
      <c r="G232" s="175">
        <f>Calc!AN232</f>
        <v>0.11930875192938528</v>
      </c>
      <c r="H232" s="71">
        <f>Calc!AO232</f>
        <v>1.0352969883061362E-3</v>
      </c>
      <c r="I232" s="70">
        <f>Calc!AH232</f>
        <v>917.38805436566736</v>
      </c>
      <c r="J232" s="70">
        <f>Calc!AI232</f>
        <v>8.9614074318820887</v>
      </c>
      <c r="K232" s="70">
        <f>Calc!AJ232</f>
        <v>822.82737445074702</v>
      </c>
      <c r="L232" s="70">
        <f>Calc!AK232</f>
        <v>3.9371623316889037</v>
      </c>
      <c r="M232" s="176">
        <f>Calc!AP232</f>
        <v>7.3461999999999996</v>
      </c>
      <c r="N232" s="176">
        <f>Calc!AQ232</f>
        <v>6.4399999999999999E-2</v>
      </c>
      <c r="O232" s="176">
        <f>Calc!AW232</f>
        <v>7.3403999999999998</v>
      </c>
      <c r="P232" s="176">
        <f>Calc!AY232</f>
        <v>6.7801162370674808E-2</v>
      </c>
      <c r="Q232" s="177">
        <f>Calc!BC232</f>
        <v>840.05005245779773</v>
      </c>
      <c r="R232" s="176">
        <f>Calc!BD232</f>
        <v>4.0227838819802368</v>
      </c>
      <c r="S232" s="70">
        <f>Input!E232</f>
        <v>35</v>
      </c>
      <c r="T232" s="68"/>
    </row>
    <row r="233" spans="1:20" x14ac:dyDescent="0.2">
      <c r="A233" s="13">
        <f>Input!A233</f>
        <v>10815</v>
      </c>
      <c r="B233" s="13" t="str">
        <f>Input!B233</f>
        <v>Hu1-13</v>
      </c>
      <c r="C233" s="172">
        <f>Calc!O233*1000</f>
        <v>13699.504547777642</v>
      </c>
      <c r="D233" s="172">
        <f>Calc!P233*1000</f>
        <v>1.9115363450885565</v>
      </c>
      <c r="E233" s="172">
        <f>Calc!X233</f>
        <v>0.8809242400876558</v>
      </c>
      <c r="F233" s="172">
        <f>Calc!Y233</f>
        <v>8.2923232173507805E-3</v>
      </c>
      <c r="G233" s="172">
        <f>Calc!AN233</f>
        <v>1.0058251217547081</v>
      </c>
      <c r="H233" s="173">
        <f>Calc!AO233</f>
        <v>3.8597629076449202E-3</v>
      </c>
      <c r="I233" s="15">
        <f>Calc!AH233</f>
        <v>47804.921360254091</v>
      </c>
      <c r="J233" s="15">
        <f>Calc!AI233</f>
        <v>485.90764256671633</v>
      </c>
      <c r="K233" s="15">
        <f>Calc!AJ233</f>
        <v>1.0354372327663341</v>
      </c>
      <c r="L233" s="15">
        <f>Calc!AK233</f>
        <v>2.6680750063545795</v>
      </c>
      <c r="M233" s="174" t="str">
        <f>Calc!AP233</f>
        <v>Out of range</v>
      </c>
      <c r="N233" s="174" t="e">
        <f>Calc!AQ233</f>
        <v>#VALUE!</v>
      </c>
      <c r="O233" s="174" t="str">
        <f>Calc!AW233</f>
        <v>Out of range</v>
      </c>
      <c r="P233" s="174">
        <f>Calc!AX233</f>
        <v>278.14839033219999</v>
      </c>
      <c r="Q233" s="178" t="e">
        <f>Calc!BC233</f>
        <v>#VALUE!</v>
      </c>
      <c r="R233" s="174" t="e">
        <f>Calc!BD233</f>
        <v>#VALUE!</v>
      </c>
      <c r="S233" s="15">
        <f>Input!E233</f>
        <v>0</v>
      </c>
      <c r="T233" s="68"/>
    </row>
    <row r="234" spans="1:20" ht="13.5" customHeight="1" x14ac:dyDescent="0.2">
      <c r="H234" s="75"/>
    </row>
    <row r="235" spans="1:20" x14ac:dyDescent="0.2">
      <c r="A235" s="13">
        <f>Input!A235</f>
        <v>10815</v>
      </c>
      <c r="B235" s="13" t="str">
        <f>Input!B235</f>
        <v>Hu1-13</v>
      </c>
      <c r="C235" s="172">
        <f>Calc!O235*1000</f>
        <v>13702.675422584725</v>
      </c>
      <c r="D235" s="172">
        <f>Calc!P235*1000</f>
        <v>2.5261175433006273</v>
      </c>
      <c r="E235" s="172">
        <f>Calc!X235</f>
        <v>0.88761488315358572</v>
      </c>
      <c r="F235" s="172">
        <f>Calc!Y235</f>
        <v>7.1856391583784984E-3</v>
      </c>
      <c r="G235" s="172">
        <f>Calc!AN235</f>
        <v>0.99715281022441349</v>
      </c>
      <c r="H235" s="173">
        <f>Calc!AO235</f>
        <v>2.8868241122782167E-3</v>
      </c>
      <c r="I235" s="15">
        <f>Calc!AH235</f>
        <v>47046.394042888576</v>
      </c>
      <c r="J235" s="15">
        <f>Calc!AI235</f>
        <v>404.39020024957085</v>
      </c>
      <c r="K235" s="15">
        <f>Calc!AJ235</f>
        <v>0.33471440621113402</v>
      </c>
      <c r="L235" s="15">
        <f>Calc!AK235</f>
        <v>2.2638728797450813</v>
      </c>
      <c r="M235" s="174">
        <f>Calc!AP235</f>
        <v>622.36069999999995</v>
      </c>
      <c r="N235" s="174" t="e">
        <f>Calc!AQ235</f>
        <v>#VALUE!</v>
      </c>
      <c r="O235" s="174">
        <f>Calc!AW235</f>
        <v>622.35900000000004</v>
      </c>
      <c r="P235" s="174">
        <f>Calc!AX235</f>
        <v>288.9417356733</v>
      </c>
      <c r="Q235" s="178">
        <f>Calc!BC235</f>
        <v>1.9383882135737405</v>
      </c>
      <c r="R235" s="174">
        <f>Calc!BD235</f>
        <v>13.132999651897748</v>
      </c>
      <c r="S235" s="15">
        <f>Input!E235</f>
        <v>0</v>
      </c>
      <c r="T235" s="68"/>
    </row>
    <row r="236" spans="1:20" x14ac:dyDescent="0.2">
      <c r="A236" s="68">
        <f>Input!A236</f>
        <v>11115</v>
      </c>
      <c r="B236" s="68" t="str">
        <f>Input!B236</f>
        <v>EH-S-1-41</v>
      </c>
      <c r="C236" s="175">
        <f>Calc!O236*1000</f>
        <v>293.46305953143951</v>
      </c>
      <c r="D236" s="175">
        <f>Calc!P236*1000</f>
        <v>3.0740232041423125E-2</v>
      </c>
      <c r="E236" s="175">
        <f>Calc!X236</f>
        <v>0.4752916798416203</v>
      </c>
      <c r="F236" s="175">
        <f>Calc!Y236</f>
        <v>1.1190572750935952E-3</v>
      </c>
      <c r="G236" s="175">
        <f>Calc!AN236</f>
        <v>0.12905665173872194</v>
      </c>
      <c r="H236" s="71">
        <f>Calc!AO236</f>
        <v>1.2460253885862385E-3</v>
      </c>
      <c r="I236" s="70">
        <f>Calc!AH236</f>
        <v>242.8116146612121</v>
      </c>
      <c r="J236" s="70">
        <f>Calc!AI236</f>
        <v>2.412881373440293</v>
      </c>
      <c r="K236" s="70">
        <f>Calc!AJ236</f>
        <v>872.19319113857341</v>
      </c>
      <c r="L236" s="70">
        <f>Calc!AK236</f>
        <v>4.7235237162973647</v>
      </c>
      <c r="M236" s="176">
        <f>Calc!AP236</f>
        <v>7.7477999999999998</v>
      </c>
      <c r="N236" s="176">
        <f>Calc!AQ236</f>
        <v>7.1400000000000005E-2</v>
      </c>
      <c r="O236" s="176">
        <f>Calc!AW236</f>
        <v>7.7248999999999999</v>
      </c>
      <c r="P236" s="176">
        <f>Calc!AY236</f>
        <v>8.0648922199023906E-2</v>
      </c>
      <c r="Q236" s="177">
        <f>Calc!BC236</f>
        <v>891.41588455338592</v>
      </c>
      <c r="R236" s="176">
        <f>Calc!BD236</f>
        <v>4.8318890014625975</v>
      </c>
      <c r="S236" s="70">
        <f>Input!E236</f>
        <v>41</v>
      </c>
      <c r="T236" s="68"/>
    </row>
    <row r="237" spans="1:20" x14ac:dyDescent="0.2">
      <c r="A237" s="13">
        <f>Input!A237</f>
        <v>10815</v>
      </c>
      <c r="B237" s="13" t="str">
        <f>Input!B237</f>
        <v>Hu1-13</v>
      </c>
      <c r="C237" s="172">
        <f>Calc!O237*1000</f>
        <v>13699.664310730379</v>
      </c>
      <c r="D237" s="172">
        <f>Calc!P237*1000</f>
        <v>2.0277708466725253</v>
      </c>
      <c r="E237" s="172">
        <f>Calc!X237</f>
        <v>0.88820581170570345</v>
      </c>
      <c r="F237" s="172">
        <f>Calc!Y237</f>
        <v>6.4285570521404444E-3</v>
      </c>
      <c r="G237" s="172">
        <f>Calc!AN237</f>
        <v>0.99692454062932712</v>
      </c>
      <c r="H237" s="173">
        <f>Calc!AO237</f>
        <v>4.6195379654694231E-3</v>
      </c>
      <c r="I237" s="15">
        <f>Calc!AH237</f>
        <v>46994.002013536985</v>
      </c>
      <c r="J237" s="15">
        <f>Calc!AI237</f>
        <v>403.80463439758461</v>
      </c>
      <c r="K237" s="15">
        <f>Calc!AJ237</f>
        <v>0.31440375406832644</v>
      </c>
      <c r="L237" s="15">
        <f>Calc!AK237</f>
        <v>2.0452308328551574</v>
      </c>
      <c r="M237" s="174">
        <f>Calc!AP237</f>
        <v>616.01419999999996</v>
      </c>
      <c r="N237" s="174" t="e">
        <f>Calc!AQ237</f>
        <v>#VALUE!</v>
      </c>
      <c r="O237" s="174">
        <f>Calc!AW237</f>
        <v>616.01239999999996</v>
      </c>
      <c r="P237" s="174">
        <f>Calc!AX237</f>
        <v>284.28354444220003</v>
      </c>
      <c r="Q237" s="178">
        <f>Calc!BC237</f>
        <v>1.7884452651356846</v>
      </c>
      <c r="R237" s="174">
        <f>Calc!BD237</f>
        <v>11.664716631869824</v>
      </c>
      <c r="S237" s="15">
        <f>Input!E237</f>
        <v>0</v>
      </c>
      <c r="T237" s="68"/>
    </row>
    <row r="238" spans="1:20" x14ac:dyDescent="0.2">
      <c r="A238" s="68">
        <f>Input!A238</f>
        <v>11116</v>
      </c>
      <c r="B238" s="68" t="str">
        <f>Input!B238</f>
        <v>EH-S-1-64</v>
      </c>
      <c r="C238" s="175">
        <f>Calc!O238*1000</f>
        <v>282.44851797751596</v>
      </c>
      <c r="D238" s="175">
        <f>Calc!P238*1000</f>
        <v>3.0467847153919616E-2</v>
      </c>
      <c r="E238" s="175">
        <f>Calc!X238</f>
        <v>1.8268980337947484E-3</v>
      </c>
      <c r="F238" s="175">
        <f>Calc!Y238</f>
        <v>1.266191327946576E-5</v>
      </c>
      <c r="G238" s="175">
        <f>Calc!AN238</f>
        <v>0.13499708599451399</v>
      </c>
      <c r="H238" s="71">
        <f>Calc!AO238</f>
        <v>1.2707905536824069E-3</v>
      </c>
      <c r="I238" s="70">
        <f>Calc!AH238</f>
        <v>63717.733046853195</v>
      </c>
      <c r="J238" s="70">
        <f>Calc!AI238</f>
        <v>744.81116657419375</v>
      </c>
      <c r="K238" s="70">
        <f>Calc!AJ238</f>
        <v>876.50763098257323</v>
      </c>
      <c r="L238" s="70">
        <f>Calc!AK238</f>
        <v>4.994255116021602</v>
      </c>
      <c r="M238" s="176">
        <f>Calc!AP238</f>
        <v>8.0966000000000005</v>
      </c>
      <c r="N238" s="176">
        <f>Calc!AQ238</f>
        <v>7.7799999999999994E-2</v>
      </c>
      <c r="O238" s="176">
        <f>Calc!AW238</f>
        <v>8.0965000000000007</v>
      </c>
      <c r="P238" s="176">
        <f>Calc!AY238</f>
        <v>8.1907498047544977E-2</v>
      </c>
      <c r="Q238" s="177">
        <f>Calc!BC238</f>
        <v>896.76533715585833</v>
      </c>
      <c r="R238" s="176">
        <f>Calc!BD238</f>
        <v>5.1138843171330395</v>
      </c>
      <c r="S238" s="70">
        <f>Input!E238</f>
        <v>64</v>
      </c>
      <c r="T238" s="68"/>
    </row>
    <row r="239" spans="1:20" x14ac:dyDescent="0.2">
      <c r="A239" s="13">
        <f>Input!A239</f>
        <v>10815</v>
      </c>
      <c r="B239" s="13" t="str">
        <f>Input!B239</f>
        <v>Hu1-13</v>
      </c>
      <c r="C239" s="172">
        <f>Calc!O239*1000</f>
        <v>13700.618676594337</v>
      </c>
      <c r="D239" s="172">
        <f>Calc!P239*1000</f>
        <v>2.1956960867647912</v>
      </c>
      <c r="E239" s="172">
        <f>Calc!X239</f>
        <v>0.88470983971050055</v>
      </c>
      <c r="F239" s="172">
        <f>Calc!Y239</f>
        <v>6.8356549310669987E-3</v>
      </c>
      <c r="G239" s="172">
        <f>Calc!AN239</f>
        <v>1.0008988634660838</v>
      </c>
      <c r="H239" s="173">
        <f>Calc!AO239</f>
        <v>4.4370198660395356E-3</v>
      </c>
      <c r="I239" s="15">
        <f>Calc!AH239</f>
        <v>47371.08661046956</v>
      </c>
      <c r="J239" s="15">
        <f>Calc!AI239</f>
        <v>421.90580883875754</v>
      </c>
      <c r="K239" s="15">
        <f>Calc!AJ239</f>
        <v>4.5703025643550887E-2</v>
      </c>
      <c r="L239" s="15">
        <f>Calc!AK239</f>
        <v>2.0358718052732527</v>
      </c>
      <c r="M239" s="174" t="str">
        <f>Calc!AP239</f>
        <v>Out of range</v>
      </c>
      <c r="N239" s="174" t="e">
        <f>Calc!AQ239</f>
        <v>#VALUE!</v>
      </c>
      <c r="O239" s="174" t="str">
        <f>Calc!AW239</f>
        <v>Out of range</v>
      </c>
      <c r="P239" s="174">
        <f>Calc!AX239</f>
        <v>332.1149014861</v>
      </c>
      <c r="Q239" s="178" t="e">
        <f>Calc!BC239</f>
        <v>#VALUE!</v>
      </c>
      <c r="R239" s="174" t="e">
        <f>Calc!BD239</f>
        <v>#VALUE!</v>
      </c>
      <c r="S239" s="15">
        <f>Input!E239</f>
        <v>0</v>
      </c>
      <c r="T239" s="68"/>
    </row>
    <row r="240" spans="1:20" ht="13.5" customHeight="1" x14ac:dyDescent="0.2">
      <c r="H240" s="75"/>
    </row>
    <row r="241" spans="1:20" x14ac:dyDescent="0.2">
      <c r="A241" s="13">
        <f>Input!A241</f>
        <v>10815</v>
      </c>
      <c r="B241" s="13" t="str">
        <f>Input!B241</f>
        <v>Hu1-13</v>
      </c>
      <c r="C241" s="172">
        <f>Calc!O241*1000</f>
        <v>13688.683922005492</v>
      </c>
      <c r="D241" s="172">
        <f>Calc!P241*1000</f>
        <v>11.760309314658929</v>
      </c>
      <c r="E241" s="172">
        <f>Calc!X241</f>
        <v>0.89015865671821071</v>
      </c>
      <c r="F241" s="172">
        <f>Calc!Y241</f>
        <v>2.7333138647658742E-2</v>
      </c>
      <c r="G241" s="172">
        <f>Calc!AN241</f>
        <v>0.99516988663380812</v>
      </c>
      <c r="H241" s="173">
        <f>Calc!AO241</f>
        <v>6.7724208806242726E-3</v>
      </c>
      <c r="I241" s="15">
        <f>Calc!AH241</f>
        <v>46770.857365715252</v>
      </c>
      <c r="J241" s="15">
        <f>Calc!AI241</f>
        <v>1470.4413059508959</v>
      </c>
      <c r="K241" s="15">
        <f>Calc!AJ241</f>
        <v>-11.417339745606991</v>
      </c>
      <c r="L241" s="15">
        <f>Calc!AK241</f>
        <v>1.7683498776355522</v>
      </c>
      <c r="M241" s="174" t="str">
        <f>Calc!AP241</f>
        <v>Out of range</v>
      </c>
      <c r="N241" s="174" t="e">
        <f>Calc!AQ241</f>
        <v>#VALUE!</v>
      </c>
      <c r="O241" s="174" t="str">
        <f>Calc!AW241</f>
        <v>Out of range</v>
      </c>
      <c r="P241" s="174">
        <f>Calc!AX241</f>
        <v>121.6168128531</v>
      </c>
      <c r="Q241" s="178" t="e">
        <f>Calc!BC241</f>
        <v>#VALUE!</v>
      </c>
      <c r="R241" s="174" t="e">
        <f>Calc!BD241</f>
        <v>#VALUE!</v>
      </c>
      <c r="S241" s="15">
        <f>Input!E241</f>
        <v>0</v>
      </c>
      <c r="T241" s="68"/>
    </row>
    <row r="242" spans="1:20" x14ac:dyDescent="0.2">
      <c r="A242" s="68">
        <f>Input!A242</f>
        <v>11106</v>
      </c>
      <c r="B242" s="68" t="str">
        <f>Input!B242</f>
        <v>C09-2-69,1</v>
      </c>
      <c r="C242" s="175">
        <f>Calc!O242*1000</f>
        <v>13.868950179572458</v>
      </c>
      <c r="D242" s="175">
        <f>Calc!P242*1000</f>
        <v>7.5191285525319593E-3</v>
      </c>
      <c r="E242" s="175">
        <f>Calc!X242</f>
        <v>2.2157355772190124E-2</v>
      </c>
      <c r="F242" s="175">
        <f>Calc!Y242</f>
        <v>1.1766678869833039E-4</v>
      </c>
      <c r="G242" s="175">
        <f>Calc!AN242</f>
        <v>0.63535045368331711</v>
      </c>
      <c r="H242" s="71">
        <f>Calc!AO242</f>
        <v>7.0301993265498844E-3</v>
      </c>
      <c r="I242" s="70">
        <f>Calc!AH242</f>
        <v>1214.0257443649648</v>
      </c>
      <c r="J242" s="70">
        <f>Calc!AI242</f>
        <v>14.885727865987135</v>
      </c>
      <c r="K242" s="70">
        <f>Calc!AJ242</f>
        <v>466.67758410879577</v>
      </c>
      <c r="L242" s="70">
        <f>Calc!AK242</f>
        <v>3.8495778078178029</v>
      </c>
      <c r="M242" s="176">
        <f>Calc!AP242</f>
        <v>59.833500000000001</v>
      </c>
      <c r="N242" s="176">
        <f>Calc!AQ242</f>
        <v>0.91969999999999996</v>
      </c>
      <c r="O242" s="176">
        <f>Calc!AW242</f>
        <v>59.805999999999997</v>
      </c>
      <c r="P242" s="176">
        <f>Calc!AY242</f>
        <v>0.88129651665697051</v>
      </c>
      <c r="Q242" s="177">
        <f>Calc!BC242</f>
        <v>552.4786231656218</v>
      </c>
      <c r="R242" s="176">
        <f>Calc!BD242</f>
        <v>4.7599781602524036</v>
      </c>
      <c r="S242" s="70">
        <f>Input!E242</f>
        <v>69.099999999999994</v>
      </c>
      <c r="T242" s="68"/>
    </row>
    <row r="243" spans="1:20" x14ac:dyDescent="0.2">
      <c r="A243" s="13">
        <f>Input!A243</f>
        <v>10815</v>
      </c>
      <c r="B243" s="13" t="str">
        <f>Input!B243</f>
        <v>Hu1-13</v>
      </c>
      <c r="C243" s="172">
        <f>Calc!O243*1000</f>
        <v>13697.500772672429</v>
      </c>
      <c r="D243" s="172">
        <f>Calc!P243*1000</f>
        <v>9.8818011365369056</v>
      </c>
      <c r="E243" s="172">
        <f>Calc!X243</f>
        <v>0.88895338546682712</v>
      </c>
      <c r="F243" s="172">
        <f>Calc!Y243</f>
        <v>3.2950728802125635E-2</v>
      </c>
      <c r="G243" s="172">
        <f>Calc!AN243</f>
        <v>1.0025521551846268</v>
      </c>
      <c r="H243" s="173">
        <f>Calc!AO243</f>
        <v>8.5959881660165223E-3</v>
      </c>
      <c r="I243" s="15">
        <f>Calc!AH243</f>
        <v>47212.081651032815</v>
      </c>
      <c r="J243" s="15">
        <f>Calc!AI243</f>
        <v>1795.8897783871087</v>
      </c>
      <c r="K243" s="15">
        <f>Calc!AJ243</f>
        <v>0.13208965987487886</v>
      </c>
      <c r="L243" s="15">
        <f>Calc!AK243</f>
        <v>2.1921491476083008</v>
      </c>
      <c r="M243" s="174" t="str">
        <f>Calc!AP243</f>
        <v>Out of range</v>
      </c>
      <c r="N243" s="174" t="e">
        <f>Calc!AQ243</f>
        <v>#VALUE!</v>
      </c>
      <c r="O243" s="174" t="str">
        <f>Calc!AW243</f>
        <v>Out of range</v>
      </c>
      <c r="P243" s="174">
        <f>Calc!AX243</f>
        <v>301.8055548987</v>
      </c>
      <c r="Q243" s="178" t="e">
        <f>Calc!BC243</f>
        <v>#VALUE!</v>
      </c>
      <c r="R243" s="174" t="e">
        <f>Calc!BD243</f>
        <v>#VALUE!</v>
      </c>
      <c r="S243" s="15">
        <f>Input!E243</f>
        <v>0</v>
      </c>
      <c r="T243" s="68"/>
    </row>
    <row r="244" spans="1:20" x14ac:dyDescent="0.2">
      <c r="A244" s="68">
        <f>Input!A244</f>
        <v>11107</v>
      </c>
      <c r="B244" s="68" t="str">
        <f>Input!B244</f>
        <v>C09-2-67,7</v>
      </c>
      <c r="C244" s="175">
        <f>Calc!O244*1000</f>
        <v>23.410456539534241</v>
      </c>
      <c r="D244" s="175">
        <f>Calc!P244*1000</f>
        <v>1.1619305225925278E-2</v>
      </c>
      <c r="E244" s="175">
        <f>Calc!X244</f>
        <v>2.9190911160737201E-2</v>
      </c>
      <c r="F244" s="175">
        <f>Calc!Y244</f>
        <v>2.3843660797848393E-4</v>
      </c>
      <c r="G244" s="175">
        <f>Calc!AN244</f>
        <v>0.56941235779592669</v>
      </c>
      <c r="H244" s="71">
        <f>Calc!AO244</f>
        <v>6.8785664368388871E-3</v>
      </c>
      <c r="I244" s="70">
        <f>Calc!AH244</f>
        <v>1402.1570773448673</v>
      </c>
      <c r="J244" s="70">
        <f>Calc!AI244</f>
        <v>20.43506153511677</v>
      </c>
      <c r="K244" s="70">
        <f>Calc!AJ244</f>
        <v>357.59172259739256</v>
      </c>
      <c r="L244" s="70">
        <f>Calc!AK244</f>
        <v>4.1149046786972487</v>
      </c>
      <c r="M244" s="176">
        <f>Calc!AP244</f>
        <v>57.712299999999999</v>
      </c>
      <c r="N244" s="176">
        <f>Calc!AQ244</f>
        <v>0.98629999999999995</v>
      </c>
      <c r="O244" s="176">
        <f>Calc!AW244</f>
        <v>57.688800000000001</v>
      </c>
      <c r="P244" s="176">
        <f>Calc!AY244</f>
        <v>0.92783708958844613</v>
      </c>
      <c r="Q244" s="177">
        <f>Calc!BC244</f>
        <v>420.81493422006918</v>
      </c>
      <c r="R244" s="176">
        <f>Calc!BD244</f>
        <v>4.9662109515498472</v>
      </c>
      <c r="S244" s="70">
        <f>Input!E244</f>
        <v>67.7</v>
      </c>
      <c r="T244" s="68"/>
    </row>
    <row r="245" spans="1:20" x14ac:dyDescent="0.2">
      <c r="A245" s="13">
        <f>Input!A245</f>
        <v>10815</v>
      </c>
      <c r="B245" s="13" t="str">
        <f>Input!B245</f>
        <v>Hu1-13</v>
      </c>
      <c r="C245" s="172">
        <f>Calc!O245*1000</f>
        <v>13700.212617097111</v>
      </c>
      <c r="D245" s="172">
        <f>Calc!P245*1000</f>
        <v>10.89413704453262</v>
      </c>
      <c r="E245" s="172">
        <f>Calc!X245</f>
        <v>0.87685575134298055</v>
      </c>
      <c r="F245" s="172">
        <f>Calc!Y245</f>
        <v>2.502094553137249E-2</v>
      </c>
      <c r="G245" s="172">
        <f>Calc!AN245</f>
        <v>1.0067891621462917</v>
      </c>
      <c r="H245" s="173">
        <f>Calc!AO245</f>
        <v>8.7887388761533503E-3</v>
      </c>
      <c r="I245" s="15">
        <f>Calc!AH245</f>
        <v>48075.245792206639</v>
      </c>
      <c r="J245" s="15">
        <f>Calc!AI245</f>
        <v>1434.0684942021478</v>
      </c>
      <c r="K245" s="15">
        <f>Calc!AJ245</f>
        <v>3.6327957964119584</v>
      </c>
      <c r="L245" s="15">
        <f>Calc!AK245</f>
        <v>1.9793739334359475</v>
      </c>
      <c r="M245" s="174" t="str">
        <f>Calc!AP245</f>
        <v>Out of range</v>
      </c>
      <c r="N245" s="174" t="e">
        <f>Calc!AQ245</f>
        <v>#VALUE!</v>
      </c>
      <c r="O245" s="174" t="str">
        <f>Calc!AW245</f>
        <v>Out of range</v>
      </c>
      <c r="P245" s="174">
        <f>Calc!AX245</f>
        <v>294.34916415499998</v>
      </c>
      <c r="Q245" s="178" t="e">
        <f>Calc!BC245</f>
        <v>#VALUE!</v>
      </c>
      <c r="R245" s="174" t="e">
        <f>Calc!BD245</f>
        <v>#VALUE!</v>
      </c>
      <c r="S245" s="15">
        <f>Input!E245</f>
        <v>0</v>
      </c>
      <c r="T245" s="68"/>
    </row>
    <row r="246" spans="1:20" ht="13.5" customHeight="1" x14ac:dyDescent="0.2">
      <c r="H246" s="75"/>
    </row>
    <row r="247" spans="1:20" x14ac:dyDescent="0.2">
      <c r="A247" s="13">
        <f>Input!A247</f>
        <v>10815</v>
      </c>
      <c r="B247" s="13" t="str">
        <f>Input!B247</f>
        <v>Hu1-13</v>
      </c>
      <c r="C247" s="172">
        <f>Calc!O247*1000</f>
        <v>13702.788837599135</v>
      </c>
      <c r="D247" s="172">
        <f>Calc!P247*1000</f>
        <v>1.785536301809352</v>
      </c>
      <c r="E247" s="172">
        <f>Calc!X247</f>
        <v>0.8356164612962127</v>
      </c>
      <c r="F247" s="172">
        <f>Calc!Y247</f>
        <v>6.9259527296466391E-3</v>
      </c>
      <c r="G247" s="172">
        <f>Calc!AN247</f>
        <v>0.99711407970023436</v>
      </c>
      <c r="H247" s="173">
        <f>Calc!AO247</f>
        <v>4.9659522207324202E-3</v>
      </c>
      <c r="I247" s="15">
        <f>Calc!AH247</f>
        <v>49972.451640788764</v>
      </c>
      <c r="J247" s="15">
        <f>Calc!AI247</f>
        <v>483.17136540770014</v>
      </c>
      <c r="K247" s="15">
        <f>Calc!AJ247</f>
        <v>-0.77432819735379077</v>
      </c>
      <c r="L247" s="15">
        <f>Calc!AK247</f>
        <v>2.8020095630988648</v>
      </c>
      <c r="M247" s="174">
        <f>Calc!AP247</f>
        <v>690.29669999999999</v>
      </c>
      <c r="N247" s="174" t="e">
        <f>Calc!AQ247</f>
        <v>#VALUE!</v>
      </c>
      <c r="O247" s="174">
        <f>Calc!AW247</f>
        <v>690.29499999999996</v>
      </c>
      <c r="P247" s="174">
        <f>Calc!AX247</f>
        <v>304.9479251098</v>
      </c>
      <c r="Q247" s="178">
        <f>Calc!BC247</f>
        <v>-5.4319296547832057</v>
      </c>
      <c r="R247" s="174">
        <f>Calc!BD247</f>
        <v>20.543538938407266</v>
      </c>
      <c r="S247" s="15">
        <f>Input!E247</f>
        <v>0</v>
      </c>
      <c r="T247" s="68"/>
    </row>
    <row r="248" spans="1:20" x14ac:dyDescent="0.2">
      <c r="A248" s="68">
        <f>Input!A248</f>
        <v>11141</v>
      </c>
      <c r="B248" s="68" t="str">
        <f>Input!B248</f>
        <v>E4-4,5</v>
      </c>
      <c r="C248" s="175">
        <f>Calc!O248*1000</f>
        <v>1065.3297660384428</v>
      </c>
      <c r="D248" s="175">
        <f>Calc!P248*1000</f>
        <v>7.4000789767980774E-2</v>
      </c>
      <c r="E248" s="175">
        <f>Calc!X248</f>
        <v>0.84907655706957341</v>
      </c>
      <c r="F248" s="175">
        <f>Calc!Y248</f>
        <v>2.5479839029915298E-3</v>
      </c>
      <c r="G248" s="175">
        <f>Calc!AN248</f>
        <v>7.7633308931828286E-3</v>
      </c>
      <c r="H248" s="71">
        <f>Calc!AO248</f>
        <v>8.7883442323483652E-5</v>
      </c>
      <c r="I248" s="70">
        <f>Calc!AH248</f>
        <v>29.76640188745111</v>
      </c>
      <c r="J248" s="70">
        <f>Calc!AI248</f>
        <v>0.3485978681224296</v>
      </c>
      <c r="K248" s="70">
        <f>Calc!AJ248</f>
        <v>9.6138114709956035</v>
      </c>
      <c r="L248" s="70">
        <f>Calc!AK248</f>
        <v>1.0304255130292177</v>
      </c>
      <c r="M248" s="176">
        <f>Calc!AP248</f>
        <v>0.8417</v>
      </c>
      <c r="N248" s="176">
        <f>Calc!AQ248</f>
        <v>9.7999999999999997E-3</v>
      </c>
      <c r="O248" s="176">
        <f>Calc!AW248</f>
        <v>0.8206</v>
      </c>
      <c r="P248" s="176">
        <f>Calc!AY248</f>
        <v>1.429603455208966E-2</v>
      </c>
      <c r="Q248" s="177">
        <f>Calc!BC248</f>
        <v>9.6361007653601742</v>
      </c>
      <c r="R248" s="176">
        <f>Calc!BD248</f>
        <v>1.0328145926426113</v>
      </c>
      <c r="S248" s="70">
        <f>Input!E248</f>
        <v>4.5</v>
      </c>
      <c r="T248" s="68"/>
    </row>
    <row r="249" spans="1:20" x14ac:dyDescent="0.2">
      <c r="A249" s="13">
        <f>Input!A249</f>
        <v>10815</v>
      </c>
      <c r="B249" s="13" t="str">
        <f>Input!B249</f>
        <v>Hu1-13</v>
      </c>
      <c r="C249" s="172">
        <f>Calc!O249*1000</f>
        <v>13702.431079712343</v>
      </c>
      <c r="D249" s="172">
        <f>Calc!P249*1000</f>
        <v>2.0662951144769672</v>
      </c>
      <c r="E249" s="172">
        <f>Calc!X249</f>
        <v>0.84613462420762509</v>
      </c>
      <c r="F249" s="172">
        <f>Calc!Y249</f>
        <v>6.5609492089241704E-3</v>
      </c>
      <c r="G249" s="172">
        <f>Calc!AN249</f>
        <v>1.0026888426423002</v>
      </c>
      <c r="H249" s="173">
        <f>Calc!AO249</f>
        <v>4.7321785155621243E-3</v>
      </c>
      <c r="I249" s="15">
        <f>Calc!AH249</f>
        <v>49625.87428463831</v>
      </c>
      <c r="J249" s="15">
        <f>Calc!AI249</f>
        <v>450.40980231589612</v>
      </c>
      <c r="K249" s="15">
        <f>Calc!AJ249</f>
        <v>-0.20701440546433414</v>
      </c>
      <c r="L249" s="15">
        <f>Calc!AK249</f>
        <v>2.5379366189119383</v>
      </c>
      <c r="M249" s="174" t="str">
        <f>Calc!AP249</f>
        <v>Out of range</v>
      </c>
      <c r="N249" s="174" t="e">
        <f>Calc!AQ249</f>
        <v>#VALUE!</v>
      </c>
      <c r="O249" s="174" t="str">
        <f>Calc!AW249</f>
        <v>Out of range</v>
      </c>
      <c r="P249" s="174">
        <f>Calc!AX249</f>
        <v>312.35777034069997</v>
      </c>
      <c r="Q249" s="178" t="e">
        <f>Calc!BC249</f>
        <v>#VALUE!</v>
      </c>
      <c r="R249" s="174" t="e">
        <f>Calc!BD249</f>
        <v>#VALUE!</v>
      </c>
      <c r="S249" s="15">
        <f>Input!E249</f>
        <v>0</v>
      </c>
      <c r="T249" s="68"/>
    </row>
    <row r="250" spans="1:20" x14ac:dyDescent="0.2">
      <c r="A250" s="68">
        <f>Input!A250</f>
        <v>11142</v>
      </c>
      <c r="B250" s="68" t="str">
        <f>Input!B250</f>
        <v>E4-7,5</v>
      </c>
      <c r="C250" s="175">
        <f>Calc!O250*1000</f>
        <v>1237.3899001766456</v>
      </c>
      <c r="D250" s="175">
        <f>Calc!P250*1000</f>
        <v>7.1762901759917258E-2</v>
      </c>
      <c r="E250" s="175">
        <f>Calc!X250</f>
        <v>9.6030381411694371E-2</v>
      </c>
      <c r="F250" s="175">
        <f>Calc!Y250</f>
        <v>2.2249933161647782E-4</v>
      </c>
      <c r="G250" s="175">
        <f>Calc!AN250</f>
        <v>6.586356923386146E-3</v>
      </c>
      <c r="H250" s="71">
        <f>Calc!AO250</f>
        <v>6.5004185557400923E-5</v>
      </c>
      <c r="I250" s="70">
        <f>Calc!AH250</f>
        <v>259.58505181088287</v>
      </c>
      <c r="J250" s="70">
        <f>Calc!AI250</f>
        <v>2.6315883896384493</v>
      </c>
      <c r="K250" s="70">
        <f>Calc!AJ250</f>
        <v>8.4628550706791206</v>
      </c>
      <c r="L250" s="70">
        <f>Calc!AK250</f>
        <v>0.80258663276144504</v>
      </c>
      <c r="M250" s="176">
        <f>Calc!AP250</f>
        <v>0.71450000000000002</v>
      </c>
      <c r="N250" s="176">
        <f>Calc!AQ250</f>
        <v>8.6E-3</v>
      </c>
      <c r="O250" s="176">
        <f>Calc!AW250</f>
        <v>0.71250000000000002</v>
      </c>
      <c r="P250" s="176">
        <f>Calc!AY250</f>
        <v>7.1821258601169648E-3</v>
      </c>
      <c r="Q250" s="177">
        <f>Calc!BC250</f>
        <v>8.4798886026591003</v>
      </c>
      <c r="R250" s="176">
        <f>Calc!BD250</f>
        <v>0.80420204982740084</v>
      </c>
      <c r="S250" s="70">
        <f>Input!E250</f>
        <v>7.5</v>
      </c>
      <c r="T250" s="68"/>
    </row>
    <row r="251" spans="1:20" x14ac:dyDescent="0.2">
      <c r="A251" s="13">
        <f>Input!A251</f>
        <v>10815</v>
      </c>
      <c r="B251" s="13" t="str">
        <f>Input!B251</f>
        <v>Hu1-13</v>
      </c>
      <c r="C251" s="172">
        <f>Calc!O251*1000</f>
        <v>13703.695751726382</v>
      </c>
      <c r="D251" s="172">
        <f>Calc!P251*1000</f>
        <v>1.9061679584487401</v>
      </c>
      <c r="E251" s="172">
        <f>Calc!X251</f>
        <v>0.82766101823829252</v>
      </c>
      <c r="F251" s="172">
        <f>Calc!Y251</f>
        <v>6.2297391535396139E-3</v>
      </c>
      <c r="G251" s="172">
        <f>Calc!AN251</f>
        <v>0.99893594846657185</v>
      </c>
      <c r="H251" s="173">
        <f>Calc!AO251</f>
        <v>3.7352621464347433E-3</v>
      </c>
      <c r="I251" s="15">
        <f>Calc!AH251</f>
        <v>50548.314443937656</v>
      </c>
      <c r="J251" s="15">
        <f>Calc!AI251</f>
        <v>424.77765486769397</v>
      </c>
      <c r="K251" s="15">
        <f>Calc!AJ251</f>
        <v>1.9953596559796338</v>
      </c>
      <c r="L251" s="15">
        <f>Calc!AK251</f>
        <v>2.1269603995346928</v>
      </c>
      <c r="M251" s="174">
        <f>Calc!AP251</f>
        <v>605.28240000000005</v>
      </c>
      <c r="N251" s="174" t="e">
        <f>Calc!AQ251</f>
        <v>#VALUE!</v>
      </c>
      <c r="O251" s="174">
        <f>Calc!AW251</f>
        <v>605.2808</v>
      </c>
      <c r="P251" s="174">
        <f>Calc!AX251</f>
        <v>279.32836835640001</v>
      </c>
      <c r="Q251" s="178">
        <f>Calc!BC251</f>
        <v>11.011751791741942</v>
      </c>
      <c r="R251" s="174">
        <f>Calc!BD251</f>
        <v>12.437657533077045</v>
      </c>
      <c r="S251" s="15">
        <f>Input!E251</f>
        <v>0</v>
      </c>
      <c r="T251" s="68"/>
    </row>
    <row r="252" spans="1:20" x14ac:dyDescent="0.2">
      <c r="A252" s="68">
        <f>Input!A252</f>
        <v>11143</v>
      </c>
      <c r="B252" s="68" t="str">
        <f>Input!B252</f>
        <v>E4-9</v>
      </c>
      <c r="C252" s="175">
        <f>Calc!O252*1000</f>
        <v>1254.5698159352678</v>
      </c>
      <c r="D252" s="175">
        <f>Calc!P252*1000</f>
        <v>6.0185288950345535E-2</v>
      </c>
      <c r="E252" s="175">
        <f>Calc!X252</f>
        <v>0.11925390738271063</v>
      </c>
      <c r="F252" s="175">
        <f>Calc!Y252</f>
        <v>2.6402853960073294E-4</v>
      </c>
      <c r="G252" s="175">
        <f>Calc!AN252</f>
        <v>6.813373607966763E-3</v>
      </c>
      <c r="H252" s="71">
        <f>Calc!AO252</f>
        <v>8.2039240722710528E-5</v>
      </c>
      <c r="I252" s="70">
        <f>Calc!AH252</f>
        <v>219.03401697189119</v>
      </c>
      <c r="J252" s="70">
        <f>Calc!AI252</f>
        <v>2.6815623765300867</v>
      </c>
      <c r="K252" s="70">
        <f>Calc!AJ252</f>
        <v>8.0807314482447268</v>
      </c>
      <c r="L252" s="70">
        <f>Calc!AK252</f>
        <v>0.95894306641488969</v>
      </c>
      <c r="M252" s="176">
        <f>Calc!AP252</f>
        <v>0.73950000000000005</v>
      </c>
      <c r="N252" s="176">
        <f>Calc!AQ252</f>
        <v>8.8000000000000005E-3</v>
      </c>
      <c r="O252" s="176">
        <f>Calc!AW252</f>
        <v>0.73699999999999999</v>
      </c>
      <c r="P252" s="176">
        <f>Calc!AY252</f>
        <v>9.0631689285903781E-3</v>
      </c>
      <c r="Q252" s="177">
        <f>Calc!BC252</f>
        <v>8.0975557139497507</v>
      </c>
      <c r="R252" s="176">
        <f>Calc!BD252</f>
        <v>0.96093962989462023</v>
      </c>
      <c r="S252" s="70">
        <f>Input!E252</f>
        <v>9</v>
      </c>
      <c r="T252" s="68"/>
    </row>
    <row r="253" spans="1:20" x14ac:dyDescent="0.2">
      <c r="A253" s="13">
        <f>Input!A253</f>
        <v>10815</v>
      </c>
      <c r="B253" s="13" t="str">
        <f>Input!B253</f>
        <v>Hu1-13</v>
      </c>
      <c r="C253" s="172">
        <f>Calc!O253*1000</f>
        <v>13700.022388494051</v>
      </c>
      <c r="D253" s="172">
        <f>Calc!P253*1000</f>
        <v>2.4667711560466978</v>
      </c>
      <c r="E253" s="172">
        <f>Calc!X253</f>
        <v>0.83099512292092836</v>
      </c>
      <c r="F253" s="172">
        <f>Calc!Y253</f>
        <v>1.1307778363954883E-2</v>
      </c>
      <c r="G253" s="172">
        <f>Calc!AN253</f>
        <v>1.000803038376747</v>
      </c>
      <c r="H253" s="173">
        <f>Calc!AO253</f>
        <v>3.5531101112149374E-3</v>
      </c>
      <c r="I253" s="15">
        <f>Calc!AH253</f>
        <v>50426.084398737199</v>
      </c>
      <c r="J253" s="15">
        <f>Calc!AI253</f>
        <v>709.0853813726203</v>
      </c>
      <c r="K253" s="15">
        <f>Calc!AJ253</f>
        <v>0.86540883684871339</v>
      </c>
      <c r="L253" s="15">
        <f>Calc!AK253</f>
        <v>2.070677763598801</v>
      </c>
      <c r="M253" s="174">
        <f>Calc!AP253</f>
        <v>842.47519999999997</v>
      </c>
      <c r="N253" s="174" t="e">
        <f>Calc!AQ253</f>
        <v>#VALUE!</v>
      </c>
      <c r="O253" s="174">
        <f>Calc!AW253</f>
        <v>842.47360000000003</v>
      </c>
      <c r="P253" s="174">
        <f>Calc!AX253</f>
        <v>319.03027599080002</v>
      </c>
      <c r="Q253" s="178">
        <f>Calc!BC253</f>
        <v>9.3274140152799472</v>
      </c>
      <c r="R253" s="174">
        <f>Calc!BD253</f>
        <v>37.078853046254878</v>
      </c>
      <c r="S253" s="15">
        <f>Input!E253</f>
        <v>0</v>
      </c>
      <c r="T253" s="68"/>
    </row>
    <row r="254" spans="1:20" x14ac:dyDescent="0.2">
      <c r="A254" s="68">
        <f>Input!A254</f>
        <v>11144</v>
      </c>
      <c r="B254" s="68" t="str">
        <f>Input!B254</f>
        <v>E4-11,5</v>
      </c>
      <c r="C254" s="175">
        <f>Calc!O254*1000</f>
        <v>1130.2662589021729</v>
      </c>
      <c r="D254" s="175">
        <f>Calc!P254*1000</f>
        <v>6.8197362668478881E-2</v>
      </c>
      <c r="E254" s="175">
        <f>Calc!X254</f>
        <v>4.4437796083420631</v>
      </c>
      <c r="F254" s="175">
        <f>Calc!Y254</f>
        <v>1.2172458690902822E-2</v>
      </c>
      <c r="G254" s="175">
        <f>Calc!AN254</f>
        <v>1.470034240756943E-2</v>
      </c>
      <c r="H254" s="71">
        <f>Calc!AO254</f>
        <v>1.5845827104127806E-4</v>
      </c>
      <c r="I254" s="70">
        <f>Calc!AH254</f>
        <v>11.435675474918572</v>
      </c>
      <c r="J254" s="70">
        <f>Calc!AI254</f>
        <v>0.12718368286796061</v>
      </c>
      <c r="K254" s="70">
        <f>Calc!AJ254</f>
        <v>10.758078766606838</v>
      </c>
      <c r="L254" s="70">
        <f>Calc!AK254</f>
        <v>1.0429240991814481</v>
      </c>
      <c r="M254" s="176">
        <f>Calc!AP254</f>
        <v>1.5974999999999999</v>
      </c>
      <c r="N254" s="176">
        <f>Calc!AQ254</f>
        <v>1.7899999999999999E-2</v>
      </c>
      <c r="O254" s="176">
        <f>Calc!AW254</f>
        <v>1.4934000000000001</v>
      </c>
      <c r="P254" s="176">
        <f>Calc!AY254</f>
        <v>5.5004055549385283E-2</v>
      </c>
      <c r="Q254" s="177">
        <f>Calc!BC254</f>
        <v>10.803513981922373</v>
      </c>
      <c r="R254" s="176">
        <f>Calc!BD254</f>
        <v>1.0473300833320105</v>
      </c>
      <c r="S254" s="70">
        <f>Input!E254</f>
        <v>11.5</v>
      </c>
      <c r="T254" s="68"/>
    </row>
    <row r="255" spans="1:20" x14ac:dyDescent="0.2">
      <c r="A255" s="13">
        <f>Input!A255</f>
        <v>10815</v>
      </c>
      <c r="B255" s="13" t="str">
        <f>Input!B255</f>
        <v>Hu1-13</v>
      </c>
      <c r="C255" s="172">
        <f>Calc!O255*1000</f>
        <v>13702.470211922002</v>
      </c>
      <c r="D255" s="172">
        <f>Calc!P255*1000</f>
        <v>1.9225241770529731</v>
      </c>
      <c r="E255" s="172">
        <f>Calc!X255</f>
        <v>0.823464486316829</v>
      </c>
      <c r="F255" s="172">
        <f>Calc!Y255</f>
        <v>6.0565176103646243E-3</v>
      </c>
      <c r="G255" s="172">
        <f>Calc!AN255</f>
        <v>1.0006817176515983</v>
      </c>
      <c r="H255" s="173">
        <f>Calc!AO255</f>
        <v>3.104042886270115E-3</v>
      </c>
      <c r="I255" s="15">
        <f>Calc!AH255</f>
        <v>50890.156587470723</v>
      </c>
      <c r="J255" s="15">
        <f>Calc!AI255</f>
        <v>406.15688937102311</v>
      </c>
      <c r="K255" s="15">
        <f>Calc!AJ255</f>
        <v>-2.1051208995638282</v>
      </c>
      <c r="L255" s="15">
        <f>Calc!AK255</f>
        <v>2.4428898113415527</v>
      </c>
      <c r="M255" s="174" t="str">
        <f>Calc!AP255</f>
        <v>Out of range</v>
      </c>
      <c r="N255" s="174" t="e">
        <f>Calc!AQ255</f>
        <v>#VALUE!</v>
      </c>
      <c r="O255" s="174" t="str">
        <f>Calc!AW255</f>
        <v>Out of range</v>
      </c>
      <c r="P255" s="174">
        <f>Calc!AX255</f>
        <v>266.18299575859999</v>
      </c>
      <c r="Q255" s="178" t="e">
        <f>Calc!BC255</f>
        <v>#VALUE!</v>
      </c>
      <c r="R255" s="174" t="e">
        <f>Calc!BD255</f>
        <v>#VALUE!</v>
      </c>
      <c r="S255" s="15">
        <f>Input!E255</f>
        <v>0</v>
      </c>
      <c r="T255" s="68"/>
    </row>
    <row r="256" spans="1:20" x14ac:dyDescent="0.2">
      <c r="A256" s="68">
        <f>Input!A256</f>
        <v>11145</v>
      </c>
      <c r="B256" s="68" t="str">
        <f>Input!B256</f>
        <v>E4-13</v>
      </c>
      <c r="C256" s="175">
        <f>Calc!O256*1000</f>
        <v>1202.1931602290224</v>
      </c>
      <c r="D256" s="175">
        <f>Calc!P256*1000</f>
        <v>9.7191882837188964E-2</v>
      </c>
      <c r="E256" s="175">
        <f>Calc!X256</f>
        <v>1.0404667267564174</v>
      </c>
      <c r="F256" s="175">
        <f>Calc!Y256</f>
        <v>2.5504326687580577E-3</v>
      </c>
      <c r="G256" s="175">
        <f>Calc!AN256</f>
        <v>9.1056503993973172E-3</v>
      </c>
      <c r="H256" s="71">
        <f>Calc!AO256</f>
        <v>1.2462269195143274E-4</v>
      </c>
      <c r="I256" s="70">
        <f>Calc!AH256</f>
        <v>32.176353384184765</v>
      </c>
      <c r="J256" s="70">
        <f>Calc!AI256</f>
        <v>0.44737505977756725</v>
      </c>
      <c r="K256" s="70">
        <f>Calc!AJ256</f>
        <v>12.621513863489975</v>
      </c>
      <c r="L256" s="70">
        <f>Calc!AK256</f>
        <v>1.4914353677022518</v>
      </c>
      <c r="M256" s="176">
        <f>Calc!AP256</f>
        <v>0.98499999999999999</v>
      </c>
      <c r="N256" s="176">
        <f>Calc!AQ256</f>
        <v>1.3100000000000001E-2</v>
      </c>
      <c r="O256" s="176">
        <f>Calc!AW256</f>
        <v>0.96209999999999996</v>
      </c>
      <c r="P256" s="176">
        <f>Calc!AY256</f>
        <v>1.7807078876354434E-2</v>
      </c>
      <c r="Q256" s="177">
        <f>Calc!BC256</f>
        <v>12.655829149035634</v>
      </c>
      <c r="R256" s="176">
        <f>Calc!BD256</f>
        <v>1.4954904072106034</v>
      </c>
      <c r="S256" s="70">
        <f>Input!E256</f>
        <v>13</v>
      </c>
      <c r="T256" s="68"/>
    </row>
    <row r="257" spans="1:20" x14ac:dyDescent="0.2">
      <c r="A257" s="13">
        <f>Input!A257</f>
        <v>10815</v>
      </c>
      <c r="B257" s="13" t="str">
        <f>Input!B257</f>
        <v>Hu1-13</v>
      </c>
      <c r="C257" s="172">
        <f>Calc!O257*1000</f>
        <v>13702.470211922002</v>
      </c>
      <c r="D257" s="172">
        <f>Calc!P257*1000</f>
        <v>1.9225241770529731</v>
      </c>
      <c r="E257" s="172">
        <f>Calc!X257</f>
        <v>0.823464486316829</v>
      </c>
      <c r="F257" s="172">
        <f>Calc!Y257</f>
        <v>6.0565176103646243E-3</v>
      </c>
      <c r="G257" s="172">
        <f>Calc!AN257</f>
        <v>1.0006817176515983</v>
      </c>
      <c r="H257" s="173">
        <f>Calc!AO257</f>
        <v>3.104042886270115E-3</v>
      </c>
      <c r="I257" s="15">
        <f>Calc!AH257</f>
        <v>50890.156587470723</v>
      </c>
      <c r="J257" s="15">
        <f>Calc!AI257</f>
        <v>406.15688937102311</v>
      </c>
      <c r="K257" s="15">
        <f>Calc!AJ257</f>
        <v>-2.1051208995638282</v>
      </c>
      <c r="L257" s="15">
        <f>Calc!AK257</f>
        <v>2.4428898113415527</v>
      </c>
      <c r="M257" s="174" t="str">
        <f>Calc!AP257</f>
        <v>Out of range</v>
      </c>
      <c r="N257" s="174" t="e">
        <f>Calc!AQ257</f>
        <v>#VALUE!</v>
      </c>
      <c r="O257" s="174" t="str">
        <f>Calc!AW257</f>
        <v>Out of range</v>
      </c>
      <c r="P257" s="174">
        <f>Calc!AX257</f>
        <v>272.8477261155</v>
      </c>
      <c r="Q257" s="178" t="e">
        <f>Calc!BC257</f>
        <v>#VALUE!</v>
      </c>
      <c r="R257" s="174" t="e">
        <f>Calc!BD257</f>
        <v>#VALUE!</v>
      </c>
      <c r="S257" s="15">
        <f>Input!E257</f>
        <v>0</v>
      </c>
      <c r="T257" s="68"/>
    </row>
    <row r="258" spans="1:20" s="17" customFormat="1" x14ac:dyDescent="0.2"/>
    <row r="259" spans="1:20" x14ac:dyDescent="0.2">
      <c r="A259" s="13">
        <f>Input!A259</f>
        <v>10815</v>
      </c>
      <c r="B259" s="13" t="str">
        <f>Input!B259</f>
        <v>Hu1-13</v>
      </c>
      <c r="C259" s="172">
        <f>Calc!O259*1000</f>
        <v>13698.070935353464</v>
      </c>
      <c r="D259" s="172">
        <f>Calc!P259*1000</f>
        <v>1.7594621141596809</v>
      </c>
      <c r="E259" s="172">
        <f>Calc!X259</f>
        <v>0.84280493790865774</v>
      </c>
      <c r="F259" s="172">
        <f>Calc!Y259</f>
        <v>6.1756648072860921E-3</v>
      </c>
      <c r="G259" s="172">
        <f>Calc!AN259</f>
        <v>1.0008722548501829</v>
      </c>
      <c r="H259" s="173">
        <f>Calc!AO259</f>
        <v>4.2831513041557568E-3</v>
      </c>
      <c r="I259" s="15">
        <f>Calc!AH259</f>
        <v>49715.844278099277</v>
      </c>
      <c r="J259" s="15">
        <f>Calc!AI259</f>
        <v>421.82182412878814</v>
      </c>
      <c r="K259" s="15">
        <f>Calc!AJ259</f>
        <v>-2.4078188118982213</v>
      </c>
      <c r="L259" s="15">
        <f>Calc!AK259</f>
        <v>2.3365269233231261</v>
      </c>
      <c r="M259" s="174" t="str">
        <f>Calc!AP259</f>
        <v>Out of range</v>
      </c>
      <c r="N259" s="174" t="e">
        <f>Calc!AQ259</f>
        <v>#VALUE!</v>
      </c>
      <c r="O259" s="174" t="str">
        <f>Calc!AW259</f>
        <v>Out of range</v>
      </c>
      <c r="P259" s="174">
        <f>Calc!AX259</f>
        <v>234.1024790072</v>
      </c>
      <c r="Q259" s="178" t="e">
        <f>Calc!BC259</f>
        <v>#VALUE!</v>
      </c>
      <c r="R259" s="174" t="e">
        <f>Calc!BD259</f>
        <v>#VALUE!</v>
      </c>
      <c r="S259" s="15">
        <f>Input!E259</f>
        <v>0</v>
      </c>
      <c r="T259" s="68"/>
    </row>
    <row r="260" spans="1:20" x14ac:dyDescent="0.2">
      <c r="A260" s="68">
        <f>Input!A260</f>
        <v>11146</v>
      </c>
      <c r="B260" s="68" t="str">
        <f>Input!B260</f>
        <v>E4-15</v>
      </c>
      <c r="C260" s="175">
        <f>Calc!O260*1000</f>
        <v>1365.1822135473399</v>
      </c>
      <c r="D260" s="175">
        <f>Calc!P260*1000</f>
        <v>7.9247815870354996E-2</v>
      </c>
      <c r="E260" s="175">
        <f>Calc!X260</f>
        <v>26.409440655498937</v>
      </c>
      <c r="F260" s="175">
        <f>Calc!Y260</f>
        <v>5.9165862845438434E-2</v>
      </c>
      <c r="G260" s="175">
        <f>Calc!AN260</f>
        <v>5.1561639857795549E-2</v>
      </c>
      <c r="H260" s="71">
        <f>Calc!AO260</f>
        <v>2.4051638873402945E-4</v>
      </c>
      <c r="I260" s="70">
        <f>Calc!AH260</f>
        <v>8.1655067935255676</v>
      </c>
      <c r="J260" s="70">
        <f>Calc!AI260</f>
        <v>4.2251710362535826E-2</v>
      </c>
      <c r="K260" s="70">
        <f>Calc!AJ260</f>
        <v>10.740433973580155</v>
      </c>
      <c r="L260" s="70">
        <f>Calc!AK260</f>
        <v>0.80906360930586207</v>
      </c>
      <c r="M260" s="176">
        <f>Calc!AP260</f>
        <v>5.7092000000000001</v>
      </c>
      <c r="N260" s="176">
        <f>Calc!AQ260</f>
        <v>2.7799999999999998E-2</v>
      </c>
      <c r="O260" s="176">
        <f>Calc!AW260</f>
        <v>5.1959</v>
      </c>
      <c r="P260" s="176">
        <f>Calc!AY260</f>
        <v>0.25910072382413241</v>
      </c>
      <c r="Q260" s="177">
        <f>Calc!BC260</f>
        <v>10.899082779687154</v>
      </c>
      <c r="R260" s="176">
        <f>Calc!BD260</f>
        <v>0.82105310520095054</v>
      </c>
      <c r="S260" s="70">
        <f>Input!E260</f>
        <v>15</v>
      </c>
      <c r="T260" s="68"/>
    </row>
    <row r="261" spans="1:20" x14ac:dyDescent="0.2">
      <c r="A261" s="13">
        <f>Input!A261</f>
        <v>10815</v>
      </c>
      <c r="B261" s="13" t="str">
        <f>Input!B261</f>
        <v>Hu1-13</v>
      </c>
      <c r="C261" s="172">
        <f>Calc!O261*1000</f>
        <v>13699.442828669262</v>
      </c>
      <c r="D261" s="172">
        <f>Calc!P261*1000</f>
        <v>2.1763108072114532</v>
      </c>
      <c r="E261" s="172">
        <f>Calc!X261</f>
        <v>0.81833783166314533</v>
      </c>
      <c r="F261" s="172">
        <f>Calc!Y261</f>
        <v>4.019070245259819E-3</v>
      </c>
      <c r="G261" s="172">
        <f>Calc!AN261</f>
        <v>1.0039282889286283</v>
      </c>
      <c r="H261" s="173">
        <f>Calc!AO261</f>
        <v>3.4479562423731869E-3</v>
      </c>
      <c r="I261" s="15">
        <f>Calc!AH261</f>
        <v>51363.758642014916</v>
      </c>
      <c r="J261" s="15">
        <f>Calc!AI261</f>
        <v>307.71474425988134</v>
      </c>
      <c r="K261" s="15">
        <f>Calc!AJ261</f>
        <v>-0.40931160021506763</v>
      </c>
      <c r="L261" s="15">
        <f>Calc!AK261</f>
        <v>1.9317269549233258</v>
      </c>
      <c r="M261" s="174" t="str">
        <f>Calc!AP261</f>
        <v>Out of range</v>
      </c>
      <c r="N261" s="174" t="e">
        <f>Calc!AQ261</f>
        <v>#VALUE!</v>
      </c>
      <c r="O261" s="174" t="str">
        <f>Calc!AW261</f>
        <v>Out of range</v>
      </c>
      <c r="P261" s="174">
        <f>Calc!AX261</f>
        <v>226.90653687610001</v>
      </c>
      <c r="Q261" s="178" t="e">
        <f>Calc!BC261</f>
        <v>#VALUE!</v>
      </c>
      <c r="R261" s="174" t="e">
        <f>Calc!BD261</f>
        <v>#VALUE!</v>
      </c>
      <c r="S261" s="15">
        <f>Input!E261</f>
        <v>0</v>
      </c>
      <c r="T261" s="68"/>
    </row>
    <row r="262" spans="1:20" x14ac:dyDescent="0.2">
      <c r="A262" s="68">
        <f>Input!A262</f>
        <v>11147</v>
      </c>
      <c r="B262" s="68" t="str">
        <f>Input!B262</f>
        <v>E4-16</v>
      </c>
      <c r="C262" s="175">
        <f>Calc!O262*1000</f>
        <v>1473.9517847387883</v>
      </c>
      <c r="D262" s="175">
        <f>Calc!P262*1000</f>
        <v>8.2446579997705743E-2</v>
      </c>
      <c r="E262" s="175">
        <f>Calc!X262</f>
        <v>2.7804124004837352</v>
      </c>
      <c r="F262" s="175">
        <f>Calc!Y262</f>
        <v>5.7593758944317827E-3</v>
      </c>
      <c r="G262" s="175">
        <f>Calc!AN262</f>
        <v>1.2934081779256187E-2</v>
      </c>
      <c r="H262" s="71">
        <f>Calc!AO262</f>
        <v>9.7207381815242678E-5</v>
      </c>
      <c r="I262" s="70">
        <f>Calc!AH262</f>
        <v>21.017156966934063</v>
      </c>
      <c r="J262" s="70">
        <f>Calc!AI262</f>
        <v>0.1638419872754244</v>
      </c>
      <c r="K262" s="70">
        <f>Calc!AJ262</f>
        <v>7.0173163690052665</v>
      </c>
      <c r="L262" s="70">
        <f>Calc!AK262</f>
        <v>0.67876657802585183</v>
      </c>
      <c r="M262" s="176">
        <f>Calc!AP262</f>
        <v>1.4096</v>
      </c>
      <c r="N262" s="176">
        <f>Calc!AQ262</f>
        <v>1.09E-2</v>
      </c>
      <c r="O262" s="176">
        <f>Calc!AW262</f>
        <v>1.3594999999999999</v>
      </c>
      <c r="P262" s="176">
        <f>Calc!AY262</f>
        <v>2.7301331373021001E-2</v>
      </c>
      <c r="Q262" s="177">
        <f>Calc!BC262</f>
        <v>7.0442906503628864</v>
      </c>
      <c r="R262" s="176">
        <f>Calc!BD262</f>
        <v>0.68137594555203118</v>
      </c>
      <c r="S262" s="70">
        <f>Input!E262</f>
        <v>16</v>
      </c>
      <c r="T262" s="68"/>
    </row>
    <row r="263" spans="1:20" x14ac:dyDescent="0.2">
      <c r="A263" s="13">
        <f>Input!A263</f>
        <v>10815</v>
      </c>
      <c r="B263" s="13" t="str">
        <f>Input!B263</f>
        <v>Hu1-13</v>
      </c>
      <c r="C263" s="172">
        <f>Calc!O263*1000</f>
        <v>13699.749109323657</v>
      </c>
      <c r="D263" s="172">
        <f>Calc!P263*1000</f>
        <v>2.0585084008638384</v>
      </c>
      <c r="E263" s="172">
        <f>Calc!X263</f>
        <v>0.83064018653259131</v>
      </c>
      <c r="F263" s="172">
        <f>Calc!Y263</f>
        <v>5.9833426490727912E-3</v>
      </c>
      <c r="G263" s="172">
        <f>Calc!AN263</f>
        <v>1.0019772200076547</v>
      </c>
      <c r="H263" s="173">
        <f>Calc!AO263</f>
        <v>4.0113099336771341E-3</v>
      </c>
      <c r="I263" s="15">
        <f>Calc!AH263</f>
        <v>50505.811373120705</v>
      </c>
      <c r="J263" s="15">
        <f>Calc!AI263</f>
        <v>416.15067425930749</v>
      </c>
      <c r="K263" s="15">
        <f>Calc!AJ263</f>
        <v>1.5591332864115515</v>
      </c>
      <c r="L263" s="15">
        <f>Calc!AK263</f>
        <v>2.7636190788258386</v>
      </c>
      <c r="M263" s="174">
        <f>Calc!AP263</f>
        <v>897.07370000000003</v>
      </c>
      <c r="N263" s="174" t="e">
        <f>Calc!AQ263</f>
        <v>#VALUE!</v>
      </c>
      <c r="O263" s="174">
        <f>Calc!AW263</f>
        <v>897.07209999999998</v>
      </c>
      <c r="P263" s="174">
        <f>Calc!AX263</f>
        <v>311.85970316610002</v>
      </c>
      <c r="Q263" s="178">
        <f>Calc!BC263</f>
        <v>19.603759748799096</v>
      </c>
      <c r="R263" s="174">
        <f>Calc!BD263</f>
        <v>128.59095249960302</v>
      </c>
      <c r="S263" s="15">
        <f>Input!E263</f>
        <v>0</v>
      </c>
      <c r="T263" s="68"/>
    </row>
    <row r="264" spans="1:20" x14ac:dyDescent="0.2">
      <c r="A264" s="68">
        <f>Input!A264</f>
        <v>11148</v>
      </c>
      <c r="B264" s="68" t="str">
        <f>Input!B264</f>
        <v>E4-42</v>
      </c>
      <c r="C264" s="175">
        <f>Calc!O264*1000</f>
        <v>623.63587036954436</v>
      </c>
      <c r="D264" s="175">
        <f>Calc!P264*1000</f>
        <v>3.2706674033980122E-2</v>
      </c>
      <c r="E264" s="175">
        <f>Calc!X264</f>
        <v>1.368865110022546</v>
      </c>
      <c r="F264" s="175">
        <f>Calc!Y264</f>
        <v>2.5535313184145369E-3</v>
      </c>
      <c r="G264" s="175">
        <f>Calc!AN264</f>
        <v>2.0693584471365677E-2</v>
      </c>
      <c r="H264" s="71">
        <f>Calc!AO264</f>
        <v>1.756977487445233E-4</v>
      </c>
      <c r="I264" s="70">
        <f>Calc!AH264</f>
        <v>28.848119620859215</v>
      </c>
      <c r="J264" s="70">
        <f>Calc!AI264</f>
        <v>0.25077092568743414</v>
      </c>
      <c r="K264" s="70">
        <f>Calc!AJ264</f>
        <v>7.4788590962289181</v>
      </c>
      <c r="L264" s="70">
        <f>Calc!AK264</f>
        <v>1.267579768964832</v>
      </c>
      <c r="M264" s="176">
        <f>Calc!AP264</f>
        <v>2.2631000000000001</v>
      </c>
      <c r="N264" s="176">
        <f>Calc!AQ264</f>
        <v>2.0199999999999999E-2</v>
      </c>
      <c r="O264" s="176">
        <f>Calc!AW264</f>
        <v>2.2046999999999999</v>
      </c>
      <c r="P264" s="176">
        <f>Calc!AY264</f>
        <v>3.5197700040737682E-2</v>
      </c>
      <c r="Q264" s="177">
        <f>Calc!BC264</f>
        <v>7.5255360862325702</v>
      </c>
      <c r="R264" s="176">
        <f>Calc!BD264</f>
        <v>1.2754911957790005</v>
      </c>
      <c r="S264" s="70">
        <f>Input!E264</f>
        <v>42</v>
      </c>
      <c r="T264" s="68"/>
    </row>
    <row r="265" spans="1:20" x14ac:dyDescent="0.2">
      <c r="A265" s="13">
        <f>Input!A265</f>
        <v>10815</v>
      </c>
      <c r="B265" s="13" t="str">
        <f>Input!B265</f>
        <v>Hu1-13</v>
      </c>
      <c r="C265" s="172">
        <f>Calc!O265*1000</f>
        <v>13702.317981235863</v>
      </c>
      <c r="D265" s="172">
        <f>Calc!P265*1000</f>
        <v>1.5865061220429517</v>
      </c>
      <c r="E265" s="172">
        <f>Calc!X265</f>
        <v>0.82487134914173821</v>
      </c>
      <c r="F265" s="172">
        <f>Calc!Y265</f>
        <v>5.0463595819042724E-3</v>
      </c>
      <c r="G265" s="172">
        <f>Calc!AN265</f>
        <v>1.0004535937335968</v>
      </c>
      <c r="H265" s="173">
        <f>Calc!AO265</f>
        <v>2.9209566046532191E-3</v>
      </c>
      <c r="I265" s="15">
        <f>Calc!AH265</f>
        <v>50791.214816196145</v>
      </c>
      <c r="J265" s="15">
        <f>Calc!AI265</f>
        <v>344.2496299986733</v>
      </c>
      <c r="K265" s="15">
        <f>Calc!AJ265</f>
        <v>1.7186797261918851</v>
      </c>
      <c r="L265" s="15">
        <f>Calc!AK265</f>
        <v>2.3970595218323107</v>
      </c>
      <c r="M265" s="174">
        <f>Calc!AP265</f>
        <v>677.92100000000005</v>
      </c>
      <c r="N265" s="174" t="e">
        <f>Calc!AQ265</f>
        <v>#VALUE!</v>
      </c>
      <c r="O265" s="174">
        <f>Calc!AW265</f>
        <v>677.9194</v>
      </c>
      <c r="P265" s="174">
        <f>Calc!AX265</f>
        <v>320.97374889780002</v>
      </c>
      <c r="Q265" s="178">
        <f>Calc!BC265</f>
        <v>11.642772683433874</v>
      </c>
      <c r="R265" s="174">
        <f>Calc!BD265</f>
        <v>18.068476076095184</v>
      </c>
      <c r="S265" s="15">
        <f>Input!E265</f>
        <v>0</v>
      </c>
      <c r="T265" s="68"/>
    </row>
    <row r="266" spans="1:20" x14ac:dyDescent="0.2">
      <c r="A266" s="68">
        <f>Input!A266</f>
        <v>11149</v>
      </c>
      <c r="B266" s="68" t="str">
        <f>Input!B266</f>
        <v>E4-43,5</v>
      </c>
      <c r="C266" s="175">
        <f>Calc!O266*1000</f>
        <v>666.47417636194268</v>
      </c>
      <c r="D266" s="175">
        <f>Calc!P266*1000</f>
        <v>3.958941263619864E-2</v>
      </c>
      <c r="E266" s="175">
        <f>Calc!X266</f>
        <v>0.43271447033086191</v>
      </c>
      <c r="F266" s="175">
        <f>Calc!Y266</f>
        <v>1.1133876050311053E-3</v>
      </c>
      <c r="G266" s="175">
        <f>Calc!AN266</f>
        <v>1.4684877773421619E-2</v>
      </c>
      <c r="H266" s="71">
        <f>Calc!AO266</f>
        <v>1.3949300844445407E-4</v>
      </c>
      <c r="I266" s="70">
        <f>Calc!AH266</f>
        <v>69.271321573751024</v>
      </c>
      <c r="J266" s="70">
        <f>Calc!AI266</f>
        <v>0.68171466919942991</v>
      </c>
      <c r="K266" s="70">
        <f>Calc!AJ266</f>
        <v>7.9250847461069807</v>
      </c>
      <c r="L266" s="70">
        <f>Calc!AK266</f>
        <v>1.2779004306628297</v>
      </c>
      <c r="M266" s="176">
        <f>Calc!AP266</f>
        <v>1.6004</v>
      </c>
      <c r="N266" s="176">
        <f>Calc!AQ266</f>
        <v>1.55E-2</v>
      </c>
      <c r="O266" s="176">
        <f>Calc!AW266</f>
        <v>1.5831</v>
      </c>
      <c r="P266" s="176">
        <f>Calc!AY266</f>
        <v>1.7714098311750557E-2</v>
      </c>
      <c r="Q266" s="177">
        <f>Calc!BC266</f>
        <v>7.9605700881592227</v>
      </c>
      <c r="R266" s="176">
        <f>Calc!BD266</f>
        <v>1.283622416511057</v>
      </c>
      <c r="S266" s="70">
        <f>Input!E266</f>
        <v>43.5</v>
      </c>
      <c r="T266" s="68"/>
    </row>
    <row r="267" spans="1:20" x14ac:dyDescent="0.2">
      <c r="A267" s="13">
        <f>Input!A267</f>
        <v>10815</v>
      </c>
      <c r="B267" s="13" t="str">
        <f>Input!B267</f>
        <v>Hu1-13</v>
      </c>
      <c r="C267" s="172">
        <f>Calc!O267*1000</f>
        <v>13704.39132967624</v>
      </c>
      <c r="D267" s="172">
        <f>Calc!P267*1000</f>
        <v>2.5206623476705619</v>
      </c>
      <c r="E267" s="172">
        <f>Calc!X267</f>
        <v>0.83069609685322188</v>
      </c>
      <c r="F267" s="172">
        <f>Calc!Y267</f>
        <v>4.6071838577948611E-3</v>
      </c>
      <c r="G267" s="172">
        <f>Calc!AN267</f>
        <v>1.0037756543483245</v>
      </c>
      <c r="H267" s="173">
        <f>Calc!AO267</f>
        <v>3.5647132830806988E-3</v>
      </c>
      <c r="I267" s="15">
        <f>Calc!AH267</f>
        <v>50610.201785675694</v>
      </c>
      <c r="J267" s="15">
        <f>Calc!AI267</f>
        <v>333.17493681677735</v>
      </c>
      <c r="K267" s="15">
        <f>Calc!AJ267</f>
        <v>-0.38162511954731304</v>
      </c>
      <c r="L267" s="15">
        <f>Calc!AK267</f>
        <v>2.113586899144237</v>
      </c>
      <c r="M267" s="174" t="str">
        <f>Calc!AP267</f>
        <v>Out of range</v>
      </c>
      <c r="N267" s="174" t="e">
        <f>Calc!AQ267</f>
        <v>#VALUE!</v>
      </c>
      <c r="O267" s="174" t="str">
        <f>Calc!AW267</f>
        <v>Out of range</v>
      </c>
      <c r="P267" s="174">
        <f>Calc!AX267</f>
        <v>258.24491861199999</v>
      </c>
      <c r="Q267" s="178" t="e">
        <f>Calc!BC267</f>
        <v>#VALUE!</v>
      </c>
      <c r="R267" s="174" t="e">
        <f>Calc!BD267</f>
        <v>#VALUE!</v>
      </c>
      <c r="S267" s="15">
        <f>Input!E267</f>
        <v>0</v>
      </c>
      <c r="T267" s="68"/>
    </row>
    <row r="268" spans="1:20" x14ac:dyDescent="0.2">
      <c r="A268" s="68">
        <f>Input!A268</f>
        <v>11150</v>
      </c>
      <c r="B268" s="68" t="str">
        <f>Input!B268</f>
        <v>E4-44,5</v>
      </c>
      <c r="C268" s="175">
        <f>Calc!O268*1000</f>
        <v>603.99923460013201</v>
      </c>
      <c r="D268" s="175">
        <f>Calc!P268*1000</f>
        <v>3.8785006066188815E-2</v>
      </c>
      <c r="E268" s="175">
        <f>Calc!X268</f>
        <v>0.12721657296392905</v>
      </c>
      <c r="F268" s="175">
        <f>Calc!Y268</f>
        <v>2.8799841266393647E-4</v>
      </c>
      <c r="G268" s="175">
        <f>Calc!AN268</f>
        <v>1.3562138799513745E-2</v>
      </c>
      <c r="H268" s="71">
        <f>Calc!AO268</f>
        <v>1.1510077273890052E-4</v>
      </c>
      <c r="I268" s="70">
        <f>Calc!AH268</f>
        <v>197.53377717372231</v>
      </c>
      <c r="J268" s="70">
        <f>Calc!AI268</f>
        <v>1.7350242694638072</v>
      </c>
      <c r="K268" s="70">
        <f>Calc!AJ268</f>
        <v>6.6786310025903628</v>
      </c>
      <c r="L268" s="70">
        <f>Calc!AK268</f>
        <v>1.38959303942916</v>
      </c>
      <c r="M268" s="176">
        <f>Calc!AP268</f>
        <v>1.4790000000000001</v>
      </c>
      <c r="N268" s="176">
        <f>Calc!AQ268</f>
        <v>1.21E-2</v>
      </c>
      <c r="O268" s="176">
        <f>Calc!AW268</f>
        <v>1.4734</v>
      </c>
      <c r="P268" s="176">
        <f>Calc!AY268</f>
        <v>1.312334597226862E-2</v>
      </c>
      <c r="Q268" s="177">
        <f>Calc!BC268</f>
        <v>6.7064587193228968</v>
      </c>
      <c r="R268" s="176">
        <f>Calc!BD268</f>
        <v>1.3953830507486809</v>
      </c>
      <c r="S268" s="70">
        <f>Input!E268</f>
        <v>44.5</v>
      </c>
      <c r="T268" s="68"/>
    </row>
    <row r="269" spans="1:20" x14ac:dyDescent="0.2">
      <c r="A269" s="13">
        <f>Input!A269</f>
        <v>10815</v>
      </c>
      <c r="B269" s="13" t="str">
        <f>Input!B269</f>
        <v>Hu1-13</v>
      </c>
      <c r="C269" s="172">
        <f>Calc!O269*1000</f>
        <v>13704.39132967624</v>
      </c>
      <c r="D269" s="172">
        <f>Calc!P269*1000</f>
        <v>2.5206623476705619</v>
      </c>
      <c r="E269" s="172">
        <f>Calc!X269</f>
        <v>0.83069609685322188</v>
      </c>
      <c r="F269" s="172">
        <f>Calc!Y269</f>
        <v>4.6071838577948611E-3</v>
      </c>
      <c r="G269" s="172">
        <f>Calc!AN269</f>
        <v>1.0037756543483245</v>
      </c>
      <c r="H269" s="173">
        <f>Calc!AO269</f>
        <v>3.5647132830806988E-3</v>
      </c>
      <c r="I269" s="15">
        <f>Calc!AH269</f>
        <v>50610.201785675694</v>
      </c>
      <c r="J269" s="15">
        <f>Calc!AI269</f>
        <v>333.17493681677735</v>
      </c>
      <c r="K269" s="15">
        <f>Calc!AJ269</f>
        <v>-0.38162511954731304</v>
      </c>
      <c r="L269" s="15">
        <f>Calc!AK269</f>
        <v>2.113586899144237</v>
      </c>
      <c r="M269" s="174" t="str">
        <f>Calc!AP269</f>
        <v>Out of range</v>
      </c>
      <c r="N269" s="174" t="e">
        <f>Calc!AQ269</f>
        <v>#VALUE!</v>
      </c>
      <c r="O269" s="174" t="str">
        <f>Calc!AW269</f>
        <v>Out of range</v>
      </c>
      <c r="P269" s="174">
        <f>Calc!AX269</f>
        <v>247.4512365242</v>
      </c>
      <c r="Q269" s="178" t="e">
        <f>Calc!BC269</f>
        <v>#VALUE!</v>
      </c>
      <c r="R269" s="174" t="e">
        <f>Calc!BD269</f>
        <v>#VALUE!</v>
      </c>
      <c r="S269" s="15">
        <f>Input!E269</f>
        <v>0</v>
      </c>
      <c r="T269" s="68"/>
    </row>
    <row r="270" spans="1:20" ht="13.5" customHeight="1" x14ac:dyDescent="0.2">
      <c r="H270" s="75"/>
    </row>
    <row r="271" spans="1:20" x14ac:dyDescent="0.2">
      <c r="A271" s="13">
        <f>Input!A271</f>
        <v>10815</v>
      </c>
      <c r="B271" s="13" t="str">
        <f>Input!B271</f>
        <v>Hu1-13</v>
      </c>
      <c r="C271" s="172">
        <f>Calc!O271*1000</f>
        <v>13703.579704630502</v>
      </c>
      <c r="D271" s="172">
        <f>Calc!P271*1000</f>
        <v>2.3807920253946677</v>
      </c>
      <c r="E271" s="172">
        <f>Calc!X271</f>
        <v>0.83263307999810365</v>
      </c>
      <c r="F271" s="172">
        <f>Calc!Y271</f>
        <v>5.6081424701633961E-3</v>
      </c>
      <c r="G271" s="172">
        <f>Calc!AN271</f>
        <v>0.99690067656561987</v>
      </c>
      <c r="H271" s="173">
        <f>Calc!AO271</f>
        <v>4.2976355117130636E-3</v>
      </c>
      <c r="I271" s="15">
        <f>Calc!AH271</f>
        <v>50143.666803169064</v>
      </c>
      <c r="J271" s="15">
        <f>Calc!AI271</f>
        <v>400.90021935852531</v>
      </c>
      <c r="K271" s="15">
        <f>Calc!AJ271</f>
        <v>-1.8949009746705991</v>
      </c>
      <c r="L271" s="15">
        <f>Calc!AK271</f>
        <v>2.4470296636141171</v>
      </c>
      <c r="M271" s="174">
        <f>Calc!AP271</f>
        <v>860.59130000000005</v>
      </c>
      <c r="N271" s="174" t="e">
        <f>Calc!AQ271</f>
        <v>#VALUE!</v>
      </c>
      <c r="O271" s="174">
        <f>Calc!AW271</f>
        <v>860.58960000000002</v>
      </c>
      <c r="P271" s="174">
        <f>Calc!AX271</f>
        <v>321.7096936122</v>
      </c>
      <c r="Q271" s="178">
        <f>Calc!BC271</f>
        <v>-21.494607025258087</v>
      </c>
      <c r="R271" s="174">
        <f>Calc!BD271</f>
        <v>103.3770521257255</v>
      </c>
      <c r="S271" s="15">
        <f>Input!E271</f>
        <v>0</v>
      </c>
      <c r="T271" s="68"/>
    </row>
    <row r="272" spans="1:20" x14ac:dyDescent="0.2">
      <c r="A272" s="68">
        <f>Input!A272</f>
        <v>11152</v>
      </c>
      <c r="B272" s="68" t="str">
        <f>Input!B272</f>
        <v>E4-19,5</v>
      </c>
      <c r="C272" s="175">
        <f>Calc!O272*1000</f>
        <v>1645.7827141471314</v>
      </c>
      <c r="D272" s="175">
        <f>Calc!P272*1000</f>
        <v>0.10180040393875098</v>
      </c>
      <c r="E272" s="175">
        <f>Calc!X272</f>
        <v>15.556268050663933</v>
      </c>
      <c r="F272" s="175">
        <f>Calc!Y272</f>
        <v>4.5545701514468677E-2</v>
      </c>
      <c r="G272" s="175">
        <f>Calc!AN272</f>
        <v>3.1765568006428505E-2</v>
      </c>
      <c r="H272" s="71">
        <f>Calc!AO272</f>
        <v>1.8633381183639849E-4</v>
      </c>
      <c r="I272" s="70">
        <f>Calc!AH272</f>
        <v>10.258958224329415</v>
      </c>
      <c r="J272" s="70">
        <f>Calc!AI272</f>
        <v>6.725453593593729E-2</v>
      </c>
      <c r="K272" s="70">
        <f>Calc!AJ272</f>
        <v>8.5738229021103951</v>
      </c>
      <c r="L272" s="70">
        <f>Calc!AK272</f>
        <v>0.81177064455544168</v>
      </c>
      <c r="M272" s="176">
        <f>Calc!AP272</f>
        <v>3.4895</v>
      </c>
      <c r="N272" s="176">
        <f>Calc!AQ272</f>
        <v>1.9699999999999999E-2</v>
      </c>
      <c r="O272" s="176">
        <f>Calc!AW272</f>
        <v>3.2385000000000002</v>
      </c>
      <c r="P272" s="176">
        <f>Calc!AY272</f>
        <v>0.12759144044185583</v>
      </c>
      <c r="Q272" s="177">
        <f>Calc!BC272</f>
        <v>8.6525402992961542</v>
      </c>
      <c r="R272" s="176">
        <f>Calc!BD272</f>
        <v>0.81922954193600817</v>
      </c>
      <c r="S272" s="70">
        <f>Input!E272</f>
        <v>19.5</v>
      </c>
      <c r="T272" s="68"/>
    </row>
    <row r="273" spans="1:20" x14ac:dyDescent="0.2">
      <c r="A273" s="13">
        <f>Input!A273</f>
        <v>10815</v>
      </c>
      <c r="B273" s="13" t="str">
        <f>Input!B273</f>
        <v>Hu1-13</v>
      </c>
      <c r="C273" s="172">
        <f>Calc!O273*1000</f>
        <v>13701.908583913098</v>
      </c>
      <c r="D273" s="172">
        <f>Calc!P273*1000</f>
        <v>1.9494988285180872</v>
      </c>
      <c r="E273" s="172">
        <f>Calc!X273</f>
        <v>0.82723664604733027</v>
      </c>
      <c r="F273" s="172">
        <f>Calc!Y273</f>
        <v>9.0106054007560183E-3</v>
      </c>
      <c r="G273" s="172">
        <f>Calc!AN273</f>
        <v>1.0007784125384924</v>
      </c>
      <c r="H273" s="173">
        <f>Calc!AO273</f>
        <v>4.7532651851904424E-3</v>
      </c>
      <c r="I273" s="15">
        <f>Calc!AH273</f>
        <v>50660.91839579412</v>
      </c>
      <c r="J273" s="15">
        <f>Calc!AI273</f>
        <v>601.95505408292695</v>
      </c>
      <c r="K273" s="15">
        <f>Calc!AJ273</f>
        <v>0.75929345226954936</v>
      </c>
      <c r="L273" s="15">
        <f>Calc!AK273</f>
        <v>2.5119377838270922</v>
      </c>
      <c r="M273" s="174">
        <f>Calc!AP273</f>
        <v>879.50649999999996</v>
      </c>
      <c r="N273" s="174" t="e">
        <f>Calc!AQ273</f>
        <v>#VALUE!</v>
      </c>
      <c r="O273" s="174">
        <f>Calc!AW273</f>
        <v>879.50490000000002</v>
      </c>
      <c r="P273" s="174">
        <f>Calc!AX273</f>
        <v>322.81223339249999</v>
      </c>
      <c r="Q273" s="178">
        <f>Calc!BC273</f>
        <v>9.0852175889765547</v>
      </c>
      <c r="R273" s="174">
        <f>Calc!BD273</f>
        <v>60.205110707959541</v>
      </c>
      <c r="S273" s="15">
        <f>Input!E273</f>
        <v>0</v>
      </c>
      <c r="T273" s="68"/>
    </row>
    <row r="274" spans="1:20" x14ac:dyDescent="0.2">
      <c r="A274" s="68">
        <f>Input!A274</f>
        <v>11153</v>
      </c>
      <c r="B274" s="68" t="str">
        <f>Input!B274</f>
        <v>E4-20,5</v>
      </c>
      <c r="C274" s="175">
        <f>Calc!O274*1000</f>
        <v>1326.145077515253</v>
      </c>
      <c r="D274" s="175">
        <f>Calc!P274*1000</f>
        <v>6.1873439040143377E-2</v>
      </c>
      <c r="E274" s="175">
        <f>Calc!X274</f>
        <v>3.566933924798203</v>
      </c>
      <c r="F274" s="175">
        <f>Calc!Y274</f>
        <v>8.7431082045934701E-3</v>
      </c>
      <c r="G274" s="175">
        <f>Calc!AN274</f>
        <v>1.5743274975218588E-2</v>
      </c>
      <c r="H274" s="71">
        <f>Calc!AO274</f>
        <v>1.0044263851239145E-4</v>
      </c>
      <c r="I274" s="70">
        <f>Calc!AH274</f>
        <v>17.867793273385811</v>
      </c>
      <c r="J274" s="70">
        <f>Calc!AI274</f>
        <v>0.12211800198710503</v>
      </c>
      <c r="K274" s="70">
        <f>Calc!AJ274</f>
        <v>7.9569229127947061</v>
      </c>
      <c r="L274" s="70">
        <f>Calc!AK274</f>
        <v>0.80752231553028297</v>
      </c>
      <c r="M274" s="176">
        <f>Calc!AP274</f>
        <v>1.7165999999999999</v>
      </c>
      <c r="N274" s="176">
        <f>Calc!AQ274</f>
        <v>1.06E-2</v>
      </c>
      <c r="O274" s="176">
        <f>Calc!AW274</f>
        <v>1.6452</v>
      </c>
      <c r="P274" s="176">
        <f>Calc!AY274</f>
        <v>3.746870500443715E-2</v>
      </c>
      <c r="Q274" s="177">
        <f>Calc!BC274</f>
        <v>7.9939516300336964</v>
      </c>
      <c r="R274" s="176">
        <f>Calc!BD274</f>
        <v>0.81128068036493861</v>
      </c>
      <c r="S274" s="70">
        <f>Input!E274</f>
        <v>20.5</v>
      </c>
      <c r="T274" s="68"/>
    </row>
    <row r="275" spans="1:20" x14ac:dyDescent="0.2">
      <c r="A275" s="13">
        <f>Input!A275</f>
        <v>10815</v>
      </c>
      <c r="B275" s="13" t="str">
        <f>Input!B275</f>
        <v>Hu1-13</v>
      </c>
      <c r="C275" s="172">
        <f>Calc!O275*1000</f>
        <v>13702.659255128852</v>
      </c>
      <c r="D275" s="172">
        <f>Calc!P275*1000</f>
        <v>2.4519301026108034</v>
      </c>
      <c r="E275" s="172">
        <f>Calc!X275</f>
        <v>0.83296286078442094</v>
      </c>
      <c r="F275" s="172">
        <f>Calc!Y275</f>
        <v>4.8945532394674938E-3</v>
      </c>
      <c r="G275" s="172">
        <f>Calc!AN275</f>
        <v>0.99690209214615566</v>
      </c>
      <c r="H275" s="173">
        <f>Calc!AO275</f>
        <v>3.5426749468723969E-3</v>
      </c>
      <c r="I275" s="15">
        <f>Calc!AH275</f>
        <v>50120.518702413923</v>
      </c>
      <c r="J275" s="15">
        <f>Calc!AI275</f>
        <v>344.06530351263694</v>
      </c>
      <c r="K275" s="15">
        <f>Calc!AJ275</f>
        <v>-2.2970642917656825</v>
      </c>
      <c r="L275" s="15">
        <f>Calc!AK275</f>
        <v>2.0226722137449755</v>
      </c>
      <c r="M275" s="174" t="str">
        <f>Calc!AP275</f>
        <v>Out of range</v>
      </c>
      <c r="N275" s="174" t="e">
        <f>Calc!AQ275</f>
        <v>#VALUE!</v>
      </c>
      <c r="O275" s="174" t="str">
        <f>Calc!AW275</f>
        <v>Out of range</v>
      </c>
      <c r="P275" s="174">
        <f>Calc!AX275</f>
        <v>316.23702241889998</v>
      </c>
      <c r="Q275" s="178" t="e">
        <f>Calc!BC275</f>
        <v>#VALUE!</v>
      </c>
      <c r="R275" s="174" t="e">
        <f>Calc!BD275</f>
        <v>#VALUE!</v>
      </c>
      <c r="S275" s="15">
        <f>Input!E275</f>
        <v>0</v>
      </c>
      <c r="T275" s="68"/>
    </row>
    <row r="276" spans="1:20" x14ac:dyDescent="0.2">
      <c r="A276" s="68">
        <f>Input!A276</f>
        <v>11154</v>
      </c>
      <c r="B276" s="68" t="str">
        <f>Input!B276</f>
        <v>E4-21,5</v>
      </c>
      <c r="C276" s="175">
        <f>Calc!O276*1000</f>
        <v>997.12718022602405</v>
      </c>
      <c r="D276" s="175">
        <f>Calc!P276*1000</f>
        <v>5.6713466234135188E-2</v>
      </c>
      <c r="E276" s="175">
        <f>Calc!X276</f>
        <v>9.345420622965305</v>
      </c>
      <c r="F276" s="175">
        <f>Calc!Y276</f>
        <v>2.2354452820340889E-2</v>
      </c>
      <c r="G276" s="175">
        <f>Calc!AN276</f>
        <v>3.2284877680447084E-2</v>
      </c>
      <c r="H276" s="71">
        <f>Calc!AO276</f>
        <v>1.6500644953807117E-4</v>
      </c>
      <c r="I276" s="70">
        <f>Calc!AH276</f>
        <v>10.508282368211233</v>
      </c>
      <c r="J276" s="70">
        <f>Calc!AI276</f>
        <v>5.9295362887436948E-2</v>
      </c>
      <c r="K276" s="70">
        <f>Calc!AJ276</f>
        <v>7.3580025841444296</v>
      </c>
      <c r="L276" s="70">
        <f>Calc!AK276</f>
        <v>0.76720988936299839</v>
      </c>
      <c r="M276" s="176">
        <f>Calc!AP276</f>
        <v>3.5518999999999998</v>
      </c>
      <c r="N276" s="176">
        <f>Calc!AQ276</f>
        <v>1.9599999999999999E-2</v>
      </c>
      <c r="O276" s="176">
        <f>Calc!AW276</f>
        <v>3.3027000000000002</v>
      </c>
      <c r="P276" s="176">
        <f>Calc!AY276</f>
        <v>0.12632268574845443</v>
      </c>
      <c r="Q276" s="177">
        <f>Calc!BC276</f>
        <v>7.426902831407534</v>
      </c>
      <c r="R276" s="176">
        <f>Calc!BD276</f>
        <v>0.77439855952366077</v>
      </c>
      <c r="S276" s="70">
        <f>Input!E276</f>
        <v>21.5</v>
      </c>
      <c r="T276" s="68"/>
    </row>
    <row r="277" spans="1:20" x14ac:dyDescent="0.2">
      <c r="A277" s="13">
        <f>Input!A277</f>
        <v>10815</v>
      </c>
      <c r="B277" s="13" t="str">
        <f>Input!B277</f>
        <v>Hu1-13</v>
      </c>
      <c r="C277" s="172">
        <f>Calc!O277*1000</f>
        <v>13702.129275628209</v>
      </c>
      <c r="D277" s="172">
        <f>Calc!P277*1000</f>
        <v>2.0825271446999776</v>
      </c>
      <c r="E277" s="172">
        <f>Calc!X277</f>
        <v>0.82052939032188044</v>
      </c>
      <c r="F277" s="172">
        <f>Calc!Y277</f>
        <v>6.206355392377105E-3</v>
      </c>
      <c r="G277" s="172">
        <f>Calc!AN277</f>
        <v>0.99940363979441627</v>
      </c>
      <c r="H277" s="173">
        <f>Calc!AO277</f>
        <v>3.6617335899554225E-3</v>
      </c>
      <c r="I277" s="15">
        <f>Calc!AH277</f>
        <v>51005.695649504378</v>
      </c>
      <c r="J277" s="15">
        <f>Calc!AI277</f>
        <v>428.60847861534671</v>
      </c>
      <c r="K277" s="15">
        <f>Calc!AJ277</f>
        <v>1.67815830773832</v>
      </c>
      <c r="L277" s="15">
        <f>Calc!AK277</f>
        <v>2.4513297896383635</v>
      </c>
      <c r="M277" s="174">
        <f>Calc!AP277</f>
        <v>634.29190000000006</v>
      </c>
      <c r="N277" s="174" t="e">
        <f>Calc!AQ277</f>
        <v>#VALUE!</v>
      </c>
      <c r="O277" s="174">
        <f>Calc!AW277</f>
        <v>634.2903</v>
      </c>
      <c r="P277" s="174">
        <f>Calc!AX277</f>
        <v>288.14039931169998</v>
      </c>
      <c r="Q277" s="178">
        <f>Calc!BC277</f>
        <v>10.051302526387744</v>
      </c>
      <c r="R277" s="174">
        <f>Calc!BD277</f>
        <v>15.563298315293965</v>
      </c>
      <c r="S277" s="15">
        <f>Input!E277</f>
        <v>0</v>
      </c>
      <c r="T277" s="68"/>
    </row>
    <row r="278" spans="1:20" x14ac:dyDescent="0.2">
      <c r="A278" s="68">
        <f>Input!A278</f>
        <v>11155</v>
      </c>
      <c r="B278" s="68" t="str">
        <f>Input!B278</f>
        <v>E4-23</v>
      </c>
      <c r="C278" s="175">
        <f>Calc!O278*1000</f>
        <v>869.9208346175202</v>
      </c>
      <c r="D278" s="175">
        <f>Calc!P278*1000</f>
        <v>4.0906722623791927E-2</v>
      </c>
      <c r="E278" s="175">
        <f>Calc!X278</f>
        <v>3.7197678616418348</v>
      </c>
      <c r="F278" s="175">
        <f>Calc!Y278</f>
        <v>9.2047823388631562E-3</v>
      </c>
      <c r="G278" s="175">
        <f>Calc!AN278</f>
        <v>1.7910002461961828E-2</v>
      </c>
      <c r="H278" s="71">
        <f>Calc!AO278</f>
        <v>1.4375307898801854E-4</v>
      </c>
      <c r="I278" s="70">
        <f>Calc!AH278</f>
        <v>12.822046584816112</v>
      </c>
      <c r="J278" s="70">
        <f>Calc!AI278</f>
        <v>0.10769338769429687</v>
      </c>
      <c r="K278" s="70">
        <f>Calc!AJ278</f>
        <v>7.294093100018495</v>
      </c>
      <c r="L278" s="70">
        <f>Calc!AK278</f>
        <v>1.1076691365439524</v>
      </c>
      <c r="M278" s="176">
        <f>Calc!AP278</f>
        <v>1.9562999999999999</v>
      </c>
      <c r="N278" s="176">
        <f>Calc!AQ278</f>
        <v>1.5800000000000002E-2</v>
      </c>
      <c r="O278" s="176">
        <f>Calc!AW278</f>
        <v>1.8426</v>
      </c>
      <c r="P278" s="176">
        <f>Calc!AY278</f>
        <v>5.9140081255814346E-2</v>
      </c>
      <c r="Q278" s="177">
        <f>Calc!BC278</f>
        <v>7.3321206417326472</v>
      </c>
      <c r="R278" s="176">
        <f>Calc!BD278</f>
        <v>1.1134446097381216</v>
      </c>
      <c r="S278" s="70">
        <f>Input!E278</f>
        <v>23</v>
      </c>
      <c r="T278" s="68"/>
    </row>
    <row r="279" spans="1:20" x14ac:dyDescent="0.2">
      <c r="A279" s="13">
        <f>Input!A279</f>
        <v>10815</v>
      </c>
      <c r="B279" s="13" t="str">
        <f>Input!B279</f>
        <v>Hu1-13</v>
      </c>
      <c r="C279" s="172">
        <f>Calc!O279*1000</f>
        <v>13700.683724314174</v>
      </c>
      <c r="D279" s="172">
        <f>Calc!P279*1000</f>
        <v>2.1668680128791036</v>
      </c>
      <c r="E279" s="172">
        <f>Calc!X279</f>
        <v>0.82792103454054189</v>
      </c>
      <c r="F279" s="172">
        <f>Calc!Y279</f>
        <v>4.3157928760586221E-3</v>
      </c>
      <c r="G279" s="172">
        <f>Calc!AN279</f>
        <v>1.0038870691554995</v>
      </c>
      <c r="H279" s="173">
        <f>Calc!AO279</f>
        <v>2.7626154620010524E-3</v>
      </c>
      <c r="I279" s="15">
        <f>Calc!AH279</f>
        <v>50771.736067579383</v>
      </c>
      <c r="J279" s="15">
        <f>Calc!AI279</f>
        <v>299.1717931953886</v>
      </c>
      <c r="K279" s="15">
        <f>Calc!AJ279</f>
        <v>-8.1387249407094409E-2</v>
      </c>
      <c r="L279" s="15">
        <f>Calc!AK279</f>
        <v>2.098080290349384</v>
      </c>
      <c r="M279" s="174" t="str">
        <f>Calc!AP279</f>
        <v>Out of range</v>
      </c>
      <c r="N279" s="174" t="e">
        <f>Calc!AQ279</f>
        <v>#VALUE!</v>
      </c>
      <c r="O279" s="174" t="str">
        <f>Calc!AW279</f>
        <v>Out of range</v>
      </c>
      <c r="P279" s="174">
        <f>Calc!AX279</f>
        <v>216.19437584830001</v>
      </c>
      <c r="Q279" s="178" t="e">
        <f>Calc!BC279</f>
        <v>#VALUE!</v>
      </c>
      <c r="R279" s="174" t="e">
        <f>Calc!BD279</f>
        <v>#VALUE!</v>
      </c>
      <c r="S279" s="15">
        <f>Input!E279</f>
        <v>0</v>
      </c>
      <c r="T279" s="68"/>
    </row>
    <row r="280" spans="1:20" x14ac:dyDescent="0.2">
      <c r="A280" s="68">
        <f>Input!A280</f>
        <v>11156</v>
      </c>
      <c r="B280" s="68" t="str">
        <f>Input!B280</f>
        <v>E4-24,5</v>
      </c>
      <c r="C280" s="175">
        <f>Calc!O280*1000</f>
        <v>885.34443237644382</v>
      </c>
      <c r="D280" s="175">
        <f>Calc!P280*1000</f>
        <v>5.1692880323856681E-2</v>
      </c>
      <c r="E280" s="175">
        <f>Calc!X280</f>
        <v>7.5918688711338262</v>
      </c>
      <c r="F280" s="175">
        <f>Calc!Y280</f>
        <v>1.9497346760785208E-2</v>
      </c>
      <c r="G280" s="175">
        <f>Calc!AN280</f>
        <v>3.9758610219520332E-2</v>
      </c>
      <c r="H280" s="71">
        <f>Calc!AO280</f>
        <v>2.4009270919768505E-4</v>
      </c>
      <c r="I280" s="70">
        <f>Calc!AH280</f>
        <v>14.174888478086842</v>
      </c>
      <c r="J280" s="70">
        <f>Calc!AI280</f>
        <v>9.3014495209503306E-2</v>
      </c>
      <c r="K280" s="70">
        <f>Calc!AJ280</f>
        <v>8.0617902720725443</v>
      </c>
      <c r="L280" s="70">
        <f>Calc!AK280</f>
        <v>1.0714996672310149</v>
      </c>
      <c r="M280" s="176">
        <f>Calc!AP280</f>
        <v>4.3876999999999997</v>
      </c>
      <c r="N280" s="176">
        <f>Calc!AQ280</f>
        <v>2.75E-2</v>
      </c>
      <c r="O280" s="176">
        <f>Calc!AW280</f>
        <v>4.1599000000000004</v>
      </c>
      <c r="P280" s="176">
        <f>Calc!AY280</f>
        <v>0.11745692165261096</v>
      </c>
      <c r="Q280" s="177">
        <f>Calc!BC280</f>
        <v>8.15698925766762</v>
      </c>
      <c r="R280" s="176">
        <f>Calc!BD280</f>
        <v>1.0841560200503484</v>
      </c>
      <c r="S280" s="70">
        <f>Input!E280</f>
        <v>24.5</v>
      </c>
      <c r="T280" s="68"/>
    </row>
    <row r="281" spans="1:20" x14ac:dyDescent="0.2">
      <c r="A281" s="13">
        <f>Input!A281</f>
        <v>10815</v>
      </c>
      <c r="B281" s="13" t="str">
        <f>Input!B281</f>
        <v>Hu1-13</v>
      </c>
      <c r="C281" s="172">
        <f>Calc!O281*1000</f>
        <v>13703.882464312452</v>
      </c>
      <c r="D281" s="172">
        <f>Calc!P281*1000</f>
        <v>2.5041735606974012</v>
      </c>
      <c r="E281" s="172">
        <f>Calc!X281</f>
        <v>0.82054062949133855</v>
      </c>
      <c r="F281" s="172">
        <f>Calc!Y281</f>
        <v>5.1157640865828339E-3</v>
      </c>
      <c r="G281" s="172">
        <f>Calc!AN281</f>
        <v>0.99676266096511745</v>
      </c>
      <c r="H281" s="173">
        <f>Calc!AO281</f>
        <v>3.493121153311051E-3</v>
      </c>
      <c r="I281" s="15">
        <f>Calc!AH281</f>
        <v>50876.722362166889</v>
      </c>
      <c r="J281" s="15">
        <f>Calc!AI281</f>
        <v>363.75417556589321</v>
      </c>
      <c r="K281" s="15">
        <f>Calc!AJ281</f>
        <v>-0.16350378619656158</v>
      </c>
      <c r="L281" s="15">
        <f>Calc!AK281</f>
        <v>2.7089792761315135</v>
      </c>
      <c r="M281" s="174">
        <f>Calc!AP281</f>
        <v>633.26260000000002</v>
      </c>
      <c r="N281" s="174" t="e">
        <f>Calc!AQ281</f>
        <v>#VALUE!</v>
      </c>
      <c r="O281" s="174">
        <f>Calc!AW281</f>
        <v>633.26089999999999</v>
      </c>
      <c r="P281" s="174">
        <f>Calc!AX281</f>
        <v>293.20992946479998</v>
      </c>
      <c r="Q281" s="178">
        <f>Calc!BC281</f>
        <v>-0.97646255425920669</v>
      </c>
      <c r="R281" s="174">
        <f>Calc!BD281</f>
        <v>16.186566655375724</v>
      </c>
      <c r="S281" s="15">
        <f>Input!E281</f>
        <v>0</v>
      </c>
      <c r="T281" s="68"/>
    </row>
    <row r="282" spans="1:20" x14ac:dyDescent="0.2">
      <c r="A282" s="68">
        <f>Input!A282</f>
        <v>11157</v>
      </c>
      <c r="B282" s="68" t="str">
        <f>Input!B282</f>
        <v>E4-25,5</v>
      </c>
      <c r="C282" s="175">
        <f>Calc!O282*1000</f>
        <v>740.46641656752729</v>
      </c>
      <c r="D282" s="175">
        <f>Calc!P282*1000</f>
        <v>3.7957185874685981E-2</v>
      </c>
      <c r="E282" s="175">
        <f>Calc!X282</f>
        <v>1.8062105136852062</v>
      </c>
      <c r="F282" s="175">
        <f>Calc!Y282</f>
        <v>3.2560412117628164E-3</v>
      </c>
      <c r="G282" s="175">
        <f>Calc!AN282</f>
        <v>1.7054706279276334E-2</v>
      </c>
      <c r="H282" s="71">
        <f>Calc!AO282</f>
        <v>1.5514684416974167E-4</v>
      </c>
      <c r="I282" s="70">
        <f>Calc!AH282</f>
        <v>21.378004887316216</v>
      </c>
      <c r="J282" s="70">
        <f>Calc!AI282</f>
        <v>0.19825454237325504</v>
      </c>
      <c r="K282" s="70">
        <f>Calc!AJ282</f>
        <v>7.8644770370699391</v>
      </c>
      <c r="L282" s="70">
        <f>Calc!AK282</f>
        <v>1.0893101870065458</v>
      </c>
      <c r="M282" s="176">
        <f>Calc!AP282</f>
        <v>1.861</v>
      </c>
      <c r="N282" s="176">
        <f>Calc!AQ282</f>
        <v>1.6899999999999998E-2</v>
      </c>
      <c r="O282" s="176">
        <f>Calc!AW282</f>
        <v>1.7962</v>
      </c>
      <c r="P282" s="176">
        <f>Calc!AY282</f>
        <v>3.672818935231012E-2</v>
      </c>
      <c r="Q282" s="177">
        <f>Calc!BC282</f>
        <v>7.9044431549252332</v>
      </c>
      <c r="R282" s="176">
        <f>Calc!BD282</f>
        <v>1.0948462080169674</v>
      </c>
      <c r="S282" s="70">
        <f>Input!E282</f>
        <v>25.5</v>
      </c>
      <c r="T282" s="68"/>
    </row>
    <row r="283" spans="1:20" x14ac:dyDescent="0.2">
      <c r="A283" s="13">
        <f>Input!A283</f>
        <v>10815</v>
      </c>
      <c r="B283" s="13" t="str">
        <f>Input!B283</f>
        <v>Hu1-13</v>
      </c>
      <c r="C283" s="172">
        <f>Calc!O283*1000</f>
        <v>13699.145935651713</v>
      </c>
      <c r="D283" s="172">
        <f>Calc!P283*1000</f>
        <v>2.1816927645710726</v>
      </c>
      <c r="E283" s="172">
        <f>Calc!X283</f>
        <v>0.82248752014761684</v>
      </c>
      <c r="F283" s="172">
        <f>Calc!Y283</f>
        <v>6.0447049274110218E-3</v>
      </c>
      <c r="G283" s="172">
        <f>Calc!AN283</f>
        <v>1.0041682526592974</v>
      </c>
      <c r="H283" s="173">
        <f>Calc!AO283</f>
        <v>3.0295473507834683E-3</v>
      </c>
      <c r="I283" s="15">
        <f>Calc!AH283</f>
        <v>51115.721027284155</v>
      </c>
      <c r="J283" s="15">
        <f>Calc!AI283</f>
        <v>406.00467849209457</v>
      </c>
      <c r="K283" s="15">
        <f>Calc!AJ283</f>
        <v>2.2258681306528416</v>
      </c>
      <c r="L283" s="15">
        <f>Calc!AK283</f>
        <v>2.394644747765629</v>
      </c>
      <c r="M283" s="174" t="str">
        <f>Calc!AP283</f>
        <v>Out of range</v>
      </c>
      <c r="N283" s="174" t="e">
        <f>Calc!AQ283</f>
        <v>#VALUE!</v>
      </c>
      <c r="O283" s="174" t="str">
        <f>Calc!AW283</f>
        <v>Out of range</v>
      </c>
      <c r="P283" s="174">
        <f>Calc!AX283</f>
        <v>332.08093213749999</v>
      </c>
      <c r="Q283" s="178" t="e">
        <f>Calc!BC283</f>
        <v>#VALUE!</v>
      </c>
      <c r="R283" s="174" t="e">
        <f>Calc!BD283</f>
        <v>#VALUE!</v>
      </c>
      <c r="S283" s="15">
        <f>Input!E283</f>
        <v>0</v>
      </c>
      <c r="T283" s="68"/>
    </row>
    <row r="284" spans="1:20" ht="13.5" customHeight="1" x14ac:dyDescent="0.2">
      <c r="H284" s="75"/>
    </row>
    <row r="285" spans="1:20" x14ac:dyDescent="0.2">
      <c r="A285" s="13">
        <f>Input!A285</f>
        <v>10815</v>
      </c>
      <c r="B285" s="13" t="str">
        <f>Input!B285</f>
        <v>Hu1-13</v>
      </c>
      <c r="C285" s="172">
        <f>Calc!O285*1000</f>
        <v>13700.632100925401</v>
      </c>
      <c r="D285" s="172">
        <f>Calc!P285*1000</f>
        <v>1.9077159858007899</v>
      </c>
      <c r="E285" s="172">
        <f>Calc!X285</f>
        <v>0.82456077755126</v>
      </c>
      <c r="F285" s="172">
        <f>Calc!Y285</f>
        <v>5.3002753440814961E-3</v>
      </c>
      <c r="G285" s="172">
        <f>Calc!AN285</f>
        <v>0.99526475673541537</v>
      </c>
      <c r="H285" s="173">
        <f>Calc!AO285</f>
        <v>4.8871448301916268E-3</v>
      </c>
      <c r="I285" s="15">
        <f>Calc!AH285</f>
        <v>50540.599223760611</v>
      </c>
      <c r="J285" s="15">
        <f>Calc!AI285</f>
        <v>408.75995266120765</v>
      </c>
      <c r="K285" s="15">
        <f>Calc!AJ285</f>
        <v>0.70991215827853615</v>
      </c>
      <c r="L285" s="15">
        <f>Calc!AK285</f>
        <v>2.5656676041480981</v>
      </c>
      <c r="M285" s="174">
        <f>Calc!AP285</f>
        <v>562.85990000000004</v>
      </c>
      <c r="N285" s="174" t="e">
        <f>Calc!AQ285</f>
        <v>#VALUE!</v>
      </c>
      <c r="O285" s="174">
        <f>Calc!AW285</f>
        <v>562.85829999999999</v>
      </c>
      <c r="P285" s="174">
        <f>Calc!AX285</f>
        <v>238.7856233787</v>
      </c>
      <c r="Q285" s="178">
        <f>Calc!BC285</f>
        <v>3.4757346153051776</v>
      </c>
      <c r="R285" s="174">
        <f>Calc!BD285</f>
        <v>12.611609791534505</v>
      </c>
      <c r="S285" s="15">
        <f>Input!E285</f>
        <v>0</v>
      </c>
      <c r="T285" s="68"/>
    </row>
    <row r="286" spans="1:20" x14ac:dyDescent="0.2">
      <c r="A286" s="68">
        <f>Input!A286</f>
        <v>11158</v>
      </c>
      <c r="B286" s="68" t="str">
        <f>Input!B286</f>
        <v>E4-29,5</v>
      </c>
      <c r="C286" s="175">
        <f>Calc!O286*1000</f>
        <v>823.41535927652535</v>
      </c>
      <c r="D286" s="175">
        <f>Calc!P286*1000</f>
        <v>3.4437410290214202E-2</v>
      </c>
      <c r="E286" s="175">
        <f>Calc!X286</f>
        <v>0.89540053870315484</v>
      </c>
      <c r="F286" s="175">
        <f>Calc!Y286</f>
        <v>2.264308388076387E-3</v>
      </c>
      <c r="G286" s="175">
        <f>Calc!AN286</f>
        <v>1.4822311523246028E-2</v>
      </c>
      <c r="H286" s="71">
        <f>Calc!AO286</f>
        <v>1.3431704233699278E-4</v>
      </c>
      <c r="I286" s="70">
        <f>Calc!AH286</f>
        <v>41.505310969800163</v>
      </c>
      <c r="J286" s="70">
        <f>Calc!AI286</f>
        <v>0.39048023279052235</v>
      </c>
      <c r="K286" s="70">
        <f>Calc!AJ286</f>
        <v>6.1021754172183584</v>
      </c>
      <c r="L286" s="70">
        <f>Calc!AK286</f>
        <v>0.6915694056257502</v>
      </c>
      <c r="M286" s="176">
        <f>Calc!AP286</f>
        <v>1.6184000000000001</v>
      </c>
      <c r="N286" s="176">
        <f>Calc!AQ286</f>
        <v>1.5900000000000001E-2</v>
      </c>
      <c r="O286" s="176">
        <f>Calc!AW286</f>
        <v>1.5894999999999999</v>
      </c>
      <c r="P286" s="176">
        <f>Calc!AY286</f>
        <v>2.0735125386156343E-2</v>
      </c>
      <c r="Q286" s="177">
        <f>Calc!BC286</f>
        <v>6.1296092114635323</v>
      </c>
      <c r="R286" s="176">
        <f>Calc!BD286</f>
        <v>0.69467861447781798</v>
      </c>
      <c r="S286" s="70">
        <f>Input!E286</f>
        <v>29.5</v>
      </c>
      <c r="T286" s="68"/>
    </row>
    <row r="287" spans="1:20" x14ac:dyDescent="0.2">
      <c r="A287" s="13">
        <f>Input!A287</f>
        <v>10815</v>
      </c>
      <c r="B287" s="13" t="str">
        <f>Input!B287</f>
        <v>Hu1-13</v>
      </c>
      <c r="C287" s="172">
        <f>Calc!O287*1000</f>
        <v>13703.145078759757</v>
      </c>
      <c r="D287" s="172">
        <f>Calc!P287*1000</f>
        <v>1.7636804472249201</v>
      </c>
      <c r="E287" s="172">
        <f>Calc!X287</f>
        <v>0.84839174745458013</v>
      </c>
      <c r="F287" s="172">
        <f>Calc!Y287</f>
        <v>4.0976649821448047E-3</v>
      </c>
      <c r="G287" s="172">
        <f>Calc!AN287</f>
        <v>0.99739105168079223</v>
      </c>
      <c r="H287" s="173">
        <f>Calc!AO287</f>
        <v>3.0941768884296408E-3</v>
      </c>
      <c r="I287" s="15">
        <f>Calc!AH287</f>
        <v>49234.906459743244</v>
      </c>
      <c r="J287" s="15">
        <f>Calc!AI287</f>
        <v>282.55711898865297</v>
      </c>
      <c r="K287" s="15">
        <f>Calc!AJ287</f>
        <v>-0.15975125918943345</v>
      </c>
      <c r="L287" s="15">
        <f>Calc!AK287</f>
        <v>2.0530580193888368</v>
      </c>
      <c r="M287" s="174">
        <f>Calc!AP287</f>
        <v>658.62580000000003</v>
      </c>
      <c r="N287" s="174" t="e">
        <f>Calc!AQ287</f>
        <v>#VALUE!</v>
      </c>
      <c r="O287" s="174">
        <f>Calc!AW287</f>
        <v>658.6241</v>
      </c>
      <c r="P287" s="174">
        <f>Calc!AX287</f>
        <v>314.03711797490001</v>
      </c>
      <c r="Q287" s="178">
        <f>Calc!BC287</f>
        <v>-1.0248429938648667</v>
      </c>
      <c r="R287" s="174">
        <f>Calc!BD287</f>
        <v>13.182776976366837</v>
      </c>
      <c r="S287" s="15">
        <f>Input!E287</f>
        <v>0</v>
      </c>
      <c r="T287" s="68"/>
    </row>
    <row r="288" spans="1:20" x14ac:dyDescent="0.2">
      <c r="A288" s="68">
        <f>Input!A288</f>
        <v>11159</v>
      </c>
      <c r="B288" s="68" t="str">
        <f>Input!B288</f>
        <v>E4-49</v>
      </c>
      <c r="C288" s="175">
        <f>Calc!O288*1000</f>
        <v>715.46317152915992</v>
      </c>
      <c r="D288" s="175">
        <f>Calc!P288*1000</f>
        <v>4.1740355873555929E-2</v>
      </c>
      <c r="E288" s="175">
        <f>Calc!X288</f>
        <v>0.12727262485637733</v>
      </c>
      <c r="F288" s="175">
        <f>Calc!Y288</f>
        <v>3.07819032967102E-4</v>
      </c>
      <c r="G288" s="175">
        <f>Calc!AN288</f>
        <v>1.3629032328281996E-2</v>
      </c>
      <c r="H288" s="71">
        <f>Calc!AO288</f>
        <v>1.429499429320516E-4</v>
      </c>
      <c r="I288" s="70">
        <f>Calc!AH288</f>
        <v>233.98692850911516</v>
      </c>
      <c r="J288" s="70">
        <f>Calc!AI288</f>
        <v>2.5185688898231597</v>
      </c>
      <c r="K288" s="70">
        <f>Calc!AJ288</f>
        <v>5.905858121862062</v>
      </c>
      <c r="L288" s="70">
        <f>Calc!AK288</f>
        <v>1.1742687056170109</v>
      </c>
      <c r="M288" s="176">
        <f>Calc!AP288</f>
        <v>1.4875</v>
      </c>
      <c r="N288" s="176">
        <f>Calc!AQ288</f>
        <v>1.6199999999999999E-2</v>
      </c>
      <c r="O288" s="176">
        <f>Calc!AW288</f>
        <v>1.4827999999999999</v>
      </c>
      <c r="P288" s="176">
        <f>Calc!AY288</f>
        <v>1.6003618417521299E-2</v>
      </c>
      <c r="Q288" s="177">
        <f>Calc!BC288</f>
        <v>5.9306232631760887</v>
      </c>
      <c r="R288" s="176">
        <f>Calc!BD288</f>
        <v>1.1791928181658613</v>
      </c>
      <c r="S288" s="70">
        <f>Input!E288</f>
        <v>49</v>
      </c>
      <c r="T288" s="68"/>
    </row>
    <row r="289" spans="1:20" x14ac:dyDescent="0.2">
      <c r="A289" s="13">
        <f>Input!A289</f>
        <v>10815</v>
      </c>
      <c r="B289" s="13" t="str">
        <f>Input!B289</f>
        <v>Hu1-13</v>
      </c>
      <c r="C289" s="172">
        <f>Calc!O289*1000</f>
        <v>13698.333834475266</v>
      </c>
      <c r="D289" s="172">
        <f>Calc!P289*1000</f>
        <v>1.6750987013704233</v>
      </c>
      <c r="E289" s="172">
        <f>Calc!X289</f>
        <v>0.84805386559178186</v>
      </c>
      <c r="F289" s="172">
        <f>Calc!Y289</f>
        <v>5.326485243090243E-3</v>
      </c>
      <c r="G289" s="172">
        <f>Calc!AN289</f>
        <v>1.0011839871403982</v>
      </c>
      <c r="H289" s="173">
        <f>Calc!AO289</f>
        <v>3.1852159257675094E-3</v>
      </c>
      <c r="I289" s="15">
        <f>Calc!AH289</f>
        <v>49424.471267888257</v>
      </c>
      <c r="J289" s="15">
        <f>Calc!AI289</f>
        <v>347.92699132893677</v>
      </c>
      <c r="K289" s="15">
        <f>Calc!AJ289</f>
        <v>-0.26973112626016427</v>
      </c>
      <c r="L289" s="15">
        <f>Calc!AK289</f>
        <v>1.8660831846914672</v>
      </c>
      <c r="M289" s="174" t="str">
        <f>Calc!AP289</f>
        <v>Out of range</v>
      </c>
      <c r="N289" s="174" t="e">
        <f>Calc!AQ289</f>
        <v>#VALUE!</v>
      </c>
      <c r="O289" s="174" t="str">
        <f>Calc!AW289</f>
        <v>Out of range</v>
      </c>
      <c r="P289" s="174">
        <f>Calc!AX289</f>
        <v>300.78841484470001</v>
      </c>
      <c r="Q289" s="178" t="e">
        <f>Calc!BC289</f>
        <v>#VALUE!</v>
      </c>
      <c r="R289" s="174" t="e">
        <f>Calc!BD289</f>
        <v>#VALUE!</v>
      </c>
      <c r="S289" s="15">
        <f>Input!E289</f>
        <v>0</v>
      </c>
      <c r="T289" s="68"/>
    </row>
    <row r="290" spans="1:20" x14ac:dyDescent="0.2">
      <c r="A290" s="68">
        <f>Input!A290</f>
        <v>11160</v>
      </c>
      <c r="B290" s="68" t="str">
        <f>Input!B290</f>
        <v>E4-47,5</v>
      </c>
      <c r="C290" s="175">
        <f>Calc!O290*1000</f>
        <v>635.87051211751964</v>
      </c>
      <c r="D290" s="175">
        <f>Calc!P290*1000</f>
        <v>2.4794222394248243E-2</v>
      </c>
      <c r="E290" s="175">
        <f>Calc!X290</f>
        <v>0.33406673376660678</v>
      </c>
      <c r="F290" s="175">
        <f>Calc!Y290</f>
        <v>6.6308178624282317E-4</v>
      </c>
      <c r="G290" s="175">
        <f>Calc!AN290</f>
        <v>1.4389359766073414E-2</v>
      </c>
      <c r="H290" s="71">
        <f>Calc!AO290</f>
        <v>1.0596838800732248E-4</v>
      </c>
      <c r="I290" s="70">
        <f>Calc!AH290</f>
        <v>83.672074242189126</v>
      </c>
      <c r="J290" s="70">
        <f>Calc!AI290</f>
        <v>0.63817158367761262</v>
      </c>
      <c r="K290" s="70">
        <f>Calc!AJ290</f>
        <v>6.2602065694816744</v>
      </c>
      <c r="L290" s="70">
        <f>Calc!AK290</f>
        <v>0.8887876958189368</v>
      </c>
      <c r="M290" s="176">
        <f>Calc!AP290</f>
        <v>1.5706</v>
      </c>
      <c r="N290" s="176">
        <f>Calc!AQ290</f>
        <v>1.1900000000000001E-2</v>
      </c>
      <c r="O290" s="176">
        <f>Calc!AW290</f>
        <v>1.5566</v>
      </c>
      <c r="P290" s="176">
        <f>Calc!AY290</f>
        <v>1.3673412306920469E-2</v>
      </c>
      <c r="Q290" s="177">
        <f>Calc!BC290</f>
        <v>6.2877670110057755</v>
      </c>
      <c r="R290" s="176">
        <f>Calc!BD290</f>
        <v>0.8927005998831562</v>
      </c>
      <c r="S290" s="70">
        <f>Input!E290</f>
        <v>47.5</v>
      </c>
      <c r="T290" s="68"/>
    </row>
    <row r="291" spans="1:20" x14ac:dyDescent="0.2">
      <c r="A291" s="13">
        <f>Input!A291</f>
        <v>10815</v>
      </c>
      <c r="B291" s="13" t="str">
        <f>Input!B291</f>
        <v>Hu1-13</v>
      </c>
      <c r="C291" s="172">
        <f>Calc!O291*1000</f>
        <v>13697.185711004431</v>
      </c>
      <c r="D291" s="172">
        <f>Calc!P291*1000</f>
        <v>1.8074395635812985</v>
      </c>
      <c r="E291" s="172">
        <f>Calc!X291</f>
        <v>0.84229233206417531</v>
      </c>
      <c r="F291" s="172">
        <f>Calc!Y291</f>
        <v>3.380405028692089E-3</v>
      </c>
      <c r="G291" s="172">
        <f>Calc!AN291</f>
        <v>0.99798624355163135</v>
      </c>
      <c r="H291" s="173">
        <f>Calc!AO291</f>
        <v>3.0206391807484612E-3</v>
      </c>
      <c r="I291" s="15">
        <f>Calc!AH291</f>
        <v>49599.452345122809</v>
      </c>
      <c r="J291" s="15">
        <f>Calc!AI291</f>
        <v>249.23713046922251</v>
      </c>
      <c r="K291" s="15">
        <f>Calc!AJ291</f>
        <v>-0.5674324349694837</v>
      </c>
      <c r="L291" s="15">
        <f>Calc!AK291</f>
        <v>1.8452502453199313</v>
      </c>
      <c r="M291" s="174">
        <f>Calc!AP291</f>
        <v>733.20759999999996</v>
      </c>
      <c r="N291" s="174" t="e">
        <f>Calc!AQ291</f>
        <v>#VALUE!</v>
      </c>
      <c r="O291" s="174">
        <f>Calc!AW291</f>
        <v>733.20590000000004</v>
      </c>
      <c r="P291" s="174">
        <f>Calc!AX291</f>
        <v>327.5962717969</v>
      </c>
      <c r="Q291" s="178">
        <f>Calc!BC291</f>
        <v>-4.4929857034271174</v>
      </c>
      <c r="R291" s="174">
        <f>Calc!BD291</f>
        <v>15.31835527862188</v>
      </c>
      <c r="S291" s="15">
        <f>Input!E291</f>
        <v>0</v>
      </c>
      <c r="T291" s="68"/>
    </row>
    <row r="292" spans="1:20" x14ac:dyDescent="0.2">
      <c r="A292" s="68">
        <f>Input!A292</f>
        <v>11161</v>
      </c>
      <c r="B292" s="68" t="str">
        <f>Input!B292</f>
        <v>E4-46</v>
      </c>
      <c r="C292" s="175">
        <f>Calc!O292*1000</f>
        <v>659.71145228015666</v>
      </c>
      <c r="D292" s="175">
        <f>Calc!P292*1000</f>
        <v>2.8862941382773382E-2</v>
      </c>
      <c r="E292" s="175">
        <f>Calc!X292</f>
        <v>0.25560279971724365</v>
      </c>
      <c r="F292" s="175">
        <f>Calc!Y292</f>
        <v>5.6235443241465469E-4</v>
      </c>
      <c r="G292" s="175">
        <f>Calc!AN292</f>
        <v>1.4318375545741023E-2</v>
      </c>
      <c r="H292" s="71">
        <f>Calc!AO292</f>
        <v>1.3162947502788554E-4</v>
      </c>
      <c r="I292" s="70">
        <f>Calc!AH292</f>
        <v>112.71729291646962</v>
      </c>
      <c r="J292" s="70">
        <f>Calc!AI292</f>
        <v>1.0654655667840336</v>
      </c>
      <c r="K292" s="70">
        <f>Calc!AJ292</f>
        <v>7.320363794792728</v>
      </c>
      <c r="L292" s="70">
        <f>Calc!AK292</f>
        <v>1.1452572410069235</v>
      </c>
      <c r="M292" s="176">
        <f>Calc!AP292</f>
        <v>1.5610999999999999</v>
      </c>
      <c r="N292" s="176">
        <f>Calc!AQ292</f>
        <v>1.37E-2</v>
      </c>
      <c r="O292" s="176">
        <f>Calc!AW292</f>
        <v>1.5508</v>
      </c>
      <c r="P292" s="176">
        <f>Calc!AY292</f>
        <v>1.5467013681081113E-2</v>
      </c>
      <c r="Q292" s="177">
        <f>Calc!BC292</f>
        <v>7.3524712126840077</v>
      </c>
      <c r="R292" s="176">
        <f>Calc!BD292</f>
        <v>1.1502804313273669</v>
      </c>
      <c r="S292" s="70">
        <f>Input!E292</f>
        <v>46</v>
      </c>
      <c r="T292" s="68"/>
    </row>
    <row r="293" spans="1:20" x14ac:dyDescent="0.2">
      <c r="A293" s="13">
        <f>Input!A293</f>
        <v>10815</v>
      </c>
      <c r="B293" s="13" t="str">
        <f>Input!B293</f>
        <v>Hu1-13</v>
      </c>
      <c r="C293" s="172">
        <f>Calc!O293*1000</f>
        <v>13697.185711004431</v>
      </c>
      <c r="D293" s="172">
        <f>Calc!P293*1000</f>
        <v>1.8074395635812985</v>
      </c>
      <c r="E293" s="172">
        <f>Calc!X293</f>
        <v>0.84229233206417531</v>
      </c>
      <c r="F293" s="172">
        <f>Calc!Y293</f>
        <v>3.380405028692089E-3</v>
      </c>
      <c r="G293" s="172">
        <f>Calc!AN293</f>
        <v>0.99798624355163135</v>
      </c>
      <c r="H293" s="173">
        <f>Calc!AO293</f>
        <v>3.0206391807484612E-3</v>
      </c>
      <c r="I293" s="15">
        <f>Calc!AH293</f>
        <v>49599.452345122809</v>
      </c>
      <c r="J293" s="15">
        <f>Calc!AI293</f>
        <v>249.23713046922251</v>
      </c>
      <c r="K293" s="15">
        <f>Calc!AJ293</f>
        <v>-0.5674324349694837</v>
      </c>
      <c r="L293" s="15">
        <f>Calc!AK293</f>
        <v>1.8452502453199313</v>
      </c>
      <c r="M293" s="174">
        <f>Calc!AP293</f>
        <v>733.20759999999996</v>
      </c>
      <c r="N293" s="174" t="e">
        <f>Calc!AQ293</f>
        <v>#VALUE!</v>
      </c>
      <c r="O293" s="174">
        <f>Calc!AW293</f>
        <v>733.20590000000004</v>
      </c>
      <c r="P293" s="174">
        <f>Calc!AX293</f>
        <v>336.32682112190002</v>
      </c>
      <c r="Q293" s="178">
        <f>Calc!BC293</f>
        <v>-4.4929857034271174</v>
      </c>
      <c r="R293" s="174">
        <f>Calc!BD293</f>
        <v>15.31835527862188</v>
      </c>
      <c r="S293" s="15">
        <f>Input!E293</f>
        <v>0</v>
      </c>
      <c r="T293" s="68"/>
    </row>
    <row r="294" spans="1:20" ht="13.5" customHeight="1" x14ac:dyDescent="0.2">
      <c r="H294" s="75"/>
    </row>
    <row r="295" spans="1:20" ht="13.5" customHeight="1" x14ac:dyDescent="0.2">
      <c r="H295" s="75"/>
    </row>
    <row r="296" spans="1:20" ht="13.5" customHeight="1" x14ac:dyDescent="0.2">
      <c r="H296" s="75"/>
    </row>
    <row r="297" spans="1:20" ht="13.5" customHeight="1" x14ac:dyDescent="0.2">
      <c r="H297" s="75"/>
    </row>
    <row r="298" spans="1:20" ht="13.5" customHeight="1" x14ac:dyDescent="0.2">
      <c r="H298" s="75"/>
    </row>
    <row r="299" spans="1:20" ht="13.5" customHeight="1" x14ac:dyDescent="0.2">
      <c r="H299" s="75"/>
    </row>
    <row r="300" spans="1:20" ht="13.5" customHeight="1" x14ac:dyDescent="0.2">
      <c r="H300" s="75"/>
    </row>
    <row r="301" spans="1:20" ht="13.5" customHeight="1" x14ac:dyDescent="0.2"/>
    <row r="302" spans="1:20" ht="13.5" customHeight="1" x14ac:dyDescent="0.2">
      <c r="H302" s="75"/>
    </row>
    <row r="303" spans="1:20" ht="13.5" customHeight="1" x14ac:dyDescent="0.2">
      <c r="H303" s="75"/>
    </row>
    <row r="304" spans="1:20" ht="13.5" customHeight="1" x14ac:dyDescent="0.2">
      <c r="H304" s="75"/>
    </row>
    <row r="305" spans="8:8" ht="13.5" customHeight="1" x14ac:dyDescent="0.2"/>
    <row r="306" spans="8:8" ht="13.5" customHeight="1" x14ac:dyDescent="0.2">
      <c r="H306" s="75"/>
    </row>
    <row r="307" spans="8:8" ht="13.5" customHeight="1" x14ac:dyDescent="0.2">
      <c r="H307" s="75"/>
    </row>
    <row r="308" spans="8:8" ht="13.5" customHeight="1" x14ac:dyDescent="0.2">
      <c r="H308" s="75"/>
    </row>
    <row r="309" spans="8:8" ht="13.5" customHeight="1" x14ac:dyDescent="0.2">
      <c r="H309" s="75"/>
    </row>
    <row r="310" spans="8:8" ht="13.5" customHeight="1" x14ac:dyDescent="0.2">
      <c r="H310" s="75"/>
    </row>
    <row r="311" spans="8:8" ht="13.5" customHeight="1" x14ac:dyDescent="0.2">
      <c r="H311" s="75"/>
    </row>
    <row r="312" spans="8:8" ht="13.5" customHeight="1" x14ac:dyDescent="0.2">
      <c r="H312" s="75"/>
    </row>
    <row r="313" spans="8:8" ht="13.5" customHeight="1" x14ac:dyDescent="0.2"/>
    <row r="314" spans="8:8" ht="13.5" customHeight="1" x14ac:dyDescent="0.2">
      <c r="H314" s="75"/>
    </row>
    <row r="315" spans="8:8" ht="13.5" customHeight="1" x14ac:dyDescent="0.2">
      <c r="H315" s="75"/>
    </row>
    <row r="316" spans="8:8" ht="13.5" customHeight="1" x14ac:dyDescent="0.2">
      <c r="H316" s="75"/>
    </row>
    <row r="317" spans="8:8" ht="13.5" customHeight="1" x14ac:dyDescent="0.2"/>
    <row r="318" spans="8:8" ht="13.5" customHeight="1" x14ac:dyDescent="0.2">
      <c r="H318" s="75"/>
    </row>
    <row r="319" spans="8:8" ht="13.5" customHeight="1" x14ac:dyDescent="0.2">
      <c r="H319" s="75"/>
    </row>
    <row r="320" spans="8:8" ht="13.5" customHeight="1" x14ac:dyDescent="0.2">
      <c r="H320" s="75"/>
    </row>
    <row r="321" spans="8:8" ht="13.5" customHeight="1" x14ac:dyDescent="0.2">
      <c r="H321" s="75"/>
    </row>
    <row r="322" spans="8:8" ht="13.5" customHeight="1" x14ac:dyDescent="0.2">
      <c r="H322" s="75"/>
    </row>
    <row r="323" spans="8:8" ht="13.5" customHeight="1" x14ac:dyDescent="0.2">
      <c r="H323" s="75"/>
    </row>
    <row r="324" spans="8:8" ht="13.5" customHeight="1" x14ac:dyDescent="0.2">
      <c r="H324" s="75"/>
    </row>
    <row r="325" spans="8:8" ht="13.5" customHeight="1" x14ac:dyDescent="0.2"/>
    <row r="326" spans="8:8" ht="13.5" customHeight="1" x14ac:dyDescent="0.2">
      <c r="H326" s="75"/>
    </row>
    <row r="327" spans="8:8" ht="13.5" customHeight="1" x14ac:dyDescent="0.2">
      <c r="H327" s="75"/>
    </row>
    <row r="328" spans="8:8" ht="13.5" customHeight="1" x14ac:dyDescent="0.2">
      <c r="H328" s="75"/>
    </row>
    <row r="329" spans="8:8" ht="13.5" customHeight="1" x14ac:dyDescent="0.2"/>
    <row r="330" spans="8:8" ht="13.5" customHeight="1" x14ac:dyDescent="0.2">
      <c r="H330" s="75"/>
    </row>
    <row r="331" spans="8:8" ht="13.5" customHeight="1" x14ac:dyDescent="0.2">
      <c r="H331" s="75"/>
    </row>
    <row r="332" spans="8:8" ht="13.5" customHeight="1" x14ac:dyDescent="0.2">
      <c r="H332" s="75"/>
    </row>
    <row r="333" spans="8:8" ht="13.5" customHeight="1" x14ac:dyDescent="0.2">
      <c r="H333" s="75"/>
    </row>
    <row r="334" spans="8:8" ht="13.5" customHeight="1" x14ac:dyDescent="0.2">
      <c r="H334" s="75"/>
    </row>
    <row r="335" spans="8:8" ht="13.5" customHeight="1" x14ac:dyDescent="0.2">
      <c r="H335" s="75"/>
    </row>
    <row r="336" spans="8:8" ht="13.5" customHeight="1" x14ac:dyDescent="0.2">
      <c r="H336" s="75"/>
    </row>
    <row r="337" spans="8:8" ht="13.5" customHeight="1" x14ac:dyDescent="0.2"/>
    <row r="338" spans="8:8" ht="13.5" customHeight="1" x14ac:dyDescent="0.2">
      <c r="H338" s="75"/>
    </row>
    <row r="339" spans="8:8" ht="13.5" customHeight="1" x14ac:dyDescent="0.2">
      <c r="H339" s="75"/>
    </row>
    <row r="340" spans="8:8" ht="13.5" customHeight="1" x14ac:dyDescent="0.2">
      <c r="H340" s="75"/>
    </row>
    <row r="341" spans="8:8" ht="13.5" customHeight="1" x14ac:dyDescent="0.2"/>
    <row r="342" spans="8:8" ht="13.5" customHeight="1" x14ac:dyDescent="0.2">
      <c r="H342" s="75"/>
    </row>
    <row r="343" spans="8:8" ht="13.5" customHeight="1" x14ac:dyDescent="0.2">
      <c r="H343" s="75"/>
    </row>
    <row r="344" spans="8:8" ht="13.5" customHeight="1" x14ac:dyDescent="0.2">
      <c r="H344" s="75"/>
    </row>
    <row r="345" spans="8:8" ht="13.5" customHeight="1" x14ac:dyDescent="0.2">
      <c r="H345" s="75"/>
    </row>
    <row r="346" spans="8:8" ht="13.5" customHeight="1" x14ac:dyDescent="0.2">
      <c r="H346" s="75"/>
    </row>
    <row r="347" spans="8:8" ht="13.5" customHeight="1" x14ac:dyDescent="0.2">
      <c r="H347" s="75"/>
    </row>
    <row r="348" spans="8:8" ht="13.5" customHeight="1" x14ac:dyDescent="0.2">
      <c r="H348" s="75"/>
    </row>
    <row r="352" spans="8:8" ht="13.5" customHeight="1" x14ac:dyDescent="0.2">
      <c r="H352" s="75"/>
    </row>
    <row r="353" spans="8:8" ht="13.5" customHeight="1" x14ac:dyDescent="0.2">
      <c r="H353" s="75"/>
    </row>
    <row r="354" spans="8:8" ht="13.5" customHeight="1" x14ac:dyDescent="0.2">
      <c r="H354" s="75"/>
    </row>
    <row r="355" spans="8:8" ht="13.5" customHeight="1" x14ac:dyDescent="0.2">
      <c r="H355" s="75"/>
    </row>
    <row r="356" spans="8:8" ht="13.5" customHeight="1" x14ac:dyDescent="0.2">
      <c r="H356" s="75"/>
    </row>
    <row r="357" spans="8:8" ht="13.5" customHeight="1" x14ac:dyDescent="0.2">
      <c r="H357" s="75"/>
    </row>
    <row r="358" spans="8:8" ht="13.5" customHeight="1" x14ac:dyDescent="0.2">
      <c r="H358" s="75"/>
    </row>
    <row r="360" spans="8:8" ht="13.5" customHeight="1" x14ac:dyDescent="0.2">
      <c r="H360" s="75"/>
    </row>
    <row r="361" spans="8:8" ht="13.5" customHeight="1" x14ac:dyDescent="0.2">
      <c r="H361" s="75"/>
    </row>
    <row r="362" spans="8:8" ht="13.5" customHeight="1" x14ac:dyDescent="0.2">
      <c r="H362" s="75"/>
    </row>
    <row r="363" spans="8:8" ht="13.5" customHeight="1" x14ac:dyDescent="0.2">
      <c r="H363" s="75"/>
    </row>
    <row r="364" spans="8:8" ht="13.5" customHeight="1" x14ac:dyDescent="0.2">
      <c r="H364" s="75"/>
    </row>
    <row r="365" spans="8:8" ht="13.5" customHeight="1" x14ac:dyDescent="0.2">
      <c r="H365" s="75"/>
    </row>
    <row r="366" spans="8:8" ht="13.5" customHeight="1" x14ac:dyDescent="0.2">
      <c r="H366" s="75"/>
    </row>
    <row r="367" spans="8:8" ht="13.5" customHeight="1" x14ac:dyDescent="0.2">
      <c r="H367" s="75"/>
    </row>
    <row r="368" spans="8:8" ht="13.5" customHeight="1" x14ac:dyDescent="0.2">
      <c r="H368" s="75"/>
    </row>
    <row r="369" spans="8:8" ht="13.5" customHeight="1" x14ac:dyDescent="0.2">
      <c r="H369" s="75"/>
    </row>
    <row r="370" spans="8:8" ht="13.5" customHeight="1" x14ac:dyDescent="0.2">
      <c r="H370" s="75"/>
    </row>
    <row r="371" spans="8:8" ht="13.5" customHeight="1" x14ac:dyDescent="0.2">
      <c r="H371" s="75"/>
    </row>
    <row r="372" spans="8:8" ht="13.5" customHeight="1" x14ac:dyDescent="0.2">
      <c r="H372" s="75"/>
    </row>
    <row r="374" spans="8:8" ht="13.5" customHeight="1" x14ac:dyDescent="0.2">
      <c r="H374" s="75"/>
    </row>
    <row r="375" spans="8:8" ht="13.5" customHeight="1" x14ac:dyDescent="0.2">
      <c r="H375" s="75"/>
    </row>
    <row r="376" spans="8:8" ht="13.5" customHeight="1" x14ac:dyDescent="0.2">
      <c r="H376" s="75"/>
    </row>
    <row r="377" spans="8:8" ht="13.5" customHeight="1" x14ac:dyDescent="0.2">
      <c r="H377" s="75"/>
    </row>
    <row r="378" spans="8:8" ht="13.5" customHeight="1" x14ac:dyDescent="0.2">
      <c r="H378" s="75"/>
    </row>
    <row r="379" spans="8:8" ht="13.5" customHeight="1" x14ac:dyDescent="0.2">
      <c r="H379" s="75"/>
    </row>
    <row r="380" spans="8:8" ht="13.5" customHeight="1" x14ac:dyDescent="0.2">
      <c r="H380" s="75"/>
    </row>
    <row r="381" spans="8:8" ht="13.5" customHeight="1" x14ac:dyDescent="0.2">
      <c r="H381" s="75"/>
    </row>
    <row r="382" spans="8:8" ht="13.5" customHeight="1" x14ac:dyDescent="0.2">
      <c r="H382" s="75"/>
    </row>
    <row r="384" spans="8:8" ht="13.5" customHeight="1" x14ac:dyDescent="0.2">
      <c r="H384" s="75"/>
    </row>
    <row r="385" spans="8:8" ht="13.5" customHeight="1" x14ac:dyDescent="0.2">
      <c r="H385" s="75"/>
    </row>
    <row r="386" spans="8:8" ht="13.5" customHeight="1" x14ac:dyDescent="0.2">
      <c r="H386" s="75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2021-06-17T12:15:51Z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