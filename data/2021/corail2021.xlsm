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21\"/>
    </mc:Choice>
  </mc:AlternateContent>
  <bookViews>
    <workbookView xWindow="0" yWindow="0" windowWidth="28800" windowHeight="12435" activeTab="2"/>
  </bookViews>
  <sheets>
    <sheet name="Input" sheetId="3" r:id="rId1"/>
    <sheet name="Calc" sheetId="2" r:id="rId2"/>
    <sheet name="results" sheetId="6" r:id="rId3"/>
    <sheet name="Constants" sheetId="9" r:id="rId4"/>
  </sheets>
  <functionGroups builtInGroupCount="18"/>
  <definedNames>
    <definedName name="_xlnm._FilterDatabase" localSheetId="1" hidden="1">Calc!$A$5:$H$7</definedName>
  </definedNames>
  <calcPr calcId="152511"/>
</workbook>
</file>

<file path=xl/calcChain.xml><?xml version="1.0" encoding="utf-8"?>
<calcChain xmlns="http://schemas.openxmlformats.org/spreadsheetml/2006/main">
  <c r="S299" i="6" l="1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299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298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297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296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295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294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293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292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291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290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289" i="6"/>
  <c r="BB299" i="2"/>
  <c r="BA299" i="2"/>
  <c r="AV299" i="2"/>
  <c r="AD299" i="2"/>
  <c r="AF299" i="2" s="1"/>
  <c r="X299" i="2"/>
  <c r="Z299" i="2" s="1"/>
  <c r="S299" i="2"/>
  <c r="U299" i="2" s="1"/>
  <c r="J299" i="2"/>
  <c r="L299" i="2" s="1"/>
  <c r="M299" i="2" s="1"/>
  <c r="E299" i="2"/>
  <c r="G299" i="2" s="1"/>
  <c r="C299" i="2"/>
  <c r="D299" i="2" s="1"/>
  <c r="B299" i="2"/>
  <c r="A299" i="2"/>
  <c r="BB298" i="2"/>
  <c r="BA298" i="2"/>
  <c r="AV298" i="2"/>
  <c r="AE298" i="2"/>
  <c r="AD298" i="2"/>
  <c r="AF298" i="2" s="1"/>
  <c r="Y298" i="2"/>
  <c r="X298" i="2"/>
  <c r="Z298" i="2" s="1"/>
  <c r="T298" i="2"/>
  <c r="S298" i="2"/>
  <c r="K298" i="2"/>
  <c r="J298" i="2"/>
  <c r="L298" i="2" s="1"/>
  <c r="M298" i="2" s="1"/>
  <c r="F298" i="2"/>
  <c r="E298" i="2"/>
  <c r="G298" i="2" s="1"/>
  <c r="C298" i="2"/>
  <c r="D298" i="2" s="1"/>
  <c r="B298" i="2"/>
  <c r="A298" i="2"/>
  <c r="BB297" i="2"/>
  <c r="BA297" i="2"/>
  <c r="AV297" i="2"/>
  <c r="AF297" i="2"/>
  <c r="AD297" i="2"/>
  <c r="AE297" i="2" s="1"/>
  <c r="Z297" i="2"/>
  <c r="X297" i="2"/>
  <c r="Y297" i="2" s="1"/>
  <c r="U297" i="2"/>
  <c r="AJ297" i="2" s="1"/>
  <c r="S297" i="2"/>
  <c r="T297" i="2" s="1"/>
  <c r="G297" i="2"/>
  <c r="O297" i="2" s="1"/>
  <c r="E297" i="2"/>
  <c r="F297" i="2" s="1"/>
  <c r="C297" i="2"/>
  <c r="J297" i="2" s="1"/>
  <c r="B297" i="2"/>
  <c r="A297" i="2"/>
  <c r="BB296" i="2"/>
  <c r="BA296" i="2"/>
  <c r="AV296" i="2"/>
  <c r="AD296" i="2"/>
  <c r="AF296" i="2" s="1"/>
  <c r="X296" i="2"/>
  <c r="Z296" i="2" s="1"/>
  <c r="S296" i="2"/>
  <c r="J296" i="2"/>
  <c r="L296" i="2" s="1"/>
  <c r="M296" i="2" s="1"/>
  <c r="E296" i="2"/>
  <c r="G296" i="2" s="1"/>
  <c r="D296" i="2"/>
  <c r="C296" i="2"/>
  <c r="B296" i="2"/>
  <c r="A296" i="2"/>
  <c r="BB295" i="2"/>
  <c r="BA295" i="2"/>
  <c r="AV295" i="2"/>
  <c r="AD295" i="2"/>
  <c r="AF295" i="2" s="1"/>
  <c r="X295" i="2"/>
  <c r="Z295" i="2" s="1"/>
  <c r="S295" i="2"/>
  <c r="U295" i="2" s="1"/>
  <c r="J295" i="2"/>
  <c r="L295" i="2" s="1"/>
  <c r="M295" i="2" s="1"/>
  <c r="E295" i="2"/>
  <c r="G295" i="2" s="1"/>
  <c r="C295" i="2"/>
  <c r="D295" i="2" s="1"/>
  <c r="B295" i="2"/>
  <c r="A295" i="2"/>
  <c r="BB294" i="2"/>
  <c r="BA294" i="2"/>
  <c r="AV294" i="2"/>
  <c r="AE294" i="2"/>
  <c r="AD294" i="2"/>
  <c r="AF294" i="2" s="1"/>
  <c r="Y294" i="2"/>
  <c r="X294" i="2"/>
  <c r="Z294" i="2" s="1"/>
  <c r="S294" i="2"/>
  <c r="T294" i="2" s="1"/>
  <c r="J294" i="2"/>
  <c r="K294" i="2" s="1"/>
  <c r="E294" i="2"/>
  <c r="F294" i="2" s="1"/>
  <c r="C294" i="2"/>
  <c r="D294" i="2" s="1"/>
  <c r="B294" i="2"/>
  <c r="A294" i="2"/>
  <c r="BB293" i="2"/>
  <c r="BA293" i="2"/>
  <c r="AV293" i="2"/>
  <c r="AD293" i="2"/>
  <c r="AF293" i="2" s="1"/>
  <c r="X293" i="2"/>
  <c r="Z293" i="2" s="1"/>
  <c r="S293" i="2"/>
  <c r="U293" i="2" s="1"/>
  <c r="J293" i="2"/>
  <c r="L293" i="2" s="1"/>
  <c r="M293" i="2" s="1"/>
  <c r="E293" i="2"/>
  <c r="G293" i="2" s="1"/>
  <c r="D293" i="2"/>
  <c r="C293" i="2"/>
  <c r="B293" i="2"/>
  <c r="A293" i="2"/>
  <c r="BB292" i="2"/>
  <c r="BA292" i="2"/>
  <c r="AV292" i="2"/>
  <c r="AD292" i="2"/>
  <c r="AF292" i="2" s="1"/>
  <c r="X292" i="2"/>
  <c r="Z292" i="2" s="1"/>
  <c r="S292" i="2"/>
  <c r="J292" i="2"/>
  <c r="L292" i="2" s="1"/>
  <c r="M292" i="2" s="1"/>
  <c r="E292" i="2"/>
  <c r="G292" i="2" s="1"/>
  <c r="C292" i="2"/>
  <c r="D292" i="2" s="1"/>
  <c r="B292" i="2"/>
  <c r="A292" i="2"/>
  <c r="BB291" i="2"/>
  <c r="BA291" i="2"/>
  <c r="AV291" i="2"/>
  <c r="AF291" i="2"/>
  <c r="AH291" i="2" s="1"/>
  <c r="AE291" i="2"/>
  <c r="AD291" i="2"/>
  <c r="Z291" i="2"/>
  <c r="AA291" i="2" s="1"/>
  <c r="Y291" i="2"/>
  <c r="X291" i="2"/>
  <c r="U291" i="2"/>
  <c r="V291" i="2" s="1"/>
  <c r="AK291" i="2" s="1"/>
  <c r="T291" i="2"/>
  <c r="S291" i="2"/>
  <c r="G291" i="2"/>
  <c r="O291" i="2" s="1"/>
  <c r="F291" i="2"/>
  <c r="E291" i="2"/>
  <c r="C291" i="2"/>
  <c r="J291" i="2" s="1"/>
  <c r="B291" i="2"/>
  <c r="A291" i="2"/>
  <c r="BB290" i="2"/>
  <c r="BA290" i="2"/>
  <c r="AV290" i="2"/>
  <c r="AF290" i="2"/>
  <c r="AG290" i="2" s="1"/>
  <c r="AD290" i="2"/>
  <c r="AE290" i="2" s="1"/>
  <c r="Z290" i="2"/>
  <c r="X290" i="2"/>
  <c r="Y290" i="2" s="1"/>
  <c r="S290" i="2"/>
  <c r="T290" i="2" s="1"/>
  <c r="G290" i="2"/>
  <c r="H290" i="2" s="1"/>
  <c r="E290" i="2"/>
  <c r="F290" i="2" s="1"/>
  <c r="C290" i="2"/>
  <c r="D290" i="2" s="1"/>
  <c r="B290" i="2"/>
  <c r="A290" i="2"/>
  <c r="BB289" i="2"/>
  <c r="BA289" i="2"/>
  <c r="AV289" i="2"/>
  <c r="AD289" i="2"/>
  <c r="AF289" i="2" s="1"/>
  <c r="X289" i="2"/>
  <c r="Z289" i="2" s="1"/>
  <c r="S289" i="2"/>
  <c r="U289" i="2" s="1"/>
  <c r="J289" i="2"/>
  <c r="L289" i="2" s="1"/>
  <c r="M289" i="2" s="1"/>
  <c r="E289" i="2"/>
  <c r="G289" i="2" s="1"/>
  <c r="D289" i="2"/>
  <c r="C289" i="2"/>
  <c r="B289" i="2"/>
  <c r="A289" i="2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287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286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285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284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283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282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281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280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279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278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277" i="6"/>
  <c r="BB287" i="2"/>
  <c r="BA287" i="2"/>
  <c r="AV287" i="2"/>
  <c r="AE287" i="2"/>
  <c r="AD287" i="2"/>
  <c r="AF287" i="2" s="1"/>
  <c r="Y287" i="2"/>
  <c r="X287" i="2"/>
  <c r="Z287" i="2" s="1"/>
  <c r="T287" i="2"/>
  <c r="S287" i="2"/>
  <c r="U287" i="2" s="1"/>
  <c r="K287" i="2"/>
  <c r="J287" i="2"/>
  <c r="L287" i="2" s="1"/>
  <c r="M287" i="2" s="1"/>
  <c r="F287" i="2"/>
  <c r="E287" i="2"/>
  <c r="G287" i="2" s="1"/>
  <c r="D287" i="2"/>
  <c r="C287" i="2"/>
  <c r="B287" i="2"/>
  <c r="A287" i="2"/>
  <c r="BB286" i="2"/>
  <c r="BA286" i="2"/>
  <c r="AV286" i="2"/>
  <c r="AF286" i="2"/>
  <c r="AE286" i="2"/>
  <c r="AD286" i="2"/>
  <c r="Z286" i="2"/>
  <c r="Y286" i="2"/>
  <c r="X286" i="2"/>
  <c r="T286" i="2"/>
  <c r="S286" i="2"/>
  <c r="G286" i="2"/>
  <c r="F286" i="2"/>
  <c r="E286" i="2"/>
  <c r="C286" i="2"/>
  <c r="B286" i="2"/>
  <c r="A286" i="2"/>
  <c r="BB285" i="2"/>
  <c r="BA285" i="2"/>
  <c r="AV285" i="2"/>
  <c r="AG285" i="2"/>
  <c r="AF285" i="2"/>
  <c r="AE285" i="2"/>
  <c r="AD285" i="2"/>
  <c r="Z285" i="2"/>
  <c r="AA285" i="2" s="1"/>
  <c r="Y285" i="2"/>
  <c r="X285" i="2"/>
  <c r="U285" i="2"/>
  <c r="T285" i="2"/>
  <c r="S285" i="2"/>
  <c r="L285" i="2"/>
  <c r="M285" i="2" s="1"/>
  <c r="G285" i="2"/>
  <c r="O285" i="2" s="1"/>
  <c r="P285" i="2" s="1"/>
  <c r="F285" i="2"/>
  <c r="E285" i="2"/>
  <c r="C285" i="2"/>
  <c r="J285" i="2" s="1"/>
  <c r="K285" i="2" s="1"/>
  <c r="B285" i="2"/>
  <c r="A285" i="2"/>
  <c r="BB284" i="2"/>
  <c r="BA284" i="2"/>
  <c r="AV284" i="2"/>
  <c r="AD284" i="2"/>
  <c r="X284" i="2"/>
  <c r="S284" i="2"/>
  <c r="E284" i="2"/>
  <c r="F284" i="2" s="1"/>
  <c r="C284" i="2"/>
  <c r="J284" i="2" s="1"/>
  <c r="B284" i="2"/>
  <c r="A284" i="2"/>
  <c r="BB283" i="2"/>
  <c r="BA283" i="2"/>
  <c r="AV283" i="2"/>
  <c r="AD283" i="2"/>
  <c r="AA283" i="2"/>
  <c r="X283" i="2"/>
  <c r="Z283" i="2" s="1"/>
  <c r="V283" i="2"/>
  <c r="AK283" i="2" s="1"/>
  <c r="T283" i="2"/>
  <c r="S283" i="2"/>
  <c r="U283" i="2" s="1"/>
  <c r="AJ283" i="2" s="1"/>
  <c r="O283" i="2"/>
  <c r="Q283" i="2" s="1"/>
  <c r="R283" i="2" s="1"/>
  <c r="J283" i="2"/>
  <c r="H283" i="2"/>
  <c r="E283" i="2"/>
  <c r="G283" i="2" s="1"/>
  <c r="D283" i="2"/>
  <c r="C283" i="2"/>
  <c r="B283" i="2"/>
  <c r="A283" i="2"/>
  <c r="BB282" i="2"/>
  <c r="BA282" i="2"/>
  <c r="AV282" i="2"/>
  <c r="AF282" i="2"/>
  <c r="AE282" i="2"/>
  <c r="AD282" i="2"/>
  <c r="X282" i="2"/>
  <c r="Z282" i="2" s="1"/>
  <c r="S282" i="2"/>
  <c r="E282" i="2"/>
  <c r="G282" i="2" s="1"/>
  <c r="C282" i="2"/>
  <c r="D282" i="2" s="1"/>
  <c r="B282" i="2"/>
  <c r="A282" i="2"/>
  <c r="BB281" i="2"/>
  <c r="BA281" i="2"/>
  <c r="AV281" i="2"/>
  <c r="AF281" i="2"/>
  <c r="AE281" i="2"/>
  <c r="AD281" i="2"/>
  <c r="Z281" i="2"/>
  <c r="Y281" i="2"/>
  <c r="X281" i="2"/>
  <c r="U281" i="2"/>
  <c r="T281" i="2"/>
  <c r="S281" i="2"/>
  <c r="Q281" i="2"/>
  <c r="R281" i="2" s="1"/>
  <c r="P281" i="2"/>
  <c r="L281" i="2"/>
  <c r="M281" i="2" s="1"/>
  <c r="K281" i="2"/>
  <c r="H281" i="2"/>
  <c r="G281" i="2"/>
  <c r="O281" i="2" s="1"/>
  <c r="F281" i="2"/>
  <c r="E281" i="2"/>
  <c r="D281" i="2"/>
  <c r="C281" i="2"/>
  <c r="J281" i="2" s="1"/>
  <c r="B281" i="2"/>
  <c r="A281" i="2"/>
  <c r="BB280" i="2"/>
  <c r="BA280" i="2"/>
  <c r="AV280" i="2"/>
  <c r="AD280" i="2"/>
  <c r="Z280" i="2"/>
  <c r="X280" i="2"/>
  <c r="Y280" i="2" s="1"/>
  <c r="S280" i="2"/>
  <c r="T280" i="2" s="1"/>
  <c r="J280" i="2"/>
  <c r="G280" i="2"/>
  <c r="H280" i="2" s="1"/>
  <c r="E280" i="2"/>
  <c r="F280" i="2" s="1"/>
  <c r="D280" i="2"/>
  <c r="C280" i="2"/>
  <c r="B280" i="2"/>
  <c r="A280" i="2"/>
  <c r="BB279" i="2"/>
  <c r="BA279" i="2"/>
  <c r="AV279" i="2"/>
  <c r="AD279" i="2"/>
  <c r="AF279" i="2" s="1"/>
  <c r="Z279" i="2"/>
  <c r="Y279" i="2"/>
  <c r="X279" i="2"/>
  <c r="U279" i="2"/>
  <c r="S279" i="2"/>
  <c r="T279" i="2" s="1"/>
  <c r="G279" i="2"/>
  <c r="H279" i="2" s="1"/>
  <c r="F279" i="2"/>
  <c r="E279" i="2"/>
  <c r="C279" i="2"/>
  <c r="D279" i="2" s="1"/>
  <c r="B279" i="2"/>
  <c r="A279" i="2"/>
  <c r="BB278" i="2"/>
  <c r="BA278" i="2"/>
  <c r="AV278" i="2"/>
  <c r="AF278" i="2"/>
  <c r="AE278" i="2"/>
  <c r="AD278" i="2"/>
  <c r="Z278" i="2"/>
  <c r="AA278" i="2" s="1"/>
  <c r="Y278" i="2"/>
  <c r="X278" i="2"/>
  <c r="T278" i="2"/>
  <c r="S278" i="2"/>
  <c r="G278" i="2"/>
  <c r="O278" i="2" s="1"/>
  <c r="Q278" i="2" s="1"/>
  <c r="F278" i="2"/>
  <c r="E278" i="2"/>
  <c r="C278" i="2"/>
  <c r="J278" i="2" s="1"/>
  <c r="L278" i="2" s="1"/>
  <c r="M278" i="2" s="1"/>
  <c r="B278" i="2"/>
  <c r="A278" i="2"/>
  <c r="BB277" i="2"/>
  <c r="BA277" i="2"/>
  <c r="AV277" i="2"/>
  <c r="AF277" i="2"/>
  <c r="AD277" i="2"/>
  <c r="AE277" i="2" s="1"/>
  <c r="X277" i="2"/>
  <c r="Y277" i="2" s="1"/>
  <c r="U277" i="2"/>
  <c r="AJ277" i="2" s="1"/>
  <c r="S277" i="2"/>
  <c r="T277" i="2" s="1"/>
  <c r="E277" i="2"/>
  <c r="F277" i="2" s="1"/>
  <c r="C277" i="2"/>
  <c r="J277" i="2" s="1"/>
  <c r="B277" i="2"/>
  <c r="A277" i="2"/>
  <c r="X274" i="2"/>
  <c r="X272" i="2"/>
  <c r="X270" i="2"/>
  <c r="X268" i="2"/>
  <c r="Y268" i="2" s="1"/>
  <c r="X266" i="2"/>
  <c r="Y266" i="2" s="1"/>
  <c r="X267" i="2"/>
  <c r="AD266" i="2"/>
  <c r="Q291" i="2" l="1"/>
  <c r="AS291" i="2" s="1"/>
  <c r="P291" i="2"/>
  <c r="AA289" i="2"/>
  <c r="L291" i="2"/>
  <c r="M291" i="2" s="1"/>
  <c r="K291" i="2"/>
  <c r="AI291" i="2"/>
  <c r="U290" i="2"/>
  <c r="V289" i="2"/>
  <c r="AJ289" i="2"/>
  <c r="O289" i="2"/>
  <c r="H289" i="2"/>
  <c r="AH289" i="2"/>
  <c r="AI289" i="2" s="1"/>
  <c r="AG289" i="2"/>
  <c r="F289" i="2"/>
  <c r="K289" i="2"/>
  <c r="T289" i="2"/>
  <c r="Y289" i="2"/>
  <c r="AE289" i="2"/>
  <c r="J290" i="2"/>
  <c r="O290" i="2"/>
  <c r="AH290" i="2"/>
  <c r="AI290" i="2" s="1"/>
  <c r="D291" i="2"/>
  <c r="H291" i="2"/>
  <c r="AG291" i="2"/>
  <c r="O298" i="2"/>
  <c r="H298" i="2"/>
  <c r="U298" i="2"/>
  <c r="AH298" i="2"/>
  <c r="AG298" i="2"/>
  <c r="O299" i="2"/>
  <c r="H299" i="2"/>
  <c r="AH299" i="2"/>
  <c r="AI299" i="2" s="1"/>
  <c r="AG299" i="2"/>
  <c r="U292" i="2"/>
  <c r="AJ293" i="2"/>
  <c r="V293" i="2"/>
  <c r="AA294" i="2"/>
  <c r="V295" i="2"/>
  <c r="AJ295" i="2"/>
  <c r="U296" i="2"/>
  <c r="L297" i="2"/>
  <c r="M297" i="2" s="1"/>
  <c r="K297" i="2"/>
  <c r="AA292" i="2"/>
  <c r="AA293" i="2"/>
  <c r="AA295" i="2"/>
  <c r="AA296" i="2"/>
  <c r="AA298" i="2"/>
  <c r="V299" i="2"/>
  <c r="AJ299" i="2"/>
  <c r="AA290" i="2"/>
  <c r="AL291" i="2"/>
  <c r="AJ291" i="2"/>
  <c r="H292" i="2"/>
  <c r="O292" i="2"/>
  <c r="AG292" i="2"/>
  <c r="AH292" i="2"/>
  <c r="O293" i="2"/>
  <c r="H293" i="2"/>
  <c r="AH293" i="2"/>
  <c r="AG293" i="2"/>
  <c r="AH294" i="2"/>
  <c r="AG294" i="2"/>
  <c r="O295" i="2"/>
  <c r="H295" i="2"/>
  <c r="AH295" i="2"/>
  <c r="AG295" i="2"/>
  <c r="H296" i="2"/>
  <c r="O296" i="2"/>
  <c r="AG296" i="2"/>
  <c r="AH296" i="2"/>
  <c r="Q297" i="2"/>
  <c r="R297" i="2" s="1"/>
  <c r="P297" i="2"/>
  <c r="AS297" i="2"/>
  <c r="AA299" i="2"/>
  <c r="G294" i="2"/>
  <c r="L294" i="2"/>
  <c r="M294" i="2" s="1"/>
  <c r="U294" i="2"/>
  <c r="F295" i="2"/>
  <c r="K295" i="2"/>
  <c r="T295" i="2"/>
  <c r="Y295" i="2"/>
  <c r="AE295" i="2"/>
  <c r="D297" i="2"/>
  <c r="H297" i="2"/>
  <c r="V297" i="2"/>
  <c r="AA297" i="2"/>
  <c r="AG297" i="2"/>
  <c r="F299" i="2"/>
  <c r="K299" i="2"/>
  <c r="T299" i="2"/>
  <c r="Y299" i="2"/>
  <c r="AE299" i="2"/>
  <c r="F292" i="2"/>
  <c r="K292" i="2"/>
  <c r="T292" i="2"/>
  <c r="Y292" i="2"/>
  <c r="AE292" i="2"/>
  <c r="F296" i="2"/>
  <c r="K296" i="2"/>
  <c r="T296" i="2"/>
  <c r="Y296" i="2"/>
  <c r="AE296" i="2"/>
  <c r="AH297" i="2"/>
  <c r="AI297" i="2" s="1"/>
  <c r="AL297" i="2"/>
  <c r="F293" i="2"/>
  <c r="K293" i="2"/>
  <c r="T293" i="2"/>
  <c r="Y293" i="2"/>
  <c r="AE293" i="2"/>
  <c r="K277" i="2"/>
  <c r="L277" i="2"/>
  <c r="M277" i="2" s="1"/>
  <c r="AG279" i="2"/>
  <c r="AH279" i="2"/>
  <c r="AI279" i="2" s="1"/>
  <c r="R278" i="2"/>
  <c r="AS278" i="2"/>
  <c r="J279" i="2"/>
  <c r="V279" i="2"/>
  <c r="K280" i="2"/>
  <c r="L280" i="2"/>
  <c r="M280" i="2" s="1"/>
  <c r="AS281" i="2"/>
  <c r="AL281" i="2"/>
  <c r="AM281" i="2" s="1"/>
  <c r="AH281" i="2"/>
  <c r="AN281" i="2"/>
  <c r="AA282" i="2"/>
  <c r="AG282" i="2"/>
  <c r="AH282" i="2"/>
  <c r="AI282" i="2" s="1"/>
  <c r="Z284" i="2"/>
  <c r="Y284" i="2"/>
  <c r="O286" i="2"/>
  <c r="H286" i="2"/>
  <c r="AH286" i="2"/>
  <c r="AG286" i="2"/>
  <c r="G277" i="2"/>
  <c r="Z277" i="2"/>
  <c r="AG277" i="2"/>
  <c r="D278" i="2"/>
  <c r="H278" i="2"/>
  <c r="P278" i="2"/>
  <c r="AE279" i="2"/>
  <c r="AJ279" i="2"/>
  <c r="U280" i="2"/>
  <c r="AA280" i="2"/>
  <c r="V281" i="2"/>
  <c r="AA281" i="2"/>
  <c r="AG281" i="2"/>
  <c r="Y282" i="2"/>
  <c r="L283" i="2"/>
  <c r="M283" i="2" s="1"/>
  <c r="K283" i="2"/>
  <c r="AF283" i="2"/>
  <c r="AE283" i="2"/>
  <c r="L284" i="2"/>
  <c r="M284" i="2" s="1"/>
  <c r="K284" i="2"/>
  <c r="AA286" i="2"/>
  <c r="O280" i="2"/>
  <c r="AA287" i="2"/>
  <c r="AH277" i="2"/>
  <c r="K278" i="2"/>
  <c r="U278" i="2"/>
  <c r="AL278" i="2"/>
  <c r="AH278" i="2"/>
  <c r="AE280" i="2"/>
  <c r="AF280" i="2"/>
  <c r="AJ281" i="2"/>
  <c r="H282" i="2"/>
  <c r="O282" i="2"/>
  <c r="AS283" i="2"/>
  <c r="D277" i="2"/>
  <c r="V277" i="2"/>
  <c r="AG278" i="2"/>
  <c r="O279" i="2"/>
  <c r="AA279" i="2"/>
  <c r="F282" i="2"/>
  <c r="U282" i="2"/>
  <c r="T282" i="2"/>
  <c r="P283" i="2"/>
  <c r="G284" i="2"/>
  <c r="O287" i="2"/>
  <c r="H287" i="2"/>
  <c r="Q285" i="2"/>
  <c r="R285" i="2" s="1"/>
  <c r="AJ285" i="2"/>
  <c r="AN285" i="2"/>
  <c r="AS285" i="2"/>
  <c r="J286" i="2"/>
  <c r="D286" i="2"/>
  <c r="U286" i="2"/>
  <c r="V287" i="2"/>
  <c r="AJ287" i="2"/>
  <c r="AH287" i="2"/>
  <c r="AG287" i="2"/>
  <c r="J282" i="2"/>
  <c r="F283" i="2"/>
  <c r="Y283" i="2"/>
  <c r="D284" i="2"/>
  <c r="U284" i="2"/>
  <c r="T284" i="2"/>
  <c r="AF284" i="2"/>
  <c r="AE284" i="2"/>
  <c r="D285" i="2"/>
  <c r="H285" i="2"/>
  <c r="V285" i="2"/>
  <c r="AH285" i="2"/>
  <c r="AI285" i="2" s="1"/>
  <c r="AL285" i="2"/>
  <c r="AM285" i="2" s="1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275" i="6"/>
  <c r="S274" i="6"/>
  <c r="N274" i="6"/>
  <c r="M274" i="6"/>
  <c r="L274" i="6"/>
  <c r="K274" i="6"/>
  <c r="H274" i="6"/>
  <c r="G274" i="6"/>
  <c r="D274" i="6"/>
  <c r="C274" i="6"/>
  <c r="B274" i="6"/>
  <c r="A274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273" i="6"/>
  <c r="S272" i="6"/>
  <c r="N272" i="6"/>
  <c r="M272" i="6"/>
  <c r="L272" i="6"/>
  <c r="K272" i="6"/>
  <c r="H272" i="6"/>
  <c r="G272" i="6"/>
  <c r="E272" i="6"/>
  <c r="D272" i="6"/>
  <c r="C272" i="6"/>
  <c r="B272" i="6"/>
  <c r="A272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271" i="6"/>
  <c r="S270" i="6"/>
  <c r="N270" i="6"/>
  <c r="M270" i="6"/>
  <c r="L270" i="6"/>
  <c r="K270" i="6"/>
  <c r="H270" i="6"/>
  <c r="G270" i="6"/>
  <c r="E270" i="6"/>
  <c r="D270" i="6"/>
  <c r="C270" i="6"/>
  <c r="B270" i="6"/>
  <c r="A270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269" i="6"/>
  <c r="S268" i="6"/>
  <c r="N268" i="6"/>
  <c r="M268" i="6"/>
  <c r="L268" i="6"/>
  <c r="K268" i="6"/>
  <c r="H268" i="6"/>
  <c r="G268" i="6"/>
  <c r="F268" i="6"/>
  <c r="E268" i="6"/>
  <c r="D268" i="6"/>
  <c r="C268" i="6"/>
  <c r="B268" i="6"/>
  <c r="A268" i="6"/>
  <c r="S267" i="6"/>
  <c r="N267" i="6"/>
  <c r="M267" i="6"/>
  <c r="L267" i="6"/>
  <c r="K267" i="6"/>
  <c r="H267" i="6"/>
  <c r="G267" i="6"/>
  <c r="E267" i="6"/>
  <c r="D267" i="6"/>
  <c r="C267" i="6"/>
  <c r="B267" i="6"/>
  <c r="A267" i="6"/>
  <c r="S266" i="6"/>
  <c r="L266" i="6"/>
  <c r="K266" i="6"/>
  <c r="F266" i="6"/>
  <c r="E266" i="6"/>
  <c r="D266" i="6"/>
  <c r="C266" i="6"/>
  <c r="B266" i="6"/>
  <c r="A266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265" i="6"/>
  <c r="BB275" i="2"/>
  <c r="BA275" i="2"/>
  <c r="AV275" i="2"/>
  <c r="AD275" i="2"/>
  <c r="AF275" i="2" s="1"/>
  <c r="X275" i="2"/>
  <c r="Z275" i="2" s="1"/>
  <c r="S275" i="2"/>
  <c r="U275" i="2" s="1"/>
  <c r="J275" i="2"/>
  <c r="L275" i="2" s="1"/>
  <c r="M275" i="2" s="1"/>
  <c r="E275" i="2"/>
  <c r="G275" i="2" s="1"/>
  <c r="D275" i="2"/>
  <c r="C275" i="2"/>
  <c r="B275" i="2"/>
  <c r="A275" i="2"/>
  <c r="BB274" i="2"/>
  <c r="BA274" i="2"/>
  <c r="AV274" i="2"/>
  <c r="AF274" i="2"/>
  <c r="AE274" i="2"/>
  <c r="AD274" i="2"/>
  <c r="E274" i="6"/>
  <c r="T274" i="2"/>
  <c r="S274" i="2"/>
  <c r="G274" i="2"/>
  <c r="O274" i="2" s="1"/>
  <c r="F274" i="2"/>
  <c r="E274" i="2"/>
  <c r="C274" i="2"/>
  <c r="J274" i="2" s="1"/>
  <c r="B274" i="2"/>
  <c r="A274" i="2"/>
  <c r="BB273" i="2"/>
  <c r="BA273" i="2"/>
  <c r="AV273" i="2"/>
  <c r="AF273" i="2"/>
  <c r="AE273" i="2"/>
  <c r="AD273" i="2"/>
  <c r="Z273" i="2"/>
  <c r="Y273" i="2"/>
  <c r="X273" i="2"/>
  <c r="U273" i="2"/>
  <c r="T273" i="2"/>
  <c r="S273" i="2"/>
  <c r="G273" i="2"/>
  <c r="O273" i="2" s="1"/>
  <c r="P273" i="2" s="1"/>
  <c r="F273" i="2"/>
  <c r="E273" i="2"/>
  <c r="C273" i="2"/>
  <c r="J273" i="2" s="1"/>
  <c r="K273" i="2" s="1"/>
  <c r="B273" i="2"/>
  <c r="A273" i="2"/>
  <c r="BB272" i="2"/>
  <c r="BA272" i="2"/>
  <c r="AV272" i="2"/>
  <c r="AD272" i="2"/>
  <c r="S272" i="2"/>
  <c r="J272" i="2"/>
  <c r="E272" i="2"/>
  <c r="D272" i="2"/>
  <c r="C272" i="2"/>
  <c r="B272" i="2"/>
  <c r="A272" i="2"/>
  <c r="BB271" i="2"/>
  <c r="BA271" i="2"/>
  <c r="AV271" i="2"/>
  <c r="AH271" i="2"/>
  <c r="AD271" i="2"/>
  <c r="AF271" i="2" s="1"/>
  <c r="X271" i="2"/>
  <c r="Z271" i="2" s="1"/>
  <c r="S271" i="2"/>
  <c r="U271" i="2" s="1"/>
  <c r="J271" i="2"/>
  <c r="L271" i="2" s="1"/>
  <c r="M271" i="2" s="1"/>
  <c r="E271" i="2"/>
  <c r="G271" i="2" s="1"/>
  <c r="H271" i="2" s="1"/>
  <c r="D271" i="2"/>
  <c r="C271" i="2"/>
  <c r="B271" i="2"/>
  <c r="A271" i="2"/>
  <c r="BB270" i="2"/>
  <c r="BA270" i="2"/>
  <c r="AV270" i="2"/>
  <c r="AF270" i="2"/>
  <c r="AE270" i="2"/>
  <c r="AD270" i="2"/>
  <c r="Z270" i="2"/>
  <c r="Y270" i="2"/>
  <c r="F270" i="6" s="1"/>
  <c r="U270" i="2"/>
  <c r="AJ270" i="2" s="1"/>
  <c r="T270" i="2"/>
  <c r="S270" i="2"/>
  <c r="G270" i="2"/>
  <c r="F270" i="2"/>
  <c r="E270" i="2"/>
  <c r="C270" i="2"/>
  <c r="B270" i="2"/>
  <c r="A270" i="2"/>
  <c r="BB269" i="2"/>
  <c r="BA269" i="2"/>
  <c r="AV269" i="2"/>
  <c r="AF269" i="2"/>
  <c r="AG269" i="2" s="1"/>
  <c r="AE269" i="2"/>
  <c r="AD269" i="2"/>
  <c r="Z269" i="2"/>
  <c r="AA269" i="2" s="1"/>
  <c r="Y269" i="2"/>
  <c r="X269" i="2"/>
  <c r="U269" i="2"/>
  <c r="T269" i="2"/>
  <c r="S269" i="2"/>
  <c r="G269" i="2"/>
  <c r="O269" i="2" s="1"/>
  <c r="P269" i="2" s="1"/>
  <c r="F269" i="2"/>
  <c r="E269" i="2"/>
  <c r="C269" i="2"/>
  <c r="J269" i="2" s="1"/>
  <c r="K269" i="2" s="1"/>
  <c r="B269" i="2"/>
  <c r="A269" i="2"/>
  <c r="BB268" i="2"/>
  <c r="BA268" i="2"/>
  <c r="AV268" i="2"/>
  <c r="AD268" i="2"/>
  <c r="AE268" i="2" s="1"/>
  <c r="S268" i="2"/>
  <c r="T268" i="2" s="1"/>
  <c r="J268" i="2"/>
  <c r="K268" i="2" s="1"/>
  <c r="E268" i="2"/>
  <c r="F268" i="2" s="1"/>
  <c r="D268" i="2"/>
  <c r="C268" i="2"/>
  <c r="B268" i="2"/>
  <c r="A268" i="2"/>
  <c r="BB267" i="2"/>
  <c r="BA267" i="2"/>
  <c r="AV267" i="2"/>
  <c r="AF267" i="2"/>
  <c r="AD267" i="2"/>
  <c r="AE267" i="2" s="1"/>
  <c r="Z267" i="2"/>
  <c r="Y267" i="2"/>
  <c r="F267" i="6" s="1"/>
  <c r="U267" i="2"/>
  <c r="V267" i="2" s="1"/>
  <c r="AK267" i="2" s="1"/>
  <c r="S267" i="2"/>
  <c r="T267" i="2" s="1"/>
  <c r="G267" i="2"/>
  <c r="O267" i="2" s="1"/>
  <c r="E267" i="2"/>
  <c r="F267" i="2" s="1"/>
  <c r="C267" i="2"/>
  <c r="D267" i="2" s="1"/>
  <c r="B267" i="2"/>
  <c r="A267" i="2"/>
  <c r="BB266" i="2"/>
  <c r="BA266" i="2"/>
  <c r="AV266" i="2"/>
  <c r="AF266" i="2"/>
  <c r="Z266" i="2"/>
  <c r="S266" i="2"/>
  <c r="J266" i="2"/>
  <c r="L266" i="2" s="1"/>
  <c r="M266" i="2" s="1"/>
  <c r="E266" i="2"/>
  <c r="G266" i="2" s="1"/>
  <c r="D266" i="2"/>
  <c r="C266" i="2"/>
  <c r="B266" i="2"/>
  <c r="A266" i="2"/>
  <c r="BB265" i="2"/>
  <c r="BA265" i="2"/>
  <c r="AV265" i="2"/>
  <c r="AD265" i="2"/>
  <c r="AE265" i="2" s="1"/>
  <c r="X265" i="2"/>
  <c r="Z265" i="2" s="1"/>
  <c r="S265" i="2"/>
  <c r="U265" i="2" s="1"/>
  <c r="J265" i="2"/>
  <c r="L265" i="2" s="1"/>
  <c r="M265" i="2" s="1"/>
  <c r="E265" i="2"/>
  <c r="G265" i="2" s="1"/>
  <c r="C265" i="2"/>
  <c r="D265" i="2" s="1"/>
  <c r="B265" i="2"/>
  <c r="A265" i="2"/>
  <c r="AW281" i="2"/>
  <c r="AP285" i="2"/>
  <c r="AW285" i="2"/>
  <c r="AP281" i="2"/>
  <c r="AT291" i="2" l="1"/>
  <c r="O294" i="2"/>
  <c r="H294" i="2"/>
  <c r="Q295" i="2"/>
  <c r="P295" i="2"/>
  <c r="AM291" i="2"/>
  <c r="V296" i="2"/>
  <c r="AJ296" i="2"/>
  <c r="L290" i="2"/>
  <c r="M290" i="2" s="1"/>
  <c r="K290" i="2"/>
  <c r="Q296" i="2"/>
  <c r="P296" i="2"/>
  <c r="AI295" i="2"/>
  <c r="AI293" i="2"/>
  <c r="Q293" i="2"/>
  <c r="P293" i="2"/>
  <c r="Q292" i="2"/>
  <c r="P292" i="2"/>
  <c r="AK299" i="2"/>
  <c r="AN297" i="2"/>
  <c r="V292" i="2"/>
  <c r="AJ292" i="2"/>
  <c r="AI298" i="2"/>
  <c r="P298" i="2"/>
  <c r="Q298" i="2"/>
  <c r="AK289" i="2"/>
  <c r="AK297" i="2"/>
  <c r="V294" i="2"/>
  <c r="AJ294" i="2"/>
  <c r="AI296" i="2"/>
  <c r="AI294" i="2"/>
  <c r="AI292" i="2"/>
  <c r="AK295" i="2"/>
  <c r="AK293" i="2"/>
  <c r="V290" i="2"/>
  <c r="AJ290" i="2"/>
  <c r="AM297" i="2"/>
  <c r="AT297" i="2"/>
  <c r="Q299" i="2"/>
  <c r="P299" i="2"/>
  <c r="V298" i="2"/>
  <c r="AJ298" i="2"/>
  <c r="Q290" i="2"/>
  <c r="P290" i="2"/>
  <c r="Q289" i="2"/>
  <c r="P289" i="2"/>
  <c r="AN291" i="2"/>
  <c r="R291" i="2"/>
  <c r="BE285" i="2"/>
  <c r="BC285" i="2"/>
  <c r="BE281" i="2"/>
  <c r="BC281" i="2"/>
  <c r="AK287" i="2"/>
  <c r="P282" i="2"/>
  <c r="Q282" i="2"/>
  <c r="O277" i="2"/>
  <c r="H277" i="2"/>
  <c r="AO281" i="2"/>
  <c r="AI287" i="2"/>
  <c r="AT285" i="2"/>
  <c r="AK277" i="2"/>
  <c r="AI278" i="2"/>
  <c r="P280" i="2"/>
  <c r="Q280" i="2"/>
  <c r="AK281" i="2"/>
  <c r="P286" i="2"/>
  <c r="Q286" i="2"/>
  <c r="AI281" i="2"/>
  <c r="L279" i="2"/>
  <c r="M279" i="2" s="1"/>
  <c r="K279" i="2"/>
  <c r="AK285" i="2"/>
  <c r="L282" i="2"/>
  <c r="M282" i="2" s="1"/>
  <c r="K282" i="2"/>
  <c r="AO285" i="2"/>
  <c r="AM278" i="2"/>
  <c r="AI286" i="2"/>
  <c r="AH284" i="2"/>
  <c r="AG284" i="2"/>
  <c r="K286" i="2"/>
  <c r="L286" i="2"/>
  <c r="M286" i="2" s="1"/>
  <c r="H284" i="2"/>
  <c r="O284" i="2"/>
  <c r="AJ284" i="2"/>
  <c r="V284" i="2"/>
  <c r="V286" i="2"/>
  <c r="AJ286" i="2"/>
  <c r="Q287" i="2"/>
  <c r="P287" i="2"/>
  <c r="V282" i="2"/>
  <c r="AJ282" i="2"/>
  <c r="Q279" i="2"/>
  <c r="P279" i="2"/>
  <c r="AT283" i="2"/>
  <c r="AG280" i="2"/>
  <c r="AL280" i="2"/>
  <c r="AH280" i="2"/>
  <c r="AI280" i="2" s="1"/>
  <c r="V278" i="2"/>
  <c r="AJ278" i="2"/>
  <c r="AN283" i="2"/>
  <c r="AL283" i="2"/>
  <c r="AG283" i="2"/>
  <c r="AH283" i="2"/>
  <c r="V280" i="2"/>
  <c r="AJ280" i="2"/>
  <c r="AA277" i="2"/>
  <c r="AI277" i="2" s="1"/>
  <c r="AA284" i="2"/>
  <c r="AT281" i="2"/>
  <c r="AK279" i="2"/>
  <c r="AT278" i="2"/>
  <c r="Z274" i="2"/>
  <c r="AH274" i="2" s="1"/>
  <c r="I274" i="6" s="1"/>
  <c r="Y274" i="2"/>
  <c r="F274" i="6" s="1"/>
  <c r="O265" i="2"/>
  <c r="H265" i="2"/>
  <c r="P267" i="2"/>
  <c r="Q267" i="2"/>
  <c r="R267" i="2" s="1"/>
  <c r="U266" i="2"/>
  <c r="AL267" i="2"/>
  <c r="AM267" i="2" s="1"/>
  <c r="O266" i="2"/>
  <c r="H266" i="2"/>
  <c r="AG266" i="2"/>
  <c r="AH266" i="2"/>
  <c r="AS267" i="2"/>
  <c r="V265" i="2"/>
  <c r="AJ265" i="2"/>
  <c r="AA265" i="2"/>
  <c r="AA266" i="2"/>
  <c r="AI271" i="2"/>
  <c r="AA271" i="2"/>
  <c r="K265" i="2"/>
  <c r="Y265" i="2"/>
  <c r="H267" i="2"/>
  <c r="AG267" i="2"/>
  <c r="AF268" i="2"/>
  <c r="AN269" i="2"/>
  <c r="O270" i="2"/>
  <c r="H270" i="2"/>
  <c r="F271" i="2"/>
  <c r="Y271" i="2"/>
  <c r="L272" i="2"/>
  <c r="M272" i="2" s="1"/>
  <c r="K272" i="2"/>
  <c r="F266" i="2"/>
  <c r="K266" i="2"/>
  <c r="T266" i="2"/>
  <c r="AE266" i="2"/>
  <c r="J267" i="2"/>
  <c r="AH267" i="2"/>
  <c r="I267" i="6" s="1"/>
  <c r="G268" i="2"/>
  <c r="Z268" i="2"/>
  <c r="D269" i="2"/>
  <c r="H269" i="2"/>
  <c r="V269" i="2"/>
  <c r="J270" i="2"/>
  <c r="D270" i="2"/>
  <c r="AH270" i="2"/>
  <c r="I270" i="6" s="1"/>
  <c r="AG270" i="2"/>
  <c r="V271" i="2"/>
  <c r="AJ271" i="2"/>
  <c r="AG271" i="2"/>
  <c r="L273" i="2"/>
  <c r="M273" i="2" s="1"/>
  <c r="P274" i="2"/>
  <c r="Q274" i="2"/>
  <c r="R274" i="2" s="1"/>
  <c r="O275" i="2"/>
  <c r="H275" i="2"/>
  <c r="AH275" i="2"/>
  <c r="AG275" i="2"/>
  <c r="AJ267" i="2"/>
  <c r="V270" i="2"/>
  <c r="O271" i="2"/>
  <c r="F265" i="2"/>
  <c r="T265" i="2"/>
  <c r="AA267" i="2"/>
  <c r="L268" i="2"/>
  <c r="M268" i="2" s="1"/>
  <c r="Q269" i="2"/>
  <c r="AL269" i="2"/>
  <c r="AH269" i="2"/>
  <c r="AI269" i="2" s="1"/>
  <c r="U272" i="2"/>
  <c r="T272" i="2"/>
  <c r="AF265" i="2"/>
  <c r="U268" i="2"/>
  <c r="L269" i="2"/>
  <c r="M269" i="2" s="1"/>
  <c r="AJ269" i="2"/>
  <c r="AA270" i="2"/>
  <c r="K271" i="2"/>
  <c r="T271" i="2"/>
  <c r="AE271" i="2"/>
  <c r="G272" i="2"/>
  <c r="F272" i="2"/>
  <c r="Z272" i="2"/>
  <c r="Y272" i="2"/>
  <c r="F272" i="6" s="1"/>
  <c r="K274" i="2"/>
  <c r="L274" i="2"/>
  <c r="M274" i="2" s="1"/>
  <c r="Q273" i="2"/>
  <c r="R273" i="2" s="1"/>
  <c r="AJ273" i="2"/>
  <c r="U274" i="2"/>
  <c r="AS273" i="2"/>
  <c r="AN273" i="2"/>
  <c r="AL273" i="2"/>
  <c r="AH273" i="2"/>
  <c r="AI273" i="2" s="1"/>
  <c r="V275" i="2"/>
  <c r="AJ275" i="2"/>
  <c r="AF272" i="2"/>
  <c r="AE272" i="2"/>
  <c r="D273" i="2"/>
  <c r="H273" i="2"/>
  <c r="V273" i="2"/>
  <c r="AA273" i="2"/>
  <c r="AG273" i="2"/>
  <c r="AA275" i="2"/>
  <c r="F275" i="2"/>
  <c r="K275" i="2"/>
  <c r="T275" i="2"/>
  <c r="Y275" i="2"/>
  <c r="AE275" i="2"/>
  <c r="D274" i="2"/>
  <c r="H274" i="2"/>
  <c r="AG274" i="2"/>
  <c r="AW291" i="2"/>
  <c r="AP291" i="2"/>
  <c r="AW297" i="2"/>
  <c r="AP297" i="2"/>
  <c r="AX281" i="2"/>
  <c r="AQ281" i="2"/>
  <c r="AQ285" i="2"/>
  <c r="AW283" i="2"/>
  <c r="AP283" i="2"/>
  <c r="AX285" i="2"/>
  <c r="AP269" i="2"/>
  <c r="AW273" i="2"/>
  <c r="AP273" i="2"/>
  <c r="BE297" i="2" l="1"/>
  <c r="BC297" i="2"/>
  <c r="BE291" i="2"/>
  <c r="BC291" i="2"/>
  <c r="R289" i="2"/>
  <c r="AN289" i="2"/>
  <c r="AS289" i="2"/>
  <c r="AL289" i="2"/>
  <c r="AM289" i="2" s="1"/>
  <c r="AK298" i="2"/>
  <c r="AK290" i="2"/>
  <c r="AK292" i="2"/>
  <c r="R292" i="2"/>
  <c r="AL292" i="2"/>
  <c r="AS292" i="2"/>
  <c r="P294" i="2"/>
  <c r="Q294" i="2"/>
  <c r="AO297" i="2"/>
  <c r="AY297" i="2" s="1"/>
  <c r="AO291" i="2"/>
  <c r="R290" i="2"/>
  <c r="AS290" i="2"/>
  <c r="AL290" i="2"/>
  <c r="R293" i="2"/>
  <c r="AN293" i="2"/>
  <c r="AS293" i="2"/>
  <c r="AL293" i="2"/>
  <c r="R296" i="2"/>
  <c r="AL296" i="2"/>
  <c r="AS296" i="2"/>
  <c r="R295" i="2"/>
  <c r="AN295" i="2"/>
  <c r="AL295" i="2"/>
  <c r="AS295" i="2"/>
  <c r="R299" i="2"/>
  <c r="AN299" i="2"/>
  <c r="AS299" i="2"/>
  <c r="AL299" i="2"/>
  <c r="AM299" i="2" s="1"/>
  <c r="AK294" i="2"/>
  <c r="R298" i="2"/>
  <c r="AL298" i="2"/>
  <c r="AS298" i="2"/>
  <c r="AK296" i="2"/>
  <c r="AZ285" i="2"/>
  <c r="BE283" i="2"/>
  <c r="BC283" i="2"/>
  <c r="AR285" i="2"/>
  <c r="AR281" i="2"/>
  <c r="AZ281" i="2"/>
  <c r="AK286" i="2"/>
  <c r="AK278" i="2"/>
  <c r="R287" i="2"/>
  <c r="AN287" i="2"/>
  <c r="AL287" i="2"/>
  <c r="AM287" i="2" s="1"/>
  <c r="AS287" i="2"/>
  <c r="AI284" i="2"/>
  <c r="R280" i="2"/>
  <c r="AS280" i="2"/>
  <c r="P277" i="2"/>
  <c r="Q277" i="2"/>
  <c r="AK280" i="2"/>
  <c r="AM283" i="2"/>
  <c r="AK284" i="2"/>
  <c r="R286" i="2"/>
  <c r="AL286" i="2"/>
  <c r="AS286" i="2"/>
  <c r="R282" i="2"/>
  <c r="AL282" i="2"/>
  <c r="AS282" i="2"/>
  <c r="AY285" i="2"/>
  <c r="AO283" i="2"/>
  <c r="AK282" i="2"/>
  <c r="AI283" i="2"/>
  <c r="AM280" i="2"/>
  <c r="AN280" i="2"/>
  <c r="R279" i="2"/>
  <c r="AL279" i="2"/>
  <c r="AM279" i="2" s="1"/>
  <c r="AN279" i="2"/>
  <c r="AS279" i="2"/>
  <c r="Q284" i="2"/>
  <c r="P284" i="2"/>
  <c r="AY281" i="2"/>
  <c r="AA274" i="2"/>
  <c r="AS274" i="2"/>
  <c r="AI266" i="2"/>
  <c r="J266" i="6" s="1"/>
  <c r="I266" i="6"/>
  <c r="BE273" i="2"/>
  <c r="BC273" i="2"/>
  <c r="AH272" i="2"/>
  <c r="I272" i="6" s="1"/>
  <c r="AG272" i="2"/>
  <c r="V274" i="2"/>
  <c r="AJ274" i="2"/>
  <c r="AI274" i="2"/>
  <c r="J274" i="6" s="1"/>
  <c r="AK275" i="2"/>
  <c r="AO273" i="2"/>
  <c r="H272" i="2"/>
  <c r="O272" i="2"/>
  <c r="AJ268" i="2"/>
  <c r="V268" i="2"/>
  <c r="AJ272" i="2"/>
  <c r="V272" i="2"/>
  <c r="L270" i="2"/>
  <c r="M270" i="2" s="1"/>
  <c r="K270" i="2"/>
  <c r="AA268" i="2"/>
  <c r="AH268" i="2"/>
  <c r="I268" i="6" s="1"/>
  <c r="AG268" i="2"/>
  <c r="AT267" i="2"/>
  <c r="AT273" i="2"/>
  <c r="AY273" i="2" s="1"/>
  <c r="Q271" i="2"/>
  <c r="P271" i="2"/>
  <c r="AI270" i="2"/>
  <c r="J270" i="6" s="1"/>
  <c r="AK269" i="2"/>
  <c r="O268" i="2"/>
  <c r="H268" i="2"/>
  <c r="P270" i="2"/>
  <c r="Q270" i="2"/>
  <c r="Q266" i="2"/>
  <c r="P266" i="2"/>
  <c r="AA272" i="2"/>
  <c r="AK270" i="2"/>
  <c r="AI267" i="2"/>
  <c r="J267" i="6" s="1"/>
  <c r="AO269" i="2"/>
  <c r="AK273" i="2"/>
  <c r="AT274" i="2"/>
  <c r="AG265" i="2"/>
  <c r="AH265" i="2"/>
  <c r="AI265" i="2" s="1"/>
  <c r="Q275" i="2"/>
  <c r="P275" i="2"/>
  <c r="AM273" i="2"/>
  <c r="AS269" i="2"/>
  <c r="R269" i="2"/>
  <c r="AM269" i="2" s="1"/>
  <c r="AI275" i="2"/>
  <c r="AL274" i="2"/>
  <c r="AK271" i="2"/>
  <c r="K267" i="2"/>
  <c r="L267" i="2"/>
  <c r="M267" i="2" s="1"/>
  <c r="AN267" i="2"/>
  <c r="AK265" i="2"/>
  <c r="AJ266" i="2"/>
  <c r="V266" i="2"/>
  <c r="P265" i="2"/>
  <c r="Q265" i="2"/>
  <c r="AN265" i="2" s="1"/>
  <c r="S263" i="6"/>
  <c r="E263" i="6"/>
  <c r="B263" i="6"/>
  <c r="A263" i="6"/>
  <c r="S262" i="6"/>
  <c r="B262" i="6"/>
  <c r="A262" i="6"/>
  <c r="S261" i="6"/>
  <c r="B261" i="6"/>
  <c r="A261" i="6"/>
  <c r="S260" i="6"/>
  <c r="B260" i="6"/>
  <c r="A260" i="6"/>
  <c r="S259" i="6"/>
  <c r="B259" i="6"/>
  <c r="A259" i="6"/>
  <c r="S258" i="6"/>
  <c r="B258" i="6"/>
  <c r="A258" i="6"/>
  <c r="S257" i="6"/>
  <c r="B257" i="6"/>
  <c r="A257" i="6"/>
  <c r="S256" i="6"/>
  <c r="B256" i="6"/>
  <c r="A256" i="6"/>
  <c r="S255" i="6"/>
  <c r="B255" i="6"/>
  <c r="A255" i="6"/>
  <c r="S254" i="6"/>
  <c r="B254" i="6"/>
  <c r="A254" i="6"/>
  <c r="S253" i="6"/>
  <c r="B253" i="6"/>
  <c r="A253" i="6"/>
  <c r="BB263" i="2"/>
  <c r="BA263" i="2"/>
  <c r="AV263" i="2"/>
  <c r="AD263" i="2"/>
  <c r="X263" i="2"/>
  <c r="Z263" i="2" s="1"/>
  <c r="S263" i="2"/>
  <c r="E263" i="2"/>
  <c r="C263" i="2"/>
  <c r="J263" i="2" s="1"/>
  <c r="B263" i="2"/>
  <c r="A263" i="2"/>
  <c r="BB262" i="2"/>
  <c r="BA262" i="2"/>
  <c r="AV262" i="2"/>
  <c r="AD262" i="2"/>
  <c r="AE262" i="2" s="1"/>
  <c r="X262" i="2"/>
  <c r="S262" i="2"/>
  <c r="T262" i="2" s="1"/>
  <c r="E262" i="2"/>
  <c r="C262" i="2"/>
  <c r="J262" i="2" s="1"/>
  <c r="B262" i="2"/>
  <c r="A262" i="2"/>
  <c r="BB261" i="2"/>
  <c r="BA261" i="2"/>
  <c r="AV261" i="2"/>
  <c r="AD261" i="2"/>
  <c r="AF261" i="2" s="1"/>
  <c r="X261" i="2"/>
  <c r="U261" i="2"/>
  <c r="AJ261" i="2" s="1"/>
  <c r="K261" i="6" s="1"/>
  <c r="T261" i="2"/>
  <c r="S261" i="2"/>
  <c r="E261" i="2"/>
  <c r="G261" i="2" s="1"/>
  <c r="O261" i="2" s="1"/>
  <c r="C261" i="6" s="1"/>
  <c r="C261" i="2"/>
  <c r="J261" i="2" s="1"/>
  <c r="B261" i="2"/>
  <c r="A261" i="2"/>
  <c r="BB260" i="2"/>
  <c r="BA260" i="2"/>
  <c r="AV260" i="2"/>
  <c r="AD260" i="2"/>
  <c r="AE260" i="2" s="1"/>
  <c r="X260" i="2"/>
  <c r="E260" i="6" s="1"/>
  <c r="S260" i="2"/>
  <c r="T260" i="2" s="1"/>
  <c r="E260" i="2"/>
  <c r="C260" i="2"/>
  <c r="D260" i="2" s="1"/>
  <c r="B260" i="2"/>
  <c r="A260" i="2"/>
  <c r="BB259" i="2"/>
  <c r="BA259" i="2"/>
  <c r="AV259" i="2"/>
  <c r="AD259" i="2"/>
  <c r="AF259" i="2" s="1"/>
  <c r="X259" i="2"/>
  <c r="Z259" i="2" s="1"/>
  <c r="S259" i="2"/>
  <c r="U259" i="2" s="1"/>
  <c r="E259" i="2"/>
  <c r="G259" i="2" s="1"/>
  <c r="C259" i="2"/>
  <c r="D259" i="2" s="1"/>
  <c r="B259" i="2"/>
  <c r="A259" i="2"/>
  <c r="BB258" i="2"/>
  <c r="BA258" i="2"/>
  <c r="AV258" i="2"/>
  <c r="AD258" i="2"/>
  <c r="AF258" i="2" s="1"/>
  <c r="X258" i="2"/>
  <c r="Z258" i="2" s="1"/>
  <c r="S258" i="2"/>
  <c r="T258" i="2" s="1"/>
  <c r="E258" i="2"/>
  <c r="G258" i="2" s="1"/>
  <c r="C258" i="2"/>
  <c r="J258" i="2" s="1"/>
  <c r="B258" i="2"/>
  <c r="A258" i="2"/>
  <c r="BB257" i="2"/>
  <c r="BA257" i="2"/>
  <c r="AV257" i="2"/>
  <c r="AD257" i="2"/>
  <c r="X257" i="2"/>
  <c r="Z257" i="2" s="1"/>
  <c r="S257" i="2"/>
  <c r="E257" i="2"/>
  <c r="F257" i="2" s="1"/>
  <c r="C257" i="2"/>
  <c r="J257" i="2" s="1"/>
  <c r="B257" i="2"/>
  <c r="A257" i="2"/>
  <c r="BB256" i="2"/>
  <c r="BA256" i="2"/>
  <c r="AV256" i="2"/>
  <c r="AD256" i="2"/>
  <c r="AE256" i="2" s="1"/>
  <c r="X256" i="2"/>
  <c r="Y256" i="2" s="1"/>
  <c r="F256" i="6" s="1"/>
  <c r="S256" i="2"/>
  <c r="T256" i="2" s="1"/>
  <c r="G256" i="2"/>
  <c r="E256" i="2"/>
  <c r="F256" i="2" s="1"/>
  <c r="C256" i="2"/>
  <c r="B256" i="2"/>
  <c r="A256" i="2"/>
  <c r="BB255" i="2"/>
  <c r="BA255" i="2"/>
  <c r="AV255" i="2"/>
  <c r="AD255" i="2"/>
  <c r="AF255" i="2" s="1"/>
  <c r="X255" i="2"/>
  <c r="Z255" i="2" s="1"/>
  <c r="S255" i="2"/>
  <c r="U255" i="2" s="1"/>
  <c r="J255" i="2"/>
  <c r="L255" i="2" s="1"/>
  <c r="M255" i="2" s="1"/>
  <c r="E255" i="2"/>
  <c r="G255" i="2" s="1"/>
  <c r="C255" i="2"/>
  <c r="D255" i="2" s="1"/>
  <c r="B255" i="2"/>
  <c r="A255" i="2"/>
  <c r="BB254" i="2"/>
  <c r="BA254" i="2"/>
  <c r="AV254" i="2"/>
  <c r="AE254" i="2"/>
  <c r="AD254" i="2"/>
  <c r="AF254" i="2" s="1"/>
  <c r="X254" i="2"/>
  <c r="Z254" i="2" s="1"/>
  <c r="T254" i="2"/>
  <c r="S254" i="2"/>
  <c r="E254" i="2"/>
  <c r="G254" i="2" s="1"/>
  <c r="C254" i="2"/>
  <c r="D254" i="2" s="1"/>
  <c r="B254" i="2"/>
  <c r="A254" i="2"/>
  <c r="BB253" i="2"/>
  <c r="BA253" i="2"/>
  <c r="AV253" i="2"/>
  <c r="AD253" i="2"/>
  <c r="AF253" i="2" s="1"/>
  <c r="X253" i="2"/>
  <c r="Z253" i="2" s="1"/>
  <c r="S253" i="2"/>
  <c r="U253" i="2" s="1"/>
  <c r="AJ253" i="2" s="1"/>
  <c r="K253" i="6" s="1"/>
  <c r="G253" i="2"/>
  <c r="E253" i="2"/>
  <c r="F253" i="2" s="1"/>
  <c r="C253" i="2"/>
  <c r="B253" i="2"/>
  <c r="A253" i="2"/>
  <c r="AX297" i="2"/>
  <c r="AQ297" i="2"/>
  <c r="AP289" i="2"/>
  <c r="AX291" i="2"/>
  <c r="AQ291" i="2"/>
  <c r="AP295" i="2"/>
  <c r="AP299" i="2"/>
  <c r="AW289" i="2"/>
  <c r="AP293" i="2"/>
  <c r="AW299" i="2"/>
  <c r="AW293" i="2"/>
  <c r="AW295" i="2"/>
  <c r="AW280" i="2"/>
  <c r="AP279" i="2"/>
  <c r="AW287" i="2"/>
  <c r="AX283" i="2"/>
  <c r="AQ283" i="2"/>
  <c r="AP280" i="2"/>
  <c r="AW279" i="2"/>
  <c r="AP287" i="2"/>
  <c r="AW274" i="2"/>
  <c r="AX274" i="2"/>
  <c r="AQ273" i="2"/>
  <c r="AX273" i="2"/>
  <c r="AQ269" i="2"/>
  <c r="AW269" i="2"/>
  <c r="AW267" i="2"/>
  <c r="AP267" i="2"/>
  <c r="AP265" i="2"/>
  <c r="BE295" i="2" l="1"/>
  <c r="BC295" i="2"/>
  <c r="BE293" i="2"/>
  <c r="BC293" i="2"/>
  <c r="BE299" i="2"/>
  <c r="BC299" i="2"/>
  <c r="AY289" i="2"/>
  <c r="BD289" i="2" s="1"/>
  <c r="BE289" i="2"/>
  <c r="BC289" i="2"/>
  <c r="AR291" i="2"/>
  <c r="AZ291" i="2"/>
  <c r="AR297" i="2"/>
  <c r="AZ297" i="2"/>
  <c r="BG297" i="2"/>
  <c r="BF297" i="2"/>
  <c r="BD297" i="2"/>
  <c r="AT298" i="2"/>
  <c r="AT295" i="2"/>
  <c r="AT296" i="2"/>
  <c r="AT293" i="2"/>
  <c r="AT290" i="2"/>
  <c r="R294" i="2"/>
  <c r="AL294" i="2"/>
  <c r="AS294" i="2"/>
  <c r="AM298" i="2"/>
  <c r="AN298" i="2"/>
  <c r="AT299" i="2"/>
  <c r="AM295" i="2"/>
  <c r="AN296" i="2"/>
  <c r="AM296" i="2"/>
  <c r="AO293" i="2"/>
  <c r="AT289" i="2"/>
  <c r="AO299" i="2"/>
  <c r="AO295" i="2"/>
  <c r="AT292" i="2"/>
  <c r="AO289" i="2"/>
  <c r="AM293" i="2"/>
  <c r="AN290" i="2"/>
  <c r="AM290" i="2"/>
  <c r="AN292" i="2"/>
  <c r="AM292" i="2"/>
  <c r="AY291" i="2"/>
  <c r="BE279" i="2"/>
  <c r="BC279" i="2"/>
  <c r="AR283" i="2"/>
  <c r="AZ283" i="2"/>
  <c r="BE287" i="2"/>
  <c r="BC287" i="2"/>
  <c r="BE280" i="2"/>
  <c r="BC280" i="2"/>
  <c r="BG281" i="2"/>
  <c r="BF281" i="2"/>
  <c r="BD281" i="2"/>
  <c r="AT282" i="2"/>
  <c r="AM286" i="2"/>
  <c r="AN286" i="2"/>
  <c r="AO287" i="2"/>
  <c r="R284" i="2"/>
  <c r="AL284" i="2"/>
  <c r="AS284" i="2"/>
  <c r="AN282" i="2"/>
  <c r="AM282" i="2"/>
  <c r="R277" i="2"/>
  <c r="AN277" i="2"/>
  <c r="AL277" i="2"/>
  <c r="AM277" i="2" s="1"/>
  <c r="AS277" i="2"/>
  <c r="AT279" i="2"/>
  <c r="AO280" i="2"/>
  <c r="AT287" i="2"/>
  <c r="AY287" i="2" s="1"/>
  <c r="AO279" i="2"/>
  <c r="BG285" i="2"/>
  <c r="BF285" i="2"/>
  <c r="BD285" i="2"/>
  <c r="AT286" i="2"/>
  <c r="AT280" i="2"/>
  <c r="AY283" i="2"/>
  <c r="O274" i="6"/>
  <c r="O267" i="6"/>
  <c r="BE267" i="2"/>
  <c r="BC267" i="2"/>
  <c r="Q267" i="6" s="1"/>
  <c r="BE269" i="2"/>
  <c r="BC269" i="2"/>
  <c r="AR269" i="2"/>
  <c r="AZ273" i="2"/>
  <c r="AR273" i="2"/>
  <c r="BG273" i="2"/>
  <c r="BF273" i="2"/>
  <c r="BD273" i="2"/>
  <c r="AK266" i="2"/>
  <c r="AO267" i="2"/>
  <c r="AY267" i="2" s="1"/>
  <c r="AM274" i="2"/>
  <c r="R266" i="2"/>
  <c r="AS266" i="2"/>
  <c r="AL266" i="2"/>
  <c r="P268" i="2"/>
  <c r="Q268" i="2"/>
  <c r="R271" i="2"/>
  <c r="AL271" i="2"/>
  <c r="AM271" i="2" s="1"/>
  <c r="AS271" i="2"/>
  <c r="AN271" i="2"/>
  <c r="Q272" i="2"/>
  <c r="P272" i="2"/>
  <c r="AI268" i="2"/>
  <c r="J268" i="6" s="1"/>
  <c r="AK268" i="2"/>
  <c r="AI272" i="2"/>
  <c r="J272" i="6" s="1"/>
  <c r="AT269" i="2"/>
  <c r="R270" i="2"/>
  <c r="AL270" i="2"/>
  <c r="AS270" i="2"/>
  <c r="R265" i="2"/>
  <c r="AO265" i="2" s="1"/>
  <c r="AS265" i="2"/>
  <c r="R275" i="2"/>
  <c r="AS275" i="2"/>
  <c r="AN275" i="2"/>
  <c r="AN274" i="2" s="1"/>
  <c r="AL275" i="2"/>
  <c r="AL265" i="2"/>
  <c r="AM265" i="2" s="1"/>
  <c r="AK272" i="2"/>
  <c r="AK274" i="2"/>
  <c r="AF256" i="2"/>
  <c r="AG256" i="2" s="1"/>
  <c r="F258" i="2"/>
  <c r="Y258" i="2"/>
  <c r="F258" i="6" s="1"/>
  <c r="T253" i="2"/>
  <c r="AE253" i="2"/>
  <c r="F254" i="2"/>
  <c r="Y254" i="2"/>
  <c r="F254" i="6" s="1"/>
  <c r="D258" i="2"/>
  <c r="AE258" i="2"/>
  <c r="E255" i="6"/>
  <c r="L263" i="2"/>
  <c r="M263" i="2" s="1"/>
  <c r="K263" i="2"/>
  <c r="L258" i="2"/>
  <c r="M258" i="2" s="1"/>
  <c r="K258" i="2"/>
  <c r="F260" i="2"/>
  <c r="G260" i="2"/>
  <c r="H260" i="2" s="1"/>
  <c r="F262" i="2"/>
  <c r="G262" i="2"/>
  <c r="O262" i="2" s="1"/>
  <c r="C262" i="6" s="1"/>
  <c r="AF263" i="2"/>
  <c r="AG263" i="2" s="1"/>
  <c r="AE263" i="2"/>
  <c r="E256" i="6"/>
  <c r="E259" i="6"/>
  <c r="O256" i="2"/>
  <c r="C256" i="6" s="1"/>
  <c r="H256" i="2"/>
  <c r="G257" i="2"/>
  <c r="O257" i="2" s="1"/>
  <c r="C257" i="6" s="1"/>
  <c r="AF260" i="2"/>
  <c r="AG260" i="2" s="1"/>
  <c r="F261" i="2"/>
  <c r="U263" i="2"/>
  <c r="V263" i="2" s="1"/>
  <c r="T263" i="2"/>
  <c r="J254" i="2"/>
  <c r="J256" i="2"/>
  <c r="L256" i="2" s="1"/>
  <c r="M256" i="2" s="1"/>
  <c r="D256" i="2"/>
  <c r="T257" i="2"/>
  <c r="U257" i="2"/>
  <c r="AJ257" i="2" s="1"/>
  <c r="K257" i="6" s="1"/>
  <c r="J259" i="2"/>
  <c r="L259" i="2" s="1"/>
  <c r="M259" i="2" s="1"/>
  <c r="U260" i="2"/>
  <c r="V260" i="2" s="1"/>
  <c r="AK260" i="2" s="1"/>
  <c r="L260" i="6" s="1"/>
  <c r="E261" i="6"/>
  <c r="Y261" i="2"/>
  <c r="F261" i="6" s="1"/>
  <c r="Z262" i="2"/>
  <c r="AA262" i="2" s="1"/>
  <c r="E262" i="6"/>
  <c r="AF262" i="2"/>
  <c r="G263" i="2"/>
  <c r="H263" i="2" s="1"/>
  <c r="F263" i="2"/>
  <c r="E253" i="6"/>
  <c r="Y253" i="2"/>
  <c r="F253" i="6" s="1"/>
  <c r="Z256" i="2"/>
  <c r="AA256" i="2" s="1"/>
  <c r="AE257" i="2"/>
  <c r="AF257" i="2"/>
  <c r="AH257" i="2" s="1"/>
  <c r="I257" i="6" s="1"/>
  <c r="AE261" i="2"/>
  <c r="D263" i="2"/>
  <c r="Y257" i="2"/>
  <c r="F257" i="6" s="1"/>
  <c r="E257" i="6"/>
  <c r="Y260" i="2"/>
  <c r="F260" i="6" s="1"/>
  <c r="Z260" i="2"/>
  <c r="AA260" i="2" s="1"/>
  <c r="Z261" i="2"/>
  <c r="AS261" i="2" s="1"/>
  <c r="Y262" i="2"/>
  <c r="F262" i="6" s="1"/>
  <c r="Y263" i="2"/>
  <c r="F263" i="6" s="1"/>
  <c r="E254" i="6"/>
  <c r="E258" i="6"/>
  <c r="U254" i="2"/>
  <c r="V254" i="2" s="1"/>
  <c r="K262" i="2"/>
  <c r="L262" i="2"/>
  <c r="M262" i="2" s="1"/>
  <c r="Q261" i="2"/>
  <c r="R261" i="2" s="1"/>
  <c r="P261" i="2"/>
  <c r="D261" i="6" s="1"/>
  <c r="AH263" i="2"/>
  <c r="I263" i="6" s="1"/>
  <c r="L261" i="2"/>
  <c r="M261" i="2" s="1"/>
  <c r="K261" i="2"/>
  <c r="AN261" i="2"/>
  <c r="G261" i="6" s="1"/>
  <c r="AA263" i="2"/>
  <c r="J260" i="2"/>
  <c r="O260" i="2"/>
  <c r="C260" i="6" s="1"/>
  <c r="D261" i="2"/>
  <c r="H261" i="2"/>
  <c r="V261" i="2"/>
  <c r="AA261" i="2"/>
  <c r="AG261" i="2"/>
  <c r="AH261" i="2"/>
  <c r="I261" i="6" s="1"/>
  <c r="AL261" i="2"/>
  <c r="D262" i="2"/>
  <c r="AG262" i="2"/>
  <c r="AJ260" i="2"/>
  <c r="K260" i="6" s="1"/>
  <c r="AA258" i="2"/>
  <c r="O253" i="2"/>
  <c r="C253" i="6" s="1"/>
  <c r="H253" i="2"/>
  <c r="AA253" i="2"/>
  <c r="AH254" i="2"/>
  <c r="I254" i="6" s="1"/>
  <c r="AG254" i="2"/>
  <c r="AA255" i="2"/>
  <c r="K257" i="2"/>
  <c r="L257" i="2"/>
  <c r="M257" i="2" s="1"/>
  <c r="O258" i="2"/>
  <c r="C258" i="6" s="1"/>
  <c r="H258" i="2"/>
  <c r="AH258" i="2"/>
  <c r="I258" i="6" s="1"/>
  <c r="AG258" i="2"/>
  <c r="H259" i="2"/>
  <c r="O259" i="2"/>
  <c r="C259" i="6" s="1"/>
  <c r="AG259" i="2"/>
  <c r="AH259" i="2"/>
  <c r="J253" i="2"/>
  <c r="D253" i="2"/>
  <c r="V253" i="2"/>
  <c r="H255" i="2"/>
  <c r="O255" i="2"/>
  <c r="C255" i="6" s="1"/>
  <c r="AG255" i="2"/>
  <c r="AH255" i="2"/>
  <c r="I255" i="6" s="1"/>
  <c r="AA254" i="2"/>
  <c r="P257" i="2"/>
  <c r="D257" i="6" s="1"/>
  <c r="V259" i="2"/>
  <c r="AJ259" i="2"/>
  <c r="K259" i="6" s="1"/>
  <c r="AH253" i="2"/>
  <c r="I253" i="6" s="1"/>
  <c r="AG253" i="2"/>
  <c r="O254" i="2"/>
  <c r="C254" i="6" s="1"/>
  <c r="H254" i="2"/>
  <c r="U256" i="2"/>
  <c r="V255" i="2"/>
  <c r="AJ255" i="2"/>
  <c r="K255" i="6" s="1"/>
  <c r="K256" i="2"/>
  <c r="Q256" i="2"/>
  <c r="AA259" i="2"/>
  <c r="F255" i="2"/>
  <c r="K255" i="2"/>
  <c r="T255" i="2"/>
  <c r="Y255" i="2"/>
  <c r="F255" i="6" s="1"/>
  <c r="AE255" i="2"/>
  <c r="D257" i="2"/>
  <c r="H257" i="2"/>
  <c r="AA257" i="2"/>
  <c r="F259" i="2"/>
  <c r="T259" i="2"/>
  <c r="Y259" i="2"/>
  <c r="F259" i="6" s="1"/>
  <c r="AE259" i="2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251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250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249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248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247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246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245" i="6"/>
  <c r="BB251" i="2"/>
  <c r="BA251" i="2"/>
  <c r="AV251" i="2"/>
  <c r="AD251" i="2"/>
  <c r="X251" i="2"/>
  <c r="S251" i="2"/>
  <c r="J251" i="2"/>
  <c r="E251" i="2"/>
  <c r="D251" i="2"/>
  <c r="C251" i="2"/>
  <c r="B251" i="2"/>
  <c r="A251" i="2"/>
  <c r="BB250" i="2"/>
  <c r="BA250" i="2"/>
  <c r="AV250" i="2"/>
  <c r="AF250" i="2"/>
  <c r="AE250" i="2"/>
  <c r="AD250" i="2"/>
  <c r="Z250" i="2"/>
  <c r="Y250" i="2"/>
  <c r="X250" i="2"/>
  <c r="T250" i="2"/>
  <c r="S250" i="2"/>
  <c r="G250" i="2"/>
  <c r="F250" i="2"/>
  <c r="E250" i="2"/>
  <c r="C250" i="2"/>
  <c r="B250" i="2"/>
  <c r="A250" i="2"/>
  <c r="BB249" i="2"/>
  <c r="BA249" i="2"/>
  <c r="AV249" i="2"/>
  <c r="AF249" i="2"/>
  <c r="AE249" i="2"/>
  <c r="AD249" i="2"/>
  <c r="Z249" i="2"/>
  <c r="Y249" i="2"/>
  <c r="X249" i="2"/>
  <c r="U249" i="2"/>
  <c r="AJ249" i="2" s="1"/>
  <c r="T249" i="2"/>
  <c r="S249" i="2"/>
  <c r="G249" i="2"/>
  <c r="O249" i="2" s="1"/>
  <c r="P249" i="2" s="1"/>
  <c r="F249" i="2"/>
  <c r="E249" i="2"/>
  <c r="C249" i="2"/>
  <c r="J249" i="2" s="1"/>
  <c r="K249" i="2" s="1"/>
  <c r="B249" i="2"/>
  <c r="A249" i="2"/>
  <c r="BB248" i="2"/>
  <c r="BA248" i="2"/>
  <c r="AV248" i="2"/>
  <c r="AD248" i="2"/>
  <c r="X248" i="2"/>
  <c r="S248" i="2"/>
  <c r="J248" i="2"/>
  <c r="E248" i="2"/>
  <c r="D248" i="2"/>
  <c r="C248" i="2"/>
  <c r="B248" i="2"/>
  <c r="A248" i="2"/>
  <c r="BB247" i="2"/>
  <c r="BA247" i="2"/>
  <c r="AV247" i="2"/>
  <c r="AE247" i="2"/>
  <c r="AD247" i="2"/>
  <c r="AF247" i="2" s="1"/>
  <c r="X247" i="2"/>
  <c r="Z247" i="2" s="1"/>
  <c r="S247" i="2"/>
  <c r="U247" i="2" s="1"/>
  <c r="J247" i="2"/>
  <c r="L247" i="2" s="1"/>
  <c r="M247" i="2" s="1"/>
  <c r="E247" i="2"/>
  <c r="G247" i="2" s="1"/>
  <c r="H247" i="2" s="1"/>
  <c r="D247" i="2"/>
  <c r="C247" i="2"/>
  <c r="B247" i="2"/>
  <c r="A247" i="2"/>
  <c r="BB246" i="2"/>
  <c r="BA246" i="2"/>
  <c r="AV246" i="2"/>
  <c r="AF246" i="2"/>
  <c r="AE246" i="2"/>
  <c r="AD246" i="2"/>
  <c r="Z246" i="2"/>
  <c r="Y246" i="2"/>
  <c r="X246" i="2"/>
  <c r="U246" i="2"/>
  <c r="T246" i="2"/>
  <c r="S246" i="2"/>
  <c r="G246" i="2"/>
  <c r="F246" i="2"/>
  <c r="E246" i="2"/>
  <c r="C246" i="2"/>
  <c r="B246" i="2"/>
  <c r="A246" i="2"/>
  <c r="BB245" i="2"/>
  <c r="BA245" i="2"/>
  <c r="AV245" i="2"/>
  <c r="AF245" i="2"/>
  <c r="AG245" i="2" s="1"/>
  <c r="AE245" i="2"/>
  <c r="AD245" i="2"/>
  <c r="Z245" i="2"/>
  <c r="AA245" i="2" s="1"/>
  <c r="Y245" i="2"/>
  <c r="X245" i="2"/>
  <c r="U245" i="2"/>
  <c r="T245" i="2"/>
  <c r="S245" i="2"/>
  <c r="G245" i="2"/>
  <c r="O245" i="2" s="1"/>
  <c r="P245" i="2" s="1"/>
  <c r="F245" i="2"/>
  <c r="E245" i="2"/>
  <c r="C245" i="2"/>
  <c r="J245" i="2" s="1"/>
  <c r="K245" i="2" s="1"/>
  <c r="B245" i="2"/>
  <c r="A245" i="2"/>
  <c r="AX295" i="2"/>
  <c r="AW298" i="2"/>
  <c r="AP298" i="2"/>
  <c r="AQ295" i="2"/>
  <c r="AW290" i="2"/>
  <c r="AP290" i="2"/>
  <c r="AX299" i="2"/>
  <c r="AQ293" i="2"/>
  <c r="AX293" i="2"/>
  <c r="AX289" i="2"/>
  <c r="AQ289" i="2"/>
  <c r="AW292" i="2"/>
  <c r="AP292" i="2"/>
  <c r="AW296" i="2"/>
  <c r="AP296" i="2"/>
  <c r="AQ299" i="2"/>
  <c r="AQ287" i="2"/>
  <c r="AW282" i="2"/>
  <c r="AP282" i="2"/>
  <c r="AX287" i="2"/>
  <c r="AW277" i="2"/>
  <c r="AQ279" i="2"/>
  <c r="AX279" i="2"/>
  <c r="AX280" i="2"/>
  <c r="AW286" i="2"/>
  <c r="AP286" i="2"/>
  <c r="AP277" i="2"/>
  <c r="AQ280" i="2"/>
  <c r="AX267" i="2"/>
  <c r="AQ267" i="2"/>
  <c r="AW275" i="2"/>
  <c r="AX269" i="2"/>
  <c r="AP275" i="2"/>
  <c r="AW271" i="2"/>
  <c r="AW265" i="2"/>
  <c r="AP271" i="2"/>
  <c r="AQ265" i="2"/>
  <c r="AP274" i="2"/>
  <c r="AP261" i="2"/>
  <c r="AW261" i="2"/>
  <c r="AR299" i="2" l="1"/>
  <c r="BE296" i="2"/>
  <c r="AY296" i="2"/>
  <c r="BC296" i="2"/>
  <c r="BE292" i="2"/>
  <c r="AY292" i="2"/>
  <c r="BD292" i="2" s="1"/>
  <c r="BC292" i="2"/>
  <c r="AR289" i="2"/>
  <c r="AZ289" i="2"/>
  <c r="AZ293" i="2"/>
  <c r="AR293" i="2"/>
  <c r="AZ299" i="2"/>
  <c r="BE290" i="2"/>
  <c r="BC290" i="2"/>
  <c r="AR295" i="2"/>
  <c r="BD298" i="2"/>
  <c r="AY298" i="2"/>
  <c r="BE298" i="2"/>
  <c r="BC298" i="2"/>
  <c r="AZ295" i="2"/>
  <c r="AO296" i="2"/>
  <c r="AO292" i="2"/>
  <c r="AT294" i="2"/>
  <c r="AY293" i="2"/>
  <c r="AM294" i="2"/>
  <c r="AN294" i="2"/>
  <c r="BG291" i="2"/>
  <c r="BF291" i="2"/>
  <c r="BD291" i="2"/>
  <c r="AO290" i="2"/>
  <c r="AO298" i="2"/>
  <c r="BG289" i="2"/>
  <c r="BF289" i="2"/>
  <c r="AY299" i="2"/>
  <c r="AY295" i="2"/>
  <c r="AR280" i="2"/>
  <c r="BE286" i="2"/>
  <c r="BC286" i="2"/>
  <c r="AZ280" i="2"/>
  <c r="AZ279" i="2"/>
  <c r="AR279" i="2"/>
  <c r="BE277" i="2"/>
  <c r="BC277" i="2"/>
  <c r="AZ287" i="2"/>
  <c r="BE282" i="2"/>
  <c r="BC282" i="2"/>
  <c r="AR287" i="2"/>
  <c r="BG287" i="2"/>
  <c r="BF287" i="2"/>
  <c r="BD287" i="2"/>
  <c r="BG283" i="2"/>
  <c r="BF283" i="2"/>
  <c r="BD283" i="2"/>
  <c r="AO277" i="2"/>
  <c r="AN278" i="2"/>
  <c r="AT284" i="2"/>
  <c r="AO286" i="2"/>
  <c r="AN284" i="2"/>
  <c r="AM284" i="2"/>
  <c r="AT277" i="2"/>
  <c r="AY279" i="2"/>
  <c r="AO282" i="2"/>
  <c r="AY282" i="2" s="1"/>
  <c r="AY280" i="2"/>
  <c r="P267" i="6"/>
  <c r="BE274" i="2"/>
  <c r="BC274" i="2"/>
  <c r="Q274" i="6" s="1"/>
  <c r="AR265" i="2"/>
  <c r="BE265" i="2"/>
  <c r="BC265" i="2"/>
  <c r="BE271" i="2"/>
  <c r="BC271" i="2"/>
  <c r="AZ269" i="2"/>
  <c r="BE275" i="2"/>
  <c r="BC275" i="2"/>
  <c r="AR267" i="2"/>
  <c r="AZ267" i="2"/>
  <c r="BG267" i="2"/>
  <c r="BF267" i="2"/>
  <c r="BD267" i="2"/>
  <c r="R267" i="6" s="1"/>
  <c r="AO274" i="2"/>
  <c r="AM270" i="2"/>
  <c r="AN270" i="2"/>
  <c r="AO271" i="2"/>
  <c r="R268" i="2"/>
  <c r="AS268" i="2"/>
  <c r="AL268" i="2"/>
  <c r="AM275" i="2"/>
  <c r="AT265" i="2"/>
  <c r="AT271" i="2"/>
  <c r="AO275" i="2"/>
  <c r="AN266" i="2"/>
  <c r="G266" i="6" s="1"/>
  <c r="AM266" i="2"/>
  <c r="AY269" i="2"/>
  <c r="AT275" i="2"/>
  <c r="AY275" i="2" s="1"/>
  <c r="AT270" i="2"/>
  <c r="R272" i="2"/>
  <c r="AL272" i="2"/>
  <c r="AS272" i="2"/>
  <c r="AT266" i="2"/>
  <c r="AG257" i="2"/>
  <c r="AJ263" i="2"/>
  <c r="K263" i="6" s="1"/>
  <c r="AJ254" i="2"/>
  <c r="K254" i="6" s="1"/>
  <c r="U262" i="2"/>
  <c r="V262" i="2" s="1"/>
  <c r="K259" i="2"/>
  <c r="P256" i="2"/>
  <c r="D256" i="6" s="1"/>
  <c r="O263" i="2"/>
  <c r="C263" i="6" s="1"/>
  <c r="AH262" i="2"/>
  <c r="I262" i="6" s="1"/>
  <c r="O261" i="6"/>
  <c r="M261" i="6"/>
  <c r="AH260" i="2"/>
  <c r="I260" i="6" s="1"/>
  <c r="AH256" i="2"/>
  <c r="Q262" i="2"/>
  <c r="R262" i="2" s="1"/>
  <c r="L254" i="2"/>
  <c r="M254" i="2" s="1"/>
  <c r="K254" i="2"/>
  <c r="AI259" i="2"/>
  <c r="J259" i="6" s="1"/>
  <c r="I259" i="6"/>
  <c r="U258" i="2"/>
  <c r="V257" i="2"/>
  <c r="AK257" i="2" s="1"/>
  <c r="L257" i="6" s="1"/>
  <c r="Q257" i="2"/>
  <c r="AS257" i="2" s="1"/>
  <c r="H262" i="2"/>
  <c r="P262" i="2"/>
  <c r="D262" i="6" s="1"/>
  <c r="BE261" i="2"/>
  <c r="BC261" i="2"/>
  <c r="Q261" i="6" s="1"/>
  <c r="AI261" i="2"/>
  <c r="J261" i="6" s="1"/>
  <c r="AK261" i="2"/>
  <c r="L261" i="6" s="1"/>
  <c r="AI263" i="2"/>
  <c r="J263" i="6" s="1"/>
  <c r="AI260" i="2"/>
  <c r="J260" i="6" s="1"/>
  <c r="AT261" i="2"/>
  <c r="Q260" i="2"/>
  <c r="P260" i="2"/>
  <c r="D260" i="6" s="1"/>
  <c r="AO261" i="2"/>
  <c r="H261" i="6" s="1"/>
  <c r="AM261" i="2"/>
  <c r="L260" i="2"/>
  <c r="M260" i="2" s="1"/>
  <c r="K260" i="2"/>
  <c r="AS262" i="2"/>
  <c r="AK263" i="2"/>
  <c r="L263" i="6" s="1"/>
  <c r="AL262" i="2"/>
  <c r="AJ256" i="2"/>
  <c r="K256" i="6" s="1"/>
  <c r="V256" i="2"/>
  <c r="AI253" i="2"/>
  <c r="J253" i="6" s="1"/>
  <c r="AK259" i="2"/>
  <c r="L259" i="6" s="1"/>
  <c r="K253" i="2"/>
  <c r="L253" i="2"/>
  <c r="M253" i="2" s="1"/>
  <c r="AI258" i="2"/>
  <c r="J258" i="6" s="1"/>
  <c r="AK254" i="2"/>
  <c r="L254" i="6" s="1"/>
  <c r="AI257" i="2"/>
  <c r="J257" i="6" s="1"/>
  <c r="AK253" i="2"/>
  <c r="L253" i="6" s="1"/>
  <c r="Q259" i="2"/>
  <c r="P259" i="2"/>
  <c r="D259" i="6" s="1"/>
  <c r="AI254" i="2"/>
  <c r="J254" i="6" s="1"/>
  <c r="P253" i="2"/>
  <c r="D253" i="6" s="1"/>
  <c r="Q253" i="2"/>
  <c r="AS256" i="2"/>
  <c r="R256" i="2"/>
  <c r="Q254" i="2"/>
  <c r="P254" i="2"/>
  <c r="D254" i="6" s="1"/>
  <c r="AL256" i="2"/>
  <c r="P258" i="2"/>
  <c r="D258" i="6" s="1"/>
  <c r="Q258" i="2"/>
  <c r="AK255" i="2"/>
  <c r="L255" i="6" s="1"/>
  <c r="AI255" i="2"/>
  <c r="J255" i="6" s="1"/>
  <c r="Q255" i="2"/>
  <c r="P255" i="2"/>
  <c r="D255" i="6" s="1"/>
  <c r="AA247" i="2"/>
  <c r="AH247" i="2"/>
  <c r="AI247" i="2" s="1"/>
  <c r="Z251" i="2"/>
  <c r="Y251" i="2"/>
  <c r="Q245" i="2"/>
  <c r="AN245" i="2"/>
  <c r="O246" i="2"/>
  <c r="H246" i="2"/>
  <c r="AF248" i="2"/>
  <c r="AE248" i="2"/>
  <c r="D249" i="2"/>
  <c r="AA249" i="2"/>
  <c r="J250" i="2"/>
  <c r="D250" i="2"/>
  <c r="AH250" i="2"/>
  <c r="AI250" i="2" s="1"/>
  <c r="AG250" i="2"/>
  <c r="AF251" i="2"/>
  <c r="AE251" i="2"/>
  <c r="H245" i="2"/>
  <c r="J246" i="2"/>
  <c r="D246" i="2"/>
  <c r="AH246" i="2"/>
  <c r="AG246" i="2"/>
  <c r="V247" i="2"/>
  <c r="AJ247" i="2"/>
  <c r="AG247" i="2"/>
  <c r="L249" i="2"/>
  <c r="M249" i="2" s="1"/>
  <c r="AA250" i="2"/>
  <c r="V246" i="2"/>
  <c r="AJ246" i="2"/>
  <c r="O247" i="2"/>
  <c r="Q249" i="2"/>
  <c r="R249" i="2" s="1"/>
  <c r="AH249" i="2"/>
  <c r="O250" i="2"/>
  <c r="H250" i="2"/>
  <c r="G251" i="2"/>
  <c r="F251" i="2"/>
  <c r="AL245" i="2"/>
  <c r="AH245" i="2"/>
  <c r="AI245" i="2" s="1"/>
  <c r="F247" i="2"/>
  <c r="Y247" i="2"/>
  <c r="L248" i="2"/>
  <c r="M248" i="2" s="1"/>
  <c r="K248" i="2"/>
  <c r="U248" i="2"/>
  <c r="T248" i="2"/>
  <c r="H249" i="2"/>
  <c r="V249" i="2"/>
  <c r="AG249" i="2"/>
  <c r="L251" i="2"/>
  <c r="M251" i="2" s="1"/>
  <c r="K251" i="2"/>
  <c r="D245" i="2"/>
  <c r="V245" i="2"/>
  <c r="L245" i="2"/>
  <c r="M245" i="2" s="1"/>
  <c r="AJ245" i="2"/>
  <c r="AA246" i="2"/>
  <c r="K247" i="2"/>
  <c r="T247" i="2"/>
  <c r="G248" i="2"/>
  <c r="F248" i="2"/>
  <c r="Z248" i="2"/>
  <c r="Y248" i="2"/>
  <c r="U251" i="2"/>
  <c r="U250" i="2" s="1"/>
  <c r="T251" i="2"/>
  <c r="S243" i="6"/>
  <c r="E243" i="6"/>
  <c r="B243" i="6"/>
  <c r="A243" i="6"/>
  <c r="S242" i="6"/>
  <c r="E242" i="6"/>
  <c r="B242" i="6"/>
  <c r="A242" i="6"/>
  <c r="S241" i="6"/>
  <c r="B241" i="6"/>
  <c r="A241" i="6"/>
  <c r="S240" i="6"/>
  <c r="B240" i="6"/>
  <c r="A240" i="6"/>
  <c r="S239" i="6"/>
  <c r="B239" i="6"/>
  <c r="A239" i="6"/>
  <c r="S238" i="6"/>
  <c r="B238" i="6"/>
  <c r="A238" i="6"/>
  <c r="S237" i="6"/>
  <c r="B237" i="6"/>
  <c r="A237" i="6"/>
  <c r="S236" i="6"/>
  <c r="B236" i="6"/>
  <c r="A236" i="6"/>
  <c r="S235" i="6"/>
  <c r="B235" i="6"/>
  <c r="A235" i="6"/>
  <c r="BB243" i="2"/>
  <c r="BA243" i="2"/>
  <c r="AV243" i="2"/>
  <c r="AD243" i="2"/>
  <c r="AF243" i="2" s="1"/>
  <c r="X243" i="2"/>
  <c r="Z243" i="2" s="1"/>
  <c r="AA243" i="2" s="1"/>
  <c r="S243" i="2"/>
  <c r="U243" i="2" s="1"/>
  <c r="J243" i="2"/>
  <c r="L243" i="2" s="1"/>
  <c r="M243" i="2" s="1"/>
  <c r="E243" i="2"/>
  <c r="G243" i="2" s="1"/>
  <c r="O243" i="2" s="1"/>
  <c r="C243" i="6" s="1"/>
  <c r="C243" i="2"/>
  <c r="D243" i="2" s="1"/>
  <c r="B243" i="2"/>
  <c r="A243" i="2"/>
  <c r="BB242" i="2"/>
  <c r="BA242" i="2"/>
  <c r="AV242" i="2"/>
  <c r="AD242" i="2"/>
  <c r="X242" i="2"/>
  <c r="S242" i="2"/>
  <c r="J242" i="2"/>
  <c r="E242" i="2"/>
  <c r="C242" i="2"/>
  <c r="D242" i="2" s="1"/>
  <c r="B242" i="2"/>
  <c r="A242" i="2"/>
  <c r="BB241" i="2"/>
  <c r="BA241" i="2"/>
  <c r="AV241" i="2"/>
  <c r="AD241" i="2"/>
  <c r="AE241" i="2" s="1"/>
  <c r="X241" i="2"/>
  <c r="E241" i="6" s="1"/>
  <c r="S241" i="2"/>
  <c r="U241" i="2" s="1"/>
  <c r="AJ241" i="2" s="1"/>
  <c r="K241" i="6" s="1"/>
  <c r="G241" i="2"/>
  <c r="O241" i="2" s="1"/>
  <c r="Q241" i="2" s="1"/>
  <c r="R241" i="2" s="1"/>
  <c r="F241" i="2"/>
  <c r="E241" i="2"/>
  <c r="C241" i="2"/>
  <c r="J241" i="2" s="1"/>
  <c r="L241" i="2" s="1"/>
  <c r="M241" i="2" s="1"/>
  <c r="B241" i="2"/>
  <c r="A241" i="2"/>
  <c r="BB240" i="2"/>
  <c r="BA240" i="2"/>
  <c r="AV240" i="2"/>
  <c r="AF240" i="2"/>
  <c r="AG240" i="2" s="1"/>
  <c r="AD240" i="2"/>
  <c r="AE240" i="2" s="1"/>
  <c r="X240" i="2"/>
  <c r="Y240" i="2" s="1"/>
  <c r="F240" i="6" s="1"/>
  <c r="S240" i="2"/>
  <c r="T240" i="2" s="1"/>
  <c r="G240" i="2"/>
  <c r="O240" i="2" s="1"/>
  <c r="C240" i="6" s="1"/>
  <c r="E240" i="2"/>
  <c r="F240" i="2" s="1"/>
  <c r="C240" i="2"/>
  <c r="J240" i="2" s="1"/>
  <c r="B240" i="2"/>
  <c r="A240" i="2"/>
  <c r="BB239" i="2"/>
  <c r="BA239" i="2"/>
  <c r="AV239" i="2"/>
  <c r="AD239" i="2"/>
  <c r="AE239" i="2" s="1"/>
  <c r="X239" i="2"/>
  <c r="Y239" i="2" s="1"/>
  <c r="F239" i="6" s="1"/>
  <c r="S239" i="2"/>
  <c r="T239" i="2" s="1"/>
  <c r="J239" i="2"/>
  <c r="K239" i="2" s="1"/>
  <c r="E239" i="2"/>
  <c r="F239" i="2" s="1"/>
  <c r="C239" i="2"/>
  <c r="D239" i="2" s="1"/>
  <c r="B239" i="2"/>
  <c r="A239" i="2"/>
  <c r="BB238" i="2"/>
  <c r="BA238" i="2"/>
  <c r="AV238" i="2"/>
  <c r="AF238" i="2"/>
  <c r="AE238" i="2"/>
  <c r="AD238" i="2"/>
  <c r="X238" i="2"/>
  <c r="E238" i="6" s="1"/>
  <c r="S238" i="2"/>
  <c r="T238" i="2" s="1"/>
  <c r="E238" i="2"/>
  <c r="F238" i="2" s="1"/>
  <c r="C238" i="2"/>
  <c r="J238" i="2" s="1"/>
  <c r="B238" i="2"/>
  <c r="A238" i="2"/>
  <c r="BB237" i="2"/>
  <c r="BA237" i="2"/>
  <c r="AV237" i="2"/>
  <c r="AD237" i="2"/>
  <c r="AE237" i="2" s="1"/>
  <c r="X237" i="2"/>
  <c r="Y237" i="2" s="1"/>
  <c r="F237" i="6" s="1"/>
  <c r="U237" i="2"/>
  <c r="S237" i="2"/>
  <c r="T237" i="2" s="1"/>
  <c r="E237" i="2"/>
  <c r="F237" i="2" s="1"/>
  <c r="C237" i="2"/>
  <c r="D237" i="2" s="1"/>
  <c r="B237" i="2"/>
  <c r="A237" i="2"/>
  <c r="BB236" i="2"/>
  <c r="BA236" i="2"/>
  <c r="AV236" i="2"/>
  <c r="AD236" i="2"/>
  <c r="AF236" i="2" s="1"/>
  <c r="X236" i="2"/>
  <c r="Z236" i="2" s="1"/>
  <c r="S236" i="2"/>
  <c r="E236" i="2"/>
  <c r="G236" i="2" s="1"/>
  <c r="C236" i="2"/>
  <c r="J236" i="2" s="1"/>
  <c r="L236" i="2" s="1"/>
  <c r="M236" i="2" s="1"/>
  <c r="B236" i="2"/>
  <c r="A236" i="2"/>
  <c r="BB235" i="2"/>
  <c r="BA235" i="2"/>
  <c r="AV235" i="2"/>
  <c r="AD235" i="2"/>
  <c r="AE235" i="2" s="1"/>
  <c r="X235" i="2"/>
  <c r="Z235" i="2" s="1"/>
  <c r="S235" i="2"/>
  <c r="T235" i="2" s="1"/>
  <c r="E235" i="2"/>
  <c r="F235" i="2" s="1"/>
  <c r="C235" i="2"/>
  <c r="D235" i="2" s="1"/>
  <c r="B235" i="2"/>
  <c r="A235" i="2"/>
  <c r="AP245" i="2"/>
  <c r="AX296" i="2"/>
  <c r="AQ296" i="2"/>
  <c r="AX292" i="2"/>
  <c r="AQ292" i="2"/>
  <c r="AW294" i="2"/>
  <c r="AP294" i="2"/>
  <c r="AX290" i="2"/>
  <c r="AQ290" i="2"/>
  <c r="AX298" i="2"/>
  <c r="AQ298" i="2"/>
  <c r="AQ277" i="2"/>
  <c r="AW284" i="2"/>
  <c r="AP284" i="2"/>
  <c r="AX282" i="2"/>
  <c r="AQ282" i="2"/>
  <c r="AP278" i="2"/>
  <c r="AW278" i="2"/>
  <c r="AX277" i="2"/>
  <c r="AX286" i="2"/>
  <c r="AQ286" i="2"/>
  <c r="AX271" i="2"/>
  <c r="AW270" i="2"/>
  <c r="AP270" i="2"/>
  <c r="AQ275" i="2"/>
  <c r="AX275" i="2"/>
  <c r="AQ271" i="2"/>
  <c r="AW266" i="2"/>
  <c r="AP266" i="2"/>
  <c r="AQ274" i="2"/>
  <c r="AX265" i="2"/>
  <c r="AX261" i="2"/>
  <c r="AQ261" i="2"/>
  <c r="AR298" i="2" l="1"/>
  <c r="AZ298" i="2"/>
  <c r="AR290" i="2"/>
  <c r="AZ290" i="2"/>
  <c r="BE294" i="2"/>
  <c r="BC294" i="2"/>
  <c r="AR292" i="2"/>
  <c r="AZ292" i="2"/>
  <c r="AR296" i="2"/>
  <c r="AZ296" i="2"/>
  <c r="BF296" i="2"/>
  <c r="BG296" i="2"/>
  <c r="BG295" i="2"/>
  <c r="BF295" i="2"/>
  <c r="BD295" i="2"/>
  <c r="BD296" i="2"/>
  <c r="BF292" i="2"/>
  <c r="BG292" i="2"/>
  <c r="BG299" i="2"/>
  <c r="BF299" i="2"/>
  <c r="BD299" i="2"/>
  <c r="AO294" i="2"/>
  <c r="BG293" i="2"/>
  <c r="BF293" i="2"/>
  <c r="BD293" i="2"/>
  <c r="BG298" i="2"/>
  <c r="BF298" i="2"/>
  <c r="AY290" i="2"/>
  <c r="AR286" i="2"/>
  <c r="AZ286" i="2"/>
  <c r="AZ277" i="2"/>
  <c r="AY278" i="2"/>
  <c r="BE278" i="2"/>
  <c r="BC278" i="2"/>
  <c r="AR282" i="2"/>
  <c r="AZ282" i="2"/>
  <c r="BE284" i="2"/>
  <c r="AY284" i="2"/>
  <c r="BD284" i="2" s="1"/>
  <c r="BC284" i="2"/>
  <c r="AR277" i="2"/>
  <c r="BF282" i="2"/>
  <c r="BG282" i="2"/>
  <c r="BD282" i="2"/>
  <c r="AY277" i="2"/>
  <c r="AY286" i="2"/>
  <c r="BF279" i="2"/>
  <c r="BG279" i="2"/>
  <c r="BD279" i="2"/>
  <c r="BF280" i="2"/>
  <c r="BG280" i="2"/>
  <c r="BD280" i="2"/>
  <c r="AO278" i="2"/>
  <c r="AO284" i="2"/>
  <c r="O270" i="6"/>
  <c r="M266" i="6"/>
  <c r="O266" i="6"/>
  <c r="AZ265" i="2"/>
  <c r="AR274" i="2"/>
  <c r="AZ274" i="2"/>
  <c r="BE266" i="2"/>
  <c r="BC266" i="2"/>
  <c r="Q266" i="6" s="1"/>
  <c r="AR271" i="2"/>
  <c r="AZ275" i="2"/>
  <c r="AR275" i="2"/>
  <c r="BE270" i="2"/>
  <c r="BC270" i="2"/>
  <c r="Q270" i="6" s="1"/>
  <c r="AZ271" i="2"/>
  <c r="BG275" i="2"/>
  <c r="BF275" i="2"/>
  <c r="BD275" i="2"/>
  <c r="AO266" i="2"/>
  <c r="H266" i="6" s="1"/>
  <c r="AT272" i="2"/>
  <c r="AN268" i="2"/>
  <c r="AM268" i="2"/>
  <c r="AO270" i="2"/>
  <c r="AY265" i="2"/>
  <c r="AY274" i="2"/>
  <c r="P274" i="6" s="1"/>
  <c r="AN272" i="2"/>
  <c r="AM272" i="2"/>
  <c r="BG269" i="2"/>
  <c r="BF269" i="2"/>
  <c r="BD269" i="2"/>
  <c r="AT268" i="2"/>
  <c r="AY271" i="2"/>
  <c r="P263" i="2"/>
  <c r="D263" i="6" s="1"/>
  <c r="AJ262" i="2"/>
  <c r="K262" i="6" s="1"/>
  <c r="Q263" i="2"/>
  <c r="AN263" i="2" s="1"/>
  <c r="G263" i="6" s="1"/>
  <c r="AI262" i="2"/>
  <c r="J262" i="6" s="1"/>
  <c r="N261" i="6"/>
  <c r="P261" i="6"/>
  <c r="AI256" i="2"/>
  <c r="J256" i="6" s="1"/>
  <c r="I256" i="6"/>
  <c r="AL257" i="2"/>
  <c r="AJ258" i="2"/>
  <c r="K258" i="6" s="1"/>
  <c r="V258" i="2"/>
  <c r="AK258" i="2" s="1"/>
  <c r="L258" i="6" s="1"/>
  <c r="R257" i="2"/>
  <c r="AN257" i="2"/>
  <c r="AR261" i="2"/>
  <c r="AZ261" i="2"/>
  <c r="R263" i="2"/>
  <c r="AS263" i="2"/>
  <c r="AK262" i="2"/>
  <c r="L262" i="6" s="1"/>
  <c r="AM262" i="2"/>
  <c r="R260" i="2"/>
  <c r="AS260" i="2"/>
  <c r="AL260" i="2"/>
  <c r="AY261" i="2"/>
  <c r="AT262" i="2"/>
  <c r="R258" i="2"/>
  <c r="AS258" i="2"/>
  <c r="AL258" i="2"/>
  <c r="R253" i="2"/>
  <c r="AN253" i="2"/>
  <c r="G253" i="6" s="1"/>
  <c r="AS253" i="2"/>
  <c r="AL253" i="2"/>
  <c r="AM253" i="2" s="1"/>
  <c r="AM256" i="2"/>
  <c r="AT256" i="2"/>
  <c r="AT257" i="2"/>
  <c r="AK256" i="2"/>
  <c r="L256" i="6" s="1"/>
  <c r="R259" i="2"/>
  <c r="AN259" i="2"/>
  <c r="G259" i="6" s="1"/>
  <c r="AL259" i="2"/>
  <c r="AS259" i="2"/>
  <c r="R254" i="2"/>
  <c r="AL254" i="2"/>
  <c r="AS254" i="2"/>
  <c r="R255" i="2"/>
  <c r="AS255" i="2"/>
  <c r="AL255" i="2"/>
  <c r="AN255" i="2"/>
  <c r="G255" i="6" s="1"/>
  <c r="V250" i="2"/>
  <c r="AJ250" i="2"/>
  <c r="AJ248" i="2"/>
  <c r="V248" i="2"/>
  <c r="AN249" i="2"/>
  <c r="O248" i="2"/>
  <c r="H248" i="2"/>
  <c r="AK249" i="2"/>
  <c r="H251" i="2"/>
  <c r="O251" i="2"/>
  <c r="AI249" i="2"/>
  <c r="Q247" i="2"/>
  <c r="P247" i="2"/>
  <c r="L246" i="2"/>
  <c r="M246" i="2" s="1"/>
  <c r="K246" i="2"/>
  <c r="L250" i="2"/>
  <c r="M250" i="2" s="1"/>
  <c r="K250" i="2"/>
  <c r="AH248" i="2"/>
  <c r="AI248" i="2" s="1"/>
  <c r="AG248" i="2"/>
  <c r="AS245" i="2"/>
  <c r="R245" i="2"/>
  <c r="AO245" i="2" s="1"/>
  <c r="AK245" i="2"/>
  <c r="AK247" i="2"/>
  <c r="AG251" i="2"/>
  <c r="AH251" i="2"/>
  <c r="AL249" i="2"/>
  <c r="AM249" i="2" s="1"/>
  <c r="AI246" i="2"/>
  <c r="V251" i="2"/>
  <c r="AJ251" i="2"/>
  <c r="AA248" i="2"/>
  <c r="P250" i="2"/>
  <c r="Q250" i="2"/>
  <c r="AK246" i="2"/>
  <c r="Q246" i="2"/>
  <c r="P246" i="2"/>
  <c r="AA251" i="2"/>
  <c r="AS249" i="2"/>
  <c r="G238" i="2"/>
  <c r="O238" i="2" s="1"/>
  <c r="C238" i="6" s="1"/>
  <c r="Z238" i="2"/>
  <c r="AH238" i="2" s="1"/>
  <c r="AF237" i="2"/>
  <c r="AG237" i="2" s="1"/>
  <c r="Y238" i="2"/>
  <c r="F238" i="6" s="1"/>
  <c r="AF241" i="2"/>
  <c r="E235" i="6"/>
  <c r="E239" i="6"/>
  <c r="D236" i="2"/>
  <c r="Y241" i="2"/>
  <c r="F241" i="6" s="1"/>
  <c r="G237" i="2"/>
  <c r="H237" i="2" s="1"/>
  <c r="T241" i="2"/>
  <c r="Z241" i="2"/>
  <c r="AS241" i="2" s="1"/>
  <c r="AN241" i="2"/>
  <c r="J235" i="2"/>
  <c r="L235" i="2" s="1"/>
  <c r="M235" i="2" s="1"/>
  <c r="C241" i="6"/>
  <c r="Z240" i="2"/>
  <c r="AA240" i="2" s="1"/>
  <c r="E237" i="6"/>
  <c r="Z237" i="2"/>
  <c r="AH237" i="2" s="1"/>
  <c r="I237" i="6" s="1"/>
  <c r="P241" i="2"/>
  <c r="D241" i="6" s="1"/>
  <c r="E236" i="6"/>
  <c r="E240" i="6"/>
  <c r="AH236" i="2"/>
  <c r="AG236" i="2"/>
  <c r="L238" i="2"/>
  <c r="M238" i="2" s="1"/>
  <c r="K238" i="2"/>
  <c r="P240" i="2"/>
  <c r="D240" i="6" s="1"/>
  <c r="Q240" i="2"/>
  <c r="R240" i="2" s="1"/>
  <c r="O236" i="2"/>
  <c r="C236" i="6" s="1"/>
  <c r="H236" i="2"/>
  <c r="K240" i="2"/>
  <c r="L240" i="2"/>
  <c r="M240" i="2" s="1"/>
  <c r="AA235" i="2"/>
  <c r="AA236" i="2"/>
  <c r="P238" i="2"/>
  <c r="D238" i="6" s="1"/>
  <c r="J237" i="2"/>
  <c r="D238" i="2"/>
  <c r="H238" i="2"/>
  <c r="AG238" i="2"/>
  <c r="G239" i="2"/>
  <c r="L239" i="2"/>
  <c r="M239" i="2" s="1"/>
  <c r="U239" i="2"/>
  <c r="U238" i="2" s="1"/>
  <c r="Z239" i="2"/>
  <c r="AF239" i="2"/>
  <c r="D240" i="2"/>
  <c r="K242" i="2"/>
  <c r="L242" i="2"/>
  <c r="M242" i="2" s="1"/>
  <c r="AE242" i="2"/>
  <c r="AF242" i="2"/>
  <c r="H243" i="2"/>
  <c r="AJ243" i="2"/>
  <c r="K243" i="6" s="1"/>
  <c r="AH243" i="2"/>
  <c r="K235" i="2"/>
  <c r="Y235" i="2"/>
  <c r="F235" i="6" s="1"/>
  <c r="V237" i="2"/>
  <c r="G235" i="2"/>
  <c r="U235" i="2"/>
  <c r="AF235" i="2"/>
  <c r="F236" i="2"/>
  <c r="K236" i="2"/>
  <c r="T236" i="2"/>
  <c r="Y236" i="2"/>
  <c r="F236" i="6" s="1"/>
  <c r="AE236" i="2"/>
  <c r="K241" i="2"/>
  <c r="V243" i="2"/>
  <c r="AG243" i="2"/>
  <c r="T242" i="2"/>
  <c r="U242" i="2"/>
  <c r="AJ237" i="2"/>
  <c r="K237" i="6" s="1"/>
  <c r="H240" i="2"/>
  <c r="F242" i="2"/>
  <c r="G242" i="2"/>
  <c r="Y242" i="2"/>
  <c r="F242" i="6" s="1"/>
  <c r="Z242" i="2"/>
  <c r="Q243" i="2"/>
  <c r="R243" i="2" s="1"/>
  <c r="P243" i="2"/>
  <c r="D243" i="6" s="1"/>
  <c r="D241" i="2"/>
  <c r="H241" i="2"/>
  <c r="V241" i="2"/>
  <c r="AG241" i="2"/>
  <c r="AO241" i="2" s="1"/>
  <c r="H241" i="6" s="1"/>
  <c r="F243" i="2"/>
  <c r="K243" i="2"/>
  <c r="T243" i="2"/>
  <c r="Y243" i="2"/>
  <c r="F243" i="6" s="1"/>
  <c r="AE243" i="2"/>
  <c r="AL241" i="2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233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232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231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230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229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228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227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226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225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224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223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222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221" i="6"/>
  <c r="BB233" i="2"/>
  <c r="BA233" i="2"/>
  <c r="AV233" i="2"/>
  <c r="AD233" i="2"/>
  <c r="AF233" i="2" s="1"/>
  <c r="X233" i="2"/>
  <c r="Z233" i="2" s="1"/>
  <c r="S233" i="2"/>
  <c r="U233" i="2" s="1"/>
  <c r="J233" i="2"/>
  <c r="L233" i="2" s="1"/>
  <c r="M233" i="2" s="1"/>
  <c r="E233" i="2"/>
  <c r="G233" i="2" s="1"/>
  <c r="D233" i="2"/>
  <c r="C233" i="2"/>
  <c r="B233" i="2"/>
  <c r="A233" i="2"/>
  <c r="BB232" i="2"/>
  <c r="BA232" i="2"/>
  <c r="AV232" i="2"/>
  <c r="AD232" i="2"/>
  <c r="AF232" i="2" s="1"/>
  <c r="X232" i="2"/>
  <c r="Y232" i="2" s="1"/>
  <c r="S232" i="2"/>
  <c r="T232" i="2" s="1"/>
  <c r="J232" i="2"/>
  <c r="K232" i="2" s="1"/>
  <c r="E232" i="2"/>
  <c r="F232" i="2" s="1"/>
  <c r="C232" i="2"/>
  <c r="D232" i="2" s="1"/>
  <c r="B232" i="2"/>
  <c r="A232" i="2"/>
  <c r="BB231" i="2"/>
  <c r="BA231" i="2"/>
  <c r="AV231" i="2"/>
  <c r="AF231" i="2"/>
  <c r="AE231" i="2"/>
  <c r="AD231" i="2"/>
  <c r="Z231" i="2"/>
  <c r="Y231" i="2"/>
  <c r="X231" i="2"/>
  <c r="U231" i="2"/>
  <c r="AJ231" i="2" s="1"/>
  <c r="T231" i="2"/>
  <c r="S231" i="2"/>
  <c r="G231" i="2"/>
  <c r="O231" i="2" s="1"/>
  <c r="F231" i="2"/>
  <c r="E231" i="2"/>
  <c r="C231" i="2"/>
  <c r="J231" i="2" s="1"/>
  <c r="B231" i="2"/>
  <c r="A231" i="2"/>
  <c r="BB230" i="2"/>
  <c r="BA230" i="2"/>
  <c r="AV230" i="2"/>
  <c r="AG230" i="2"/>
  <c r="AF230" i="2"/>
  <c r="AD230" i="2"/>
  <c r="AE230" i="2" s="1"/>
  <c r="AA230" i="2"/>
  <c r="Z230" i="2"/>
  <c r="X230" i="2"/>
  <c r="Y230" i="2" s="1"/>
  <c r="S230" i="2"/>
  <c r="T230" i="2" s="1"/>
  <c r="H230" i="2"/>
  <c r="G230" i="2"/>
  <c r="O230" i="2" s="1"/>
  <c r="E230" i="2"/>
  <c r="F230" i="2" s="1"/>
  <c r="D230" i="2"/>
  <c r="C230" i="2"/>
  <c r="J230" i="2" s="1"/>
  <c r="B230" i="2"/>
  <c r="A230" i="2"/>
  <c r="BB229" i="2"/>
  <c r="BA229" i="2"/>
  <c r="AV229" i="2"/>
  <c r="AD229" i="2"/>
  <c r="AF229" i="2" s="1"/>
  <c r="X229" i="2"/>
  <c r="Z229" i="2" s="1"/>
  <c r="S229" i="2"/>
  <c r="U229" i="2" s="1"/>
  <c r="J229" i="2"/>
  <c r="L229" i="2" s="1"/>
  <c r="M229" i="2" s="1"/>
  <c r="E229" i="2"/>
  <c r="G229" i="2" s="1"/>
  <c r="D229" i="2"/>
  <c r="C229" i="2"/>
  <c r="B229" i="2"/>
  <c r="A229" i="2"/>
  <c r="BB228" i="2"/>
  <c r="BA228" i="2"/>
  <c r="AV228" i="2"/>
  <c r="AE228" i="2"/>
  <c r="AD228" i="2"/>
  <c r="AF228" i="2" s="1"/>
  <c r="Y228" i="2"/>
  <c r="X228" i="2"/>
  <c r="Z228" i="2" s="1"/>
  <c r="T228" i="2"/>
  <c r="S228" i="2"/>
  <c r="K228" i="2"/>
  <c r="J228" i="2"/>
  <c r="L228" i="2" s="1"/>
  <c r="M228" i="2" s="1"/>
  <c r="E228" i="2"/>
  <c r="G228" i="2" s="1"/>
  <c r="C228" i="2"/>
  <c r="D228" i="2" s="1"/>
  <c r="B228" i="2"/>
  <c r="A228" i="2"/>
  <c r="BB227" i="2"/>
  <c r="BA227" i="2"/>
  <c r="AV227" i="2"/>
  <c r="AF227" i="2"/>
  <c r="AE227" i="2"/>
  <c r="AD227" i="2"/>
  <c r="Z227" i="2"/>
  <c r="Y227" i="2"/>
  <c r="X227" i="2"/>
  <c r="U227" i="2"/>
  <c r="T227" i="2"/>
  <c r="S227" i="2"/>
  <c r="G227" i="2"/>
  <c r="F227" i="2"/>
  <c r="E227" i="2"/>
  <c r="C227" i="2"/>
  <c r="B227" i="2"/>
  <c r="A227" i="2"/>
  <c r="BB226" i="2"/>
  <c r="BA226" i="2"/>
  <c r="AV226" i="2"/>
  <c r="AG226" i="2"/>
  <c r="AF226" i="2"/>
  <c r="AE226" i="2"/>
  <c r="AD226" i="2"/>
  <c r="AA226" i="2"/>
  <c r="Z226" i="2"/>
  <c r="X226" i="2"/>
  <c r="Y226" i="2" s="1"/>
  <c r="U226" i="2"/>
  <c r="S226" i="2"/>
  <c r="T226" i="2" s="1"/>
  <c r="G226" i="2"/>
  <c r="O226" i="2" s="1"/>
  <c r="P226" i="2" s="1"/>
  <c r="E226" i="2"/>
  <c r="F226" i="2" s="1"/>
  <c r="C226" i="2"/>
  <c r="J226" i="2" s="1"/>
  <c r="K226" i="2" s="1"/>
  <c r="B226" i="2"/>
  <c r="A226" i="2"/>
  <c r="BB225" i="2"/>
  <c r="BA225" i="2"/>
  <c r="AV225" i="2"/>
  <c r="AF225" i="2"/>
  <c r="AE225" i="2"/>
  <c r="AD225" i="2"/>
  <c r="Z225" i="2"/>
  <c r="Y225" i="2"/>
  <c r="X225" i="2"/>
  <c r="U225" i="2"/>
  <c r="V225" i="2" s="1"/>
  <c r="AK225" i="2" s="1"/>
  <c r="T225" i="2"/>
  <c r="S225" i="2"/>
  <c r="G225" i="2"/>
  <c r="O225" i="2" s="1"/>
  <c r="F225" i="2"/>
  <c r="E225" i="2"/>
  <c r="C225" i="2"/>
  <c r="J225" i="2" s="1"/>
  <c r="B225" i="2"/>
  <c r="A225" i="2"/>
  <c r="BB224" i="2"/>
  <c r="BA224" i="2"/>
  <c r="AV224" i="2"/>
  <c r="AF224" i="2"/>
  <c r="AD224" i="2"/>
  <c r="AE224" i="2" s="1"/>
  <c r="Z224" i="2"/>
  <c r="X224" i="2"/>
  <c r="Y224" i="2" s="1"/>
  <c r="U224" i="2"/>
  <c r="AJ224" i="2" s="1"/>
  <c r="S224" i="2"/>
  <c r="T224" i="2" s="1"/>
  <c r="G224" i="2"/>
  <c r="E224" i="2"/>
  <c r="F224" i="2" s="1"/>
  <c r="C224" i="2"/>
  <c r="B224" i="2"/>
  <c r="A224" i="2"/>
  <c r="BB223" i="2"/>
  <c r="BA223" i="2"/>
  <c r="AV223" i="2"/>
  <c r="AG223" i="2"/>
  <c r="AD223" i="2"/>
  <c r="AF223" i="2" s="1"/>
  <c r="X223" i="2"/>
  <c r="Z223" i="2" s="1"/>
  <c r="V223" i="2"/>
  <c r="AK223" i="2" s="1"/>
  <c r="S223" i="2"/>
  <c r="U223" i="2" s="1"/>
  <c r="J223" i="2"/>
  <c r="L223" i="2" s="1"/>
  <c r="M223" i="2" s="1"/>
  <c r="E223" i="2"/>
  <c r="G223" i="2" s="1"/>
  <c r="O223" i="2" s="1"/>
  <c r="D223" i="2"/>
  <c r="C223" i="2"/>
  <c r="B223" i="2"/>
  <c r="A223" i="2"/>
  <c r="BB222" i="2"/>
  <c r="BA222" i="2"/>
  <c r="AV222" i="2"/>
  <c r="AD222" i="2"/>
  <c r="X222" i="2"/>
  <c r="S222" i="2"/>
  <c r="J222" i="2"/>
  <c r="E222" i="2"/>
  <c r="C222" i="2"/>
  <c r="D222" i="2" s="1"/>
  <c r="B222" i="2"/>
  <c r="A222" i="2"/>
  <c r="BB221" i="2"/>
  <c r="BA221" i="2"/>
  <c r="AV221" i="2"/>
  <c r="AF221" i="2"/>
  <c r="AL221" i="2" s="1"/>
  <c r="AE221" i="2"/>
  <c r="AD221" i="2"/>
  <c r="Z221" i="2"/>
  <c r="Y221" i="2"/>
  <c r="X221" i="2"/>
  <c r="U221" i="2"/>
  <c r="T221" i="2"/>
  <c r="S221" i="2"/>
  <c r="P221" i="2"/>
  <c r="G221" i="2"/>
  <c r="O221" i="2" s="1"/>
  <c r="Q221" i="2" s="1"/>
  <c r="R221" i="2" s="1"/>
  <c r="F221" i="2"/>
  <c r="E221" i="2"/>
  <c r="C221" i="2"/>
  <c r="J221" i="2" s="1"/>
  <c r="L221" i="2" s="1"/>
  <c r="M221" i="2" s="1"/>
  <c r="B221" i="2"/>
  <c r="A221" i="2"/>
  <c r="AP241" i="2"/>
  <c r="AQ241" i="2"/>
  <c r="AW241" i="2"/>
  <c r="AP249" i="2"/>
  <c r="AW245" i="2"/>
  <c r="AW249" i="2"/>
  <c r="AQ245" i="2"/>
  <c r="AX294" i="2"/>
  <c r="AQ294" i="2"/>
  <c r="AQ278" i="2"/>
  <c r="AX278" i="2"/>
  <c r="AX284" i="2"/>
  <c r="AQ284" i="2"/>
  <c r="AW268" i="2"/>
  <c r="AP268" i="2"/>
  <c r="AW272" i="2"/>
  <c r="AP272" i="2"/>
  <c r="AX266" i="2"/>
  <c r="AQ266" i="2"/>
  <c r="AX270" i="2"/>
  <c r="AQ270" i="2"/>
  <c r="AW257" i="2"/>
  <c r="AW259" i="2"/>
  <c r="AP259" i="2"/>
  <c r="AP257" i="2"/>
  <c r="AP253" i="2"/>
  <c r="AP255" i="2"/>
  <c r="AW263" i="2"/>
  <c r="AW255" i="2"/>
  <c r="AP263" i="2"/>
  <c r="AW253" i="2"/>
  <c r="AR294" i="2" l="1"/>
  <c r="AZ294" i="2"/>
  <c r="BF290" i="2"/>
  <c r="BG290" i="2"/>
  <c r="BD290" i="2"/>
  <c r="AY294" i="2"/>
  <c r="AR284" i="2"/>
  <c r="AZ284" i="2"/>
  <c r="AZ278" i="2"/>
  <c r="AR278" i="2"/>
  <c r="BG278" i="2"/>
  <c r="BF278" i="2"/>
  <c r="BG286" i="2"/>
  <c r="BF286" i="2"/>
  <c r="BD286" i="2"/>
  <c r="BG284" i="2"/>
  <c r="BF284" i="2"/>
  <c r="BF277" i="2"/>
  <c r="BG277" i="2"/>
  <c r="BD277" i="2"/>
  <c r="BD278" i="2"/>
  <c r="O272" i="6"/>
  <c r="AY266" i="2"/>
  <c r="P266" i="6" s="1"/>
  <c r="N266" i="6"/>
  <c r="O268" i="6"/>
  <c r="AR270" i="2"/>
  <c r="AZ270" i="2"/>
  <c r="AR266" i="2"/>
  <c r="AZ266" i="2"/>
  <c r="BE272" i="2"/>
  <c r="BC272" i="2"/>
  <c r="Q272" i="6" s="1"/>
  <c r="BE268" i="2"/>
  <c r="BC268" i="2"/>
  <c r="Q268" i="6" s="1"/>
  <c r="BG265" i="2"/>
  <c r="BF265" i="2"/>
  <c r="BD265" i="2"/>
  <c r="AY270" i="2"/>
  <c r="P270" i="6" s="1"/>
  <c r="AO272" i="2"/>
  <c r="AY272" i="2" s="1"/>
  <c r="P272" i="6" s="1"/>
  <c r="BF271" i="2"/>
  <c r="BG271" i="2"/>
  <c r="BD271" i="2"/>
  <c r="BG274" i="2"/>
  <c r="BF274" i="2"/>
  <c r="BD274" i="2"/>
  <c r="R274" i="6" s="1"/>
  <c r="AO268" i="2"/>
  <c r="AY268" i="2" s="1"/>
  <c r="P268" i="6" s="1"/>
  <c r="AL263" i="2"/>
  <c r="M255" i="6"/>
  <c r="M259" i="6"/>
  <c r="O253" i="6"/>
  <c r="O255" i="6"/>
  <c r="M253" i="6"/>
  <c r="O259" i="6"/>
  <c r="M263" i="6"/>
  <c r="O263" i="6"/>
  <c r="M257" i="6"/>
  <c r="O257" i="6"/>
  <c r="BE257" i="2"/>
  <c r="BC257" i="2"/>
  <c r="Q257" i="6" s="1"/>
  <c r="AM263" i="2"/>
  <c r="G257" i="6"/>
  <c r="AO257" i="2"/>
  <c r="AY257" i="2" s="1"/>
  <c r="AM257" i="2"/>
  <c r="BE263" i="2"/>
  <c r="BC263" i="2"/>
  <c r="Q263" i="6" s="1"/>
  <c r="AN260" i="2"/>
  <c r="G260" i="6" s="1"/>
  <c r="AM260" i="2"/>
  <c r="AO263" i="2"/>
  <c r="H263" i="6" s="1"/>
  <c r="AT260" i="2"/>
  <c r="AT263" i="2"/>
  <c r="BG261" i="2"/>
  <c r="BF261" i="2"/>
  <c r="BD261" i="2"/>
  <c r="R261" i="6" s="1"/>
  <c r="AN262" i="2"/>
  <c r="G262" i="6" s="1"/>
  <c r="BE253" i="2"/>
  <c r="BC253" i="2"/>
  <c r="Q253" i="6" s="1"/>
  <c r="BE255" i="2"/>
  <c r="BC255" i="2"/>
  <c r="Q255" i="6" s="1"/>
  <c r="BE259" i="2"/>
  <c r="BC259" i="2"/>
  <c r="Q259" i="6" s="1"/>
  <c r="AO255" i="2"/>
  <c r="H255" i="6" s="1"/>
  <c r="AT254" i="2"/>
  <c r="AM259" i="2"/>
  <c r="AM258" i="2"/>
  <c r="AN258" i="2"/>
  <c r="G258" i="6" s="1"/>
  <c r="AM255" i="2"/>
  <c r="AN254" i="2"/>
  <c r="G254" i="6" s="1"/>
  <c r="AM254" i="2"/>
  <c r="AO259" i="2"/>
  <c r="H259" i="6" s="1"/>
  <c r="AT253" i="2"/>
  <c r="AT258" i="2"/>
  <c r="AT255" i="2"/>
  <c r="AY255" i="2" s="1"/>
  <c r="AO253" i="2"/>
  <c r="H253" i="6" s="1"/>
  <c r="AT259" i="2"/>
  <c r="AN256" i="2"/>
  <c r="G256" i="6" s="1"/>
  <c r="AR245" i="2"/>
  <c r="BE249" i="2"/>
  <c r="BC249" i="2"/>
  <c r="BE245" i="2"/>
  <c r="BC245" i="2"/>
  <c r="Q251" i="2"/>
  <c r="P251" i="2"/>
  <c r="Q248" i="2"/>
  <c r="P248" i="2"/>
  <c r="AT249" i="2"/>
  <c r="R246" i="2"/>
  <c r="AL246" i="2"/>
  <c r="AS246" i="2"/>
  <c r="AM245" i="2"/>
  <c r="AT245" i="2"/>
  <c r="AO249" i="2"/>
  <c r="AK251" i="2"/>
  <c r="AI251" i="2"/>
  <c r="R247" i="2"/>
  <c r="AL247" i="2"/>
  <c r="AM247" i="2" s="1"/>
  <c r="AS247" i="2"/>
  <c r="AN247" i="2"/>
  <c r="AK248" i="2"/>
  <c r="AK250" i="2"/>
  <c r="R250" i="2"/>
  <c r="AL250" i="2"/>
  <c r="AS250" i="2"/>
  <c r="AA238" i="2"/>
  <c r="Q238" i="2"/>
  <c r="R238" i="2" s="1"/>
  <c r="AH241" i="2"/>
  <c r="AA241" i="2"/>
  <c r="AI241" i="2" s="1"/>
  <c r="J241" i="6" s="1"/>
  <c r="M241" i="6"/>
  <c r="O237" i="2"/>
  <c r="C237" i="6" s="1"/>
  <c r="U240" i="2"/>
  <c r="AJ240" i="2" s="1"/>
  <c r="K240" i="6" s="1"/>
  <c r="AI243" i="2"/>
  <c r="J243" i="6" s="1"/>
  <c r="I243" i="6"/>
  <c r="G241" i="6"/>
  <c r="O241" i="6"/>
  <c r="N241" i="6"/>
  <c r="AL238" i="2"/>
  <c r="AM238" i="2" s="1"/>
  <c r="I241" i="6"/>
  <c r="AA237" i="2"/>
  <c r="AI238" i="2"/>
  <c r="J238" i="6" s="1"/>
  <c r="I238" i="6"/>
  <c r="AI236" i="2"/>
  <c r="J236" i="6" s="1"/>
  <c r="I236" i="6"/>
  <c r="AM241" i="2"/>
  <c r="AH240" i="2"/>
  <c r="BE241" i="2"/>
  <c r="BC241" i="2"/>
  <c r="Q241" i="6" s="1"/>
  <c r="AR241" i="2"/>
  <c r="AJ238" i="2"/>
  <c r="K238" i="6" s="1"/>
  <c r="V238" i="2"/>
  <c r="AH239" i="2"/>
  <c r="I239" i="6" s="1"/>
  <c r="AG239" i="2"/>
  <c r="H242" i="2"/>
  <c r="O242" i="2"/>
  <c r="C242" i="6" s="1"/>
  <c r="AL240" i="2"/>
  <c r="V235" i="2"/>
  <c r="AJ235" i="2"/>
  <c r="K235" i="6" s="1"/>
  <c r="AL243" i="2"/>
  <c r="AM243" i="2" s="1"/>
  <c r="AG242" i="2"/>
  <c r="AH242" i="2"/>
  <c r="I242" i="6" s="1"/>
  <c r="AT241" i="2"/>
  <c r="AA239" i="2"/>
  <c r="L237" i="2"/>
  <c r="M237" i="2" s="1"/>
  <c r="K237" i="2"/>
  <c r="P237" i="2"/>
  <c r="D237" i="6" s="1"/>
  <c r="AK243" i="2"/>
  <c r="L243" i="6" s="1"/>
  <c r="O235" i="2"/>
  <c r="C235" i="6" s="1"/>
  <c r="H235" i="2"/>
  <c r="AS243" i="2"/>
  <c r="AS240" i="2"/>
  <c r="V239" i="2"/>
  <c r="AJ239" i="2"/>
  <c r="K239" i="6" s="1"/>
  <c r="U236" i="2"/>
  <c r="V240" i="2"/>
  <c r="V242" i="2"/>
  <c r="AJ242" i="2"/>
  <c r="K242" i="6" s="1"/>
  <c r="AG235" i="2"/>
  <c r="AH235" i="2"/>
  <c r="H239" i="2"/>
  <c r="O239" i="2"/>
  <c r="C239" i="6" s="1"/>
  <c r="AK241" i="2"/>
  <c r="L241" i="6" s="1"/>
  <c r="AA242" i="2"/>
  <c r="AK237" i="2"/>
  <c r="L237" i="6" s="1"/>
  <c r="AN243" i="2"/>
  <c r="G243" i="6" s="1"/>
  <c r="AI237" i="2"/>
  <c r="J237" i="6" s="1"/>
  <c r="Q236" i="2"/>
  <c r="P236" i="2"/>
  <c r="D236" i="6" s="1"/>
  <c r="AE232" i="2"/>
  <c r="AS223" i="2"/>
  <c r="H224" i="2"/>
  <c r="O224" i="2"/>
  <c r="AG224" i="2"/>
  <c r="AH224" i="2"/>
  <c r="AN225" i="2"/>
  <c r="F222" i="2"/>
  <c r="G222" i="2"/>
  <c r="Q223" i="2"/>
  <c r="R223" i="2" s="1"/>
  <c r="P223" i="2"/>
  <c r="AA223" i="2"/>
  <c r="AS225" i="2"/>
  <c r="K221" i="2"/>
  <c r="T222" i="2"/>
  <c r="U222" i="2"/>
  <c r="V224" i="2"/>
  <c r="L225" i="2"/>
  <c r="M225" i="2" s="1"/>
  <c r="K225" i="2"/>
  <c r="Y222" i="2"/>
  <c r="Z222" i="2"/>
  <c r="AS221" i="2"/>
  <c r="K222" i="2"/>
  <c r="L222" i="2"/>
  <c r="M222" i="2" s="1"/>
  <c r="AE222" i="2"/>
  <c r="AF222" i="2"/>
  <c r="H223" i="2"/>
  <c r="AJ223" i="2"/>
  <c r="AL223" i="2"/>
  <c r="AM223" i="2" s="1"/>
  <c r="AN223" i="2"/>
  <c r="AH223" i="2"/>
  <c r="AI223" i="2" s="1"/>
  <c r="D224" i="2"/>
  <c r="J224" i="2"/>
  <c r="AA224" i="2"/>
  <c r="Q225" i="2"/>
  <c r="R225" i="2" s="1"/>
  <c r="P225" i="2"/>
  <c r="AJ225" i="2"/>
  <c r="D221" i="2"/>
  <c r="AG221" i="2"/>
  <c r="AM221" i="2" s="1"/>
  <c r="F223" i="2"/>
  <c r="K223" i="2"/>
  <c r="T223" i="2"/>
  <c r="Y223" i="2"/>
  <c r="AE223" i="2"/>
  <c r="D225" i="2"/>
  <c r="H225" i="2"/>
  <c r="AA225" i="2"/>
  <c r="AG225" i="2"/>
  <c r="H226" i="2"/>
  <c r="V227" i="2"/>
  <c r="AJ227" i="2"/>
  <c r="F228" i="2"/>
  <c r="U228" i="2"/>
  <c r="AH228" i="2"/>
  <c r="AG228" i="2"/>
  <c r="AA229" i="2"/>
  <c r="L231" i="2"/>
  <c r="M231" i="2" s="1"/>
  <c r="K231" i="2"/>
  <c r="O233" i="2"/>
  <c r="H233" i="2"/>
  <c r="AH233" i="2"/>
  <c r="AG233" i="2"/>
  <c r="AJ221" i="2"/>
  <c r="AN221" i="2"/>
  <c r="H221" i="2"/>
  <c r="V221" i="2"/>
  <c r="AA221" i="2"/>
  <c r="AH221" i="2"/>
  <c r="AH225" i="2"/>
  <c r="AI225" i="2" s="1"/>
  <c r="AL225" i="2"/>
  <c r="AM225" i="2" s="1"/>
  <c r="D226" i="2"/>
  <c r="L226" i="2"/>
  <c r="M226" i="2" s="1"/>
  <c r="AL226" i="2"/>
  <c r="AH226" i="2"/>
  <c r="AI226" i="2" s="1"/>
  <c r="O227" i="2"/>
  <c r="H227" i="2"/>
  <c r="O229" i="2"/>
  <c r="H229" i="2"/>
  <c r="AH229" i="2"/>
  <c r="AG229" i="2"/>
  <c r="AL230" i="2"/>
  <c r="J227" i="2"/>
  <c r="D227" i="2"/>
  <c r="AH227" i="2"/>
  <c r="AI227" i="2" s="1"/>
  <c r="AG227" i="2"/>
  <c r="AA228" i="2"/>
  <c r="Q230" i="2"/>
  <c r="R230" i="2" s="1"/>
  <c r="P230" i="2"/>
  <c r="V233" i="2"/>
  <c r="AJ233" i="2"/>
  <c r="Q226" i="2"/>
  <c r="V226" i="2"/>
  <c r="AJ226" i="2"/>
  <c r="AA227" i="2"/>
  <c r="O228" i="2"/>
  <c r="H228" i="2"/>
  <c r="U230" i="2"/>
  <c r="V229" i="2"/>
  <c r="AJ229" i="2"/>
  <c r="L230" i="2"/>
  <c r="M230" i="2" s="1"/>
  <c r="K230" i="2"/>
  <c r="Q231" i="2"/>
  <c r="R231" i="2" s="1"/>
  <c r="P231" i="2"/>
  <c r="AG232" i="2"/>
  <c r="AA233" i="2"/>
  <c r="F229" i="2"/>
  <c r="K229" i="2"/>
  <c r="T229" i="2"/>
  <c r="Y229" i="2"/>
  <c r="AE229" i="2"/>
  <c r="AH230" i="2"/>
  <c r="AI230" i="2" s="1"/>
  <c r="D231" i="2"/>
  <c r="H231" i="2"/>
  <c r="V231" i="2"/>
  <c r="AA231" i="2"/>
  <c r="AG231" i="2"/>
  <c r="G232" i="2"/>
  <c r="L232" i="2"/>
  <c r="M232" i="2" s="1"/>
  <c r="U232" i="2"/>
  <c r="Z232" i="2"/>
  <c r="AH232" i="2" s="1"/>
  <c r="F233" i="2"/>
  <c r="K233" i="2"/>
  <c r="T233" i="2"/>
  <c r="Y233" i="2"/>
  <c r="AE233" i="2"/>
  <c r="AH231" i="2"/>
  <c r="AL231" i="2"/>
  <c r="AW223" i="2"/>
  <c r="AP223" i="2"/>
  <c r="AW225" i="2"/>
  <c r="AP221" i="2"/>
  <c r="AP225" i="2"/>
  <c r="AW221" i="2"/>
  <c r="AP243" i="2"/>
  <c r="AX241" i="2"/>
  <c r="AW243" i="2"/>
  <c r="AX245" i="2"/>
  <c r="AQ249" i="2"/>
  <c r="AW247" i="2"/>
  <c r="AX249" i="2"/>
  <c r="AP247" i="2"/>
  <c r="AX272" i="2"/>
  <c r="AQ272" i="2"/>
  <c r="AX268" i="2"/>
  <c r="AQ268" i="2"/>
  <c r="AP260" i="2"/>
  <c r="AQ263" i="2"/>
  <c r="AQ259" i="2"/>
  <c r="AW254" i="2"/>
  <c r="AP256" i="2"/>
  <c r="AP254" i="2"/>
  <c r="AP258" i="2"/>
  <c r="AW256" i="2"/>
  <c r="AX257" i="2"/>
  <c r="AX263" i="2"/>
  <c r="AQ255" i="2"/>
  <c r="AX255" i="2"/>
  <c r="AW260" i="2"/>
  <c r="AQ253" i="2"/>
  <c r="AQ257" i="2"/>
  <c r="AW262" i="2"/>
  <c r="AW258" i="2"/>
  <c r="AX253" i="2"/>
  <c r="AX259" i="2"/>
  <c r="AP262" i="2"/>
  <c r="BG294" i="2" l="1"/>
  <c r="BF294" i="2"/>
  <c r="BD294" i="2"/>
  <c r="BD266" i="2"/>
  <c r="R266" i="6" s="1"/>
  <c r="BF266" i="2"/>
  <c r="BG266" i="2"/>
  <c r="AR268" i="2"/>
  <c r="AZ268" i="2"/>
  <c r="AR272" i="2"/>
  <c r="AZ272" i="2"/>
  <c r="BG268" i="2"/>
  <c r="BF268" i="2"/>
  <c r="BD268" i="2"/>
  <c r="R268" i="6" s="1"/>
  <c r="BG272" i="2"/>
  <c r="BF272" i="2"/>
  <c r="BD272" i="2"/>
  <c r="R272" i="6" s="1"/>
  <c r="BG270" i="2"/>
  <c r="BF270" i="2"/>
  <c r="BD270" i="2"/>
  <c r="R270" i="6" s="1"/>
  <c r="M256" i="6"/>
  <c r="O256" i="6"/>
  <c r="P259" i="6"/>
  <c r="M254" i="6"/>
  <c r="O254" i="6"/>
  <c r="N253" i="6"/>
  <c r="P253" i="6"/>
  <c r="P255" i="6"/>
  <c r="N259" i="6"/>
  <c r="M258" i="6"/>
  <c r="O258" i="6"/>
  <c r="N255" i="6"/>
  <c r="N263" i="6"/>
  <c r="M262" i="6"/>
  <c r="O262" i="6"/>
  <c r="P263" i="6"/>
  <c r="M260" i="6"/>
  <c r="O260" i="6"/>
  <c r="N257" i="6"/>
  <c r="AR257" i="2"/>
  <c r="P257" i="6"/>
  <c r="AZ257" i="2"/>
  <c r="H257" i="6"/>
  <c r="AR263" i="2"/>
  <c r="BE262" i="2"/>
  <c r="BC262" i="2"/>
  <c r="Q262" i="6" s="1"/>
  <c r="AZ263" i="2"/>
  <c r="BE260" i="2"/>
  <c r="BC260" i="2"/>
  <c r="Q260" i="6" s="1"/>
  <c r="AO262" i="2"/>
  <c r="H262" i="6" s="1"/>
  <c r="AO260" i="2"/>
  <c r="H260" i="6" s="1"/>
  <c r="AY263" i="2"/>
  <c r="BE256" i="2"/>
  <c r="BC256" i="2"/>
  <c r="Q256" i="6" s="1"/>
  <c r="AZ259" i="2"/>
  <c r="AY254" i="2"/>
  <c r="BE254" i="2"/>
  <c r="BC254" i="2"/>
  <c r="Q254" i="6" s="1"/>
  <c r="AR253" i="2"/>
  <c r="AZ253" i="2"/>
  <c r="AZ255" i="2"/>
  <c r="AR259" i="2"/>
  <c r="BE258" i="2"/>
  <c r="BC258" i="2"/>
  <c r="Q258" i="6" s="1"/>
  <c r="AR255" i="2"/>
  <c r="BF255" i="2"/>
  <c r="BG255" i="2"/>
  <c r="BD255" i="2"/>
  <c r="R255" i="6" s="1"/>
  <c r="AO256" i="2"/>
  <c r="AO254" i="2"/>
  <c r="H254" i="6" s="1"/>
  <c r="AY259" i="2"/>
  <c r="AY253" i="2"/>
  <c r="AO258" i="2"/>
  <c r="H258" i="6" s="1"/>
  <c r="BG257" i="2"/>
  <c r="BF257" i="2"/>
  <c r="BD257" i="2"/>
  <c r="R257" i="6" s="1"/>
  <c r="AZ249" i="2"/>
  <c r="BE247" i="2"/>
  <c r="BC247" i="2"/>
  <c r="AR249" i="2"/>
  <c r="AZ245" i="2"/>
  <c r="AN250" i="2"/>
  <c r="AM250" i="2"/>
  <c r="AO247" i="2"/>
  <c r="R251" i="2"/>
  <c r="AL251" i="2"/>
  <c r="AM251" i="2" s="1"/>
  <c r="AS251" i="2"/>
  <c r="AN251" i="2"/>
  <c r="AT247" i="2"/>
  <c r="AN246" i="2"/>
  <c r="AM246" i="2"/>
  <c r="R248" i="2"/>
  <c r="AL248" i="2"/>
  <c r="AS248" i="2"/>
  <c r="AT250" i="2"/>
  <c r="AY245" i="2"/>
  <c r="AY249" i="2"/>
  <c r="AT246" i="2"/>
  <c r="Q237" i="2"/>
  <c r="AL237" i="2" s="1"/>
  <c r="AS238" i="2"/>
  <c r="AT238" i="2" s="1"/>
  <c r="O243" i="6"/>
  <c r="M243" i="6"/>
  <c r="AI235" i="2"/>
  <c r="J235" i="6" s="1"/>
  <c r="I235" i="6"/>
  <c r="P241" i="6"/>
  <c r="AI240" i="2"/>
  <c r="J240" i="6" s="1"/>
  <c r="I240" i="6"/>
  <c r="BE243" i="2"/>
  <c r="BC243" i="2"/>
  <c r="Q243" i="6" s="1"/>
  <c r="AZ241" i="2"/>
  <c r="AK242" i="2"/>
  <c r="L242" i="6" s="1"/>
  <c r="AT240" i="2"/>
  <c r="AK238" i="2"/>
  <c r="L238" i="6" s="1"/>
  <c r="R236" i="2"/>
  <c r="AL236" i="2"/>
  <c r="AS236" i="2"/>
  <c r="AT243" i="2"/>
  <c r="AK235" i="2"/>
  <c r="L235" i="6" s="1"/>
  <c r="P242" i="2"/>
  <c r="D242" i="6" s="1"/>
  <c r="Q242" i="2"/>
  <c r="V236" i="2"/>
  <c r="AJ236" i="2"/>
  <c r="K236" i="6" s="1"/>
  <c r="R237" i="2"/>
  <c r="AN237" i="2"/>
  <c r="G237" i="6" s="1"/>
  <c r="AS237" i="2"/>
  <c r="AM240" i="2"/>
  <c r="AY241" i="2"/>
  <c r="P239" i="2"/>
  <c r="D239" i="6" s="1"/>
  <c r="Q239" i="2"/>
  <c r="AK240" i="2"/>
  <c r="L240" i="6" s="1"/>
  <c r="AK239" i="2"/>
  <c r="L239" i="6" s="1"/>
  <c r="AO243" i="2"/>
  <c r="H243" i="6" s="1"/>
  <c r="Q235" i="2"/>
  <c r="P235" i="2"/>
  <c r="D235" i="6" s="1"/>
  <c r="AI242" i="2"/>
  <c r="J242" i="6" s="1"/>
  <c r="AI239" i="2"/>
  <c r="J239" i="6" s="1"/>
  <c r="BE221" i="2"/>
  <c r="BC221" i="2"/>
  <c r="BE225" i="2"/>
  <c r="BC225" i="2"/>
  <c r="AY223" i="2"/>
  <c r="BE223" i="2"/>
  <c r="BC223" i="2"/>
  <c r="AM231" i="2"/>
  <c r="Q228" i="2"/>
  <c r="P228" i="2"/>
  <c r="AK226" i="2"/>
  <c r="Q229" i="2"/>
  <c r="P229" i="2"/>
  <c r="Q233" i="2"/>
  <c r="P233" i="2"/>
  <c r="AK227" i="2"/>
  <c r="K224" i="2"/>
  <c r="L224" i="2"/>
  <c r="M224" i="2" s="1"/>
  <c r="AG222" i="2"/>
  <c r="AH222" i="2"/>
  <c r="AI222" i="2" s="1"/>
  <c r="AT221" i="2"/>
  <c r="AY221" i="2" s="1"/>
  <c r="AO225" i="2"/>
  <c r="P224" i="2"/>
  <c r="Q224" i="2"/>
  <c r="AI231" i="2"/>
  <c r="AK231" i="2"/>
  <c r="V230" i="2"/>
  <c r="AJ230" i="2"/>
  <c r="AS226" i="2"/>
  <c r="R226" i="2"/>
  <c r="AM226" i="2" s="1"/>
  <c r="AS230" i="2"/>
  <c r="AS231" i="2"/>
  <c r="AI229" i="2"/>
  <c r="AI221" i="2"/>
  <c r="AO221" i="2"/>
  <c r="AI233" i="2"/>
  <c r="AN231" i="2"/>
  <c r="V228" i="2"/>
  <c r="AJ228" i="2"/>
  <c r="AA222" i="2"/>
  <c r="AI224" i="2"/>
  <c r="V232" i="2"/>
  <c r="AJ232" i="2"/>
  <c r="AK229" i="2"/>
  <c r="O232" i="2"/>
  <c r="H232" i="2"/>
  <c r="AM230" i="2"/>
  <c r="Q227" i="2"/>
  <c r="P227" i="2"/>
  <c r="AK224" i="2"/>
  <c r="AT225" i="2"/>
  <c r="H222" i="2"/>
  <c r="O222" i="2"/>
  <c r="AA232" i="2"/>
  <c r="AI232" i="2" s="1"/>
  <c r="AK233" i="2"/>
  <c r="L227" i="2"/>
  <c r="M227" i="2" s="1"/>
  <c r="K227" i="2"/>
  <c r="AK221" i="2"/>
  <c r="AI228" i="2"/>
  <c r="AO223" i="2"/>
  <c r="V222" i="2"/>
  <c r="AJ222" i="2"/>
  <c r="AT223" i="2"/>
  <c r="AX221" i="2"/>
  <c r="AQ225" i="2"/>
  <c r="AP231" i="2"/>
  <c r="AQ223" i="2"/>
  <c r="AX223" i="2"/>
  <c r="AQ221" i="2"/>
  <c r="AX225" i="2"/>
  <c r="AW231" i="2"/>
  <c r="AQ243" i="2"/>
  <c r="AW237" i="2"/>
  <c r="AX243" i="2"/>
  <c r="AP237" i="2"/>
  <c r="AW251" i="2"/>
  <c r="AW250" i="2"/>
  <c r="AP250" i="2"/>
  <c r="AW246" i="2"/>
  <c r="AP246" i="2"/>
  <c r="AQ247" i="2"/>
  <c r="AP251" i="2"/>
  <c r="AX247" i="2"/>
  <c r="AQ262" i="2"/>
  <c r="AQ256" i="2"/>
  <c r="AQ254" i="2"/>
  <c r="AX258" i="2"/>
  <c r="AX256" i="2"/>
  <c r="AX260" i="2"/>
  <c r="AX262" i="2"/>
  <c r="AX254" i="2"/>
  <c r="AQ260" i="2"/>
  <c r="AQ258" i="2"/>
  <c r="N254" i="6" l="1"/>
  <c r="N258" i="6"/>
  <c r="N256" i="6"/>
  <c r="N260" i="6"/>
  <c r="N262" i="6"/>
  <c r="BD254" i="2"/>
  <c r="R254" i="6" s="1"/>
  <c r="P254" i="6"/>
  <c r="AY256" i="2"/>
  <c r="P256" i="6" s="1"/>
  <c r="H256" i="6"/>
  <c r="AR260" i="2"/>
  <c r="AZ260" i="2"/>
  <c r="AR262" i="2"/>
  <c r="AZ262" i="2"/>
  <c r="AY262" i="2"/>
  <c r="P262" i="6" s="1"/>
  <c r="BG263" i="2"/>
  <c r="BF263" i="2"/>
  <c r="BD263" i="2"/>
  <c r="R263" i="6" s="1"/>
  <c r="AY260" i="2"/>
  <c r="P260" i="6" s="1"/>
  <c r="AR254" i="2"/>
  <c r="AZ254" i="2"/>
  <c r="AR258" i="2"/>
  <c r="AZ258" i="2"/>
  <c r="AR256" i="2"/>
  <c r="AZ256" i="2"/>
  <c r="BF259" i="2"/>
  <c r="BG259" i="2"/>
  <c r="BD259" i="2"/>
  <c r="R259" i="6" s="1"/>
  <c r="AY258" i="2"/>
  <c r="P258" i="6" s="1"/>
  <c r="BG254" i="2"/>
  <c r="BF254" i="2"/>
  <c r="BG253" i="2"/>
  <c r="BF253" i="2"/>
  <c r="BD253" i="2"/>
  <c r="R253" i="6" s="1"/>
  <c r="AZ247" i="2"/>
  <c r="AR247" i="2"/>
  <c r="AY246" i="2"/>
  <c r="BE246" i="2"/>
  <c r="BC246" i="2"/>
  <c r="BE250" i="2"/>
  <c r="BC250" i="2"/>
  <c r="BE251" i="2"/>
  <c r="BC251" i="2"/>
  <c r="BG249" i="2"/>
  <c r="BF249" i="2"/>
  <c r="BD249" i="2"/>
  <c r="AN248" i="2"/>
  <c r="AM248" i="2"/>
  <c r="AY247" i="2"/>
  <c r="BG245" i="2"/>
  <c r="BF245" i="2"/>
  <c r="BD245" i="2"/>
  <c r="AO251" i="2"/>
  <c r="AT248" i="2"/>
  <c r="AO246" i="2"/>
  <c r="AO250" i="2"/>
  <c r="AT251" i="2"/>
  <c r="P243" i="6"/>
  <c r="N243" i="6"/>
  <c r="AY243" i="2"/>
  <c r="O237" i="6"/>
  <c r="M237" i="6"/>
  <c r="BE237" i="2"/>
  <c r="BC237" i="2"/>
  <c r="Q237" i="6" s="1"/>
  <c r="AR243" i="2"/>
  <c r="AZ243" i="2"/>
  <c r="BG243" i="2"/>
  <c r="BF243" i="2"/>
  <c r="BD243" i="2"/>
  <c r="R243" i="6" s="1"/>
  <c r="R242" i="2"/>
  <c r="AS242" i="2"/>
  <c r="AL242" i="2"/>
  <c r="R235" i="2"/>
  <c r="AS235" i="2"/>
  <c r="AL235" i="2"/>
  <c r="AN235" i="2"/>
  <c r="G235" i="6" s="1"/>
  <c r="BG241" i="2"/>
  <c r="BF241" i="2"/>
  <c r="BD241" i="2"/>
  <c r="R241" i="6" s="1"/>
  <c r="AT237" i="2"/>
  <c r="AN236" i="2"/>
  <c r="G236" i="6" s="1"/>
  <c r="AM236" i="2"/>
  <c r="AM237" i="2"/>
  <c r="AK236" i="2"/>
  <c r="L236" i="6" s="1"/>
  <c r="R239" i="2"/>
  <c r="AN239" i="2"/>
  <c r="G239" i="6" s="1"/>
  <c r="AS239" i="2"/>
  <c r="AL239" i="2"/>
  <c r="AO237" i="2"/>
  <c r="H237" i="6" s="1"/>
  <c r="AN238" i="2"/>
  <c r="G238" i="6" s="1"/>
  <c r="AT236" i="2"/>
  <c r="BE231" i="2"/>
  <c r="BC231" i="2"/>
  <c r="AZ225" i="2"/>
  <c r="AR221" i="2"/>
  <c r="AZ223" i="2"/>
  <c r="AR223" i="2"/>
  <c r="AR225" i="2"/>
  <c r="AZ221" i="2"/>
  <c r="BG221" i="2"/>
  <c r="BF221" i="2"/>
  <c r="BD221" i="2"/>
  <c r="R227" i="2"/>
  <c r="AN227" i="2"/>
  <c r="AS227" i="2"/>
  <c r="AL227" i="2"/>
  <c r="AM227" i="2" s="1"/>
  <c r="AT231" i="2"/>
  <c r="AY231" i="2" s="1"/>
  <c r="R233" i="2"/>
  <c r="AN233" i="2"/>
  <c r="AS233" i="2"/>
  <c r="AL233" i="2"/>
  <c r="AM233" i="2" s="1"/>
  <c r="R224" i="2"/>
  <c r="AS224" i="2"/>
  <c r="AL224" i="2"/>
  <c r="BG223" i="2"/>
  <c r="BF223" i="2"/>
  <c r="AK222" i="2"/>
  <c r="AK230" i="2"/>
  <c r="P222" i="2"/>
  <c r="Q222" i="2"/>
  <c r="AK232" i="2"/>
  <c r="AO231" i="2"/>
  <c r="AT226" i="2"/>
  <c r="R228" i="2"/>
  <c r="AS228" i="2"/>
  <c r="AL228" i="2"/>
  <c r="BD223" i="2"/>
  <c r="AY225" i="2"/>
  <c r="P232" i="2"/>
  <c r="Q232" i="2"/>
  <c r="R229" i="2"/>
  <c r="AN229" i="2"/>
  <c r="AL229" i="2"/>
  <c r="AS229" i="2"/>
  <c r="AK228" i="2"/>
  <c r="AT230" i="2"/>
  <c r="AX231" i="2"/>
  <c r="AP227" i="2"/>
  <c r="AP229" i="2"/>
  <c r="AW227" i="2"/>
  <c r="AP233" i="2"/>
  <c r="AW233" i="2"/>
  <c r="AQ231" i="2"/>
  <c r="AW229" i="2"/>
  <c r="AP239" i="2"/>
  <c r="AQ237" i="2"/>
  <c r="AP236" i="2"/>
  <c r="AP238" i="2"/>
  <c r="AP235" i="2"/>
  <c r="AW235" i="2"/>
  <c r="AW236" i="2"/>
  <c r="AW238" i="2"/>
  <c r="AX237" i="2"/>
  <c r="AW239" i="2"/>
  <c r="AQ251" i="2"/>
  <c r="AX251" i="2"/>
  <c r="AW248" i="2"/>
  <c r="AP248" i="2"/>
  <c r="AX246" i="2"/>
  <c r="AQ246" i="2"/>
  <c r="AX250" i="2"/>
  <c r="AQ250" i="2"/>
  <c r="BD256" i="2" l="1"/>
  <c r="R256" i="6" s="1"/>
  <c r="BG256" i="2"/>
  <c r="BF256" i="2"/>
  <c r="BF260" i="2"/>
  <c r="BG260" i="2"/>
  <c r="BD260" i="2"/>
  <c r="R260" i="6" s="1"/>
  <c r="BG262" i="2"/>
  <c r="BF262" i="2"/>
  <c r="BD262" i="2"/>
  <c r="R262" i="6" s="1"/>
  <c r="BG258" i="2"/>
  <c r="BF258" i="2"/>
  <c r="BD258" i="2"/>
  <c r="R258" i="6" s="1"/>
  <c r="AR250" i="2"/>
  <c r="AZ250" i="2"/>
  <c r="AR246" i="2"/>
  <c r="AZ246" i="2"/>
  <c r="BE248" i="2"/>
  <c r="AY248" i="2"/>
  <c r="BD248" i="2" s="1"/>
  <c r="BC248" i="2"/>
  <c r="AZ251" i="2"/>
  <c r="AR251" i="2"/>
  <c r="BG246" i="2"/>
  <c r="BF246" i="2"/>
  <c r="BF247" i="2"/>
  <c r="BG247" i="2"/>
  <c r="BD247" i="2"/>
  <c r="AY250" i="2"/>
  <c r="AO248" i="2"/>
  <c r="AY251" i="2"/>
  <c r="BD246" i="2"/>
  <c r="O235" i="6"/>
  <c r="M235" i="6"/>
  <c r="M236" i="6"/>
  <c r="O236" i="6"/>
  <c r="P237" i="6"/>
  <c r="N237" i="6"/>
  <c r="O239" i="6"/>
  <c r="O238" i="6"/>
  <c r="M238" i="6"/>
  <c r="M239" i="6"/>
  <c r="BE236" i="2"/>
  <c r="BC236" i="2"/>
  <c r="Q236" i="6" s="1"/>
  <c r="AZ237" i="2"/>
  <c r="AR237" i="2"/>
  <c r="BE239" i="2"/>
  <c r="BC239" i="2"/>
  <c r="Q239" i="6" s="1"/>
  <c r="BE238" i="2"/>
  <c r="BC238" i="2"/>
  <c r="Q238" i="6" s="1"/>
  <c r="BE235" i="2"/>
  <c r="BC235" i="2"/>
  <c r="Q235" i="6" s="1"/>
  <c r="AM239" i="2"/>
  <c r="AO236" i="2"/>
  <c r="H236" i="6" s="1"/>
  <c r="AO235" i="2"/>
  <c r="H235" i="6" s="1"/>
  <c r="AM242" i="2"/>
  <c r="AN242" i="2"/>
  <c r="G242" i="6" s="1"/>
  <c r="AY237" i="2"/>
  <c r="AT239" i="2"/>
  <c r="AM235" i="2"/>
  <c r="AT242" i="2"/>
  <c r="AO238" i="2"/>
  <c r="AO239" i="2"/>
  <c r="H239" i="6" s="1"/>
  <c r="AN240" i="2"/>
  <c r="G240" i="6" s="1"/>
  <c r="AT235" i="2"/>
  <c r="BE229" i="2"/>
  <c r="BC229" i="2"/>
  <c r="AR231" i="2"/>
  <c r="AY233" i="2"/>
  <c r="BE233" i="2"/>
  <c r="BC233" i="2"/>
  <c r="AY227" i="2"/>
  <c r="BD227" i="2" s="1"/>
  <c r="BE227" i="2"/>
  <c r="BC227" i="2"/>
  <c r="AZ231" i="2"/>
  <c r="BG231" i="2"/>
  <c r="BF231" i="2"/>
  <c r="BD231" i="2"/>
  <c r="AT229" i="2"/>
  <c r="AT233" i="2"/>
  <c r="AM229" i="2"/>
  <c r="AT228" i="2"/>
  <c r="AT224" i="2"/>
  <c r="AO233" i="2"/>
  <c r="AT227" i="2"/>
  <c r="AO229" i="2"/>
  <c r="AN230" i="2"/>
  <c r="BG225" i="2"/>
  <c r="BF225" i="2"/>
  <c r="BD225" i="2"/>
  <c r="R222" i="2"/>
  <c r="AS222" i="2"/>
  <c r="AL222" i="2"/>
  <c r="AO227" i="2"/>
  <c r="AN226" i="2"/>
  <c r="R232" i="2"/>
  <c r="AL232" i="2"/>
  <c r="AS232" i="2"/>
  <c r="AM228" i="2"/>
  <c r="AN228" i="2"/>
  <c r="AN224" i="2"/>
  <c r="AM224" i="2"/>
  <c r="AQ227" i="2"/>
  <c r="AX229" i="2"/>
  <c r="AW230" i="2"/>
  <c r="AP230" i="2"/>
  <c r="AW226" i="2"/>
  <c r="AP226" i="2"/>
  <c r="AX233" i="2"/>
  <c r="AQ233" i="2"/>
  <c r="AW228" i="2"/>
  <c r="AP228" i="2"/>
  <c r="AX227" i="2"/>
  <c r="AW224" i="2"/>
  <c r="AP224" i="2"/>
  <c r="AQ229" i="2"/>
  <c r="AP240" i="2"/>
  <c r="AX238" i="2"/>
  <c r="AX236" i="2"/>
  <c r="AX235" i="2"/>
  <c r="AX239" i="2"/>
  <c r="AW240" i="2"/>
  <c r="AQ239" i="2"/>
  <c r="AQ235" i="2"/>
  <c r="AW242" i="2"/>
  <c r="AQ236" i="2"/>
  <c r="AP242" i="2"/>
  <c r="AQ238" i="2"/>
  <c r="AX248" i="2"/>
  <c r="AQ248" i="2"/>
  <c r="AR248" i="2" l="1"/>
  <c r="AZ248" i="2"/>
  <c r="BF251" i="2"/>
  <c r="BG251" i="2"/>
  <c r="BD251" i="2"/>
  <c r="BG250" i="2"/>
  <c r="BF250" i="2"/>
  <c r="BD250" i="2"/>
  <c r="BG248" i="2"/>
  <c r="BF248" i="2"/>
  <c r="N235" i="6"/>
  <c r="P235" i="6"/>
  <c r="AY239" i="2"/>
  <c r="M240" i="6"/>
  <c r="O240" i="6"/>
  <c r="N236" i="6"/>
  <c r="N239" i="6"/>
  <c r="M242" i="6"/>
  <c r="O242" i="6"/>
  <c r="N238" i="6"/>
  <c r="P239" i="6"/>
  <c r="AY238" i="2"/>
  <c r="P238" i="6" s="1"/>
  <c r="H238" i="6"/>
  <c r="AZ235" i="2"/>
  <c r="BE240" i="2"/>
  <c r="BC240" i="2"/>
  <c r="Q240" i="6" s="1"/>
  <c r="AR236" i="2"/>
  <c r="AZ236" i="2"/>
  <c r="AR239" i="2"/>
  <c r="BE242" i="2"/>
  <c r="BC242" i="2"/>
  <c r="Q242" i="6" s="1"/>
  <c r="AZ238" i="2"/>
  <c r="AR238" i="2"/>
  <c r="AZ239" i="2"/>
  <c r="AR235" i="2"/>
  <c r="AO240" i="2"/>
  <c r="H240" i="6" s="1"/>
  <c r="BF237" i="2"/>
  <c r="BG237" i="2"/>
  <c r="BD237" i="2"/>
  <c r="R237" i="6" s="1"/>
  <c r="AY236" i="2"/>
  <c r="P236" i="6" s="1"/>
  <c r="AO242" i="2"/>
  <c r="H242" i="6" s="1"/>
  <c r="AY235" i="2"/>
  <c r="BF239" i="2"/>
  <c r="BG239" i="2"/>
  <c r="BD239" i="2"/>
  <c r="R239" i="6" s="1"/>
  <c r="AR229" i="2"/>
  <c r="BE224" i="2"/>
  <c r="BC224" i="2"/>
  <c r="AZ227" i="2"/>
  <c r="BE228" i="2"/>
  <c r="BC228" i="2"/>
  <c r="AR233" i="2"/>
  <c r="AZ233" i="2"/>
  <c r="AY226" i="2"/>
  <c r="BE226" i="2"/>
  <c r="BC226" i="2"/>
  <c r="BE230" i="2"/>
  <c r="BC230" i="2"/>
  <c r="AZ229" i="2"/>
  <c r="AR227" i="2"/>
  <c r="BG233" i="2"/>
  <c r="BF233" i="2"/>
  <c r="AT232" i="2"/>
  <c r="AO224" i="2"/>
  <c r="AY224" i="2" s="1"/>
  <c r="AM232" i="2"/>
  <c r="AN232" i="2"/>
  <c r="AM222" i="2"/>
  <c r="AN222" i="2"/>
  <c r="BD233" i="2"/>
  <c r="AO228" i="2"/>
  <c r="AT222" i="2"/>
  <c r="BG227" i="2"/>
  <c r="BF227" i="2"/>
  <c r="AO226" i="2"/>
  <c r="AO230" i="2"/>
  <c r="AY230" i="2" s="1"/>
  <c r="AY229" i="2"/>
  <c r="AX230" i="2"/>
  <c r="AQ230" i="2"/>
  <c r="AX224" i="2"/>
  <c r="AQ224" i="2"/>
  <c r="AW222" i="2"/>
  <c r="AP222" i="2"/>
  <c r="AW232" i="2"/>
  <c r="AP232" i="2"/>
  <c r="AX228" i="2"/>
  <c r="AQ228" i="2"/>
  <c r="AX226" i="2"/>
  <c r="AQ226" i="2"/>
  <c r="AX240" i="2"/>
  <c r="AQ240" i="2"/>
  <c r="AX242" i="2"/>
  <c r="AQ242" i="2"/>
  <c r="N240" i="6" l="1"/>
  <c r="N242" i="6"/>
  <c r="BF238" i="2"/>
  <c r="BG238" i="2"/>
  <c r="BD238" i="2"/>
  <c r="R238" i="6" s="1"/>
  <c r="AR240" i="2"/>
  <c r="AZ240" i="2"/>
  <c r="AR242" i="2"/>
  <c r="AZ242" i="2"/>
  <c r="BF235" i="2"/>
  <c r="BG235" i="2"/>
  <c r="BD235" i="2"/>
  <c r="R235" i="6" s="1"/>
  <c r="BG236" i="2"/>
  <c r="BF236" i="2"/>
  <c r="BD236" i="2"/>
  <c r="R236" i="6" s="1"/>
  <c r="AY242" i="2"/>
  <c r="P242" i="6" s="1"/>
  <c r="AY240" i="2"/>
  <c r="P240" i="6" s="1"/>
  <c r="AR226" i="2"/>
  <c r="AZ226" i="2"/>
  <c r="AR228" i="2"/>
  <c r="AZ228" i="2"/>
  <c r="BE232" i="2"/>
  <c r="BC232" i="2"/>
  <c r="BE222" i="2"/>
  <c r="BC222" i="2"/>
  <c r="AR224" i="2"/>
  <c r="AZ224" i="2"/>
  <c r="AR230" i="2"/>
  <c r="AZ230" i="2"/>
  <c r="BF230" i="2"/>
  <c r="BG230" i="2"/>
  <c r="BD230" i="2"/>
  <c r="BF224" i="2"/>
  <c r="BG224" i="2"/>
  <c r="BD224" i="2"/>
  <c r="BG226" i="2"/>
  <c r="BF226" i="2"/>
  <c r="AO232" i="2"/>
  <c r="AY232" i="2" s="1"/>
  <c r="AY228" i="2"/>
  <c r="BG229" i="2"/>
  <c r="BF229" i="2"/>
  <c r="BD229" i="2"/>
  <c r="AO222" i="2"/>
  <c r="AY222" i="2" s="1"/>
  <c r="BD226" i="2"/>
  <c r="AX222" i="2"/>
  <c r="AQ222" i="2"/>
  <c r="AX232" i="2"/>
  <c r="AQ232" i="2"/>
  <c r="BF242" i="2" l="1"/>
  <c r="BG242" i="2"/>
  <c r="BD242" i="2"/>
  <c r="R242" i="6" s="1"/>
  <c r="BF240" i="2"/>
  <c r="BG240" i="2"/>
  <c r="BD240" i="2"/>
  <c r="R240" i="6" s="1"/>
  <c r="AR232" i="2"/>
  <c r="AZ232" i="2"/>
  <c r="AR222" i="2"/>
  <c r="AZ222" i="2"/>
  <c r="BF222" i="2"/>
  <c r="BG222" i="2"/>
  <c r="BD222" i="2"/>
  <c r="BG232" i="2"/>
  <c r="BF232" i="2"/>
  <c r="BG228" i="2"/>
  <c r="BF228" i="2"/>
  <c r="BD228" i="2"/>
  <c r="BD232" i="2"/>
  <c r="S219" i="6" l="1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9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218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7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216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5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214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3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212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1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210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9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208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7" i="6"/>
  <c r="BB219" i="2"/>
  <c r="BA219" i="2"/>
  <c r="AV219" i="2"/>
  <c r="AD219" i="2"/>
  <c r="AF219" i="2" s="1"/>
  <c r="X219" i="2"/>
  <c r="Z219" i="2" s="1"/>
  <c r="S219" i="2"/>
  <c r="U219" i="2" s="1"/>
  <c r="J219" i="2"/>
  <c r="L219" i="2" s="1"/>
  <c r="M219" i="2" s="1"/>
  <c r="E219" i="2"/>
  <c r="G219" i="2" s="1"/>
  <c r="D219" i="2"/>
  <c r="C219" i="2"/>
  <c r="B219" i="2"/>
  <c r="A219" i="2"/>
  <c r="BB218" i="2"/>
  <c r="BA218" i="2"/>
  <c r="AV218" i="2"/>
  <c r="AE218" i="2"/>
  <c r="AD218" i="2"/>
  <c r="AF218" i="2" s="1"/>
  <c r="X218" i="2"/>
  <c r="Z218" i="2" s="1"/>
  <c r="S218" i="2"/>
  <c r="J218" i="2"/>
  <c r="L218" i="2" s="1"/>
  <c r="M218" i="2" s="1"/>
  <c r="E218" i="2"/>
  <c r="F218" i="2" s="1"/>
  <c r="C218" i="2"/>
  <c r="D218" i="2" s="1"/>
  <c r="B218" i="2"/>
  <c r="A218" i="2"/>
  <c r="BB217" i="2"/>
  <c r="BA217" i="2"/>
  <c r="AV217" i="2"/>
  <c r="AJ217" i="2"/>
  <c r="AF217" i="2"/>
  <c r="AE217" i="2"/>
  <c r="AD217" i="2"/>
  <c r="Z217" i="2"/>
  <c r="Y217" i="2"/>
  <c r="X217" i="2"/>
  <c r="U217" i="2"/>
  <c r="T217" i="2"/>
  <c r="S217" i="2"/>
  <c r="G217" i="2"/>
  <c r="F217" i="2"/>
  <c r="E217" i="2"/>
  <c r="C217" i="2"/>
  <c r="B217" i="2"/>
  <c r="A217" i="2"/>
  <c r="BB216" i="2"/>
  <c r="BA216" i="2"/>
  <c r="AV216" i="2"/>
  <c r="AF216" i="2"/>
  <c r="AD216" i="2"/>
  <c r="AE216" i="2" s="1"/>
  <c r="AA216" i="2"/>
  <c r="Z216" i="2"/>
  <c r="X216" i="2"/>
  <c r="Y216" i="2" s="1"/>
  <c r="S216" i="2"/>
  <c r="T216" i="2" s="1"/>
  <c r="G216" i="2"/>
  <c r="E216" i="2"/>
  <c r="F216" i="2" s="1"/>
  <c r="C216" i="2"/>
  <c r="J216" i="2" s="1"/>
  <c r="K216" i="2" s="1"/>
  <c r="B216" i="2"/>
  <c r="A216" i="2"/>
  <c r="BB215" i="2"/>
  <c r="BA215" i="2"/>
  <c r="AV215" i="2"/>
  <c r="AD215" i="2"/>
  <c r="X215" i="2"/>
  <c r="S215" i="2"/>
  <c r="J215" i="2"/>
  <c r="E215" i="2"/>
  <c r="D215" i="2"/>
  <c r="C215" i="2"/>
  <c r="B215" i="2"/>
  <c r="A215" i="2"/>
  <c r="BB214" i="2"/>
  <c r="BA214" i="2"/>
  <c r="AV214" i="2"/>
  <c r="AE214" i="2"/>
  <c r="AD214" i="2"/>
  <c r="AF214" i="2" s="1"/>
  <c r="X214" i="2"/>
  <c r="S214" i="2"/>
  <c r="J214" i="2"/>
  <c r="L214" i="2" s="1"/>
  <c r="M214" i="2" s="1"/>
  <c r="E214" i="2"/>
  <c r="C214" i="2"/>
  <c r="D214" i="2" s="1"/>
  <c r="B214" i="2"/>
  <c r="A214" i="2"/>
  <c r="BB213" i="2"/>
  <c r="BA213" i="2"/>
  <c r="AV213" i="2"/>
  <c r="AJ213" i="2"/>
  <c r="AG213" i="2"/>
  <c r="AF213" i="2"/>
  <c r="AE213" i="2"/>
  <c r="AD213" i="2"/>
  <c r="AA213" i="2"/>
  <c r="Z213" i="2"/>
  <c r="Y213" i="2"/>
  <c r="X213" i="2"/>
  <c r="V213" i="2"/>
  <c r="AK213" i="2" s="1"/>
  <c r="U213" i="2"/>
  <c r="T213" i="2"/>
  <c r="S213" i="2"/>
  <c r="R213" i="2"/>
  <c r="Q213" i="2"/>
  <c r="P213" i="2"/>
  <c r="L213" i="2"/>
  <c r="M213" i="2" s="1"/>
  <c r="K213" i="2"/>
  <c r="H213" i="2"/>
  <c r="G213" i="2"/>
  <c r="O213" i="2" s="1"/>
  <c r="F213" i="2"/>
  <c r="E213" i="2"/>
  <c r="D213" i="2"/>
  <c r="C213" i="2"/>
  <c r="J213" i="2" s="1"/>
  <c r="B213" i="2"/>
  <c r="A213" i="2"/>
  <c r="BB212" i="2"/>
  <c r="BA212" i="2"/>
  <c r="AV212" i="2"/>
  <c r="AD212" i="2"/>
  <c r="AA212" i="2"/>
  <c r="Z212" i="2"/>
  <c r="X212" i="2"/>
  <c r="Y212" i="2" s="1"/>
  <c r="S212" i="2"/>
  <c r="T212" i="2" s="1"/>
  <c r="O212" i="2"/>
  <c r="G212" i="2"/>
  <c r="H212" i="2" s="1"/>
  <c r="E212" i="2"/>
  <c r="F212" i="2" s="1"/>
  <c r="C212" i="2"/>
  <c r="J212" i="2" s="1"/>
  <c r="B212" i="2"/>
  <c r="A212" i="2"/>
  <c r="BB211" i="2"/>
  <c r="BA211" i="2"/>
  <c r="AV211" i="2"/>
  <c r="AG211" i="2"/>
  <c r="AD211" i="2"/>
  <c r="AF211" i="2" s="1"/>
  <c r="X211" i="2"/>
  <c r="Z211" i="2" s="1"/>
  <c r="S211" i="2"/>
  <c r="J211" i="2"/>
  <c r="F211" i="2"/>
  <c r="E211" i="2"/>
  <c r="G211" i="2" s="1"/>
  <c r="D211" i="2"/>
  <c r="C211" i="2"/>
  <c r="B211" i="2"/>
  <c r="A211" i="2"/>
  <c r="BB210" i="2"/>
  <c r="BA210" i="2"/>
  <c r="AV210" i="2"/>
  <c r="AF210" i="2"/>
  <c r="AD210" i="2"/>
  <c r="AE210" i="2" s="1"/>
  <c r="Z210" i="2"/>
  <c r="Y210" i="2"/>
  <c r="X210" i="2"/>
  <c r="S210" i="2"/>
  <c r="T210" i="2" s="1"/>
  <c r="O210" i="2"/>
  <c r="Q210" i="2" s="1"/>
  <c r="R210" i="2" s="1"/>
  <c r="G210" i="2"/>
  <c r="H210" i="2" s="1"/>
  <c r="F210" i="2"/>
  <c r="E210" i="2"/>
  <c r="C210" i="2"/>
  <c r="D210" i="2" s="1"/>
  <c r="B210" i="2"/>
  <c r="A210" i="2"/>
  <c r="BB209" i="2"/>
  <c r="BA209" i="2"/>
  <c r="AV209" i="2"/>
  <c r="AG209" i="2"/>
  <c r="AE209" i="2"/>
  <c r="AD209" i="2"/>
  <c r="AF209" i="2" s="1"/>
  <c r="Y209" i="2"/>
  <c r="X209" i="2"/>
  <c r="Z209" i="2" s="1"/>
  <c r="S209" i="2"/>
  <c r="M209" i="2"/>
  <c r="K209" i="2"/>
  <c r="J209" i="2"/>
  <c r="L209" i="2" s="1"/>
  <c r="E209" i="2"/>
  <c r="G209" i="2" s="1"/>
  <c r="D209" i="2"/>
  <c r="C209" i="2"/>
  <c r="B209" i="2"/>
  <c r="A209" i="2"/>
  <c r="BB208" i="2"/>
  <c r="BA208" i="2"/>
  <c r="AV208" i="2"/>
  <c r="AD208" i="2"/>
  <c r="AF208" i="2" s="1"/>
  <c r="X208" i="2"/>
  <c r="Y208" i="2" s="1"/>
  <c r="T208" i="2"/>
  <c r="S208" i="2"/>
  <c r="J208" i="2"/>
  <c r="L208" i="2" s="1"/>
  <c r="M208" i="2" s="1"/>
  <c r="E208" i="2"/>
  <c r="F208" i="2" s="1"/>
  <c r="C208" i="2"/>
  <c r="D208" i="2" s="1"/>
  <c r="B208" i="2"/>
  <c r="A208" i="2"/>
  <c r="BB207" i="2"/>
  <c r="BA207" i="2"/>
  <c r="AV207" i="2"/>
  <c r="AJ207" i="2"/>
  <c r="AG207" i="2"/>
  <c r="AF207" i="2"/>
  <c r="AE207" i="2"/>
  <c r="AD207" i="2"/>
  <c r="AA207" i="2"/>
  <c r="Z207" i="2"/>
  <c r="Y207" i="2"/>
  <c r="X207" i="2"/>
  <c r="V207" i="2"/>
  <c r="AK207" i="2" s="1"/>
  <c r="U207" i="2"/>
  <c r="T207" i="2"/>
  <c r="S207" i="2"/>
  <c r="G207" i="2"/>
  <c r="O207" i="2" s="1"/>
  <c r="Q207" i="2" s="1"/>
  <c r="AN207" i="2" s="1"/>
  <c r="F207" i="2"/>
  <c r="E207" i="2"/>
  <c r="C207" i="2"/>
  <c r="J207" i="2" s="1"/>
  <c r="K207" i="2" s="1"/>
  <c r="B207" i="2"/>
  <c r="A207" i="2"/>
  <c r="AP207" i="2"/>
  <c r="AA218" i="2" l="1"/>
  <c r="V219" i="2"/>
  <c r="AJ219" i="2"/>
  <c r="AH218" i="2"/>
  <c r="AG218" i="2"/>
  <c r="AA219" i="2"/>
  <c r="O219" i="2"/>
  <c r="H219" i="2"/>
  <c r="AH219" i="2"/>
  <c r="AI219" i="2" s="1"/>
  <c r="AG219" i="2"/>
  <c r="U218" i="2"/>
  <c r="K218" i="2"/>
  <c r="T218" i="2"/>
  <c r="Y218" i="2"/>
  <c r="G218" i="2"/>
  <c r="F219" i="2"/>
  <c r="K219" i="2"/>
  <c r="T219" i="2"/>
  <c r="Y219" i="2"/>
  <c r="AE219" i="2"/>
  <c r="AS207" i="2"/>
  <c r="L207" i="2"/>
  <c r="M207" i="2" s="1"/>
  <c r="O209" i="2"/>
  <c r="H209" i="2"/>
  <c r="L211" i="2"/>
  <c r="M211" i="2" s="1"/>
  <c r="K211" i="2"/>
  <c r="AA211" i="2"/>
  <c r="K208" i="2"/>
  <c r="Z208" i="2"/>
  <c r="F209" i="2"/>
  <c r="Y211" i="2"/>
  <c r="AE212" i="2"/>
  <c r="AF212" i="2"/>
  <c r="T214" i="2"/>
  <c r="G215" i="2"/>
  <c r="F215" i="2"/>
  <c r="Z215" i="2"/>
  <c r="Y215" i="2"/>
  <c r="AG208" i="2"/>
  <c r="U209" i="2"/>
  <c r="T209" i="2"/>
  <c r="AG210" i="2"/>
  <c r="AH210" i="2"/>
  <c r="AI210" i="2" s="1"/>
  <c r="K212" i="2"/>
  <c r="L212" i="2"/>
  <c r="M212" i="2" s="1"/>
  <c r="P212" i="2"/>
  <c r="Q212" i="2"/>
  <c r="G214" i="2"/>
  <c r="F214" i="2"/>
  <c r="P207" i="2"/>
  <c r="D207" i="2"/>
  <c r="H207" i="2"/>
  <c r="R207" i="2"/>
  <c r="AO207" i="2" s="1"/>
  <c r="G208" i="2"/>
  <c r="AE208" i="2"/>
  <c r="AH209" i="2"/>
  <c r="AI209" i="2" s="1"/>
  <c r="AA209" i="2"/>
  <c r="P210" i="2"/>
  <c r="AL210" i="2"/>
  <c r="AG214" i="2"/>
  <c r="AH214" i="2"/>
  <c r="J210" i="2"/>
  <c r="U211" i="2"/>
  <c r="T211" i="2"/>
  <c r="AH211" i="2"/>
  <c r="AL207" i="2"/>
  <c r="AH207" i="2"/>
  <c r="AI207" i="2" s="1"/>
  <c r="AS210" i="2"/>
  <c r="AA210" i="2"/>
  <c r="O211" i="2"/>
  <c r="H211" i="2"/>
  <c r="AE211" i="2"/>
  <c r="D212" i="2"/>
  <c r="AS213" i="2"/>
  <c r="AL213" i="2"/>
  <c r="AM213" i="2" s="1"/>
  <c r="AH213" i="2"/>
  <c r="AI213" i="2" s="1"/>
  <c r="AN213" i="2"/>
  <c r="K214" i="2"/>
  <c r="Z214" i="2"/>
  <c r="Y214" i="2"/>
  <c r="V217" i="2"/>
  <c r="O216" i="2"/>
  <c r="H216" i="2"/>
  <c r="AH216" i="2"/>
  <c r="AI216" i="2" s="1"/>
  <c r="O217" i="2"/>
  <c r="H217" i="2"/>
  <c r="L215" i="2"/>
  <c r="M215" i="2" s="1"/>
  <c r="K215" i="2"/>
  <c r="U215" i="2"/>
  <c r="T215" i="2"/>
  <c r="AF215" i="2"/>
  <c r="AE215" i="2"/>
  <c r="D216" i="2"/>
  <c r="L216" i="2"/>
  <c r="M216" i="2" s="1"/>
  <c r="AG216" i="2"/>
  <c r="J217" i="2"/>
  <c r="D217" i="2"/>
  <c r="AH217" i="2"/>
  <c r="AG217" i="2"/>
  <c r="AA217" i="2"/>
  <c r="AP213" i="2"/>
  <c r="AW213" i="2"/>
  <c r="AW207" i="2"/>
  <c r="AQ207" i="2"/>
  <c r="O218" i="2" l="1"/>
  <c r="H218" i="2"/>
  <c r="AK219" i="2"/>
  <c r="Q219" i="2"/>
  <c r="P219" i="2"/>
  <c r="AI218" i="2"/>
  <c r="V218" i="2"/>
  <c r="AJ218" i="2"/>
  <c r="AR207" i="2"/>
  <c r="BE207" i="2"/>
  <c r="BC207" i="2"/>
  <c r="BE213" i="2"/>
  <c r="BC213" i="2"/>
  <c r="AH212" i="2"/>
  <c r="AG212" i="2"/>
  <c r="AL212" i="2"/>
  <c r="AA208" i="2"/>
  <c r="K217" i="2"/>
  <c r="L217" i="2"/>
  <c r="M217" i="2" s="1"/>
  <c r="Q211" i="2"/>
  <c r="P211" i="2"/>
  <c r="R212" i="2"/>
  <c r="AS212" i="2"/>
  <c r="AJ215" i="2"/>
  <c r="U216" i="2"/>
  <c r="V215" i="2"/>
  <c r="Q217" i="2"/>
  <c r="P217" i="2"/>
  <c r="P216" i="2"/>
  <c r="Q216" i="2"/>
  <c r="AA214" i="2"/>
  <c r="AI214" i="2" s="1"/>
  <c r="AM207" i="2"/>
  <c r="H208" i="2"/>
  <c r="O208" i="2"/>
  <c r="H215" i="2"/>
  <c r="O215" i="2"/>
  <c r="AT207" i="2"/>
  <c r="AY207" i="2" s="1"/>
  <c r="AH208" i="2"/>
  <c r="AI208" i="2" s="1"/>
  <c r="AK217" i="2"/>
  <c r="AT213" i="2"/>
  <c r="AT210" i="2"/>
  <c r="AJ211" i="2"/>
  <c r="V211" i="2"/>
  <c r="U212" i="2"/>
  <c r="AI217" i="2"/>
  <c r="AG215" i="2"/>
  <c r="AH215" i="2"/>
  <c r="AO213" i="2"/>
  <c r="AI211" i="2"/>
  <c r="K210" i="2"/>
  <c r="L210" i="2"/>
  <c r="M210" i="2" s="1"/>
  <c r="AM210" i="2"/>
  <c r="H214" i="2"/>
  <c r="O214" i="2"/>
  <c r="AJ209" i="2"/>
  <c r="V209" i="2"/>
  <c r="U208" i="2"/>
  <c r="U210" i="2"/>
  <c r="AA215" i="2"/>
  <c r="U214" i="2"/>
  <c r="Q209" i="2"/>
  <c r="P209" i="2"/>
  <c r="AX207" i="2"/>
  <c r="AQ213" i="2"/>
  <c r="AX213" i="2"/>
  <c r="P218" i="2" l="1"/>
  <c r="Q218" i="2"/>
  <c r="AK218" i="2"/>
  <c r="R219" i="2"/>
  <c r="AS219" i="2"/>
  <c r="AN219" i="2"/>
  <c r="AL219" i="2"/>
  <c r="AZ213" i="2"/>
  <c r="AR213" i="2"/>
  <c r="AZ207" i="2"/>
  <c r="BG207" i="2"/>
  <c r="BF207" i="2"/>
  <c r="BD207" i="2"/>
  <c r="AK209" i="2"/>
  <c r="AJ212" i="2"/>
  <c r="V212" i="2"/>
  <c r="AK211" i="2"/>
  <c r="Q215" i="2"/>
  <c r="P215" i="2"/>
  <c r="AM212" i="2"/>
  <c r="AL209" i="2"/>
  <c r="R209" i="2"/>
  <c r="AS209" i="2"/>
  <c r="AN209" i="2"/>
  <c r="V210" i="2"/>
  <c r="AJ210" i="2"/>
  <c r="AJ216" i="2"/>
  <c r="V216" i="2"/>
  <c r="V214" i="2"/>
  <c r="AJ214" i="2"/>
  <c r="V208" i="2"/>
  <c r="AJ208" i="2"/>
  <c r="Q214" i="2"/>
  <c r="P214" i="2"/>
  <c r="AI215" i="2"/>
  <c r="P208" i="2"/>
  <c r="Q208" i="2"/>
  <c r="R217" i="2"/>
  <c r="AN217" i="2"/>
  <c r="AL217" i="2"/>
  <c r="AS217" i="2"/>
  <c r="AI212" i="2"/>
  <c r="AY213" i="2"/>
  <c r="R216" i="2"/>
  <c r="AS216" i="2"/>
  <c r="AL216" i="2"/>
  <c r="AK215" i="2"/>
  <c r="AT212" i="2"/>
  <c r="R211" i="2"/>
  <c r="AS211" i="2"/>
  <c r="AL211" i="2"/>
  <c r="AM211" i="2" s="1"/>
  <c r="AN211" i="2"/>
  <c r="AW219" i="2"/>
  <c r="AP219" i="2"/>
  <c r="AW211" i="2"/>
  <c r="AP217" i="2"/>
  <c r="AP209" i="2"/>
  <c r="AP211" i="2"/>
  <c r="AW217" i="2"/>
  <c r="AW209" i="2"/>
  <c r="BE219" i="2" l="1"/>
  <c r="BC219" i="2"/>
  <c r="AO219" i="2"/>
  <c r="R218" i="2"/>
  <c r="AS218" i="2"/>
  <c r="AL218" i="2"/>
  <c r="AT219" i="2"/>
  <c r="AM219" i="2"/>
  <c r="BE209" i="2"/>
  <c r="BC209" i="2"/>
  <c r="BE217" i="2"/>
  <c r="BC217" i="2"/>
  <c r="BE211" i="2"/>
  <c r="AY211" i="2"/>
  <c r="BC211" i="2"/>
  <c r="AK214" i="2"/>
  <c r="AT209" i="2"/>
  <c r="AY209" i="2" s="1"/>
  <c r="AT216" i="2"/>
  <c r="AT217" i="2"/>
  <c r="R208" i="2"/>
  <c r="AL208" i="2"/>
  <c r="AS208" i="2"/>
  <c r="R214" i="2"/>
  <c r="AL214" i="2"/>
  <c r="AS214" i="2"/>
  <c r="AK210" i="2"/>
  <c r="AM209" i="2"/>
  <c r="R215" i="2"/>
  <c r="AN215" i="2"/>
  <c r="AN216" i="2" s="1"/>
  <c r="AL215" i="2"/>
  <c r="AS215" i="2"/>
  <c r="AO211" i="2"/>
  <c r="AM217" i="2"/>
  <c r="AO209" i="2"/>
  <c r="AN210" i="2"/>
  <c r="AN212" i="2"/>
  <c r="BG213" i="2"/>
  <c r="BF213" i="2"/>
  <c r="BD213" i="2"/>
  <c r="AO217" i="2"/>
  <c r="AK212" i="2"/>
  <c r="AT211" i="2"/>
  <c r="AM216" i="2"/>
  <c r="AK208" i="2"/>
  <c r="AK216" i="2"/>
  <c r="AQ219" i="2"/>
  <c r="AX219" i="2"/>
  <c r="AQ217" i="2"/>
  <c r="AX209" i="2"/>
  <c r="AP215" i="2"/>
  <c r="AQ209" i="2"/>
  <c r="AX211" i="2"/>
  <c r="AX217" i="2"/>
  <c r="AW215" i="2"/>
  <c r="AP210" i="2"/>
  <c r="AW210" i="2"/>
  <c r="AQ211" i="2"/>
  <c r="AP212" i="2"/>
  <c r="AW212" i="2"/>
  <c r="AW216" i="2"/>
  <c r="AP216" i="2"/>
  <c r="AZ219" i="2" l="1"/>
  <c r="AR219" i="2"/>
  <c r="AY219" i="2"/>
  <c r="AM218" i="2"/>
  <c r="AN218" i="2"/>
  <c r="AT218" i="2"/>
  <c r="AY216" i="2"/>
  <c r="BE216" i="2"/>
  <c r="BC216" i="2"/>
  <c r="BE212" i="2"/>
  <c r="BC212" i="2"/>
  <c r="AR211" i="2"/>
  <c r="BE210" i="2"/>
  <c r="BC210" i="2"/>
  <c r="BE215" i="2"/>
  <c r="BC215" i="2"/>
  <c r="AZ217" i="2"/>
  <c r="AZ211" i="2"/>
  <c r="AR209" i="2"/>
  <c r="AZ209" i="2"/>
  <c r="AR217" i="2"/>
  <c r="AO216" i="2"/>
  <c r="BG209" i="2"/>
  <c r="BF209" i="2"/>
  <c r="BD209" i="2"/>
  <c r="BG211" i="2"/>
  <c r="BF211" i="2"/>
  <c r="AO212" i="2"/>
  <c r="AN214" i="2"/>
  <c r="AM214" i="2"/>
  <c r="AO210" i="2"/>
  <c r="AT215" i="2"/>
  <c r="AY215" i="2" s="1"/>
  <c r="AM215" i="2"/>
  <c r="AT208" i="2"/>
  <c r="BD211" i="2"/>
  <c r="AM208" i="2"/>
  <c r="AN208" i="2"/>
  <c r="AO215" i="2"/>
  <c r="AT214" i="2"/>
  <c r="AY217" i="2"/>
  <c r="AW218" i="2"/>
  <c r="AP218" i="2"/>
  <c r="AX215" i="2"/>
  <c r="AW214" i="2"/>
  <c r="AP214" i="2"/>
  <c r="AW208" i="2"/>
  <c r="AP208" i="2"/>
  <c r="AX216" i="2"/>
  <c r="AQ216" i="2"/>
  <c r="AQ215" i="2"/>
  <c r="AQ210" i="2"/>
  <c r="AX210" i="2"/>
  <c r="AX212" i="2"/>
  <c r="AQ212" i="2"/>
  <c r="AY218" i="2" l="1"/>
  <c r="BE218" i="2"/>
  <c r="BC218" i="2"/>
  <c r="AO218" i="2"/>
  <c r="BG219" i="2"/>
  <c r="BF219" i="2"/>
  <c r="BD219" i="2"/>
  <c r="AR212" i="2"/>
  <c r="AZ212" i="2"/>
  <c r="AZ210" i="2"/>
  <c r="AR210" i="2"/>
  <c r="AR215" i="2"/>
  <c r="AR216" i="2"/>
  <c r="AZ216" i="2"/>
  <c r="BE208" i="2"/>
  <c r="AY208" i="2"/>
  <c r="BC208" i="2"/>
  <c r="BE214" i="2"/>
  <c r="BC214" i="2"/>
  <c r="AZ215" i="2"/>
  <c r="BG215" i="2"/>
  <c r="BF215" i="2"/>
  <c r="BD215" i="2"/>
  <c r="BG217" i="2"/>
  <c r="BF217" i="2"/>
  <c r="BD217" i="2"/>
  <c r="AY210" i="2"/>
  <c r="AY212" i="2"/>
  <c r="AO208" i="2"/>
  <c r="AO214" i="2"/>
  <c r="BG216" i="2"/>
  <c r="BF216" i="2"/>
  <c r="BD216" i="2"/>
  <c r="AX218" i="2"/>
  <c r="AQ218" i="2"/>
  <c r="AX208" i="2"/>
  <c r="AQ208" i="2"/>
  <c r="AX214" i="2"/>
  <c r="AQ214" i="2"/>
  <c r="AR218" i="2" l="1"/>
  <c r="AZ218" i="2"/>
  <c r="BG218" i="2"/>
  <c r="BF218" i="2"/>
  <c r="BD218" i="2"/>
  <c r="AR214" i="2"/>
  <c r="AZ214" i="2"/>
  <c r="AR208" i="2"/>
  <c r="AZ208" i="2"/>
  <c r="AY214" i="2"/>
  <c r="BF212" i="2"/>
  <c r="BG212" i="2"/>
  <c r="BD212" i="2"/>
  <c r="BF210" i="2"/>
  <c r="BG210" i="2"/>
  <c r="BD210" i="2"/>
  <c r="BF208" i="2"/>
  <c r="BG208" i="2"/>
  <c r="BD208" i="2"/>
  <c r="BF214" i="2" l="1"/>
  <c r="BG214" i="2"/>
  <c r="BD214" i="2"/>
  <c r="S205" i="6" l="1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5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204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203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202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1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200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199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198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196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195" i="6"/>
  <c r="BB205" i="2"/>
  <c r="BA205" i="2"/>
  <c r="AV205" i="2"/>
  <c r="AD205" i="2"/>
  <c r="AF205" i="2" s="1"/>
  <c r="X205" i="2"/>
  <c r="Z205" i="2" s="1"/>
  <c r="S205" i="2"/>
  <c r="U205" i="2" s="1"/>
  <c r="J205" i="2"/>
  <c r="L205" i="2" s="1"/>
  <c r="M205" i="2" s="1"/>
  <c r="E205" i="2"/>
  <c r="G205" i="2" s="1"/>
  <c r="H205" i="2" s="1"/>
  <c r="D205" i="2"/>
  <c r="C205" i="2"/>
  <c r="B205" i="2"/>
  <c r="A205" i="2"/>
  <c r="BB204" i="2"/>
  <c r="BA204" i="2"/>
  <c r="AV204" i="2"/>
  <c r="AF204" i="2"/>
  <c r="AE204" i="2"/>
  <c r="AD204" i="2"/>
  <c r="Z204" i="2"/>
  <c r="Y204" i="2"/>
  <c r="X204" i="2"/>
  <c r="U204" i="2"/>
  <c r="T204" i="2"/>
  <c r="S204" i="2"/>
  <c r="G204" i="2"/>
  <c r="F204" i="2"/>
  <c r="E204" i="2"/>
  <c r="C204" i="2"/>
  <c r="B204" i="2"/>
  <c r="A204" i="2"/>
  <c r="BB203" i="2"/>
  <c r="BA203" i="2"/>
  <c r="AV203" i="2"/>
  <c r="AF203" i="2"/>
  <c r="AG203" i="2" s="1"/>
  <c r="AE203" i="2"/>
  <c r="AD203" i="2"/>
  <c r="Z203" i="2"/>
  <c r="AA203" i="2" s="1"/>
  <c r="Y203" i="2"/>
  <c r="X203" i="2"/>
  <c r="U203" i="2"/>
  <c r="AJ203" i="2" s="1"/>
  <c r="T203" i="2"/>
  <c r="S203" i="2"/>
  <c r="G203" i="2"/>
  <c r="O203" i="2" s="1"/>
  <c r="P203" i="2" s="1"/>
  <c r="F203" i="2"/>
  <c r="E203" i="2"/>
  <c r="C203" i="2"/>
  <c r="J203" i="2" s="1"/>
  <c r="K203" i="2" s="1"/>
  <c r="B203" i="2"/>
  <c r="A203" i="2"/>
  <c r="BB202" i="2"/>
  <c r="BA202" i="2"/>
  <c r="AV202" i="2"/>
  <c r="AD202" i="2"/>
  <c r="X202" i="2"/>
  <c r="S202" i="2"/>
  <c r="J202" i="2"/>
  <c r="E202" i="2"/>
  <c r="D202" i="2"/>
  <c r="C202" i="2"/>
  <c r="B202" i="2"/>
  <c r="A202" i="2"/>
  <c r="BB201" i="2"/>
  <c r="BA201" i="2"/>
  <c r="AV201" i="2"/>
  <c r="AE201" i="2"/>
  <c r="AD201" i="2"/>
  <c r="AF201" i="2" s="1"/>
  <c r="X201" i="2"/>
  <c r="Z201" i="2" s="1"/>
  <c r="T201" i="2"/>
  <c r="S201" i="2"/>
  <c r="U201" i="2" s="1"/>
  <c r="K201" i="2"/>
  <c r="J201" i="2"/>
  <c r="L201" i="2" s="1"/>
  <c r="M201" i="2" s="1"/>
  <c r="E201" i="2"/>
  <c r="G201" i="2" s="1"/>
  <c r="H201" i="2" s="1"/>
  <c r="C201" i="2"/>
  <c r="D201" i="2" s="1"/>
  <c r="B201" i="2"/>
  <c r="A201" i="2"/>
  <c r="BB200" i="2"/>
  <c r="BA200" i="2"/>
  <c r="AV200" i="2"/>
  <c r="AF200" i="2"/>
  <c r="AE200" i="2"/>
  <c r="AD200" i="2"/>
  <c r="Z200" i="2"/>
  <c r="Y200" i="2"/>
  <c r="X200" i="2"/>
  <c r="T200" i="2"/>
  <c r="S200" i="2"/>
  <c r="G200" i="2"/>
  <c r="F200" i="2"/>
  <c r="E200" i="2"/>
  <c r="C200" i="2"/>
  <c r="B200" i="2"/>
  <c r="A200" i="2"/>
  <c r="BB199" i="2"/>
  <c r="BA199" i="2"/>
  <c r="AV199" i="2"/>
  <c r="AG199" i="2"/>
  <c r="AF199" i="2"/>
  <c r="AD199" i="2"/>
  <c r="AE199" i="2" s="1"/>
  <c r="Z199" i="2"/>
  <c r="AA199" i="2" s="1"/>
  <c r="X199" i="2"/>
  <c r="Y199" i="2" s="1"/>
  <c r="U199" i="2"/>
  <c r="U200" i="2" s="1"/>
  <c r="S199" i="2"/>
  <c r="T199" i="2" s="1"/>
  <c r="L199" i="2"/>
  <c r="M199" i="2" s="1"/>
  <c r="G199" i="2"/>
  <c r="O199" i="2" s="1"/>
  <c r="P199" i="2" s="1"/>
  <c r="E199" i="2"/>
  <c r="F199" i="2" s="1"/>
  <c r="D199" i="2"/>
  <c r="C199" i="2"/>
  <c r="J199" i="2" s="1"/>
  <c r="K199" i="2" s="1"/>
  <c r="B199" i="2"/>
  <c r="A199" i="2"/>
  <c r="BB198" i="2"/>
  <c r="BA198" i="2"/>
  <c r="AV198" i="2"/>
  <c r="AD198" i="2"/>
  <c r="X198" i="2"/>
  <c r="S198" i="2"/>
  <c r="J198" i="2"/>
  <c r="E198" i="2"/>
  <c r="D198" i="2"/>
  <c r="C198" i="2"/>
  <c r="B198" i="2"/>
  <c r="A198" i="2"/>
  <c r="BB197" i="2"/>
  <c r="BA197" i="2"/>
  <c r="AV197" i="2"/>
  <c r="AF197" i="2"/>
  <c r="AG197" i="2" s="1"/>
  <c r="AD197" i="2"/>
  <c r="AE197" i="2" s="1"/>
  <c r="Z197" i="2"/>
  <c r="X197" i="2"/>
  <c r="Y197" i="2" s="1"/>
  <c r="U197" i="2"/>
  <c r="V197" i="2" s="1"/>
  <c r="AK197" i="2" s="1"/>
  <c r="S197" i="2"/>
  <c r="T197" i="2" s="1"/>
  <c r="G197" i="2"/>
  <c r="H197" i="2" s="1"/>
  <c r="E197" i="2"/>
  <c r="F197" i="2" s="1"/>
  <c r="C197" i="2"/>
  <c r="D197" i="2" s="1"/>
  <c r="B197" i="2"/>
  <c r="A197" i="2"/>
  <c r="BB196" i="2"/>
  <c r="BA196" i="2"/>
  <c r="AV196" i="2"/>
  <c r="AD196" i="2"/>
  <c r="AF196" i="2" s="1"/>
  <c r="X196" i="2"/>
  <c r="Z196" i="2" s="1"/>
  <c r="S196" i="2"/>
  <c r="J196" i="2"/>
  <c r="L196" i="2" s="1"/>
  <c r="M196" i="2" s="1"/>
  <c r="E196" i="2"/>
  <c r="G196" i="2" s="1"/>
  <c r="D196" i="2"/>
  <c r="C196" i="2"/>
  <c r="B196" i="2"/>
  <c r="A196" i="2"/>
  <c r="BB195" i="2"/>
  <c r="BA195" i="2"/>
  <c r="AV195" i="2"/>
  <c r="AD195" i="2"/>
  <c r="AF195" i="2" s="1"/>
  <c r="X195" i="2"/>
  <c r="Z195" i="2" s="1"/>
  <c r="S195" i="2"/>
  <c r="T195" i="2" s="1"/>
  <c r="J195" i="2"/>
  <c r="L195" i="2" s="1"/>
  <c r="M195" i="2" s="1"/>
  <c r="E195" i="2"/>
  <c r="G195" i="2" s="1"/>
  <c r="C195" i="2"/>
  <c r="D195" i="2" s="1"/>
  <c r="B195" i="2"/>
  <c r="A195" i="2"/>
  <c r="O195" i="2" l="1"/>
  <c r="H195" i="2"/>
  <c r="O196" i="2"/>
  <c r="H196" i="2"/>
  <c r="U196" i="2"/>
  <c r="V200" i="2"/>
  <c r="AJ200" i="2"/>
  <c r="AG195" i="2"/>
  <c r="AH195" i="2"/>
  <c r="AH196" i="2"/>
  <c r="AG196" i="2"/>
  <c r="AA195" i="2"/>
  <c r="AA196" i="2"/>
  <c r="K195" i="2"/>
  <c r="Y195" i="2"/>
  <c r="AE195" i="2"/>
  <c r="U195" i="2"/>
  <c r="F196" i="2"/>
  <c r="K196" i="2"/>
  <c r="T196" i="2"/>
  <c r="Y196" i="2"/>
  <c r="AE196" i="2"/>
  <c r="J197" i="2"/>
  <c r="O197" i="2"/>
  <c r="AH197" i="2"/>
  <c r="G198" i="2"/>
  <c r="F198" i="2"/>
  <c r="Z198" i="2"/>
  <c r="Y198" i="2"/>
  <c r="Q199" i="2"/>
  <c r="R199" i="2" s="1"/>
  <c r="V199" i="2"/>
  <c r="F201" i="2"/>
  <c r="Y201" i="2"/>
  <c r="L202" i="2"/>
  <c r="M202" i="2" s="1"/>
  <c r="K202" i="2"/>
  <c r="U202" i="2"/>
  <c r="T202" i="2"/>
  <c r="AF202" i="2"/>
  <c r="AE202" i="2"/>
  <c r="D203" i="2"/>
  <c r="H203" i="2"/>
  <c r="V203" i="2"/>
  <c r="J204" i="2"/>
  <c r="D204" i="2"/>
  <c r="AH204" i="2"/>
  <c r="AI204" i="2" s="1"/>
  <c r="AG204" i="2"/>
  <c r="V205" i="2"/>
  <c r="AJ205" i="2"/>
  <c r="AG205" i="2"/>
  <c r="F195" i="2"/>
  <c r="H199" i="2"/>
  <c r="AL199" i="2"/>
  <c r="AM199" i="2" s="1"/>
  <c r="AH199" i="2"/>
  <c r="AI199" i="2" s="1"/>
  <c r="O200" i="2"/>
  <c r="H200" i="2"/>
  <c r="V201" i="2"/>
  <c r="AJ201" i="2"/>
  <c r="AG201" i="2"/>
  <c r="L203" i="2"/>
  <c r="M203" i="2" s="1"/>
  <c r="AA204" i="2"/>
  <c r="K205" i="2"/>
  <c r="T205" i="2"/>
  <c r="AE205" i="2"/>
  <c r="AJ197" i="2"/>
  <c r="L198" i="2"/>
  <c r="M198" i="2" s="1"/>
  <c r="K198" i="2"/>
  <c r="U198" i="2"/>
  <c r="T198" i="2"/>
  <c r="AF198" i="2"/>
  <c r="AE198" i="2"/>
  <c r="J200" i="2"/>
  <c r="D200" i="2"/>
  <c r="AH200" i="2"/>
  <c r="AG200" i="2"/>
  <c r="G202" i="2"/>
  <c r="F202" i="2"/>
  <c r="Z202" i="2"/>
  <c r="Y202" i="2"/>
  <c r="V204" i="2"/>
  <c r="AJ204" i="2"/>
  <c r="O205" i="2"/>
  <c r="AA205" i="2"/>
  <c r="AH205" i="2"/>
  <c r="AA197" i="2"/>
  <c r="AJ199" i="2"/>
  <c r="AA200" i="2"/>
  <c r="O201" i="2"/>
  <c r="AA201" i="2"/>
  <c r="AH201" i="2"/>
  <c r="AI201" i="2" s="1"/>
  <c r="Q203" i="2"/>
  <c r="AL203" i="2"/>
  <c r="AH203" i="2"/>
  <c r="AI203" i="2" s="1"/>
  <c r="AN203" i="2"/>
  <c r="O204" i="2"/>
  <c r="H204" i="2"/>
  <c r="F205" i="2"/>
  <c r="Y205" i="2"/>
  <c r="S193" i="6"/>
  <c r="B193" i="6"/>
  <c r="A193" i="6"/>
  <c r="S192" i="6"/>
  <c r="B192" i="6"/>
  <c r="A192" i="6"/>
  <c r="S191" i="6"/>
  <c r="E191" i="6"/>
  <c r="B191" i="6"/>
  <c r="A191" i="6"/>
  <c r="S190" i="6"/>
  <c r="B190" i="6"/>
  <c r="A190" i="6"/>
  <c r="S189" i="6"/>
  <c r="E189" i="6"/>
  <c r="B189" i="6"/>
  <c r="A189" i="6"/>
  <c r="S188" i="6"/>
  <c r="B188" i="6"/>
  <c r="A188" i="6"/>
  <c r="S187" i="6"/>
  <c r="E187" i="6"/>
  <c r="B187" i="6"/>
  <c r="A187" i="6"/>
  <c r="S186" i="6"/>
  <c r="B186" i="6"/>
  <c r="A186" i="6"/>
  <c r="S185" i="6"/>
  <c r="B185" i="6"/>
  <c r="A185" i="6"/>
  <c r="S184" i="6"/>
  <c r="B184" i="6"/>
  <c r="A184" i="6"/>
  <c r="S183" i="6"/>
  <c r="B183" i="6"/>
  <c r="A183" i="6"/>
  <c r="S182" i="6"/>
  <c r="F182" i="6"/>
  <c r="B182" i="6"/>
  <c r="A182" i="6"/>
  <c r="S181" i="6"/>
  <c r="E181" i="6"/>
  <c r="B181" i="6"/>
  <c r="A181" i="6"/>
  <c r="BB193" i="2"/>
  <c r="BA193" i="2"/>
  <c r="AV193" i="2"/>
  <c r="AD193" i="2"/>
  <c r="AE193" i="2" s="1"/>
  <c r="X193" i="2"/>
  <c r="S193" i="2"/>
  <c r="T193" i="2" s="1"/>
  <c r="E193" i="2"/>
  <c r="C193" i="2"/>
  <c r="B193" i="2"/>
  <c r="A193" i="2"/>
  <c r="BB192" i="2"/>
  <c r="BA192" i="2"/>
  <c r="AV192" i="2"/>
  <c r="AF192" i="2"/>
  <c r="AD192" i="2"/>
  <c r="AE192" i="2" s="1"/>
  <c r="Z192" i="2"/>
  <c r="AA192" i="2" s="1"/>
  <c r="X192" i="2"/>
  <c r="Y192" i="2" s="1"/>
  <c r="F192" i="6" s="1"/>
  <c r="S192" i="2"/>
  <c r="T192" i="2" s="1"/>
  <c r="G192" i="2"/>
  <c r="E192" i="2"/>
  <c r="F192" i="2" s="1"/>
  <c r="C192" i="2"/>
  <c r="B192" i="2"/>
  <c r="A192" i="2"/>
  <c r="BB191" i="2"/>
  <c r="BA191" i="2"/>
  <c r="AV191" i="2"/>
  <c r="AD191" i="2"/>
  <c r="X191" i="2"/>
  <c r="S191" i="2"/>
  <c r="J191" i="2"/>
  <c r="E191" i="2"/>
  <c r="C191" i="2"/>
  <c r="D191" i="2" s="1"/>
  <c r="B191" i="2"/>
  <c r="A191" i="2"/>
  <c r="BB190" i="2"/>
  <c r="BA190" i="2"/>
  <c r="AV190" i="2"/>
  <c r="AD190" i="2"/>
  <c r="AF190" i="2" s="1"/>
  <c r="AG190" i="2" s="1"/>
  <c r="X190" i="2"/>
  <c r="E190" i="6" s="1"/>
  <c r="T190" i="2"/>
  <c r="S190" i="2"/>
  <c r="E190" i="2"/>
  <c r="C190" i="2"/>
  <c r="B190" i="2"/>
  <c r="A190" i="2"/>
  <c r="BB189" i="2"/>
  <c r="BA189" i="2"/>
  <c r="AV189" i="2"/>
  <c r="AD189" i="2"/>
  <c r="AE189" i="2" s="1"/>
  <c r="X189" i="2"/>
  <c r="Y189" i="2" s="1"/>
  <c r="F189" i="6" s="1"/>
  <c r="T189" i="2"/>
  <c r="S189" i="2"/>
  <c r="U189" i="2" s="1"/>
  <c r="V189" i="2" s="1"/>
  <c r="AK189" i="2" s="1"/>
  <c r="L189" i="6" s="1"/>
  <c r="G189" i="2"/>
  <c r="H189" i="2" s="1"/>
  <c r="E189" i="2"/>
  <c r="F189" i="2" s="1"/>
  <c r="C189" i="2"/>
  <c r="D189" i="2" s="1"/>
  <c r="B189" i="2"/>
  <c r="A189" i="2"/>
  <c r="BB188" i="2"/>
  <c r="BA188" i="2"/>
  <c r="AV188" i="2"/>
  <c r="AD188" i="2"/>
  <c r="AE188" i="2" s="1"/>
  <c r="Z188" i="2"/>
  <c r="AA188" i="2" s="1"/>
  <c r="Y188" i="2"/>
  <c r="F188" i="6" s="1"/>
  <c r="X188" i="2"/>
  <c r="E188" i="6" s="1"/>
  <c r="T188" i="2"/>
  <c r="S188" i="2"/>
  <c r="L188" i="2"/>
  <c r="M188" i="2" s="1"/>
  <c r="K188" i="2"/>
  <c r="F188" i="2"/>
  <c r="E188" i="2"/>
  <c r="G188" i="2" s="1"/>
  <c r="O188" i="2" s="1"/>
  <c r="D188" i="2"/>
  <c r="C188" i="2"/>
  <c r="J188" i="2" s="1"/>
  <c r="B188" i="2"/>
  <c r="A188" i="2"/>
  <c r="BB187" i="2"/>
  <c r="BA187" i="2"/>
  <c r="AV187" i="2"/>
  <c r="AD187" i="2"/>
  <c r="Z187" i="2"/>
  <c r="X187" i="2"/>
  <c r="Y187" i="2" s="1"/>
  <c r="F187" i="6" s="1"/>
  <c r="S187" i="2"/>
  <c r="T187" i="2" s="1"/>
  <c r="G187" i="2"/>
  <c r="E187" i="2"/>
  <c r="F187" i="2" s="1"/>
  <c r="C187" i="2"/>
  <c r="J187" i="2" s="1"/>
  <c r="B187" i="2"/>
  <c r="A187" i="2"/>
  <c r="BB186" i="2"/>
  <c r="BA186" i="2"/>
  <c r="AV186" i="2"/>
  <c r="AD186" i="2"/>
  <c r="AF186" i="2" s="1"/>
  <c r="AH186" i="2" s="1"/>
  <c r="I186" i="6" s="1"/>
  <c r="X186" i="2"/>
  <c r="Z186" i="2" s="1"/>
  <c r="S186" i="2"/>
  <c r="E186" i="2"/>
  <c r="G186" i="2" s="1"/>
  <c r="C186" i="2"/>
  <c r="B186" i="2"/>
  <c r="A186" i="2"/>
  <c r="BB185" i="2"/>
  <c r="BA185" i="2"/>
  <c r="AV185" i="2"/>
  <c r="AF185" i="2"/>
  <c r="AD185" i="2"/>
  <c r="AE185" i="2" s="1"/>
  <c r="X185" i="2"/>
  <c r="Y185" i="2" s="1"/>
  <c r="F185" i="6" s="1"/>
  <c r="S185" i="2"/>
  <c r="T185" i="2" s="1"/>
  <c r="E185" i="2"/>
  <c r="F185" i="2" s="1"/>
  <c r="C185" i="2"/>
  <c r="J185" i="2" s="1"/>
  <c r="B185" i="2"/>
  <c r="A185" i="2"/>
  <c r="BB184" i="2"/>
  <c r="BA184" i="2"/>
  <c r="AV184" i="2"/>
  <c r="AD184" i="2"/>
  <c r="AF184" i="2" s="1"/>
  <c r="X184" i="2"/>
  <c r="S184" i="2"/>
  <c r="T184" i="2" s="1"/>
  <c r="J184" i="2"/>
  <c r="L184" i="2" s="1"/>
  <c r="M184" i="2" s="1"/>
  <c r="E184" i="2"/>
  <c r="G184" i="2" s="1"/>
  <c r="C184" i="2"/>
  <c r="D184" i="2" s="1"/>
  <c r="B184" i="2"/>
  <c r="A184" i="2"/>
  <c r="BB183" i="2"/>
  <c r="BA183" i="2"/>
  <c r="AV183" i="2"/>
  <c r="AF183" i="2"/>
  <c r="AG183" i="2" s="1"/>
  <c r="AD183" i="2"/>
  <c r="AE183" i="2" s="1"/>
  <c r="X183" i="2"/>
  <c r="Y183" i="2" s="1"/>
  <c r="F183" i="6" s="1"/>
  <c r="S183" i="2"/>
  <c r="U183" i="2" s="1"/>
  <c r="E183" i="2"/>
  <c r="G183" i="2" s="1"/>
  <c r="C183" i="2"/>
  <c r="D183" i="2" s="1"/>
  <c r="B183" i="2"/>
  <c r="A183" i="2"/>
  <c r="BB182" i="2"/>
  <c r="BA182" i="2"/>
  <c r="AV182" i="2"/>
  <c r="AD182" i="2"/>
  <c r="AE182" i="2" s="1"/>
  <c r="Y182" i="2"/>
  <c r="X182" i="2"/>
  <c r="E182" i="6" s="1"/>
  <c r="T182" i="2"/>
  <c r="S182" i="2"/>
  <c r="E182" i="2"/>
  <c r="G182" i="2" s="1"/>
  <c r="C182" i="2"/>
  <c r="B182" i="2"/>
  <c r="A182" i="2"/>
  <c r="BB181" i="2"/>
  <c r="BA181" i="2"/>
  <c r="AV181" i="2"/>
  <c r="AD181" i="2"/>
  <c r="AE181" i="2" s="1"/>
  <c r="X181" i="2"/>
  <c r="Z181" i="2" s="1"/>
  <c r="S181" i="2"/>
  <c r="T181" i="2" s="1"/>
  <c r="J181" i="2"/>
  <c r="K181" i="2" s="1"/>
  <c r="E181" i="2"/>
  <c r="G181" i="2" s="1"/>
  <c r="C181" i="2"/>
  <c r="D181" i="2" s="1"/>
  <c r="B181" i="2"/>
  <c r="A181" i="2"/>
  <c r="AP203" i="2"/>
  <c r="Q204" i="2" l="1"/>
  <c r="P204" i="2"/>
  <c r="AK204" i="2"/>
  <c r="AG198" i="2"/>
  <c r="AH198" i="2"/>
  <c r="AI198" i="2" s="1"/>
  <c r="Q200" i="2"/>
  <c r="P200" i="2"/>
  <c r="AJ202" i="2"/>
  <c r="V202" i="2"/>
  <c r="AS203" i="2"/>
  <c r="R203" i="2"/>
  <c r="AO203" i="2" s="1"/>
  <c r="Q201" i="2"/>
  <c r="P201" i="2"/>
  <c r="H202" i="2"/>
  <c r="O202" i="2"/>
  <c r="AN199" i="2"/>
  <c r="L204" i="2"/>
  <c r="M204" i="2" s="1"/>
  <c r="K204" i="2"/>
  <c r="AS199" i="2"/>
  <c r="AA198" i="2"/>
  <c r="AI197" i="2"/>
  <c r="V195" i="2"/>
  <c r="AJ195" i="2"/>
  <c r="AI195" i="2"/>
  <c r="AK200" i="2"/>
  <c r="Q196" i="2"/>
  <c r="P196" i="2"/>
  <c r="L200" i="2"/>
  <c r="M200" i="2" s="1"/>
  <c r="K200" i="2"/>
  <c r="AK203" i="2"/>
  <c r="AH202" i="2"/>
  <c r="AG202" i="2"/>
  <c r="AK199" i="2"/>
  <c r="Q197" i="2"/>
  <c r="P197" i="2"/>
  <c r="AI196" i="2"/>
  <c r="Q205" i="2"/>
  <c r="P205" i="2"/>
  <c r="AJ198" i="2"/>
  <c r="V198" i="2"/>
  <c r="AK201" i="2"/>
  <c r="AI205" i="2"/>
  <c r="AA202" i="2"/>
  <c r="AI200" i="2"/>
  <c r="AK205" i="2"/>
  <c r="H198" i="2"/>
  <c r="O198" i="2"/>
  <c r="L197" i="2"/>
  <c r="M197" i="2" s="1"/>
  <c r="K197" i="2"/>
  <c r="V196" i="2"/>
  <c r="AJ196" i="2"/>
  <c r="P195" i="2"/>
  <c r="Q195" i="2"/>
  <c r="D186" i="2"/>
  <c r="J186" i="2"/>
  <c r="D190" i="2"/>
  <c r="J190" i="2"/>
  <c r="O192" i="2"/>
  <c r="H192" i="2"/>
  <c r="F193" i="2"/>
  <c r="G193" i="2"/>
  <c r="O193" i="2" s="1"/>
  <c r="C193" i="6" s="1"/>
  <c r="AF182" i="2"/>
  <c r="AG182" i="2" s="1"/>
  <c r="O187" i="2"/>
  <c r="C187" i="6" s="1"/>
  <c r="H187" i="2"/>
  <c r="C188" i="6"/>
  <c r="P188" i="2"/>
  <c r="D188" i="6" s="1"/>
  <c r="AF188" i="2"/>
  <c r="AG188" i="2" s="1"/>
  <c r="AG192" i="2"/>
  <c r="Z184" i="2"/>
  <c r="AA184" i="2" s="1"/>
  <c r="E184" i="6"/>
  <c r="Q188" i="2"/>
  <c r="R188" i="2" s="1"/>
  <c r="AF189" i="2"/>
  <c r="AG189" i="2" s="1"/>
  <c r="J192" i="2"/>
  <c r="L192" i="2" s="1"/>
  <c r="M192" i="2" s="1"/>
  <c r="D192" i="2"/>
  <c r="Y193" i="2"/>
  <c r="F193" i="6" s="1"/>
  <c r="Z193" i="2"/>
  <c r="E193" i="6"/>
  <c r="E185" i="6"/>
  <c r="O184" i="2"/>
  <c r="H184" i="2"/>
  <c r="AH184" i="2"/>
  <c r="I184" i="6" s="1"/>
  <c r="H188" i="2"/>
  <c r="J182" i="2"/>
  <c r="D182" i="2"/>
  <c r="Z182" i="2"/>
  <c r="E192" i="6"/>
  <c r="E183" i="6"/>
  <c r="AE190" i="2"/>
  <c r="U193" i="2"/>
  <c r="AJ193" i="2" s="1"/>
  <c r="K193" i="6" s="1"/>
  <c r="AF193" i="2"/>
  <c r="E186" i="6"/>
  <c r="O181" i="2"/>
  <c r="C181" i="6" s="1"/>
  <c r="H181" i="2"/>
  <c r="O182" i="2"/>
  <c r="C182" i="6" s="1"/>
  <c r="H182" i="2"/>
  <c r="Q187" i="2"/>
  <c r="R187" i="2" s="1"/>
  <c r="H183" i="2"/>
  <c r="O183" i="2"/>
  <c r="C183" i="6" s="1"/>
  <c r="K185" i="2"/>
  <c r="L185" i="2"/>
  <c r="M185" i="2" s="1"/>
  <c r="V183" i="2"/>
  <c r="AJ183" i="2"/>
  <c r="K183" i="6" s="1"/>
  <c r="K187" i="2"/>
  <c r="L187" i="2"/>
  <c r="M187" i="2" s="1"/>
  <c r="AA181" i="2"/>
  <c r="F181" i="2"/>
  <c r="Y181" i="2"/>
  <c r="F181" i="6" s="1"/>
  <c r="F183" i="2"/>
  <c r="P184" i="2"/>
  <c r="D184" i="6" s="1"/>
  <c r="Z185" i="2"/>
  <c r="AH185" i="2" s="1"/>
  <c r="I185" i="6" s="1"/>
  <c r="L181" i="2"/>
  <c r="M181" i="2" s="1"/>
  <c r="U181" i="2"/>
  <c r="AF181" i="2"/>
  <c r="F182" i="2"/>
  <c r="AA182" i="2"/>
  <c r="T183" i="2"/>
  <c r="Z183" i="2"/>
  <c r="AH183" i="2"/>
  <c r="I183" i="6" s="1"/>
  <c r="K184" i="2"/>
  <c r="AE184" i="2"/>
  <c r="U185" i="2"/>
  <c r="U184" i="2" s="1"/>
  <c r="F186" i="2"/>
  <c r="AA186" i="2"/>
  <c r="AG186" i="2"/>
  <c r="AI186" i="2" s="1"/>
  <c r="J186" i="6" s="1"/>
  <c r="U187" i="2"/>
  <c r="AA187" i="2"/>
  <c r="O189" i="2"/>
  <c r="C189" i="6" s="1"/>
  <c r="G190" i="2"/>
  <c r="F190" i="2"/>
  <c r="Z190" i="2"/>
  <c r="AH190" i="2" s="1"/>
  <c r="I190" i="6" s="1"/>
  <c r="Y190" i="2"/>
  <c r="F190" i="6" s="1"/>
  <c r="K191" i="2"/>
  <c r="L191" i="2"/>
  <c r="M191" i="2" s="1"/>
  <c r="AE191" i="2"/>
  <c r="AF191" i="2"/>
  <c r="J183" i="2"/>
  <c r="F184" i="2"/>
  <c r="Y184" i="2"/>
  <c r="AG184" i="2"/>
  <c r="D185" i="2"/>
  <c r="Y186" i="2"/>
  <c r="F186" i="6" s="1"/>
  <c r="AE187" i="2"/>
  <c r="AF187" i="2"/>
  <c r="Z189" i="2"/>
  <c r="U186" i="2"/>
  <c r="T186" i="2"/>
  <c r="AJ189" i="2"/>
  <c r="K189" i="6" s="1"/>
  <c r="T191" i="2"/>
  <c r="U191" i="2"/>
  <c r="AH182" i="2"/>
  <c r="G185" i="2"/>
  <c r="AG185" i="2"/>
  <c r="O186" i="2"/>
  <c r="C186" i="6" s="1"/>
  <c r="H186" i="2"/>
  <c r="AE186" i="2"/>
  <c r="D187" i="2"/>
  <c r="AS188" i="2"/>
  <c r="AL188" i="2"/>
  <c r="F191" i="2"/>
  <c r="G191" i="2"/>
  <c r="Y191" i="2"/>
  <c r="F191" i="6" s="1"/>
  <c r="Z191" i="2"/>
  <c r="J189" i="2"/>
  <c r="U190" i="2"/>
  <c r="K192" i="2"/>
  <c r="H193" i="2"/>
  <c r="AH193" i="2"/>
  <c r="AG193" i="2"/>
  <c r="P192" i="2"/>
  <c r="J193" i="2"/>
  <c r="D193" i="2"/>
  <c r="AA193" i="2"/>
  <c r="AH192" i="2"/>
  <c r="AP199" i="2"/>
  <c r="AW203" i="2"/>
  <c r="AW199" i="2"/>
  <c r="AQ203" i="2"/>
  <c r="AR203" i="2" l="1"/>
  <c r="BE199" i="2"/>
  <c r="BC199" i="2"/>
  <c r="BE203" i="2"/>
  <c r="BC203" i="2"/>
  <c r="AT199" i="2"/>
  <c r="Q202" i="2"/>
  <c r="P202" i="2"/>
  <c r="AM203" i="2"/>
  <c r="AT203" i="2"/>
  <c r="AY203" i="2" s="1"/>
  <c r="R204" i="2"/>
  <c r="AL204" i="2"/>
  <c r="AS204" i="2"/>
  <c r="AK196" i="2"/>
  <c r="Q198" i="2"/>
  <c r="P198" i="2"/>
  <c r="R197" i="2"/>
  <c r="AS197" i="2"/>
  <c r="AN197" i="2"/>
  <c r="AL197" i="2"/>
  <c r="AI202" i="2"/>
  <c r="R195" i="2"/>
  <c r="AL195" i="2"/>
  <c r="AN195" i="2"/>
  <c r="AS195" i="2"/>
  <c r="R205" i="2"/>
  <c r="AL205" i="2"/>
  <c r="AS205" i="2"/>
  <c r="AN205" i="2"/>
  <c r="R196" i="2"/>
  <c r="AL196" i="2"/>
  <c r="AS196" i="2"/>
  <c r="AK195" i="2"/>
  <c r="AO199" i="2"/>
  <c r="R201" i="2"/>
  <c r="AN201" i="2"/>
  <c r="AL201" i="2"/>
  <c r="AM201" i="2" s="1"/>
  <c r="AS201" i="2"/>
  <c r="AK202" i="2"/>
  <c r="R200" i="2"/>
  <c r="AS200" i="2"/>
  <c r="AL200" i="2"/>
  <c r="AK198" i="2"/>
  <c r="AI192" i="2"/>
  <c r="J192" i="6" s="1"/>
  <c r="I192" i="6"/>
  <c r="AI182" i="2"/>
  <c r="J182" i="6" s="1"/>
  <c r="I182" i="6"/>
  <c r="L186" i="2"/>
  <c r="M186" i="2" s="1"/>
  <c r="K186" i="2"/>
  <c r="V193" i="2"/>
  <c r="L182" i="2"/>
  <c r="M182" i="2" s="1"/>
  <c r="K182" i="2"/>
  <c r="L190" i="2"/>
  <c r="M190" i="2" s="1"/>
  <c r="K190" i="2"/>
  <c r="AH188" i="2"/>
  <c r="AI184" i="2"/>
  <c r="J184" i="6" s="1"/>
  <c r="AS187" i="2"/>
  <c r="Q184" i="2"/>
  <c r="C184" i="6"/>
  <c r="AI193" i="2"/>
  <c r="J193" i="6" s="1"/>
  <c r="I193" i="6"/>
  <c r="D192" i="6"/>
  <c r="F184" i="6"/>
  <c r="P187" i="2"/>
  <c r="D187" i="6" s="1"/>
  <c r="Q192" i="2"/>
  <c r="C192" i="6"/>
  <c r="AJ184" i="2"/>
  <c r="K184" i="6" s="1"/>
  <c r="V184" i="2"/>
  <c r="K193" i="2"/>
  <c r="L193" i="2"/>
  <c r="M193" i="2" s="1"/>
  <c r="AT188" i="2"/>
  <c r="K183" i="2"/>
  <c r="L183" i="2"/>
  <c r="M183" i="2" s="1"/>
  <c r="H190" i="2"/>
  <c r="O190" i="2"/>
  <c r="C190" i="6" s="1"/>
  <c r="U182" i="2"/>
  <c r="V181" i="2"/>
  <c r="AJ181" i="2"/>
  <c r="K181" i="6" s="1"/>
  <c r="AT187" i="2"/>
  <c r="P193" i="2"/>
  <c r="D193" i="6" s="1"/>
  <c r="Q193" i="2"/>
  <c r="L189" i="2"/>
  <c r="M189" i="2" s="1"/>
  <c r="K189" i="2"/>
  <c r="Q186" i="2"/>
  <c r="P186" i="2"/>
  <c r="D186" i="6" s="1"/>
  <c r="AG191" i="2"/>
  <c r="AH191" i="2"/>
  <c r="P189" i="2"/>
  <c r="D189" i="6" s="1"/>
  <c r="Q189" i="2"/>
  <c r="AS189" i="2" s="1"/>
  <c r="Q182" i="2"/>
  <c r="P182" i="2"/>
  <c r="D182" i="6" s="1"/>
  <c r="AA189" i="2"/>
  <c r="AH189" i="2"/>
  <c r="AA185" i="2"/>
  <c r="AI185" i="2" s="1"/>
  <c r="J185" i="6" s="1"/>
  <c r="AK183" i="2"/>
  <c r="L183" i="6" s="1"/>
  <c r="Q183" i="2"/>
  <c r="P183" i="2"/>
  <c r="D183" i="6" s="1"/>
  <c r="H191" i="2"/>
  <c r="O191" i="2"/>
  <c r="C191" i="6" s="1"/>
  <c r="AJ186" i="2"/>
  <c r="K186" i="6" s="1"/>
  <c r="V186" i="2"/>
  <c r="AK193" i="2"/>
  <c r="L193" i="6" s="1"/>
  <c r="AA191" i="2"/>
  <c r="AA190" i="2"/>
  <c r="AI190" i="2" s="1"/>
  <c r="J190" i="6" s="1"/>
  <c r="AJ185" i="2"/>
  <c r="K185" i="6" s="1"/>
  <c r="V185" i="2"/>
  <c r="AJ190" i="2"/>
  <c r="K190" i="6" s="1"/>
  <c r="V190" i="2"/>
  <c r="AM188" i="2"/>
  <c r="O185" i="2"/>
  <c r="C185" i="6" s="1"/>
  <c r="H185" i="2"/>
  <c r="U192" i="2"/>
  <c r="V191" i="2"/>
  <c r="AJ191" i="2"/>
  <c r="K191" i="6" s="1"/>
  <c r="AH187" i="2"/>
  <c r="AN187" i="2"/>
  <c r="G187" i="6" s="1"/>
  <c r="AG187" i="2"/>
  <c r="AL187" i="2"/>
  <c r="AM187" i="2" s="1"/>
  <c r="U188" i="2"/>
  <c r="V187" i="2"/>
  <c r="AJ187" i="2"/>
  <c r="K187" i="6" s="1"/>
  <c r="AS183" i="2"/>
  <c r="AA183" i="2"/>
  <c r="AI183" i="2" s="1"/>
  <c r="J183" i="6" s="1"/>
  <c r="AH181" i="2"/>
  <c r="I181" i="6" s="1"/>
  <c r="AG181" i="2"/>
  <c r="AN181" i="2"/>
  <c r="G181" i="6" s="1"/>
  <c r="Q181" i="2"/>
  <c r="P181" i="2"/>
  <c r="D181" i="6" s="1"/>
  <c r="AW187" i="2"/>
  <c r="AP187" i="2"/>
  <c r="AP181" i="2"/>
  <c r="AX203" i="2"/>
  <c r="AP197" i="2"/>
  <c r="AP195" i="2"/>
  <c r="AW205" i="2"/>
  <c r="AP201" i="2"/>
  <c r="AW195" i="2"/>
  <c r="AP205" i="2"/>
  <c r="AX199" i="2"/>
  <c r="AW197" i="2"/>
  <c r="AQ199" i="2"/>
  <c r="AW201" i="2"/>
  <c r="BE201" i="2" l="1"/>
  <c r="BC201" i="2"/>
  <c r="AR199" i="2"/>
  <c r="BE197" i="2"/>
  <c r="BC197" i="2"/>
  <c r="AZ199" i="2"/>
  <c r="BE195" i="2"/>
  <c r="BC195" i="2"/>
  <c r="BE205" i="2"/>
  <c r="BC205" i="2"/>
  <c r="AZ203" i="2"/>
  <c r="BG203" i="2"/>
  <c r="BF203" i="2"/>
  <c r="BD203" i="2"/>
  <c r="AT201" i="2"/>
  <c r="AT197" i="2"/>
  <c r="AO205" i="2"/>
  <c r="AT195" i="2"/>
  <c r="AO201" i="2"/>
  <c r="AT196" i="2"/>
  <c r="AT205" i="2"/>
  <c r="AY205" i="2" s="1"/>
  <c r="AO195" i="2"/>
  <c r="AM197" i="2"/>
  <c r="AM204" i="2"/>
  <c r="AN204" i="2"/>
  <c r="AN196" i="2"/>
  <c r="AM196" i="2"/>
  <c r="AM205" i="2"/>
  <c r="AM195" i="2"/>
  <c r="AO197" i="2"/>
  <c r="R198" i="2"/>
  <c r="AL198" i="2"/>
  <c r="AS198" i="2"/>
  <c r="R202" i="2"/>
  <c r="AS202" i="2"/>
  <c r="AL202" i="2"/>
  <c r="AY199" i="2"/>
  <c r="AN200" i="2"/>
  <c r="AM200" i="2"/>
  <c r="AT200" i="2"/>
  <c r="AT204" i="2"/>
  <c r="M181" i="6"/>
  <c r="M187" i="6"/>
  <c r="O187" i="6"/>
  <c r="AS192" i="2"/>
  <c r="AT192" i="2" s="1"/>
  <c r="R192" i="2"/>
  <c r="AL192" i="2"/>
  <c r="AM192" i="2" s="1"/>
  <c r="AI188" i="2"/>
  <c r="J188" i="6" s="1"/>
  <c r="I188" i="6"/>
  <c r="AI187" i="2"/>
  <c r="J187" i="6" s="1"/>
  <c r="I187" i="6"/>
  <c r="AS184" i="2"/>
  <c r="AT184" i="2" s="1"/>
  <c r="R184" i="2"/>
  <c r="AL184" i="2"/>
  <c r="AI191" i="2"/>
  <c r="J191" i="6" s="1"/>
  <c r="I191" i="6"/>
  <c r="AI189" i="2"/>
  <c r="J189" i="6" s="1"/>
  <c r="I189" i="6"/>
  <c r="BE187" i="2"/>
  <c r="BC187" i="2"/>
  <c r="Q187" i="6" s="1"/>
  <c r="AT183" i="2"/>
  <c r="AI181" i="2"/>
  <c r="J181" i="6" s="1"/>
  <c r="AK190" i="2"/>
  <c r="L190" i="6" s="1"/>
  <c r="AK185" i="2"/>
  <c r="L185" i="6" s="1"/>
  <c r="AT189" i="2"/>
  <c r="R189" i="2"/>
  <c r="AL189" i="2"/>
  <c r="AN189" i="2"/>
  <c r="G189" i="6" s="1"/>
  <c r="AJ182" i="2"/>
  <c r="K182" i="6" s="1"/>
  <c r="V182" i="2"/>
  <c r="R181" i="2"/>
  <c r="AS181" i="2"/>
  <c r="AL181" i="2"/>
  <c r="AK187" i="2"/>
  <c r="L187" i="6" s="1"/>
  <c r="P185" i="2"/>
  <c r="D185" i="6" s="1"/>
  <c r="Q185" i="2"/>
  <c r="R183" i="2"/>
  <c r="AN183" i="2"/>
  <c r="G183" i="6" s="1"/>
  <c r="AL183" i="2"/>
  <c r="Q190" i="2"/>
  <c r="P190" i="2"/>
  <c r="D190" i="6" s="1"/>
  <c r="AK184" i="2"/>
  <c r="L184" i="6" s="1"/>
  <c r="AO181" i="2"/>
  <c r="H181" i="6" s="1"/>
  <c r="AO187" i="2"/>
  <c r="H187" i="6" s="1"/>
  <c r="AK191" i="2"/>
  <c r="L191" i="6" s="1"/>
  <c r="P191" i="2"/>
  <c r="D191" i="6" s="1"/>
  <c r="Q191" i="2"/>
  <c r="R193" i="2"/>
  <c r="AN193" i="2"/>
  <c r="G193" i="6" s="1"/>
  <c r="AS193" i="2"/>
  <c r="AL193" i="2"/>
  <c r="AJ188" i="2"/>
  <c r="K188" i="6" s="1"/>
  <c r="V188" i="2"/>
  <c r="AJ192" i="2"/>
  <c r="K192" i="6" s="1"/>
  <c r="V192" i="2"/>
  <c r="AK186" i="2"/>
  <c r="L186" i="6" s="1"/>
  <c r="R182" i="2"/>
  <c r="AL182" i="2"/>
  <c r="AS182" i="2"/>
  <c r="R186" i="2"/>
  <c r="AL186" i="2"/>
  <c r="AS186" i="2"/>
  <c r="AK181" i="2"/>
  <c r="L181" i="6" s="1"/>
  <c r="AP193" i="2"/>
  <c r="AW183" i="2"/>
  <c r="AP183" i="2"/>
  <c r="AW193" i="2"/>
  <c r="AW189" i="2"/>
  <c r="AP189" i="2"/>
  <c r="AQ181" i="2"/>
  <c r="AW181" i="2"/>
  <c r="AX187" i="2"/>
  <c r="AQ187" i="2"/>
  <c r="AQ205" i="2"/>
  <c r="AX205" i="2"/>
  <c r="AW204" i="2"/>
  <c r="AP204" i="2"/>
  <c r="AQ195" i="2"/>
  <c r="AQ197" i="2"/>
  <c r="AW200" i="2"/>
  <c r="AP200" i="2"/>
  <c r="AX195" i="2"/>
  <c r="AW196" i="2"/>
  <c r="AP196" i="2"/>
  <c r="AX201" i="2"/>
  <c r="AQ201" i="2"/>
  <c r="AX197" i="2"/>
  <c r="AZ197" i="2" l="1"/>
  <c r="AR201" i="2"/>
  <c r="AZ201" i="2"/>
  <c r="AY196" i="2"/>
  <c r="BE196" i="2"/>
  <c r="BC196" i="2"/>
  <c r="AZ195" i="2"/>
  <c r="BE200" i="2"/>
  <c r="BC200" i="2"/>
  <c r="AR197" i="2"/>
  <c r="AR195" i="2"/>
  <c r="BE204" i="2"/>
  <c r="BC204" i="2"/>
  <c r="AZ205" i="2"/>
  <c r="AR205" i="2"/>
  <c r="BG205" i="2"/>
  <c r="BF205" i="2"/>
  <c r="BD205" i="2"/>
  <c r="AN202" i="2"/>
  <c r="AM202" i="2"/>
  <c r="AN198" i="2"/>
  <c r="AM198" i="2"/>
  <c r="AY197" i="2"/>
  <c r="AT202" i="2"/>
  <c r="AY201" i="2"/>
  <c r="AO196" i="2"/>
  <c r="AO200" i="2"/>
  <c r="BG199" i="2"/>
  <c r="BF199" i="2"/>
  <c r="BD199" i="2"/>
  <c r="AT198" i="2"/>
  <c r="AO204" i="2"/>
  <c r="AY204" i="2" s="1"/>
  <c r="AY195" i="2"/>
  <c r="N187" i="6"/>
  <c r="P187" i="6"/>
  <c r="O181" i="6"/>
  <c r="N181" i="6"/>
  <c r="M189" i="6"/>
  <c r="O189" i="6"/>
  <c r="O193" i="6"/>
  <c r="M183" i="6"/>
  <c r="O183" i="6"/>
  <c r="M193" i="6"/>
  <c r="AM181" i="2"/>
  <c r="AM184" i="2"/>
  <c r="AR187" i="2"/>
  <c r="AZ187" i="2"/>
  <c r="AY181" i="2"/>
  <c r="BD181" i="2" s="1"/>
  <c r="R181" i="6" s="1"/>
  <c r="BE181" i="2"/>
  <c r="BC181" i="2"/>
  <c r="Q181" i="6" s="1"/>
  <c r="AR181" i="2"/>
  <c r="BE189" i="2"/>
  <c r="BC189" i="2"/>
  <c r="Q189" i="6" s="1"/>
  <c r="BE193" i="2"/>
  <c r="BC193" i="2"/>
  <c r="Q193" i="6" s="1"/>
  <c r="BE183" i="2"/>
  <c r="BC183" i="2"/>
  <c r="Q183" i="6" s="1"/>
  <c r="AT186" i="2"/>
  <c r="AN182" i="2"/>
  <c r="G182" i="6" s="1"/>
  <c r="AM182" i="2"/>
  <c r="AM186" i="2"/>
  <c r="R185" i="2"/>
  <c r="AL185" i="2"/>
  <c r="AM185" i="2" s="1"/>
  <c r="AN185" i="2"/>
  <c r="G185" i="6" s="1"/>
  <c r="AS185" i="2"/>
  <c r="AT181" i="2"/>
  <c r="AM193" i="2"/>
  <c r="R191" i="2"/>
  <c r="AL191" i="2"/>
  <c r="AM191" i="2" s="1"/>
  <c r="AS191" i="2"/>
  <c r="AN191" i="2"/>
  <c r="G191" i="6" s="1"/>
  <c r="AM183" i="2"/>
  <c r="AO189" i="2"/>
  <c r="H189" i="6" s="1"/>
  <c r="AT182" i="2"/>
  <c r="AN188" i="2"/>
  <c r="G188" i="6" s="1"/>
  <c r="AK188" i="2"/>
  <c r="L188" i="6" s="1"/>
  <c r="AT193" i="2"/>
  <c r="AO183" i="2"/>
  <c r="H183" i="6" s="1"/>
  <c r="AK182" i="2"/>
  <c r="L182" i="6" s="1"/>
  <c r="AM189" i="2"/>
  <c r="AY187" i="2"/>
  <c r="AK192" i="2"/>
  <c r="L192" i="6" s="1"/>
  <c r="AO193" i="2"/>
  <c r="H193" i="6" s="1"/>
  <c r="R190" i="2"/>
  <c r="AL190" i="2"/>
  <c r="AS190" i="2"/>
  <c r="AW182" i="2"/>
  <c r="AP182" i="2"/>
  <c r="AX181" i="2"/>
  <c r="AW191" i="2"/>
  <c r="AX183" i="2"/>
  <c r="AQ183" i="2"/>
  <c r="AP191" i="2"/>
  <c r="AP188" i="2"/>
  <c r="AW188" i="2"/>
  <c r="AQ193" i="2"/>
  <c r="AX193" i="2"/>
  <c r="AP185" i="2"/>
  <c r="AW185" i="2"/>
  <c r="AX189" i="2"/>
  <c r="AQ189" i="2"/>
  <c r="AX204" i="2"/>
  <c r="AQ204" i="2"/>
  <c r="AX200" i="2"/>
  <c r="AQ200" i="2"/>
  <c r="AW198" i="2"/>
  <c r="AP198" i="2"/>
  <c r="AX196" i="2"/>
  <c r="AQ196" i="2"/>
  <c r="AW202" i="2"/>
  <c r="AP202" i="2"/>
  <c r="BE202" i="2" l="1"/>
  <c r="BC202" i="2"/>
  <c r="AR196" i="2"/>
  <c r="AZ196" i="2"/>
  <c r="BE198" i="2"/>
  <c r="BC198" i="2"/>
  <c r="AR200" i="2"/>
  <c r="AZ200" i="2"/>
  <c r="AR204" i="2"/>
  <c r="AZ204" i="2"/>
  <c r="BG204" i="2"/>
  <c r="BF204" i="2"/>
  <c r="BD204" i="2"/>
  <c r="BF197" i="2"/>
  <c r="BG197" i="2"/>
  <c r="BD197" i="2"/>
  <c r="AO202" i="2"/>
  <c r="AY202" i="2" s="1"/>
  <c r="BG196" i="2"/>
  <c r="BF196" i="2"/>
  <c r="BF195" i="2"/>
  <c r="BG195" i="2"/>
  <c r="BD195" i="2"/>
  <c r="BF201" i="2"/>
  <c r="BG201" i="2"/>
  <c r="BD201" i="2"/>
  <c r="AO198" i="2"/>
  <c r="BD196" i="2"/>
  <c r="AY200" i="2"/>
  <c r="N189" i="6"/>
  <c r="P189" i="6"/>
  <c r="O185" i="6"/>
  <c r="M185" i="6"/>
  <c r="P193" i="6"/>
  <c r="N193" i="6"/>
  <c r="O188" i="6"/>
  <c r="M188" i="6"/>
  <c r="M191" i="6"/>
  <c r="N183" i="6"/>
  <c r="P183" i="6"/>
  <c r="O191" i="6"/>
  <c r="P181" i="6"/>
  <c r="M182" i="6"/>
  <c r="O182" i="6"/>
  <c r="AN184" i="2"/>
  <c r="AR189" i="2"/>
  <c r="AZ189" i="2"/>
  <c r="BE185" i="2"/>
  <c r="BC185" i="2"/>
  <c r="Q185" i="6" s="1"/>
  <c r="AZ193" i="2"/>
  <c r="AR193" i="2"/>
  <c r="BE188" i="2"/>
  <c r="BC188" i="2"/>
  <c r="Q188" i="6" s="1"/>
  <c r="AR183" i="2"/>
  <c r="AZ183" i="2"/>
  <c r="BE191" i="2"/>
  <c r="BC191" i="2"/>
  <c r="Q191" i="6" s="1"/>
  <c r="AZ181" i="2"/>
  <c r="BE182" i="2"/>
  <c r="BC182" i="2"/>
  <c r="Q182" i="6" s="1"/>
  <c r="AT185" i="2"/>
  <c r="AO185" i="2"/>
  <c r="H185" i="6" s="1"/>
  <c r="AN186" i="2"/>
  <c r="G186" i="6" s="1"/>
  <c r="BG181" i="2"/>
  <c r="BF181" i="2"/>
  <c r="AY189" i="2"/>
  <c r="AY193" i="2"/>
  <c r="AT190" i="2"/>
  <c r="AO188" i="2"/>
  <c r="H188" i="6" s="1"/>
  <c r="AO191" i="2"/>
  <c r="H191" i="6" s="1"/>
  <c r="AN192" i="2"/>
  <c r="G192" i="6" s="1"/>
  <c r="AN190" i="2"/>
  <c r="G190" i="6" s="1"/>
  <c r="AM190" i="2"/>
  <c r="BF187" i="2"/>
  <c r="BG187" i="2"/>
  <c r="BD187" i="2"/>
  <c r="R187" i="6" s="1"/>
  <c r="AT191" i="2"/>
  <c r="AO182" i="2"/>
  <c r="H182" i="6" s="1"/>
  <c r="AY183" i="2"/>
  <c r="AP184" i="2"/>
  <c r="AW184" i="2"/>
  <c r="AQ185" i="2"/>
  <c r="AQ188" i="2"/>
  <c r="AX188" i="2"/>
  <c r="AX191" i="2"/>
  <c r="AW186" i="2"/>
  <c r="AP186" i="2"/>
  <c r="AQ191" i="2"/>
  <c r="AX182" i="2"/>
  <c r="AQ182" i="2"/>
  <c r="AW190" i="2"/>
  <c r="AP190" i="2"/>
  <c r="AP192" i="2"/>
  <c r="AW192" i="2"/>
  <c r="AX185" i="2"/>
  <c r="AX202" i="2"/>
  <c r="AQ202" i="2"/>
  <c r="AX198" i="2"/>
  <c r="AQ198" i="2"/>
  <c r="AR198" i="2" l="1"/>
  <c r="AZ198" i="2"/>
  <c r="AR202" i="2"/>
  <c r="AZ202" i="2"/>
  <c r="BF202" i="2"/>
  <c r="BG202" i="2"/>
  <c r="BD202" i="2"/>
  <c r="BG200" i="2"/>
  <c r="BF200" i="2"/>
  <c r="BD200" i="2"/>
  <c r="AY198" i="2"/>
  <c r="P185" i="6"/>
  <c r="O192" i="6"/>
  <c r="M192" i="6"/>
  <c r="M190" i="6"/>
  <c r="O190" i="6"/>
  <c r="N182" i="6"/>
  <c r="N191" i="6"/>
  <c r="M186" i="6"/>
  <c r="O186" i="6"/>
  <c r="P191" i="6"/>
  <c r="N188" i="6"/>
  <c r="N185" i="6"/>
  <c r="O184" i="6"/>
  <c r="BE184" i="2"/>
  <c r="BC184" i="2"/>
  <c r="Q184" i="6" s="1"/>
  <c r="M184" i="6"/>
  <c r="AY182" i="2"/>
  <c r="P182" i="6" s="1"/>
  <c r="G184" i="6"/>
  <c r="AO184" i="2"/>
  <c r="AZ185" i="2"/>
  <c r="BE192" i="2"/>
  <c r="BC192" i="2"/>
  <c r="Q192" i="6" s="1"/>
  <c r="BE190" i="2"/>
  <c r="AY190" i="2"/>
  <c r="BC190" i="2"/>
  <c r="Q190" i="6" s="1"/>
  <c r="AR182" i="2"/>
  <c r="AZ182" i="2"/>
  <c r="AR191" i="2"/>
  <c r="BE186" i="2"/>
  <c r="BC186" i="2"/>
  <c r="Q186" i="6" s="1"/>
  <c r="AZ191" i="2"/>
  <c r="AZ188" i="2"/>
  <c r="AR188" i="2"/>
  <c r="AR185" i="2"/>
  <c r="BF183" i="2"/>
  <c r="BG183" i="2"/>
  <c r="BD183" i="2"/>
  <c r="R183" i="6" s="1"/>
  <c r="AO192" i="2"/>
  <c r="H192" i="6" s="1"/>
  <c r="AO190" i="2"/>
  <c r="H190" i="6" s="1"/>
  <c r="BG182" i="2"/>
  <c r="BG193" i="2"/>
  <c r="BF193" i="2"/>
  <c r="BD193" i="2"/>
  <c r="R193" i="6" s="1"/>
  <c r="AO186" i="2"/>
  <c r="H186" i="6" s="1"/>
  <c r="BD182" i="2"/>
  <c r="R182" i="6" s="1"/>
  <c r="AY184" i="2"/>
  <c r="P184" i="6" s="1"/>
  <c r="BF189" i="2"/>
  <c r="BG189" i="2"/>
  <c r="BD189" i="2"/>
  <c r="R189" i="6" s="1"/>
  <c r="AY191" i="2"/>
  <c r="AY188" i="2"/>
  <c r="P188" i="6" s="1"/>
  <c r="AY185" i="2"/>
  <c r="AX184" i="2"/>
  <c r="AQ184" i="2"/>
  <c r="AQ192" i="2"/>
  <c r="AX192" i="2"/>
  <c r="AX190" i="2"/>
  <c r="AQ190" i="2"/>
  <c r="AX186" i="2"/>
  <c r="AQ186" i="2"/>
  <c r="BG198" i="2" l="1"/>
  <c r="BF198" i="2"/>
  <c r="BD198" i="2"/>
  <c r="N186" i="6"/>
  <c r="N190" i="6"/>
  <c r="N192" i="6"/>
  <c r="N184" i="6"/>
  <c r="AR184" i="2"/>
  <c r="AZ184" i="2"/>
  <c r="BF182" i="2"/>
  <c r="H184" i="6"/>
  <c r="BD190" i="2"/>
  <c r="R190" i="6" s="1"/>
  <c r="P190" i="6"/>
  <c r="AR186" i="2"/>
  <c r="AZ186" i="2"/>
  <c r="AR190" i="2"/>
  <c r="AZ190" i="2"/>
  <c r="AZ192" i="2"/>
  <c r="AR192" i="2"/>
  <c r="BF185" i="2"/>
  <c r="BG185" i="2"/>
  <c r="BD185" i="2"/>
  <c r="R185" i="6" s="1"/>
  <c r="AY186" i="2"/>
  <c r="P186" i="6" s="1"/>
  <c r="BF191" i="2"/>
  <c r="BG191" i="2"/>
  <c r="BD191" i="2"/>
  <c r="R191" i="6" s="1"/>
  <c r="BG184" i="2"/>
  <c r="BF184" i="2"/>
  <c r="BD184" i="2"/>
  <c r="R184" i="6" s="1"/>
  <c r="BG188" i="2"/>
  <c r="BF188" i="2"/>
  <c r="BD188" i="2"/>
  <c r="R188" i="6" s="1"/>
  <c r="BG190" i="2"/>
  <c r="BF190" i="2"/>
  <c r="AY192" i="2"/>
  <c r="P192" i="6" s="1"/>
  <c r="S179" i="6"/>
  <c r="B179" i="6"/>
  <c r="A179" i="6"/>
  <c r="S178" i="6"/>
  <c r="B178" i="6"/>
  <c r="A178" i="6"/>
  <c r="S177" i="6"/>
  <c r="B177" i="6"/>
  <c r="A177" i="6"/>
  <c r="S176" i="6"/>
  <c r="E176" i="6"/>
  <c r="B176" i="6"/>
  <c r="A176" i="6"/>
  <c r="S175" i="6"/>
  <c r="B175" i="6"/>
  <c r="A175" i="6"/>
  <c r="S174" i="6"/>
  <c r="B174" i="6"/>
  <c r="A174" i="6"/>
  <c r="S173" i="6"/>
  <c r="F173" i="6"/>
  <c r="B173" i="6"/>
  <c r="A173" i="6"/>
  <c r="S172" i="6"/>
  <c r="E172" i="6"/>
  <c r="B172" i="6"/>
  <c r="A172" i="6"/>
  <c r="S171" i="6"/>
  <c r="B171" i="6"/>
  <c r="A171" i="6"/>
  <c r="S170" i="6"/>
  <c r="B170" i="6"/>
  <c r="A170" i="6"/>
  <c r="S169" i="6"/>
  <c r="B169" i="6"/>
  <c r="A169" i="6"/>
  <c r="S168" i="6"/>
  <c r="E168" i="6"/>
  <c r="B168" i="6"/>
  <c r="A168" i="6"/>
  <c r="S167" i="6"/>
  <c r="B167" i="6"/>
  <c r="A167" i="6"/>
  <c r="S166" i="6"/>
  <c r="B166" i="6"/>
  <c r="A166" i="6"/>
  <c r="S165" i="6"/>
  <c r="F165" i="6"/>
  <c r="B165" i="6"/>
  <c r="A165" i="6"/>
  <c r="S164" i="6"/>
  <c r="E164" i="6"/>
  <c r="B164" i="6"/>
  <c r="A164" i="6"/>
  <c r="S163" i="6"/>
  <c r="B163" i="6"/>
  <c r="A163" i="6"/>
  <c r="BB179" i="2"/>
  <c r="BA179" i="2"/>
  <c r="AV179" i="2"/>
  <c r="AD179" i="2"/>
  <c r="AF179" i="2" s="1"/>
  <c r="X179" i="2"/>
  <c r="Z179" i="2" s="1"/>
  <c r="S179" i="2"/>
  <c r="U179" i="2" s="1"/>
  <c r="E179" i="2"/>
  <c r="G179" i="2" s="1"/>
  <c r="C179" i="2"/>
  <c r="D179" i="2" s="1"/>
  <c r="B179" i="2"/>
  <c r="A179" i="2"/>
  <c r="BB178" i="2"/>
  <c r="BA178" i="2"/>
  <c r="AV178" i="2"/>
  <c r="AD178" i="2"/>
  <c r="AE178" i="2" s="1"/>
  <c r="X178" i="2"/>
  <c r="Y178" i="2" s="1"/>
  <c r="F178" i="6" s="1"/>
  <c r="S178" i="2"/>
  <c r="T178" i="2" s="1"/>
  <c r="E178" i="2"/>
  <c r="C178" i="2"/>
  <c r="D178" i="2" s="1"/>
  <c r="B178" i="2"/>
  <c r="A178" i="2"/>
  <c r="BB177" i="2"/>
  <c r="BA177" i="2"/>
  <c r="AV177" i="2"/>
  <c r="AE177" i="2"/>
  <c r="AD177" i="2"/>
  <c r="AF177" i="2" s="1"/>
  <c r="X177" i="2"/>
  <c r="U177" i="2"/>
  <c r="AJ177" i="2" s="1"/>
  <c r="K177" i="6" s="1"/>
  <c r="T177" i="2"/>
  <c r="S177" i="2"/>
  <c r="F177" i="2"/>
  <c r="E177" i="2"/>
  <c r="G177" i="2" s="1"/>
  <c r="O177" i="2" s="1"/>
  <c r="Q177" i="2" s="1"/>
  <c r="R177" i="2" s="1"/>
  <c r="C177" i="2"/>
  <c r="J177" i="2" s="1"/>
  <c r="L177" i="2" s="1"/>
  <c r="M177" i="2" s="1"/>
  <c r="B177" i="2"/>
  <c r="A177" i="2"/>
  <c r="BB176" i="2"/>
  <c r="BA176" i="2"/>
  <c r="AV176" i="2"/>
  <c r="AD176" i="2"/>
  <c r="AE176" i="2" s="1"/>
  <c r="X176" i="2"/>
  <c r="Y176" i="2" s="1"/>
  <c r="F176" i="6" s="1"/>
  <c r="U176" i="2"/>
  <c r="AJ176" i="2" s="1"/>
  <c r="K176" i="6" s="1"/>
  <c r="S176" i="2"/>
  <c r="T176" i="2" s="1"/>
  <c r="E176" i="2"/>
  <c r="F176" i="2" s="1"/>
  <c r="C176" i="2"/>
  <c r="J176" i="2" s="1"/>
  <c r="B176" i="2"/>
  <c r="A176" i="2"/>
  <c r="BB175" i="2"/>
  <c r="BA175" i="2"/>
  <c r="AV175" i="2"/>
  <c r="AE175" i="2"/>
  <c r="AD175" i="2"/>
  <c r="AF175" i="2" s="1"/>
  <c r="AG175" i="2" s="1"/>
  <c r="X175" i="2"/>
  <c r="Z175" i="2" s="1"/>
  <c r="S175" i="2"/>
  <c r="U175" i="2" s="1"/>
  <c r="AJ175" i="2" s="1"/>
  <c r="K175" i="6" s="1"/>
  <c r="M175" i="2"/>
  <c r="J175" i="2"/>
  <c r="L175" i="2" s="1"/>
  <c r="E175" i="2"/>
  <c r="G175" i="2" s="1"/>
  <c r="O175" i="2" s="1"/>
  <c r="C175" i="6" s="1"/>
  <c r="D175" i="2"/>
  <c r="C175" i="2"/>
  <c r="B175" i="2"/>
  <c r="A175" i="2"/>
  <c r="BB174" i="2"/>
  <c r="BA174" i="2"/>
  <c r="AV174" i="2"/>
  <c r="AD174" i="2"/>
  <c r="AF174" i="2" s="1"/>
  <c r="Z174" i="2"/>
  <c r="X174" i="2"/>
  <c r="Y174" i="2" s="1"/>
  <c r="F174" i="6" s="1"/>
  <c r="S174" i="2"/>
  <c r="E174" i="2"/>
  <c r="F174" i="2" s="1"/>
  <c r="C174" i="2"/>
  <c r="D174" i="2" s="1"/>
  <c r="B174" i="2"/>
  <c r="A174" i="2"/>
  <c r="BB173" i="2"/>
  <c r="BA173" i="2"/>
  <c r="AV173" i="2"/>
  <c r="AF173" i="2"/>
  <c r="AG173" i="2" s="1"/>
  <c r="AD173" i="2"/>
  <c r="AE173" i="2" s="1"/>
  <c r="Z173" i="2"/>
  <c r="AA173" i="2" s="1"/>
  <c r="X173" i="2"/>
  <c r="Y173" i="2" s="1"/>
  <c r="S173" i="2"/>
  <c r="G173" i="2"/>
  <c r="O173" i="2" s="1"/>
  <c r="P173" i="2" s="1"/>
  <c r="D173" i="6" s="1"/>
  <c r="E173" i="2"/>
  <c r="F173" i="2" s="1"/>
  <c r="D173" i="2"/>
  <c r="C173" i="2"/>
  <c r="J173" i="2" s="1"/>
  <c r="K173" i="2" s="1"/>
  <c r="B173" i="2"/>
  <c r="A173" i="2"/>
  <c r="BB172" i="2"/>
  <c r="BA172" i="2"/>
  <c r="AV172" i="2"/>
  <c r="AD172" i="2"/>
  <c r="X172" i="2"/>
  <c r="S172" i="2"/>
  <c r="J172" i="2"/>
  <c r="E172" i="2"/>
  <c r="D172" i="2"/>
  <c r="C172" i="2"/>
  <c r="B172" i="2"/>
  <c r="A172" i="2"/>
  <c r="BB171" i="2"/>
  <c r="BA171" i="2"/>
  <c r="AV171" i="2"/>
  <c r="AD171" i="2"/>
  <c r="X171" i="2"/>
  <c r="Z171" i="2" s="1"/>
  <c r="S171" i="2"/>
  <c r="J171" i="2"/>
  <c r="L171" i="2" s="1"/>
  <c r="M171" i="2" s="1"/>
  <c r="E171" i="2"/>
  <c r="C171" i="2"/>
  <c r="D171" i="2" s="1"/>
  <c r="B171" i="2"/>
  <c r="A171" i="2"/>
  <c r="BB170" i="2"/>
  <c r="BA170" i="2"/>
  <c r="AV170" i="2"/>
  <c r="AE170" i="2"/>
  <c r="AD170" i="2"/>
  <c r="AF170" i="2" s="1"/>
  <c r="X170" i="2"/>
  <c r="T170" i="2"/>
  <c r="S170" i="2"/>
  <c r="G170" i="2"/>
  <c r="E170" i="2"/>
  <c r="F170" i="2" s="1"/>
  <c r="C170" i="2"/>
  <c r="B170" i="2"/>
  <c r="A170" i="2"/>
  <c r="BB169" i="2"/>
  <c r="BA169" i="2"/>
  <c r="AV169" i="2"/>
  <c r="AD169" i="2"/>
  <c r="X169" i="2"/>
  <c r="S169" i="2"/>
  <c r="E169" i="2"/>
  <c r="C169" i="2"/>
  <c r="J169" i="2" s="1"/>
  <c r="K169" i="2" s="1"/>
  <c r="B169" i="2"/>
  <c r="A169" i="2"/>
  <c r="BB168" i="2"/>
  <c r="BA168" i="2"/>
  <c r="AV168" i="2"/>
  <c r="AD168" i="2"/>
  <c r="X168" i="2"/>
  <c r="S168" i="2"/>
  <c r="E168" i="2"/>
  <c r="C168" i="2"/>
  <c r="D168" i="2" s="1"/>
  <c r="B168" i="2"/>
  <c r="A168" i="2"/>
  <c r="BB167" i="2"/>
  <c r="BA167" i="2"/>
  <c r="AV167" i="2"/>
  <c r="AE167" i="2"/>
  <c r="AD167" i="2"/>
  <c r="AF167" i="2" s="1"/>
  <c r="Y167" i="2"/>
  <c r="F167" i="6" s="1"/>
  <c r="X167" i="2"/>
  <c r="Z167" i="2" s="1"/>
  <c r="T167" i="2"/>
  <c r="S167" i="2"/>
  <c r="U167" i="2" s="1"/>
  <c r="F167" i="2"/>
  <c r="E167" i="2"/>
  <c r="G167" i="2" s="1"/>
  <c r="H167" i="2" s="1"/>
  <c r="D167" i="2"/>
  <c r="C167" i="2"/>
  <c r="J167" i="2" s="1"/>
  <c r="B167" i="2"/>
  <c r="A167" i="2"/>
  <c r="BB166" i="2"/>
  <c r="BA166" i="2"/>
  <c r="AV166" i="2"/>
  <c r="AF166" i="2"/>
  <c r="AE166" i="2"/>
  <c r="AD166" i="2"/>
  <c r="Z166" i="2"/>
  <c r="X166" i="2"/>
  <c r="Y166" i="2" s="1"/>
  <c r="F166" i="6" s="1"/>
  <c r="S166" i="2"/>
  <c r="T166" i="2" s="1"/>
  <c r="E166" i="2"/>
  <c r="F166" i="2" s="1"/>
  <c r="C166" i="2"/>
  <c r="D166" i="2" s="1"/>
  <c r="B166" i="2"/>
  <c r="A166" i="2"/>
  <c r="BB165" i="2"/>
  <c r="BA165" i="2"/>
  <c r="AV165" i="2"/>
  <c r="AD165" i="2"/>
  <c r="AE165" i="2" s="1"/>
  <c r="X165" i="2"/>
  <c r="Y165" i="2" s="1"/>
  <c r="S165" i="2"/>
  <c r="T165" i="2" s="1"/>
  <c r="E165" i="2"/>
  <c r="G165" i="2" s="1"/>
  <c r="C165" i="2"/>
  <c r="D165" i="2" s="1"/>
  <c r="B165" i="2"/>
  <c r="A165" i="2"/>
  <c r="BB164" i="2"/>
  <c r="BA164" i="2"/>
  <c r="AV164" i="2"/>
  <c r="AD164" i="2"/>
  <c r="AE164" i="2" s="1"/>
  <c r="Z164" i="2"/>
  <c r="AA164" i="2" s="1"/>
  <c r="Y164" i="2"/>
  <c r="F164" i="6" s="1"/>
  <c r="X164" i="2"/>
  <c r="T164" i="2"/>
  <c r="S164" i="2"/>
  <c r="E164" i="2"/>
  <c r="F164" i="2" s="1"/>
  <c r="C164" i="2"/>
  <c r="J164" i="2" s="1"/>
  <c r="L164" i="2" s="1"/>
  <c r="M164" i="2" s="1"/>
  <c r="B164" i="2"/>
  <c r="A164" i="2"/>
  <c r="BB163" i="2"/>
  <c r="BA163" i="2"/>
  <c r="AV163" i="2"/>
  <c r="AD163" i="2"/>
  <c r="AE163" i="2" s="1"/>
  <c r="X163" i="2"/>
  <c r="S163" i="2"/>
  <c r="T163" i="2" s="1"/>
  <c r="E163" i="2"/>
  <c r="F163" i="2" s="1"/>
  <c r="C163" i="2"/>
  <c r="J163" i="2" s="1"/>
  <c r="B163" i="2"/>
  <c r="A163" i="2"/>
  <c r="BG192" i="2" l="1"/>
  <c r="BF192" i="2"/>
  <c r="BD192" i="2"/>
  <c r="R192" i="6" s="1"/>
  <c r="BG186" i="2"/>
  <c r="BF186" i="2"/>
  <c r="BD186" i="2"/>
  <c r="R186" i="6" s="1"/>
  <c r="J179" i="2"/>
  <c r="Y179" i="2"/>
  <c r="F179" i="6" s="1"/>
  <c r="E179" i="6"/>
  <c r="F179" i="2"/>
  <c r="T179" i="2"/>
  <c r="AE179" i="2"/>
  <c r="Y163" i="2"/>
  <c r="F163" i="6" s="1"/>
  <c r="E163" i="6"/>
  <c r="G169" i="2"/>
  <c r="F169" i="2"/>
  <c r="AF164" i="2"/>
  <c r="AH164" i="2" s="1"/>
  <c r="I164" i="6" s="1"/>
  <c r="U169" i="2"/>
  <c r="U168" i="2" s="1"/>
  <c r="T169" i="2"/>
  <c r="U171" i="2"/>
  <c r="T171" i="2"/>
  <c r="T173" i="2"/>
  <c r="U173" i="2"/>
  <c r="V173" i="2" s="1"/>
  <c r="AK173" i="2" s="1"/>
  <c r="L173" i="6" s="1"/>
  <c r="U174" i="2"/>
  <c r="V174" i="2" s="1"/>
  <c r="AK174" i="2" s="1"/>
  <c r="L174" i="6" s="1"/>
  <c r="T174" i="2"/>
  <c r="AF163" i="2"/>
  <c r="AG163" i="2" s="1"/>
  <c r="G164" i="2"/>
  <c r="O164" i="2" s="1"/>
  <c r="L167" i="2"/>
  <c r="M167" i="2" s="1"/>
  <c r="K167" i="2"/>
  <c r="E169" i="6"/>
  <c r="Z169" i="2"/>
  <c r="AA169" i="2" s="1"/>
  <c r="Y169" i="2"/>
  <c r="F169" i="6" s="1"/>
  <c r="E170" i="6"/>
  <c r="Z170" i="2"/>
  <c r="Y170" i="2"/>
  <c r="F170" i="6" s="1"/>
  <c r="E177" i="6"/>
  <c r="Z177" i="2"/>
  <c r="AS177" i="2" s="1"/>
  <c r="Y177" i="2"/>
  <c r="F177" i="6" s="1"/>
  <c r="AF169" i="2"/>
  <c r="AG169" i="2" s="1"/>
  <c r="AE169" i="2"/>
  <c r="G171" i="2"/>
  <c r="H171" i="2" s="1"/>
  <c r="F171" i="2"/>
  <c r="AF171" i="2"/>
  <c r="AH171" i="2" s="1"/>
  <c r="I171" i="6" s="1"/>
  <c r="AE171" i="2"/>
  <c r="P177" i="2"/>
  <c r="D177" i="6" s="1"/>
  <c r="C177" i="6"/>
  <c r="J168" i="2"/>
  <c r="J178" i="2"/>
  <c r="K178" i="2" s="1"/>
  <c r="E167" i="6"/>
  <c r="E171" i="6"/>
  <c r="C173" i="6"/>
  <c r="E175" i="6"/>
  <c r="K177" i="2"/>
  <c r="E166" i="6"/>
  <c r="E174" i="6"/>
  <c r="E178" i="6"/>
  <c r="D169" i="2"/>
  <c r="K171" i="2"/>
  <c r="Y171" i="2"/>
  <c r="F171" i="6" s="1"/>
  <c r="L173" i="2"/>
  <c r="M173" i="2" s="1"/>
  <c r="G174" i="2"/>
  <c r="H174" i="2" s="1"/>
  <c r="K175" i="2"/>
  <c r="E165" i="6"/>
  <c r="E173" i="6"/>
  <c r="AG174" i="2"/>
  <c r="AH174" i="2"/>
  <c r="I174" i="6" s="1"/>
  <c r="Q175" i="2"/>
  <c r="P175" i="2"/>
  <c r="D175" i="6" s="1"/>
  <c r="AS175" i="2"/>
  <c r="K176" i="2"/>
  <c r="L176" i="2"/>
  <c r="M176" i="2" s="1"/>
  <c r="AA174" i="2"/>
  <c r="J174" i="2"/>
  <c r="F175" i="2"/>
  <c r="Y175" i="2"/>
  <c r="F175" i="6" s="1"/>
  <c r="AE174" i="2"/>
  <c r="AJ174" i="2"/>
  <c r="K174" i="6" s="1"/>
  <c r="H175" i="2"/>
  <c r="T175" i="2"/>
  <c r="AA175" i="2"/>
  <c r="AH175" i="2"/>
  <c r="AF176" i="2"/>
  <c r="V175" i="2"/>
  <c r="AN175" i="2"/>
  <c r="G175" i="6" s="1"/>
  <c r="G176" i="2"/>
  <c r="Z176" i="2"/>
  <c r="D177" i="2"/>
  <c r="H177" i="2"/>
  <c r="AA179" i="2"/>
  <c r="AL177" i="2"/>
  <c r="AH177" i="2"/>
  <c r="I177" i="6" s="1"/>
  <c r="D176" i="2"/>
  <c r="V176" i="2"/>
  <c r="V177" i="2"/>
  <c r="AA177" i="2"/>
  <c r="AG177" i="2"/>
  <c r="AN177" i="2"/>
  <c r="G177" i="6" s="1"/>
  <c r="F178" i="2"/>
  <c r="G178" i="2"/>
  <c r="O179" i="2"/>
  <c r="C179" i="6" s="1"/>
  <c r="H179" i="2"/>
  <c r="V179" i="2"/>
  <c r="AJ179" i="2"/>
  <c r="K179" i="6" s="1"/>
  <c r="AH179" i="2"/>
  <c r="AG179" i="2"/>
  <c r="L178" i="2"/>
  <c r="M178" i="2" s="1"/>
  <c r="U178" i="2"/>
  <c r="Z178" i="2"/>
  <c r="AF178" i="2"/>
  <c r="K163" i="2"/>
  <c r="L163" i="2"/>
  <c r="M163" i="2" s="1"/>
  <c r="H165" i="2"/>
  <c r="O165" i="2"/>
  <c r="C165" i="6" s="1"/>
  <c r="J165" i="2"/>
  <c r="T168" i="2"/>
  <c r="G163" i="2"/>
  <c r="Z163" i="2"/>
  <c r="AH163" i="2" s="1"/>
  <c r="I163" i="6" s="1"/>
  <c r="D164" i="2"/>
  <c r="H164" i="2"/>
  <c r="P164" i="2"/>
  <c r="D164" i="6" s="1"/>
  <c r="Z165" i="2"/>
  <c r="F168" i="2"/>
  <c r="G168" i="2"/>
  <c r="Y168" i="2"/>
  <c r="F168" i="6" s="1"/>
  <c r="Z168" i="2"/>
  <c r="U163" i="2"/>
  <c r="K164" i="2"/>
  <c r="F165" i="2"/>
  <c r="G166" i="2"/>
  <c r="AA166" i="2"/>
  <c r="K168" i="2"/>
  <c r="L168" i="2"/>
  <c r="M168" i="2" s="1"/>
  <c r="AE168" i="2"/>
  <c r="AF168" i="2"/>
  <c r="D163" i="2"/>
  <c r="AG164" i="2"/>
  <c r="U165" i="2"/>
  <c r="AF165" i="2"/>
  <c r="D170" i="2"/>
  <c r="J170" i="2"/>
  <c r="AG170" i="2"/>
  <c r="AH170" i="2"/>
  <c r="I170" i="6" s="1"/>
  <c r="F172" i="2"/>
  <c r="G172" i="2"/>
  <c r="Y172" i="2"/>
  <c r="F172" i="6" s="1"/>
  <c r="Z172" i="2"/>
  <c r="Q173" i="2"/>
  <c r="AG166" i="2"/>
  <c r="AH166" i="2"/>
  <c r="I166" i="6" s="1"/>
  <c r="AJ167" i="2"/>
  <c r="K167" i="6" s="1"/>
  <c r="V167" i="2"/>
  <c r="AG167" i="2"/>
  <c r="L169" i="2"/>
  <c r="M169" i="2" s="1"/>
  <c r="AA170" i="2"/>
  <c r="AA171" i="2"/>
  <c r="H173" i="2"/>
  <c r="AL173" i="2"/>
  <c r="AH173" i="2"/>
  <c r="AN173" i="2"/>
  <c r="G173" i="6" s="1"/>
  <c r="K172" i="2"/>
  <c r="L172" i="2"/>
  <c r="M172" i="2" s="1"/>
  <c r="T172" i="2"/>
  <c r="U172" i="2"/>
  <c r="AE172" i="2"/>
  <c r="AF172" i="2"/>
  <c r="J166" i="2"/>
  <c r="O167" i="2"/>
  <c r="C167" i="6" s="1"/>
  <c r="AA167" i="2"/>
  <c r="AH167" i="2"/>
  <c r="I167" i="6" s="1"/>
  <c r="AH169" i="2"/>
  <c r="H170" i="2"/>
  <c r="O170" i="2"/>
  <c r="C170" i="6" s="1"/>
  <c r="AJ171" i="2"/>
  <c r="K171" i="6" s="1"/>
  <c r="V171" i="2"/>
  <c r="AG171" i="2"/>
  <c r="AJ173" i="2"/>
  <c r="K173" i="6" s="1"/>
  <c r="S161" i="6"/>
  <c r="E161" i="6"/>
  <c r="B161" i="6"/>
  <c r="A161" i="6"/>
  <c r="S160" i="6"/>
  <c r="E160" i="6"/>
  <c r="B160" i="6"/>
  <c r="A160" i="6"/>
  <c r="S159" i="6"/>
  <c r="B159" i="6"/>
  <c r="A159" i="6"/>
  <c r="S158" i="6"/>
  <c r="E158" i="6"/>
  <c r="B158" i="6"/>
  <c r="A158" i="6"/>
  <c r="S157" i="6"/>
  <c r="B157" i="6"/>
  <c r="A157" i="6"/>
  <c r="S156" i="6"/>
  <c r="E156" i="6"/>
  <c r="B156" i="6"/>
  <c r="A156" i="6"/>
  <c r="S155" i="6"/>
  <c r="B155" i="6"/>
  <c r="A155" i="6"/>
  <c r="S154" i="6"/>
  <c r="B154" i="6"/>
  <c r="A154" i="6"/>
  <c r="S153" i="6"/>
  <c r="B153" i="6"/>
  <c r="A153" i="6"/>
  <c r="S152" i="6"/>
  <c r="B152" i="6"/>
  <c r="A152" i="6"/>
  <c r="S151" i="6"/>
  <c r="B151" i="6"/>
  <c r="A151" i="6"/>
  <c r="BB161" i="2"/>
  <c r="BA161" i="2"/>
  <c r="AV161" i="2"/>
  <c r="AJ161" i="2"/>
  <c r="K161" i="6" s="1"/>
  <c r="AD161" i="2"/>
  <c r="AF161" i="2" s="1"/>
  <c r="Z161" i="2"/>
  <c r="Y161" i="2"/>
  <c r="F161" i="6" s="1"/>
  <c r="X161" i="2"/>
  <c r="U161" i="2"/>
  <c r="T161" i="2"/>
  <c r="S161" i="2"/>
  <c r="E161" i="2"/>
  <c r="G161" i="2" s="1"/>
  <c r="C161" i="2"/>
  <c r="B161" i="2"/>
  <c r="A161" i="2"/>
  <c r="BB160" i="2"/>
  <c r="BA160" i="2"/>
  <c r="AV160" i="2"/>
  <c r="AD160" i="2"/>
  <c r="AE160" i="2" s="1"/>
  <c r="Y160" i="2"/>
  <c r="F160" i="6" s="1"/>
  <c r="X160" i="2"/>
  <c r="Z160" i="2" s="1"/>
  <c r="AA160" i="2" s="1"/>
  <c r="T160" i="2"/>
  <c r="S160" i="2"/>
  <c r="G160" i="2"/>
  <c r="E160" i="2"/>
  <c r="F160" i="2" s="1"/>
  <c r="C160" i="2"/>
  <c r="B160" i="2"/>
  <c r="A160" i="2"/>
  <c r="BB159" i="2"/>
  <c r="BA159" i="2"/>
  <c r="AV159" i="2"/>
  <c r="AD159" i="2"/>
  <c r="X159" i="2"/>
  <c r="E159" i="6" s="1"/>
  <c r="S159" i="2"/>
  <c r="J159" i="2"/>
  <c r="E159" i="2"/>
  <c r="D159" i="2"/>
  <c r="C159" i="2"/>
  <c r="B159" i="2"/>
  <c r="A159" i="2"/>
  <c r="BB158" i="2"/>
  <c r="BA158" i="2"/>
  <c r="AV158" i="2"/>
  <c r="AD158" i="2"/>
  <c r="AF158" i="2" s="1"/>
  <c r="AG158" i="2" s="1"/>
  <c r="X158" i="2"/>
  <c r="T158" i="2"/>
  <c r="S158" i="2"/>
  <c r="K158" i="2"/>
  <c r="E158" i="2"/>
  <c r="D158" i="2"/>
  <c r="C158" i="2"/>
  <c r="J158" i="2" s="1"/>
  <c r="L158" i="2" s="1"/>
  <c r="M158" i="2" s="1"/>
  <c r="B158" i="2"/>
  <c r="A158" i="2"/>
  <c r="BB157" i="2"/>
  <c r="BA157" i="2"/>
  <c r="AV157" i="2"/>
  <c r="AF157" i="2"/>
  <c r="AE157" i="2"/>
  <c r="AD157" i="2"/>
  <c r="X157" i="2"/>
  <c r="Y157" i="2" s="1"/>
  <c r="F157" i="6" s="1"/>
  <c r="U157" i="2"/>
  <c r="S157" i="2"/>
  <c r="T157" i="2" s="1"/>
  <c r="G157" i="2"/>
  <c r="F157" i="2"/>
  <c r="E157" i="2"/>
  <c r="C157" i="2"/>
  <c r="B157" i="2"/>
  <c r="A157" i="2"/>
  <c r="BB156" i="2"/>
  <c r="BA156" i="2"/>
  <c r="AV156" i="2"/>
  <c r="AD156" i="2"/>
  <c r="AE156" i="2" s="1"/>
  <c r="Z156" i="2"/>
  <c r="AA156" i="2" s="1"/>
  <c r="Y156" i="2"/>
  <c r="F156" i="6" s="1"/>
  <c r="X156" i="2"/>
  <c r="T156" i="2"/>
  <c r="S156" i="2"/>
  <c r="L156" i="2"/>
  <c r="M156" i="2" s="1"/>
  <c r="E156" i="2"/>
  <c r="G156" i="2" s="1"/>
  <c r="O156" i="2" s="1"/>
  <c r="C156" i="2"/>
  <c r="J156" i="2" s="1"/>
  <c r="K156" i="2" s="1"/>
  <c r="B156" i="2"/>
  <c r="A156" i="2"/>
  <c r="BB155" i="2"/>
  <c r="BA155" i="2"/>
  <c r="AV155" i="2"/>
  <c r="AD155" i="2"/>
  <c r="X155" i="2"/>
  <c r="E155" i="6" s="1"/>
  <c r="S155" i="2"/>
  <c r="E155" i="2"/>
  <c r="C155" i="2"/>
  <c r="J155" i="2" s="1"/>
  <c r="B155" i="2"/>
  <c r="A155" i="2"/>
  <c r="BB154" i="2"/>
  <c r="BA154" i="2"/>
  <c r="AV154" i="2"/>
  <c r="AD154" i="2"/>
  <c r="AF154" i="2" s="1"/>
  <c r="X154" i="2"/>
  <c r="S154" i="2"/>
  <c r="T154" i="2" s="1"/>
  <c r="E154" i="2"/>
  <c r="G154" i="2" s="1"/>
  <c r="H154" i="2" s="1"/>
  <c r="C154" i="2"/>
  <c r="D154" i="2" s="1"/>
  <c r="B154" i="2"/>
  <c r="A154" i="2"/>
  <c r="BB153" i="2"/>
  <c r="BA153" i="2"/>
  <c r="AV153" i="2"/>
  <c r="AD153" i="2"/>
  <c r="X153" i="2"/>
  <c r="E153" i="6" s="1"/>
  <c r="S153" i="2"/>
  <c r="E153" i="2"/>
  <c r="C153" i="2"/>
  <c r="J153" i="2" s="1"/>
  <c r="B153" i="2"/>
  <c r="A153" i="2"/>
  <c r="BB152" i="2"/>
  <c r="BA152" i="2"/>
  <c r="AV152" i="2"/>
  <c r="AD152" i="2"/>
  <c r="AF152" i="2" s="1"/>
  <c r="AG152" i="2" s="1"/>
  <c r="X152" i="2"/>
  <c r="Z152" i="2" s="1"/>
  <c r="S152" i="2"/>
  <c r="E152" i="2"/>
  <c r="F152" i="2" s="1"/>
  <c r="C152" i="2"/>
  <c r="D152" i="2" s="1"/>
  <c r="B152" i="2"/>
  <c r="A152" i="2"/>
  <c r="BB151" i="2"/>
  <c r="BA151" i="2"/>
  <c r="AV151" i="2"/>
  <c r="AF151" i="2"/>
  <c r="AG151" i="2" s="1"/>
  <c r="AE151" i="2"/>
  <c r="AD151" i="2"/>
  <c r="X151" i="2"/>
  <c r="Y151" i="2" s="1"/>
  <c r="F151" i="6" s="1"/>
  <c r="U151" i="2"/>
  <c r="AJ151" i="2" s="1"/>
  <c r="K151" i="6" s="1"/>
  <c r="S151" i="2"/>
  <c r="T151" i="2" s="1"/>
  <c r="Q151" i="2"/>
  <c r="R151" i="2" s="1"/>
  <c r="P151" i="2"/>
  <c r="D151" i="6" s="1"/>
  <c r="H151" i="2"/>
  <c r="G151" i="2"/>
  <c r="O151" i="2" s="1"/>
  <c r="C151" i="6" s="1"/>
  <c r="F151" i="2"/>
  <c r="E151" i="2"/>
  <c r="D151" i="2"/>
  <c r="C151" i="2"/>
  <c r="J151" i="2" s="1"/>
  <c r="B151" i="2"/>
  <c r="A151" i="2"/>
  <c r="AW177" i="2"/>
  <c r="AP177" i="2"/>
  <c r="AW175" i="2"/>
  <c r="AP175" i="2"/>
  <c r="AP173" i="2"/>
  <c r="AI179" i="2" l="1"/>
  <c r="J179" i="6" s="1"/>
  <c r="I179" i="6"/>
  <c r="L179" i="2"/>
  <c r="M179" i="2" s="1"/>
  <c r="K179" i="2"/>
  <c r="M173" i="6"/>
  <c r="M175" i="6"/>
  <c r="O175" i="6"/>
  <c r="M177" i="6"/>
  <c r="O177" i="6"/>
  <c r="AI169" i="2"/>
  <c r="J169" i="6" s="1"/>
  <c r="I169" i="6"/>
  <c r="AI175" i="2"/>
  <c r="J175" i="6" s="1"/>
  <c r="I175" i="6"/>
  <c r="O174" i="2"/>
  <c r="C174" i="6" s="1"/>
  <c r="AI171" i="2"/>
  <c r="J171" i="6" s="1"/>
  <c r="AI173" i="2"/>
  <c r="J173" i="6" s="1"/>
  <c r="I173" i="6"/>
  <c r="O171" i="2"/>
  <c r="C171" i="6" s="1"/>
  <c r="Q164" i="2"/>
  <c r="C164" i="6"/>
  <c r="O169" i="2"/>
  <c r="H169" i="2"/>
  <c r="AJ169" i="2"/>
  <c r="K169" i="6" s="1"/>
  <c r="U170" i="2"/>
  <c r="V169" i="2"/>
  <c r="AK169" i="2" s="1"/>
  <c r="L169" i="6" s="1"/>
  <c r="BE175" i="2"/>
  <c r="BC175" i="2"/>
  <c r="Q175" i="6" s="1"/>
  <c r="BE177" i="2"/>
  <c r="BC177" i="2"/>
  <c r="Q177" i="6" s="1"/>
  <c r="AH178" i="2"/>
  <c r="AG178" i="2"/>
  <c r="Q179" i="2"/>
  <c r="P179" i="2"/>
  <c r="D179" i="6" s="1"/>
  <c r="L174" i="2"/>
  <c r="M174" i="2" s="1"/>
  <c r="K174" i="2"/>
  <c r="AL175" i="2"/>
  <c r="R175" i="2"/>
  <c r="AO175" i="2" s="1"/>
  <c r="H175" i="6" s="1"/>
  <c r="AA178" i="2"/>
  <c r="AK179" i="2"/>
  <c r="L179" i="6" s="1"/>
  <c r="O178" i="2"/>
  <c r="C178" i="6" s="1"/>
  <c r="H178" i="2"/>
  <c r="AI177" i="2"/>
  <c r="J177" i="6" s="1"/>
  <c r="AK175" i="2"/>
  <c r="L175" i="6" s="1"/>
  <c r="AI174" i="2"/>
  <c r="J174" i="6" s="1"/>
  <c r="V178" i="2"/>
  <c r="AJ178" i="2"/>
  <c r="K178" i="6" s="1"/>
  <c r="AK177" i="2"/>
  <c r="L177" i="6" s="1"/>
  <c r="AH176" i="2"/>
  <c r="I176" i="6" s="1"/>
  <c r="AG176" i="2"/>
  <c r="AM177" i="2"/>
  <c r="AA176" i="2"/>
  <c r="AT175" i="2"/>
  <c r="AO177" i="2"/>
  <c r="H177" i="6" s="1"/>
  <c r="AK176" i="2"/>
  <c r="L176" i="6" s="1"/>
  <c r="AT177" i="2"/>
  <c r="O176" i="2"/>
  <c r="C176" i="6" s="1"/>
  <c r="H176" i="2"/>
  <c r="Q174" i="2"/>
  <c r="P174" i="2"/>
  <c r="D174" i="6" s="1"/>
  <c r="Q167" i="2"/>
  <c r="P167" i="2"/>
  <c r="D167" i="6" s="1"/>
  <c r="L165" i="2"/>
  <c r="M165" i="2" s="1"/>
  <c r="K165" i="2"/>
  <c r="AI167" i="2"/>
  <c r="J167" i="6" s="1"/>
  <c r="L166" i="2"/>
  <c r="M166" i="2" s="1"/>
  <c r="K166" i="2"/>
  <c r="AM173" i="2"/>
  <c r="Q171" i="2"/>
  <c r="R173" i="2"/>
  <c r="AO173" i="2" s="1"/>
  <c r="H173" i="6" s="1"/>
  <c r="AS173" i="2"/>
  <c r="L170" i="2"/>
  <c r="M170" i="2" s="1"/>
  <c r="K170" i="2"/>
  <c r="AG165" i="2"/>
  <c r="AH165" i="2"/>
  <c r="I165" i="6" s="1"/>
  <c r="AG168" i="2"/>
  <c r="AH168" i="2"/>
  <c r="I168" i="6" s="1"/>
  <c r="AI164" i="2"/>
  <c r="J164" i="6" s="1"/>
  <c r="H168" i="2"/>
  <c r="O168" i="2"/>
  <c r="C168" i="6" s="1"/>
  <c r="O163" i="2"/>
  <c r="C163" i="6" s="1"/>
  <c r="H163" i="2"/>
  <c r="Q165" i="2"/>
  <c r="R165" i="2" s="1"/>
  <c r="P165" i="2"/>
  <c r="D165" i="6" s="1"/>
  <c r="AK171" i="2"/>
  <c r="L171" i="6" s="1"/>
  <c r="AJ172" i="2"/>
  <c r="K172" i="6" s="1"/>
  <c r="V172" i="2"/>
  <c r="Q170" i="2"/>
  <c r="P170" i="2"/>
  <c r="D170" i="6" s="1"/>
  <c r="AG172" i="2"/>
  <c r="AH172" i="2"/>
  <c r="AI166" i="2"/>
  <c r="J166" i="6" s="1"/>
  <c r="AA172" i="2"/>
  <c r="AI170" i="2"/>
  <c r="J170" i="6" s="1"/>
  <c r="U166" i="2"/>
  <c r="V165" i="2"/>
  <c r="AJ165" i="2"/>
  <c r="K165" i="6" s="1"/>
  <c r="AJ163" i="2"/>
  <c r="K163" i="6" s="1"/>
  <c r="V163" i="2"/>
  <c r="U164" i="2"/>
  <c r="AJ168" i="2"/>
  <c r="K168" i="6" s="1"/>
  <c r="V168" i="2"/>
  <c r="AK167" i="2"/>
  <c r="L167" i="6" s="1"/>
  <c r="H172" i="2"/>
  <c r="O172" i="2"/>
  <c r="C172" i="6" s="1"/>
  <c r="AA163" i="2"/>
  <c r="AI163" i="2" s="1"/>
  <c r="J163" i="6" s="1"/>
  <c r="H166" i="2"/>
  <c r="O166" i="2"/>
  <c r="C166" i="6" s="1"/>
  <c r="AA168" i="2"/>
  <c r="AA165" i="2"/>
  <c r="F161" i="2"/>
  <c r="AE161" i="2"/>
  <c r="P156" i="2"/>
  <c r="D156" i="6" s="1"/>
  <c r="C156" i="6"/>
  <c r="Z154" i="2"/>
  <c r="E154" i="6"/>
  <c r="D155" i="2"/>
  <c r="F156" i="2"/>
  <c r="AF156" i="2"/>
  <c r="AF160" i="2"/>
  <c r="AH160" i="2" s="1"/>
  <c r="I160" i="6" s="1"/>
  <c r="L151" i="2"/>
  <c r="M151" i="2" s="1"/>
  <c r="K151" i="2"/>
  <c r="Y152" i="2"/>
  <c r="F152" i="6" s="1"/>
  <c r="D153" i="2"/>
  <c r="J154" i="2"/>
  <c r="AE158" i="2"/>
  <c r="E152" i="6"/>
  <c r="E151" i="6"/>
  <c r="Z151" i="2"/>
  <c r="AS151" i="2" s="1"/>
  <c r="AT151" i="2" s="1"/>
  <c r="E157" i="6"/>
  <c r="Z157" i="2"/>
  <c r="Z159" i="2"/>
  <c r="Y159" i="2"/>
  <c r="F159" i="6" s="1"/>
  <c r="T152" i="2"/>
  <c r="G153" i="2"/>
  <c r="F153" i="2"/>
  <c r="AE154" i="2"/>
  <c r="G155" i="2"/>
  <c r="F155" i="2"/>
  <c r="V157" i="2"/>
  <c r="AJ157" i="2"/>
  <c r="K157" i="6" s="1"/>
  <c r="G158" i="2"/>
  <c r="F158" i="2"/>
  <c r="V151" i="2"/>
  <c r="AA151" i="2"/>
  <c r="G152" i="2"/>
  <c r="AA152" i="2"/>
  <c r="AH152" i="2"/>
  <c r="G159" i="2"/>
  <c r="F159" i="2"/>
  <c r="AG160" i="2"/>
  <c r="O161" i="2"/>
  <c r="C161" i="6" s="1"/>
  <c r="H161" i="2"/>
  <c r="AG154" i="2"/>
  <c r="AH154" i="2"/>
  <c r="I154" i="6" s="1"/>
  <c r="AA157" i="2"/>
  <c r="J160" i="2"/>
  <c r="D160" i="2"/>
  <c r="AL151" i="2"/>
  <c r="AM151" i="2" s="1"/>
  <c r="AH151" i="2"/>
  <c r="I151" i="6" s="1"/>
  <c r="AE152" i="2"/>
  <c r="Z153" i="2"/>
  <c r="Y153" i="2"/>
  <c r="F153" i="6" s="1"/>
  <c r="AN151" i="2"/>
  <c r="G151" i="6" s="1"/>
  <c r="J152" i="2"/>
  <c r="L153" i="2"/>
  <c r="M153" i="2" s="1"/>
  <c r="K153" i="2"/>
  <c r="U153" i="2"/>
  <c r="T153" i="2"/>
  <c r="AF153" i="2"/>
  <c r="AE153" i="2"/>
  <c r="Z155" i="2"/>
  <c r="Y155" i="2"/>
  <c r="F155" i="6" s="1"/>
  <c r="Z158" i="2"/>
  <c r="Y158" i="2"/>
  <c r="F158" i="6" s="1"/>
  <c r="O160" i="2"/>
  <c r="C160" i="6" s="1"/>
  <c r="H160" i="2"/>
  <c r="V161" i="2"/>
  <c r="O154" i="2"/>
  <c r="C154" i="6" s="1"/>
  <c r="AL156" i="2"/>
  <c r="AH156" i="2"/>
  <c r="I156" i="6" s="1"/>
  <c r="O157" i="2"/>
  <c r="C157" i="6" s="1"/>
  <c r="H157" i="2"/>
  <c r="L159" i="2"/>
  <c r="M159" i="2" s="1"/>
  <c r="K159" i="2"/>
  <c r="U159" i="2"/>
  <c r="T159" i="2"/>
  <c r="AF159" i="2"/>
  <c r="AE159" i="2"/>
  <c r="J161" i="2"/>
  <c r="D161" i="2"/>
  <c r="AH161" i="2"/>
  <c r="AG161" i="2"/>
  <c r="AA154" i="2"/>
  <c r="Q156" i="2"/>
  <c r="F154" i="2"/>
  <c r="Y154" i="2"/>
  <c r="F154" i="6" s="1"/>
  <c r="L155" i="2"/>
  <c r="M155" i="2" s="1"/>
  <c r="K155" i="2"/>
  <c r="U155" i="2"/>
  <c r="T155" i="2"/>
  <c r="AF155" i="2"/>
  <c r="AE155" i="2"/>
  <c r="D156" i="2"/>
  <c r="H156" i="2"/>
  <c r="AG156" i="2"/>
  <c r="J157" i="2"/>
  <c r="D157" i="2"/>
  <c r="AH157" i="2"/>
  <c r="AG157" i="2"/>
  <c r="U158" i="2"/>
  <c r="AA161" i="2"/>
  <c r="AW151" i="2"/>
  <c r="AP151" i="2"/>
  <c r="AQ177" i="2"/>
  <c r="AX177" i="2"/>
  <c r="AX175" i="2"/>
  <c r="AQ175" i="2"/>
  <c r="AW173" i="2"/>
  <c r="AQ173" i="2"/>
  <c r="N173" i="6" l="1"/>
  <c r="O173" i="6"/>
  <c r="N175" i="6"/>
  <c r="P175" i="6"/>
  <c r="P177" i="6"/>
  <c r="N177" i="6"/>
  <c r="AJ170" i="2"/>
  <c r="K170" i="6" s="1"/>
  <c r="V170" i="2"/>
  <c r="AK170" i="2" s="1"/>
  <c r="L170" i="6" s="1"/>
  <c r="AI172" i="2"/>
  <c r="J172" i="6" s="1"/>
  <c r="I172" i="6"/>
  <c r="AN165" i="2"/>
  <c r="AS164" i="2"/>
  <c r="AT164" i="2" s="1"/>
  <c r="AL164" i="2"/>
  <c r="R164" i="2"/>
  <c r="AI178" i="2"/>
  <c r="J178" i="6" s="1"/>
  <c r="I178" i="6"/>
  <c r="P171" i="2"/>
  <c r="D171" i="6" s="1"/>
  <c r="P169" i="2"/>
  <c r="D169" i="6" s="1"/>
  <c r="C169" i="6"/>
  <c r="Q169" i="2"/>
  <c r="AR175" i="2"/>
  <c r="AZ175" i="2"/>
  <c r="AZ177" i="2"/>
  <c r="AR177" i="2"/>
  <c r="P178" i="2"/>
  <c r="D178" i="6" s="1"/>
  <c r="Q178" i="2"/>
  <c r="AM175" i="2"/>
  <c r="AK178" i="2"/>
  <c r="L178" i="6" s="1"/>
  <c r="R179" i="2"/>
  <c r="AS179" i="2"/>
  <c r="AL179" i="2"/>
  <c r="AN179" i="2"/>
  <c r="G179" i="6" s="1"/>
  <c r="R174" i="2"/>
  <c r="AL174" i="2"/>
  <c r="AS174" i="2"/>
  <c r="AI176" i="2"/>
  <c r="J176" i="6" s="1"/>
  <c r="AY175" i="2"/>
  <c r="AY177" i="2"/>
  <c r="P176" i="2"/>
  <c r="D176" i="6" s="1"/>
  <c r="Q176" i="2"/>
  <c r="AR173" i="2"/>
  <c r="BE173" i="2"/>
  <c r="BC173" i="2"/>
  <c r="Q173" i="6" s="1"/>
  <c r="AK165" i="2"/>
  <c r="L165" i="6" s="1"/>
  <c r="P166" i="2"/>
  <c r="D166" i="6" s="1"/>
  <c r="Q166" i="2"/>
  <c r="V166" i="2"/>
  <c r="AJ166" i="2"/>
  <c r="K166" i="6" s="1"/>
  <c r="R170" i="2"/>
  <c r="AL170" i="2"/>
  <c r="AS170" i="2"/>
  <c r="AS165" i="2"/>
  <c r="P172" i="2"/>
  <c r="D172" i="6" s="1"/>
  <c r="Q172" i="2"/>
  <c r="AK168" i="2"/>
  <c r="L168" i="6" s="1"/>
  <c r="V164" i="2"/>
  <c r="AJ164" i="2"/>
  <c r="K164" i="6" s="1"/>
  <c r="AI165" i="2"/>
  <c r="J165" i="6" s="1"/>
  <c r="AK163" i="2"/>
  <c r="L163" i="6" s="1"/>
  <c r="AK172" i="2"/>
  <c r="L172" i="6" s="1"/>
  <c r="P163" i="2"/>
  <c r="D163" i="6" s="1"/>
  <c r="Q163" i="2"/>
  <c r="AI168" i="2"/>
  <c r="J168" i="6" s="1"/>
  <c r="AL165" i="2"/>
  <c r="AM165" i="2" s="1"/>
  <c r="R171" i="2"/>
  <c r="AN171" i="2"/>
  <c r="G171" i="6" s="1"/>
  <c r="AL171" i="2"/>
  <c r="AS171" i="2"/>
  <c r="R167" i="2"/>
  <c r="AN167" i="2"/>
  <c r="G167" i="6" s="1"/>
  <c r="AS167" i="2"/>
  <c r="AL167" i="2"/>
  <c r="P168" i="2"/>
  <c r="D168" i="6" s="1"/>
  <c r="Q168" i="2"/>
  <c r="AO165" i="2"/>
  <c r="H165" i="6" s="1"/>
  <c r="AT173" i="2"/>
  <c r="AI161" i="2"/>
  <c r="J161" i="6" s="1"/>
  <c r="I161" i="6"/>
  <c r="M151" i="6"/>
  <c r="O151" i="6"/>
  <c r="AI157" i="2"/>
  <c r="J157" i="6" s="1"/>
  <c r="I157" i="6"/>
  <c r="L154" i="2"/>
  <c r="M154" i="2" s="1"/>
  <c r="K154" i="2"/>
  <c r="AI152" i="2"/>
  <c r="J152" i="6" s="1"/>
  <c r="I152" i="6"/>
  <c r="BE151" i="2"/>
  <c r="BC151" i="2"/>
  <c r="Q151" i="6" s="1"/>
  <c r="AG155" i="2"/>
  <c r="AH155" i="2"/>
  <c r="AI156" i="2"/>
  <c r="J156" i="6" s="1"/>
  <c r="AA158" i="2"/>
  <c r="AH158" i="2"/>
  <c r="AH153" i="2"/>
  <c r="I153" i="6" s="1"/>
  <c r="AG153" i="2"/>
  <c r="V158" i="2"/>
  <c r="AJ158" i="2"/>
  <c r="K158" i="6" s="1"/>
  <c r="AG159" i="2"/>
  <c r="AH159" i="2"/>
  <c r="I159" i="6" s="1"/>
  <c r="L152" i="2"/>
  <c r="M152" i="2" s="1"/>
  <c r="K152" i="2"/>
  <c r="AA153" i="2"/>
  <c r="AI154" i="2"/>
  <c r="J154" i="6" s="1"/>
  <c r="H159" i="2"/>
  <c r="O159" i="2"/>
  <c r="C159" i="6" s="1"/>
  <c r="H152" i="2"/>
  <c r="O152" i="2"/>
  <c r="C152" i="6" s="1"/>
  <c r="H158" i="2"/>
  <c r="O158" i="2"/>
  <c r="C158" i="6" s="1"/>
  <c r="H153" i="2"/>
  <c r="O153" i="2"/>
  <c r="C153" i="6" s="1"/>
  <c r="AA159" i="2"/>
  <c r="AJ155" i="2"/>
  <c r="K155" i="6" s="1"/>
  <c r="U156" i="2"/>
  <c r="V155" i="2"/>
  <c r="Q154" i="2"/>
  <c r="P154" i="2"/>
  <c r="D154" i="6" s="1"/>
  <c r="P160" i="2"/>
  <c r="D160" i="6" s="1"/>
  <c r="Q160" i="2"/>
  <c r="AA155" i="2"/>
  <c r="AJ153" i="2"/>
  <c r="K153" i="6" s="1"/>
  <c r="V153" i="2"/>
  <c r="AO151" i="2"/>
  <c r="H151" i="6" s="1"/>
  <c r="K160" i="2"/>
  <c r="L160" i="2"/>
  <c r="M160" i="2" s="1"/>
  <c r="AI160" i="2"/>
  <c r="J160" i="6" s="1"/>
  <c r="H155" i="2"/>
  <c r="O155" i="2"/>
  <c r="C155" i="6" s="1"/>
  <c r="K157" i="2"/>
  <c r="L157" i="2"/>
  <c r="M157" i="2" s="1"/>
  <c r="R156" i="2"/>
  <c r="AM156" i="2" s="1"/>
  <c r="AS156" i="2"/>
  <c r="L161" i="2"/>
  <c r="M161" i="2" s="1"/>
  <c r="K161" i="2"/>
  <c r="AJ159" i="2"/>
  <c r="K159" i="6" s="1"/>
  <c r="V159" i="2"/>
  <c r="U160" i="2"/>
  <c r="Q157" i="2"/>
  <c r="P157" i="2"/>
  <c r="D157" i="6" s="1"/>
  <c r="AK161" i="2"/>
  <c r="L161" i="6" s="1"/>
  <c r="U154" i="2"/>
  <c r="AI151" i="2"/>
  <c r="J151" i="6" s="1"/>
  <c r="AK151" i="2"/>
  <c r="L151" i="6" s="1"/>
  <c r="AK157" i="2"/>
  <c r="L157" i="6" s="1"/>
  <c r="U152" i="2"/>
  <c r="P161" i="2"/>
  <c r="D161" i="6" s="1"/>
  <c r="Q161" i="2"/>
  <c r="AQ151" i="2"/>
  <c r="AX151" i="2"/>
  <c r="AP165" i="2"/>
  <c r="AP179" i="2"/>
  <c r="AW179" i="2"/>
  <c r="AP171" i="2"/>
  <c r="AW171" i="2"/>
  <c r="AX173" i="2"/>
  <c r="AW165" i="2"/>
  <c r="AP167" i="2"/>
  <c r="AW167" i="2"/>
  <c r="AQ165" i="2"/>
  <c r="O179" i="6" l="1"/>
  <c r="M179" i="6"/>
  <c r="N165" i="6"/>
  <c r="O167" i="6"/>
  <c r="M167" i="6"/>
  <c r="O165" i="6"/>
  <c r="P173" i="6"/>
  <c r="O171" i="6"/>
  <c r="M171" i="6"/>
  <c r="M165" i="6"/>
  <c r="AM171" i="2"/>
  <c r="AN169" i="2"/>
  <c r="AN170" i="2" s="1"/>
  <c r="G170" i="6" s="1"/>
  <c r="AL169" i="2"/>
  <c r="AS169" i="2"/>
  <c r="R169" i="2"/>
  <c r="G165" i="6"/>
  <c r="AM164" i="2"/>
  <c r="BE179" i="2"/>
  <c r="BC179" i="2"/>
  <c r="Q179" i="6" s="1"/>
  <c r="BG177" i="2"/>
  <c r="BF177" i="2"/>
  <c r="BD177" i="2"/>
  <c r="R177" i="6" s="1"/>
  <c r="AM174" i="2"/>
  <c r="AN174" i="2"/>
  <c r="G174" i="6" s="1"/>
  <c r="AT179" i="2"/>
  <c r="R176" i="2"/>
  <c r="AS176" i="2"/>
  <c r="AL176" i="2"/>
  <c r="AO179" i="2"/>
  <c r="H179" i="6" s="1"/>
  <c r="AT174" i="2"/>
  <c r="AM179" i="2"/>
  <c r="R178" i="2"/>
  <c r="AL178" i="2"/>
  <c r="AS178" i="2"/>
  <c r="BG175" i="2"/>
  <c r="BF175" i="2"/>
  <c r="BD175" i="2"/>
  <c r="R175" i="6" s="1"/>
  <c r="AR165" i="2"/>
  <c r="BE167" i="2"/>
  <c r="BC167" i="2"/>
  <c r="Q167" i="6" s="1"/>
  <c r="BE165" i="2"/>
  <c r="BC165" i="2"/>
  <c r="Q165" i="6" s="1"/>
  <c r="AZ173" i="2"/>
  <c r="BE171" i="2"/>
  <c r="BC171" i="2"/>
  <c r="Q171" i="6" s="1"/>
  <c r="AT167" i="2"/>
  <c r="AM170" i="2"/>
  <c r="AK166" i="2"/>
  <c r="L166" i="6" s="1"/>
  <c r="R168" i="2"/>
  <c r="AS168" i="2"/>
  <c r="AL168" i="2"/>
  <c r="AO167" i="2"/>
  <c r="H167" i="6" s="1"/>
  <c r="R163" i="2"/>
  <c r="AL163" i="2"/>
  <c r="AN163" i="2"/>
  <c r="G163" i="6" s="1"/>
  <c r="AS163" i="2"/>
  <c r="AK164" i="2"/>
  <c r="L164" i="6" s="1"/>
  <c r="R166" i="2"/>
  <c r="AL166" i="2"/>
  <c r="AS166" i="2"/>
  <c r="AT165" i="2"/>
  <c r="AY165" i="2" s="1"/>
  <c r="AM167" i="2"/>
  <c r="AT171" i="2"/>
  <c r="AT170" i="2"/>
  <c r="AY173" i="2"/>
  <c r="R172" i="2"/>
  <c r="AS172" i="2"/>
  <c r="AL172" i="2"/>
  <c r="AO171" i="2"/>
  <c r="H171" i="6" s="1"/>
  <c r="P151" i="6"/>
  <c r="N151" i="6"/>
  <c r="AI155" i="2"/>
  <c r="J155" i="6" s="1"/>
  <c r="I155" i="6"/>
  <c r="AI158" i="2"/>
  <c r="J158" i="6" s="1"/>
  <c r="I158" i="6"/>
  <c r="AZ151" i="2"/>
  <c r="AR151" i="2"/>
  <c r="R160" i="2"/>
  <c r="AS160" i="2"/>
  <c r="AL160" i="2"/>
  <c r="R161" i="2"/>
  <c r="AS161" i="2"/>
  <c r="AN161" i="2"/>
  <c r="G161" i="6" s="1"/>
  <c r="AL161" i="2"/>
  <c r="AK159" i="2"/>
  <c r="L159" i="6" s="1"/>
  <c r="AT156" i="2"/>
  <c r="Q155" i="2"/>
  <c r="P155" i="2"/>
  <c r="D155" i="6" s="1"/>
  <c r="AK155" i="2"/>
  <c r="L155" i="6" s="1"/>
  <c r="AI159" i="2"/>
  <c r="J159" i="6" s="1"/>
  <c r="AI153" i="2"/>
  <c r="J153" i="6" s="1"/>
  <c r="AJ160" i="2"/>
  <c r="K160" i="6" s="1"/>
  <c r="V160" i="2"/>
  <c r="Q158" i="2"/>
  <c r="P158" i="2"/>
  <c r="D158" i="6" s="1"/>
  <c r="Q159" i="2"/>
  <c r="P159" i="2"/>
  <c r="D159" i="6" s="1"/>
  <c r="R157" i="2"/>
  <c r="AN157" i="2"/>
  <c r="G157" i="6" s="1"/>
  <c r="AL157" i="2"/>
  <c r="AM157" i="2" s="1"/>
  <c r="AS157" i="2"/>
  <c r="V156" i="2"/>
  <c r="AJ156" i="2"/>
  <c r="K156" i="6" s="1"/>
  <c r="Q153" i="2"/>
  <c r="P153" i="2"/>
  <c r="D153" i="6" s="1"/>
  <c r="Q152" i="2"/>
  <c r="P152" i="2"/>
  <c r="D152" i="6" s="1"/>
  <c r="V152" i="2"/>
  <c r="AJ152" i="2"/>
  <c r="K152" i="6" s="1"/>
  <c r="V154" i="2"/>
  <c r="AJ154" i="2"/>
  <c r="K154" i="6" s="1"/>
  <c r="AK153" i="2"/>
  <c r="L153" i="6" s="1"/>
  <c r="R154" i="2"/>
  <c r="AL154" i="2"/>
  <c r="AS154" i="2"/>
  <c r="AK158" i="2"/>
  <c r="L158" i="6" s="1"/>
  <c r="AY151" i="2"/>
  <c r="AP157" i="2"/>
  <c r="AW161" i="2"/>
  <c r="AW157" i="2"/>
  <c r="AP161" i="2"/>
  <c r="AP169" i="2"/>
  <c r="AW169" i="2"/>
  <c r="AW174" i="2"/>
  <c r="AP174" i="2"/>
  <c r="AX179" i="2"/>
  <c r="AQ179" i="2"/>
  <c r="AQ171" i="2"/>
  <c r="AW170" i="2"/>
  <c r="AP170" i="2"/>
  <c r="AP163" i="2"/>
  <c r="AX171" i="2"/>
  <c r="AX167" i="2"/>
  <c r="AX165" i="2"/>
  <c r="AQ167" i="2"/>
  <c r="AW163" i="2"/>
  <c r="N179" i="6" l="1"/>
  <c r="P179" i="6"/>
  <c r="O163" i="6"/>
  <c r="N167" i="6"/>
  <c r="P165" i="6"/>
  <c r="P167" i="6"/>
  <c r="P171" i="6"/>
  <c r="M163" i="6"/>
  <c r="M170" i="6"/>
  <c r="O170" i="6"/>
  <c r="N171" i="6"/>
  <c r="M174" i="6"/>
  <c r="O174" i="6"/>
  <c r="O169" i="6"/>
  <c r="BE169" i="2"/>
  <c r="BC169" i="2"/>
  <c r="Q169" i="6" s="1"/>
  <c r="M169" i="6"/>
  <c r="AT169" i="2"/>
  <c r="AY169" i="2" s="1"/>
  <c r="AM169" i="2"/>
  <c r="G169" i="6"/>
  <c r="AY167" i="2"/>
  <c r="BD167" i="2" s="1"/>
  <c r="R167" i="6" s="1"/>
  <c r="AO169" i="2"/>
  <c r="AR179" i="2"/>
  <c r="AZ179" i="2"/>
  <c r="BE174" i="2"/>
  <c r="BC174" i="2"/>
  <c r="Q174" i="6" s="1"/>
  <c r="AY174" i="2"/>
  <c r="AM178" i="2"/>
  <c r="AN178" i="2"/>
  <c r="G178" i="6" s="1"/>
  <c r="AM176" i="2"/>
  <c r="AN176" i="2"/>
  <c r="G176" i="6" s="1"/>
  <c r="AO174" i="2"/>
  <c r="H174" i="6" s="1"/>
  <c r="AY179" i="2"/>
  <c r="AT176" i="2"/>
  <c r="AT178" i="2"/>
  <c r="BE163" i="2"/>
  <c r="BC163" i="2"/>
  <c r="Q163" i="6" s="1"/>
  <c r="AR167" i="2"/>
  <c r="AZ165" i="2"/>
  <c r="AZ167" i="2"/>
  <c r="AZ171" i="2"/>
  <c r="BE170" i="2"/>
  <c r="BC170" i="2"/>
  <c r="Q170" i="6" s="1"/>
  <c r="AR171" i="2"/>
  <c r="BG165" i="2"/>
  <c r="BF165" i="2"/>
  <c r="BD165" i="2"/>
  <c r="R165" i="6" s="1"/>
  <c r="BG167" i="2"/>
  <c r="BG173" i="2"/>
  <c r="BF173" i="2"/>
  <c r="BD173" i="2"/>
  <c r="R173" i="6" s="1"/>
  <c r="AT172" i="2"/>
  <c r="AT166" i="2"/>
  <c r="AT163" i="2"/>
  <c r="AM172" i="2"/>
  <c r="AN172" i="2"/>
  <c r="G172" i="6" s="1"/>
  <c r="AN166" i="2"/>
  <c r="G166" i="6" s="1"/>
  <c r="AM166" i="2"/>
  <c r="AO163" i="2"/>
  <c r="H163" i="6" s="1"/>
  <c r="AN164" i="2"/>
  <c r="G164" i="6" s="1"/>
  <c r="AM168" i="2"/>
  <c r="AN168" i="2"/>
  <c r="G168" i="6" s="1"/>
  <c r="AO170" i="2"/>
  <c r="H170" i="6" s="1"/>
  <c r="AM163" i="2"/>
  <c r="AT168" i="2"/>
  <c r="AY171" i="2"/>
  <c r="M161" i="6"/>
  <c r="O161" i="6"/>
  <c r="O157" i="6"/>
  <c r="M157" i="6"/>
  <c r="BE157" i="2"/>
  <c r="BC157" i="2"/>
  <c r="Q157" i="6" s="1"/>
  <c r="BE161" i="2"/>
  <c r="BC161" i="2"/>
  <c r="Q161" i="6" s="1"/>
  <c r="BG151" i="2"/>
  <c r="BF151" i="2"/>
  <c r="BD151" i="2"/>
  <c r="R151" i="6" s="1"/>
  <c r="AK154" i="2"/>
  <c r="L154" i="6" s="1"/>
  <c r="R159" i="2"/>
  <c r="AL159" i="2"/>
  <c r="AM159" i="2" s="1"/>
  <c r="AN159" i="2"/>
  <c r="G159" i="6" s="1"/>
  <c r="AS159" i="2"/>
  <c r="R152" i="2"/>
  <c r="AS152" i="2"/>
  <c r="AL152" i="2"/>
  <c r="AK156" i="2"/>
  <c r="L156" i="6" s="1"/>
  <c r="AM161" i="2"/>
  <c r="AM160" i="2"/>
  <c r="AN160" i="2"/>
  <c r="G160" i="6" s="1"/>
  <c r="AT154" i="2"/>
  <c r="R158" i="2"/>
  <c r="AL158" i="2"/>
  <c r="AS158" i="2"/>
  <c r="R155" i="2"/>
  <c r="AN155" i="2"/>
  <c r="G155" i="6" s="1"/>
  <c r="AS155" i="2"/>
  <c r="AL155" i="2"/>
  <c r="AO161" i="2"/>
  <c r="H161" i="6" s="1"/>
  <c r="AT160" i="2"/>
  <c r="AM154" i="2"/>
  <c r="AK152" i="2"/>
  <c r="L152" i="6" s="1"/>
  <c r="R153" i="2"/>
  <c r="AN153" i="2"/>
  <c r="G153" i="6" s="1"/>
  <c r="AL153" i="2"/>
  <c r="AS153" i="2"/>
  <c r="AT157" i="2"/>
  <c r="AK160" i="2"/>
  <c r="L160" i="6" s="1"/>
  <c r="AT161" i="2"/>
  <c r="AO157" i="2"/>
  <c r="H157" i="6" s="1"/>
  <c r="AP155" i="2"/>
  <c r="AX157" i="2"/>
  <c r="AW155" i="2"/>
  <c r="AP153" i="2"/>
  <c r="AP159" i="2"/>
  <c r="AW160" i="2"/>
  <c r="AP160" i="2"/>
  <c r="AX161" i="2"/>
  <c r="AW159" i="2"/>
  <c r="AQ161" i="2"/>
  <c r="AW153" i="2"/>
  <c r="AQ157" i="2"/>
  <c r="AX169" i="2"/>
  <c r="AQ169" i="2"/>
  <c r="AX174" i="2"/>
  <c r="AQ174" i="2"/>
  <c r="AW178" i="2"/>
  <c r="AP178" i="2"/>
  <c r="AW176" i="2"/>
  <c r="AP176" i="2"/>
  <c r="AX163" i="2"/>
  <c r="AW168" i="2"/>
  <c r="AP168" i="2"/>
  <c r="AQ163" i="2"/>
  <c r="AX170" i="2"/>
  <c r="AQ170" i="2"/>
  <c r="AW172" i="2"/>
  <c r="AP172" i="2"/>
  <c r="AP164" i="2"/>
  <c r="AW164" i="2"/>
  <c r="AW166" i="2"/>
  <c r="AP166" i="2"/>
  <c r="M166" i="6" l="1"/>
  <c r="O166" i="6"/>
  <c r="O164" i="6"/>
  <c r="M164" i="6"/>
  <c r="M172" i="6"/>
  <c r="O172" i="6"/>
  <c r="N170" i="6"/>
  <c r="N163" i="6"/>
  <c r="M168" i="6"/>
  <c r="O168" i="6"/>
  <c r="P163" i="6"/>
  <c r="M176" i="6"/>
  <c r="O176" i="6"/>
  <c r="M178" i="6"/>
  <c r="O178" i="6"/>
  <c r="N174" i="6"/>
  <c r="N169" i="6"/>
  <c r="AR169" i="2"/>
  <c r="P169" i="6"/>
  <c r="AZ169" i="2"/>
  <c r="BG169" i="2"/>
  <c r="BF169" i="2"/>
  <c r="BD169" i="2"/>
  <c r="R169" i="6" s="1"/>
  <c r="AY163" i="2"/>
  <c r="BG163" i="2" s="1"/>
  <c r="BF167" i="2"/>
  <c r="BD174" i="2"/>
  <c r="R174" i="6" s="1"/>
  <c r="P174" i="6"/>
  <c r="H169" i="6"/>
  <c r="BE176" i="2"/>
  <c r="BC176" i="2"/>
  <c r="Q176" i="6" s="1"/>
  <c r="BE178" i="2"/>
  <c r="BC178" i="2"/>
  <c r="Q178" i="6" s="1"/>
  <c r="AR174" i="2"/>
  <c r="AZ174" i="2"/>
  <c r="AO176" i="2"/>
  <c r="H176" i="6" s="1"/>
  <c r="BG179" i="2"/>
  <c r="BF179" i="2"/>
  <c r="BD179" i="2"/>
  <c r="R179" i="6" s="1"/>
  <c r="AO178" i="2"/>
  <c r="H178" i="6" s="1"/>
  <c r="BF174" i="2"/>
  <c r="BG174" i="2"/>
  <c r="BE166" i="2"/>
  <c r="BC166" i="2"/>
  <c r="Q166" i="6" s="1"/>
  <c r="BE164" i="2"/>
  <c r="BC164" i="2"/>
  <c r="Q164" i="6" s="1"/>
  <c r="BE172" i="2"/>
  <c r="BC172" i="2"/>
  <c r="Q172" i="6" s="1"/>
  <c r="AR170" i="2"/>
  <c r="AZ170" i="2"/>
  <c r="AR163" i="2"/>
  <c r="BE168" i="2"/>
  <c r="BC168" i="2"/>
  <c r="Q168" i="6" s="1"/>
  <c r="AZ163" i="2"/>
  <c r="BF171" i="2"/>
  <c r="BG171" i="2"/>
  <c r="BD171" i="2"/>
  <c r="R171" i="6" s="1"/>
  <c r="AO166" i="2"/>
  <c r="H166" i="6" s="1"/>
  <c r="AO164" i="2"/>
  <c r="H164" i="6" s="1"/>
  <c r="AO172" i="2"/>
  <c r="AO168" i="2"/>
  <c r="H168" i="6" s="1"/>
  <c r="AY170" i="2"/>
  <c r="P170" i="6" s="1"/>
  <c r="N161" i="6"/>
  <c r="P161" i="6"/>
  <c r="N157" i="6"/>
  <c r="O153" i="6"/>
  <c r="O159" i="6"/>
  <c r="M160" i="6"/>
  <c r="O160" i="6"/>
  <c r="M159" i="6"/>
  <c r="M153" i="6"/>
  <c r="O155" i="6"/>
  <c r="P157" i="6"/>
  <c r="M155" i="6"/>
  <c r="AN154" i="2"/>
  <c r="AR157" i="2"/>
  <c r="BE153" i="2"/>
  <c r="BC153" i="2"/>
  <c r="Q153" i="6" s="1"/>
  <c r="AR161" i="2"/>
  <c r="BE159" i="2"/>
  <c r="BC159" i="2"/>
  <c r="Q159" i="6" s="1"/>
  <c r="AZ161" i="2"/>
  <c r="BE160" i="2"/>
  <c r="BC160" i="2"/>
  <c r="Q160" i="6" s="1"/>
  <c r="BE155" i="2"/>
  <c r="AY155" i="2"/>
  <c r="BC155" i="2"/>
  <c r="Q155" i="6" s="1"/>
  <c r="AZ157" i="2"/>
  <c r="AO154" i="2"/>
  <c r="H154" i="6" s="1"/>
  <c r="AT153" i="2"/>
  <c r="AT159" i="2"/>
  <c r="AM153" i="2"/>
  <c r="AM155" i="2"/>
  <c r="AT158" i="2"/>
  <c r="AO160" i="2"/>
  <c r="H160" i="6" s="1"/>
  <c r="AN152" i="2"/>
  <c r="G152" i="6" s="1"/>
  <c r="AM152" i="2"/>
  <c r="AO159" i="2"/>
  <c r="H159" i="6" s="1"/>
  <c r="AO153" i="2"/>
  <c r="H153" i="6" s="1"/>
  <c r="AT155" i="2"/>
  <c r="AN158" i="2"/>
  <c r="G158" i="6" s="1"/>
  <c r="AM158" i="2"/>
  <c r="AT152" i="2"/>
  <c r="AO155" i="2"/>
  <c r="H155" i="6" s="1"/>
  <c r="AN156" i="2"/>
  <c r="G156" i="6" s="1"/>
  <c r="AY161" i="2"/>
  <c r="AY157" i="2"/>
  <c r="AP154" i="2"/>
  <c r="AW154" i="2"/>
  <c r="AX153" i="2"/>
  <c r="AQ159" i="2"/>
  <c r="AX159" i="2"/>
  <c r="AX160" i="2"/>
  <c r="AQ160" i="2"/>
  <c r="AQ153" i="2"/>
  <c r="AW152" i="2"/>
  <c r="AP152" i="2"/>
  <c r="AX155" i="2"/>
  <c r="AQ155" i="2"/>
  <c r="AX154" i="2"/>
  <c r="AQ154" i="2"/>
  <c r="AW158" i="2"/>
  <c r="AP158" i="2"/>
  <c r="AW156" i="2"/>
  <c r="AP156" i="2"/>
  <c r="AX176" i="2"/>
  <c r="AQ176" i="2"/>
  <c r="AX178" i="2"/>
  <c r="AQ178" i="2"/>
  <c r="AX172" i="2"/>
  <c r="AQ172" i="2"/>
  <c r="AX168" i="2"/>
  <c r="AQ168" i="2"/>
  <c r="AX166" i="2"/>
  <c r="AQ166" i="2"/>
  <c r="AQ164" i="2"/>
  <c r="AX164" i="2"/>
  <c r="N164" i="6" l="1"/>
  <c r="N166" i="6"/>
  <c r="N168" i="6"/>
  <c r="N172" i="6"/>
  <c r="N178" i="6"/>
  <c r="N176" i="6"/>
  <c r="BD163" i="2"/>
  <c r="R163" i="6" s="1"/>
  <c r="AY166" i="2"/>
  <c r="AY178" i="2"/>
  <c r="P178" i="6" s="1"/>
  <c r="BF163" i="2"/>
  <c r="AY172" i="2"/>
  <c r="P172" i="6" s="1"/>
  <c r="H172" i="6"/>
  <c r="AR178" i="2"/>
  <c r="AZ178" i="2"/>
  <c r="AR176" i="2"/>
  <c r="AZ176" i="2"/>
  <c r="BF178" i="2"/>
  <c r="AY176" i="2"/>
  <c r="P176" i="6" s="1"/>
  <c r="AZ164" i="2"/>
  <c r="AR164" i="2"/>
  <c r="AR166" i="2"/>
  <c r="AZ166" i="2"/>
  <c r="AR168" i="2"/>
  <c r="AZ168" i="2"/>
  <c r="AR172" i="2"/>
  <c r="AZ172" i="2"/>
  <c r="BG172" i="2"/>
  <c r="BF172" i="2"/>
  <c r="BD172" i="2"/>
  <c r="R172" i="6" s="1"/>
  <c r="BF170" i="2"/>
  <c r="BG170" i="2"/>
  <c r="BD170" i="2"/>
  <c r="R170" i="6" s="1"/>
  <c r="AY168" i="2"/>
  <c r="P168" i="6" s="1"/>
  <c r="AY164" i="2"/>
  <c r="P164" i="6" s="1"/>
  <c r="M156" i="6"/>
  <c r="O156" i="6"/>
  <c r="M158" i="6"/>
  <c r="O158" i="6"/>
  <c r="N154" i="6"/>
  <c r="N155" i="6"/>
  <c r="P155" i="6"/>
  <c r="M152" i="6"/>
  <c r="O152" i="6"/>
  <c r="N153" i="6"/>
  <c r="N160" i="6"/>
  <c r="P159" i="6"/>
  <c r="N159" i="6"/>
  <c r="P153" i="6"/>
  <c r="O154" i="6"/>
  <c r="BC154" i="2"/>
  <c r="Q154" i="6" s="1"/>
  <c r="BE154" i="2"/>
  <c r="M154" i="6"/>
  <c r="G154" i="6"/>
  <c r="AY160" i="2"/>
  <c r="BG160" i="2" s="1"/>
  <c r="BE156" i="2"/>
  <c r="BC156" i="2"/>
  <c r="Q156" i="6" s="1"/>
  <c r="BE158" i="2"/>
  <c r="BC158" i="2"/>
  <c r="Q158" i="6" s="1"/>
  <c r="AR154" i="2"/>
  <c r="AZ154" i="2"/>
  <c r="AR155" i="2"/>
  <c r="AZ155" i="2"/>
  <c r="BE152" i="2"/>
  <c r="BC152" i="2"/>
  <c r="Q152" i="6" s="1"/>
  <c r="AR153" i="2"/>
  <c r="AR160" i="2"/>
  <c r="AZ160" i="2"/>
  <c r="AZ159" i="2"/>
  <c r="AR159" i="2"/>
  <c r="AZ153" i="2"/>
  <c r="BG155" i="2"/>
  <c r="BF155" i="2"/>
  <c r="AO156" i="2"/>
  <c r="H156" i="6" s="1"/>
  <c r="AO158" i="2"/>
  <c r="BD155" i="2"/>
  <c r="R155" i="6" s="1"/>
  <c r="AO152" i="2"/>
  <c r="BG157" i="2"/>
  <c r="BF157" i="2"/>
  <c r="BD157" i="2"/>
  <c r="R157" i="6" s="1"/>
  <c r="AY154" i="2"/>
  <c r="P154" i="6" s="1"/>
  <c r="BG161" i="2"/>
  <c r="BF161" i="2"/>
  <c r="BD161" i="2"/>
  <c r="R161" i="6" s="1"/>
  <c r="AY153" i="2"/>
  <c r="AY159" i="2"/>
  <c r="AQ156" i="2"/>
  <c r="AX156" i="2"/>
  <c r="AX158" i="2"/>
  <c r="AQ158" i="2"/>
  <c r="AX152" i="2"/>
  <c r="AQ152" i="2"/>
  <c r="BD178" i="2" l="1"/>
  <c r="R178" i="6" s="1"/>
  <c r="BG178" i="2"/>
  <c r="P166" i="6"/>
  <c r="BD166" i="2"/>
  <c r="R166" i="6" s="1"/>
  <c r="BG166" i="2"/>
  <c r="BF166" i="2"/>
  <c r="BG176" i="2"/>
  <c r="BF176" i="2"/>
  <c r="BD176" i="2"/>
  <c r="R176" i="6" s="1"/>
  <c r="BG164" i="2"/>
  <c r="BF164" i="2"/>
  <c r="BD164" i="2"/>
  <c r="R164" i="6" s="1"/>
  <c r="BF168" i="2"/>
  <c r="BG168" i="2"/>
  <c r="BD168" i="2"/>
  <c r="R168" i="6" s="1"/>
  <c r="N152" i="6"/>
  <c r="N158" i="6"/>
  <c r="N156" i="6"/>
  <c r="BD160" i="2"/>
  <c r="R160" i="6" s="1"/>
  <c r="P160" i="6"/>
  <c r="AY152" i="2"/>
  <c r="P152" i="6" s="1"/>
  <c r="H152" i="6"/>
  <c r="BF160" i="2"/>
  <c r="AY158" i="2"/>
  <c r="P158" i="6" s="1"/>
  <c r="H158" i="6"/>
  <c r="AY156" i="2"/>
  <c r="P156" i="6" s="1"/>
  <c r="AR152" i="2"/>
  <c r="AZ152" i="2"/>
  <c r="AR158" i="2"/>
  <c r="AZ158" i="2"/>
  <c r="AZ156" i="2"/>
  <c r="AR156" i="2"/>
  <c r="BF158" i="2"/>
  <c r="BF154" i="2"/>
  <c r="BG154" i="2"/>
  <c r="BD154" i="2"/>
  <c r="R154" i="6" s="1"/>
  <c r="BG159" i="2"/>
  <c r="BF159" i="2"/>
  <c r="BD159" i="2"/>
  <c r="R159" i="6" s="1"/>
  <c r="BG156" i="2"/>
  <c r="BF156" i="2"/>
  <c r="BG153" i="2"/>
  <c r="BF153" i="2"/>
  <c r="BD153" i="2"/>
  <c r="R153" i="6" s="1"/>
  <c r="BD156" i="2"/>
  <c r="R156" i="6" s="1"/>
  <c r="BF152" i="2" l="1"/>
  <c r="BD158" i="2"/>
  <c r="R158" i="6" s="1"/>
  <c r="BD152" i="2"/>
  <c r="R152" i="6" s="1"/>
  <c r="BG158" i="2"/>
  <c r="BG152" i="2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149" i="6"/>
  <c r="S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148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147" i="6"/>
  <c r="S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146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145" i="6"/>
  <c r="S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144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143" i="6"/>
  <c r="S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142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141" i="6"/>
  <c r="S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140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139" i="6"/>
  <c r="BB149" i="2"/>
  <c r="BA149" i="2"/>
  <c r="AV149" i="2"/>
  <c r="AE149" i="2"/>
  <c r="AD149" i="2"/>
  <c r="AF149" i="2" s="1"/>
  <c r="Y149" i="2"/>
  <c r="X149" i="2"/>
  <c r="Z149" i="2" s="1"/>
  <c r="T149" i="2"/>
  <c r="S149" i="2"/>
  <c r="U149" i="2" s="1"/>
  <c r="U148" i="2" s="1"/>
  <c r="K149" i="2"/>
  <c r="J149" i="2"/>
  <c r="L149" i="2" s="1"/>
  <c r="M149" i="2" s="1"/>
  <c r="F149" i="2"/>
  <c r="E149" i="2"/>
  <c r="G149" i="2" s="1"/>
  <c r="D149" i="2"/>
  <c r="C149" i="2"/>
  <c r="B149" i="2"/>
  <c r="A149" i="2"/>
  <c r="BB148" i="2"/>
  <c r="BA148" i="2"/>
  <c r="AV148" i="2"/>
  <c r="AF148" i="2"/>
  <c r="AD148" i="2"/>
  <c r="AE148" i="2" s="1"/>
  <c r="Z148" i="2"/>
  <c r="X148" i="2"/>
  <c r="Y148" i="2" s="1"/>
  <c r="S148" i="2"/>
  <c r="T148" i="2" s="1"/>
  <c r="G148" i="2"/>
  <c r="E148" i="2"/>
  <c r="F148" i="2" s="1"/>
  <c r="C148" i="2"/>
  <c r="B148" i="2"/>
  <c r="A148" i="2"/>
  <c r="BB147" i="2"/>
  <c r="BA147" i="2"/>
  <c r="AV147" i="2"/>
  <c r="AG147" i="2"/>
  <c r="AF147" i="2"/>
  <c r="AE147" i="2"/>
  <c r="AD147" i="2"/>
  <c r="AA147" i="2"/>
  <c r="Z147" i="2"/>
  <c r="Y147" i="2"/>
  <c r="X147" i="2"/>
  <c r="V147" i="2"/>
  <c r="AK147" i="2" s="1"/>
  <c r="U147" i="2"/>
  <c r="AJ147" i="2" s="1"/>
  <c r="T147" i="2"/>
  <c r="S147" i="2"/>
  <c r="H147" i="2"/>
  <c r="G147" i="2"/>
  <c r="O147" i="2" s="1"/>
  <c r="F147" i="2"/>
  <c r="E147" i="2"/>
  <c r="D147" i="2"/>
  <c r="C147" i="2"/>
  <c r="J147" i="2" s="1"/>
  <c r="B147" i="2"/>
  <c r="A147" i="2"/>
  <c r="BB146" i="2"/>
  <c r="BA146" i="2"/>
  <c r="AV146" i="2"/>
  <c r="AD146" i="2"/>
  <c r="X146" i="2"/>
  <c r="S146" i="2"/>
  <c r="J146" i="2"/>
  <c r="E146" i="2"/>
  <c r="C146" i="2"/>
  <c r="D146" i="2" s="1"/>
  <c r="B146" i="2"/>
  <c r="A146" i="2"/>
  <c r="BB145" i="2"/>
  <c r="BA145" i="2"/>
  <c r="AV145" i="2"/>
  <c r="AE145" i="2"/>
  <c r="AD145" i="2"/>
  <c r="AF145" i="2" s="1"/>
  <c r="Y145" i="2"/>
  <c r="X145" i="2"/>
  <c r="Z145" i="2" s="1"/>
  <c r="T145" i="2"/>
  <c r="S145" i="2"/>
  <c r="U145" i="2" s="1"/>
  <c r="K145" i="2"/>
  <c r="J145" i="2"/>
  <c r="L145" i="2" s="1"/>
  <c r="M145" i="2" s="1"/>
  <c r="F145" i="2"/>
  <c r="E145" i="2"/>
  <c r="G145" i="2" s="1"/>
  <c r="D145" i="2"/>
  <c r="C145" i="2"/>
  <c r="B145" i="2"/>
  <c r="A145" i="2"/>
  <c r="BB144" i="2"/>
  <c r="BA144" i="2"/>
  <c r="AV144" i="2"/>
  <c r="AF144" i="2"/>
  <c r="AD144" i="2"/>
  <c r="AE144" i="2" s="1"/>
  <c r="X144" i="2"/>
  <c r="Y144" i="2" s="1"/>
  <c r="U144" i="2"/>
  <c r="S144" i="2"/>
  <c r="T144" i="2" s="1"/>
  <c r="E144" i="2"/>
  <c r="F144" i="2" s="1"/>
  <c r="C144" i="2"/>
  <c r="D144" i="2" s="1"/>
  <c r="B144" i="2"/>
  <c r="A144" i="2"/>
  <c r="BB143" i="2"/>
  <c r="BA143" i="2"/>
  <c r="AV143" i="2"/>
  <c r="AG143" i="2"/>
  <c r="AF143" i="2"/>
  <c r="AE143" i="2"/>
  <c r="AD143" i="2"/>
  <c r="AA143" i="2"/>
  <c r="Z143" i="2"/>
  <c r="Y143" i="2"/>
  <c r="X143" i="2"/>
  <c r="V143" i="2"/>
  <c r="AK143" i="2" s="1"/>
  <c r="U143" i="2"/>
  <c r="AJ143" i="2" s="1"/>
  <c r="T143" i="2"/>
  <c r="S143" i="2"/>
  <c r="R143" i="2"/>
  <c r="H143" i="2"/>
  <c r="G143" i="2"/>
  <c r="O143" i="2" s="1"/>
  <c r="Q143" i="2" s="1"/>
  <c r="AS143" i="2" s="1"/>
  <c r="F143" i="2"/>
  <c r="E143" i="2"/>
  <c r="D143" i="2"/>
  <c r="C143" i="2"/>
  <c r="J143" i="2" s="1"/>
  <c r="L143" i="2" s="1"/>
  <c r="M143" i="2" s="1"/>
  <c r="B143" i="2"/>
  <c r="A143" i="2"/>
  <c r="BB142" i="2"/>
  <c r="BA142" i="2"/>
  <c r="AV142" i="2"/>
  <c r="AF142" i="2"/>
  <c r="AD142" i="2"/>
  <c r="AE142" i="2" s="1"/>
  <c r="X142" i="2"/>
  <c r="Y142" i="2" s="1"/>
  <c r="S142" i="2"/>
  <c r="T142" i="2" s="1"/>
  <c r="L142" i="2"/>
  <c r="M142" i="2" s="1"/>
  <c r="J142" i="2"/>
  <c r="K142" i="2" s="1"/>
  <c r="E142" i="2"/>
  <c r="F142" i="2" s="1"/>
  <c r="D142" i="2"/>
  <c r="C142" i="2"/>
  <c r="B142" i="2"/>
  <c r="A142" i="2"/>
  <c r="BB141" i="2"/>
  <c r="BA141" i="2"/>
  <c r="AV141" i="2"/>
  <c r="AG141" i="2"/>
  <c r="AF141" i="2"/>
  <c r="AD141" i="2"/>
  <c r="AE141" i="2" s="1"/>
  <c r="AA141" i="2"/>
  <c r="Z141" i="2"/>
  <c r="X141" i="2"/>
  <c r="Y141" i="2" s="1"/>
  <c r="V141" i="2"/>
  <c r="AK141" i="2" s="1"/>
  <c r="U141" i="2"/>
  <c r="AJ141" i="2" s="1"/>
  <c r="S141" i="2"/>
  <c r="T141" i="2" s="1"/>
  <c r="H141" i="2"/>
  <c r="G141" i="2"/>
  <c r="O141" i="2" s="1"/>
  <c r="E141" i="2"/>
  <c r="F141" i="2" s="1"/>
  <c r="D141" i="2"/>
  <c r="C141" i="2"/>
  <c r="J141" i="2" s="1"/>
  <c r="B141" i="2"/>
  <c r="A141" i="2"/>
  <c r="BB140" i="2"/>
  <c r="BA140" i="2"/>
  <c r="AV140" i="2"/>
  <c r="AD140" i="2"/>
  <c r="AF140" i="2" s="1"/>
  <c r="X140" i="2"/>
  <c r="Z140" i="2" s="1"/>
  <c r="S140" i="2"/>
  <c r="U140" i="2" s="1"/>
  <c r="J140" i="2"/>
  <c r="L140" i="2" s="1"/>
  <c r="M140" i="2" s="1"/>
  <c r="E140" i="2"/>
  <c r="G140" i="2" s="1"/>
  <c r="D140" i="2"/>
  <c r="C140" i="2"/>
  <c r="B140" i="2"/>
  <c r="A140" i="2"/>
  <c r="BB139" i="2"/>
  <c r="BA139" i="2"/>
  <c r="AV139" i="2"/>
  <c r="AE139" i="2"/>
  <c r="AD139" i="2"/>
  <c r="AF139" i="2" s="1"/>
  <c r="Y139" i="2"/>
  <c r="X139" i="2"/>
  <c r="Z139" i="2" s="1"/>
  <c r="T139" i="2"/>
  <c r="S139" i="2"/>
  <c r="U139" i="2" s="1"/>
  <c r="K139" i="2"/>
  <c r="J139" i="2"/>
  <c r="L139" i="2" s="1"/>
  <c r="M139" i="2" s="1"/>
  <c r="F139" i="2"/>
  <c r="E139" i="2"/>
  <c r="G139" i="2" s="1"/>
  <c r="C139" i="2"/>
  <c r="D139" i="2" s="1"/>
  <c r="B139" i="2"/>
  <c r="A139" i="2"/>
  <c r="AA139" i="2" l="1"/>
  <c r="Q141" i="2"/>
  <c r="P141" i="2"/>
  <c r="AH142" i="2"/>
  <c r="V148" i="2"/>
  <c r="AJ148" i="2"/>
  <c r="V140" i="2"/>
  <c r="AJ140" i="2"/>
  <c r="L141" i="2"/>
  <c r="M141" i="2" s="1"/>
  <c r="K141" i="2"/>
  <c r="AN141" i="2"/>
  <c r="O139" i="2"/>
  <c r="H139" i="2"/>
  <c r="V139" i="2"/>
  <c r="AJ139" i="2"/>
  <c r="AH139" i="2"/>
  <c r="AG139" i="2"/>
  <c r="AA140" i="2"/>
  <c r="AT143" i="2"/>
  <c r="H140" i="2"/>
  <c r="O140" i="2"/>
  <c r="AG140" i="2"/>
  <c r="AH140" i="2"/>
  <c r="V144" i="2"/>
  <c r="AG144" i="2"/>
  <c r="AA145" i="2"/>
  <c r="L146" i="2"/>
  <c r="M146" i="2" s="1"/>
  <c r="K146" i="2"/>
  <c r="AF146" i="2"/>
  <c r="AE146" i="2"/>
  <c r="F140" i="2"/>
  <c r="K140" i="2"/>
  <c r="T140" i="2"/>
  <c r="Y140" i="2"/>
  <c r="AE140" i="2"/>
  <c r="AH141" i="2"/>
  <c r="AI141" i="2" s="1"/>
  <c r="AL141" i="2"/>
  <c r="G142" i="2"/>
  <c r="Z142" i="2"/>
  <c r="AG142" i="2"/>
  <c r="K143" i="2"/>
  <c r="AJ144" i="2"/>
  <c r="O145" i="2"/>
  <c r="H145" i="2"/>
  <c r="L147" i="2"/>
  <c r="M147" i="2" s="1"/>
  <c r="K147" i="2"/>
  <c r="Q147" i="2"/>
  <c r="P147" i="2"/>
  <c r="O148" i="2"/>
  <c r="H148" i="2"/>
  <c r="AH148" i="2"/>
  <c r="AG148" i="2"/>
  <c r="AA149" i="2"/>
  <c r="U142" i="2"/>
  <c r="G144" i="2"/>
  <c r="Z144" i="2"/>
  <c r="V145" i="2"/>
  <c r="AJ145" i="2"/>
  <c r="AH145" i="2"/>
  <c r="AG145" i="2"/>
  <c r="U146" i="2"/>
  <c r="T146" i="2"/>
  <c r="O149" i="2"/>
  <c r="H149" i="2"/>
  <c r="P143" i="2"/>
  <c r="AN143" i="2"/>
  <c r="J144" i="2"/>
  <c r="G146" i="2"/>
  <c r="F146" i="2"/>
  <c r="Z146" i="2"/>
  <c r="Y146" i="2"/>
  <c r="AN147" i="2"/>
  <c r="J148" i="2"/>
  <c r="D148" i="2"/>
  <c r="AA148" i="2"/>
  <c r="V149" i="2"/>
  <c r="AJ149" i="2"/>
  <c r="AH149" i="2"/>
  <c r="AG149" i="2"/>
  <c r="AH143" i="2"/>
  <c r="AI143" i="2" s="1"/>
  <c r="AL143" i="2"/>
  <c r="AM143" i="2" s="1"/>
  <c r="AH147" i="2"/>
  <c r="AI147" i="2" s="1"/>
  <c r="AL147" i="2"/>
  <c r="AP147" i="2"/>
  <c r="AP143" i="2"/>
  <c r="AW143" i="2"/>
  <c r="AP141" i="2"/>
  <c r="BE143" i="2" l="1"/>
  <c r="BC143" i="2"/>
  <c r="H146" i="2"/>
  <c r="O146" i="2"/>
  <c r="H144" i="2"/>
  <c r="O144" i="2"/>
  <c r="O142" i="2"/>
  <c r="H142" i="2"/>
  <c r="AK139" i="2"/>
  <c r="AO141" i="2"/>
  <c r="AK149" i="2"/>
  <c r="AA146" i="2"/>
  <c r="AO143" i="2"/>
  <c r="AI145" i="2"/>
  <c r="AS147" i="2"/>
  <c r="R147" i="2"/>
  <c r="Q145" i="2"/>
  <c r="P145" i="2"/>
  <c r="Q140" i="2"/>
  <c r="P140" i="2"/>
  <c r="AI149" i="2"/>
  <c r="K148" i="2"/>
  <c r="L148" i="2"/>
  <c r="M148" i="2" s="1"/>
  <c r="V146" i="2"/>
  <c r="AJ146" i="2"/>
  <c r="AA144" i="2"/>
  <c r="AA142" i="2"/>
  <c r="AH144" i="2"/>
  <c r="AI144" i="2" s="1"/>
  <c r="AI140" i="2"/>
  <c r="Q139" i="2"/>
  <c r="P139" i="2"/>
  <c r="AK148" i="2"/>
  <c r="R141" i="2"/>
  <c r="AS141" i="2"/>
  <c r="AM147" i="2"/>
  <c r="AO147" i="2"/>
  <c r="P148" i="2"/>
  <c r="Q148" i="2"/>
  <c r="K144" i="2"/>
  <c r="L144" i="2"/>
  <c r="M144" i="2" s="1"/>
  <c r="Q149" i="2"/>
  <c r="P149" i="2"/>
  <c r="AK145" i="2"/>
  <c r="AJ142" i="2"/>
  <c r="V142" i="2"/>
  <c r="AI148" i="2"/>
  <c r="AM141" i="2"/>
  <c r="AG146" i="2"/>
  <c r="AH146" i="2"/>
  <c r="AK144" i="2"/>
  <c r="AI139" i="2"/>
  <c r="AK140" i="2"/>
  <c r="AI142" i="2"/>
  <c r="AW147" i="2"/>
  <c r="AQ147" i="2"/>
  <c r="AQ141" i="2"/>
  <c r="AX143" i="2"/>
  <c r="AQ143" i="2"/>
  <c r="AW141" i="2"/>
  <c r="BE141" i="2" l="1"/>
  <c r="BC141" i="2"/>
  <c r="AR143" i="2"/>
  <c r="AZ143" i="2"/>
  <c r="AR141" i="2"/>
  <c r="AR147" i="2"/>
  <c r="BE147" i="2"/>
  <c r="BC147" i="2"/>
  <c r="R148" i="2"/>
  <c r="AS148" i="2"/>
  <c r="AL148" i="2"/>
  <c r="AT141" i="2"/>
  <c r="R139" i="2"/>
  <c r="AS139" i="2"/>
  <c r="AN139" i="2"/>
  <c r="AL139" i="2"/>
  <c r="AM139" i="2" s="1"/>
  <c r="R145" i="2"/>
  <c r="AS145" i="2"/>
  <c r="AL145" i="2"/>
  <c r="AM145" i="2" s="1"/>
  <c r="AN145" i="2"/>
  <c r="P144" i="2"/>
  <c r="Q144" i="2"/>
  <c r="AK142" i="2"/>
  <c r="R149" i="2"/>
  <c r="AL149" i="2"/>
  <c r="AS149" i="2"/>
  <c r="AN149" i="2"/>
  <c r="AK146" i="2"/>
  <c r="R140" i="2"/>
  <c r="AS140" i="2"/>
  <c r="AL140" i="2"/>
  <c r="AT147" i="2"/>
  <c r="Q146" i="2"/>
  <c r="P146" i="2"/>
  <c r="AY143" i="2"/>
  <c r="AI146" i="2"/>
  <c r="P142" i="2"/>
  <c r="Q142" i="2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137" i="6"/>
  <c r="S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136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135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134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133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132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131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130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128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127" i="6"/>
  <c r="BB137" i="2"/>
  <c r="BA137" i="2"/>
  <c r="AV137" i="2"/>
  <c r="AF137" i="2"/>
  <c r="AE137" i="2"/>
  <c r="AD137" i="2"/>
  <c r="Z137" i="2"/>
  <c r="Y137" i="2"/>
  <c r="X137" i="2"/>
  <c r="U137" i="2"/>
  <c r="T137" i="2"/>
  <c r="S137" i="2"/>
  <c r="G137" i="2"/>
  <c r="O137" i="2" s="1"/>
  <c r="F137" i="2"/>
  <c r="E137" i="2"/>
  <c r="C137" i="2"/>
  <c r="J137" i="2" s="1"/>
  <c r="B137" i="2"/>
  <c r="A137" i="2"/>
  <c r="BB136" i="2"/>
  <c r="BA136" i="2"/>
  <c r="AV136" i="2"/>
  <c r="AF136" i="2"/>
  <c r="AE136" i="2"/>
  <c r="AD136" i="2"/>
  <c r="Z136" i="2"/>
  <c r="Y136" i="2"/>
  <c r="X136" i="2"/>
  <c r="U136" i="2"/>
  <c r="S136" i="2"/>
  <c r="T136" i="2" s="1"/>
  <c r="G136" i="2"/>
  <c r="O136" i="2" s="1"/>
  <c r="E136" i="2"/>
  <c r="F136" i="2" s="1"/>
  <c r="C136" i="2"/>
  <c r="J136" i="2" s="1"/>
  <c r="B136" i="2"/>
  <c r="A136" i="2"/>
  <c r="BB135" i="2"/>
  <c r="BA135" i="2"/>
  <c r="AV135" i="2"/>
  <c r="AE135" i="2"/>
  <c r="AD135" i="2"/>
  <c r="AF135" i="2" s="1"/>
  <c r="Y135" i="2"/>
  <c r="X135" i="2"/>
  <c r="Z135" i="2" s="1"/>
  <c r="T135" i="2"/>
  <c r="S135" i="2"/>
  <c r="U135" i="2" s="1"/>
  <c r="K135" i="2"/>
  <c r="J135" i="2"/>
  <c r="L135" i="2" s="1"/>
  <c r="M135" i="2" s="1"/>
  <c r="F135" i="2"/>
  <c r="E135" i="2"/>
  <c r="G135" i="2" s="1"/>
  <c r="C135" i="2"/>
  <c r="D135" i="2" s="1"/>
  <c r="B135" i="2"/>
  <c r="A135" i="2"/>
  <c r="BB134" i="2"/>
  <c r="BA134" i="2"/>
  <c r="AV134" i="2"/>
  <c r="AF134" i="2"/>
  <c r="AE134" i="2"/>
  <c r="AD134" i="2"/>
  <c r="Z134" i="2"/>
  <c r="Y134" i="2"/>
  <c r="X134" i="2"/>
  <c r="U134" i="2"/>
  <c r="AJ134" i="2" s="1"/>
  <c r="T134" i="2"/>
  <c r="S134" i="2"/>
  <c r="G134" i="2"/>
  <c r="F134" i="2"/>
  <c r="E134" i="2"/>
  <c r="C134" i="2"/>
  <c r="B134" i="2"/>
  <c r="A134" i="2"/>
  <c r="BB133" i="2"/>
  <c r="BA133" i="2"/>
  <c r="AV133" i="2"/>
  <c r="AG133" i="2"/>
  <c r="AF133" i="2"/>
  <c r="AD133" i="2"/>
  <c r="AE133" i="2" s="1"/>
  <c r="AA133" i="2"/>
  <c r="Z133" i="2"/>
  <c r="X133" i="2"/>
  <c r="Y133" i="2" s="1"/>
  <c r="V133" i="2"/>
  <c r="AK133" i="2" s="1"/>
  <c r="U133" i="2"/>
  <c r="AJ133" i="2" s="1"/>
  <c r="S133" i="2"/>
  <c r="T133" i="2" s="1"/>
  <c r="H133" i="2"/>
  <c r="G133" i="2"/>
  <c r="O133" i="2" s="1"/>
  <c r="E133" i="2"/>
  <c r="F133" i="2" s="1"/>
  <c r="D133" i="2"/>
  <c r="C133" i="2"/>
  <c r="J133" i="2" s="1"/>
  <c r="B133" i="2"/>
  <c r="A133" i="2"/>
  <c r="BB132" i="2"/>
  <c r="BA132" i="2"/>
  <c r="AV132" i="2"/>
  <c r="AD132" i="2"/>
  <c r="X132" i="2"/>
  <c r="S132" i="2"/>
  <c r="J132" i="2"/>
  <c r="E132" i="2"/>
  <c r="D132" i="2"/>
  <c r="C132" i="2"/>
  <c r="B132" i="2"/>
  <c r="A132" i="2"/>
  <c r="BB131" i="2"/>
  <c r="BA131" i="2"/>
  <c r="AV131" i="2"/>
  <c r="AE131" i="2"/>
  <c r="AD131" i="2"/>
  <c r="AF131" i="2" s="1"/>
  <c r="Y131" i="2"/>
  <c r="X131" i="2"/>
  <c r="Z131" i="2" s="1"/>
  <c r="T131" i="2"/>
  <c r="S131" i="2"/>
  <c r="U131" i="2" s="1"/>
  <c r="K131" i="2"/>
  <c r="F131" i="2"/>
  <c r="E131" i="2"/>
  <c r="G131" i="2" s="1"/>
  <c r="C131" i="2"/>
  <c r="J131" i="2" s="1"/>
  <c r="L131" i="2" s="1"/>
  <c r="M131" i="2" s="1"/>
  <c r="B131" i="2"/>
  <c r="A131" i="2"/>
  <c r="BB130" i="2"/>
  <c r="BA130" i="2"/>
  <c r="AV130" i="2"/>
  <c r="AF130" i="2"/>
  <c r="AD130" i="2"/>
  <c r="AE130" i="2" s="1"/>
  <c r="Z130" i="2"/>
  <c r="X130" i="2"/>
  <c r="Y130" i="2" s="1"/>
  <c r="S130" i="2"/>
  <c r="T130" i="2" s="1"/>
  <c r="G130" i="2"/>
  <c r="E130" i="2"/>
  <c r="F130" i="2" s="1"/>
  <c r="C130" i="2"/>
  <c r="B130" i="2"/>
  <c r="A130" i="2"/>
  <c r="BB129" i="2"/>
  <c r="BA129" i="2"/>
  <c r="AV129" i="2"/>
  <c r="AD129" i="2"/>
  <c r="AF129" i="2" s="1"/>
  <c r="AG129" i="2" s="1"/>
  <c r="AA129" i="2"/>
  <c r="X129" i="2"/>
  <c r="Z129" i="2" s="1"/>
  <c r="S129" i="2"/>
  <c r="U129" i="2" s="1"/>
  <c r="U130" i="2" s="1"/>
  <c r="J129" i="2"/>
  <c r="L129" i="2" s="1"/>
  <c r="M129" i="2" s="1"/>
  <c r="H129" i="2"/>
  <c r="E129" i="2"/>
  <c r="G129" i="2" s="1"/>
  <c r="O129" i="2" s="1"/>
  <c r="D129" i="2"/>
  <c r="C129" i="2"/>
  <c r="B129" i="2"/>
  <c r="A129" i="2"/>
  <c r="BB128" i="2"/>
  <c r="BA128" i="2"/>
  <c r="AV128" i="2"/>
  <c r="AD128" i="2"/>
  <c r="X128" i="2"/>
  <c r="S128" i="2"/>
  <c r="J128" i="2"/>
  <c r="E128" i="2"/>
  <c r="C128" i="2"/>
  <c r="D128" i="2" s="1"/>
  <c r="B128" i="2"/>
  <c r="A128" i="2"/>
  <c r="BB127" i="2"/>
  <c r="BA127" i="2"/>
  <c r="AV127" i="2"/>
  <c r="AG127" i="2"/>
  <c r="AF127" i="2"/>
  <c r="AD127" i="2"/>
  <c r="AE127" i="2" s="1"/>
  <c r="AA127" i="2"/>
  <c r="Z127" i="2"/>
  <c r="X127" i="2"/>
  <c r="Y127" i="2" s="1"/>
  <c r="S127" i="2"/>
  <c r="U127" i="2" s="1"/>
  <c r="J127" i="2"/>
  <c r="L127" i="2" s="1"/>
  <c r="M127" i="2" s="1"/>
  <c r="E127" i="2"/>
  <c r="G127" i="2" s="1"/>
  <c r="D127" i="2"/>
  <c r="C127" i="2"/>
  <c r="B127" i="2"/>
  <c r="A127" i="2"/>
  <c r="AX141" i="2"/>
  <c r="AW139" i="2"/>
  <c r="AW145" i="2"/>
  <c r="AW149" i="2"/>
  <c r="AP139" i="2"/>
  <c r="AP149" i="2"/>
  <c r="AP145" i="2"/>
  <c r="AX147" i="2"/>
  <c r="AZ147" i="2" l="1"/>
  <c r="BE149" i="2"/>
  <c r="BC149" i="2"/>
  <c r="BE145" i="2"/>
  <c r="BC145" i="2"/>
  <c r="BE139" i="2"/>
  <c r="BC139" i="2"/>
  <c r="AZ141" i="2"/>
  <c r="AO145" i="2"/>
  <c r="BG143" i="2"/>
  <c r="BF143" i="2"/>
  <c r="BD143" i="2"/>
  <c r="AN140" i="2"/>
  <c r="AM140" i="2"/>
  <c r="AO149" i="2"/>
  <c r="AO139" i="2"/>
  <c r="AM148" i="2"/>
  <c r="AN148" i="2"/>
  <c r="AY147" i="2"/>
  <c r="R142" i="2"/>
  <c r="AL142" i="2"/>
  <c r="AS142" i="2"/>
  <c r="AT140" i="2"/>
  <c r="AT149" i="2"/>
  <c r="R144" i="2"/>
  <c r="AL144" i="2"/>
  <c r="AS144" i="2"/>
  <c r="AT145" i="2"/>
  <c r="AT139" i="2"/>
  <c r="AT148" i="2"/>
  <c r="AY141" i="2"/>
  <c r="R146" i="2"/>
  <c r="AS146" i="2"/>
  <c r="AL146" i="2"/>
  <c r="AM149" i="2"/>
  <c r="P136" i="2"/>
  <c r="Q136" i="2"/>
  <c r="R136" i="2" s="1"/>
  <c r="Q137" i="2"/>
  <c r="R137" i="2" s="1"/>
  <c r="P137" i="2"/>
  <c r="K136" i="2"/>
  <c r="L136" i="2"/>
  <c r="M136" i="2" s="1"/>
  <c r="L137" i="2"/>
  <c r="M137" i="2" s="1"/>
  <c r="K137" i="2"/>
  <c r="AS137" i="2"/>
  <c r="AJ136" i="2"/>
  <c r="D136" i="2"/>
  <c r="H136" i="2"/>
  <c r="V136" i="2"/>
  <c r="AA136" i="2"/>
  <c r="AG136" i="2"/>
  <c r="AJ137" i="2"/>
  <c r="AN137" i="2"/>
  <c r="AH136" i="2"/>
  <c r="D137" i="2"/>
  <c r="H137" i="2"/>
  <c r="V137" i="2"/>
  <c r="AA137" i="2"/>
  <c r="AG137" i="2"/>
  <c r="AH137" i="2"/>
  <c r="AI137" i="2" s="1"/>
  <c r="H127" i="2"/>
  <c r="O127" i="2"/>
  <c r="V127" i="2"/>
  <c r="AJ127" i="2"/>
  <c r="V130" i="2"/>
  <c r="AJ130" i="2"/>
  <c r="AH127" i="2"/>
  <c r="AI127" i="2" s="1"/>
  <c r="V129" i="2"/>
  <c r="L132" i="2"/>
  <c r="M132" i="2" s="1"/>
  <c r="K132" i="2"/>
  <c r="AF132" i="2"/>
  <c r="AE132" i="2"/>
  <c r="Q133" i="2"/>
  <c r="P133" i="2"/>
  <c r="AA135" i="2"/>
  <c r="F127" i="2"/>
  <c r="K127" i="2"/>
  <c r="T127" i="2"/>
  <c r="U128" i="2"/>
  <c r="T128" i="2"/>
  <c r="O130" i="2"/>
  <c r="H130" i="2"/>
  <c r="AH130" i="2"/>
  <c r="AG130" i="2"/>
  <c r="O131" i="2"/>
  <c r="H131" i="2"/>
  <c r="V131" i="2"/>
  <c r="AJ131" i="2"/>
  <c r="AH131" i="2"/>
  <c r="AG131" i="2"/>
  <c r="L133" i="2"/>
  <c r="M133" i="2" s="1"/>
  <c r="K133" i="2"/>
  <c r="AH134" i="2"/>
  <c r="AI134" i="2" s="1"/>
  <c r="AG134" i="2"/>
  <c r="O135" i="2"/>
  <c r="H135" i="2"/>
  <c r="G128" i="2"/>
  <c r="F128" i="2"/>
  <c r="Z128" i="2"/>
  <c r="Y128" i="2"/>
  <c r="Q129" i="2"/>
  <c r="P129" i="2"/>
  <c r="U132" i="2"/>
  <c r="T132" i="2"/>
  <c r="O134" i="2"/>
  <c r="H134" i="2"/>
  <c r="AA134" i="2"/>
  <c r="V135" i="2"/>
  <c r="AJ135" i="2"/>
  <c r="AH135" i="2"/>
  <c r="AI135" i="2" s="1"/>
  <c r="AG135" i="2"/>
  <c r="L128" i="2"/>
  <c r="M128" i="2" s="1"/>
  <c r="K128" i="2"/>
  <c r="AF128" i="2"/>
  <c r="AE128" i="2"/>
  <c r="AJ129" i="2"/>
  <c r="AH129" i="2"/>
  <c r="AI129" i="2" s="1"/>
  <c r="J130" i="2"/>
  <c r="D130" i="2"/>
  <c r="AA130" i="2"/>
  <c r="AA131" i="2"/>
  <c r="G132" i="2"/>
  <c r="F132" i="2"/>
  <c r="Z132" i="2"/>
  <c r="Y132" i="2"/>
  <c r="AN133" i="2"/>
  <c r="J134" i="2"/>
  <c r="D134" i="2"/>
  <c r="V134" i="2"/>
  <c r="AH133" i="2"/>
  <c r="AI133" i="2" s="1"/>
  <c r="AL133" i="2"/>
  <c r="F129" i="2"/>
  <c r="K129" i="2"/>
  <c r="T129" i="2"/>
  <c r="Y129" i="2"/>
  <c r="AE129" i="2"/>
  <c r="D131" i="2"/>
  <c r="U125" i="6"/>
  <c r="S125" i="6"/>
  <c r="B125" i="6"/>
  <c r="A125" i="6"/>
  <c r="U124" i="6"/>
  <c r="S124" i="6"/>
  <c r="E124" i="6"/>
  <c r="B124" i="6"/>
  <c r="A124" i="6"/>
  <c r="U123" i="6"/>
  <c r="S123" i="6"/>
  <c r="E123" i="6"/>
  <c r="B123" i="6"/>
  <c r="A123" i="6"/>
  <c r="U122" i="6"/>
  <c r="S122" i="6"/>
  <c r="B122" i="6"/>
  <c r="A122" i="6"/>
  <c r="U121" i="6"/>
  <c r="S121" i="6"/>
  <c r="B121" i="6"/>
  <c r="A121" i="6"/>
  <c r="U120" i="6"/>
  <c r="S120" i="6"/>
  <c r="B120" i="6"/>
  <c r="A120" i="6"/>
  <c r="U119" i="6"/>
  <c r="S119" i="6"/>
  <c r="B119" i="6"/>
  <c r="A119" i="6"/>
  <c r="U118" i="6"/>
  <c r="S118" i="6"/>
  <c r="B118" i="6"/>
  <c r="A118" i="6"/>
  <c r="U117" i="6"/>
  <c r="S117" i="6"/>
  <c r="F117" i="6"/>
  <c r="B117" i="6"/>
  <c r="A117" i="6"/>
  <c r="BB125" i="2"/>
  <c r="BA125" i="2"/>
  <c r="AV125" i="2"/>
  <c r="AD125" i="2"/>
  <c r="AF125" i="2" s="1"/>
  <c r="X125" i="2"/>
  <c r="Z125" i="2" s="1"/>
  <c r="S125" i="2"/>
  <c r="U125" i="2" s="1"/>
  <c r="J125" i="2"/>
  <c r="L125" i="2" s="1"/>
  <c r="M125" i="2" s="1"/>
  <c r="E125" i="2"/>
  <c r="G125" i="2" s="1"/>
  <c r="C125" i="2"/>
  <c r="D125" i="2" s="1"/>
  <c r="B125" i="2"/>
  <c r="A125" i="2"/>
  <c r="BB124" i="2"/>
  <c r="BA124" i="2"/>
  <c r="AV124" i="2"/>
  <c r="AE124" i="2"/>
  <c r="AD124" i="2"/>
  <c r="AF124" i="2" s="1"/>
  <c r="Y124" i="2"/>
  <c r="F124" i="6" s="1"/>
  <c r="X124" i="2"/>
  <c r="Z124" i="2" s="1"/>
  <c r="T124" i="2"/>
  <c r="S124" i="2"/>
  <c r="F124" i="2"/>
  <c r="E124" i="2"/>
  <c r="G124" i="2" s="1"/>
  <c r="C124" i="2"/>
  <c r="B124" i="2"/>
  <c r="A124" i="2"/>
  <c r="BB123" i="2"/>
  <c r="BA123" i="2"/>
  <c r="AV123" i="2"/>
  <c r="AF123" i="2"/>
  <c r="AD123" i="2"/>
  <c r="AE123" i="2" s="1"/>
  <c r="Z123" i="2"/>
  <c r="X123" i="2"/>
  <c r="Y123" i="2" s="1"/>
  <c r="F123" i="6" s="1"/>
  <c r="U123" i="2"/>
  <c r="AJ123" i="2" s="1"/>
  <c r="K123" i="6" s="1"/>
  <c r="AA123" i="6" s="1"/>
  <c r="S123" i="2"/>
  <c r="T123" i="2" s="1"/>
  <c r="G123" i="2"/>
  <c r="O123" i="2" s="1"/>
  <c r="C123" i="6" s="1"/>
  <c r="E123" i="2"/>
  <c r="F123" i="2" s="1"/>
  <c r="C123" i="2"/>
  <c r="J123" i="2" s="1"/>
  <c r="B123" i="2"/>
  <c r="A123" i="2"/>
  <c r="BB122" i="2"/>
  <c r="BA122" i="2"/>
  <c r="AV122" i="2"/>
  <c r="AD122" i="2"/>
  <c r="AF122" i="2" s="1"/>
  <c r="X122" i="2"/>
  <c r="Z122" i="2" s="1"/>
  <c r="S122" i="2"/>
  <c r="U122" i="2" s="1"/>
  <c r="J122" i="2"/>
  <c r="L122" i="2" s="1"/>
  <c r="M122" i="2" s="1"/>
  <c r="E122" i="2"/>
  <c r="G122" i="2" s="1"/>
  <c r="C122" i="2"/>
  <c r="D122" i="2" s="1"/>
  <c r="B122" i="2"/>
  <c r="A122" i="2"/>
  <c r="BB121" i="2"/>
  <c r="BA121" i="2"/>
  <c r="AV121" i="2"/>
  <c r="AD121" i="2"/>
  <c r="AF121" i="2" s="1"/>
  <c r="X121" i="2"/>
  <c r="S121" i="2"/>
  <c r="U121" i="2" s="1"/>
  <c r="J121" i="2"/>
  <c r="L121" i="2" s="1"/>
  <c r="M121" i="2" s="1"/>
  <c r="E121" i="2"/>
  <c r="G121" i="2" s="1"/>
  <c r="C121" i="2"/>
  <c r="D121" i="2" s="1"/>
  <c r="B121" i="2"/>
  <c r="A121" i="2"/>
  <c r="BB120" i="2"/>
  <c r="BA120" i="2"/>
  <c r="AV120" i="2"/>
  <c r="AD120" i="2"/>
  <c r="AF120" i="2" s="1"/>
  <c r="X120" i="2"/>
  <c r="S120" i="2"/>
  <c r="T120" i="2" s="1"/>
  <c r="J120" i="2"/>
  <c r="K120" i="2" s="1"/>
  <c r="E120" i="2"/>
  <c r="F120" i="2" s="1"/>
  <c r="C120" i="2"/>
  <c r="D120" i="2" s="1"/>
  <c r="B120" i="2"/>
  <c r="A120" i="2"/>
  <c r="BB119" i="2"/>
  <c r="BA119" i="2"/>
  <c r="AV119" i="2"/>
  <c r="AD119" i="2"/>
  <c r="AF119" i="2" s="1"/>
  <c r="X119" i="2"/>
  <c r="Z119" i="2" s="1"/>
  <c r="S119" i="2"/>
  <c r="U119" i="2" s="1"/>
  <c r="E119" i="2"/>
  <c r="G119" i="2" s="1"/>
  <c r="C119" i="2"/>
  <c r="B119" i="2"/>
  <c r="A119" i="2"/>
  <c r="BB118" i="2"/>
  <c r="BA118" i="2"/>
  <c r="AV118" i="2"/>
  <c r="AD118" i="2"/>
  <c r="X118" i="2"/>
  <c r="S118" i="2"/>
  <c r="E118" i="2"/>
  <c r="G118" i="2" s="1"/>
  <c r="C118" i="2"/>
  <c r="D118" i="2" s="1"/>
  <c r="B118" i="2"/>
  <c r="A118" i="2"/>
  <c r="BB117" i="2"/>
  <c r="BA117" i="2"/>
  <c r="AV117" i="2"/>
  <c r="AD117" i="2"/>
  <c r="AE117" i="2" s="1"/>
  <c r="Z117" i="2"/>
  <c r="AA117" i="2" s="1"/>
  <c r="Y117" i="2"/>
  <c r="X117" i="2"/>
  <c r="E117" i="6" s="1"/>
  <c r="U117" i="2"/>
  <c r="S117" i="2"/>
  <c r="T117" i="2" s="1"/>
  <c r="E117" i="2"/>
  <c r="G117" i="2" s="1"/>
  <c r="H117" i="2" s="1"/>
  <c r="C117" i="2"/>
  <c r="J117" i="2" s="1"/>
  <c r="B117" i="2"/>
  <c r="A117" i="2"/>
  <c r="AW137" i="2"/>
  <c r="AP137" i="2"/>
  <c r="AP133" i="2"/>
  <c r="AQ149" i="2"/>
  <c r="AQ145" i="2"/>
  <c r="AW140" i="2"/>
  <c r="AP140" i="2"/>
  <c r="AX139" i="2"/>
  <c r="AW148" i="2"/>
  <c r="AP148" i="2"/>
  <c r="AQ139" i="2"/>
  <c r="AX149" i="2"/>
  <c r="AX145" i="2"/>
  <c r="O148" i="6" l="1"/>
  <c r="O140" i="6"/>
  <c r="AZ145" i="2"/>
  <c r="AZ149" i="2"/>
  <c r="AR139" i="2"/>
  <c r="BE148" i="2"/>
  <c r="BC148" i="2"/>
  <c r="Q148" i="6" s="1"/>
  <c r="AZ139" i="2"/>
  <c r="BE140" i="2"/>
  <c r="BC140" i="2"/>
  <c r="Q140" i="6" s="1"/>
  <c r="AR145" i="2"/>
  <c r="AR149" i="2"/>
  <c r="AN146" i="2"/>
  <c r="AM146" i="2"/>
  <c r="AM144" i="2"/>
  <c r="AN144" i="2"/>
  <c r="AT142" i="2"/>
  <c r="AO148" i="2"/>
  <c r="AT146" i="2"/>
  <c r="AM142" i="2"/>
  <c r="AN142" i="2"/>
  <c r="AO140" i="2"/>
  <c r="AY139" i="2"/>
  <c r="AY145" i="2"/>
  <c r="AY149" i="2"/>
  <c r="BG141" i="2"/>
  <c r="BF141" i="2"/>
  <c r="BD141" i="2"/>
  <c r="AT144" i="2"/>
  <c r="BG147" i="2"/>
  <c r="BF147" i="2"/>
  <c r="BD147" i="2"/>
  <c r="BE137" i="2"/>
  <c r="BC137" i="2"/>
  <c r="AO137" i="2"/>
  <c r="AK136" i="2"/>
  <c r="AT137" i="2"/>
  <c r="AL137" i="2"/>
  <c r="AM137" i="2" s="1"/>
  <c r="AS136" i="2"/>
  <c r="AI136" i="2"/>
  <c r="AL136" i="2"/>
  <c r="AK137" i="2"/>
  <c r="AA132" i="2"/>
  <c r="K130" i="2"/>
  <c r="L130" i="2"/>
  <c r="M130" i="2" s="1"/>
  <c r="AS129" i="2"/>
  <c r="R129" i="2"/>
  <c r="H128" i="2"/>
  <c r="O128" i="2"/>
  <c r="K134" i="2"/>
  <c r="L134" i="2"/>
  <c r="M134" i="2" s="1"/>
  <c r="AK131" i="2"/>
  <c r="P130" i="2"/>
  <c r="Q130" i="2"/>
  <c r="P134" i="2"/>
  <c r="Q134" i="2"/>
  <c r="Q131" i="2"/>
  <c r="P131" i="2"/>
  <c r="AG132" i="2"/>
  <c r="AH132" i="2"/>
  <c r="AI132" i="2" s="1"/>
  <c r="AK130" i="2"/>
  <c r="AK134" i="2"/>
  <c r="AO133" i="2"/>
  <c r="H132" i="2"/>
  <c r="O132" i="2"/>
  <c r="AL129" i="2"/>
  <c r="AM129" i="2" s="1"/>
  <c r="V132" i="2"/>
  <c r="AJ132" i="2"/>
  <c r="AA128" i="2"/>
  <c r="Q135" i="2"/>
  <c r="P135" i="2"/>
  <c r="AI131" i="2"/>
  <c r="AI130" i="2"/>
  <c r="AS133" i="2"/>
  <c r="R133" i="2"/>
  <c r="AM133" i="2" s="1"/>
  <c r="Q127" i="2"/>
  <c r="P127" i="2"/>
  <c r="AN129" i="2"/>
  <c r="AG128" i="2"/>
  <c r="AH128" i="2"/>
  <c r="AI128" i="2" s="1"/>
  <c r="AK135" i="2"/>
  <c r="V128" i="2"/>
  <c r="AJ128" i="2"/>
  <c r="AK129" i="2"/>
  <c r="AK127" i="2"/>
  <c r="F117" i="2"/>
  <c r="AF117" i="2"/>
  <c r="D119" i="2"/>
  <c r="J119" i="2"/>
  <c r="L119" i="2" s="1"/>
  <c r="M119" i="2" s="1"/>
  <c r="AE120" i="2"/>
  <c r="Z118" i="2"/>
  <c r="AA118" i="2" s="1"/>
  <c r="E118" i="6"/>
  <c r="AE118" i="2"/>
  <c r="AF118" i="2"/>
  <c r="AG118" i="2" s="1"/>
  <c r="Y120" i="2"/>
  <c r="F120" i="6" s="1"/>
  <c r="E120" i="6"/>
  <c r="Z121" i="2"/>
  <c r="AA121" i="2" s="1"/>
  <c r="E121" i="6"/>
  <c r="D124" i="2"/>
  <c r="J124" i="2"/>
  <c r="E119" i="6"/>
  <c r="E122" i="6"/>
  <c r="E125" i="6"/>
  <c r="K117" i="2"/>
  <c r="L117" i="2"/>
  <c r="M117" i="2" s="1"/>
  <c r="AH119" i="2"/>
  <c r="AG119" i="2"/>
  <c r="V122" i="2"/>
  <c r="AJ122" i="2"/>
  <c r="K122" i="6" s="1"/>
  <c r="AA122" i="6" s="1"/>
  <c r="V121" i="2"/>
  <c r="AJ121" i="2"/>
  <c r="K121" i="6" s="1"/>
  <c r="AA121" i="6" s="1"/>
  <c r="AA122" i="2"/>
  <c r="AA124" i="2"/>
  <c r="D117" i="2"/>
  <c r="V117" i="2"/>
  <c r="AG117" i="2"/>
  <c r="U118" i="2"/>
  <c r="AJ119" i="2"/>
  <c r="K119" i="6" s="1"/>
  <c r="AA119" i="6" s="1"/>
  <c r="V119" i="2"/>
  <c r="H122" i="2"/>
  <c r="O122" i="2"/>
  <c r="C122" i="6" s="1"/>
  <c r="AG122" i="2"/>
  <c r="AH122" i="2"/>
  <c r="Q123" i="2"/>
  <c r="R123" i="2" s="1"/>
  <c r="P123" i="2"/>
  <c r="D123" i="6" s="1"/>
  <c r="AA125" i="2"/>
  <c r="O117" i="2"/>
  <c r="C117" i="6" s="1"/>
  <c r="AH117" i="2"/>
  <c r="I117" i="6" s="1"/>
  <c r="AA119" i="2"/>
  <c r="AG120" i="2"/>
  <c r="O121" i="2"/>
  <c r="C121" i="6" s="1"/>
  <c r="H121" i="2"/>
  <c r="AG121" i="2"/>
  <c r="O124" i="2"/>
  <c r="C124" i="6" s="1"/>
  <c r="H124" i="2"/>
  <c r="U124" i="2"/>
  <c r="AH124" i="2"/>
  <c r="I124" i="6" s="1"/>
  <c r="AG124" i="2"/>
  <c r="O125" i="2"/>
  <c r="C125" i="6" s="1"/>
  <c r="H125" i="2"/>
  <c r="AH125" i="2"/>
  <c r="AG125" i="2"/>
  <c r="O119" i="2"/>
  <c r="C119" i="6" s="1"/>
  <c r="H119" i="2"/>
  <c r="L123" i="2"/>
  <c r="M123" i="2" s="1"/>
  <c r="K123" i="2"/>
  <c r="H118" i="2"/>
  <c r="O118" i="2"/>
  <c r="C118" i="6" s="1"/>
  <c r="V125" i="2"/>
  <c r="AJ125" i="2"/>
  <c r="K125" i="6" s="1"/>
  <c r="AA125" i="6" s="1"/>
  <c r="AJ117" i="2"/>
  <c r="K117" i="6" s="1"/>
  <c r="AA117" i="6" s="1"/>
  <c r="J118" i="2"/>
  <c r="AH118" i="2"/>
  <c r="G120" i="2"/>
  <c r="L120" i="2"/>
  <c r="M120" i="2" s="1"/>
  <c r="U120" i="2"/>
  <c r="Z120" i="2"/>
  <c r="AH120" i="2" s="1"/>
  <c r="I120" i="6" s="1"/>
  <c r="F121" i="2"/>
  <c r="K121" i="2"/>
  <c r="T121" i="2"/>
  <c r="Y121" i="2"/>
  <c r="F121" i="6" s="1"/>
  <c r="AE121" i="2"/>
  <c r="D123" i="2"/>
  <c r="H123" i="2"/>
  <c r="V123" i="2"/>
  <c r="AA123" i="2"/>
  <c r="AG123" i="2"/>
  <c r="F125" i="2"/>
  <c r="K125" i="2"/>
  <c r="T125" i="2"/>
  <c r="Y125" i="2"/>
  <c r="F125" i="6" s="1"/>
  <c r="AE125" i="2"/>
  <c r="F118" i="2"/>
  <c r="T118" i="2"/>
  <c r="Y118" i="2"/>
  <c r="F118" i="6" s="1"/>
  <c r="F122" i="2"/>
  <c r="K122" i="2"/>
  <c r="T122" i="2"/>
  <c r="Y122" i="2"/>
  <c r="F122" i="6" s="1"/>
  <c r="AE122" i="2"/>
  <c r="AH123" i="2"/>
  <c r="I123" i="6" s="1"/>
  <c r="F119" i="2"/>
  <c r="T119" i="2"/>
  <c r="Y119" i="2"/>
  <c r="F119" i="6" s="1"/>
  <c r="AE119" i="2"/>
  <c r="AX137" i="2"/>
  <c r="AQ137" i="2"/>
  <c r="AW129" i="2"/>
  <c r="AW133" i="2"/>
  <c r="AP129" i="2"/>
  <c r="AQ133" i="2"/>
  <c r="AX140" i="2"/>
  <c r="AQ140" i="2"/>
  <c r="AW144" i="2"/>
  <c r="AP144" i="2"/>
  <c r="AW146" i="2"/>
  <c r="AP146" i="2"/>
  <c r="AW142" i="2"/>
  <c r="AP142" i="2"/>
  <c r="AX148" i="2"/>
  <c r="AQ148" i="2"/>
  <c r="O142" i="6" l="1"/>
  <c r="O146" i="6"/>
  <c r="O144" i="6"/>
  <c r="AR148" i="2"/>
  <c r="AZ148" i="2"/>
  <c r="BE142" i="2"/>
  <c r="BC142" i="2"/>
  <c r="Q142" i="6" s="1"/>
  <c r="BE146" i="2"/>
  <c r="BC146" i="2"/>
  <c r="Q146" i="6" s="1"/>
  <c r="BE144" i="2"/>
  <c r="BC144" i="2"/>
  <c r="Q144" i="6" s="1"/>
  <c r="AR140" i="2"/>
  <c r="AZ140" i="2"/>
  <c r="BG149" i="2"/>
  <c r="BF149" i="2"/>
  <c r="BD149" i="2"/>
  <c r="AO142" i="2"/>
  <c r="AO146" i="2"/>
  <c r="BG145" i="2"/>
  <c r="BF145" i="2"/>
  <c r="BD145" i="2"/>
  <c r="AO144" i="2"/>
  <c r="AY144" i="2" s="1"/>
  <c r="P144" i="6" s="1"/>
  <c r="BG139" i="2"/>
  <c r="BF139" i="2"/>
  <c r="BD139" i="2"/>
  <c r="AY140" i="2"/>
  <c r="P140" i="6" s="1"/>
  <c r="AY148" i="2"/>
  <c r="P148" i="6" s="1"/>
  <c r="AR137" i="2"/>
  <c r="AZ137" i="2"/>
  <c r="AT136" i="2"/>
  <c r="AY137" i="2"/>
  <c r="AM136" i="2"/>
  <c r="AN136" i="2"/>
  <c r="AR133" i="2"/>
  <c r="BE133" i="2"/>
  <c r="AY133" i="2"/>
  <c r="BC133" i="2"/>
  <c r="BE129" i="2"/>
  <c r="BC129" i="2"/>
  <c r="R135" i="2"/>
  <c r="AN135" i="2"/>
  <c r="AL135" i="2"/>
  <c r="AS135" i="2"/>
  <c r="R127" i="2"/>
  <c r="AL127" i="2"/>
  <c r="AN127" i="2"/>
  <c r="AS127" i="2"/>
  <c r="AO129" i="2"/>
  <c r="AT133" i="2"/>
  <c r="R130" i="2"/>
  <c r="AL130" i="2"/>
  <c r="AS130" i="2"/>
  <c r="AK132" i="2"/>
  <c r="R134" i="2"/>
  <c r="AS134" i="2"/>
  <c r="AL134" i="2"/>
  <c r="Q128" i="2"/>
  <c r="P128" i="2"/>
  <c r="AK128" i="2"/>
  <c r="Q132" i="2"/>
  <c r="P132" i="2"/>
  <c r="R131" i="2"/>
  <c r="AL131" i="2"/>
  <c r="AM131" i="2" s="1"/>
  <c r="AS131" i="2"/>
  <c r="AN131" i="2"/>
  <c r="AT129" i="2"/>
  <c r="AI118" i="2"/>
  <c r="J118" i="6" s="1"/>
  <c r="AB118" i="6" s="1"/>
  <c r="I118" i="6"/>
  <c r="AI125" i="2"/>
  <c r="J125" i="6" s="1"/>
  <c r="AB125" i="6" s="1"/>
  <c r="I125" i="6"/>
  <c r="AH121" i="2"/>
  <c r="AI122" i="2"/>
  <c r="J122" i="6" s="1"/>
  <c r="AB122" i="6" s="1"/>
  <c r="I122" i="6"/>
  <c r="L124" i="2"/>
  <c r="M124" i="2" s="1"/>
  <c r="K124" i="2"/>
  <c r="K119" i="2"/>
  <c r="AI119" i="2"/>
  <c r="J119" i="6" s="1"/>
  <c r="AB119" i="6" s="1"/>
  <c r="I119" i="6"/>
  <c r="V120" i="2"/>
  <c r="AJ120" i="2"/>
  <c r="K120" i="6" s="1"/>
  <c r="AA120" i="6" s="1"/>
  <c r="AK119" i="2"/>
  <c r="L119" i="6" s="1"/>
  <c r="AK121" i="2"/>
  <c r="L121" i="6" s="1"/>
  <c r="L118" i="2"/>
  <c r="M118" i="2" s="1"/>
  <c r="K118" i="2"/>
  <c r="AK125" i="2"/>
  <c r="L125" i="6" s="1"/>
  <c r="AN123" i="2"/>
  <c r="P124" i="2"/>
  <c r="D124" i="6" s="1"/>
  <c r="Q124" i="2"/>
  <c r="AL123" i="2"/>
  <c r="AM123" i="2" s="1"/>
  <c r="O120" i="2"/>
  <c r="C120" i="6" s="1"/>
  <c r="H120" i="2"/>
  <c r="AS123" i="2"/>
  <c r="W123" i="6" s="1"/>
  <c r="AK122" i="2"/>
  <c r="L122" i="6" s="1"/>
  <c r="AI123" i="2"/>
  <c r="J123" i="6" s="1"/>
  <c r="AB123" i="6" s="1"/>
  <c r="AK123" i="2"/>
  <c r="L123" i="6" s="1"/>
  <c r="AA120" i="2"/>
  <c r="AI120" i="2" s="1"/>
  <c r="J120" i="6" s="1"/>
  <c r="AB120" i="6" s="1"/>
  <c r="Q118" i="2"/>
  <c r="P118" i="2"/>
  <c r="D118" i="6" s="1"/>
  <c r="Q125" i="2"/>
  <c r="P125" i="2"/>
  <c r="D125" i="6" s="1"/>
  <c r="V124" i="2"/>
  <c r="AJ124" i="2"/>
  <c r="K124" i="6" s="1"/>
  <c r="AA124" i="6" s="1"/>
  <c r="Q121" i="2"/>
  <c r="P121" i="2"/>
  <c r="D121" i="6" s="1"/>
  <c r="AI117" i="2"/>
  <c r="J117" i="6" s="1"/>
  <c r="AB117" i="6" s="1"/>
  <c r="V118" i="2"/>
  <c r="AJ118" i="2"/>
  <c r="K118" i="6" s="1"/>
  <c r="AA118" i="6" s="1"/>
  <c r="Q117" i="2"/>
  <c r="P117" i="2"/>
  <c r="D117" i="6" s="1"/>
  <c r="Q122" i="2"/>
  <c r="P122" i="2"/>
  <c r="D122" i="6" s="1"/>
  <c r="Q119" i="2"/>
  <c r="P119" i="2"/>
  <c r="D119" i="6" s="1"/>
  <c r="AI124" i="2"/>
  <c r="J124" i="6" s="1"/>
  <c r="AB124" i="6" s="1"/>
  <c r="AK117" i="2"/>
  <c r="L117" i="6" s="1"/>
  <c r="AW123" i="2"/>
  <c r="AP123" i="2"/>
  <c r="AP136" i="2"/>
  <c r="AW135" i="2"/>
  <c r="AW127" i="2"/>
  <c r="AP135" i="2"/>
  <c r="AX133" i="2"/>
  <c r="AP131" i="2"/>
  <c r="AP127" i="2"/>
  <c r="AX129" i="2"/>
  <c r="AQ129" i="2"/>
  <c r="AW131" i="2"/>
  <c r="AW136" i="2"/>
  <c r="AX146" i="2"/>
  <c r="AQ146" i="2"/>
  <c r="AX144" i="2"/>
  <c r="AQ144" i="2"/>
  <c r="AX142" i="2"/>
  <c r="AQ142" i="2"/>
  <c r="O136" i="6" l="1"/>
  <c r="AR142" i="2"/>
  <c r="AZ142" i="2"/>
  <c r="AR144" i="2"/>
  <c r="AZ144" i="2"/>
  <c r="AR146" i="2"/>
  <c r="AZ146" i="2"/>
  <c r="BG144" i="2"/>
  <c r="BF144" i="2"/>
  <c r="BD144" i="2"/>
  <c r="R144" i="6" s="1"/>
  <c r="BG148" i="2"/>
  <c r="BF148" i="2"/>
  <c r="BD148" i="2"/>
  <c r="R148" i="6" s="1"/>
  <c r="BF140" i="2"/>
  <c r="BG140" i="2"/>
  <c r="BD140" i="2"/>
  <c r="R140" i="6" s="1"/>
  <c r="AY146" i="2"/>
  <c r="P146" i="6" s="1"/>
  <c r="AY142" i="2"/>
  <c r="P142" i="6" s="1"/>
  <c r="AY136" i="2"/>
  <c r="P136" i="6" s="1"/>
  <c r="BE136" i="2"/>
  <c r="BC136" i="2"/>
  <c r="Q136" i="6" s="1"/>
  <c r="AO136" i="2"/>
  <c r="BG137" i="2"/>
  <c r="BF137" i="2"/>
  <c r="BD137" i="2"/>
  <c r="BE131" i="2"/>
  <c r="BC131" i="2"/>
  <c r="AR129" i="2"/>
  <c r="AZ129" i="2"/>
  <c r="AZ133" i="2"/>
  <c r="BE127" i="2"/>
  <c r="BC127" i="2"/>
  <c r="BE135" i="2"/>
  <c r="BC135" i="2"/>
  <c r="AT131" i="2"/>
  <c r="AM134" i="2"/>
  <c r="AN134" i="2"/>
  <c r="AO127" i="2"/>
  <c r="AM135" i="2"/>
  <c r="AY129" i="2"/>
  <c r="BG133" i="2"/>
  <c r="BF133" i="2"/>
  <c r="AO131" i="2"/>
  <c r="R128" i="2"/>
  <c r="AS128" i="2"/>
  <c r="AL128" i="2"/>
  <c r="AM127" i="2"/>
  <c r="AO135" i="2"/>
  <c r="AY135" i="2" s="1"/>
  <c r="BD133" i="2"/>
  <c r="AT130" i="2"/>
  <c r="R132" i="2"/>
  <c r="AS132" i="2"/>
  <c r="AL132" i="2"/>
  <c r="AT134" i="2"/>
  <c r="AM130" i="2"/>
  <c r="AN130" i="2"/>
  <c r="AT127" i="2"/>
  <c r="AY127" i="2" s="1"/>
  <c r="AT135" i="2"/>
  <c r="M123" i="6"/>
  <c r="O123" i="6"/>
  <c r="AI121" i="2"/>
  <c r="J121" i="6" s="1"/>
  <c r="AB121" i="6" s="1"/>
  <c r="I121" i="6"/>
  <c r="Y123" i="6"/>
  <c r="G123" i="6"/>
  <c r="BE123" i="2"/>
  <c r="BC123" i="2"/>
  <c r="Q123" i="6" s="1"/>
  <c r="AS117" i="2"/>
  <c r="W117" i="6" s="1"/>
  <c r="R117" i="2"/>
  <c r="AL117" i="2"/>
  <c r="AN117" i="2"/>
  <c r="AK124" i="2"/>
  <c r="L124" i="6" s="1"/>
  <c r="AK120" i="2"/>
  <c r="L120" i="6" s="1"/>
  <c r="R118" i="2"/>
  <c r="AL118" i="2"/>
  <c r="AS118" i="2"/>
  <c r="W118" i="6" s="1"/>
  <c r="P120" i="2"/>
  <c r="D120" i="6" s="1"/>
  <c r="Q120" i="2"/>
  <c r="AO123" i="2"/>
  <c r="R122" i="2"/>
  <c r="AS122" i="2"/>
  <c r="W122" i="6" s="1"/>
  <c r="AL122" i="2"/>
  <c r="R121" i="2"/>
  <c r="AL121" i="2"/>
  <c r="AM121" i="2" s="1"/>
  <c r="AS121" i="2"/>
  <c r="W121" i="6" s="1"/>
  <c r="AN121" i="2"/>
  <c r="AK118" i="2"/>
  <c r="L118" i="6" s="1"/>
  <c r="R125" i="2"/>
  <c r="AS125" i="2"/>
  <c r="W125" i="6" s="1"/>
  <c r="AN125" i="2"/>
  <c r="AL125" i="2"/>
  <c r="AT123" i="2"/>
  <c r="X123" i="6" s="1"/>
  <c r="R124" i="2"/>
  <c r="AS124" i="2"/>
  <c r="W124" i="6" s="1"/>
  <c r="AL124" i="2"/>
  <c r="R119" i="2"/>
  <c r="AL119" i="2"/>
  <c r="AN119" i="2"/>
  <c r="AS119" i="2"/>
  <c r="W119" i="6" s="1"/>
  <c r="AW121" i="2"/>
  <c r="AW125" i="2"/>
  <c r="AP121" i="2"/>
  <c r="AP125" i="2"/>
  <c r="AP119" i="2"/>
  <c r="AP117" i="2"/>
  <c r="AQ123" i="2"/>
  <c r="AW119" i="2"/>
  <c r="AW117" i="2"/>
  <c r="AX123" i="2"/>
  <c r="AQ136" i="2"/>
  <c r="AQ135" i="2"/>
  <c r="AW130" i="2"/>
  <c r="AP130" i="2"/>
  <c r="AW134" i="2"/>
  <c r="AP134" i="2"/>
  <c r="AX127" i="2"/>
  <c r="AQ127" i="2"/>
  <c r="AX135" i="2"/>
  <c r="AX131" i="2"/>
  <c r="AQ131" i="2"/>
  <c r="AX136" i="2"/>
  <c r="BF142" i="2" l="1"/>
  <c r="BG142" i="2"/>
  <c r="BD142" i="2"/>
  <c r="R142" i="6" s="1"/>
  <c r="BF146" i="2"/>
  <c r="BG146" i="2"/>
  <c r="BD146" i="2"/>
  <c r="R146" i="6" s="1"/>
  <c r="AR136" i="2"/>
  <c r="AZ136" i="2"/>
  <c r="BG136" i="2"/>
  <c r="BF136" i="2"/>
  <c r="BD136" i="2"/>
  <c r="R136" i="6" s="1"/>
  <c r="AR131" i="2"/>
  <c r="AZ131" i="2"/>
  <c r="AZ135" i="2"/>
  <c r="AR127" i="2"/>
  <c r="AZ127" i="2"/>
  <c r="BE134" i="2"/>
  <c r="BC134" i="2"/>
  <c r="BE130" i="2"/>
  <c r="BC130" i="2"/>
  <c r="AR135" i="2"/>
  <c r="BG127" i="2"/>
  <c r="BF127" i="2"/>
  <c r="BD127" i="2"/>
  <c r="BG135" i="2"/>
  <c r="BF135" i="2"/>
  <c r="BD135" i="2"/>
  <c r="AN128" i="2"/>
  <c r="AM128" i="2"/>
  <c r="AN132" i="2"/>
  <c r="AM132" i="2"/>
  <c r="AT128" i="2"/>
  <c r="AO134" i="2"/>
  <c r="AO130" i="2"/>
  <c r="AT132" i="2"/>
  <c r="BG129" i="2"/>
  <c r="BF129" i="2"/>
  <c r="BD129" i="2"/>
  <c r="AY131" i="2"/>
  <c r="P123" i="6"/>
  <c r="O117" i="6"/>
  <c r="O119" i="6"/>
  <c r="N123" i="6"/>
  <c r="M117" i="6"/>
  <c r="M119" i="6"/>
  <c r="M125" i="6"/>
  <c r="M121" i="6"/>
  <c r="O125" i="6"/>
  <c r="O121" i="6"/>
  <c r="Z123" i="6"/>
  <c r="H123" i="6"/>
  <c r="Y117" i="6"/>
  <c r="G117" i="6"/>
  <c r="Y119" i="6"/>
  <c r="G119" i="6"/>
  <c r="Y125" i="6"/>
  <c r="G125" i="6"/>
  <c r="Y121" i="6"/>
  <c r="G121" i="6"/>
  <c r="AM117" i="2"/>
  <c r="AZ123" i="2"/>
  <c r="BE117" i="2"/>
  <c r="BC117" i="2"/>
  <c r="Q117" i="6" s="1"/>
  <c r="BE119" i="2"/>
  <c r="BC119" i="2"/>
  <c r="Q119" i="6" s="1"/>
  <c r="AR123" i="2"/>
  <c r="BE125" i="2"/>
  <c r="BC125" i="2"/>
  <c r="Q125" i="6" s="1"/>
  <c r="BE121" i="2"/>
  <c r="BC121" i="2"/>
  <c r="Q121" i="6" s="1"/>
  <c r="AT118" i="2"/>
  <c r="X118" i="6" s="1"/>
  <c r="AT117" i="2"/>
  <c r="X117" i="6" s="1"/>
  <c r="AT119" i="2"/>
  <c r="X119" i="6" s="1"/>
  <c r="AM124" i="2"/>
  <c r="AN124" i="2"/>
  <c r="AM125" i="2"/>
  <c r="AN118" i="2"/>
  <c r="AM118" i="2"/>
  <c r="AO117" i="2"/>
  <c r="AO119" i="2"/>
  <c r="AT124" i="2"/>
  <c r="X124" i="6" s="1"/>
  <c r="AO125" i="2"/>
  <c r="AO121" i="2"/>
  <c r="AN122" i="2"/>
  <c r="AM122" i="2"/>
  <c r="R120" i="2"/>
  <c r="AL120" i="2"/>
  <c r="AS120" i="2"/>
  <c r="W120" i="6" s="1"/>
  <c r="AY123" i="2"/>
  <c r="AM119" i="2"/>
  <c r="AT125" i="2"/>
  <c r="X125" i="6" s="1"/>
  <c r="AT121" i="2"/>
  <c r="X121" i="6" s="1"/>
  <c r="AT122" i="2"/>
  <c r="X122" i="6" s="1"/>
  <c r="AX119" i="2"/>
  <c r="AW118" i="2"/>
  <c r="AP118" i="2"/>
  <c r="AQ125" i="2"/>
  <c r="AX117" i="2"/>
  <c r="AQ119" i="2"/>
  <c r="AW124" i="2"/>
  <c r="AP124" i="2"/>
  <c r="AQ117" i="2"/>
  <c r="AQ121" i="2"/>
  <c r="AX125" i="2"/>
  <c r="AW122" i="2"/>
  <c r="AP122" i="2"/>
  <c r="AX121" i="2"/>
  <c r="AW132" i="2"/>
  <c r="AP132" i="2"/>
  <c r="AX130" i="2"/>
  <c r="AQ130" i="2"/>
  <c r="AW128" i="2"/>
  <c r="AP128" i="2"/>
  <c r="AX134" i="2"/>
  <c r="AQ134" i="2"/>
  <c r="AR134" i="2" l="1"/>
  <c r="AZ134" i="2"/>
  <c r="BE128" i="2"/>
  <c r="BC128" i="2"/>
  <c r="AR130" i="2"/>
  <c r="AZ130" i="2"/>
  <c r="BE132" i="2"/>
  <c r="BC132" i="2"/>
  <c r="AO128" i="2"/>
  <c r="BG131" i="2"/>
  <c r="BF131" i="2"/>
  <c r="BD131" i="2"/>
  <c r="AO132" i="2"/>
  <c r="AY132" i="2" s="1"/>
  <c r="AY130" i="2"/>
  <c r="AY134" i="2"/>
  <c r="P121" i="6"/>
  <c r="M122" i="6"/>
  <c r="O122" i="6"/>
  <c r="P125" i="6"/>
  <c r="N121" i="6"/>
  <c r="N117" i="6"/>
  <c r="M124" i="6"/>
  <c r="O124" i="6"/>
  <c r="N119" i="6"/>
  <c r="P117" i="6"/>
  <c r="N125" i="6"/>
  <c r="M118" i="6"/>
  <c r="O118" i="6"/>
  <c r="P119" i="6"/>
  <c r="AY119" i="2"/>
  <c r="Z119" i="6"/>
  <c r="H119" i="6"/>
  <c r="Z121" i="6"/>
  <c r="H121" i="6"/>
  <c r="Z117" i="6"/>
  <c r="H117" i="6"/>
  <c r="Y124" i="6"/>
  <c r="G124" i="6"/>
  <c r="Z125" i="6"/>
  <c r="H125" i="6"/>
  <c r="Y118" i="6"/>
  <c r="G118" i="6"/>
  <c r="Y122" i="6"/>
  <c r="G122" i="6"/>
  <c r="AZ121" i="2"/>
  <c r="BE122" i="2"/>
  <c r="BC122" i="2"/>
  <c r="Q122" i="6" s="1"/>
  <c r="AZ125" i="2"/>
  <c r="AR121" i="2"/>
  <c r="AR117" i="2"/>
  <c r="AY124" i="2"/>
  <c r="P124" i="6" s="1"/>
  <c r="BE124" i="2"/>
  <c r="BC124" i="2"/>
  <c r="Q124" i="6" s="1"/>
  <c r="AR119" i="2"/>
  <c r="AZ117" i="2"/>
  <c r="AR125" i="2"/>
  <c r="BE118" i="2"/>
  <c r="BC118" i="2"/>
  <c r="Q118" i="6" s="1"/>
  <c r="AZ119" i="2"/>
  <c r="BG119" i="2"/>
  <c r="BF119" i="2"/>
  <c r="BD119" i="2"/>
  <c r="R119" i="6" s="1"/>
  <c r="AO122" i="2"/>
  <c r="AM120" i="2"/>
  <c r="AN120" i="2"/>
  <c r="AO124" i="2"/>
  <c r="AY121" i="2"/>
  <c r="AY125" i="2"/>
  <c r="AT120" i="2"/>
  <c r="X120" i="6" s="1"/>
  <c r="AY117" i="2"/>
  <c r="BG123" i="2"/>
  <c r="BF123" i="2"/>
  <c r="BD123" i="2"/>
  <c r="R123" i="6" s="1"/>
  <c r="AO118" i="2"/>
  <c r="AW120" i="2"/>
  <c r="AP120" i="2"/>
  <c r="AX124" i="2"/>
  <c r="AQ124" i="2"/>
  <c r="AX118" i="2"/>
  <c r="AQ118" i="2"/>
  <c r="AX122" i="2"/>
  <c r="AQ122" i="2"/>
  <c r="AX128" i="2"/>
  <c r="AQ128" i="2"/>
  <c r="AX132" i="2"/>
  <c r="AQ132" i="2"/>
  <c r="AR132" i="2" l="1"/>
  <c r="AZ132" i="2"/>
  <c r="AR128" i="2"/>
  <c r="AZ128" i="2"/>
  <c r="BF132" i="2"/>
  <c r="BG132" i="2"/>
  <c r="BD132" i="2"/>
  <c r="BG130" i="2"/>
  <c r="BF130" i="2"/>
  <c r="BD130" i="2"/>
  <c r="BG134" i="2"/>
  <c r="BF134" i="2"/>
  <c r="BD134" i="2"/>
  <c r="AY128" i="2"/>
  <c r="N122" i="6"/>
  <c r="N118" i="6"/>
  <c r="N124" i="6"/>
  <c r="M120" i="6"/>
  <c r="O120" i="6"/>
  <c r="Z118" i="6"/>
  <c r="H118" i="6"/>
  <c r="Y120" i="6"/>
  <c r="G120" i="6"/>
  <c r="AY118" i="2"/>
  <c r="P118" i="6" s="1"/>
  <c r="Z124" i="6"/>
  <c r="H124" i="6"/>
  <c r="Z122" i="6"/>
  <c r="H122" i="6"/>
  <c r="AR122" i="2"/>
  <c r="AZ122" i="2"/>
  <c r="AR118" i="2"/>
  <c r="AZ118" i="2"/>
  <c r="AR124" i="2"/>
  <c r="AZ124" i="2"/>
  <c r="AY120" i="2"/>
  <c r="P120" i="6" s="1"/>
  <c r="BE120" i="2"/>
  <c r="BC120" i="2"/>
  <c r="Q120" i="6" s="1"/>
  <c r="BG121" i="2"/>
  <c r="BF121" i="2"/>
  <c r="BD121" i="2"/>
  <c r="R121" i="6" s="1"/>
  <c r="AY122" i="2"/>
  <c r="P122" i="6" s="1"/>
  <c r="BG117" i="2"/>
  <c r="BF117" i="2"/>
  <c r="BD117" i="2"/>
  <c r="R117" i="6" s="1"/>
  <c r="AO120" i="2"/>
  <c r="BG124" i="2"/>
  <c r="BF124" i="2"/>
  <c r="BF118" i="2"/>
  <c r="BG125" i="2"/>
  <c r="BF125" i="2"/>
  <c r="BD125" i="2"/>
  <c r="R125" i="6" s="1"/>
  <c r="BD124" i="2"/>
  <c r="R124" i="6" s="1"/>
  <c r="U115" i="6"/>
  <c r="S115" i="6"/>
  <c r="B115" i="6"/>
  <c r="A115" i="6"/>
  <c r="U114" i="6"/>
  <c r="S114" i="6"/>
  <c r="B114" i="6"/>
  <c r="A114" i="6"/>
  <c r="U113" i="6"/>
  <c r="S113" i="6"/>
  <c r="B113" i="6"/>
  <c r="A113" i="6"/>
  <c r="U112" i="6"/>
  <c r="S112" i="6"/>
  <c r="B112" i="6"/>
  <c r="A112" i="6"/>
  <c r="U111" i="6"/>
  <c r="S111" i="6"/>
  <c r="B111" i="6"/>
  <c r="A111" i="6"/>
  <c r="U110" i="6"/>
  <c r="S110" i="6"/>
  <c r="B110" i="6"/>
  <c r="A110" i="6"/>
  <c r="U109" i="6"/>
  <c r="S109" i="6"/>
  <c r="B109" i="6"/>
  <c r="A109" i="6"/>
  <c r="U108" i="6"/>
  <c r="S108" i="6"/>
  <c r="B108" i="6"/>
  <c r="A108" i="6"/>
  <c r="U107" i="6"/>
  <c r="S107" i="6"/>
  <c r="B107" i="6"/>
  <c r="A107" i="6"/>
  <c r="Z105" i="6"/>
  <c r="Y105" i="6"/>
  <c r="X105" i="6"/>
  <c r="W105" i="6"/>
  <c r="U105" i="6"/>
  <c r="S105" i="6"/>
  <c r="R105" i="6"/>
  <c r="Q105" i="6"/>
  <c r="P105" i="6"/>
  <c r="O105" i="6"/>
  <c r="N105" i="6"/>
  <c r="M105" i="6"/>
  <c r="L105" i="6"/>
  <c r="K105" i="6"/>
  <c r="AA105" i="6" s="1"/>
  <c r="J105" i="6"/>
  <c r="AB105" i="6" s="1"/>
  <c r="I105" i="6"/>
  <c r="H105" i="6"/>
  <c r="G105" i="6"/>
  <c r="F105" i="6"/>
  <c r="E105" i="6"/>
  <c r="D105" i="6"/>
  <c r="C105" i="6"/>
  <c r="B105" i="6"/>
  <c r="A105" i="6"/>
  <c r="AA104" i="6"/>
  <c r="Z104" i="6"/>
  <c r="Y104" i="6"/>
  <c r="X104" i="6"/>
  <c r="W104" i="6"/>
  <c r="U104" i="6"/>
  <c r="S104" i="6"/>
  <c r="R104" i="6"/>
  <c r="Q104" i="6"/>
  <c r="P104" i="6"/>
  <c r="O104" i="6"/>
  <c r="N104" i="6"/>
  <c r="M104" i="6"/>
  <c r="L104" i="6"/>
  <c r="K104" i="6"/>
  <c r="J104" i="6"/>
  <c r="AB104" i="6" s="1"/>
  <c r="I104" i="6"/>
  <c r="H104" i="6"/>
  <c r="G104" i="6"/>
  <c r="F104" i="6"/>
  <c r="E104" i="6"/>
  <c r="D104" i="6"/>
  <c r="C104" i="6"/>
  <c r="B104" i="6"/>
  <c r="A104" i="6"/>
  <c r="Z103" i="6"/>
  <c r="Y103" i="6"/>
  <c r="X103" i="6"/>
  <c r="W103" i="6"/>
  <c r="U103" i="6"/>
  <c r="S103" i="6"/>
  <c r="R103" i="6"/>
  <c r="Q103" i="6"/>
  <c r="P103" i="6"/>
  <c r="O103" i="6"/>
  <c r="N103" i="6"/>
  <c r="M103" i="6"/>
  <c r="L103" i="6"/>
  <c r="K103" i="6"/>
  <c r="AA103" i="6" s="1"/>
  <c r="J103" i="6"/>
  <c r="AB103" i="6" s="1"/>
  <c r="I103" i="6"/>
  <c r="H103" i="6"/>
  <c r="G103" i="6"/>
  <c r="F103" i="6"/>
  <c r="E103" i="6"/>
  <c r="D103" i="6"/>
  <c r="C103" i="6"/>
  <c r="B103" i="6"/>
  <c r="A103" i="6"/>
  <c r="AA102" i="6"/>
  <c r="Z102" i="6"/>
  <c r="Y102" i="6"/>
  <c r="X102" i="6"/>
  <c r="W102" i="6"/>
  <c r="U102" i="6"/>
  <c r="S102" i="6"/>
  <c r="R102" i="6"/>
  <c r="Q102" i="6"/>
  <c r="P102" i="6"/>
  <c r="O102" i="6"/>
  <c r="N102" i="6"/>
  <c r="M102" i="6"/>
  <c r="L102" i="6"/>
  <c r="K102" i="6"/>
  <c r="J102" i="6"/>
  <c r="AB102" i="6" s="1"/>
  <c r="I102" i="6"/>
  <c r="H102" i="6"/>
  <c r="G102" i="6"/>
  <c r="F102" i="6"/>
  <c r="E102" i="6"/>
  <c r="D102" i="6"/>
  <c r="C102" i="6"/>
  <c r="B102" i="6"/>
  <c r="A102" i="6"/>
  <c r="Z101" i="6"/>
  <c r="Y101" i="6"/>
  <c r="X101" i="6"/>
  <c r="W101" i="6"/>
  <c r="U101" i="6"/>
  <c r="S101" i="6"/>
  <c r="R101" i="6"/>
  <c r="Q101" i="6"/>
  <c r="P101" i="6"/>
  <c r="O101" i="6"/>
  <c r="N101" i="6"/>
  <c r="M101" i="6"/>
  <c r="L101" i="6"/>
  <c r="K101" i="6"/>
  <c r="AA101" i="6" s="1"/>
  <c r="J101" i="6"/>
  <c r="AB101" i="6" s="1"/>
  <c r="I101" i="6"/>
  <c r="H101" i="6"/>
  <c r="G101" i="6"/>
  <c r="F101" i="6"/>
  <c r="E101" i="6"/>
  <c r="D101" i="6"/>
  <c r="C101" i="6"/>
  <c r="B101" i="6"/>
  <c r="A101" i="6"/>
  <c r="AA100" i="6"/>
  <c r="Z100" i="6"/>
  <c r="Y100" i="6"/>
  <c r="X100" i="6"/>
  <c r="W100" i="6"/>
  <c r="U100" i="6"/>
  <c r="S100" i="6"/>
  <c r="R100" i="6"/>
  <c r="Q100" i="6"/>
  <c r="P100" i="6"/>
  <c r="O100" i="6"/>
  <c r="N100" i="6"/>
  <c r="M100" i="6"/>
  <c r="L100" i="6"/>
  <c r="K100" i="6"/>
  <c r="J100" i="6"/>
  <c r="AB100" i="6" s="1"/>
  <c r="I100" i="6"/>
  <c r="H100" i="6"/>
  <c r="G100" i="6"/>
  <c r="F100" i="6"/>
  <c r="E100" i="6"/>
  <c r="D100" i="6"/>
  <c r="C100" i="6"/>
  <c r="B100" i="6"/>
  <c r="A100" i="6"/>
  <c r="Z99" i="6"/>
  <c r="Y99" i="6"/>
  <c r="X99" i="6"/>
  <c r="W99" i="6"/>
  <c r="U99" i="6"/>
  <c r="S99" i="6"/>
  <c r="R99" i="6"/>
  <c r="Q99" i="6"/>
  <c r="P99" i="6"/>
  <c r="O99" i="6"/>
  <c r="N99" i="6"/>
  <c r="M99" i="6"/>
  <c r="L99" i="6"/>
  <c r="K99" i="6"/>
  <c r="AA99" i="6" s="1"/>
  <c r="J99" i="6"/>
  <c r="AB99" i="6" s="1"/>
  <c r="I99" i="6"/>
  <c r="H99" i="6"/>
  <c r="G99" i="6"/>
  <c r="F99" i="6"/>
  <c r="E99" i="6"/>
  <c r="D99" i="6"/>
  <c r="C99" i="6"/>
  <c r="B99" i="6"/>
  <c r="A99" i="6"/>
  <c r="AA98" i="6"/>
  <c r="Z98" i="6"/>
  <c r="Y98" i="6"/>
  <c r="X98" i="6"/>
  <c r="W98" i="6"/>
  <c r="U98" i="6"/>
  <c r="S98" i="6"/>
  <c r="R98" i="6"/>
  <c r="Q98" i="6"/>
  <c r="P98" i="6"/>
  <c r="O98" i="6"/>
  <c r="N98" i="6"/>
  <c r="M98" i="6"/>
  <c r="L98" i="6"/>
  <c r="K98" i="6"/>
  <c r="J98" i="6"/>
  <c r="AB98" i="6" s="1"/>
  <c r="I98" i="6"/>
  <c r="H98" i="6"/>
  <c r="G98" i="6"/>
  <c r="F98" i="6"/>
  <c r="E98" i="6"/>
  <c r="D98" i="6"/>
  <c r="C98" i="6"/>
  <c r="B98" i="6"/>
  <c r="A98" i="6"/>
  <c r="Z97" i="6"/>
  <c r="Y97" i="6"/>
  <c r="X97" i="6"/>
  <c r="W97" i="6"/>
  <c r="U97" i="6"/>
  <c r="S97" i="6"/>
  <c r="R97" i="6"/>
  <c r="Q97" i="6"/>
  <c r="P97" i="6"/>
  <c r="O97" i="6"/>
  <c r="N97" i="6"/>
  <c r="M97" i="6"/>
  <c r="L97" i="6"/>
  <c r="K97" i="6"/>
  <c r="AA97" i="6" s="1"/>
  <c r="J97" i="6"/>
  <c r="AB97" i="6" s="1"/>
  <c r="I97" i="6"/>
  <c r="H97" i="6"/>
  <c r="G97" i="6"/>
  <c r="F97" i="6"/>
  <c r="E97" i="6"/>
  <c r="D97" i="6"/>
  <c r="C97" i="6"/>
  <c r="B97" i="6"/>
  <c r="A97" i="6"/>
  <c r="BB115" i="2"/>
  <c r="BA115" i="2"/>
  <c r="AV115" i="2"/>
  <c r="AF115" i="2"/>
  <c r="AE115" i="2"/>
  <c r="AD115" i="2"/>
  <c r="X115" i="2"/>
  <c r="E115" i="6" s="1"/>
  <c r="S115" i="2"/>
  <c r="U115" i="2" s="1"/>
  <c r="G115" i="2"/>
  <c r="E115" i="2"/>
  <c r="F115" i="2" s="1"/>
  <c r="C115" i="2"/>
  <c r="B115" i="2"/>
  <c r="A115" i="2"/>
  <c r="BB114" i="2"/>
  <c r="BA114" i="2"/>
  <c r="AV114" i="2"/>
  <c r="AD114" i="2"/>
  <c r="AE114" i="2" s="1"/>
  <c r="X114" i="2"/>
  <c r="Y114" i="2" s="1"/>
  <c r="F114" i="6" s="1"/>
  <c r="S114" i="2"/>
  <c r="T114" i="2" s="1"/>
  <c r="E114" i="2"/>
  <c r="F114" i="2" s="1"/>
  <c r="C114" i="2"/>
  <c r="J114" i="2" s="1"/>
  <c r="K114" i="2" s="1"/>
  <c r="B114" i="2"/>
  <c r="A114" i="2"/>
  <c r="BB113" i="2"/>
  <c r="BA113" i="2"/>
  <c r="AV113" i="2"/>
  <c r="AD113" i="2"/>
  <c r="X113" i="2"/>
  <c r="E113" i="6" s="1"/>
  <c r="S113" i="2"/>
  <c r="J113" i="2"/>
  <c r="E113" i="2"/>
  <c r="D113" i="2"/>
  <c r="C113" i="2"/>
  <c r="B113" i="2"/>
  <c r="A113" i="2"/>
  <c r="BB112" i="2"/>
  <c r="BA112" i="2"/>
  <c r="AV112" i="2"/>
  <c r="AD112" i="2"/>
  <c r="Y112" i="2"/>
  <c r="F112" i="6" s="1"/>
  <c r="X112" i="2"/>
  <c r="Z112" i="2" s="1"/>
  <c r="S112" i="2"/>
  <c r="J112" i="2"/>
  <c r="F112" i="2"/>
  <c r="E112" i="2"/>
  <c r="G112" i="2" s="1"/>
  <c r="H112" i="2" s="1"/>
  <c r="C112" i="2"/>
  <c r="D112" i="2" s="1"/>
  <c r="B112" i="2"/>
  <c r="A112" i="2"/>
  <c r="BB111" i="2"/>
  <c r="BA111" i="2"/>
  <c r="AV111" i="2"/>
  <c r="AF111" i="2"/>
  <c r="AD111" i="2"/>
  <c r="AE111" i="2" s="1"/>
  <c r="Z111" i="2"/>
  <c r="Y111" i="2"/>
  <c r="F111" i="6" s="1"/>
  <c r="X111" i="2"/>
  <c r="E111" i="6" s="1"/>
  <c r="S111" i="2"/>
  <c r="U111" i="2" s="1"/>
  <c r="E111" i="2"/>
  <c r="G111" i="2" s="1"/>
  <c r="C111" i="2"/>
  <c r="B111" i="2"/>
  <c r="A111" i="2"/>
  <c r="BB110" i="2"/>
  <c r="BA110" i="2"/>
  <c r="AV110" i="2"/>
  <c r="AD110" i="2"/>
  <c r="AE110" i="2" s="1"/>
  <c r="Z110" i="2"/>
  <c r="X110" i="2"/>
  <c r="Y110" i="2" s="1"/>
  <c r="F110" i="6" s="1"/>
  <c r="S110" i="2"/>
  <c r="T110" i="2" s="1"/>
  <c r="G110" i="2"/>
  <c r="O110" i="2" s="1"/>
  <c r="P110" i="2" s="1"/>
  <c r="D110" i="6" s="1"/>
  <c r="E110" i="2"/>
  <c r="F110" i="2" s="1"/>
  <c r="C110" i="2"/>
  <c r="B110" i="2"/>
  <c r="A110" i="2"/>
  <c r="BB109" i="2"/>
  <c r="BA109" i="2"/>
  <c r="AV109" i="2"/>
  <c r="AD109" i="2"/>
  <c r="X109" i="2"/>
  <c r="Z109" i="2" s="1"/>
  <c r="S109" i="2"/>
  <c r="U109" i="2" s="1"/>
  <c r="AJ109" i="2" s="1"/>
  <c r="K109" i="6" s="1"/>
  <c r="AA109" i="6" s="1"/>
  <c r="E109" i="2"/>
  <c r="C109" i="2"/>
  <c r="J109" i="2" s="1"/>
  <c r="L109" i="2" s="1"/>
  <c r="M109" i="2" s="1"/>
  <c r="B109" i="2"/>
  <c r="A109" i="2"/>
  <c r="BB108" i="2"/>
  <c r="BA108" i="2"/>
  <c r="AV108" i="2"/>
  <c r="AD108" i="2"/>
  <c r="AF108" i="2" s="1"/>
  <c r="AG108" i="2" s="1"/>
  <c r="X108" i="2"/>
  <c r="Z108" i="2" s="1"/>
  <c r="T108" i="2"/>
  <c r="S108" i="2"/>
  <c r="E108" i="2"/>
  <c r="G108" i="2" s="1"/>
  <c r="H108" i="2" s="1"/>
  <c r="C108" i="2"/>
  <c r="D108" i="2" s="1"/>
  <c r="B108" i="2"/>
  <c r="A108" i="2"/>
  <c r="BB107" i="2"/>
  <c r="BA107" i="2"/>
  <c r="AV107" i="2"/>
  <c r="AD107" i="2"/>
  <c r="AE107" i="2" s="1"/>
  <c r="Z107" i="2"/>
  <c r="X107" i="2"/>
  <c r="Y107" i="2" s="1"/>
  <c r="F107" i="6" s="1"/>
  <c r="S107" i="2"/>
  <c r="T107" i="2" s="1"/>
  <c r="E107" i="2"/>
  <c r="F107" i="2" s="1"/>
  <c r="C107" i="2"/>
  <c r="J107" i="2" s="1"/>
  <c r="B107" i="2"/>
  <c r="A107" i="2"/>
  <c r="BB105" i="2"/>
  <c r="BA105" i="2"/>
  <c r="AV105" i="2"/>
  <c r="AE105" i="2"/>
  <c r="AD105" i="2"/>
  <c r="AF105" i="2" s="1"/>
  <c r="Y105" i="2"/>
  <c r="X105" i="2"/>
  <c r="Z105" i="2" s="1"/>
  <c r="T105" i="2"/>
  <c r="S105" i="2"/>
  <c r="U105" i="2" s="1"/>
  <c r="K105" i="2"/>
  <c r="J105" i="2"/>
  <c r="L105" i="2" s="1"/>
  <c r="M105" i="2" s="1"/>
  <c r="F105" i="2"/>
  <c r="E105" i="2"/>
  <c r="G105" i="2" s="1"/>
  <c r="D105" i="2"/>
  <c r="C105" i="2"/>
  <c r="B105" i="2"/>
  <c r="A105" i="2"/>
  <c r="BB104" i="2"/>
  <c r="BA104" i="2"/>
  <c r="AV104" i="2"/>
  <c r="AF104" i="2"/>
  <c r="AD104" i="2"/>
  <c r="AE104" i="2" s="1"/>
  <c r="Z104" i="2"/>
  <c r="X104" i="2"/>
  <c r="Y104" i="2" s="1"/>
  <c r="S104" i="2"/>
  <c r="T104" i="2" s="1"/>
  <c r="G104" i="2"/>
  <c r="E104" i="2"/>
  <c r="F104" i="2" s="1"/>
  <c r="C104" i="2"/>
  <c r="B104" i="2"/>
  <c r="A104" i="2"/>
  <c r="BB103" i="2"/>
  <c r="BA103" i="2"/>
  <c r="AV103" i="2"/>
  <c r="AD103" i="2"/>
  <c r="X103" i="2"/>
  <c r="S103" i="2"/>
  <c r="J103" i="2"/>
  <c r="E103" i="2"/>
  <c r="D103" i="2"/>
  <c r="C103" i="2"/>
  <c r="B103" i="2"/>
  <c r="A103" i="2"/>
  <c r="BB102" i="2"/>
  <c r="BA102" i="2"/>
  <c r="AV102" i="2"/>
  <c r="AD102" i="2"/>
  <c r="AF102" i="2" s="1"/>
  <c r="AG102" i="2" s="1"/>
  <c r="X102" i="2"/>
  <c r="S102" i="2"/>
  <c r="J102" i="2"/>
  <c r="L102" i="2" s="1"/>
  <c r="M102" i="2" s="1"/>
  <c r="E102" i="2"/>
  <c r="C102" i="2"/>
  <c r="D102" i="2" s="1"/>
  <c r="B102" i="2"/>
  <c r="A102" i="2"/>
  <c r="BB101" i="2"/>
  <c r="BA101" i="2"/>
  <c r="AV101" i="2"/>
  <c r="AF101" i="2"/>
  <c r="AE101" i="2"/>
  <c r="AD101" i="2"/>
  <c r="Z101" i="2"/>
  <c r="Y101" i="2"/>
  <c r="X101" i="2"/>
  <c r="U101" i="2"/>
  <c r="T101" i="2"/>
  <c r="S101" i="2"/>
  <c r="G101" i="2"/>
  <c r="F101" i="2"/>
  <c r="E101" i="2"/>
  <c r="C101" i="2"/>
  <c r="B101" i="2"/>
  <c r="A101" i="2"/>
  <c r="BB100" i="2"/>
  <c r="BA100" i="2"/>
  <c r="AV100" i="2"/>
  <c r="AJ100" i="2"/>
  <c r="AF100" i="2"/>
  <c r="AD100" i="2"/>
  <c r="AE100" i="2" s="1"/>
  <c r="AA100" i="2"/>
  <c r="Z100" i="2"/>
  <c r="X100" i="2"/>
  <c r="Y100" i="2" s="1"/>
  <c r="U100" i="2"/>
  <c r="S100" i="2"/>
  <c r="T100" i="2" s="1"/>
  <c r="G100" i="2"/>
  <c r="O100" i="2" s="1"/>
  <c r="P100" i="2" s="1"/>
  <c r="E100" i="2"/>
  <c r="F100" i="2" s="1"/>
  <c r="C100" i="2"/>
  <c r="J100" i="2" s="1"/>
  <c r="K100" i="2" s="1"/>
  <c r="B100" i="2"/>
  <c r="A100" i="2"/>
  <c r="BB99" i="2"/>
  <c r="BA99" i="2"/>
  <c r="AV99" i="2"/>
  <c r="AS99" i="2"/>
  <c r="AH99" i="2"/>
  <c r="AD99" i="2"/>
  <c r="AF99" i="2" s="1"/>
  <c r="AL99" i="2" s="1"/>
  <c r="AA99" i="2"/>
  <c r="X99" i="2"/>
  <c r="Z99" i="2" s="1"/>
  <c r="V99" i="2"/>
  <c r="AK99" i="2" s="1"/>
  <c r="T99" i="2"/>
  <c r="S99" i="2"/>
  <c r="U99" i="2" s="1"/>
  <c r="AJ99" i="2" s="1"/>
  <c r="P99" i="2"/>
  <c r="O99" i="2"/>
  <c r="Q99" i="2" s="1"/>
  <c r="R99" i="2" s="1"/>
  <c r="J99" i="2"/>
  <c r="H99" i="2"/>
  <c r="E99" i="2"/>
  <c r="G99" i="2" s="1"/>
  <c r="D99" i="2"/>
  <c r="C99" i="2"/>
  <c r="B99" i="2"/>
  <c r="A99" i="2"/>
  <c r="BB98" i="2"/>
  <c r="BA98" i="2"/>
  <c r="AV98" i="2"/>
  <c r="AF98" i="2"/>
  <c r="AE98" i="2"/>
  <c r="AD98" i="2"/>
  <c r="X98" i="2"/>
  <c r="Z98" i="2" s="1"/>
  <c r="S98" i="2"/>
  <c r="F98" i="2"/>
  <c r="E98" i="2"/>
  <c r="G98" i="2" s="1"/>
  <c r="C98" i="2"/>
  <c r="D98" i="2" s="1"/>
  <c r="B98" i="2"/>
  <c r="A98" i="2"/>
  <c r="BB97" i="2"/>
  <c r="BA97" i="2"/>
  <c r="AV97" i="2"/>
  <c r="AF97" i="2"/>
  <c r="AE97" i="2"/>
  <c r="AD97" i="2"/>
  <c r="Z97" i="2"/>
  <c r="Y97" i="2"/>
  <c r="X97" i="2"/>
  <c r="U97" i="2"/>
  <c r="T97" i="2"/>
  <c r="S97" i="2"/>
  <c r="Q97" i="2"/>
  <c r="R97" i="2" s="1"/>
  <c r="L97" i="2"/>
  <c r="M97" i="2" s="1"/>
  <c r="K97" i="2"/>
  <c r="G97" i="2"/>
  <c r="O97" i="2" s="1"/>
  <c r="P97" i="2" s="1"/>
  <c r="F97" i="2"/>
  <c r="E97" i="2"/>
  <c r="C97" i="2"/>
  <c r="J97" i="2" s="1"/>
  <c r="B97" i="2"/>
  <c r="A97" i="2"/>
  <c r="Z95" i="6"/>
  <c r="Y95" i="6"/>
  <c r="X95" i="6"/>
  <c r="W95" i="6"/>
  <c r="U95" i="6"/>
  <c r="S95" i="6"/>
  <c r="R95" i="6"/>
  <c r="Q95" i="6"/>
  <c r="P95" i="6"/>
  <c r="O95" i="6"/>
  <c r="N95" i="6"/>
  <c r="M95" i="6"/>
  <c r="L95" i="6"/>
  <c r="K95" i="6"/>
  <c r="AA95" i="6" s="1"/>
  <c r="J95" i="6"/>
  <c r="AB95" i="6" s="1"/>
  <c r="I95" i="6"/>
  <c r="H95" i="6"/>
  <c r="G95" i="6"/>
  <c r="F95" i="6"/>
  <c r="E95" i="6"/>
  <c r="D95" i="6"/>
  <c r="C95" i="6"/>
  <c r="B95" i="6"/>
  <c r="A95" i="6"/>
  <c r="AA94" i="6"/>
  <c r="Z94" i="6"/>
  <c r="Y94" i="6"/>
  <c r="X94" i="6"/>
  <c r="W94" i="6"/>
  <c r="U94" i="6"/>
  <c r="S94" i="6"/>
  <c r="R94" i="6"/>
  <c r="Q94" i="6"/>
  <c r="P94" i="6"/>
  <c r="O94" i="6"/>
  <c r="N94" i="6"/>
  <c r="M94" i="6"/>
  <c r="L94" i="6"/>
  <c r="K94" i="6"/>
  <c r="J94" i="6"/>
  <c r="AB94" i="6" s="1"/>
  <c r="I94" i="6"/>
  <c r="H94" i="6"/>
  <c r="G94" i="6"/>
  <c r="F94" i="6"/>
  <c r="E94" i="6"/>
  <c r="D94" i="6"/>
  <c r="C94" i="6"/>
  <c r="B94" i="6"/>
  <c r="A94" i="6"/>
  <c r="BB95" i="2"/>
  <c r="BA95" i="2"/>
  <c r="AV95" i="2"/>
  <c r="AE95" i="2"/>
  <c r="AD95" i="2"/>
  <c r="AF95" i="2" s="1"/>
  <c r="Y95" i="2"/>
  <c r="X95" i="2"/>
  <c r="Z95" i="2" s="1"/>
  <c r="T95" i="2"/>
  <c r="S95" i="2"/>
  <c r="U95" i="2" s="1"/>
  <c r="K95" i="2"/>
  <c r="J95" i="2"/>
  <c r="L95" i="2" s="1"/>
  <c r="M95" i="2" s="1"/>
  <c r="F95" i="2"/>
  <c r="E95" i="2"/>
  <c r="G95" i="2" s="1"/>
  <c r="D95" i="2"/>
  <c r="C95" i="2"/>
  <c r="B95" i="2"/>
  <c r="A95" i="2"/>
  <c r="BB94" i="2"/>
  <c r="BA94" i="2"/>
  <c r="AV94" i="2"/>
  <c r="AD94" i="2"/>
  <c r="AE94" i="2" s="1"/>
  <c r="X94" i="2"/>
  <c r="Y94" i="2" s="1"/>
  <c r="S94" i="2"/>
  <c r="T94" i="2" s="1"/>
  <c r="J94" i="2"/>
  <c r="K94" i="2" s="1"/>
  <c r="E94" i="2"/>
  <c r="F94" i="2" s="1"/>
  <c r="C94" i="2"/>
  <c r="D94" i="2" s="1"/>
  <c r="B94" i="2"/>
  <c r="A94" i="2"/>
  <c r="AX120" i="2"/>
  <c r="AQ120" i="2"/>
  <c r="BF128" i="2" l="1"/>
  <c r="BG128" i="2"/>
  <c r="BD128" i="2"/>
  <c r="N120" i="6"/>
  <c r="BD118" i="2"/>
  <c r="R118" i="6" s="1"/>
  <c r="BG118" i="2"/>
  <c r="Z120" i="6"/>
  <c r="H120" i="6"/>
  <c r="AR120" i="2"/>
  <c r="AZ120" i="2"/>
  <c r="BG120" i="2"/>
  <c r="BF120" i="2"/>
  <c r="BD120" i="2"/>
  <c r="R120" i="6" s="1"/>
  <c r="BF122" i="2"/>
  <c r="BG122" i="2"/>
  <c r="BD122" i="2"/>
  <c r="R122" i="6" s="1"/>
  <c r="Y115" i="2"/>
  <c r="F115" i="6" s="1"/>
  <c r="T115" i="2"/>
  <c r="Z115" i="2"/>
  <c r="AH115" i="2" s="1"/>
  <c r="AE108" i="2"/>
  <c r="D109" i="2"/>
  <c r="T109" i="2"/>
  <c r="H110" i="2"/>
  <c r="T111" i="2"/>
  <c r="E107" i="6"/>
  <c r="E108" i="6"/>
  <c r="E109" i="6"/>
  <c r="F108" i="2"/>
  <c r="Y108" i="2"/>
  <c r="F108" i="6" s="1"/>
  <c r="V109" i="2"/>
  <c r="AK109" i="2" s="1"/>
  <c r="L109" i="6" s="1"/>
  <c r="AF110" i="2"/>
  <c r="AL110" i="2" s="1"/>
  <c r="F111" i="2"/>
  <c r="G114" i="2"/>
  <c r="O114" i="2" s="1"/>
  <c r="AF114" i="2"/>
  <c r="AG114" i="2" s="1"/>
  <c r="E110" i="6"/>
  <c r="G107" i="2"/>
  <c r="O107" i="2" s="1"/>
  <c r="C107" i="6" s="1"/>
  <c r="L114" i="2"/>
  <c r="M114" i="2" s="1"/>
  <c r="Z114" i="2"/>
  <c r="AA114" i="2" s="1"/>
  <c r="E112" i="6"/>
  <c r="D114" i="2"/>
  <c r="C110" i="6"/>
  <c r="E114" i="6"/>
  <c r="P107" i="2"/>
  <c r="D107" i="6" s="1"/>
  <c r="Q107" i="2"/>
  <c r="R107" i="2" s="1"/>
  <c r="K107" i="2"/>
  <c r="L107" i="2"/>
  <c r="M107" i="2" s="1"/>
  <c r="H107" i="2"/>
  <c r="U107" i="2"/>
  <c r="U108" i="2" s="1"/>
  <c r="AA107" i="2"/>
  <c r="K109" i="2"/>
  <c r="O111" i="2"/>
  <c r="C111" i="6" s="1"/>
  <c r="H111" i="2"/>
  <c r="L112" i="2"/>
  <c r="M112" i="2" s="1"/>
  <c r="K112" i="2"/>
  <c r="AF112" i="2"/>
  <c r="AE112" i="2"/>
  <c r="D107" i="2"/>
  <c r="O108" i="2"/>
  <c r="C108" i="6" s="1"/>
  <c r="J110" i="2"/>
  <c r="D110" i="2"/>
  <c r="U112" i="2"/>
  <c r="T112" i="2"/>
  <c r="AF107" i="2"/>
  <c r="AA108" i="2"/>
  <c r="AH108" i="2"/>
  <c r="G109" i="2"/>
  <c r="F109" i="2"/>
  <c r="AF109" i="2"/>
  <c r="AE109" i="2"/>
  <c r="J111" i="2"/>
  <c r="D111" i="2"/>
  <c r="AH111" i="2"/>
  <c r="I111" i="6" s="1"/>
  <c r="AG111" i="2"/>
  <c r="G113" i="2"/>
  <c r="F113" i="2"/>
  <c r="Z113" i="2"/>
  <c r="Y113" i="2"/>
  <c r="F113" i="6" s="1"/>
  <c r="Q114" i="2"/>
  <c r="V115" i="2"/>
  <c r="AJ115" i="2"/>
  <c r="K115" i="6" s="1"/>
  <c r="AA115" i="6" s="1"/>
  <c r="J108" i="2"/>
  <c r="Y109" i="2"/>
  <c r="F109" i="6" s="1"/>
  <c r="U110" i="2"/>
  <c r="AA110" i="2"/>
  <c r="AA111" i="2"/>
  <c r="O112" i="2"/>
  <c r="C112" i="6" s="1"/>
  <c r="AA112" i="2"/>
  <c r="H114" i="2"/>
  <c r="AH114" i="2"/>
  <c r="O115" i="2"/>
  <c r="C115" i="6" s="1"/>
  <c r="H115" i="2"/>
  <c r="AA109" i="2"/>
  <c r="Q110" i="2"/>
  <c r="R110" i="2" s="1"/>
  <c r="V111" i="2"/>
  <c r="AJ111" i="2"/>
  <c r="K111" i="6" s="1"/>
  <c r="AA111" i="6" s="1"/>
  <c r="L113" i="2"/>
  <c r="M113" i="2" s="1"/>
  <c r="K113" i="2"/>
  <c r="U113" i="2"/>
  <c r="T113" i="2"/>
  <c r="AF113" i="2"/>
  <c r="AE113" i="2"/>
  <c r="J115" i="2"/>
  <c r="D115" i="2"/>
  <c r="AG115" i="2"/>
  <c r="AS97" i="2"/>
  <c r="U98" i="2"/>
  <c r="T98" i="2"/>
  <c r="AG98" i="2"/>
  <c r="AH98" i="2"/>
  <c r="G102" i="2"/>
  <c r="F102" i="2"/>
  <c r="J104" i="2"/>
  <c r="D104" i="2"/>
  <c r="AL97" i="2"/>
  <c r="AH97" i="2"/>
  <c r="AG97" i="2"/>
  <c r="AN97" i="2"/>
  <c r="V97" i="2"/>
  <c r="AA97" i="2"/>
  <c r="AA98" i="2"/>
  <c r="Z102" i="2"/>
  <c r="Y102" i="2"/>
  <c r="AJ97" i="2"/>
  <c r="Y98" i="2"/>
  <c r="L99" i="2"/>
  <c r="M99" i="2" s="1"/>
  <c r="K99" i="2"/>
  <c r="V100" i="2"/>
  <c r="V105" i="2"/>
  <c r="AJ105" i="2"/>
  <c r="AH105" i="2"/>
  <c r="AI105" i="2" s="1"/>
  <c r="AG105" i="2"/>
  <c r="D97" i="2"/>
  <c r="H97" i="2"/>
  <c r="H98" i="2"/>
  <c r="O98" i="2"/>
  <c r="AI99" i="2"/>
  <c r="AA101" i="2"/>
  <c r="AA104" i="2"/>
  <c r="AE99" i="2"/>
  <c r="H100" i="2"/>
  <c r="AH100" i="2"/>
  <c r="O101" i="2"/>
  <c r="H101" i="2"/>
  <c r="O104" i="2"/>
  <c r="H104" i="2"/>
  <c r="AH104" i="2"/>
  <c r="AI104" i="2" s="1"/>
  <c r="AG104" i="2"/>
  <c r="AA105" i="2"/>
  <c r="J98" i="2"/>
  <c r="F99" i="2"/>
  <c r="Y99" i="2"/>
  <c r="AT99" i="2" s="1"/>
  <c r="AG99" i="2"/>
  <c r="AM99" i="2" s="1"/>
  <c r="D100" i="2"/>
  <c r="L100" i="2"/>
  <c r="M100" i="2" s="1"/>
  <c r="AG100" i="2"/>
  <c r="J101" i="2"/>
  <c r="D101" i="2"/>
  <c r="AH101" i="2"/>
  <c r="AI101" i="2" s="1"/>
  <c r="AG101" i="2"/>
  <c r="K102" i="2"/>
  <c r="T102" i="2"/>
  <c r="AE102" i="2"/>
  <c r="G103" i="2"/>
  <c r="F103" i="2"/>
  <c r="Z103" i="2"/>
  <c r="Y103" i="2"/>
  <c r="O105" i="2"/>
  <c r="H105" i="2"/>
  <c r="AN99" i="2"/>
  <c r="Q100" i="2"/>
  <c r="V101" i="2"/>
  <c r="AJ101" i="2"/>
  <c r="L103" i="2"/>
  <c r="M103" i="2" s="1"/>
  <c r="K103" i="2"/>
  <c r="U103" i="2"/>
  <c r="U102" i="2" s="1"/>
  <c r="T103" i="2"/>
  <c r="AF103" i="2"/>
  <c r="AE103" i="2"/>
  <c r="O95" i="2"/>
  <c r="H95" i="2"/>
  <c r="V95" i="2"/>
  <c r="AJ95" i="2"/>
  <c r="AH95" i="2"/>
  <c r="AG95" i="2"/>
  <c r="AA95" i="2"/>
  <c r="G94" i="2"/>
  <c r="L94" i="2"/>
  <c r="M94" i="2" s="1"/>
  <c r="U94" i="2"/>
  <c r="Z94" i="2"/>
  <c r="AF94" i="2"/>
  <c r="U93" i="6"/>
  <c r="S93" i="6"/>
  <c r="E93" i="6"/>
  <c r="B93" i="6"/>
  <c r="A93" i="6"/>
  <c r="U92" i="6"/>
  <c r="S92" i="6"/>
  <c r="E92" i="6"/>
  <c r="B92" i="6"/>
  <c r="A92" i="6"/>
  <c r="U91" i="6"/>
  <c r="S91" i="6"/>
  <c r="E91" i="6"/>
  <c r="B91" i="6"/>
  <c r="A91" i="6"/>
  <c r="U90" i="6"/>
  <c r="S90" i="6"/>
  <c r="B90" i="6"/>
  <c r="A90" i="6"/>
  <c r="U89" i="6"/>
  <c r="S89" i="6"/>
  <c r="B89" i="6"/>
  <c r="A89" i="6"/>
  <c r="U88" i="6"/>
  <c r="S88" i="6"/>
  <c r="E88" i="6"/>
  <c r="B88" i="6"/>
  <c r="A88" i="6"/>
  <c r="U87" i="6"/>
  <c r="S87" i="6"/>
  <c r="C87" i="6"/>
  <c r="B87" i="6"/>
  <c r="A87" i="6"/>
  <c r="U86" i="6"/>
  <c r="S86" i="6"/>
  <c r="E86" i="6"/>
  <c r="B86" i="6"/>
  <c r="A86" i="6"/>
  <c r="U85" i="6"/>
  <c r="S85" i="6"/>
  <c r="B85" i="6"/>
  <c r="A85" i="6"/>
  <c r="U84" i="6"/>
  <c r="S84" i="6"/>
  <c r="E84" i="6"/>
  <c r="B84" i="6"/>
  <c r="A84" i="6"/>
  <c r="U83" i="6"/>
  <c r="S83" i="6"/>
  <c r="B83" i="6"/>
  <c r="A83" i="6"/>
  <c r="BB93" i="2"/>
  <c r="BA93" i="2"/>
  <c r="AV93" i="2"/>
  <c r="AD93" i="2"/>
  <c r="X93" i="2"/>
  <c r="S93" i="2"/>
  <c r="E93" i="2"/>
  <c r="C93" i="2"/>
  <c r="B93" i="2"/>
  <c r="A93" i="2"/>
  <c r="BB92" i="2"/>
  <c r="BA92" i="2"/>
  <c r="AV92" i="2"/>
  <c r="AD92" i="2"/>
  <c r="AF92" i="2" s="1"/>
  <c r="AG92" i="2" s="1"/>
  <c r="X92" i="2"/>
  <c r="T92" i="2"/>
  <c r="S92" i="2"/>
  <c r="E92" i="2"/>
  <c r="C92" i="2"/>
  <c r="D92" i="2" s="1"/>
  <c r="B92" i="2"/>
  <c r="A92" i="2"/>
  <c r="BB91" i="2"/>
  <c r="BA91" i="2"/>
  <c r="AV91" i="2"/>
  <c r="AD91" i="2"/>
  <c r="AE91" i="2" s="1"/>
  <c r="Z91" i="2"/>
  <c r="Y91" i="2"/>
  <c r="F91" i="6" s="1"/>
  <c r="X91" i="2"/>
  <c r="S91" i="2"/>
  <c r="T91" i="2" s="1"/>
  <c r="F91" i="2"/>
  <c r="E91" i="2"/>
  <c r="G91" i="2" s="1"/>
  <c r="C91" i="2"/>
  <c r="B91" i="2"/>
  <c r="A91" i="2"/>
  <c r="BB90" i="2"/>
  <c r="BA90" i="2"/>
  <c r="AV90" i="2"/>
  <c r="AD90" i="2"/>
  <c r="Z90" i="2"/>
  <c r="AA90" i="2" s="1"/>
  <c r="X90" i="2"/>
  <c r="Y90" i="2" s="1"/>
  <c r="F90" i="6" s="1"/>
  <c r="S90" i="2"/>
  <c r="T90" i="2" s="1"/>
  <c r="E90" i="2"/>
  <c r="F90" i="2" s="1"/>
  <c r="C90" i="2"/>
  <c r="B90" i="2"/>
  <c r="A90" i="2"/>
  <c r="BB89" i="2"/>
  <c r="BA89" i="2"/>
  <c r="AV89" i="2"/>
  <c r="AD89" i="2"/>
  <c r="AF89" i="2" s="1"/>
  <c r="X89" i="2"/>
  <c r="E89" i="6" s="1"/>
  <c r="S89" i="2"/>
  <c r="E89" i="2"/>
  <c r="C89" i="2"/>
  <c r="D89" i="2" s="1"/>
  <c r="B89" i="2"/>
  <c r="A89" i="2"/>
  <c r="BB88" i="2"/>
  <c r="BA88" i="2"/>
  <c r="AV88" i="2"/>
  <c r="AD88" i="2"/>
  <c r="AE88" i="2" s="1"/>
  <c r="Z88" i="2"/>
  <c r="Y88" i="2"/>
  <c r="F88" i="6" s="1"/>
  <c r="X88" i="2"/>
  <c r="S88" i="2"/>
  <c r="T88" i="2" s="1"/>
  <c r="G88" i="2"/>
  <c r="H88" i="2" s="1"/>
  <c r="E88" i="2"/>
  <c r="F88" i="2" s="1"/>
  <c r="C88" i="2"/>
  <c r="D88" i="2" s="1"/>
  <c r="B88" i="2"/>
  <c r="A88" i="2"/>
  <c r="BB87" i="2"/>
  <c r="BA87" i="2"/>
  <c r="AV87" i="2"/>
  <c r="AF87" i="2"/>
  <c r="AE87" i="2"/>
  <c r="AD87" i="2"/>
  <c r="Z87" i="2"/>
  <c r="AA87" i="2" s="1"/>
  <c r="Y87" i="2"/>
  <c r="F87" i="6" s="1"/>
  <c r="X87" i="2"/>
  <c r="E87" i="6" s="1"/>
  <c r="S87" i="2"/>
  <c r="U87" i="2" s="1"/>
  <c r="Q87" i="2"/>
  <c r="R87" i="2" s="1"/>
  <c r="L87" i="2"/>
  <c r="M87" i="2" s="1"/>
  <c r="K87" i="2"/>
  <c r="H87" i="2"/>
  <c r="F87" i="2"/>
  <c r="E87" i="2"/>
  <c r="G87" i="2" s="1"/>
  <c r="O87" i="2" s="1"/>
  <c r="P87" i="2" s="1"/>
  <c r="D87" i="6" s="1"/>
  <c r="D87" i="2"/>
  <c r="C87" i="2"/>
  <c r="J87" i="2" s="1"/>
  <c r="B87" i="2"/>
  <c r="A87" i="2"/>
  <c r="BB86" i="2"/>
  <c r="BA86" i="2"/>
  <c r="AV86" i="2"/>
  <c r="AD86" i="2"/>
  <c r="Z86" i="2"/>
  <c r="AA86" i="2" s="1"/>
  <c r="X86" i="2"/>
  <c r="Y86" i="2" s="1"/>
  <c r="F86" i="6" s="1"/>
  <c r="S86" i="2"/>
  <c r="T86" i="2" s="1"/>
  <c r="G86" i="2"/>
  <c r="H86" i="2" s="1"/>
  <c r="E86" i="2"/>
  <c r="F86" i="2" s="1"/>
  <c r="D86" i="2"/>
  <c r="C86" i="2"/>
  <c r="J86" i="2" s="1"/>
  <c r="B86" i="2"/>
  <c r="A86" i="2"/>
  <c r="BB85" i="2"/>
  <c r="BA85" i="2"/>
  <c r="AV85" i="2"/>
  <c r="AD85" i="2"/>
  <c r="AE85" i="2" s="1"/>
  <c r="X85" i="2"/>
  <c r="S85" i="2"/>
  <c r="T85" i="2" s="1"/>
  <c r="E85" i="2"/>
  <c r="G85" i="2" s="1"/>
  <c r="C85" i="2"/>
  <c r="D85" i="2" s="1"/>
  <c r="B85" i="2"/>
  <c r="A85" i="2"/>
  <c r="BB84" i="2"/>
  <c r="BA84" i="2"/>
  <c r="AV84" i="2"/>
  <c r="AD84" i="2"/>
  <c r="AE84" i="2" s="1"/>
  <c r="Z84" i="2"/>
  <c r="AA84" i="2" s="1"/>
  <c r="Y84" i="2"/>
  <c r="F84" i="6" s="1"/>
  <c r="X84" i="2"/>
  <c r="S84" i="2"/>
  <c r="T84" i="2" s="1"/>
  <c r="E84" i="2"/>
  <c r="F84" i="2" s="1"/>
  <c r="C84" i="2"/>
  <c r="J84" i="2" s="1"/>
  <c r="L84" i="2" s="1"/>
  <c r="M84" i="2" s="1"/>
  <c r="B84" i="2"/>
  <c r="A84" i="2"/>
  <c r="BB83" i="2"/>
  <c r="BA83" i="2"/>
  <c r="AV83" i="2"/>
  <c r="AD83" i="2"/>
  <c r="X83" i="2"/>
  <c r="S83" i="2"/>
  <c r="T83" i="2" s="1"/>
  <c r="J83" i="2"/>
  <c r="E83" i="2"/>
  <c r="F83" i="2" s="1"/>
  <c r="D83" i="2"/>
  <c r="C83" i="2"/>
  <c r="B83" i="2"/>
  <c r="A83" i="2"/>
  <c r="AW97" i="2"/>
  <c r="AP99" i="2"/>
  <c r="AW99" i="2"/>
  <c r="AP97" i="2"/>
  <c r="AA115" i="2" l="1"/>
  <c r="AI115" i="2"/>
  <c r="J115" i="6" s="1"/>
  <c r="AB115" i="6" s="1"/>
  <c r="I115" i="6"/>
  <c r="AI108" i="2"/>
  <c r="J108" i="6" s="1"/>
  <c r="AB108" i="6" s="1"/>
  <c r="I108" i="6"/>
  <c r="AS110" i="2"/>
  <c r="W110" i="6" s="1"/>
  <c r="AG110" i="2"/>
  <c r="AH110" i="2"/>
  <c r="P114" i="2"/>
  <c r="D114" i="6" s="1"/>
  <c r="C114" i="6"/>
  <c r="AI114" i="2"/>
  <c r="J114" i="6" s="1"/>
  <c r="AB114" i="6" s="1"/>
  <c r="I114" i="6"/>
  <c r="Q115" i="2"/>
  <c r="P115" i="2"/>
  <c r="D115" i="6" s="1"/>
  <c r="K108" i="2"/>
  <c r="L108" i="2"/>
  <c r="M108" i="2" s="1"/>
  <c r="R114" i="2"/>
  <c r="AS114" i="2"/>
  <c r="W114" i="6" s="1"/>
  <c r="H113" i="2"/>
  <c r="O113" i="2"/>
  <c r="C113" i="6" s="1"/>
  <c r="AN107" i="2"/>
  <c r="AH107" i="2"/>
  <c r="AL107" i="2"/>
  <c r="AG107" i="2"/>
  <c r="K110" i="2"/>
  <c r="L110" i="2"/>
  <c r="M110" i="2" s="1"/>
  <c r="AH113" i="2"/>
  <c r="I113" i="6" s="1"/>
  <c r="AG113" i="2"/>
  <c r="AH109" i="2"/>
  <c r="I109" i="6" s="1"/>
  <c r="AG109" i="2"/>
  <c r="AG112" i="2"/>
  <c r="AH112" i="2"/>
  <c r="P111" i="2"/>
  <c r="D111" i="6" s="1"/>
  <c r="Q111" i="2"/>
  <c r="AJ107" i="2"/>
  <c r="K107" i="6" s="1"/>
  <c r="AA107" i="6" s="1"/>
  <c r="V107" i="2"/>
  <c r="AL114" i="2"/>
  <c r="Q112" i="2"/>
  <c r="AL112" i="2" s="1"/>
  <c r="P112" i="2"/>
  <c r="D112" i="6" s="1"/>
  <c r="AK115" i="2"/>
  <c r="L115" i="6" s="1"/>
  <c r="AA113" i="2"/>
  <c r="L111" i="2"/>
  <c r="M111" i="2" s="1"/>
  <c r="K111" i="2"/>
  <c r="V112" i="2"/>
  <c r="AJ112" i="2"/>
  <c r="K112" i="6" s="1"/>
  <c r="AA112" i="6" s="1"/>
  <c r="Q108" i="2"/>
  <c r="P108" i="2"/>
  <c r="D108" i="6" s="1"/>
  <c r="V110" i="2"/>
  <c r="AJ110" i="2"/>
  <c r="K110" i="6" s="1"/>
  <c r="AA110" i="6" s="1"/>
  <c r="K115" i="2"/>
  <c r="L115" i="2"/>
  <c r="M115" i="2" s="1"/>
  <c r="AJ113" i="2"/>
  <c r="K113" i="6" s="1"/>
  <c r="AA113" i="6" s="1"/>
  <c r="U114" i="2"/>
  <c r="V113" i="2"/>
  <c r="AK111" i="2"/>
  <c r="L111" i="6" s="1"/>
  <c r="AI111" i="2"/>
  <c r="J111" i="6" s="1"/>
  <c r="AB111" i="6" s="1"/>
  <c r="AM110" i="2"/>
  <c r="O109" i="2"/>
  <c r="C109" i="6" s="1"/>
  <c r="H109" i="2"/>
  <c r="V108" i="2"/>
  <c r="AJ108" i="2"/>
  <c r="K108" i="6" s="1"/>
  <c r="AA108" i="6" s="1"/>
  <c r="AS107" i="2"/>
  <c r="W107" i="6" s="1"/>
  <c r="BE99" i="2"/>
  <c r="BC99" i="2"/>
  <c r="BE97" i="2"/>
  <c r="BC97" i="2"/>
  <c r="V102" i="2"/>
  <c r="AJ102" i="2"/>
  <c r="Q105" i="2"/>
  <c r="P105" i="2"/>
  <c r="O103" i="2"/>
  <c r="H103" i="2"/>
  <c r="L98" i="2"/>
  <c r="M98" i="2" s="1"/>
  <c r="K98" i="2"/>
  <c r="AI100" i="2"/>
  <c r="AA102" i="2"/>
  <c r="AH102" i="2"/>
  <c r="AK97" i="2"/>
  <c r="AM97" i="2"/>
  <c r="AH103" i="2"/>
  <c r="AG103" i="2"/>
  <c r="AS100" i="2"/>
  <c r="R100" i="2"/>
  <c r="K101" i="2"/>
  <c r="L101" i="2"/>
  <c r="M101" i="2" s="1"/>
  <c r="AL100" i="2"/>
  <c r="AK100" i="2"/>
  <c r="AO97" i="2"/>
  <c r="H102" i="2"/>
  <c r="O102" i="2"/>
  <c r="P98" i="2"/>
  <c r="Q98" i="2"/>
  <c r="V98" i="2"/>
  <c r="AJ98" i="2"/>
  <c r="AO99" i="2"/>
  <c r="AY99" i="2" s="1"/>
  <c r="AA103" i="2"/>
  <c r="AJ103" i="2"/>
  <c r="U104" i="2"/>
  <c r="V103" i="2"/>
  <c r="AK101" i="2"/>
  <c r="P104" i="2"/>
  <c r="Q104" i="2"/>
  <c r="P101" i="2"/>
  <c r="Q101" i="2"/>
  <c r="AK105" i="2"/>
  <c r="AI97" i="2"/>
  <c r="K104" i="2"/>
  <c r="L104" i="2"/>
  <c r="M104" i="2" s="1"/>
  <c r="AI98" i="2"/>
  <c r="AT97" i="2"/>
  <c r="V94" i="2"/>
  <c r="AJ94" i="2"/>
  <c r="AH94" i="2"/>
  <c r="AG94" i="2"/>
  <c r="O94" i="2"/>
  <c r="H94" i="2"/>
  <c r="AK95" i="2"/>
  <c r="AA94" i="2"/>
  <c r="AI95" i="2"/>
  <c r="Q95" i="2"/>
  <c r="P95" i="2"/>
  <c r="K83" i="2"/>
  <c r="L83" i="2"/>
  <c r="M83" i="2" s="1"/>
  <c r="Y83" i="2"/>
  <c r="F83" i="6" s="1"/>
  <c r="E83" i="6"/>
  <c r="AF84" i="2"/>
  <c r="AG84" i="2" s="1"/>
  <c r="T87" i="2"/>
  <c r="AF88" i="2"/>
  <c r="AG88" i="2" s="1"/>
  <c r="J89" i="2"/>
  <c r="L89" i="2" s="1"/>
  <c r="M89" i="2" s="1"/>
  <c r="AE90" i="2"/>
  <c r="AF90" i="2"/>
  <c r="AH90" i="2" s="1"/>
  <c r="AF91" i="2"/>
  <c r="J92" i="2"/>
  <c r="L92" i="2" s="1"/>
  <c r="M92" i="2" s="1"/>
  <c r="AE83" i="2"/>
  <c r="AF83" i="2"/>
  <c r="G84" i="2"/>
  <c r="O84" i="2" s="1"/>
  <c r="U85" i="2"/>
  <c r="U89" i="2"/>
  <c r="T89" i="2"/>
  <c r="Z85" i="2"/>
  <c r="E85" i="6"/>
  <c r="J93" i="2"/>
  <c r="L93" i="2" s="1"/>
  <c r="M93" i="2" s="1"/>
  <c r="D93" i="2"/>
  <c r="U91" i="2"/>
  <c r="E90" i="6"/>
  <c r="AA85" i="2"/>
  <c r="H85" i="2"/>
  <c r="O85" i="2"/>
  <c r="C85" i="6" s="1"/>
  <c r="J85" i="2"/>
  <c r="V85" i="2"/>
  <c r="H84" i="2"/>
  <c r="AA88" i="2"/>
  <c r="AH88" i="2"/>
  <c r="U83" i="2"/>
  <c r="K84" i="2"/>
  <c r="Q84" i="2"/>
  <c r="AH84" i="2"/>
  <c r="I84" i="6" s="1"/>
  <c r="F85" i="2"/>
  <c r="Y85" i="2"/>
  <c r="F85" i="6" s="1"/>
  <c r="AF85" i="2"/>
  <c r="O86" i="2"/>
  <c r="C86" i="6" s="1"/>
  <c r="AE86" i="2"/>
  <c r="AF86" i="2"/>
  <c r="AJ87" i="2"/>
  <c r="K87" i="6" s="1"/>
  <c r="AA87" i="6" s="1"/>
  <c r="Z89" i="2"/>
  <c r="AH89" i="2" s="1"/>
  <c r="I89" i="6" s="1"/>
  <c r="Y89" i="2"/>
  <c r="F89" i="6" s="1"/>
  <c r="G90" i="2"/>
  <c r="K86" i="2"/>
  <c r="L86" i="2"/>
  <c r="M86" i="2" s="1"/>
  <c r="AS87" i="2"/>
  <c r="W87" i="6" s="1"/>
  <c r="AL87" i="2"/>
  <c r="AM87" i="2" s="1"/>
  <c r="AH87" i="2"/>
  <c r="I87" i="6" s="1"/>
  <c r="AN87" i="2"/>
  <c r="G89" i="2"/>
  <c r="F89" i="2"/>
  <c r="AG89" i="2"/>
  <c r="J90" i="2"/>
  <c r="D90" i="2"/>
  <c r="O91" i="2"/>
  <c r="C91" i="6" s="1"/>
  <c r="H91" i="2"/>
  <c r="AH91" i="2"/>
  <c r="I91" i="6" s="1"/>
  <c r="AG91" i="2"/>
  <c r="G83" i="2"/>
  <c r="Z83" i="2"/>
  <c r="AG83" i="2"/>
  <c r="D84" i="2"/>
  <c r="AJ85" i="2"/>
  <c r="K85" i="6" s="1"/>
  <c r="AA85" i="6" s="1"/>
  <c r="U86" i="2"/>
  <c r="V87" i="2"/>
  <c r="AG87" i="2"/>
  <c r="AE89" i="2"/>
  <c r="J91" i="2"/>
  <c r="D91" i="2"/>
  <c r="AA91" i="2"/>
  <c r="K92" i="2"/>
  <c r="Z92" i="2"/>
  <c r="Y92" i="2"/>
  <c r="F92" i="6" s="1"/>
  <c r="Z93" i="2"/>
  <c r="Y93" i="2"/>
  <c r="F93" i="6" s="1"/>
  <c r="O88" i="2"/>
  <c r="C88" i="6" s="1"/>
  <c r="K89" i="2"/>
  <c r="AG90" i="2"/>
  <c r="G92" i="2"/>
  <c r="F92" i="2"/>
  <c r="AE92" i="2"/>
  <c r="G93" i="2"/>
  <c r="F93" i="2"/>
  <c r="J88" i="2"/>
  <c r="V91" i="2"/>
  <c r="AJ91" i="2"/>
  <c r="K91" i="6" s="1"/>
  <c r="AA91" i="6" s="1"/>
  <c r="U93" i="2"/>
  <c r="T93" i="2"/>
  <c r="AF93" i="2"/>
  <c r="AE93" i="2"/>
  <c r="AW87" i="2"/>
  <c r="AP87" i="2"/>
  <c r="AW107" i="2"/>
  <c r="AP107" i="2"/>
  <c r="AQ97" i="2"/>
  <c r="AX99" i="2"/>
  <c r="AQ99" i="2"/>
  <c r="AX97" i="2"/>
  <c r="M107" i="6" l="1"/>
  <c r="O107" i="6"/>
  <c r="AI112" i="2"/>
  <c r="J112" i="6" s="1"/>
  <c r="AB112" i="6" s="1"/>
  <c r="I112" i="6"/>
  <c r="AI110" i="2"/>
  <c r="J110" i="6" s="1"/>
  <c r="AB110" i="6" s="1"/>
  <c r="I110" i="6"/>
  <c r="AI107" i="2"/>
  <c r="J107" i="6" s="1"/>
  <c r="AB107" i="6" s="1"/>
  <c r="I107" i="6"/>
  <c r="AT110" i="2"/>
  <c r="X110" i="6" s="1"/>
  <c r="Y107" i="6"/>
  <c r="G107" i="6"/>
  <c r="BE107" i="2"/>
  <c r="BC107" i="2"/>
  <c r="Q107" i="6" s="1"/>
  <c r="Q109" i="2"/>
  <c r="P109" i="2"/>
  <c r="D109" i="6" s="1"/>
  <c r="R108" i="2"/>
  <c r="AL108" i="2"/>
  <c r="AS108" i="2"/>
  <c r="W108" i="6" s="1"/>
  <c r="AK107" i="2"/>
  <c r="L107" i="6" s="1"/>
  <c r="AT114" i="2"/>
  <c r="X114" i="6" s="1"/>
  <c r="AK113" i="2"/>
  <c r="L113" i="6" s="1"/>
  <c r="AI113" i="2"/>
  <c r="J113" i="6" s="1"/>
  <c r="AB113" i="6" s="1"/>
  <c r="AO107" i="2"/>
  <c r="AK108" i="2"/>
  <c r="L108" i="6" s="1"/>
  <c r="V114" i="2"/>
  <c r="AJ114" i="2"/>
  <c r="K114" i="6" s="1"/>
  <c r="AA114" i="6" s="1"/>
  <c r="R112" i="2"/>
  <c r="AM112" i="2" s="1"/>
  <c r="AS112" i="2"/>
  <c r="W112" i="6" s="1"/>
  <c r="AI109" i="2"/>
  <c r="J109" i="6" s="1"/>
  <c r="AB109" i="6" s="1"/>
  <c r="Q113" i="2"/>
  <c r="P113" i="2"/>
  <c r="D113" i="6" s="1"/>
  <c r="AT107" i="2"/>
  <c r="X107" i="6" s="1"/>
  <c r="AK112" i="2"/>
  <c r="L112" i="6" s="1"/>
  <c r="AM114" i="2"/>
  <c r="R111" i="2"/>
  <c r="AN111" i="2"/>
  <c r="AL111" i="2"/>
  <c r="AS111" i="2"/>
  <c r="W111" i="6" s="1"/>
  <c r="AM107" i="2"/>
  <c r="AK110" i="2"/>
  <c r="L110" i="6" s="1"/>
  <c r="R115" i="2"/>
  <c r="AN115" i="2"/>
  <c r="AL115" i="2"/>
  <c r="AS115" i="2"/>
  <c r="W115" i="6" s="1"/>
  <c r="AZ97" i="2"/>
  <c r="AR99" i="2"/>
  <c r="AZ99" i="2"/>
  <c r="AR97" i="2"/>
  <c r="BG99" i="2"/>
  <c r="BF99" i="2"/>
  <c r="BD99" i="2"/>
  <c r="AK103" i="2"/>
  <c r="Q102" i="2"/>
  <c r="P102" i="2"/>
  <c r="AM100" i="2"/>
  <c r="AT100" i="2"/>
  <c r="R105" i="2"/>
  <c r="AN105" i="2"/>
  <c r="AS105" i="2"/>
  <c r="AL105" i="2"/>
  <c r="R104" i="2"/>
  <c r="AS104" i="2"/>
  <c r="AL104" i="2"/>
  <c r="V104" i="2"/>
  <c r="AJ104" i="2"/>
  <c r="AK98" i="2"/>
  <c r="R98" i="2"/>
  <c r="AS98" i="2"/>
  <c r="AL98" i="2"/>
  <c r="AI103" i="2"/>
  <c r="Q103" i="2"/>
  <c r="P103" i="2"/>
  <c r="R101" i="2"/>
  <c r="AS101" i="2"/>
  <c r="AL101" i="2"/>
  <c r="AM101" i="2" s="1"/>
  <c r="AN101" i="2"/>
  <c r="AI102" i="2"/>
  <c r="AK102" i="2"/>
  <c r="AY97" i="2"/>
  <c r="AK94" i="2"/>
  <c r="R95" i="2"/>
  <c r="AN95" i="2"/>
  <c r="AL95" i="2"/>
  <c r="AS95" i="2"/>
  <c r="AI94" i="2"/>
  <c r="P94" i="2"/>
  <c r="Q94" i="2"/>
  <c r="M87" i="6"/>
  <c r="O87" i="6"/>
  <c r="AI90" i="2"/>
  <c r="J90" i="6" s="1"/>
  <c r="AB90" i="6" s="1"/>
  <c r="I90" i="6"/>
  <c r="G87" i="6"/>
  <c r="Y87" i="6"/>
  <c r="AH83" i="2"/>
  <c r="I83" i="6" s="1"/>
  <c r="AJ89" i="2"/>
  <c r="K89" i="6" s="1"/>
  <c r="AA89" i="6" s="1"/>
  <c r="U90" i="2"/>
  <c r="V89" i="2"/>
  <c r="AK89" i="2" s="1"/>
  <c r="L89" i="6" s="1"/>
  <c r="K93" i="2"/>
  <c r="U88" i="2"/>
  <c r="AJ88" i="2" s="1"/>
  <c r="K88" i="6" s="1"/>
  <c r="AA88" i="6" s="1"/>
  <c r="AL84" i="2"/>
  <c r="AI88" i="2"/>
  <c r="J88" i="6" s="1"/>
  <c r="AB88" i="6" s="1"/>
  <c r="I88" i="6"/>
  <c r="P84" i="2"/>
  <c r="D84" i="6" s="1"/>
  <c r="C84" i="6"/>
  <c r="BE87" i="2"/>
  <c r="BC87" i="2"/>
  <c r="Q87" i="6" s="1"/>
  <c r="AJ86" i="2"/>
  <c r="K86" i="6" s="1"/>
  <c r="AA86" i="6" s="1"/>
  <c r="V86" i="2"/>
  <c r="Q85" i="2"/>
  <c r="P85" i="2"/>
  <c r="D85" i="6" s="1"/>
  <c r="AJ93" i="2"/>
  <c r="K93" i="6" s="1"/>
  <c r="AA93" i="6" s="1"/>
  <c r="V93" i="2"/>
  <c r="H93" i="2"/>
  <c r="O93" i="2"/>
  <c r="C93" i="6" s="1"/>
  <c r="K91" i="2"/>
  <c r="L91" i="2"/>
  <c r="M91" i="2" s="1"/>
  <c r="AA93" i="2"/>
  <c r="P91" i="2"/>
  <c r="D91" i="6" s="1"/>
  <c r="Q91" i="2"/>
  <c r="AO87" i="2"/>
  <c r="H90" i="2"/>
  <c r="O90" i="2"/>
  <c r="C90" i="6" s="1"/>
  <c r="AG85" i="2"/>
  <c r="AH85" i="2"/>
  <c r="AL85" i="2"/>
  <c r="AG93" i="2"/>
  <c r="AH93" i="2"/>
  <c r="K88" i="2"/>
  <c r="L88" i="2"/>
  <c r="M88" i="2" s="1"/>
  <c r="U92" i="2"/>
  <c r="P88" i="2"/>
  <c r="D88" i="6" s="1"/>
  <c r="Q88" i="2"/>
  <c r="AK87" i="2"/>
  <c r="L87" i="6" s="1"/>
  <c r="AI91" i="2"/>
  <c r="J91" i="6" s="1"/>
  <c r="AB91" i="6" s="1"/>
  <c r="AI87" i="2"/>
  <c r="J87" i="6" s="1"/>
  <c r="AB87" i="6" s="1"/>
  <c r="AG86" i="2"/>
  <c r="AH86" i="2"/>
  <c r="R84" i="2"/>
  <c r="AM84" i="2" s="1"/>
  <c r="AS84" i="2"/>
  <c r="W84" i="6" s="1"/>
  <c r="AJ83" i="2"/>
  <c r="K83" i="6" s="1"/>
  <c r="AA83" i="6" s="1"/>
  <c r="V83" i="2"/>
  <c r="U84" i="2"/>
  <c r="L85" i="2"/>
  <c r="M85" i="2" s="1"/>
  <c r="K85" i="2"/>
  <c r="AA92" i="2"/>
  <c r="AH92" i="2"/>
  <c r="AA83" i="2"/>
  <c r="AI83" i="2" s="1"/>
  <c r="J83" i="6" s="1"/>
  <c r="AB83" i="6" s="1"/>
  <c r="AA89" i="2"/>
  <c r="AI89" i="2" s="1"/>
  <c r="J89" i="6" s="1"/>
  <c r="AB89" i="6" s="1"/>
  <c r="K90" i="2"/>
  <c r="L90" i="2"/>
  <c r="M90" i="2" s="1"/>
  <c r="AK91" i="2"/>
  <c r="L91" i="6" s="1"/>
  <c r="H92" i="2"/>
  <c r="O92" i="2"/>
  <c r="C92" i="6" s="1"/>
  <c r="V88" i="2"/>
  <c r="O83" i="2"/>
  <c r="C83" i="6" s="1"/>
  <c r="H83" i="2"/>
  <c r="H89" i="2"/>
  <c r="O89" i="2"/>
  <c r="C89" i="6" s="1"/>
  <c r="AT87" i="2"/>
  <c r="X87" i="6" s="1"/>
  <c r="P86" i="2"/>
  <c r="D86" i="6" s="1"/>
  <c r="Q86" i="2"/>
  <c r="AL86" i="2" s="1"/>
  <c r="AI84" i="2"/>
  <c r="J84" i="6" s="1"/>
  <c r="AB84" i="6" s="1"/>
  <c r="AK85" i="2"/>
  <c r="L85" i="6" s="1"/>
  <c r="AX87" i="2"/>
  <c r="AQ87" i="2"/>
  <c r="AW111" i="2"/>
  <c r="AP115" i="2"/>
  <c r="AP111" i="2"/>
  <c r="AW115" i="2"/>
  <c r="AQ107" i="2"/>
  <c r="AX107" i="2"/>
  <c r="AP105" i="2"/>
  <c r="AW105" i="2"/>
  <c r="AW101" i="2"/>
  <c r="AP101" i="2"/>
  <c r="AP95" i="2"/>
  <c r="AW95" i="2"/>
  <c r="O115" i="6" l="1"/>
  <c r="M115" i="6"/>
  <c r="Y115" i="6"/>
  <c r="G115" i="6"/>
  <c r="AM115" i="2"/>
  <c r="P107" i="6"/>
  <c r="N107" i="6"/>
  <c r="M111" i="6"/>
  <c r="O111" i="6"/>
  <c r="Y111" i="6"/>
  <c r="G111" i="6"/>
  <c r="Z107" i="6"/>
  <c r="H107" i="6"/>
  <c r="AZ107" i="2"/>
  <c r="AR107" i="2"/>
  <c r="BE115" i="2"/>
  <c r="BC115" i="2"/>
  <c r="Q115" i="6" s="1"/>
  <c r="BE111" i="2"/>
  <c r="BC111" i="2"/>
  <c r="Q111" i="6" s="1"/>
  <c r="AT112" i="2"/>
  <c r="X112" i="6" s="1"/>
  <c r="AM111" i="2"/>
  <c r="R113" i="2"/>
  <c r="AN113" i="2"/>
  <c r="AS113" i="2"/>
  <c r="W113" i="6" s="1"/>
  <c r="AL113" i="2"/>
  <c r="AM108" i="2"/>
  <c r="AT115" i="2"/>
  <c r="X115" i="6" s="1"/>
  <c r="AO111" i="2"/>
  <c r="AK114" i="2"/>
  <c r="L114" i="6" s="1"/>
  <c r="AY107" i="2"/>
  <c r="AO115" i="2"/>
  <c r="AT111" i="2"/>
  <c r="X111" i="6" s="1"/>
  <c r="AT108" i="2"/>
  <c r="X108" i="6" s="1"/>
  <c r="R109" i="2"/>
  <c r="AS109" i="2"/>
  <c r="W109" i="6" s="1"/>
  <c r="AN109" i="2"/>
  <c r="AL109" i="2"/>
  <c r="BE101" i="2"/>
  <c r="BC101" i="2"/>
  <c r="BE105" i="2"/>
  <c r="BC105" i="2"/>
  <c r="AO101" i="2"/>
  <c r="BG97" i="2"/>
  <c r="BF97" i="2"/>
  <c r="BD97" i="2"/>
  <c r="AM105" i="2"/>
  <c r="R102" i="2"/>
  <c r="AL102" i="2"/>
  <c r="AS102" i="2"/>
  <c r="AT101" i="2"/>
  <c r="AM104" i="2"/>
  <c r="AT105" i="2"/>
  <c r="AN100" i="2"/>
  <c r="AN98" i="2"/>
  <c r="AM98" i="2"/>
  <c r="AT104" i="2"/>
  <c r="AO105" i="2"/>
  <c r="AT98" i="2"/>
  <c r="AK104" i="2"/>
  <c r="R103" i="2"/>
  <c r="AL103" i="2"/>
  <c r="AM103" i="2" s="1"/>
  <c r="AS103" i="2"/>
  <c r="AN103" i="2"/>
  <c r="BE95" i="2"/>
  <c r="BC95" i="2"/>
  <c r="AT95" i="2"/>
  <c r="R94" i="2"/>
  <c r="AL94" i="2"/>
  <c r="AS94" i="2"/>
  <c r="AM95" i="2"/>
  <c r="AO95" i="2"/>
  <c r="N87" i="6"/>
  <c r="P87" i="6"/>
  <c r="AI92" i="2"/>
  <c r="J92" i="6" s="1"/>
  <c r="AB92" i="6" s="1"/>
  <c r="I92" i="6"/>
  <c r="AI93" i="2"/>
  <c r="J93" i="6" s="1"/>
  <c r="AB93" i="6" s="1"/>
  <c r="I93" i="6"/>
  <c r="AJ90" i="2"/>
  <c r="K90" i="6" s="1"/>
  <c r="AA90" i="6" s="1"/>
  <c r="V90" i="2"/>
  <c r="AK90" i="2" s="1"/>
  <c r="L90" i="6" s="1"/>
  <c r="AI86" i="2"/>
  <c r="J86" i="6" s="1"/>
  <c r="AB86" i="6" s="1"/>
  <c r="I86" i="6"/>
  <c r="AI85" i="2"/>
  <c r="J85" i="6" s="1"/>
  <c r="AB85" i="6" s="1"/>
  <c r="I85" i="6"/>
  <c r="Z87" i="6"/>
  <c r="H87" i="6"/>
  <c r="AR87" i="2"/>
  <c r="AZ87" i="2"/>
  <c r="AK88" i="2"/>
  <c r="L88" i="6" s="1"/>
  <c r="V84" i="2"/>
  <c r="AJ84" i="2"/>
  <c r="K84" i="6" s="1"/>
  <c r="AA84" i="6" s="1"/>
  <c r="P83" i="2"/>
  <c r="D83" i="6" s="1"/>
  <c r="Q83" i="2"/>
  <c r="R91" i="2"/>
  <c r="AS91" i="2"/>
  <c r="W91" i="6" s="1"/>
  <c r="AN91" i="2"/>
  <c r="AL91" i="2"/>
  <c r="Q89" i="2"/>
  <c r="P89" i="2"/>
  <c r="D89" i="6" s="1"/>
  <c r="Q93" i="2"/>
  <c r="P93" i="2"/>
  <c r="D93" i="6" s="1"/>
  <c r="Q92" i="2"/>
  <c r="P92" i="2"/>
  <c r="D92" i="6" s="1"/>
  <c r="AK83" i="2"/>
  <c r="L83" i="6" s="1"/>
  <c r="V92" i="2"/>
  <c r="AJ92" i="2"/>
  <c r="K92" i="6" s="1"/>
  <c r="AA92" i="6" s="1"/>
  <c r="P90" i="2"/>
  <c r="D90" i="6" s="1"/>
  <c r="Q90" i="2"/>
  <c r="AK93" i="2"/>
  <c r="L93" i="6" s="1"/>
  <c r="R85" i="2"/>
  <c r="AM85" i="2" s="1"/>
  <c r="AS85" i="2"/>
  <c r="W85" i="6" s="1"/>
  <c r="R86" i="2"/>
  <c r="AM86" i="2" s="1"/>
  <c r="AS86" i="2"/>
  <c r="W86" i="6" s="1"/>
  <c r="AT84" i="2"/>
  <c r="X84" i="6" s="1"/>
  <c r="R88" i="2"/>
  <c r="AS88" i="2"/>
  <c r="W88" i="6" s="1"/>
  <c r="AL88" i="2"/>
  <c r="AN85" i="2"/>
  <c r="AK86" i="2"/>
  <c r="L86" i="6" s="1"/>
  <c r="AY87" i="2"/>
  <c r="AP85" i="2"/>
  <c r="AW91" i="2"/>
  <c r="AW85" i="2"/>
  <c r="AP91" i="2"/>
  <c r="AW113" i="2"/>
  <c r="AX115" i="2"/>
  <c r="AQ115" i="2"/>
  <c r="AW109" i="2"/>
  <c r="AQ111" i="2"/>
  <c r="AX111" i="2"/>
  <c r="AP109" i="2"/>
  <c r="AP113" i="2"/>
  <c r="AQ101" i="2"/>
  <c r="AQ105" i="2"/>
  <c r="AP103" i="2"/>
  <c r="AX105" i="2"/>
  <c r="AX101" i="2"/>
  <c r="AW100" i="2"/>
  <c r="AP100" i="2"/>
  <c r="AW98" i="2"/>
  <c r="AP98" i="2"/>
  <c r="AW103" i="2"/>
  <c r="AX95" i="2"/>
  <c r="AQ95" i="2"/>
  <c r="N115" i="6" l="1"/>
  <c r="P115" i="6"/>
  <c r="Z115" i="6"/>
  <c r="H115" i="6"/>
  <c r="M113" i="6"/>
  <c r="M109" i="6"/>
  <c r="P111" i="6"/>
  <c r="N111" i="6"/>
  <c r="O109" i="6"/>
  <c r="O113" i="6"/>
  <c r="Y109" i="6"/>
  <c r="G109" i="6"/>
  <c r="Z111" i="6"/>
  <c r="H111" i="6"/>
  <c r="Y113" i="6"/>
  <c r="G113" i="6"/>
  <c r="AN108" i="2"/>
  <c r="AO108" i="2" s="1"/>
  <c r="AZ111" i="2"/>
  <c r="AR111" i="2"/>
  <c r="BE109" i="2"/>
  <c r="BC109" i="2"/>
  <c r="Q109" i="6" s="1"/>
  <c r="AY109" i="2"/>
  <c r="AR115" i="2"/>
  <c r="AZ115" i="2"/>
  <c r="BE113" i="2"/>
  <c r="BC113" i="2"/>
  <c r="Q113" i="6" s="1"/>
  <c r="AO113" i="2"/>
  <c r="AN112" i="2"/>
  <c r="AN114" i="2"/>
  <c r="AO109" i="2"/>
  <c r="AN110" i="2"/>
  <c r="AM113" i="2"/>
  <c r="AT109" i="2"/>
  <c r="X109" i="6" s="1"/>
  <c r="AT113" i="2"/>
  <c r="X113" i="6" s="1"/>
  <c r="AY111" i="2"/>
  <c r="AY115" i="2"/>
  <c r="BG107" i="2"/>
  <c r="BF107" i="2"/>
  <c r="BD107" i="2"/>
  <c r="R107" i="6" s="1"/>
  <c r="AM109" i="2"/>
  <c r="BE103" i="2"/>
  <c r="BC103" i="2"/>
  <c r="BE98" i="2"/>
  <c r="BC98" i="2"/>
  <c r="AY100" i="2"/>
  <c r="BE100" i="2"/>
  <c r="BC100" i="2"/>
  <c r="AZ101" i="2"/>
  <c r="AZ105" i="2"/>
  <c r="AR105" i="2"/>
  <c r="AR101" i="2"/>
  <c r="AT103" i="2"/>
  <c r="AY103" i="2" s="1"/>
  <c r="AO98" i="2"/>
  <c r="AY98" i="2" s="1"/>
  <c r="AO100" i="2"/>
  <c r="AT102" i="2"/>
  <c r="AO103" i="2"/>
  <c r="AN104" i="2"/>
  <c r="AN102" i="2"/>
  <c r="AM102" i="2"/>
  <c r="AY105" i="2"/>
  <c r="AY101" i="2"/>
  <c r="AR95" i="2"/>
  <c r="AZ95" i="2"/>
  <c r="AY95" i="2"/>
  <c r="AT94" i="2"/>
  <c r="AM94" i="2"/>
  <c r="AN94" i="2"/>
  <c r="M91" i="6"/>
  <c r="O85" i="6"/>
  <c r="O91" i="6"/>
  <c r="M85" i="6"/>
  <c r="Y91" i="6"/>
  <c r="G91" i="6"/>
  <c r="AN86" i="2"/>
  <c r="Y85" i="6"/>
  <c r="G85" i="6"/>
  <c r="BE85" i="2"/>
  <c r="BC85" i="2"/>
  <c r="Q85" i="6" s="1"/>
  <c r="BE91" i="2"/>
  <c r="BC91" i="2"/>
  <c r="Q91" i="6" s="1"/>
  <c r="AO86" i="2"/>
  <c r="AM88" i="2"/>
  <c r="AT86" i="2"/>
  <c r="X86" i="6" s="1"/>
  <c r="R93" i="2"/>
  <c r="AN93" i="2"/>
  <c r="AL93" i="2"/>
  <c r="AS93" i="2"/>
  <c r="W93" i="6" s="1"/>
  <c r="AM91" i="2"/>
  <c r="R83" i="2"/>
  <c r="AN83" i="2"/>
  <c r="AL83" i="2"/>
  <c r="AS83" i="2"/>
  <c r="W83" i="6" s="1"/>
  <c r="BG87" i="2"/>
  <c r="BF87" i="2"/>
  <c r="BD87" i="2"/>
  <c r="R87" i="6" s="1"/>
  <c r="AT88" i="2"/>
  <c r="X88" i="6" s="1"/>
  <c r="R90" i="2"/>
  <c r="AL90" i="2"/>
  <c r="AS90" i="2"/>
  <c r="W90" i="6" s="1"/>
  <c r="AK92" i="2"/>
  <c r="L92" i="6" s="1"/>
  <c r="AO91" i="2"/>
  <c r="AT85" i="2"/>
  <c r="X85" i="6" s="1"/>
  <c r="R92" i="2"/>
  <c r="AL92" i="2"/>
  <c r="AS92" i="2"/>
  <c r="W92" i="6" s="1"/>
  <c r="AT91" i="2"/>
  <c r="X91" i="6" s="1"/>
  <c r="AO85" i="2"/>
  <c r="R89" i="2"/>
  <c r="AN89" i="2"/>
  <c r="AL89" i="2"/>
  <c r="AS89" i="2"/>
  <c r="W89" i="6" s="1"/>
  <c r="AK84" i="2"/>
  <c r="L84" i="6" s="1"/>
  <c r="AP86" i="2"/>
  <c r="AW86" i="2"/>
  <c r="AP93" i="2"/>
  <c r="AQ91" i="2"/>
  <c r="AP89" i="2"/>
  <c r="AP83" i="2"/>
  <c r="AX85" i="2"/>
  <c r="AX91" i="2"/>
  <c r="AX86" i="2"/>
  <c r="AW93" i="2"/>
  <c r="AQ85" i="2"/>
  <c r="AW89" i="2"/>
  <c r="AQ86" i="2"/>
  <c r="AW83" i="2"/>
  <c r="AP108" i="2"/>
  <c r="AW108" i="2"/>
  <c r="AQ113" i="2"/>
  <c r="AW112" i="2"/>
  <c r="AP112" i="2"/>
  <c r="AW114" i="2"/>
  <c r="AP114" i="2"/>
  <c r="AX109" i="2"/>
  <c r="AX108" i="2"/>
  <c r="AQ108" i="2"/>
  <c r="AQ109" i="2"/>
  <c r="AX113" i="2"/>
  <c r="AW110" i="2"/>
  <c r="AP110" i="2"/>
  <c r="AX103" i="2"/>
  <c r="AQ103" i="2"/>
  <c r="AX98" i="2"/>
  <c r="AQ98" i="2"/>
  <c r="AW104" i="2"/>
  <c r="AP104" i="2"/>
  <c r="AX100" i="2"/>
  <c r="AQ100" i="2"/>
  <c r="AW102" i="2"/>
  <c r="AP102" i="2"/>
  <c r="AW94" i="2"/>
  <c r="AP94" i="2"/>
  <c r="M110" i="6" l="1"/>
  <c r="O110" i="6"/>
  <c r="P113" i="6"/>
  <c r="N109" i="6"/>
  <c r="N108" i="6"/>
  <c r="P109" i="6"/>
  <c r="M114" i="6"/>
  <c r="O114" i="6"/>
  <c r="M112" i="6"/>
  <c r="O112" i="6"/>
  <c r="N113" i="6"/>
  <c r="O108" i="6"/>
  <c r="BE108" i="2"/>
  <c r="BC108" i="2"/>
  <c r="Q108" i="6" s="1"/>
  <c r="M108" i="6"/>
  <c r="Z108" i="6"/>
  <c r="H108" i="6"/>
  <c r="Z109" i="6"/>
  <c r="H109" i="6"/>
  <c r="Y114" i="6"/>
  <c r="G114" i="6"/>
  <c r="Y112" i="6"/>
  <c r="G112" i="6"/>
  <c r="Y110" i="6"/>
  <c r="G110" i="6"/>
  <c r="Z113" i="6"/>
  <c r="H113" i="6"/>
  <c r="Y108" i="6"/>
  <c r="G108" i="6"/>
  <c r="BE110" i="2"/>
  <c r="BC110" i="2"/>
  <c r="Q110" i="6" s="1"/>
  <c r="AZ113" i="2"/>
  <c r="AR109" i="2"/>
  <c r="AR108" i="2"/>
  <c r="AZ108" i="2"/>
  <c r="AZ109" i="2"/>
  <c r="BE114" i="2"/>
  <c r="BC114" i="2"/>
  <c r="Q114" i="6" s="1"/>
  <c r="BE112" i="2"/>
  <c r="AY112" i="2"/>
  <c r="BC112" i="2"/>
  <c r="Q112" i="6" s="1"/>
  <c r="AR113" i="2"/>
  <c r="BG115" i="2"/>
  <c r="BF115" i="2"/>
  <c r="BD115" i="2"/>
  <c r="R115" i="6" s="1"/>
  <c r="BG109" i="2"/>
  <c r="BF109" i="2"/>
  <c r="AO110" i="2"/>
  <c r="BD109" i="2"/>
  <c r="R109" i="6" s="1"/>
  <c r="AO114" i="2"/>
  <c r="AY114" i="2" s="1"/>
  <c r="P114" i="6" s="1"/>
  <c r="AY108" i="2"/>
  <c r="P108" i="6" s="1"/>
  <c r="AY113" i="2"/>
  <c r="AO112" i="2"/>
  <c r="BG111" i="2"/>
  <c r="BF111" i="2"/>
  <c r="BD111" i="2"/>
  <c r="R111" i="6" s="1"/>
  <c r="BE102" i="2"/>
  <c r="BC102" i="2"/>
  <c r="AR100" i="2"/>
  <c r="AZ100" i="2"/>
  <c r="AY104" i="2"/>
  <c r="BE104" i="2"/>
  <c r="BC104" i="2"/>
  <c r="AR98" i="2"/>
  <c r="AZ98" i="2"/>
  <c r="AR103" i="2"/>
  <c r="AZ103" i="2"/>
  <c r="BG103" i="2"/>
  <c r="BF103" i="2"/>
  <c r="BD103" i="2"/>
  <c r="BF98" i="2"/>
  <c r="BG98" i="2"/>
  <c r="BD98" i="2"/>
  <c r="BG100" i="2"/>
  <c r="BF100" i="2"/>
  <c r="BD100" i="2"/>
  <c r="AO102" i="2"/>
  <c r="AO104" i="2"/>
  <c r="BG101" i="2"/>
  <c r="BF101" i="2"/>
  <c r="BD101" i="2"/>
  <c r="BG105" i="2"/>
  <c r="BF105" i="2"/>
  <c r="BD105" i="2"/>
  <c r="BE94" i="2"/>
  <c r="BC94" i="2"/>
  <c r="AO94" i="2"/>
  <c r="BG95" i="2"/>
  <c r="BF95" i="2"/>
  <c r="BD95" i="2"/>
  <c r="O83" i="6"/>
  <c r="N86" i="6"/>
  <c r="O89" i="6"/>
  <c r="N85" i="6"/>
  <c r="O93" i="6"/>
  <c r="P91" i="6"/>
  <c r="P85" i="6"/>
  <c r="M83" i="6"/>
  <c r="M89" i="6"/>
  <c r="N91" i="6"/>
  <c r="M93" i="6"/>
  <c r="O86" i="6"/>
  <c r="BC86" i="2"/>
  <c r="Q86" i="6" s="1"/>
  <c r="BE86" i="2"/>
  <c r="M86" i="6"/>
  <c r="Y83" i="6"/>
  <c r="G83" i="6"/>
  <c r="Y89" i="6"/>
  <c r="G89" i="6"/>
  <c r="Z91" i="6"/>
  <c r="H91" i="6"/>
  <c r="Y93" i="6"/>
  <c r="G93" i="6"/>
  <c r="Z85" i="6"/>
  <c r="H85" i="6"/>
  <c r="AM83" i="2"/>
  <c r="Y86" i="6"/>
  <c r="G86" i="6"/>
  <c r="AY91" i="2"/>
  <c r="BD91" i="2" s="1"/>
  <c r="R91" i="6" s="1"/>
  <c r="Z86" i="6"/>
  <c r="H86" i="6"/>
  <c r="BE83" i="2"/>
  <c r="BC83" i="2"/>
  <c r="Q83" i="6" s="1"/>
  <c r="AR86" i="2"/>
  <c r="BE89" i="2"/>
  <c r="BC89" i="2"/>
  <c r="Q89" i="6" s="1"/>
  <c r="AR85" i="2"/>
  <c r="BE93" i="2"/>
  <c r="BC93" i="2"/>
  <c r="Q93" i="6" s="1"/>
  <c r="AZ86" i="2"/>
  <c r="AZ91" i="2"/>
  <c r="AZ85" i="2"/>
  <c r="AR91" i="2"/>
  <c r="AN92" i="2"/>
  <c r="AM92" i="2"/>
  <c r="AT83" i="2"/>
  <c r="AT89" i="2"/>
  <c r="AT90" i="2"/>
  <c r="X90" i="6" s="1"/>
  <c r="AT93" i="2"/>
  <c r="X93" i="6" s="1"/>
  <c r="AM89" i="2"/>
  <c r="AM90" i="2"/>
  <c r="AN90" i="2"/>
  <c r="AO83" i="2"/>
  <c r="AN84" i="2"/>
  <c r="AM93" i="2"/>
  <c r="AY86" i="2"/>
  <c r="P86" i="6" s="1"/>
  <c r="AO89" i="2"/>
  <c r="AT92" i="2"/>
  <c r="X92" i="6" s="1"/>
  <c r="AO93" i="2"/>
  <c r="AN88" i="2"/>
  <c r="AY85" i="2"/>
  <c r="BG91" i="2"/>
  <c r="AX83" i="2"/>
  <c r="AP84" i="2"/>
  <c r="AW84" i="2"/>
  <c r="AX89" i="2"/>
  <c r="AQ93" i="2"/>
  <c r="AW92" i="2"/>
  <c r="AP92" i="2"/>
  <c r="AW90" i="2"/>
  <c r="AP90" i="2"/>
  <c r="AW88" i="2"/>
  <c r="AP88" i="2"/>
  <c r="AX93" i="2"/>
  <c r="AQ83" i="2"/>
  <c r="AQ89" i="2"/>
  <c r="AX112" i="2"/>
  <c r="AQ112" i="2"/>
  <c r="AQ114" i="2"/>
  <c r="AX114" i="2"/>
  <c r="AX110" i="2"/>
  <c r="AQ110" i="2"/>
  <c r="AX104" i="2"/>
  <c r="AQ104" i="2"/>
  <c r="AX102" i="2"/>
  <c r="AQ102" i="2"/>
  <c r="AX94" i="2"/>
  <c r="AQ94" i="2"/>
  <c r="N110" i="6" l="1"/>
  <c r="N114" i="6"/>
  <c r="N112" i="6"/>
  <c r="Z110" i="6"/>
  <c r="H110" i="6"/>
  <c r="Z114" i="6"/>
  <c r="H114" i="6"/>
  <c r="Z112" i="6"/>
  <c r="H112" i="6"/>
  <c r="BD112" i="2"/>
  <c r="R112" i="6" s="1"/>
  <c r="P112" i="6"/>
  <c r="AR110" i="2"/>
  <c r="AZ110" i="2"/>
  <c r="AZ114" i="2"/>
  <c r="AR114" i="2"/>
  <c r="AR112" i="2"/>
  <c r="AZ112" i="2"/>
  <c r="BG113" i="2"/>
  <c r="BF113" i="2"/>
  <c r="BD113" i="2"/>
  <c r="R113" i="6" s="1"/>
  <c r="BF108" i="2"/>
  <c r="BG108" i="2"/>
  <c r="BD108" i="2"/>
  <c r="R108" i="6" s="1"/>
  <c r="BG114" i="2"/>
  <c r="BF114" i="2"/>
  <c r="BD114" i="2"/>
  <c r="R114" i="6" s="1"/>
  <c r="AY110" i="2"/>
  <c r="P110" i="6" s="1"/>
  <c r="BF112" i="2"/>
  <c r="BG112" i="2"/>
  <c r="AR102" i="2"/>
  <c r="AZ102" i="2"/>
  <c r="AR104" i="2"/>
  <c r="AZ104" i="2"/>
  <c r="BG104" i="2"/>
  <c r="BF104" i="2"/>
  <c r="BD104" i="2"/>
  <c r="AY102" i="2"/>
  <c r="AR94" i="2"/>
  <c r="AZ94" i="2"/>
  <c r="AY94" i="2"/>
  <c r="N89" i="6"/>
  <c r="N83" i="6"/>
  <c r="P93" i="6"/>
  <c r="M88" i="6"/>
  <c r="O88" i="6"/>
  <c r="M90" i="6"/>
  <c r="O90" i="6"/>
  <c r="M92" i="6"/>
  <c r="O92" i="6"/>
  <c r="N93" i="6"/>
  <c r="P89" i="6"/>
  <c r="O84" i="6"/>
  <c r="M84" i="6"/>
  <c r="P83" i="6"/>
  <c r="Z89" i="6"/>
  <c r="H89" i="6"/>
  <c r="Y88" i="6"/>
  <c r="G88" i="6"/>
  <c r="G90" i="6"/>
  <c r="Y90" i="6"/>
  <c r="Y92" i="6"/>
  <c r="G92" i="6"/>
  <c r="BF91" i="2"/>
  <c r="Z93" i="6"/>
  <c r="H93" i="6"/>
  <c r="AY89" i="2"/>
  <c r="BF89" i="2" s="1"/>
  <c r="X89" i="6"/>
  <c r="G84" i="6"/>
  <c r="Y84" i="6"/>
  <c r="AY83" i="2"/>
  <c r="BG83" i="2" s="1"/>
  <c r="X83" i="6"/>
  <c r="Z83" i="6"/>
  <c r="H83" i="6"/>
  <c r="AR89" i="2"/>
  <c r="AR83" i="2"/>
  <c r="AZ93" i="2"/>
  <c r="BE88" i="2"/>
  <c r="AY88" i="2"/>
  <c r="BC88" i="2"/>
  <c r="Q88" i="6" s="1"/>
  <c r="BE90" i="2"/>
  <c r="BC90" i="2"/>
  <c r="Q90" i="6" s="1"/>
  <c r="BE92" i="2"/>
  <c r="BC92" i="2"/>
  <c r="Q92" i="6" s="1"/>
  <c r="AR93" i="2"/>
  <c r="AZ89" i="2"/>
  <c r="AY84" i="2"/>
  <c r="BE84" i="2"/>
  <c r="BC84" i="2"/>
  <c r="Q84" i="6" s="1"/>
  <c r="AZ83" i="2"/>
  <c r="BG89" i="2"/>
  <c r="BF83" i="2"/>
  <c r="AO88" i="2"/>
  <c r="BF86" i="2"/>
  <c r="BG86" i="2"/>
  <c r="BD86" i="2"/>
  <c r="R86" i="6" s="1"/>
  <c r="AO90" i="2"/>
  <c r="AO92" i="2"/>
  <c r="BF85" i="2"/>
  <c r="BG85" i="2"/>
  <c r="BD85" i="2"/>
  <c r="R85" i="6" s="1"/>
  <c r="AO84" i="2"/>
  <c r="AY93" i="2"/>
  <c r="AX88" i="2"/>
  <c r="AQ88" i="2"/>
  <c r="AX90" i="2"/>
  <c r="AQ90" i="2"/>
  <c r="AX84" i="2"/>
  <c r="AQ84" i="2"/>
  <c r="AX92" i="2"/>
  <c r="AQ92" i="2"/>
  <c r="BG110" i="2" l="1"/>
  <c r="BF110" i="2"/>
  <c r="BD110" i="2"/>
  <c r="R110" i="6" s="1"/>
  <c r="BF102" i="2"/>
  <c r="BG102" i="2"/>
  <c r="BD102" i="2"/>
  <c r="BF94" i="2"/>
  <c r="BG94" i="2"/>
  <c r="BD94" i="2"/>
  <c r="N92" i="6"/>
  <c r="N84" i="6"/>
  <c r="N90" i="6"/>
  <c r="N88" i="6"/>
  <c r="BD88" i="2"/>
  <c r="R88" i="6" s="1"/>
  <c r="P88" i="6"/>
  <c r="Z90" i="6"/>
  <c r="H90" i="6"/>
  <c r="Z88" i="6"/>
  <c r="H88" i="6"/>
  <c r="BD89" i="2"/>
  <c r="R89" i="6" s="1"/>
  <c r="BD83" i="2"/>
  <c r="R83" i="6" s="1"/>
  <c r="BD84" i="2"/>
  <c r="R84" i="6" s="1"/>
  <c r="P84" i="6"/>
  <c r="Z84" i="6"/>
  <c r="H84" i="6"/>
  <c r="Z92" i="6"/>
  <c r="H92" i="6"/>
  <c r="AR92" i="2"/>
  <c r="AZ92" i="2"/>
  <c r="AR84" i="2"/>
  <c r="AZ84" i="2"/>
  <c r="AR90" i="2"/>
  <c r="AZ90" i="2"/>
  <c r="AR88" i="2"/>
  <c r="AZ88" i="2"/>
  <c r="BG93" i="2"/>
  <c r="BF93" i="2"/>
  <c r="BD93" i="2"/>
  <c r="R93" i="6" s="1"/>
  <c r="BG84" i="2"/>
  <c r="BF84" i="2"/>
  <c r="BF88" i="2"/>
  <c r="BG88" i="2"/>
  <c r="AY92" i="2"/>
  <c r="P92" i="6" s="1"/>
  <c r="AY90" i="2"/>
  <c r="P90" i="6" s="1"/>
  <c r="U81" i="6"/>
  <c r="S81" i="6"/>
  <c r="B81" i="6"/>
  <c r="A81" i="6"/>
  <c r="U80" i="6"/>
  <c r="S80" i="6"/>
  <c r="B80" i="6"/>
  <c r="A80" i="6"/>
  <c r="U79" i="6"/>
  <c r="S79" i="6"/>
  <c r="B79" i="6"/>
  <c r="A79" i="6"/>
  <c r="U78" i="6"/>
  <c r="S78" i="6"/>
  <c r="B78" i="6"/>
  <c r="A78" i="6"/>
  <c r="U77" i="6"/>
  <c r="S77" i="6"/>
  <c r="B77" i="6"/>
  <c r="A77" i="6"/>
  <c r="U76" i="6"/>
  <c r="S76" i="6"/>
  <c r="B76" i="6"/>
  <c r="A76" i="6"/>
  <c r="U75" i="6"/>
  <c r="S75" i="6"/>
  <c r="E75" i="6"/>
  <c r="B75" i="6"/>
  <c r="A75" i="6"/>
  <c r="U74" i="6"/>
  <c r="S74" i="6"/>
  <c r="F74" i="6"/>
  <c r="B74" i="6"/>
  <c r="A74" i="6"/>
  <c r="U73" i="6"/>
  <c r="S73" i="6"/>
  <c r="B73" i="6"/>
  <c r="A73" i="6"/>
  <c r="U72" i="6"/>
  <c r="S72" i="6"/>
  <c r="E72" i="6"/>
  <c r="B72" i="6"/>
  <c r="A72" i="6"/>
  <c r="U71" i="6"/>
  <c r="S71" i="6"/>
  <c r="B71" i="6"/>
  <c r="A71" i="6"/>
  <c r="BB81" i="2"/>
  <c r="BA81" i="2"/>
  <c r="AV81" i="2"/>
  <c r="AE81" i="2"/>
  <c r="AD81" i="2"/>
  <c r="AF81" i="2" s="1"/>
  <c r="Y81" i="2"/>
  <c r="F81" i="6" s="1"/>
  <c r="X81" i="2"/>
  <c r="Z81" i="2" s="1"/>
  <c r="T81" i="2"/>
  <c r="S81" i="2"/>
  <c r="U81" i="2" s="1"/>
  <c r="F81" i="2"/>
  <c r="E81" i="2"/>
  <c r="G81" i="2" s="1"/>
  <c r="D81" i="2"/>
  <c r="C81" i="2"/>
  <c r="J81" i="2" s="1"/>
  <c r="L81" i="2" s="1"/>
  <c r="M81" i="2" s="1"/>
  <c r="B81" i="2"/>
  <c r="A81" i="2"/>
  <c r="BB80" i="2"/>
  <c r="BA80" i="2"/>
  <c r="AV80" i="2"/>
  <c r="AD80" i="2"/>
  <c r="X80" i="2"/>
  <c r="Y80" i="2" s="1"/>
  <c r="F80" i="6" s="1"/>
  <c r="S80" i="2"/>
  <c r="T80" i="2" s="1"/>
  <c r="G80" i="2"/>
  <c r="E80" i="2"/>
  <c r="F80" i="2" s="1"/>
  <c r="C80" i="2"/>
  <c r="B80" i="2"/>
  <c r="A80" i="2"/>
  <c r="BB79" i="2"/>
  <c r="BA79" i="2"/>
  <c r="AV79" i="2"/>
  <c r="AD79" i="2"/>
  <c r="AE79" i="2" s="1"/>
  <c r="Z79" i="2"/>
  <c r="AA79" i="2" s="1"/>
  <c r="X79" i="2"/>
  <c r="S79" i="2"/>
  <c r="T79" i="2" s="1"/>
  <c r="G79" i="2"/>
  <c r="E79" i="2"/>
  <c r="F79" i="2" s="1"/>
  <c r="C79" i="2"/>
  <c r="B79" i="2"/>
  <c r="A79" i="2"/>
  <c r="BB78" i="2"/>
  <c r="BA78" i="2"/>
  <c r="AV78" i="2"/>
  <c r="AD78" i="2"/>
  <c r="X78" i="2"/>
  <c r="E78" i="6" s="1"/>
  <c r="S78" i="2"/>
  <c r="E78" i="2"/>
  <c r="C78" i="2"/>
  <c r="D78" i="2" s="1"/>
  <c r="B78" i="2"/>
  <c r="A78" i="2"/>
  <c r="BB77" i="2"/>
  <c r="BA77" i="2"/>
  <c r="AV77" i="2"/>
  <c r="AD77" i="2"/>
  <c r="X77" i="2"/>
  <c r="S77" i="2"/>
  <c r="E77" i="2"/>
  <c r="C77" i="2"/>
  <c r="D77" i="2" s="1"/>
  <c r="B77" i="2"/>
  <c r="A77" i="2"/>
  <c r="BB76" i="2"/>
  <c r="BA76" i="2"/>
  <c r="AV76" i="2"/>
  <c r="AF76" i="2"/>
  <c r="AD76" i="2"/>
  <c r="AE76" i="2" s="1"/>
  <c r="X76" i="2"/>
  <c r="Y76" i="2" s="1"/>
  <c r="F76" i="6" s="1"/>
  <c r="S76" i="2"/>
  <c r="T76" i="2" s="1"/>
  <c r="E76" i="2"/>
  <c r="F76" i="2" s="1"/>
  <c r="C76" i="2"/>
  <c r="D76" i="2" s="1"/>
  <c r="B76" i="2"/>
  <c r="A76" i="2"/>
  <c r="BB75" i="2"/>
  <c r="BA75" i="2"/>
  <c r="AV75" i="2"/>
  <c r="AG75" i="2"/>
  <c r="AF75" i="2"/>
  <c r="AE75" i="2"/>
  <c r="AD75" i="2"/>
  <c r="X75" i="2"/>
  <c r="Y75" i="2" s="1"/>
  <c r="F75" i="6" s="1"/>
  <c r="T75" i="2"/>
  <c r="S75" i="2"/>
  <c r="U75" i="2" s="1"/>
  <c r="E75" i="2"/>
  <c r="F75" i="2" s="1"/>
  <c r="C75" i="2"/>
  <c r="J75" i="2" s="1"/>
  <c r="L75" i="2" s="1"/>
  <c r="M75" i="2" s="1"/>
  <c r="B75" i="2"/>
  <c r="A75" i="2"/>
  <c r="BB74" i="2"/>
  <c r="BA74" i="2"/>
  <c r="AV74" i="2"/>
  <c r="AD74" i="2"/>
  <c r="X74" i="2"/>
  <c r="Y74" i="2" s="1"/>
  <c r="S74" i="2"/>
  <c r="T74" i="2" s="1"/>
  <c r="E74" i="2"/>
  <c r="F74" i="2" s="1"/>
  <c r="C74" i="2"/>
  <c r="J74" i="2" s="1"/>
  <c r="B74" i="2"/>
  <c r="A74" i="2"/>
  <c r="BB73" i="2"/>
  <c r="BA73" i="2"/>
  <c r="AV73" i="2"/>
  <c r="AD73" i="2"/>
  <c r="AE73" i="2" s="1"/>
  <c r="X73" i="2"/>
  <c r="S73" i="2"/>
  <c r="T73" i="2" s="1"/>
  <c r="E73" i="2"/>
  <c r="F73" i="2" s="1"/>
  <c r="C73" i="2"/>
  <c r="B73" i="2"/>
  <c r="A73" i="2"/>
  <c r="BB72" i="2"/>
  <c r="BA72" i="2"/>
  <c r="AV72" i="2"/>
  <c r="AF72" i="2"/>
  <c r="AG72" i="2" s="1"/>
  <c r="AD72" i="2"/>
  <c r="AE72" i="2" s="1"/>
  <c r="Z72" i="2"/>
  <c r="X72" i="2"/>
  <c r="Y72" i="2" s="1"/>
  <c r="F72" i="6" s="1"/>
  <c r="S72" i="2"/>
  <c r="T72" i="2" s="1"/>
  <c r="G72" i="2"/>
  <c r="H72" i="2" s="1"/>
  <c r="E72" i="2"/>
  <c r="F72" i="2" s="1"/>
  <c r="C72" i="2"/>
  <c r="D72" i="2" s="1"/>
  <c r="B72" i="2"/>
  <c r="A72" i="2"/>
  <c r="BB71" i="2"/>
  <c r="BA71" i="2"/>
  <c r="AV71" i="2"/>
  <c r="AE71" i="2"/>
  <c r="AD71" i="2"/>
  <c r="AF71" i="2" s="1"/>
  <c r="X71" i="2"/>
  <c r="S71" i="2"/>
  <c r="U71" i="2" s="1"/>
  <c r="E71" i="2"/>
  <c r="G71" i="2" s="1"/>
  <c r="C71" i="2"/>
  <c r="D71" i="2" s="1"/>
  <c r="B71" i="2"/>
  <c r="A71" i="2"/>
  <c r="BF92" i="2" l="1"/>
  <c r="BG92" i="2"/>
  <c r="BD92" i="2"/>
  <c r="R92" i="6" s="1"/>
  <c r="BG90" i="2"/>
  <c r="BF90" i="2"/>
  <c r="BD90" i="2"/>
  <c r="R90" i="6" s="1"/>
  <c r="E73" i="6"/>
  <c r="Y73" i="2"/>
  <c r="F73" i="6" s="1"/>
  <c r="K81" i="2"/>
  <c r="T71" i="2"/>
  <c r="G73" i="2"/>
  <c r="Z73" i="2"/>
  <c r="AA73" i="2" s="1"/>
  <c r="Z77" i="2"/>
  <c r="Y77" i="2"/>
  <c r="F77" i="6" s="1"/>
  <c r="E77" i="6"/>
  <c r="F71" i="2"/>
  <c r="Z71" i="2"/>
  <c r="E71" i="6"/>
  <c r="Y71" i="2"/>
  <c r="F71" i="6" s="1"/>
  <c r="AE74" i="2"/>
  <c r="AF74" i="2"/>
  <c r="G75" i="2"/>
  <c r="O75" i="2" s="1"/>
  <c r="G77" i="2"/>
  <c r="F77" i="2"/>
  <c r="AF77" i="2"/>
  <c r="AE77" i="2"/>
  <c r="J79" i="2"/>
  <c r="K79" i="2" s="1"/>
  <c r="D79" i="2"/>
  <c r="U79" i="2"/>
  <c r="AF79" i="2"/>
  <c r="AG79" i="2" s="1"/>
  <c r="AE80" i="2"/>
  <c r="AF80" i="2"/>
  <c r="AG80" i="2" s="1"/>
  <c r="E76" i="6"/>
  <c r="J71" i="2"/>
  <c r="J73" i="2"/>
  <c r="D73" i="2"/>
  <c r="U73" i="2"/>
  <c r="AF73" i="2"/>
  <c r="AG73" i="2" s="1"/>
  <c r="Z75" i="2"/>
  <c r="AA75" i="2" s="1"/>
  <c r="J76" i="2"/>
  <c r="K76" i="2" s="1"/>
  <c r="J77" i="2"/>
  <c r="E79" i="6"/>
  <c r="Y79" i="2"/>
  <c r="F79" i="6" s="1"/>
  <c r="U77" i="2"/>
  <c r="AJ77" i="2" s="1"/>
  <c r="K77" i="6" s="1"/>
  <c r="AA77" i="6" s="1"/>
  <c r="T77" i="2"/>
  <c r="O79" i="2"/>
  <c r="C79" i="6" s="1"/>
  <c r="H79" i="2"/>
  <c r="K75" i="2"/>
  <c r="J78" i="2"/>
  <c r="U80" i="2"/>
  <c r="AJ80" i="2" s="1"/>
  <c r="K80" i="6" s="1"/>
  <c r="AA80" i="6" s="1"/>
  <c r="E80" i="6"/>
  <c r="Z80" i="2"/>
  <c r="AH80" i="2" s="1"/>
  <c r="E74" i="6"/>
  <c r="E81" i="6"/>
  <c r="AA71" i="2"/>
  <c r="K74" i="2"/>
  <c r="L74" i="2"/>
  <c r="M74" i="2" s="1"/>
  <c r="V80" i="2"/>
  <c r="O71" i="2"/>
  <c r="C71" i="6" s="1"/>
  <c r="H71" i="2"/>
  <c r="AJ71" i="2"/>
  <c r="K71" i="6" s="1"/>
  <c r="AA71" i="6" s="1"/>
  <c r="U72" i="2"/>
  <c r="V71" i="2"/>
  <c r="AH71" i="2"/>
  <c r="I71" i="6" s="1"/>
  <c r="AG71" i="2"/>
  <c r="L73" i="2"/>
  <c r="M73" i="2" s="1"/>
  <c r="K73" i="2"/>
  <c r="J72" i="2"/>
  <c r="O72" i="2"/>
  <c r="C72" i="6" s="1"/>
  <c r="AH72" i="2"/>
  <c r="I72" i="6" s="1"/>
  <c r="O77" i="2"/>
  <c r="C77" i="6" s="1"/>
  <c r="H77" i="2"/>
  <c r="L79" i="2"/>
  <c r="M79" i="2" s="1"/>
  <c r="Q79" i="2"/>
  <c r="AN79" i="2" s="1"/>
  <c r="O80" i="2"/>
  <c r="C80" i="6" s="1"/>
  <c r="H80" i="2"/>
  <c r="AA81" i="2"/>
  <c r="G74" i="2"/>
  <c r="Z74" i="2"/>
  <c r="AG74" i="2"/>
  <c r="D75" i="2"/>
  <c r="H75" i="2"/>
  <c r="G76" i="2"/>
  <c r="Z76" i="2"/>
  <c r="AH77" i="2"/>
  <c r="AG77" i="2"/>
  <c r="T78" i="2"/>
  <c r="O81" i="2"/>
  <c r="C81" i="6" s="1"/>
  <c r="H81" i="2"/>
  <c r="AJ75" i="2"/>
  <c r="K75" i="6" s="1"/>
  <c r="AA75" i="6" s="1"/>
  <c r="G78" i="2"/>
  <c r="F78" i="2"/>
  <c r="Z78" i="2"/>
  <c r="Y78" i="2"/>
  <c r="F78" i="6" s="1"/>
  <c r="J80" i="2"/>
  <c r="D80" i="2"/>
  <c r="AA80" i="2"/>
  <c r="V81" i="2"/>
  <c r="AJ81" i="2"/>
  <c r="K81" i="6" s="1"/>
  <c r="AA81" i="6" s="1"/>
  <c r="AH81" i="2"/>
  <c r="AG81" i="2"/>
  <c r="AA72" i="2"/>
  <c r="D74" i="2"/>
  <c r="V75" i="2"/>
  <c r="U76" i="2"/>
  <c r="AH76" i="2"/>
  <c r="I76" i="6" s="1"/>
  <c r="AG76" i="2"/>
  <c r="AA77" i="2"/>
  <c r="L78" i="2"/>
  <c r="M78" i="2" s="1"/>
  <c r="K78" i="2"/>
  <c r="AF78" i="2"/>
  <c r="AE78" i="2"/>
  <c r="AH75" i="2"/>
  <c r="AH79" i="2"/>
  <c r="AL79" i="2"/>
  <c r="U69" i="6"/>
  <c r="S69" i="6"/>
  <c r="B69" i="6"/>
  <c r="A69" i="6"/>
  <c r="U68" i="6"/>
  <c r="S68" i="6"/>
  <c r="B68" i="6"/>
  <c r="A68" i="6"/>
  <c r="U67" i="6"/>
  <c r="S67" i="6"/>
  <c r="B67" i="6"/>
  <c r="A67" i="6"/>
  <c r="U66" i="6"/>
  <c r="S66" i="6"/>
  <c r="B66" i="6"/>
  <c r="A66" i="6"/>
  <c r="U65" i="6"/>
  <c r="S65" i="6"/>
  <c r="B65" i="6"/>
  <c r="A65" i="6"/>
  <c r="U64" i="6"/>
  <c r="S64" i="6"/>
  <c r="E64" i="6"/>
  <c r="B64" i="6"/>
  <c r="A64" i="6"/>
  <c r="U63" i="6"/>
  <c r="S63" i="6"/>
  <c r="B63" i="6"/>
  <c r="A63" i="6"/>
  <c r="U62" i="6"/>
  <c r="S62" i="6"/>
  <c r="B62" i="6"/>
  <c r="A62" i="6"/>
  <c r="U61" i="6"/>
  <c r="S61" i="6"/>
  <c r="B61" i="6"/>
  <c r="A61" i="6"/>
  <c r="U60" i="6"/>
  <c r="S60" i="6"/>
  <c r="C60" i="6"/>
  <c r="B60" i="6"/>
  <c r="A60" i="6"/>
  <c r="U59" i="6"/>
  <c r="S59" i="6"/>
  <c r="B59" i="6"/>
  <c r="A59" i="6"/>
  <c r="BB69" i="2"/>
  <c r="BA69" i="2"/>
  <c r="AV69" i="2"/>
  <c r="AD69" i="2"/>
  <c r="AF69" i="2" s="1"/>
  <c r="X69" i="2"/>
  <c r="S69" i="2"/>
  <c r="U69" i="2" s="1"/>
  <c r="E69" i="2"/>
  <c r="C69" i="2"/>
  <c r="D69" i="2" s="1"/>
  <c r="B69" i="2"/>
  <c r="A69" i="2"/>
  <c r="BB68" i="2"/>
  <c r="BA68" i="2"/>
  <c r="AV68" i="2"/>
  <c r="AD68" i="2"/>
  <c r="AE68" i="2" s="1"/>
  <c r="Y68" i="2"/>
  <c r="F68" i="6" s="1"/>
  <c r="X68" i="2"/>
  <c r="E68" i="6" s="1"/>
  <c r="T68" i="2"/>
  <c r="S68" i="2"/>
  <c r="G68" i="2"/>
  <c r="E68" i="2"/>
  <c r="F68" i="2" s="1"/>
  <c r="C68" i="2"/>
  <c r="B68" i="2"/>
  <c r="A68" i="2"/>
  <c r="BB67" i="2"/>
  <c r="BA67" i="2"/>
  <c r="AV67" i="2"/>
  <c r="AG67" i="2"/>
  <c r="AE67" i="2"/>
  <c r="AD67" i="2"/>
  <c r="AF67" i="2" s="1"/>
  <c r="Y67" i="2"/>
  <c r="F67" i="6" s="1"/>
  <c r="X67" i="2"/>
  <c r="E67" i="6" s="1"/>
  <c r="S67" i="2"/>
  <c r="U67" i="2" s="1"/>
  <c r="E67" i="2"/>
  <c r="G67" i="2" s="1"/>
  <c r="C67" i="2"/>
  <c r="B67" i="2"/>
  <c r="A67" i="2"/>
  <c r="BB66" i="2"/>
  <c r="BA66" i="2"/>
  <c r="AV66" i="2"/>
  <c r="AD66" i="2"/>
  <c r="X66" i="2"/>
  <c r="E66" i="6" s="1"/>
  <c r="S66" i="2"/>
  <c r="E66" i="2"/>
  <c r="C66" i="2"/>
  <c r="D66" i="2" s="1"/>
  <c r="B66" i="2"/>
  <c r="A66" i="2"/>
  <c r="BB65" i="2"/>
  <c r="BA65" i="2"/>
  <c r="AV65" i="2"/>
  <c r="AD65" i="2"/>
  <c r="AF65" i="2" s="1"/>
  <c r="X65" i="2"/>
  <c r="S65" i="2"/>
  <c r="U65" i="2" s="1"/>
  <c r="E65" i="2"/>
  <c r="C65" i="2"/>
  <c r="J65" i="2" s="1"/>
  <c r="L65" i="2" s="1"/>
  <c r="M65" i="2" s="1"/>
  <c r="B65" i="2"/>
  <c r="A65" i="2"/>
  <c r="BB64" i="2"/>
  <c r="BA64" i="2"/>
  <c r="AV64" i="2"/>
  <c r="AD64" i="2"/>
  <c r="AF64" i="2" s="1"/>
  <c r="X64" i="2"/>
  <c r="Z64" i="2" s="1"/>
  <c r="S64" i="2"/>
  <c r="E64" i="2"/>
  <c r="C64" i="2"/>
  <c r="D64" i="2" s="1"/>
  <c r="B64" i="2"/>
  <c r="A64" i="2"/>
  <c r="BB63" i="2"/>
  <c r="BA63" i="2"/>
  <c r="AV63" i="2"/>
  <c r="AE63" i="2"/>
  <c r="AD63" i="2"/>
  <c r="AF63" i="2" s="1"/>
  <c r="AG63" i="2" s="1"/>
  <c r="X63" i="2"/>
  <c r="Y63" i="2" s="1"/>
  <c r="F63" i="6" s="1"/>
  <c r="U63" i="2"/>
  <c r="AJ63" i="2" s="1"/>
  <c r="K63" i="6" s="1"/>
  <c r="AA63" i="6" s="1"/>
  <c r="T63" i="2"/>
  <c r="S63" i="2"/>
  <c r="E63" i="2"/>
  <c r="G63" i="2" s="1"/>
  <c r="C63" i="2"/>
  <c r="B63" i="2"/>
  <c r="A63" i="2"/>
  <c r="BB62" i="2"/>
  <c r="BA62" i="2"/>
  <c r="AV62" i="2"/>
  <c r="AD62" i="2"/>
  <c r="X62" i="2"/>
  <c r="S62" i="2"/>
  <c r="G62" i="2"/>
  <c r="E62" i="2"/>
  <c r="F62" i="2" s="1"/>
  <c r="C62" i="2"/>
  <c r="J62" i="2" s="1"/>
  <c r="B62" i="2"/>
  <c r="A62" i="2"/>
  <c r="BB61" i="2"/>
  <c r="BA61" i="2"/>
  <c r="AV61" i="2"/>
  <c r="AD61" i="2"/>
  <c r="X61" i="2"/>
  <c r="E61" i="6" s="1"/>
  <c r="S61" i="2"/>
  <c r="E61" i="2"/>
  <c r="D61" i="2"/>
  <c r="C61" i="2"/>
  <c r="J61" i="2" s="1"/>
  <c r="B61" i="2"/>
  <c r="A61" i="2"/>
  <c r="BB60" i="2"/>
  <c r="BA60" i="2"/>
  <c r="AV60" i="2"/>
  <c r="AF60" i="2"/>
  <c r="AE60" i="2"/>
  <c r="AD60" i="2"/>
  <c r="X60" i="2"/>
  <c r="T60" i="2"/>
  <c r="S60" i="2"/>
  <c r="G60" i="2"/>
  <c r="O60" i="2" s="1"/>
  <c r="Q60" i="2" s="1"/>
  <c r="R60" i="2" s="1"/>
  <c r="F60" i="2"/>
  <c r="E60" i="2"/>
  <c r="C60" i="2"/>
  <c r="J60" i="2" s="1"/>
  <c r="L60" i="2" s="1"/>
  <c r="M60" i="2" s="1"/>
  <c r="B60" i="2"/>
  <c r="A60" i="2"/>
  <c r="BB59" i="2"/>
  <c r="BA59" i="2"/>
  <c r="AV59" i="2"/>
  <c r="AJ59" i="2"/>
  <c r="K59" i="6" s="1"/>
  <c r="AA59" i="6" s="1"/>
  <c r="AD59" i="2"/>
  <c r="AF59" i="2" s="1"/>
  <c r="X59" i="2"/>
  <c r="Y59" i="2" s="1"/>
  <c r="F59" i="6" s="1"/>
  <c r="U59" i="2"/>
  <c r="T59" i="2"/>
  <c r="S59" i="2"/>
  <c r="G59" i="2"/>
  <c r="E59" i="2"/>
  <c r="F59" i="2" s="1"/>
  <c r="C59" i="2"/>
  <c r="B59" i="2"/>
  <c r="A59" i="2"/>
  <c r="AA57" i="6"/>
  <c r="Z57" i="6"/>
  <c r="Y57" i="6"/>
  <c r="X57" i="6"/>
  <c r="W57" i="6"/>
  <c r="U57" i="6"/>
  <c r="S57" i="6"/>
  <c r="R57" i="6"/>
  <c r="Q57" i="6"/>
  <c r="P57" i="6"/>
  <c r="O57" i="6"/>
  <c r="N57" i="6"/>
  <c r="M57" i="6"/>
  <c r="L57" i="6"/>
  <c r="K57" i="6"/>
  <c r="J57" i="6"/>
  <c r="AB57" i="6" s="1"/>
  <c r="I57" i="6"/>
  <c r="H57" i="6"/>
  <c r="G57" i="6"/>
  <c r="F57" i="6"/>
  <c r="E57" i="6"/>
  <c r="D57" i="6"/>
  <c r="C57" i="6"/>
  <c r="B57" i="6"/>
  <c r="A57" i="6"/>
  <c r="Z56" i="6"/>
  <c r="Y56" i="6"/>
  <c r="X56" i="6"/>
  <c r="W56" i="6"/>
  <c r="U56" i="6"/>
  <c r="S56" i="6"/>
  <c r="R56" i="6"/>
  <c r="Q56" i="6"/>
  <c r="P56" i="6"/>
  <c r="O56" i="6"/>
  <c r="N56" i="6"/>
  <c r="M56" i="6"/>
  <c r="L56" i="6"/>
  <c r="K56" i="6"/>
  <c r="AA56" i="6" s="1"/>
  <c r="J56" i="6"/>
  <c r="AB56" i="6" s="1"/>
  <c r="I56" i="6"/>
  <c r="H56" i="6"/>
  <c r="G56" i="6"/>
  <c r="F56" i="6"/>
  <c r="E56" i="6"/>
  <c r="D56" i="6"/>
  <c r="C56" i="6"/>
  <c r="B56" i="6"/>
  <c r="A56" i="6"/>
  <c r="BB57" i="2"/>
  <c r="BA57" i="2"/>
  <c r="AV57" i="2"/>
  <c r="AD57" i="2"/>
  <c r="AF57" i="2" s="1"/>
  <c r="X57" i="2"/>
  <c r="Z57" i="2" s="1"/>
  <c r="S57" i="2"/>
  <c r="U57" i="2" s="1"/>
  <c r="J57" i="2"/>
  <c r="L57" i="2" s="1"/>
  <c r="M57" i="2" s="1"/>
  <c r="E57" i="2"/>
  <c r="G57" i="2" s="1"/>
  <c r="D57" i="2"/>
  <c r="C57" i="2"/>
  <c r="B57" i="2"/>
  <c r="A57" i="2"/>
  <c r="BB56" i="2"/>
  <c r="BA56" i="2"/>
  <c r="AV56" i="2"/>
  <c r="AE56" i="2"/>
  <c r="AD56" i="2"/>
  <c r="AF56" i="2" s="1"/>
  <c r="Y56" i="2"/>
  <c r="X56" i="2"/>
  <c r="Z56" i="2" s="1"/>
  <c r="T56" i="2"/>
  <c r="S56" i="2"/>
  <c r="K56" i="2"/>
  <c r="J56" i="2"/>
  <c r="L56" i="2" s="1"/>
  <c r="M56" i="2" s="1"/>
  <c r="F56" i="2"/>
  <c r="E56" i="2"/>
  <c r="G56" i="2" s="1"/>
  <c r="C56" i="2"/>
  <c r="D56" i="2" s="1"/>
  <c r="B56" i="2"/>
  <c r="A56" i="2"/>
  <c r="AP79" i="2"/>
  <c r="M79" i="6" l="1"/>
  <c r="AI80" i="2"/>
  <c r="J80" i="6" s="1"/>
  <c r="AB80" i="6" s="1"/>
  <c r="I80" i="6"/>
  <c r="AI75" i="2"/>
  <c r="J75" i="6" s="1"/>
  <c r="AB75" i="6" s="1"/>
  <c r="I75" i="6"/>
  <c r="AI79" i="2"/>
  <c r="J79" i="6" s="1"/>
  <c r="AB79" i="6" s="1"/>
  <c r="I79" i="6"/>
  <c r="U78" i="2"/>
  <c r="V78" i="2" s="1"/>
  <c r="V77" i="2"/>
  <c r="G79" i="6"/>
  <c r="Y79" i="6"/>
  <c r="L71" i="2"/>
  <c r="M71" i="2" s="1"/>
  <c r="K71" i="2"/>
  <c r="P75" i="2"/>
  <c r="D75" i="6" s="1"/>
  <c r="C75" i="6"/>
  <c r="Q75" i="2"/>
  <c r="AI81" i="2"/>
  <c r="J81" i="6" s="1"/>
  <c r="AB81" i="6" s="1"/>
  <c r="I81" i="6"/>
  <c r="AH73" i="2"/>
  <c r="L77" i="2"/>
  <c r="M77" i="2" s="1"/>
  <c r="K77" i="2"/>
  <c r="AJ73" i="2"/>
  <c r="K73" i="6" s="1"/>
  <c r="AA73" i="6" s="1"/>
  <c r="V73" i="2"/>
  <c r="AK73" i="2" s="1"/>
  <c r="L73" i="6" s="1"/>
  <c r="U74" i="2"/>
  <c r="AJ79" i="2"/>
  <c r="K79" i="6" s="1"/>
  <c r="AA79" i="6" s="1"/>
  <c r="V79" i="2"/>
  <c r="AK79" i="2" s="1"/>
  <c r="L79" i="6" s="1"/>
  <c r="AI77" i="2"/>
  <c r="J77" i="6" s="1"/>
  <c r="AB77" i="6" s="1"/>
  <c r="I77" i="6"/>
  <c r="L76" i="2"/>
  <c r="M76" i="2" s="1"/>
  <c r="P79" i="2"/>
  <c r="D79" i="6" s="1"/>
  <c r="O73" i="2"/>
  <c r="H73" i="2"/>
  <c r="O74" i="2"/>
  <c r="C74" i="6" s="1"/>
  <c r="H74" i="2"/>
  <c r="V72" i="2"/>
  <c r="AJ72" i="2"/>
  <c r="K72" i="6" s="1"/>
  <c r="AA72" i="6" s="1"/>
  <c r="Q71" i="2"/>
  <c r="P71" i="2"/>
  <c r="D71" i="6" s="1"/>
  <c r="H78" i="2"/>
  <c r="O78" i="2"/>
  <c r="C78" i="6" s="1"/>
  <c r="AJ78" i="2"/>
  <c r="K78" i="6" s="1"/>
  <c r="AA78" i="6" s="1"/>
  <c r="AA76" i="2"/>
  <c r="P80" i="2"/>
  <c r="D80" i="6" s="1"/>
  <c r="Q80" i="2"/>
  <c r="AI72" i="2"/>
  <c r="J72" i="6" s="1"/>
  <c r="AB72" i="6" s="1"/>
  <c r="AI71" i="2"/>
  <c r="J71" i="6" s="1"/>
  <c r="AB71" i="6" s="1"/>
  <c r="AG78" i="2"/>
  <c r="AH78" i="2"/>
  <c r="I78" i="6" s="1"/>
  <c r="AI76" i="2"/>
  <c r="J76" i="6" s="1"/>
  <c r="AB76" i="6" s="1"/>
  <c r="AK75" i="2"/>
  <c r="L75" i="6" s="1"/>
  <c r="H76" i="2"/>
  <c r="O76" i="2"/>
  <c r="C76" i="6" s="1"/>
  <c r="P72" i="2"/>
  <c r="D72" i="6" s="1"/>
  <c r="Q72" i="2"/>
  <c r="AK80" i="2"/>
  <c r="L80" i="6" s="1"/>
  <c r="V76" i="2"/>
  <c r="AJ76" i="2"/>
  <c r="K76" i="6" s="1"/>
  <c r="AA76" i="6" s="1"/>
  <c r="K80" i="2"/>
  <c r="L80" i="2"/>
  <c r="M80" i="2" s="1"/>
  <c r="AK81" i="2"/>
  <c r="L81" i="6" s="1"/>
  <c r="AA78" i="2"/>
  <c r="Q81" i="2"/>
  <c r="P81" i="2"/>
  <c r="D81" i="6" s="1"/>
  <c r="AK77" i="2"/>
  <c r="L77" i="6" s="1"/>
  <c r="AH74" i="2"/>
  <c r="I74" i="6" s="1"/>
  <c r="AA74" i="2"/>
  <c r="R79" i="2"/>
  <c r="AM79" i="2" s="1"/>
  <c r="AS79" i="2"/>
  <c r="W79" i="6" s="1"/>
  <c r="Q77" i="2"/>
  <c r="P77" i="2"/>
  <c r="D77" i="6" s="1"/>
  <c r="L72" i="2"/>
  <c r="M72" i="2" s="1"/>
  <c r="K72" i="2"/>
  <c r="AK71" i="2"/>
  <c r="L71" i="6" s="1"/>
  <c r="O67" i="2"/>
  <c r="H67" i="2"/>
  <c r="O63" i="2"/>
  <c r="H63" i="2"/>
  <c r="AE62" i="2"/>
  <c r="AF62" i="2"/>
  <c r="AG62" i="2" s="1"/>
  <c r="U68" i="2"/>
  <c r="AJ67" i="2"/>
  <c r="K67" i="6" s="1"/>
  <c r="AA67" i="6" s="1"/>
  <c r="E60" i="6"/>
  <c r="Z60" i="2"/>
  <c r="AS60" i="2" s="1"/>
  <c r="W60" i="6" s="1"/>
  <c r="AL60" i="2"/>
  <c r="F63" i="2"/>
  <c r="U64" i="2"/>
  <c r="AE64" i="2"/>
  <c r="D65" i="2"/>
  <c r="Z65" i="2"/>
  <c r="AH65" i="2" s="1"/>
  <c r="E65" i="6"/>
  <c r="Y65" i="2"/>
  <c r="F65" i="6" s="1"/>
  <c r="F67" i="2"/>
  <c r="T67" i="2"/>
  <c r="G69" i="2"/>
  <c r="H69" i="2" s="1"/>
  <c r="F69" i="2"/>
  <c r="P60" i="2"/>
  <c r="D60" i="6" s="1"/>
  <c r="Y60" i="2"/>
  <c r="F60" i="6" s="1"/>
  <c r="Y62" i="2"/>
  <c r="F62" i="6" s="1"/>
  <c r="E62" i="6"/>
  <c r="Z63" i="2"/>
  <c r="G65" i="2"/>
  <c r="H65" i="2" s="1"/>
  <c r="F65" i="2"/>
  <c r="J66" i="2"/>
  <c r="L66" i="2" s="1"/>
  <c r="M66" i="2" s="1"/>
  <c r="V67" i="2"/>
  <c r="AK67" i="2" s="1"/>
  <c r="L67" i="6" s="1"/>
  <c r="AF68" i="2"/>
  <c r="AG68" i="2" s="1"/>
  <c r="J69" i="2"/>
  <c r="L69" i="2" s="1"/>
  <c r="M69" i="2" s="1"/>
  <c r="AE59" i="2"/>
  <c r="Z62" i="2"/>
  <c r="J63" i="2"/>
  <c r="D63" i="2"/>
  <c r="Y64" i="2"/>
  <c r="F64" i="6" s="1"/>
  <c r="J67" i="2"/>
  <c r="D67" i="2"/>
  <c r="E63" i="6"/>
  <c r="Z69" i="2"/>
  <c r="AH69" i="2" s="1"/>
  <c r="E69" i="6"/>
  <c r="Y69" i="2"/>
  <c r="F69" i="6" s="1"/>
  <c r="E59" i="6"/>
  <c r="Z59" i="2"/>
  <c r="Z67" i="2"/>
  <c r="AA67" i="2" s="1"/>
  <c r="Z68" i="2"/>
  <c r="AA68" i="2" s="1"/>
  <c r="K60" i="2"/>
  <c r="V64" i="2"/>
  <c r="AJ64" i="2"/>
  <c r="K64" i="6" s="1"/>
  <c r="AA64" i="6" s="1"/>
  <c r="U66" i="2"/>
  <c r="T66" i="2"/>
  <c r="V68" i="2"/>
  <c r="AJ68" i="2"/>
  <c r="K68" i="6" s="1"/>
  <c r="AA68" i="6" s="1"/>
  <c r="AH59" i="2"/>
  <c r="AG59" i="2"/>
  <c r="T61" i="2"/>
  <c r="U61" i="2"/>
  <c r="H62" i="2"/>
  <c r="O62" i="2"/>
  <c r="C62" i="6" s="1"/>
  <c r="AH62" i="2"/>
  <c r="AA62" i="2"/>
  <c r="G64" i="2"/>
  <c r="F64" i="2"/>
  <c r="H59" i="2"/>
  <c r="O59" i="2"/>
  <c r="C59" i="6" s="1"/>
  <c r="AA59" i="2"/>
  <c r="G61" i="2"/>
  <c r="F61" i="2"/>
  <c r="Z61" i="2"/>
  <c r="Y61" i="2"/>
  <c r="F61" i="6" s="1"/>
  <c r="AF66" i="2"/>
  <c r="AE66" i="2"/>
  <c r="J59" i="2"/>
  <c r="D59" i="2"/>
  <c r="U60" i="2"/>
  <c r="V59" i="2"/>
  <c r="K61" i="2"/>
  <c r="L61" i="2"/>
  <c r="M61" i="2" s="1"/>
  <c r="AE61" i="2"/>
  <c r="AF61" i="2"/>
  <c r="K62" i="2"/>
  <c r="L62" i="2"/>
  <c r="M62" i="2" s="1"/>
  <c r="T62" i="2"/>
  <c r="U62" i="2"/>
  <c r="K66" i="2"/>
  <c r="AG69" i="2"/>
  <c r="AH64" i="2"/>
  <c r="AG64" i="2"/>
  <c r="V65" i="2"/>
  <c r="AJ65" i="2"/>
  <c r="K65" i="6" s="1"/>
  <c r="AA65" i="6" s="1"/>
  <c r="AG65" i="2"/>
  <c r="K69" i="2"/>
  <c r="T69" i="2"/>
  <c r="AE69" i="2"/>
  <c r="D60" i="2"/>
  <c r="H60" i="2"/>
  <c r="AG60" i="2"/>
  <c r="AM60" i="2" s="1"/>
  <c r="D62" i="2"/>
  <c r="V63" i="2"/>
  <c r="AA63" i="2"/>
  <c r="T64" i="2"/>
  <c r="AA64" i="2"/>
  <c r="K65" i="2"/>
  <c r="T65" i="2"/>
  <c r="AE65" i="2"/>
  <c r="G66" i="2"/>
  <c r="F66" i="2"/>
  <c r="Z66" i="2"/>
  <c r="Y66" i="2"/>
  <c r="F66" i="6" s="1"/>
  <c r="O69" i="2"/>
  <c r="C69" i="6" s="1"/>
  <c r="AA69" i="2"/>
  <c r="J68" i="2"/>
  <c r="D68" i="2"/>
  <c r="AH68" i="2"/>
  <c r="V69" i="2"/>
  <c r="AJ69" i="2"/>
  <c r="K69" i="6" s="1"/>
  <c r="AA69" i="6" s="1"/>
  <c r="AH63" i="2"/>
  <c r="I63" i="6" s="1"/>
  <c r="AH60" i="2"/>
  <c r="J64" i="2"/>
  <c r="AA65" i="2"/>
  <c r="Q67" i="2"/>
  <c r="R67" i="2" s="1"/>
  <c r="AH67" i="2"/>
  <c r="O68" i="2"/>
  <c r="C68" i="6" s="1"/>
  <c r="H68" i="2"/>
  <c r="V57" i="2"/>
  <c r="AJ57" i="2"/>
  <c r="O56" i="2"/>
  <c r="H56" i="2"/>
  <c r="U56" i="2"/>
  <c r="AH56" i="2"/>
  <c r="AG56" i="2"/>
  <c r="AA57" i="2"/>
  <c r="H57" i="2"/>
  <c r="O57" i="2"/>
  <c r="AG57" i="2"/>
  <c r="AH57" i="2"/>
  <c r="AI57" i="2" s="1"/>
  <c r="AA56" i="2"/>
  <c r="F57" i="2"/>
  <c r="K57" i="2"/>
  <c r="T57" i="2"/>
  <c r="Y57" i="2"/>
  <c r="AE57" i="2"/>
  <c r="D55" i="6"/>
  <c r="D54" i="6"/>
  <c r="D53" i="6"/>
  <c r="D52" i="6"/>
  <c r="D51" i="6"/>
  <c r="D50" i="6"/>
  <c r="D49" i="6"/>
  <c r="D48" i="6"/>
  <c r="D47" i="6"/>
  <c r="D46" i="6"/>
  <c r="D45" i="6"/>
  <c r="D43" i="6"/>
  <c r="D42" i="6"/>
  <c r="D41" i="6"/>
  <c r="D40" i="6"/>
  <c r="D39" i="6"/>
  <c r="D38" i="6"/>
  <c r="D37" i="6"/>
  <c r="D36" i="6"/>
  <c r="D35" i="6"/>
  <c r="D33" i="6"/>
  <c r="D32" i="6"/>
  <c r="D31" i="6"/>
  <c r="D30" i="6"/>
  <c r="D29" i="6"/>
  <c r="D28" i="6"/>
  <c r="D27" i="6"/>
  <c r="D26" i="6"/>
  <c r="D25" i="6"/>
  <c r="D24" i="6"/>
  <c r="D23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AW79" i="2"/>
  <c r="O79" i="6" l="1"/>
  <c r="AJ74" i="2"/>
  <c r="K74" i="6" s="1"/>
  <c r="AA74" i="6" s="1"/>
  <c r="V74" i="2"/>
  <c r="AK74" i="2" s="1"/>
  <c r="L74" i="6" s="1"/>
  <c r="R75" i="2"/>
  <c r="AS75" i="2"/>
  <c r="AN75" i="2"/>
  <c r="AL75" i="2"/>
  <c r="C73" i="6"/>
  <c r="Q73" i="2"/>
  <c r="P73" i="2"/>
  <c r="D73" i="6" s="1"/>
  <c r="AI73" i="2"/>
  <c r="J73" i="6" s="1"/>
  <c r="AB73" i="6" s="1"/>
  <c r="I73" i="6"/>
  <c r="BE79" i="2"/>
  <c r="BC79" i="2"/>
  <c r="Q79" i="6" s="1"/>
  <c r="P76" i="2"/>
  <c r="D76" i="6" s="1"/>
  <c r="Q76" i="2"/>
  <c r="AK72" i="2"/>
  <c r="L72" i="6" s="1"/>
  <c r="AO79" i="2"/>
  <c r="R77" i="2"/>
  <c r="AN77" i="2"/>
  <c r="AL77" i="2"/>
  <c r="AM77" i="2" s="1"/>
  <c r="AS77" i="2"/>
  <c r="W77" i="6" s="1"/>
  <c r="AI78" i="2"/>
  <c r="J78" i="6" s="1"/>
  <c r="AB78" i="6" s="1"/>
  <c r="AK78" i="2"/>
  <c r="L78" i="6" s="1"/>
  <c r="R71" i="2"/>
  <c r="AS71" i="2"/>
  <c r="W71" i="6" s="1"/>
  <c r="AN71" i="2"/>
  <c r="AL71" i="2"/>
  <c r="AT79" i="2"/>
  <c r="X79" i="6" s="1"/>
  <c r="AI74" i="2"/>
  <c r="J74" i="6" s="1"/>
  <c r="AB74" i="6" s="1"/>
  <c r="R81" i="2"/>
  <c r="AN81" i="2"/>
  <c r="AL81" i="2"/>
  <c r="AM81" i="2" s="1"/>
  <c r="AS81" i="2"/>
  <c r="W81" i="6" s="1"/>
  <c r="R72" i="2"/>
  <c r="AS72" i="2"/>
  <c r="W72" i="6" s="1"/>
  <c r="AL72" i="2"/>
  <c r="R80" i="2"/>
  <c r="AL80" i="2"/>
  <c r="AS80" i="2"/>
  <c r="W80" i="6" s="1"/>
  <c r="Q78" i="2"/>
  <c r="P78" i="2"/>
  <c r="D78" i="6" s="1"/>
  <c r="P74" i="2"/>
  <c r="D74" i="6" s="1"/>
  <c r="Q74" i="2"/>
  <c r="AK76" i="2"/>
  <c r="L76" i="6" s="1"/>
  <c r="AI69" i="2"/>
  <c r="J69" i="6" s="1"/>
  <c r="AB69" i="6" s="1"/>
  <c r="I69" i="6"/>
  <c r="AI65" i="2"/>
  <c r="J65" i="6" s="1"/>
  <c r="AB65" i="6" s="1"/>
  <c r="I65" i="6"/>
  <c r="AI60" i="2"/>
  <c r="J60" i="6" s="1"/>
  <c r="AB60" i="6" s="1"/>
  <c r="I60" i="6"/>
  <c r="AI64" i="2"/>
  <c r="J64" i="6" s="1"/>
  <c r="AB64" i="6" s="1"/>
  <c r="I64" i="6"/>
  <c r="AI59" i="2"/>
  <c r="J59" i="6" s="1"/>
  <c r="AB59" i="6" s="1"/>
  <c r="I59" i="6"/>
  <c r="L63" i="2"/>
  <c r="M63" i="2" s="1"/>
  <c r="K63" i="2"/>
  <c r="AL67" i="2"/>
  <c r="AM67" i="2" s="1"/>
  <c r="O65" i="2"/>
  <c r="C65" i="6" s="1"/>
  <c r="AA60" i="2"/>
  <c r="K67" i="2"/>
  <c r="L67" i="2"/>
  <c r="M67" i="2" s="1"/>
  <c r="AS63" i="2"/>
  <c r="C63" i="6"/>
  <c r="P63" i="2"/>
  <c r="D63" i="6" s="1"/>
  <c r="Q63" i="2"/>
  <c r="AI67" i="2"/>
  <c r="J67" i="6" s="1"/>
  <c r="AB67" i="6" s="1"/>
  <c r="I67" i="6"/>
  <c r="AI68" i="2"/>
  <c r="J68" i="6" s="1"/>
  <c r="AB68" i="6" s="1"/>
  <c r="I68" i="6"/>
  <c r="AI62" i="2"/>
  <c r="J62" i="6" s="1"/>
  <c r="AB62" i="6" s="1"/>
  <c r="I62" i="6"/>
  <c r="AN67" i="2"/>
  <c r="AT60" i="2"/>
  <c r="X60" i="6" s="1"/>
  <c r="P67" i="2"/>
  <c r="D67" i="6" s="1"/>
  <c r="C67" i="6"/>
  <c r="L64" i="2"/>
  <c r="M64" i="2" s="1"/>
  <c r="K64" i="2"/>
  <c r="AK69" i="2"/>
  <c r="L69" i="6" s="1"/>
  <c r="AK65" i="2"/>
  <c r="L65" i="6" s="1"/>
  <c r="AK59" i="2"/>
  <c r="L59" i="6" s="1"/>
  <c r="K59" i="2"/>
  <c r="L59" i="2"/>
  <c r="M59" i="2" s="1"/>
  <c r="V61" i="2"/>
  <c r="AJ61" i="2"/>
  <c r="K61" i="6" s="1"/>
  <c r="AA61" i="6" s="1"/>
  <c r="AK68" i="2"/>
  <c r="L68" i="6" s="1"/>
  <c r="Q65" i="2"/>
  <c r="AI63" i="2"/>
  <c r="J63" i="6" s="1"/>
  <c r="AB63" i="6" s="1"/>
  <c r="L68" i="2"/>
  <c r="M68" i="2" s="1"/>
  <c r="K68" i="2"/>
  <c r="Q69" i="2"/>
  <c r="P69" i="2"/>
  <c r="D69" i="6" s="1"/>
  <c r="H66" i="2"/>
  <c r="O66" i="2"/>
  <c r="C66" i="6" s="1"/>
  <c r="AK63" i="2"/>
  <c r="L63" i="6" s="1"/>
  <c r="AA61" i="2"/>
  <c r="AK64" i="2"/>
  <c r="L64" i="6" s="1"/>
  <c r="AG61" i="2"/>
  <c r="AH61" i="2"/>
  <c r="V60" i="2"/>
  <c r="AJ60" i="2"/>
  <c r="K60" i="6" s="1"/>
  <c r="AA60" i="6" s="1"/>
  <c r="H64" i="2"/>
  <c r="O64" i="2"/>
  <c r="C64" i="6" s="1"/>
  <c r="P62" i="2"/>
  <c r="D62" i="6" s="1"/>
  <c r="Q62" i="2"/>
  <c r="AS67" i="2"/>
  <c r="W67" i="6" s="1"/>
  <c r="AJ62" i="2"/>
  <c r="K62" i="6" s="1"/>
  <c r="AA62" i="6" s="1"/>
  <c r="V62" i="2"/>
  <c r="Q68" i="2"/>
  <c r="P68" i="2"/>
  <c r="D68" i="6" s="1"/>
  <c r="AA66" i="2"/>
  <c r="AH66" i="2"/>
  <c r="I66" i="6" s="1"/>
  <c r="AG66" i="2"/>
  <c r="H61" i="2"/>
  <c r="O61" i="2"/>
  <c r="C61" i="6" s="1"/>
  <c r="P59" i="2"/>
  <c r="D59" i="6" s="1"/>
  <c r="Q59" i="2"/>
  <c r="AJ66" i="2"/>
  <c r="K66" i="6" s="1"/>
  <c r="AA66" i="6" s="1"/>
  <c r="V66" i="2"/>
  <c r="V56" i="2"/>
  <c r="AJ56" i="2"/>
  <c r="Q57" i="2"/>
  <c r="P57" i="2"/>
  <c r="AK57" i="2"/>
  <c r="AI56" i="2"/>
  <c r="P56" i="2"/>
  <c r="Q56" i="2"/>
  <c r="U55" i="6"/>
  <c r="S55" i="6"/>
  <c r="E55" i="6"/>
  <c r="B55" i="6"/>
  <c r="A55" i="6"/>
  <c r="U54" i="6"/>
  <c r="S54" i="6"/>
  <c r="F54" i="6"/>
  <c r="B54" i="6"/>
  <c r="A54" i="6"/>
  <c r="U53" i="6"/>
  <c r="S53" i="6"/>
  <c r="B53" i="6"/>
  <c r="A53" i="6"/>
  <c r="U52" i="6"/>
  <c r="S52" i="6"/>
  <c r="B52" i="6"/>
  <c r="A52" i="6"/>
  <c r="U51" i="6"/>
  <c r="S51" i="6"/>
  <c r="B51" i="6"/>
  <c r="A51" i="6"/>
  <c r="U50" i="6"/>
  <c r="S50" i="6"/>
  <c r="B50" i="6"/>
  <c r="A50" i="6"/>
  <c r="U49" i="6"/>
  <c r="S49" i="6"/>
  <c r="E49" i="6"/>
  <c r="B49" i="6"/>
  <c r="A49" i="6"/>
  <c r="U48" i="6"/>
  <c r="S48" i="6"/>
  <c r="B48" i="6"/>
  <c r="A48" i="6"/>
  <c r="U47" i="6"/>
  <c r="S47" i="6"/>
  <c r="B47" i="6"/>
  <c r="A47" i="6"/>
  <c r="U46" i="6"/>
  <c r="S46" i="6"/>
  <c r="F46" i="6"/>
  <c r="B46" i="6"/>
  <c r="A46" i="6"/>
  <c r="U45" i="6"/>
  <c r="S45" i="6"/>
  <c r="B45" i="6"/>
  <c r="A45" i="6"/>
  <c r="BB55" i="2"/>
  <c r="BA55" i="2"/>
  <c r="AV55" i="2"/>
  <c r="AD55" i="2"/>
  <c r="AF55" i="2" s="1"/>
  <c r="Y55" i="2"/>
  <c r="F55" i="6" s="1"/>
  <c r="X55" i="2"/>
  <c r="Z55" i="2" s="1"/>
  <c r="S55" i="2"/>
  <c r="U55" i="2" s="1"/>
  <c r="J55" i="2"/>
  <c r="L55" i="2" s="1"/>
  <c r="M55" i="2" s="1"/>
  <c r="E55" i="2"/>
  <c r="G55" i="2" s="1"/>
  <c r="D55" i="2"/>
  <c r="C55" i="2"/>
  <c r="B55" i="2"/>
  <c r="A55" i="2"/>
  <c r="BB54" i="2"/>
  <c r="BA54" i="2"/>
  <c r="AV54" i="2"/>
  <c r="AD54" i="2"/>
  <c r="AE54" i="2" s="1"/>
  <c r="X54" i="2"/>
  <c r="Y54" i="2" s="1"/>
  <c r="S54" i="2"/>
  <c r="T54" i="2" s="1"/>
  <c r="E54" i="2"/>
  <c r="F54" i="2" s="1"/>
  <c r="C54" i="2"/>
  <c r="D54" i="2" s="1"/>
  <c r="B54" i="2"/>
  <c r="A54" i="2"/>
  <c r="BB53" i="2"/>
  <c r="BA53" i="2"/>
  <c r="AV53" i="2"/>
  <c r="AD53" i="2"/>
  <c r="X53" i="2"/>
  <c r="E53" i="6" s="1"/>
  <c r="S53" i="2"/>
  <c r="E53" i="2"/>
  <c r="D53" i="2"/>
  <c r="C53" i="2"/>
  <c r="J53" i="2" s="1"/>
  <c r="B53" i="2"/>
  <c r="A53" i="2"/>
  <c r="BB52" i="2"/>
  <c r="BA52" i="2"/>
  <c r="AV52" i="2"/>
  <c r="AD52" i="2"/>
  <c r="AF52" i="2" s="1"/>
  <c r="X52" i="2"/>
  <c r="T52" i="2"/>
  <c r="S52" i="2"/>
  <c r="J52" i="2"/>
  <c r="L52" i="2" s="1"/>
  <c r="M52" i="2" s="1"/>
  <c r="E52" i="2"/>
  <c r="G52" i="2" s="1"/>
  <c r="H52" i="2" s="1"/>
  <c r="C52" i="2"/>
  <c r="D52" i="2" s="1"/>
  <c r="B52" i="2"/>
  <c r="A52" i="2"/>
  <c r="BB51" i="2"/>
  <c r="BA51" i="2"/>
  <c r="AV51" i="2"/>
  <c r="AF51" i="2"/>
  <c r="AE51" i="2"/>
  <c r="AD51" i="2"/>
  <c r="X51" i="2"/>
  <c r="S51" i="2"/>
  <c r="U51" i="2" s="1"/>
  <c r="G51" i="2"/>
  <c r="F51" i="2"/>
  <c r="E51" i="2"/>
  <c r="C51" i="2"/>
  <c r="B51" i="2"/>
  <c r="A51" i="2"/>
  <c r="BB50" i="2"/>
  <c r="BA50" i="2"/>
  <c r="AV50" i="2"/>
  <c r="AD50" i="2"/>
  <c r="AF50" i="2" s="1"/>
  <c r="Z50" i="2"/>
  <c r="X50" i="2"/>
  <c r="Y50" i="2" s="1"/>
  <c r="F50" i="6" s="1"/>
  <c r="S50" i="2"/>
  <c r="T50" i="2" s="1"/>
  <c r="G50" i="2"/>
  <c r="O50" i="2" s="1"/>
  <c r="P50" i="2" s="1"/>
  <c r="E50" i="2"/>
  <c r="F50" i="2" s="1"/>
  <c r="C50" i="2"/>
  <c r="B50" i="2"/>
  <c r="A50" i="2"/>
  <c r="BB49" i="2"/>
  <c r="BA49" i="2"/>
  <c r="AV49" i="2"/>
  <c r="AD49" i="2"/>
  <c r="X49" i="2"/>
  <c r="S49" i="2"/>
  <c r="E49" i="2"/>
  <c r="C49" i="2"/>
  <c r="B49" i="2"/>
  <c r="A49" i="2"/>
  <c r="BB48" i="2"/>
  <c r="BA48" i="2"/>
  <c r="AV48" i="2"/>
  <c r="AD48" i="2"/>
  <c r="X48" i="2"/>
  <c r="S48" i="2"/>
  <c r="E48" i="2"/>
  <c r="D48" i="2"/>
  <c r="C48" i="2"/>
  <c r="J48" i="2" s="1"/>
  <c r="B48" i="2"/>
  <c r="A48" i="2"/>
  <c r="BB47" i="2"/>
  <c r="BA47" i="2"/>
  <c r="AV47" i="2"/>
  <c r="AF47" i="2"/>
  <c r="AE47" i="2"/>
  <c r="AD47" i="2"/>
  <c r="Y47" i="2"/>
  <c r="F47" i="6" s="1"/>
  <c r="X47" i="2"/>
  <c r="E47" i="6" s="1"/>
  <c r="S47" i="2"/>
  <c r="G47" i="2"/>
  <c r="E47" i="2"/>
  <c r="F47" i="2" s="1"/>
  <c r="C47" i="2"/>
  <c r="B47" i="2"/>
  <c r="A47" i="2"/>
  <c r="BB46" i="2"/>
  <c r="BA46" i="2"/>
  <c r="AV46" i="2"/>
  <c r="AD46" i="2"/>
  <c r="Z46" i="2"/>
  <c r="X46" i="2"/>
  <c r="Y46" i="2" s="1"/>
  <c r="S46" i="2"/>
  <c r="T46" i="2" s="1"/>
  <c r="H46" i="2"/>
  <c r="G46" i="2"/>
  <c r="O46" i="2" s="1"/>
  <c r="P46" i="2" s="1"/>
  <c r="E46" i="2"/>
  <c r="F46" i="2" s="1"/>
  <c r="C46" i="2"/>
  <c r="J46" i="2" s="1"/>
  <c r="K46" i="2" s="1"/>
  <c r="B46" i="2"/>
  <c r="A46" i="2"/>
  <c r="BB45" i="2"/>
  <c r="BA45" i="2"/>
  <c r="AV45" i="2"/>
  <c r="AD45" i="2"/>
  <c r="AF45" i="2" s="1"/>
  <c r="Z45" i="2"/>
  <c r="AA45" i="2" s="1"/>
  <c r="X45" i="2"/>
  <c r="Y45" i="2" s="1"/>
  <c r="F45" i="6" s="1"/>
  <c r="T45" i="2"/>
  <c r="S45" i="2"/>
  <c r="U45" i="2" s="1"/>
  <c r="K45" i="2"/>
  <c r="E45" i="2"/>
  <c r="C45" i="2"/>
  <c r="J45" i="2" s="1"/>
  <c r="L45" i="2" s="1"/>
  <c r="M45" i="2" s="1"/>
  <c r="B45" i="2"/>
  <c r="A45" i="2"/>
  <c r="AP67" i="2"/>
  <c r="AW67" i="2"/>
  <c r="AW75" i="2"/>
  <c r="AP75" i="2"/>
  <c r="AW77" i="2"/>
  <c r="AW71" i="2"/>
  <c r="AW81" i="2"/>
  <c r="AP71" i="2"/>
  <c r="AP77" i="2"/>
  <c r="AP81" i="2"/>
  <c r="AQ79" i="2"/>
  <c r="AX79" i="2"/>
  <c r="P79" i="6" l="1"/>
  <c r="N79" i="6"/>
  <c r="M81" i="6"/>
  <c r="M77" i="6"/>
  <c r="M71" i="6"/>
  <c r="O81" i="6"/>
  <c r="O71" i="6"/>
  <c r="O77" i="6"/>
  <c r="M75" i="6"/>
  <c r="O75" i="6"/>
  <c r="BE75" i="2"/>
  <c r="BC75" i="2"/>
  <c r="Q75" i="6" s="1"/>
  <c r="AY75" i="2"/>
  <c r="BG75" i="2" s="1"/>
  <c r="Y81" i="6"/>
  <c r="G81" i="6"/>
  <c r="Y77" i="6"/>
  <c r="G77" i="6"/>
  <c r="AM75" i="2"/>
  <c r="Y71" i="6"/>
  <c r="G71" i="6"/>
  <c r="Y75" i="6"/>
  <c r="G75" i="6"/>
  <c r="AO75" i="2"/>
  <c r="Z79" i="6"/>
  <c r="H79" i="6"/>
  <c r="AN73" i="2"/>
  <c r="AS73" i="2"/>
  <c r="R73" i="2"/>
  <c r="AO73" i="2" s="1"/>
  <c r="AL73" i="2"/>
  <c r="W75" i="6"/>
  <c r="AT75" i="2"/>
  <c r="AZ79" i="2"/>
  <c r="AR79" i="2"/>
  <c r="BE81" i="2"/>
  <c r="BC81" i="2"/>
  <c r="Q81" i="6" s="1"/>
  <c r="BE71" i="2"/>
  <c r="BC71" i="2"/>
  <c r="Q71" i="6" s="1"/>
  <c r="BE77" i="2"/>
  <c r="BC77" i="2"/>
  <c r="Q77" i="6" s="1"/>
  <c r="R78" i="2"/>
  <c r="AL78" i="2"/>
  <c r="AS78" i="2"/>
  <c r="W78" i="6" s="1"/>
  <c r="AN72" i="2"/>
  <c r="AM72" i="2"/>
  <c r="AY79" i="2"/>
  <c r="R74" i="2"/>
  <c r="AL74" i="2"/>
  <c r="AS74" i="2"/>
  <c r="W74" i="6" s="1"/>
  <c r="AT80" i="2"/>
  <c r="X80" i="6" s="1"/>
  <c r="AT72" i="2"/>
  <c r="X72" i="6" s="1"/>
  <c r="AO81" i="2"/>
  <c r="AM71" i="2"/>
  <c r="AO77" i="2"/>
  <c r="AM80" i="2"/>
  <c r="AN80" i="2"/>
  <c r="AO71" i="2"/>
  <c r="BD75" i="2"/>
  <c r="R75" i="6" s="1"/>
  <c r="AT81" i="2"/>
  <c r="X81" i="6" s="1"/>
  <c r="AT71" i="2"/>
  <c r="AT77" i="2"/>
  <c r="R76" i="2"/>
  <c r="AL76" i="2"/>
  <c r="AS76" i="2"/>
  <c r="W76" i="6" s="1"/>
  <c r="O67" i="6"/>
  <c r="M67" i="6"/>
  <c r="AI61" i="2"/>
  <c r="J61" i="6" s="1"/>
  <c r="AB61" i="6" s="1"/>
  <c r="I61" i="6"/>
  <c r="P65" i="2"/>
  <c r="D65" i="6" s="1"/>
  <c r="AT63" i="2"/>
  <c r="W63" i="6"/>
  <c r="Y67" i="6"/>
  <c r="G67" i="6"/>
  <c r="AO67" i="2"/>
  <c r="R63" i="2"/>
  <c r="AN63" i="2"/>
  <c r="AL63" i="2"/>
  <c r="AM63" i="2" s="1"/>
  <c r="AY67" i="2"/>
  <c r="BE67" i="2"/>
  <c r="BC67" i="2"/>
  <c r="Q67" i="6" s="1"/>
  <c r="R68" i="2"/>
  <c r="AS68" i="2"/>
  <c r="W68" i="6" s="1"/>
  <c r="AL68" i="2"/>
  <c r="AT67" i="2"/>
  <c r="X67" i="6" s="1"/>
  <c r="Q66" i="2"/>
  <c r="P66" i="2"/>
  <c r="D66" i="6" s="1"/>
  <c r="R59" i="2"/>
  <c r="AN59" i="2"/>
  <c r="AS59" i="2"/>
  <c r="W59" i="6" s="1"/>
  <c r="AL59" i="2"/>
  <c r="R62" i="2"/>
  <c r="AL62" i="2"/>
  <c r="AS62" i="2"/>
  <c r="W62" i="6" s="1"/>
  <c r="AK66" i="2"/>
  <c r="L66" i="6" s="1"/>
  <c r="AK62" i="2"/>
  <c r="L62" i="6" s="1"/>
  <c r="AK60" i="2"/>
  <c r="L60" i="6" s="1"/>
  <c r="Q61" i="2"/>
  <c r="P61" i="2"/>
  <c r="D61" i="6" s="1"/>
  <c r="AI66" i="2"/>
  <c r="J66" i="6" s="1"/>
  <c r="AB66" i="6" s="1"/>
  <c r="P64" i="2"/>
  <c r="D64" i="6" s="1"/>
  <c r="Q64" i="2"/>
  <c r="R69" i="2"/>
  <c r="AN69" i="2"/>
  <c r="AL69" i="2"/>
  <c r="AS69" i="2"/>
  <c r="W69" i="6" s="1"/>
  <c r="AK61" i="2"/>
  <c r="L61" i="6" s="1"/>
  <c r="R65" i="2"/>
  <c r="AN65" i="2"/>
  <c r="AL65" i="2"/>
  <c r="AS65" i="2"/>
  <c r="W65" i="6" s="1"/>
  <c r="AK56" i="2"/>
  <c r="R56" i="2"/>
  <c r="AL56" i="2"/>
  <c r="AS56" i="2"/>
  <c r="R57" i="2"/>
  <c r="AN57" i="2"/>
  <c r="AL57" i="2"/>
  <c r="AS57" i="2"/>
  <c r="J49" i="2"/>
  <c r="D49" i="2"/>
  <c r="Z51" i="2"/>
  <c r="E51" i="6"/>
  <c r="Y51" i="2"/>
  <c r="F51" i="6" s="1"/>
  <c r="AE46" i="2"/>
  <c r="AF46" i="2"/>
  <c r="AG46" i="2" s="1"/>
  <c r="Z48" i="2"/>
  <c r="AA48" i="2" s="1"/>
  <c r="E48" i="6"/>
  <c r="Y48" i="2"/>
  <c r="F48" i="6" s="1"/>
  <c r="G48" i="2"/>
  <c r="H48" i="2" s="1"/>
  <c r="F48" i="2"/>
  <c r="G45" i="2"/>
  <c r="F45" i="2"/>
  <c r="U47" i="2"/>
  <c r="T47" i="2"/>
  <c r="J50" i="2"/>
  <c r="D50" i="2"/>
  <c r="Z52" i="2"/>
  <c r="E52" i="6"/>
  <c r="Z47" i="2"/>
  <c r="J54" i="2"/>
  <c r="K54" i="2" s="1"/>
  <c r="C46" i="6"/>
  <c r="E50" i="6"/>
  <c r="AE45" i="2"/>
  <c r="AE50" i="2"/>
  <c r="T51" i="2"/>
  <c r="AE55" i="2"/>
  <c r="E45" i="6"/>
  <c r="D45" i="2"/>
  <c r="E46" i="6"/>
  <c r="C50" i="6"/>
  <c r="E54" i="6"/>
  <c r="O55" i="2"/>
  <c r="C55" i="6" s="1"/>
  <c r="H55" i="2"/>
  <c r="AH55" i="2"/>
  <c r="I55" i="6" s="1"/>
  <c r="AG55" i="2"/>
  <c r="V55" i="2"/>
  <c r="AJ55" i="2"/>
  <c r="K55" i="6" s="1"/>
  <c r="AA55" i="6" s="1"/>
  <c r="AA55" i="2"/>
  <c r="G54" i="2"/>
  <c r="L54" i="2"/>
  <c r="M54" i="2" s="1"/>
  <c r="Z54" i="2"/>
  <c r="AF54" i="2"/>
  <c r="F55" i="2"/>
  <c r="K55" i="2"/>
  <c r="T55" i="2"/>
  <c r="AH47" i="2"/>
  <c r="AG47" i="2"/>
  <c r="T48" i="2"/>
  <c r="AH45" i="2"/>
  <c r="I45" i="6" s="1"/>
  <c r="AG45" i="2"/>
  <c r="D46" i="2"/>
  <c r="L46" i="2"/>
  <c r="M46" i="2" s="1"/>
  <c r="AH51" i="2"/>
  <c r="AG51" i="2"/>
  <c r="Z53" i="2"/>
  <c r="Y53" i="2"/>
  <c r="F53" i="6" s="1"/>
  <c r="K52" i="2"/>
  <c r="AF49" i="2"/>
  <c r="AE49" i="2"/>
  <c r="AH50" i="2"/>
  <c r="I50" i="6" s="1"/>
  <c r="AA46" i="2"/>
  <c r="O47" i="2"/>
  <c r="C47" i="6" s="1"/>
  <c r="H47" i="2"/>
  <c r="U49" i="2"/>
  <c r="U48" i="2" s="1"/>
  <c r="T49" i="2"/>
  <c r="AA50" i="2"/>
  <c r="AG50" i="2"/>
  <c r="J47" i="2"/>
  <c r="D47" i="2"/>
  <c r="L48" i="2"/>
  <c r="M48" i="2" s="1"/>
  <c r="K48" i="2"/>
  <c r="O51" i="2"/>
  <c r="C51" i="6" s="1"/>
  <c r="H51" i="2"/>
  <c r="AG52" i="2"/>
  <c r="AH52" i="2"/>
  <c r="I52" i="6" s="1"/>
  <c r="U46" i="2"/>
  <c r="V45" i="2"/>
  <c r="AJ45" i="2"/>
  <c r="K45" i="6" s="1"/>
  <c r="AA45" i="6" s="1"/>
  <c r="AH46" i="2"/>
  <c r="AF48" i="2"/>
  <c r="AE48" i="2"/>
  <c r="L49" i="2"/>
  <c r="M49" i="2" s="1"/>
  <c r="K49" i="2"/>
  <c r="J51" i="2"/>
  <c r="D51" i="2"/>
  <c r="AE52" i="2"/>
  <c r="G53" i="2"/>
  <c r="F53" i="2"/>
  <c r="AA47" i="2"/>
  <c r="AA52" i="2"/>
  <c r="G49" i="2"/>
  <c r="F49" i="2"/>
  <c r="Z49" i="2"/>
  <c r="Y49" i="2"/>
  <c r="F49" i="6" s="1"/>
  <c r="Q50" i="2"/>
  <c r="R50" i="2" s="1"/>
  <c r="AA51" i="2"/>
  <c r="O52" i="2"/>
  <c r="C52" i="6" s="1"/>
  <c r="Q46" i="2"/>
  <c r="R46" i="2" s="1"/>
  <c r="V47" i="2"/>
  <c r="AJ47" i="2"/>
  <c r="K47" i="6" s="1"/>
  <c r="AA47" i="6" s="1"/>
  <c r="O48" i="2"/>
  <c r="C48" i="6" s="1"/>
  <c r="H50" i="2"/>
  <c r="V51" i="2"/>
  <c r="AJ51" i="2"/>
  <c r="K51" i="6" s="1"/>
  <c r="AA51" i="6" s="1"/>
  <c r="F52" i="2"/>
  <c r="Y52" i="2"/>
  <c r="F52" i="6" s="1"/>
  <c r="L53" i="2"/>
  <c r="M53" i="2" s="1"/>
  <c r="K53" i="2"/>
  <c r="U53" i="2"/>
  <c r="U52" i="2" s="1"/>
  <c r="T53" i="2"/>
  <c r="AF53" i="2"/>
  <c r="AE53" i="2"/>
  <c r="U43" i="6"/>
  <c r="S43" i="6"/>
  <c r="B43" i="6"/>
  <c r="A43" i="6"/>
  <c r="U42" i="6"/>
  <c r="S42" i="6"/>
  <c r="E42" i="6"/>
  <c r="B42" i="6"/>
  <c r="A42" i="6"/>
  <c r="U41" i="6"/>
  <c r="S41" i="6"/>
  <c r="B41" i="6"/>
  <c r="A41" i="6"/>
  <c r="U40" i="6"/>
  <c r="S40" i="6"/>
  <c r="B40" i="6"/>
  <c r="A40" i="6"/>
  <c r="U39" i="6"/>
  <c r="S39" i="6"/>
  <c r="B39" i="6"/>
  <c r="A39" i="6"/>
  <c r="U38" i="6"/>
  <c r="S38" i="6"/>
  <c r="B38" i="6"/>
  <c r="A38" i="6"/>
  <c r="U37" i="6"/>
  <c r="S37" i="6"/>
  <c r="C37" i="6"/>
  <c r="B37" i="6"/>
  <c r="A37" i="6"/>
  <c r="U36" i="6"/>
  <c r="S36" i="6"/>
  <c r="E36" i="6"/>
  <c r="B36" i="6"/>
  <c r="A36" i="6"/>
  <c r="U35" i="6"/>
  <c r="S35" i="6"/>
  <c r="B35" i="6"/>
  <c r="A35" i="6"/>
  <c r="BB43" i="2"/>
  <c r="BA43" i="2"/>
  <c r="AV43" i="2"/>
  <c r="AD43" i="2"/>
  <c r="X43" i="2"/>
  <c r="S43" i="2"/>
  <c r="E43" i="2"/>
  <c r="C43" i="2"/>
  <c r="D43" i="2" s="1"/>
  <c r="B43" i="2"/>
  <c r="A43" i="2"/>
  <c r="BB42" i="2"/>
  <c r="BA42" i="2"/>
  <c r="AV42" i="2"/>
  <c r="AF42" i="2"/>
  <c r="AD42" i="2"/>
  <c r="AE42" i="2" s="1"/>
  <c r="Z42" i="2"/>
  <c r="X42" i="2"/>
  <c r="Y42" i="2" s="1"/>
  <c r="F42" i="6" s="1"/>
  <c r="S42" i="2"/>
  <c r="T42" i="2" s="1"/>
  <c r="E42" i="2"/>
  <c r="C42" i="2"/>
  <c r="B42" i="2"/>
  <c r="A42" i="2"/>
  <c r="BB41" i="2"/>
  <c r="BA41" i="2"/>
  <c r="AV41" i="2"/>
  <c r="AD41" i="2"/>
  <c r="AE41" i="2" s="1"/>
  <c r="X41" i="2"/>
  <c r="S41" i="2"/>
  <c r="T41" i="2" s="1"/>
  <c r="E41" i="2"/>
  <c r="F41" i="2" s="1"/>
  <c r="C41" i="2"/>
  <c r="B41" i="2"/>
  <c r="A41" i="2"/>
  <c r="BB40" i="2"/>
  <c r="BA40" i="2"/>
  <c r="AV40" i="2"/>
  <c r="AD40" i="2"/>
  <c r="X40" i="2"/>
  <c r="E40" i="6" s="1"/>
  <c r="S40" i="2"/>
  <c r="J40" i="2"/>
  <c r="E40" i="2"/>
  <c r="C40" i="2"/>
  <c r="D40" i="2" s="1"/>
  <c r="B40" i="2"/>
  <c r="A40" i="2"/>
  <c r="BB39" i="2"/>
  <c r="BA39" i="2"/>
  <c r="AV39" i="2"/>
  <c r="AD39" i="2"/>
  <c r="X39" i="2"/>
  <c r="S39" i="2"/>
  <c r="E39" i="2"/>
  <c r="C39" i="2"/>
  <c r="D39" i="2" s="1"/>
  <c r="B39" i="2"/>
  <c r="A39" i="2"/>
  <c r="BB38" i="2"/>
  <c r="BA38" i="2"/>
  <c r="AV38" i="2"/>
  <c r="AF38" i="2"/>
  <c r="AD38" i="2"/>
  <c r="AE38" i="2" s="1"/>
  <c r="X38" i="2"/>
  <c r="Z38" i="2" s="1"/>
  <c r="S38" i="2"/>
  <c r="T38" i="2" s="1"/>
  <c r="E38" i="2"/>
  <c r="C38" i="2"/>
  <c r="B38" i="2"/>
  <c r="A38" i="2"/>
  <c r="BB37" i="2"/>
  <c r="BA37" i="2"/>
  <c r="AV37" i="2"/>
  <c r="AD37" i="2"/>
  <c r="AF37" i="2" s="1"/>
  <c r="AG37" i="2" s="1"/>
  <c r="X37" i="2"/>
  <c r="S37" i="2"/>
  <c r="U37" i="2" s="1"/>
  <c r="V37" i="2" s="1"/>
  <c r="AK37" i="2" s="1"/>
  <c r="L37" i="6" s="1"/>
  <c r="J37" i="2"/>
  <c r="F37" i="2"/>
  <c r="E37" i="2"/>
  <c r="G37" i="2" s="1"/>
  <c r="O37" i="2" s="1"/>
  <c r="C37" i="2"/>
  <c r="D37" i="2" s="1"/>
  <c r="B37" i="2"/>
  <c r="A37" i="2"/>
  <c r="BB36" i="2"/>
  <c r="BA36" i="2"/>
  <c r="AV36" i="2"/>
  <c r="AD36" i="2"/>
  <c r="AE36" i="2" s="1"/>
  <c r="X36" i="2"/>
  <c r="Y36" i="2" s="1"/>
  <c r="F36" i="6" s="1"/>
  <c r="S36" i="2"/>
  <c r="T36" i="2" s="1"/>
  <c r="J36" i="2"/>
  <c r="K36" i="2" s="1"/>
  <c r="E36" i="2"/>
  <c r="F36" i="2" s="1"/>
  <c r="C36" i="2"/>
  <c r="D36" i="2" s="1"/>
  <c r="B36" i="2"/>
  <c r="A36" i="2"/>
  <c r="BB35" i="2"/>
  <c r="BA35" i="2"/>
  <c r="AV35" i="2"/>
  <c r="AF35" i="2"/>
  <c r="AD35" i="2"/>
  <c r="AE35" i="2" s="1"/>
  <c r="Z35" i="2"/>
  <c r="Y35" i="2"/>
  <c r="F35" i="6" s="1"/>
  <c r="X35" i="2"/>
  <c r="E35" i="6" s="1"/>
  <c r="S35" i="2"/>
  <c r="U35" i="2" s="1"/>
  <c r="AJ35" i="2" s="1"/>
  <c r="K35" i="6" s="1"/>
  <c r="AA35" i="6" s="1"/>
  <c r="E35" i="2"/>
  <c r="G35" i="2" s="1"/>
  <c r="C35" i="2"/>
  <c r="J35" i="2" s="1"/>
  <c r="L35" i="2" s="1"/>
  <c r="M35" i="2" s="1"/>
  <c r="B35" i="2"/>
  <c r="A35" i="2"/>
  <c r="AW63" i="2"/>
  <c r="AP63" i="2"/>
  <c r="AQ67" i="2"/>
  <c r="AW65" i="2"/>
  <c r="AX67" i="2"/>
  <c r="AP59" i="2"/>
  <c r="AP65" i="2"/>
  <c r="AW59" i="2"/>
  <c r="AW69" i="2"/>
  <c r="AP69" i="2"/>
  <c r="AW57" i="2"/>
  <c r="AP57" i="2"/>
  <c r="AP73" i="2"/>
  <c r="AQ75" i="2"/>
  <c r="AW73" i="2"/>
  <c r="AX75" i="2"/>
  <c r="AQ73" i="2"/>
  <c r="AQ77" i="2"/>
  <c r="AX71" i="2"/>
  <c r="AX77" i="2"/>
  <c r="AW72" i="2"/>
  <c r="AP72" i="2"/>
  <c r="AQ81" i="2"/>
  <c r="AW80" i="2"/>
  <c r="AP80" i="2"/>
  <c r="AQ71" i="2"/>
  <c r="AX81" i="2"/>
  <c r="P81" i="6" l="1"/>
  <c r="N71" i="6"/>
  <c r="M80" i="6"/>
  <c r="O80" i="6"/>
  <c r="N81" i="6"/>
  <c r="M72" i="6"/>
  <c r="O72" i="6"/>
  <c r="P77" i="6"/>
  <c r="P71" i="6"/>
  <c r="N77" i="6"/>
  <c r="N73" i="6"/>
  <c r="AR73" i="2"/>
  <c r="P75" i="6"/>
  <c r="AZ75" i="2"/>
  <c r="O73" i="6"/>
  <c r="BE73" i="2"/>
  <c r="BC73" i="2"/>
  <c r="Q73" i="6" s="1"/>
  <c r="AY73" i="2"/>
  <c r="BG73" i="2" s="1"/>
  <c r="N75" i="6"/>
  <c r="AR75" i="2"/>
  <c r="M73" i="6"/>
  <c r="Y80" i="6"/>
  <c r="G80" i="6"/>
  <c r="Z73" i="6"/>
  <c r="H73" i="6"/>
  <c r="AY77" i="2"/>
  <c r="BD77" i="2" s="1"/>
  <c r="R77" i="6" s="1"/>
  <c r="X77" i="6"/>
  <c r="BF75" i="2"/>
  <c r="X75" i="6"/>
  <c r="W73" i="6"/>
  <c r="AT73" i="2"/>
  <c r="Z75" i="6"/>
  <c r="H75" i="6"/>
  <c r="AY71" i="2"/>
  <c r="BF71" i="2" s="1"/>
  <c r="X71" i="6"/>
  <c r="Z77" i="6"/>
  <c r="H77" i="6"/>
  <c r="Y73" i="6"/>
  <c r="G73" i="6"/>
  <c r="Z81" i="6"/>
  <c r="H81" i="6"/>
  <c r="Y72" i="6"/>
  <c r="G72" i="6"/>
  <c r="Z71" i="6"/>
  <c r="H71" i="6"/>
  <c r="AM73" i="2"/>
  <c r="AZ81" i="2"/>
  <c r="AR71" i="2"/>
  <c r="BE80" i="2"/>
  <c r="BC80" i="2"/>
  <c r="Q80" i="6" s="1"/>
  <c r="AR81" i="2"/>
  <c r="BE72" i="2"/>
  <c r="AY72" i="2"/>
  <c r="P72" i="6" s="1"/>
  <c r="BC72" i="2"/>
  <c r="Q72" i="6" s="1"/>
  <c r="AZ77" i="2"/>
  <c r="AZ71" i="2"/>
  <c r="AR77" i="2"/>
  <c r="BF77" i="2"/>
  <c r="BG71" i="2"/>
  <c r="BD71" i="2"/>
  <c r="R71" i="6" s="1"/>
  <c r="AM76" i="2"/>
  <c r="AN76" i="2"/>
  <c r="AT74" i="2"/>
  <c r="X74" i="6" s="1"/>
  <c r="AO80" i="2"/>
  <c r="AM74" i="2"/>
  <c r="AN74" i="2"/>
  <c r="AO72" i="2"/>
  <c r="AY81" i="2"/>
  <c r="BF73" i="2"/>
  <c r="AT78" i="2"/>
  <c r="X78" i="6" s="1"/>
  <c r="AT76" i="2"/>
  <c r="X76" i="6" s="1"/>
  <c r="BG79" i="2"/>
  <c r="BF79" i="2"/>
  <c r="BD79" i="2"/>
  <c r="R79" i="6" s="1"/>
  <c r="AN78" i="2"/>
  <c r="AM78" i="2"/>
  <c r="M69" i="6"/>
  <c r="O69" i="6"/>
  <c r="O59" i="6"/>
  <c r="M65" i="6"/>
  <c r="M59" i="6"/>
  <c r="P67" i="6"/>
  <c r="O65" i="6"/>
  <c r="N67" i="6"/>
  <c r="AR67" i="2"/>
  <c r="M63" i="6"/>
  <c r="O63" i="6"/>
  <c r="BE63" i="2"/>
  <c r="BC63" i="2"/>
  <c r="Q63" i="6" s="1"/>
  <c r="Y69" i="6"/>
  <c r="G69" i="6"/>
  <c r="Z67" i="6"/>
  <c r="H67" i="6"/>
  <c r="X63" i="6"/>
  <c r="Y63" i="6"/>
  <c r="G63" i="6"/>
  <c r="AO63" i="2"/>
  <c r="Y65" i="6"/>
  <c r="G65" i="6"/>
  <c r="Y59" i="6"/>
  <c r="G59" i="6"/>
  <c r="BE69" i="2"/>
  <c r="BC69" i="2"/>
  <c r="Q69" i="6" s="1"/>
  <c r="BE59" i="2"/>
  <c r="BC59" i="2"/>
  <c r="Q59" i="6" s="1"/>
  <c r="AZ67" i="2"/>
  <c r="BE65" i="2"/>
  <c r="BC65" i="2"/>
  <c r="Q65" i="6" s="1"/>
  <c r="AO69" i="2"/>
  <c r="AM65" i="2"/>
  <c r="AT69" i="2"/>
  <c r="X69" i="6" s="1"/>
  <c r="R64" i="2"/>
  <c r="AL64" i="2"/>
  <c r="AS64" i="2"/>
  <c r="W64" i="6" s="1"/>
  <c r="R61" i="2"/>
  <c r="AS61" i="2"/>
  <c r="W61" i="6" s="1"/>
  <c r="AN61" i="2"/>
  <c r="AL61" i="2"/>
  <c r="AT62" i="2"/>
  <c r="X62" i="6" s="1"/>
  <c r="AT59" i="2"/>
  <c r="R66" i="2"/>
  <c r="AS66" i="2"/>
  <c r="W66" i="6" s="1"/>
  <c r="AL66" i="2"/>
  <c r="AO65" i="2"/>
  <c r="AM69" i="2"/>
  <c r="AM62" i="2"/>
  <c r="AN62" i="2"/>
  <c r="AO59" i="2"/>
  <c r="AN60" i="2"/>
  <c r="BG67" i="2"/>
  <c r="BF67" i="2"/>
  <c r="AM68" i="2"/>
  <c r="AN68" i="2"/>
  <c r="AT65" i="2"/>
  <c r="X65" i="6" s="1"/>
  <c r="AM59" i="2"/>
  <c r="AT68" i="2"/>
  <c r="X68" i="6" s="1"/>
  <c r="BD67" i="2"/>
  <c r="R67" i="6" s="1"/>
  <c r="BE57" i="2"/>
  <c r="BC57" i="2"/>
  <c r="AO57" i="2"/>
  <c r="AT57" i="2"/>
  <c r="AT56" i="2"/>
  <c r="AM57" i="2"/>
  <c r="AM56" i="2"/>
  <c r="AN56" i="2"/>
  <c r="AI51" i="2"/>
  <c r="J51" i="6" s="1"/>
  <c r="AB51" i="6" s="1"/>
  <c r="I51" i="6"/>
  <c r="U54" i="2"/>
  <c r="AJ54" i="2" s="1"/>
  <c r="K54" i="6" s="1"/>
  <c r="AA54" i="6" s="1"/>
  <c r="AI46" i="2"/>
  <c r="J46" i="6" s="1"/>
  <c r="AB46" i="6" s="1"/>
  <c r="I46" i="6"/>
  <c r="AI47" i="2"/>
  <c r="J47" i="6" s="1"/>
  <c r="AB47" i="6" s="1"/>
  <c r="I47" i="6"/>
  <c r="K50" i="2"/>
  <c r="L50" i="2"/>
  <c r="M50" i="2" s="1"/>
  <c r="O45" i="2"/>
  <c r="H45" i="2"/>
  <c r="V54" i="2"/>
  <c r="AH54" i="2"/>
  <c r="I54" i="6" s="1"/>
  <c r="AG54" i="2"/>
  <c r="O54" i="2"/>
  <c r="C54" i="6" s="1"/>
  <c r="H54" i="2"/>
  <c r="AK55" i="2"/>
  <c r="L55" i="6" s="1"/>
  <c r="AI55" i="2"/>
  <c r="J55" i="6" s="1"/>
  <c r="AB55" i="6" s="1"/>
  <c r="AA54" i="2"/>
  <c r="Q55" i="2"/>
  <c r="P55" i="2"/>
  <c r="H49" i="2"/>
  <c r="O49" i="2"/>
  <c r="C49" i="6" s="1"/>
  <c r="V52" i="2"/>
  <c r="AJ52" i="2"/>
  <c r="K52" i="6" s="1"/>
  <c r="AA52" i="6" s="1"/>
  <c r="V46" i="2"/>
  <c r="AJ46" i="2"/>
  <c r="K46" i="6" s="1"/>
  <c r="AA46" i="6" s="1"/>
  <c r="AS50" i="2"/>
  <c r="W50" i="6" s="1"/>
  <c r="AK47" i="2"/>
  <c r="L47" i="6" s="1"/>
  <c r="AA49" i="2"/>
  <c r="H53" i="2"/>
  <c r="O53" i="2"/>
  <c r="C53" i="6" s="1"/>
  <c r="AI52" i="2"/>
  <c r="J52" i="6" s="1"/>
  <c r="AB52" i="6" s="1"/>
  <c r="L47" i="2"/>
  <c r="M47" i="2" s="1"/>
  <c r="K47" i="2"/>
  <c r="AA53" i="2"/>
  <c r="V48" i="2"/>
  <c r="AJ48" i="2"/>
  <c r="K48" i="6" s="1"/>
  <c r="AA48" i="6" s="1"/>
  <c r="AG53" i="2"/>
  <c r="AH53" i="2"/>
  <c r="I53" i="6" s="1"/>
  <c r="AK51" i="2"/>
  <c r="L51" i="6" s="1"/>
  <c r="L51" i="2"/>
  <c r="M51" i="2" s="1"/>
  <c r="K51" i="2"/>
  <c r="AG48" i="2"/>
  <c r="AH48" i="2"/>
  <c r="AL48" i="2"/>
  <c r="AK45" i="2"/>
  <c r="L45" i="6" s="1"/>
  <c r="AJ49" i="2"/>
  <c r="K49" i="6" s="1"/>
  <c r="AA49" i="6" s="1"/>
  <c r="U50" i="2"/>
  <c r="V49" i="2"/>
  <c r="AS46" i="2"/>
  <c r="W46" i="6" s="1"/>
  <c r="AH49" i="2"/>
  <c r="AG49" i="2"/>
  <c r="AI50" i="2"/>
  <c r="J50" i="6" s="1"/>
  <c r="AB50" i="6" s="1"/>
  <c r="Q48" i="2"/>
  <c r="P48" i="2"/>
  <c r="AJ53" i="2"/>
  <c r="K53" i="6" s="1"/>
  <c r="AA53" i="6" s="1"/>
  <c r="V53" i="2"/>
  <c r="Q52" i="2"/>
  <c r="P52" i="2"/>
  <c r="AL46" i="2"/>
  <c r="P51" i="2"/>
  <c r="Q51" i="2"/>
  <c r="P47" i="2"/>
  <c r="Q47" i="2"/>
  <c r="AL50" i="2"/>
  <c r="AI45" i="2"/>
  <c r="J45" i="6" s="1"/>
  <c r="AB45" i="6" s="1"/>
  <c r="Z37" i="2"/>
  <c r="AA37" i="2" s="1"/>
  <c r="Y37" i="2"/>
  <c r="F37" i="6" s="1"/>
  <c r="U39" i="2"/>
  <c r="T39" i="2"/>
  <c r="Y41" i="2"/>
  <c r="F41" i="6" s="1"/>
  <c r="E41" i="6"/>
  <c r="U43" i="2"/>
  <c r="T43" i="2"/>
  <c r="L37" i="2"/>
  <c r="M37" i="2" s="1"/>
  <c r="K37" i="2"/>
  <c r="Z39" i="2"/>
  <c r="E39" i="6"/>
  <c r="Y39" i="2"/>
  <c r="F39" i="6" s="1"/>
  <c r="G41" i="2"/>
  <c r="Z41" i="2"/>
  <c r="AA41" i="2" s="1"/>
  <c r="Z43" i="2"/>
  <c r="E43" i="6"/>
  <c r="Y43" i="2"/>
  <c r="F43" i="6" s="1"/>
  <c r="E37" i="6"/>
  <c r="T35" i="2"/>
  <c r="F38" i="2"/>
  <c r="G38" i="2"/>
  <c r="O38" i="2" s="1"/>
  <c r="C38" i="6" s="1"/>
  <c r="G39" i="2"/>
  <c r="F39" i="2"/>
  <c r="AF39" i="2"/>
  <c r="AG39" i="2" s="1"/>
  <c r="AE39" i="2"/>
  <c r="F42" i="2"/>
  <c r="G42" i="2"/>
  <c r="H42" i="2" s="1"/>
  <c r="G43" i="2"/>
  <c r="H43" i="2" s="1"/>
  <c r="F43" i="2"/>
  <c r="AF43" i="2"/>
  <c r="AE43" i="2"/>
  <c r="D35" i="2"/>
  <c r="T37" i="2"/>
  <c r="AE37" i="2"/>
  <c r="J39" i="2"/>
  <c r="J41" i="2"/>
  <c r="K41" i="2" s="1"/>
  <c r="D41" i="2"/>
  <c r="U41" i="2"/>
  <c r="AF41" i="2"/>
  <c r="AG41" i="2" s="1"/>
  <c r="J43" i="2"/>
  <c r="Y38" i="2"/>
  <c r="F38" i="6" s="1"/>
  <c r="E38" i="6"/>
  <c r="O35" i="2"/>
  <c r="C35" i="6" s="1"/>
  <c r="H35" i="2"/>
  <c r="J42" i="2"/>
  <c r="D42" i="2"/>
  <c r="AA42" i="2"/>
  <c r="L36" i="2"/>
  <c r="M36" i="2" s="1"/>
  <c r="U36" i="2"/>
  <c r="AF36" i="2"/>
  <c r="Q37" i="2"/>
  <c r="R37" i="2" s="1"/>
  <c r="P37" i="2"/>
  <c r="AH38" i="2"/>
  <c r="AG38" i="2"/>
  <c r="L40" i="2"/>
  <c r="M40" i="2" s="1"/>
  <c r="K40" i="2"/>
  <c r="F35" i="2"/>
  <c r="K35" i="2"/>
  <c r="AH35" i="2"/>
  <c r="AL37" i="2"/>
  <c r="AM37" i="2" s="1"/>
  <c r="O39" i="2"/>
  <c r="C39" i="6" s="1"/>
  <c r="H39" i="2"/>
  <c r="L41" i="2"/>
  <c r="M41" i="2" s="1"/>
  <c r="O42" i="2"/>
  <c r="C42" i="6" s="1"/>
  <c r="AH42" i="2"/>
  <c r="I42" i="6" s="1"/>
  <c r="AG42" i="2"/>
  <c r="AA43" i="2"/>
  <c r="V35" i="2"/>
  <c r="AA35" i="2"/>
  <c r="AG35" i="2"/>
  <c r="G36" i="2"/>
  <c r="Z36" i="2"/>
  <c r="H37" i="2"/>
  <c r="J38" i="2"/>
  <c r="D38" i="2"/>
  <c r="AA38" i="2"/>
  <c r="V39" i="2"/>
  <c r="AJ39" i="2"/>
  <c r="K39" i="6" s="1"/>
  <c r="AA39" i="6" s="1"/>
  <c r="AH39" i="2"/>
  <c r="I39" i="6" s="1"/>
  <c r="U40" i="2"/>
  <c r="T40" i="2"/>
  <c r="O43" i="2"/>
  <c r="C43" i="6" s="1"/>
  <c r="AJ37" i="2"/>
  <c r="K37" i="6" s="1"/>
  <c r="AA37" i="6" s="1"/>
  <c r="G40" i="2"/>
  <c r="F40" i="2"/>
  <c r="V43" i="2"/>
  <c r="AJ43" i="2"/>
  <c r="K43" i="6" s="1"/>
  <c r="AA43" i="6" s="1"/>
  <c r="AH43" i="2"/>
  <c r="I43" i="6" s="1"/>
  <c r="AG43" i="2"/>
  <c r="Z40" i="2"/>
  <c r="Y40" i="2"/>
  <c r="F40" i="6" s="1"/>
  <c r="U38" i="2"/>
  <c r="AA39" i="2"/>
  <c r="AF40" i="2"/>
  <c r="AE40" i="2"/>
  <c r="AH41" i="2"/>
  <c r="U33" i="6"/>
  <c r="S33" i="6"/>
  <c r="B33" i="6"/>
  <c r="A33" i="6"/>
  <c r="U32" i="6"/>
  <c r="S32" i="6"/>
  <c r="F32" i="6"/>
  <c r="B32" i="6"/>
  <c r="A32" i="6"/>
  <c r="U31" i="6"/>
  <c r="S31" i="6"/>
  <c r="B31" i="6"/>
  <c r="A31" i="6"/>
  <c r="U30" i="6"/>
  <c r="S30" i="6"/>
  <c r="B30" i="6"/>
  <c r="A30" i="6"/>
  <c r="U29" i="6"/>
  <c r="S29" i="6"/>
  <c r="C29" i="6"/>
  <c r="B29" i="6"/>
  <c r="A29" i="6"/>
  <c r="U28" i="6"/>
  <c r="S28" i="6"/>
  <c r="B28" i="6"/>
  <c r="A28" i="6"/>
  <c r="U27" i="6"/>
  <c r="S27" i="6"/>
  <c r="B27" i="6"/>
  <c r="A27" i="6"/>
  <c r="U26" i="6"/>
  <c r="S26" i="6"/>
  <c r="E26" i="6"/>
  <c r="B26" i="6"/>
  <c r="A26" i="6"/>
  <c r="U25" i="6"/>
  <c r="S25" i="6"/>
  <c r="B25" i="6"/>
  <c r="A25" i="6"/>
  <c r="U24" i="6"/>
  <c r="S24" i="6"/>
  <c r="F24" i="6"/>
  <c r="B24" i="6"/>
  <c r="A24" i="6"/>
  <c r="U23" i="6"/>
  <c r="S23" i="6"/>
  <c r="B23" i="6"/>
  <c r="A23" i="6"/>
  <c r="BB33" i="2"/>
  <c r="BA33" i="2"/>
  <c r="AV33" i="2"/>
  <c r="AD33" i="2"/>
  <c r="AF33" i="2" s="1"/>
  <c r="X33" i="2"/>
  <c r="S33" i="2"/>
  <c r="U33" i="2" s="1"/>
  <c r="J33" i="2"/>
  <c r="E33" i="2"/>
  <c r="G33" i="2" s="1"/>
  <c r="C33" i="2"/>
  <c r="D33" i="2" s="1"/>
  <c r="B33" i="2"/>
  <c r="A33" i="2"/>
  <c r="BB32" i="2"/>
  <c r="BA32" i="2"/>
  <c r="AV32" i="2"/>
  <c r="AF32" i="2"/>
  <c r="AD32" i="2"/>
  <c r="AE32" i="2" s="1"/>
  <c r="Z32" i="2"/>
  <c r="X32" i="2"/>
  <c r="Y32" i="2" s="1"/>
  <c r="S32" i="2"/>
  <c r="T32" i="2" s="1"/>
  <c r="G32" i="2"/>
  <c r="E32" i="2"/>
  <c r="F32" i="2" s="1"/>
  <c r="C32" i="2"/>
  <c r="B32" i="2"/>
  <c r="A32" i="2"/>
  <c r="BB31" i="2"/>
  <c r="BA31" i="2"/>
  <c r="AV31" i="2"/>
  <c r="AD31" i="2"/>
  <c r="X31" i="2"/>
  <c r="S31" i="2"/>
  <c r="E31" i="2"/>
  <c r="C31" i="2"/>
  <c r="J31" i="2" s="1"/>
  <c r="B31" i="2"/>
  <c r="A31" i="2"/>
  <c r="BB30" i="2"/>
  <c r="BA30" i="2"/>
  <c r="AV30" i="2"/>
  <c r="AF30" i="2"/>
  <c r="AG30" i="2" s="1"/>
  <c r="AD30" i="2"/>
  <c r="AE30" i="2" s="1"/>
  <c r="Z30" i="2"/>
  <c r="X30" i="2"/>
  <c r="Y30" i="2" s="1"/>
  <c r="F30" i="6" s="1"/>
  <c r="S30" i="2"/>
  <c r="T30" i="2" s="1"/>
  <c r="E30" i="2"/>
  <c r="F30" i="2" s="1"/>
  <c r="C30" i="2"/>
  <c r="D30" i="2" s="1"/>
  <c r="B30" i="2"/>
  <c r="A30" i="2"/>
  <c r="BB29" i="2"/>
  <c r="BA29" i="2"/>
  <c r="AV29" i="2"/>
  <c r="AG29" i="2"/>
  <c r="AE29" i="2"/>
  <c r="AD29" i="2"/>
  <c r="AF29" i="2" s="1"/>
  <c r="AA29" i="2"/>
  <c r="X29" i="2"/>
  <c r="Z29" i="2" s="1"/>
  <c r="S29" i="2"/>
  <c r="E29" i="2"/>
  <c r="G29" i="2" s="1"/>
  <c r="O29" i="2" s="1"/>
  <c r="Q29" i="2" s="1"/>
  <c r="R29" i="2" s="1"/>
  <c r="C29" i="2"/>
  <c r="D29" i="2" s="1"/>
  <c r="B29" i="2"/>
  <c r="A29" i="2"/>
  <c r="BB28" i="2"/>
  <c r="BA28" i="2"/>
  <c r="AV28" i="2"/>
  <c r="AE28" i="2"/>
  <c r="AD28" i="2"/>
  <c r="AF28" i="2" s="1"/>
  <c r="Z28" i="2"/>
  <c r="X28" i="2"/>
  <c r="Y28" i="2" s="1"/>
  <c r="F28" i="6" s="1"/>
  <c r="T28" i="2"/>
  <c r="S28" i="2"/>
  <c r="G28" i="2"/>
  <c r="H28" i="2" s="1"/>
  <c r="E28" i="2"/>
  <c r="F28" i="2" s="1"/>
  <c r="C28" i="2"/>
  <c r="D28" i="2" s="1"/>
  <c r="B28" i="2"/>
  <c r="A28" i="2"/>
  <c r="BB27" i="2"/>
  <c r="BA27" i="2"/>
  <c r="AV27" i="2"/>
  <c r="AF27" i="2"/>
  <c r="AG27" i="2" s="1"/>
  <c r="AD27" i="2"/>
  <c r="AE27" i="2" s="1"/>
  <c r="X27" i="2"/>
  <c r="S27" i="2"/>
  <c r="T27" i="2" s="1"/>
  <c r="E27" i="2"/>
  <c r="F27" i="2" s="1"/>
  <c r="C27" i="2"/>
  <c r="B27" i="2"/>
  <c r="A27" i="2"/>
  <c r="BB26" i="2"/>
  <c r="BA26" i="2"/>
  <c r="AV26" i="2"/>
  <c r="AD26" i="2"/>
  <c r="AE26" i="2" s="1"/>
  <c r="X26" i="2"/>
  <c r="S26" i="2"/>
  <c r="T26" i="2" s="1"/>
  <c r="E26" i="2"/>
  <c r="C26" i="2"/>
  <c r="D26" i="2" s="1"/>
  <c r="B26" i="2"/>
  <c r="A26" i="2"/>
  <c r="BB25" i="2"/>
  <c r="BA25" i="2"/>
  <c r="AV25" i="2"/>
  <c r="AF25" i="2"/>
  <c r="AG25" i="2" s="1"/>
  <c r="AD25" i="2"/>
  <c r="AE25" i="2" s="1"/>
  <c r="X25" i="2"/>
  <c r="Y25" i="2" s="1"/>
  <c r="F25" i="6" s="1"/>
  <c r="U25" i="2"/>
  <c r="S25" i="2"/>
  <c r="T25" i="2" s="1"/>
  <c r="E25" i="2"/>
  <c r="F25" i="2" s="1"/>
  <c r="C25" i="2"/>
  <c r="D25" i="2" s="1"/>
  <c r="B25" i="2"/>
  <c r="A25" i="2"/>
  <c r="BB24" i="2"/>
  <c r="BA24" i="2"/>
  <c r="AV24" i="2"/>
  <c r="AD24" i="2"/>
  <c r="AF24" i="2" s="1"/>
  <c r="Y24" i="2"/>
  <c r="X24" i="2"/>
  <c r="Z24" i="2" s="1"/>
  <c r="S24" i="2"/>
  <c r="T24" i="2" s="1"/>
  <c r="E24" i="2"/>
  <c r="G24" i="2" s="1"/>
  <c r="D24" i="2"/>
  <c r="C24" i="2"/>
  <c r="J24" i="2" s="1"/>
  <c r="L24" i="2" s="1"/>
  <c r="M24" i="2" s="1"/>
  <c r="B24" i="2"/>
  <c r="A24" i="2"/>
  <c r="BB23" i="2"/>
  <c r="BA23" i="2"/>
  <c r="AV23" i="2"/>
  <c r="AD23" i="2"/>
  <c r="AE23" i="2" s="1"/>
  <c r="X23" i="2"/>
  <c r="S23" i="2"/>
  <c r="T23" i="2" s="1"/>
  <c r="E23" i="2"/>
  <c r="F23" i="2" s="1"/>
  <c r="C23" i="2"/>
  <c r="D23" i="2" s="1"/>
  <c r="B23" i="2"/>
  <c r="A23" i="2"/>
  <c r="AX63" i="2"/>
  <c r="AQ63" i="2"/>
  <c r="AW61" i="2"/>
  <c r="AX59" i="2"/>
  <c r="AQ65" i="2"/>
  <c r="AQ59" i="2"/>
  <c r="AQ69" i="2"/>
  <c r="AP61" i="2"/>
  <c r="AP60" i="2"/>
  <c r="AW60" i="2"/>
  <c r="AW68" i="2"/>
  <c r="AP68" i="2"/>
  <c r="AX65" i="2"/>
  <c r="AX69" i="2"/>
  <c r="AW62" i="2"/>
  <c r="AP62" i="2"/>
  <c r="AQ57" i="2"/>
  <c r="AW56" i="2"/>
  <c r="AP56" i="2"/>
  <c r="AX57" i="2"/>
  <c r="AX73" i="2"/>
  <c r="AW78" i="2"/>
  <c r="AP78" i="2"/>
  <c r="AX80" i="2"/>
  <c r="AQ80" i="2"/>
  <c r="AW76" i="2"/>
  <c r="AP76" i="2"/>
  <c r="AW74" i="2"/>
  <c r="AP74" i="2"/>
  <c r="AX72" i="2"/>
  <c r="AQ72" i="2"/>
  <c r="N72" i="6" l="1"/>
  <c r="M74" i="6"/>
  <c r="O74" i="6"/>
  <c r="M76" i="6"/>
  <c r="O76" i="6"/>
  <c r="N80" i="6"/>
  <c r="M78" i="6"/>
  <c r="O78" i="6"/>
  <c r="P73" i="6"/>
  <c r="AZ73" i="2"/>
  <c r="Z80" i="6"/>
  <c r="H80" i="6"/>
  <c r="BD73" i="2"/>
  <c r="R73" i="6" s="1"/>
  <c r="Z72" i="6"/>
  <c r="H72" i="6"/>
  <c r="BG77" i="2"/>
  <c r="X73" i="6"/>
  <c r="Y74" i="6"/>
  <c r="G74" i="6"/>
  <c r="Y76" i="6"/>
  <c r="G76" i="6"/>
  <c r="Y78" i="6"/>
  <c r="G78" i="6"/>
  <c r="AY80" i="2"/>
  <c r="P80" i="6" s="1"/>
  <c r="AR72" i="2"/>
  <c r="AZ72" i="2"/>
  <c r="BE74" i="2"/>
  <c r="BC74" i="2"/>
  <c r="Q74" i="6" s="1"/>
  <c r="BE76" i="2"/>
  <c r="BC76" i="2"/>
  <c r="Q76" i="6" s="1"/>
  <c r="AR80" i="2"/>
  <c r="AZ80" i="2"/>
  <c r="BE78" i="2"/>
  <c r="BC78" i="2"/>
  <c r="Q78" i="6" s="1"/>
  <c r="AO74" i="2"/>
  <c r="AO76" i="2"/>
  <c r="BF72" i="2"/>
  <c r="BG72" i="2"/>
  <c r="BG81" i="2"/>
  <c r="BF81" i="2"/>
  <c r="BD81" i="2"/>
  <c r="R81" i="6" s="1"/>
  <c r="AO78" i="2"/>
  <c r="BD72" i="2"/>
  <c r="R72" i="6" s="1"/>
  <c r="M62" i="6"/>
  <c r="O62" i="6"/>
  <c r="P69" i="6"/>
  <c r="P65" i="6"/>
  <c r="M68" i="6"/>
  <c r="O68" i="6"/>
  <c r="O60" i="6"/>
  <c r="M60" i="6"/>
  <c r="M61" i="6"/>
  <c r="N69" i="6"/>
  <c r="N59" i="6"/>
  <c r="N65" i="6"/>
  <c r="P59" i="6"/>
  <c r="O61" i="6"/>
  <c r="N63" i="6"/>
  <c r="AR63" i="2"/>
  <c r="P63" i="6"/>
  <c r="AZ63" i="2"/>
  <c r="Y62" i="6"/>
  <c r="G62" i="6"/>
  <c r="Y68" i="6"/>
  <c r="G68" i="6"/>
  <c r="Y60" i="6"/>
  <c r="G60" i="6"/>
  <c r="Y61" i="6"/>
  <c r="G61" i="6"/>
  <c r="Z69" i="6"/>
  <c r="H69" i="6"/>
  <c r="Z63" i="6"/>
  <c r="H63" i="6"/>
  <c r="Z59" i="6"/>
  <c r="H59" i="6"/>
  <c r="Z65" i="6"/>
  <c r="H65" i="6"/>
  <c r="AY59" i="2"/>
  <c r="X59" i="6"/>
  <c r="AY63" i="2"/>
  <c r="BE62" i="2"/>
  <c r="BC62" i="2"/>
  <c r="Q62" i="6" s="1"/>
  <c r="AZ69" i="2"/>
  <c r="AZ65" i="2"/>
  <c r="BE68" i="2"/>
  <c r="BC68" i="2"/>
  <c r="Q68" i="6" s="1"/>
  <c r="BE60" i="2"/>
  <c r="BC60" i="2"/>
  <c r="Q60" i="6" s="1"/>
  <c r="AR69" i="2"/>
  <c r="AR59" i="2"/>
  <c r="AR65" i="2"/>
  <c r="AZ59" i="2"/>
  <c r="BE61" i="2"/>
  <c r="BC61" i="2"/>
  <c r="Q61" i="6" s="1"/>
  <c r="BG59" i="2"/>
  <c r="BF59" i="2"/>
  <c r="BD59" i="2"/>
  <c r="R59" i="6" s="1"/>
  <c r="AO62" i="2"/>
  <c r="AN66" i="2"/>
  <c r="AM66" i="2"/>
  <c r="AT66" i="2"/>
  <c r="X66" i="6" s="1"/>
  <c r="AM61" i="2"/>
  <c r="AT64" i="2"/>
  <c r="X64" i="6" s="1"/>
  <c r="AY65" i="2"/>
  <c r="AY69" i="2"/>
  <c r="AO68" i="2"/>
  <c r="AO60" i="2"/>
  <c r="AO61" i="2"/>
  <c r="AN64" i="2"/>
  <c r="AM64" i="2"/>
  <c r="AT61" i="2"/>
  <c r="X61" i="6" s="1"/>
  <c r="AZ57" i="2"/>
  <c r="BE56" i="2"/>
  <c r="BC56" i="2"/>
  <c r="AR57" i="2"/>
  <c r="AY57" i="2"/>
  <c r="AO56" i="2"/>
  <c r="P45" i="2"/>
  <c r="Q45" i="2"/>
  <c r="C45" i="6"/>
  <c r="AI49" i="2"/>
  <c r="J49" i="6" s="1"/>
  <c r="AB49" i="6" s="1"/>
  <c r="I49" i="6"/>
  <c r="AI48" i="2"/>
  <c r="J48" i="6" s="1"/>
  <c r="AB48" i="6" s="1"/>
  <c r="I48" i="6"/>
  <c r="AK54" i="2"/>
  <c r="L54" i="6" s="1"/>
  <c r="R55" i="2"/>
  <c r="AL55" i="2"/>
  <c r="AN55" i="2"/>
  <c r="AS55" i="2"/>
  <c r="W55" i="6" s="1"/>
  <c r="AI54" i="2"/>
  <c r="J54" i="6" s="1"/>
  <c r="AB54" i="6" s="1"/>
  <c r="P54" i="2"/>
  <c r="Q54" i="2"/>
  <c r="R51" i="2"/>
  <c r="AL51" i="2"/>
  <c r="AM51" i="2" s="1"/>
  <c r="AN51" i="2"/>
  <c r="AS51" i="2"/>
  <c r="W51" i="6" s="1"/>
  <c r="R52" i="2"/>
  <c r="AL52" i="2"/>
  <c r="AS52" i="2"/>
  <c r="W52" i="6" s="1"/>
  <c r="AT46" i="2"/>
  <c r="X46" i="6" s="1"/>
  <c r="AM50" i="2"/>
  <c r="AK53" i="2"/>
  <c r="L53" i="6" s="1"/>
  <c r="R48" i="2"/>
  <c r="AM48" i="2" s="1"/>
  <c r="AS48" i="2"/>
  <c r="W48" i="6" s="1"/>
  <c r="AK49" i="2"/>
  <c r="L49" i="6" s="1"/>
  <c r="AI53" i="2"/>
  <c r="J53" i="6" s="1"/>
  <c r="AB53" i="6" s="1"/>
  <c r="AK46" i="2"/>
  <c r="L46" i="6" s="1"/>
  <c r="AK52" i="2"/>
  <c r="L52" i="6" s="1"/>
  <c r="R47" i="2"/>
  <c r="AL47" i="2"/>
  <c r="AN47" i="2"/>
  <c r="AS47" i="2"/>
  <c r="W47" i="6" s="1"/>
  <c r="AM46" i="2"/>
  <c r="AJ50" i="2"/>
  <c r="K50" i="6" s="1"/>
  <c r="AA50" i="6" s="1"/>
  <c r="V50" i="2"/>
  <c r="Q53" i="2"/>
  <c r="P53" i="2"/>
  <c r="Q49" i="2"/>
  <c r="P49" i="2"/>
  <c r="AK48" i="2"/>
  <c r="L48" i="6" s="1"/>
  <c r="AT50" i="2"/>
  <c r="X50" i="6" s="1"/>
  <c r="AI38" i="2"/>
  <c r="J38" i="6" s="1"/>
  <c r="AB38" i="6" s="1"/>
  <c r="I38" i="6"/>
  <c r="AI41" i="2"/>
  <c r="J41" i="6" s="1"/>
  <c r="AB41" i="6" s="1"/>
  <c r="I41" i="6"/>
  <c r="AN37" i="2"/>
  <c r="AO37" i="2" s="1"/>
  <c r="H38" i="2"/>
  <c r="L43" i="2"/>
  <c r="M43" i="2" s="1"/>
  <c r="K43" i="2"/>
  <c r="AI35" i="2"/>
  <c r="J35" i="6" s="1"/>
  <c r="AB35" i="6" s="1"/>
  <c r="I35" i="6"/>
  <c r="L39" i="2"/>
  <c r="M39" i="2" s="1"/>
  <c r="K39" i="2"/>
  <c r="AH37" i="2"/>
  <c r="AJ41" i="2"/>
  <c r="K41" i="6" s="1"/>
  <c r="AA41" i="6" s="1"/>
  <c r="V41" i="2"/>
  <c r="AK41" i="2" s="1"/>
  <c r="L41" i="6" s="1"/>
  <c r="U42" i="2"/>
  <c r="O41" i="2"/>
  <c r="H41" i="2"/>
  <c r="H40" i="2"/>
  <c r="O40" i="2"/>
  <c r="C40" i="6" s="1"/>
  <c r="AK39" i="2"/>
  <c r="L39" i="6" s="1"/>
  <c r="H36" i="2"/>
  <c r="O36" i="2"/>
  <c r="C36" i="6" s="1"/>
  <c r="Q39" i="2"/>
  <c r="P39" i="2"/>
  <c r="K42" i="2"/>
  <c r="L42" i="2"/>
  <c r="M42" i="2" s="1"/>
  <c r="AG40" i="2"/>
  <c r="AH40" i="2"/>
  <c r="I40" i="6" s="1"/>
  <c r="AI43" i="2"/>
  <c r="J43" i="6" s="1"/>
  <c r="AB43" i="6" s="1"/>
  <c r="AI39" i="2"/>
  <c r="J39" i="6" s="1"/>
  <c r="AB39" i="6" s="1"/>
  <c r="K38" i="2"/>
  <c r="L38" i="2"/>
  <c r="M38" i="2" s="1"/>
  <c r="AS37" i="2"/>
  <c r="W37" i="6" s="1"/>
  <c r="V38" i="2"/>
  <c r="AJ38" i="2"/>
  <c r="K38" i="6" s="1"/>
  <c r="AA38" i="6" s="1"/>
  <c r="AK43" i="2"/>
  <c r="L43" i="6" s="1"/>
  <c r="V40" i="2"/>
  <c r="AJ40" i="2"/>
  <c r="K40" i="6" s="1"/>
  <c r="AA40" i="6" s="1"/>
  <c r="P42" i="2"/>
  <c r="Q42" i="2"/>
  <c r="AG36" i="2"/>
  <c r="AH36" i="2"/>
  <c r="I36" i="6" s="1"/>
  <c r="Q43" i="2"/>
  <c r="P43" i="2"/>
  <c r="AA40" i="2"/>
  <c r="AA36" i="2"/>
  <c r="AK35" i="2"/>
  <c r="L35" i="6" s="1"/>
  <c r="AI42" i="2"/>
  <c r="J42" i="6" s="1"/>
  <c r="AB42" i="6" s="1"/>
  <c r="P38" i="2"/>
  <c r="Q38" i="2"/>
  <c r="V36" i="2"/>
  <c r="AJ36" i="2"/>
  <c r="K36" i="6" s="1"/>
  <c r="AA36" i="6" s="1"/>
  <c r="Q35" i="2"/>
  <c r="P35" i="2"/>
  <c r="J27" i="2"/>
  <c r="D27" i="2"/>
  <c r="L33" i="2"/>
  <c r="M33" i="2" s="1"/>
  <c r="K33" i="2"/>
  <c r="AE24" i="2"/>
  <c r="G25" i="2"/>
  <c r="H25" i="2" s="1"/>
  <c r="Z25" i="2"/>
  <c r="Y26" i="2"/>
  <c r="F26" i="6" s="1"/>
  <c r="Z26" i="2"/>
  <c r="E31" i="6"/>
  <c r="Z31" i="2"/>
  <c r="AA31" i="2" s="1"/>
  <c r="Y31" i="2"/>
  <c r="F31" i="6" s="1"/>
  <c r="J23" i="2"/>
  <c r="K23" i="2" s="1"/>
  <c r="F24" i="2"/>
  <c r="F26" i="2"/>
  <c r="G26" i="2"/>
  <c r="O26" i="2" s="1"/>
  <c r="C26" i="6" s="1"/>
  <c r="G27" i="2"/>
  <c r="Y27" i="2"/>
  <c r="F27" i="6" s="1"/>
  <c r="E27" i="6"/>
  <c r="AF31" i="2"/>
  <c r="AG31" i="2" s="1"/>
  <c r="AE31" i="2"/>
  <c r="Z33" i="2"/>
  <c r="Y33" i="2"/>
  <c r="F33" i="6" s="1"/>
  <c r="E33" i="6"/>
  <c r="K24" i="2"/>
  <c r="J26" i="2"/>
  <c r="K26" i="2" s="1"/>
  <c r="Z27" i="2"/>
  <c r="AA27" i="2" s="1"/>
  <c r="U29" i="2"/>
  <c r="V29" i="2" s="1"/>
  <c r="AK29" i="2" s="1"/>
  <c r="L29" i="6" s="1"/>
  <c r="T29" i="2"/>
  <c r="G31" i="2"/>
  <c r="F31" i="2"/>
  <c r="E25" i="6"/>
  <c r="Y23" i="2"/>
  <c r="F23" i="6" s="1"/>
  <c r="E23" i="6"/>
  <c r="U31" i="2"/>
  <c r="T31" i="2"/>
  <c r="U27" i="2"/>
  <c r="J29" i="2"/>
  <c r="E28" i="6"/>
  <c r="E29" i="6"/>
  <c r="E30" i="6"/>
  <c r="Y29" i="2"/>
  <c r="F29" i="6" s="1"/>
  <c r="G30" i="2"/>
  <c r="H30" i="2" s="1"/>
  <c r="D31" i="2"/>
  <c r="F33" i="2"/>
  <c r="T33" i="2"/>
  <c r="AE33" i="2"/>
  <c r="E24" i="6"/>
  <c r="E32" i="6"/>
  <c r="AA24" i="2"/>
  <c r="O24" i="2"/>
  <c r="C24" i="6" s="1"/>
  <c r="H24" i="2"/>
  <c r="AH24" i="2"/>
  <c r="I24" i="6" s="1"/>
  <c r="AG24" i="2"/>
  <c r="P26" i="2"/>
  <c r="AG28" i="2"/>
  <c r="AH28" i="2"/>
  <c r="I28" i="6" s="1"/>
  <c r="G23" i="2"/>
  <c r="U23" i="2"/>
  <c r="Z23" i="2"/>
  <c r="AF23" i="2"/>
  <c r="J25" i="2"/>
  <c r="AH25" i="2"/>
  <c r="I25" i="6" s="1"/>
  <c r="H29" i="2"/>
  <c r="P29" i="2"/>
  <c r="AL29" i="2"/>
  <c r="AM29" i="2" s="1"/>
  <c r="AH29" i="2"/>
  <c r="AN29" i="2"/>
  <c r="AS29" i="2"/>
  <c r="W29" i="6" s="1"/>
  <c r="AA30" i="2"/>
  <c r="L31" i="2"/>
  <c r="M31" i="2" s="1"/>
  <c r="K31" i="2"/>
  <c r="O32" i="2"/>
  <c r="C32" i="6" s="1"/>
  <c r="H32" i="2"/>
  <c r="AH32" i="2"/>
  <c r="I32" i="6" s="1"/>
  <c r="AG32" i="2"/>
  <c r="AA33" i="2"/>
  <c r="U26" i="2"/>
  <c r="AA26" i="2"/>
  <c r="AH27" i="2"/>
  <c r="J30" i="2"/>
  <c r="O33" i="2"/>
  <c r="C33" i="6" s="1"/>
  <c r="H33" i="2"/>
  <c r="O28" i="2"/>
  <c r="C28" i="6" s="1"/>
  <c r="AA28" i="2"/>
  <c r="AJ29" i="2"/>
  <c r="K29" i="6" s="1"/>
  <c r="AA29" i="6" s="1"/>
  <c r="J32" i="2"/>
  <c r="D32" i="2"/>
  <c r="AA32" i="2"/>
  <c r="V33" i="2"/>
  <c r="AJ33" i="2"/>
  <c r="K33" i="6" s="1"/>
  <c r="AA33" i="6" s="1"/>
  <c r="AH33" i="2"/>
  <c r="I33" i="6" s="1"/>
  <c r="AG33" i="2"/>
  <c r="AJ25" i="2"/>
  <c r="K25" i="6" s="1"/>
  <c r="AA25" i="6" s="1"/>
  <c r="V25" i="2"/>
  <c r="AA25" i="2"/>
  <c r="AF26" i="2"/>
  <c r="J28" i="2"/>
  <c r="U28" i="2"/>
  <c r="F29" i="2"/>
  <c r="O30" i="2"/>
  <c r="C30" i="6" s="1"/>
  <c r="AH30" i="2"/>
  <c r="I30" i="6" s="1"/>
  <c r="AH31" i="2"/>
  <c r="U21" i="6"/>
  <c r="S21" i="6"/>
  <c r="E21" i="6"/>
  <c r="B21" i="6"/>
  <c r="A21" i="6"/>
  <c r="U20" i="6"/>
  <c r="S20" i="6"/>
  <c r="B20" i="6"/>
  <c r="A20" i="6"/>
  <c r="U19" i="6"/>
  <c r="S19" i="6"/>
  <c r="B19" i="6"/>
  <c r="A19" i="6"/>
  <c r="U18" i="6"/>
  <c r="S18" i="6"/>
  <c r="B18" i="6"/>
  <c r="A18" i="6"/>
  <c r="U17" i="6"/>
  <c r="S17" i="6"/>
  <c r="E17" i="6"/>
  <c r="B17" i="6"/>
  <c r="A17" i="6"/>
  <c r="U16" i="6"/>
  <c r="S16" i="6"/>
  <c r="B16" i="6"/>
  <c r="A16" i="6"/>
  <c r="U15" i="6"/>
  <c r="S15" i="6"/>
  <c r="C15" i="6"/>
  <c r="B15" i="6"/>
  <c r="A15" i="6"/>
  <c r="U14" i="6"/>
  <c r="S14" i="6"/>
  <c r="B14" i="6"/>
  <c r="A14" i="6"/>
  <c r="U13" i="6"/>
  <c r="S13" i="6"/>
  <c r="B13" i="6"/>
  <c r="A13" i="6"/>
  <c r="U12" i="6"/>
  <c r="S12" i="6"/>
  <c r="B12" i="6"/>
  <c r="A12" i="6"/>
  <c r="U11" i="6"/>
  <c r="S11" i="6"/>
  <c r="B11" i="6"/>
  <c r="A11" i="6"/>
  <c r="U10" i="6"/>
  <c r="S10" i="6"/>
  <c r="E10" i="6"/>
  <c r="B10" i="6"/>
  <c r="A10" i="6"/>
  <c r="BB21" i="2"/>
  <c r="BA21" i="2"/>
  <c r="AV21" i="2"/>
  <c r="AD21" i="2"/>
  <c r="X21" i="2"/>
  <c r="S21" i="2"/>
  <c r="E21" i="2"/>
  <c r="C21" i="2"/>
  <c r="D21" i="2" s="1"/>
  <c r="B21" i="2"/>
  <c r="A21" i="2"/>
  <c r="BB20" i="2"/>
  <c r="BA20" i="2"/>
  <c r="AV20" i="2"/>
  <c r="AD20" i="2"/>
  <c r="AF20" i="2" s="1"/>
  <c r="AG20" i="2" s="1"/>
  <c r="X20" i="2"/>
  <c r="S20" i="2"/>
  <c r="T20" i="2" s="1"/>
  <c r="E20" i="2"/>
  <c r="C20" i="2"/>
  <c r="D20" i="2" s="1"/>
  <c r="B20" i="2"/>
  <c r="A20" i="2"/>
  <c r="BB19" i="2"/>
  <c r="BA19" i="2"/>
  <c r="AV19" i="2"/>
  <c r="AD19" i="2"/>
  <c r="AF19" i="2" s="1"/>
  <c r="Z19" i="2"/>
  <c r="X19" i="2"/>
  <c r="E19" i="6" s="1"/>
  <c r="U19" i="2"/>
  <c r="T19" i="2"/>
  <c r="S19" i="2"/>
  <c r="P19" i="2"/>
  <c r="L19" i="2"/>
  <c r="M19" i="2" s="1"/>
  <c r="G19" i="2"/>
  <c r="O19" i="2" s="1"/>
  <c r="C19" i="6" s="1"/>
  <c r="F19" i="2"/>
  <c r="E19" i="2"/>
  <c r="C19" i="2"/>
  <c r="J19" i="2" s="1"/>
  <c r="K19" i="2" s="1"/>
  <c r="B19" i="2"/>
  <c r="A19" i="2"/>
  <c r="BB18" i="2"/>
  <c r="BA18" i="2"/>
  <c r="AV18" i="2"/>
  <c r="AD18" i="2"/>
  <c r="AE18" i="2" s="1"/>
  <c r="X18" i="2"/>
  <c r="Z18" i="2" s="1"/>
  <c r="AA18" i="2" s="1"/>
  <c r="S18" i="2"/>
  <c r="T18" i="2" s="1"/>
  <c r="E18" i="2"/>
  <c r="C18" i="2"/>
  <c r="J18" i="2" s="1"/>
  <c r="B18" i="2"/>
  <c r="A18" i="2"/>
  <c r="BB17" i="2"/>
  <c r="BA17" i="2"/>
  <c r="AV17" i="2"/>
  <c r="AG17" i="2"/>
  <c r="AD17" i="2"/>
  <c r="AF17" i="2" s="1"/>
  <c r="AH17" i="2" s="1"/>
  <c r="I17" i="6" s="1"/>
  <c r="X17" i="2"/>
  <c r="Z17" i="2" s="1"/>
  <c r="S17" i="2"/>
  <c r="U17" i="2" s="1"/>
  <c r="AJ17" i="2" s="1"/>
  <c r="K17" i="6" s="1"/>
  <c r="AA17" i="6" s="1"/>
  <c r="K17" i="2"/>
  <c r="E17" i="2"/>
  <c r="G17" i="2" s="1"/>
  <c r="O17" i="2" s="1"/>
  <c r="C17" i="6" s="1"/>
  <c r="D17" i="2"/>
  <c r="C17" i="2"/>
  <c r="J17" i="2" s="1"/>
  <c r="L17" i="2" s="1"/>
  <c r="M17" i="2" s="1"/>
  <c r="B17" i="2"/>
  <c r="A17" i="2"/>
  <c r="BB16" i="2"/>
  <c r="BA16" i="2"/>
  <c r="AV16" i="2"/>
  <c r="AD16" i="2"/>
  <c r="AF16" i="2" s="1"/>
  <c r="Z16" i="2"/>
  <c r="Y16" i="2"/>
  <c r="F16" i="6" s="1"/>
  <c r="X16" i="2"/>
  <c r="E16" i="6" s="1"/>
  <c r="T16" i="2"/>
  <c r="S16" i="2"/>
  <c r="E16" i="2"/>
  <c r="G16" i="2" s="1"/>
  <c r="H16" i="2" s="1"/>
  <c r="C16" i="2"/>
  <c r="D16" i="2" s="1"/>
  <c r="B16" i="2"/>
  <c r="A16" i="2"/>
  <c r="BB15" i="2"/>
  <c r="BA15" i="2"/>
  <c r="AV15" i="2"/>
  <c r="AD15" i="2"/>
  <c r="AF15" i="2" s="1"/>
  <c r="X15" i="2"/>
  <c r="S15" i="2"/>
  <c r="T15" i="2" s="1"/>
  <c r="G15" i="2"/>
  <c r="O15" i="2" s="1"/>
  <c r="F15" i="2"/>
  <c r="E15" i="2"/>
  <c r="C15" i="2"/>
  <c r="J15" i="2" s="1"/>
  <c r="B15" i="2"/>
  <c r="A15" i="2"/>
  <c r="BB14" i="2"/>
  <c r="BA14" i="2"/>
  <c r="AV14" i="2"/>
  <c r="AF14" i="2"/>
  <c r="AD14" i="2"/>
  <c r="AE14" i="2" s="1"/>
  <c r="Z14" i="2"/>
  <c r="X14" i="2"/>
  <c r="Y14" i="2" s="1"/>
  <c r="F14" i="6" s="1"/>
  <c r="S14" i="2"/>
  <c r="T14" i="2" s="1"/>
  <c r="E14" i="2"/>
  <c r="C14" i="2"/>
  <c r="B14" i="2"/>
  <c r="A14" i="2"/>
  <c r="BB13" i="2"/>
  <c r="BA13" i="2"/>
  <c r="AV13" i="2"/>
  <c r="AD13" i="2"/>
  <c r="AF13" i="2" s="1"/>
  <c r="X13" i="2"/>
  <c r="Z13" i="2" s="1"/>
  <c r="AA13" i="2" s="1"/>
  <c r="S13" i="2"/>
  <c r="U13" i="2" s="1"/>
  <c r="E13" i="2"/>
  <c r="G13" i="2" s="1"/>
  <c r="O13" i="2" s="1"/>
  <c r="C13" i="6" s="1"/>
  <c r="C13" i="2"/>
  <c r="J13" i="2" s="1"/>
  <c r="L13" i="2" s="1"/>
  <c r="M13" i="2" s="1"/>
  <c r="B13" i="2"/>
  <c r="A13" i="2"/>
  <c r="BB12" i="2"/>
  <c r="BA12" i="2"/>
  <c r="AV12" i="2"/>
  <c r="AD12" i="2"/>
  <c r="X12" i="2"/>
  <c r="E12" i="6" s="1"/>
  <c r="S12" i="2"/>
  <c r="E12" i="2"/>
  <c r="C12" i="2"/>
  <c r="B12" i="2"/>
  <c r="A12" i="2"/>
  <c r="BB11" i="2"/>
  <c r="BA11" i="2"/>
  <c r="AV11" i="2"/>
  <c r="AD11" i="2"/>
  <c r="AF11" i="2" s="1"/>
  <c r="X11" i="2"/>
  <c r="Z11" i="2" s="1"/>
  <c r="S11" i="2"/>
  <c r="U11" i="2" s="1"/>
  <c r="J11" i="2"/>
  <c r="L11" i="2" s="1"/>
  <c r="M11" i="2" s="1"/>
  <c r="E11" i="2"/>
  <c r="G11" i="2" s="1"/>
  <c r="C11" i="2"/>
  <c r="D11" i="2" s="1"/>
  <c r="B11" i="2"/>
  <c r="A11" i="2"/>
  <c r="BB10" i="2"/>
  <c r="BA10" i="2"/>
  <c r="AV10" i="2"/>
  <c r="AD10" i="2"/>
  <c r="AE10" i="2" s="1"/>
  <c r="X10" i="2"/>
  <c r="Z10" i="2" s="1"/>
  <c r="S10" i="2"/>
  <c r="T10" i="2" s="1"/>
  <c r="J10" i="2"/>
  <c r="L10" i="2" s="1"/>
  <c r="M10" i="2" s="1"/>
  <c r="E10" i="2"/>
  <c r="F10" i="2" s="1"/>
  <c r="C10" i="2"/>
  <c r="D10" i="2" s="1"/>
  <c r="B10" i="2"/>
  <c r="A10" i="2"/>
  <c r="AP29" i="2"/>
  <c r="AW29" i="2"/>
  <c r="AP37" i="2"/>
  <c r="AW37" i="2"/>
  <c r="AQ37" i="2"/>
  <c r="AW55" i="2"/>
  <c r="AP55" i="2"/>
  <c r="AP51" i="2"/>
  <c r="AW51" i="2"/>
  <c r="AW47" i="2"/>
  <c r="AP47" i="2"/>
  <c r="AW64" i="2"/>
  <c r="AP64" i="2"/>
  <c r="AX62" i="2"/>
  <c r="AQ62" i="2"/>
  <c r="AX68" i="2"/>
  <c r="AQ68" i="2"/>
  <c r="AW66" i="2"/>
  <c r="AP66" i="2"/>
  <c r="AQ60" i="2"/>
  <c r="AX60" i="2"/>
  <c r="AX61" i="2"/>
  <c r="AQ61" i="2"/>
  <c r="AX56" i="2"/>
  <c r="AQ56" i="2"/>
  <c r="AX76" i="2"/>
  <c r="AQ76" i="2"/>
  <c r="AX74" i="2"/>
  <c r="AQ74" i="2"/>
  <c r="AX78" i="2"/>
  <c r="AQ78" i="2"/>
  <c r="N78" i="6" l="1"/>
  <c r="N74" i="6"/>
  <c r="N76" i="6"/>
  <c r="Z74" i="6"/>
  <c r="H74" i="6"/>
  <c r="Z76" i="6"/>
  <c r="H76" i="6"/>
  <c r="Z78" i="6"/>
  <c r="H78" i="6"/>
  <c r="BD80" i="2"/>
  <c r="R80" i="6" s="1"/>
  <c r="BG80" i="2"/>
  <c r="BF80" i="2"/>
  <c r="AY76" i="2"/>
  <c r="AR78" i="2"/>
  <c r="AZ78" i="2"/>
  <c r="AR74" i="2"/>
  <c r="AZ74" i="2"/>
  <c r="AR76" i="2"/>
  <c r="AZ76" i="2"/>
  <c r="AY78" i="2"/>
  <c r="P78" i="6" s="1"/>
  <c r="BG76" i="2"/>
  <c r="BF76" i="2"/>
  <c r="AY74" i="2"/>
  <c r="P74" i="6" s="1"/>
  <c r="N61" i="6"/>
  <c r="P61" i="6"/>
  <c r="N60" i="6"/>
  <c r="M66" i="6"/>
  <c r="O66" i="6"/>
  <c r="N68" i="6"/>
  <c r="N62" i="6"/>
  <c r="M64" i="6"/>
  <c r="O64" i="6"/>
  <c r="AY68" i="2"/>
  <c r="P68" i="6" s="1"/>
  <c r="Z68" i="6"/>
  <c r="H68" i="6"/>
  <c r="AY62" i="2"/>
  <c r="P62" i="6" s="1"/>
  <c r="Z62" i="6"/>
  <c r="H62" i="6"/>
  <c r="Z60" i="6"/>
  <c r="H60" i="6"/>
  <c r="Y64" i="6"/>
  <c r="G64" i="6"/>
  <c r="Y66" i="6"/>
  <c r="G66" i="6"/>
  <c r="Z61" i="6"/>
  <c r="H61" i="6"/>
  <c r="BD63" i="2"/>
  <c r="R63" i="6" s="1"/>
  <c r="BF63" i="2"/>
  <c r="BG63" i="2"/>
  <c r="AR61" i="2"/>
  <c r="AZ61" i="2"/>
  <c r="AZ60" i="2"/>
  <c r="AR60" i="2"/>
  <c r="BE66" i="2"/>
  <c r="BC66" i="2"/>
  <c r="Q66" i="6" s="1"/>
  <c r="AR68" i="2"/>
  <c r="AZ68" i="2"/>
  <c r="AR62" i="2"/>
  <c r="AZ62" i="2"/>
  <c r="BE64" i="2"/>
  <c r="BC64" i="2"/>
  <c r="Q64" i="6" s="1"/>
  <c r="BF68" i="2"/>
  <c r="BF62" i="2"/>
  <c r="BD62" i="2"/>
  <c r="R62" i="6" s="1"/>
  <c r="AY61" i="2"/>
  <c r="AO66" i="2"/>
  <c r="AY60" i="2"/>
  <c r="P60" i="6" s="1"/>
  <c r="BF65" i="2"/>
  <c r="BG65" i="2"/>
  <c r="BD65" i="2"/>
  <c r="R65" i="6" s="1"/>
  <c r="AO64" i="2"/>
  <c r="BF69" i="2"/>
  <c r="BG69" i="2"/>
  <c r="BD69" i="2"/>
  <c r="R69" i="6" s="1"/>
  <c r="AR56" i="2"/>
  <c r="AZ56" i="2"/>
  <c r="BF57" i="2"/>
  <c r="BG57" i="2"/>
  <c r="BD57" i="2"/>
  <c r="AY56" i="2"/>
  <c r="M47" i="6"/>
  <c r="O47" i="6"/>
  <c r="O51" i="6"/>
  <c r="M51" i="6"/>
  <c r="M55" i="6"/>
  <c r="O55" i="6"/>
  <c r="Y51" i="6"/>
  <c r="G51" i="6"/>
  <c r="Y55" i="6"/>
  <c r="G55" i="6"/>
  <c r="R45" i="2"/>
  <c r="AN45" i="2"/>
  <c r="AL45" i="2"/>
  <c r="AM45" i="2" s="1"/>
  <c r="AS45" i="2"/>
  <c r="Y47" i="6"/>
  <c r="G47" i="6"/>
  <c r="BE55" i="2"/>
  <c r="BC55" i="2"/>
  <c r="Q55" i="6" s="1"/>
  <c r="R54" i="2"/>
  <c r="AS54" i="2"/>
  <c r="W54" i="6" s="1"/>
  <c r="AL54" i="2"/>
  <c r="AO55" i="2"/>
  <c r="AM55" i="2"/>
  <c r="AT55" i="2"/>
  <c r="X55" i="6" s="1"/>
  <c r="BE47" i="2"/>
  <c r="BC47" i="2"/>
  <c r="Q47" i="6" s="1"/>
  <c r="BE51" i="2"/>
  <c r="BC51" i="2"/>
  <c r="Q51" i="6" s="1"/>
  <c r="AM52" i="2"/>
  <c r="AO47" i="2"/>
  <c r="AT48" i="2"/>
  <c r="X48" i="6" s="1"/>
  <c r="R49" i="2"/>
  <c r="AN49" i="2"/>
  <c r="AS49" i="2"/>
  <c r="W49" i="6" s="1"/>
  <c r="AL49" i="2"/>
  <c r="AT47" i="2"/>
  <c r="X47" i="6" s="1"/>
  <c r="R53" i="2"/>
  <c r="AL53" i="2"/>
  <c r="AS53" i="2"/>
  <c r="W53" i="6" s="1"/>
  <c r="AN53" i="2"/>
  <c r="AM47" i="2"/>
  <c r="AT51" i="2"/>
  <c r="X51" i="6" s="1"/>
  <c r="AK50" i="2"/>
  <c r="L50" i="6" s="1"/>
  <c r="AT52" i="2"/>
  <c r="X52" i="6" s="1"/>
  <c r="AO51" i="2"/>
  <c r="N37" i="6"/>
  <c r="O37" i="6"/>
  <c r="M37" i="6"/>
  <c r="Z37" i="6"/>
  <c r="H37" i="6"/>
  <c r="AJ42" i="2"/>
  <c r="K42" i="6" s="1"/>
  <c r="AA42" i="6" s="1"/>
  <c r="V42" i="2"/>
  <c r="AK42" i="2" s="1"/>
  <c r="L42" i="6" s="1"/>
  <c r="C41" i="6"/>
  <c r="Q41" i="2"/>
  <c r="P41" i="2"/>
  <c r="AI37" i="2"/>
  <c r="J37" i="6" s="1"/>
  <c r="AB37" i="6" s="1"/>
  <c r="I37" i="6"/>
  <c r="Y37" i="6"/>
  <c r="G37" i="6"/>
  <c r="AR37" i="2"/>
  <c r="BE37" i="2"/>
  <c r="BC37" i="2"/>
  <c r="Q37" i="6" s="1"/>
  <c r="AI36" i="2"/>
  <c r="J36" i="6" s="1"/>
  <c r="AB36" i="6" s="1"/>
  <c r="AI40" i="2"/>
  <c r="J40" i="6" s="1"/>
  <c r="AB40" i="6" s="1"/>
  <c r="R43" i="2"/>
  <c r="AN43" i="2"/>
  <c r="AL43" i="2"/>
  <c r="AS43" i="2"/>
  <c r="W43" i="6" s="1"/>
  <c r="AK38" i="2"/>
  <c r="L38" i="6" s="1"/>
  <c r="R42" i="2"/>
  <c r="AL42" i="2"/>
  <c r="AS42" i="2"/>
  <c r="W42" i="6" s="1"/>
  <c r="R39" i="2"/>
  <c r="AN39" i="2"/>
  <c r="AS39" i="2"/>
  <c r="W39" i="6" s="1"/>
  <c r="AL39" i="2"/>
  <c r="AM39" i="2" s="1"/>
  <c r="Q40" i="2"/>
  <c r="P40" i="2"/>
  <c r="AK36" i="2"/>
  <c r="L36" i="6" s="1"/>
  <c r="AK40" i="2"/>
  <c r="L40" i="6" s="1"/>
  <c r="AN35" i="2"/>
  <c r="R35" i="2"/>
  <c r="AL35" i="2"/>
  <c r="AS35" i="2"/>
  <c r="W35" i="6" s="1"/>
  <c r="R38" i="2"/>
  <c r="AS38" i="2"/>
  <c r="W38" i="6" s="1"/>
  <c r="AL38" i="2"/>
  <c r="AT37" i="2"/>
  <c r="P36" i="2"/>
  <c r="Q36" i="2"/>
  <c r="O29" i="6"/>
  <c r="M29" i="6"/>
  <c r="Y29" i="6"/>
  <c r="G29" i="6"/>
  <c r="O31" i="2"/>
  <c r="H31" i="2"/>
  <c r="O25" i="2"/>
  <c r="C25" i="6" s="1"/>
  <c r="L26" i="2"/>
  <c r="M26" i="2" s="1"/>
  <c r="U30" i="2"/>
  <c r="V30" i="2" s="1"/>
  <c r="AI27" i="2"/>
  <c r="J27" i="6" s="1"/>
  <c r="AB27" i="6" s="1"/>
  <c r="I27" i="6"/>
  <c r="H26" i="2"/>
  <c r="L23" i="2"/>
  <c r="M23" i="2" s="1"/>
  <c r="Q26" i="2"/>
  <c r="R26" i="2" s="1"/>
  <c r="AJ31" i="2"/>
  <c r="K31" i="6" s="1"/>
  <c r="AA31" i="6" s="1"/>
  <c r="V31" i="2"/>
  <c r="AK31" i="2" s="1"/>
  <c r="L31" i="6" s="1"/>
  <c r="U32" i="2"/>
  <c r="AI31" i="2"/>
  <c r="J31" i="6" s="1"/>
  <c r="AB31" i="6" s="1"/>
  <c r="I31" i="6"/>
  <c r="L29" i="2"/>
  <c r="M29" i="2" s="1"/>
  <c r="K29" i="2"/>
  <c r="AI29" i="2"/>
  <c r="J29" i="6" s="1"/>
  <c r="AB29" i="6" s="1"/>
  <c r="I29" i="6"/>
  <c r="AJ27" i="2"/>
  <c r="K27" i="6" s="1"/>
  <c r="AA27" i="6" s="1"/>
  <c r="V27" i="2"/>
  <c r="AK27" i="2" s="1"/>
  <c r="L27" i="6" s="1"/>
  <c r="O27" i="2"/>
  <c r="H27" i="2"/>
  <c r="K27" i="2"/>
  <c r="L27" i="2"/>
  <c r="M27" i="2" s="1"/>
  <c r="BE29" i="2"/>
  <c r="BC29" i="2"/>
  <c r="Q29" i="6" s="1"/>
  <c r="P30" i="2"/>
  <c r="Q30" i="2"/>
  <c r="AH26" i="2"/>
  <c r="I26" i="6" s="1"/>
  <c r="AL26" i="2"/>
  <c r="AG26" i="2"/>
  <c r="K30" i="2"/>
  <c r="L30" i="2"/>
  <c r="M30" i="2" s="1"/>
  <c r="AH23" i="2"/>
  <c r="I23" i="6" s="1"/>
  <c r="AG23" i="2"/>
  <c r="O23" i="2"/>
  <c r="C23" i="6" s="1"/>
  <c r="H23" i="2"/>
  <c r="Q33" i="2"/>
  <c r="P33" i="2"/>
  <c r="AJ26" i="2"/>
  <c r="K26" i="6" s="1"/>
  <c r="AA26" i="6" s="1"/>
  <c r="V26" i="2"/>
  <c r="AI25" i="2"/>
  <c r="J25" i="6" s="1"/>
  <c r="AB25" i="6" s="1"/>
  <c r="AA23" i="2"/>
  <c r="AS26" i="2"/>
  <c r="W26" i="6" s="1"/>
  <c r="AI24" i="2"/>
  <c r="J24" i="6" s="1"/>
  <c r="AB24" i="6" s="1"/>
  <c r="Q24" i="2"/>
  <c r="P24" i="2"/>
  <c r="V28" i="2"/>
  <c r="AJ28" i="2"/>
  <c r="K28" i="6" s="1"/>
  <c r="AA28" i="6" s="1"/>
  <c r="AK33" i="2"/>
  <c r="L33" i="6" s="1"/>
  <c r="P28" i="2"/>
  <c r="Q28" i="2"/>
  <c r="AI32" i="2"/>
  <c r="J32" i="6" s="1"/>
  <c r="AB32" i="6" s="1"/>
  <c r="AT29" i="2"/>
  <c r="X29" i="6" s="1"/>
  <c r="Q25" i="2"/>
  <c r="P25" i="2"/>
  <c r="V23" i="2"/>
  <c r="AJ23" i="2"/>
  <c r="K23" i="6" s="1"/>
  <c r="AA23" i="6" s="1"/>
  <c r="AI30" i="2"/>
  <c r="J30" i="6" s="1"/>
  <c r="AB30" i="6" s="1"/>
  <c r="L28" i="2"/>
  <c r="M28" i="2" s="1"/>
  <c r="K28" i="2"/>
  <c r="AK25" i="2"/>
  <c r="L25" i="6" s="1"/>
  <c r="AI33" i="2"/>
  <c r="J33" i="6" s="1"/>
  <c r="AB33" i="6" s="1"/>
  <c r="K32" i="2"/>
  <c r="L32" i="2"/>
  <c r="M32" i="2" s="1"/>
  <c r="P32" i="2"/>
  <c r="Q32" i="2"/>
  <c r="AO29" i="2"/>
  <c r="L25" i="2"/>
  <c r="M25" i="2" s="1"/>
  <c r="K25" i="2"/>
  <c r="AI28" i="2"/>
  <c r="J28" i="6" s="1"/>
  <c r="AB28" i="6" s="1"/>
  <c r="U24" i="2"/>
  <c r="AG19" i="2"/>
  <c r="D13" i="2"/>
  <c r="U15" i="2"/>
  <c r="U16" i="2" s="1"/>
  <c r="V16" i="2" s="1"/>
  <c r="AK16" i="2" s="1"/>
  <c r="L16" i="6" s="1"/>
  <c r="AE15" i="2"/>
  <c r="D12" i="2"/>
  <c r="J12" i="2"/>
  <c r="L12" i="2" s="1"/>
  <c r="M12" i="2" s="1"/>
  <c r="E15" i="6"/>
  <c r="Z15" i="2"/>
  <c r="F16" i="2"/>
  <c r="Q19" i="2"/>
  <c r="R19" i="2" s="1"/>
  <c r="AE19" i="2"/>
  <c r="G20" i="2"/>
  <c r="H20" i="2" s="1"/>
  <c r="F20" i="2"/>
  <c r="J21" i="2"/>
  <c r="L21" i="2" s="1"/>
  <c r="M21" i="2" s="1"/>
  <c r="Y15" i="2"/>
  <c r="F15" i="6" s="1"/>
  <c r="AE17" i="2"/>
  <c r="D18" i="2"/>
  <c r="D19" i="2"/>
  <c r="H19" i="2"/>
  <c r="Y19" i="2"/>
  <c r="F19" i="6" s="1"/>
  <c r="J20" i="2"/>
  <c r="L20" i="2" s="1"/>
  <c r="M20" i="2" s="1"/>
  <c r="E11" i="6"/>
  <c r="E14" i="6"/>
  <c r="F18" i="2"/>
  <c r="G18" i="2"/>
  <c r="AS19" i="2"/>
  <c r="AA19" i="2"/>
  <c r="E13" i="6"/>
  <c r="F14" i="2"/>
  <c r="G14" i="2"/>
  <c r="O14" i="2" s="1"/>
  <c r="C14" i="6" s="1"/>
  <c r="Y18" i="2"/>
  <c r="F18" i="6" s="1"/>
  <c r="E18" i="6"/>
  <c r="AJ19" i="2"/>
  <c r="K19" i="6" s="1"/>
  <c r="AA19" i="6" s="1"/>
  <c r="V19" i="2"/>
  <c r="Z20" i="2"/>
  <c r="AA20" i="2" s="1"/>
  <c r="E20" i="6"/>
  <c r="Y20" i="2"/>
  <c r="F20" i="6" s="1"/>
  <c r="AG16" i="2"/>
  <c r="AH16" i="2"/>
  <c r="Q17" i="2"/>
  <c r="P17" i="2"/>
  <c r="AS17" i="2"/>
  <c r="W17" i="6" s="1"/>
  <c r="AI17" i="2"/>
  <c r="J17" i="6" s="1"/>
  <c r="AB17" i="6" s="1"/>
  <c r="K18" i="2"/>
  <c r="L18" i="2"/>
  <c r="M18" i="2" s="1"/>
  <c r="F17" i="2"/>
  <c r="Y17" i="2"/>
  <c r="F17" i="6" s="1"/>
  <c r="AE16" i="2"/>
  <c r="H17" i="2"/>
  <c r="T17" i="2"/>
  <c r="AA17" i="2"/>
  <c r="AF18" i="2"/>
  <c r="K20" i="2"/>
  <c r="AE20" i="2"/>
  <c r="G21" i="2"/>
  <c r="F21" i="2"/>
  <c r="Z21" i="2"/>
  <c r="Y21" i="2"/>
  <c r="F21" i="6" s="1"/>
  <c r="J16" i="2"/>
  <c r="V17" i="2"/>
  <c r="AN17" i="2"/>
  <c r="O20" i="2"/>
  <c r="C20" i="6" s="1"/>
  <c r="O16" i="2"/>
  <c r="C16" i="6" s="1"/>
  <c r="AA16" i="2"/>
  <c r="U18" i="2"/>
  <c r="AL19" i="2"/>
  <c r="AM19" i="2" s="1"/>
  <c r="AH19" i="2"/>
  <c r="K21" i="2"/>
  <c r="U21" i="2"/>
  <c r="T21" i="2"/>
  <c r="AF21" i="2"/>
  <c r="AE21" i="2"/>
  <c r="F12" i="2"/>
  <c r="G12" i="2"/>
  <c r="Z12" i="2"/>
  <c r="Y12" i="2"/>
  <c r="F12" i="6" s="1"/>
  <c r="Q13" i="2"/>
  <c r="AL13" i="2" s="1"/>
  <c r="P13" i="2"/>
  <c r="K12" i="2"/>
  <c r="AF12" i="2"/>
  <c r="AE12" i="2"/>
  <c r="H13" i="2"/>
  <c r="AJ13" i="2"/>
  <c r="K13" i="6" s="1"/>
  <c r="AA13" i="6" s="1"/>
  <c r="U14" i="2"/>
  <c r="AH13" i="2"/>
  <c r="I13" i="6" s="1"/>
  <c r="J14" i="2"/>
  <c r="D14" i="2"/>
  <c r="Q15" i="2"/>
  <c r="R15" i="2" s="1"/>
  <c r="P15" i="2"/>
  <c r="V13" i="2"/>
  <c r="AG13" i="2"/>
  <c r="L15" i="2"/>
  <c r="M15" i="2" s="1"/>
  <c r="K15" i="2"/>
  <c r="AL15" i="2"/>
  <c r="U12" i="2"/>
  <c r="T12" i="2"/>
  <c r="Q14" i="2"/>
  <c r="R14" i="2" s="1"/>
  <c r="AS15" i="2"/>
  <c r="W15" i="6" s="1"/>
  <c r="AA14" i="2"/>
  <c r="AG14" i="2"/>
  <c r="AJ15" i="2"/>
  <c r="K15" i="6" s="1"/>
  <c r="AA15" i="6" s="1"/>
  <c r="F13" i="2"/>
  <c r="T13" i="2"/>
  <c r="AH14" i="2"/>
  <c r="D15" i="2"/>
  <c r="H15" i="2"/>
  <c r="AA15" i="2"/>
  <c r="AG15" i="2"/>
  <c r="AN15" i="2"/>
  <c r="K13" i="2"/>
  <c r="Y13" i="2"/>
  <c r="F13" i="6" s="1"/>
  <c r="AE13" i="2"/>
  <c r="AH15" i="2"/>
  <c r="I15" i="6" s="1"/>
  <c r="AJ11" i="2"/>
  <c r="K11" i="6" s="1"/>
  <c r="AA11" i="6" s="1"/>
  <c r="V11" i="2"/>
  <c r="AA10" i="2"/>
  <c r="AA11" i="2"/>
  <c r="O11" i="2"/>
  <c r="C11" i="6" s="1"/>
  <c r="H11" i="2"/>
  <c r="AH11" i="2"/>
  <c r="AG11" i="2"/>
  <c r="K10" i="2"/>
  <c r="Y10" i="2"/>
  <c r="F10" i="6" s="1"/>
  <c r="G10" i="2"/>
  <c r="AF10" i="2"/>
  <c r="F11" i="2"/>
  <c r="K11" i="2"/>
  <c r="T11" i="2"/>
  <c r="Y11" i="2"/>
  <c r="F11" i="6" s="1"/>
  <c r="AE11" i="2"/>
  <c r="AQ29" i="2"/>
  <c r="AX29" i="2"/>
  <c r="AW15" i="2"/>
  <c r="AP15" i="2"/>
  <c r="AW17" i="2"/>
  <c r="AP17" i="2"/>
  <c r="AW35" i="2"/>
  <c r="AX37" i="2"/>
  <c r="AP43" i="2"/>
  <c r="AP35" i="2"/>
  <c r="AP39" i="2"/>
  <c r="AW43" i="2"/>
  <c r="AW39" i="2"/>
  <c r="AW45" i="2"/>
  <c r="AP45" i="2"/>
  <c r="AQ55" i="2"/>
  <c r="AX55" i="2"/>
  <c r="AP49" i="2"/>
  <c r="AQ47" i="2"/>
  <c r="AW49" i="2"/>
  <c r="AW53" i="2"/>
  <c r="AX51" i="2"/>
  <c r="AX47" i="2"/>
  <c r="AP53" i="2"/>
  <c r="AQ51" i="2"/>
  <c r="AX64" i="2"/>
  <c r="AQ64" i="2"/>
  <c r="AX66" i="2"/>
  <c r="AQ66" i="2"/>
  <c r="BD76" i="2" l="1"/>
  <c r="R76" i="6" s="1"/>
  <c r="P76" i="6"/>
  <c r="BF78" i="2"/>
  <c r="BG78" i="2"/>
  <c r="BD78" i="2"/>
  <c r="R78" i="6" s="1"/>
  <c r="BG74" i="2"/>
  <c r="BF74" i="2"/>
  <c r="BD74" i="2"/>
  <c r="R74" i="6" s="1"/>
  <c r="N66" i="6"/>
  <c r="N64" i="6"/>
  <c r="Z64" i="6"/>
  <c r="H64" i="6"/>
  <c r="BG62" i="2"/>
  <c r="BG68" i="2"/>
  <c r="AY66" i="2"/>
  <c r="P66" i="6" s="1"/>
  <c r="H66" i="6"/>
  <c r="Z66" i="6"/>
  <c r="BD68" i="2"/>
  <c r="R68" i="6" s="1"/>
  <c r="AR66" i="2"/>
  <c r="AZ66" i="2"/>
  <c r="AR64" i="2"/>
  <c r="AZ64" i="2"/>
  <c r="BF66" i="2"/>
  <c r="BG66" i="2"/>
  <c r="BD66" i="2"/>
  <c r="R66" i="6" s="1"/>
  <c r="BF61" i="2"/>
  <c r="BG61" i="2"/>
  <c r="BD61" i="2"/>
  <c r="R61" i="6" s="1"/>
  <c r="BG60" i="2"/>
  <c r="BF60" i="2"/>
  <c r="BD60" i="2"/>
  <c r="R60" i="6" s="1"/>
  <c r="AY64" i="2"/>
  <c r="P64" i="6" s="1"/>
  <c r="BG56" i="2"/>
  <c r="BF56" i="2"/>
  <c r="BD56" i="2"/>
  <c r="N51" i="6"/>
  <c r="M53" i="6"/>
  <c r="P47" i="6"/>
  <c r="P51" i="6"/>
  <c r="O53" i="6"/>
  <c r="O49" i="6"/>
  <c r="N47" i="6"/>
  <c r="M49" i="6"/>
  <c r="P55" i="6"/>
  <c r="N55" i="6"/>
  <c r="M45" i="6"/>
  <c r="O45" i="6"/>
  <c r="BC45" i="2"/>
  <c r="Q45" i="6" s="1"/>
  <c r="BE45" i="2"/>
  <c r="G53" i="6"/>
  <c r="Y53" i="6"/>
  <c r="Z55" i="6"/>
  <c r="H55" i="6"/>
  <c r="Y45" i="6"/>
  <c r="G45" i="6"/>
  <c r="AO45" i="2"/>
  <c r="AN46" i="2"/>
  <c r="W45" i="6"/>
  <c r="AT45" i="2"/>
  <c r="Y49" i="6"/>
  <c r="G49" i="6"/>
  <c r="Z51" i="6"/>
  <c r="H51" i="6"/>
  <c r="AM53" i="2"/>
  <c r="Z47" i="6"/>
  <c r="H47" i="6"/>
  <c r="AZ55" i="2"/>
  <c r="AR55" i="2"/>
  <c r="AT54" i="2"/>
  <c r="X54" i="6" s="1"/>
  <c r="AM54" i="2"/>
  <c r="AN54" i="2"/>
  <c r="AY55" i="2"/>
  <c r="AR51" i="2"/>
  <c r="AZ47" i="2"/>
  <c r="AZ51" i="2"/>
  <c r="BE53" i="2"/>
  <c r="AY53" i="2"/>
  <c r="BC53" i="2"/>
  <c r="Q53" i="6" s="1"/>
  <c r="BE49" i="2"/>
  <c r="BC49" i="2"/>
  <c r="Q49" i="6" s="1"/>
  <c r="AR47" i="2"/>
  <c r="AO53" i="2"/>
  <c r="AN52" i="2"/>
  <c r="AT53" i="2"/>
  <c r="X53" i="6" s="1"/>
  <c r="AM49" i="2"/>
  <c r="AT49" i="2"/>
  <c r="X49" i="6" s="1"/>
  <c r="AO49" i="2"/>
  <c r="AN48" i="2"/>
  <c r="AN50" i="2"/>
  <c r="AY51" i="2"/>
  <c r="AY47" i="2"/>
  <c r="O39" i="6"/>
  <c r="O43" i="6"/>
  <c r="M39" i="6"/>
  <c r="M35" i="6"/>
  <c r="M43" i="6"/>
  <c r="P37" i="6"/>
  <c r="O35" i="6"/>
  <c r="AY37" i="2"/>
  <c r="BF37" i="2" s="1"/>
  <c r="X37" i="6"/>
  <c r="AM35" i="2"/>
  <c r="Y39" i="6"/>
  <c r="G39" i="6"/>
  <c r="Y35" i="6"/>
  <c r="G35" i="6"/>
  <c r="Y43" i="6"/>
  <c r="G43" i="6"/>
  <c r="AL41" i="2"/>
  <c r="R41" i="2"/>
  <c r="AN41" i="2"/>
  <c r="AS41" i="2"/>
  <c r="BE39" i="2"/>
  <c r="BC39" i="2"/>
  <c r="Q39" i="6" s="1"/>
  <c r="BE43" i="2"/>
  <c r="BC43" i="2"/>
  <c r="Q43" i="6" s="1"/>
  <c r="AZ37" i="2"/>
  <c r="BE35" i="2"/>
  <c r="BC35" i="2"/>
  <c r="Q35" i="6" s="1"/>
  <c r="BG37" i="2"/>
  <c r="BD37" i="2"/>
  <c r="R37" i="6" s="1"/>
  <c r="AM38" i="2"/>
  <c r="AN38" i="2"/>
  <c r="AT39" i="2"/>
  <c r="X39" i="6" s="1"/>
  <c r="AM42" i="2"/>
  <c r="AN42" i="2"/>
  <c r="AT43" i="2"/>
  <c r="X43" i="6" s="1"/>
  <c r="R36" i="2"/>
  <c r="AL36" i="2"/>
  <c r="AS36" i="2"/>
  <c r="W36" i="6" s="1"/>
  <c r="AT38" i="2"/>
  <c r="X38" i="6" s="1"/>
  <c r="AO39" i="2"/>
  <c r="AM43" i="2"/>
  <c r="AO35" i="2"/>
  <c r="R40" i="2"/>
  <c r="AL40" i="2"/>
  <c r="AS40" i="2"/>
  <c r="W40" i="6" s="1"/>
  <c r="AO43" i="2"/>
  <c r="AT35" i="2"/>
  <c r="X35" i="6" s="1"/>
  <c r="AT42" i="2"/>
  <c r="X42" i="6" s="1"/>
  <c r="P29" i="6"/>
  <c r="N29" i="6"/>
  <c r="Z29" i="6"/>
  <c r="H29" i="6"/>
  <c r="AJ32" i="2"/>
  <c r="K32" i="6" s="1"/>
  <c r="AA32" i="6" s="1"/>
  <c r="V32" i="2"/>
  <c r="AK32" i="2" s="1"/>
  <c r="L32" i="6" s="1"/>
  <c r="AJ30" i="2"/>
  <c r="K30" i="6" s="1"/>
  <c r="AA30" i="6" s="1"/>
  <c r="Q27" i="2"/>
  <c r="C27" i="6"/>
  <c r="P27" i="2"/>
  <c r="C31" i="6"/>
  <c r="Q31" i="2"/>
  <c r="P31" i="2"/>
  <c r="AZ29" i="2"/>
  <c r="AR29" i="2"/>
  <c r="P23" i="2"/>
  <c r="Q23" i="2"/>
  <c r="AI23" i="2"/>
  <c r="J23" i="6" s="1"/>
  <c r="AB23" i="6" s="1"/>
  <c r="R30" i="2"/>
  <c r="AL30" i="2"/>
  <c r="AS30" i="2"/>
  <c r="W30" i="6" s="1"/>
  <c r="AJ24" i="2"/>
  <c r="K24" i="6" s="1"/>
  <c r="AA24" i="6" s="1"/>
  <c r="V24" i="2"/>
  <c r="R32" i="2"/>
  <c r="AL32" i="2"/>
  <c r="AS32" i="2"/>
  <c r="W32" i="6" s="1"/>
  <c r="R28" i="2"/>
  <c r="AL28" i="2"/>
  <c r="AS28" i="2"/>
  <c r="W28" i="6" s="1"/>
  <c r="AK26" i="2"/>
  <c r="L26" i="6" s="1"/>
  <c r="AM26" i="2"/>
  <c r="R25" i="2"/>
  <c r="AN25" i="2"/>
  <c r="AS25" i="2"/>
  <c r="W25" i="6" s="1"/>
  <c r="AL25" i="2"/>
  <c r="AK28" i="2"/>
  <c r="L28" i="6" s="1"/>
  <c r="AT26" i="2"/>
  <c r="X26" i="6" s="1"/>
  <c r="AI26" i="2"/>
  <c r="J26" i="6" s="1"/>
  <c r="AB26" i="6" s="1"/>
  <c r="AK23" i="2"/>
  <c r="L23" i="6" s="1"/>
  <c r="AK30" i="2"/>
  <c r="L30" i="6" s="1"/>
  <c r="R24" i="2"/>
  <c r="AS24" i="2"/>
  <c r="W24" i="6" s="1"/>
  <c r="AL24" i="2"/>
  <c r="R33" i="2"/>
  <c r="AN33" i="2"/>
  <c r="AS33" i="2"/>
  <c r="W33" i="6" s="1"/>
  <c r="AL33" i="2"/>
  <c r="AY29" i="2"/>
  <c r="M15" i="6"/>
  <c r="O15" i="6"/>
  <c r="M17" i="6"/>
  <c r="O17" i="6"/>
  <c r="AI16" i="2"/>
  <c r="J16" i="6" s="1"/>
  <c r="AB16" i="6" s="1"/>
  <c r="I16" i="6"/>
  <c r="AM15" i="2"/>
  <c r="AK19" i="2"/>
  <c r="L19" i="6" s="1"/>
  <c r="Y17" i="6"/>
  <c r="G17" i="6"/>
  <c r="AH20" i="2"/>
  <c r="AT19" i="2"/>
  <c r="W19" i="6"/>
  <c r="V15" i="2"/>
  <c r="AJ16" i="2"/>
  <c r="K16" i="6" s="1"/>
  <c r="AA16" i="6" s="1"/>
  <c r="H18" i="2"/>
  <c r="O18" i="2"/>
  <c r="AI11" i="2"/>
  <c r="J11" i="6" s="1"/>
  <c r="AB11" i="6" s="1"/>
  <c r="I11" i="6"/>
  <c r="AI14" i="2"/>
  <c r="J14" i="6" s="1"/>
  <c r="AB14" i="6" s="1"/>
  <c r="I14" i="6"/>
  <c r="P14" i="2"/>
  <c r="Y15" i="6"/>
  <c r="G15" i="6"/>
  <c r="H14" i="2"/>
  <c r="AN13" i="2"/>
  <c r="AI19" i="2"/>
  <c r="J19" i="6" s="1"/>
  <c r="AB19" i="6" s="1"/>
  <c r="I19" i="6"/>
  <c r="AN19" i="2"/>
  <c r="BE17" i="2"/>
  <c r="BC17" i="2"/>
  <c r="Q17" i="6" s="1"/>
  <c r="AJ21" i="2"/>
  <c r="K21" i="6" s="1"/>
  <c r="AA21" i="6" s="1"/>
  <c r="V21" i="2"/>
  <c r="AK17" i="2"/>
  <c r="L17" i="6" s="1"/>
  <c r="AA21" i="2"/>
  <c r="AH21" i="2"/>
  <c r="I21" i="6" s="1"/>
  <c r="AG21" i="2"/>
  <c r="AJ18" i="2"/>
  <c r="K18" i="6" s="1"/>
  <c r="AA18" i="6" s="1"/>
  <c r="V18" i="2"/>
  <c r="Q16" i="2"/>
  <c r="P16" i="2"/>
  <c r="Q20" i="2"/>
  <c r="P20" i="2"/>
  <c r="L16" i="2"/>
  <c r="M16" i="2" s="1"/>
  <c r="K16" i="2"/>
  <c r="H21" i="2"/>
  <c r="O21" i="2"/>
  <c r="C21" i="6" s="1"/>
  <c r="AT17" i="2"/>
  <c r="X17" i="6" s="1"/>
  <c r="U20" i="2"/>
  <c r="AH18" i="2"/>
  <c r="AG18" i="2"/>
  <c r="R17" i="2"/>
  <c r="AO17" i="2" s="1"/>
  <c r="AL17" i="2"/>
  <c r="BE15" i="2"/>
  <c r="BC15" i="2"/>
  <c r="Q15" i="6" s="1"/>
  <c r="AK15" i="2"/>
  <c r="L15" i="6" s="1"/>
  <c r="AK13" i="2"/>
  <c r="L13" i="6" s="1"/>
  <c r="K14" i="2"/>
  <c r="L14" i="2"/>
  <c r="M14" i="2" s="1"/>
  <c r="V14" i="2"/>
  <c r="AJ14" i="2"/>
  <c r="K14" i="6" s="1"/>
  <c r="AA14" i="6" s="1"/>
  <c r="AI15" i="2"/>
  <c r="J15" i="6" s="1"/>
  <c r="AB15" i="6" s="1"/>
  <c r="AO15" i="2"/>
  <c r="AI13" i="2"/>
  <c r="J13" i="6" s="1"/>
  <c r="AB13" i="6" s="1"/>
  <c r="AG12" i="2"/>
  <c r="AH12" i="2"/>
  <c r="I12" i="6" s="1"/>
  <c r="AL14" i="2"/>
  <c r="AA12" i="2"/>
  <c r="AT15" i="2"/>
  <c r="X15" i="6" s="1"/>
  <c r="V12" i="2"/>
  <c r="AJ12" i="2"/>
  <c r="K12" i="6" s="1"/>
  <c r="AA12" i="6" s="1"/>
  <c r="AS14" i="2"/>
  <c r="W14" i="6" s="1"/>
  <c r="H12" i="2"/>
  <c r="O12" i="2"/>
  <c r="C12" i="6" s="1"/>
  <c r="AS13" i="2"/>
  <c r="W13" i="6" s="1"/>
  <c r="R13" i="2"/>
  <c r="AM13" i="2" s="1"/>
  <c r="O10" i="2"/>
  <c r="C10" i="6" s="1"/>
  <c r="H10" i="2"/>
  <c r="Q11" i="2"/>
  <c r="P11" i="2"/>
  <c r="AK11" i="2"/>
  <c r="L11" i="6" s="1"/>
  <c r="AH10" i="2"/>
  <c r="I10" i="6" s="1"/>
  <c r="AG10" i="2"/>
  <c r="AP25" i="2"/>
  <c r="AW25" i="2"/>
  <c r="AW33" i="2"/>
  <c r="AP33" i="2"/>
  <c r="AX15" i="2"/>
  <c r="AX17" i="2"/>
  <c r="AW13" i="2"/>
  <c r="AW19" i="2"/>
  <c r="AQ17" i="2"/>
  <c r="AP19" i="2"/>
  <c r="AQ15" i="2"/>
  <c r="AP13" i="2"/>
  <c r="AP41" i="2"/>
  <c r="AW41" i="2"/>
  <c r="AQ35" i="2"/>
  <c r="AW42" i="2"/>
  <c r="AP42" i="2"/>
  <c r="AQ43" i="2"/>
  <c r="AW38" i="2"/>
  <c r="AP38" i="2"/>
  <c r="AX43" i="2"/>
  <c r="AX35" i="2"/>
  <c r="AX39" i="2"/>
  <c r="AQ39" i="2"/>
  <c r="AP46" i="2"/>
  <c r="AW46" i="2"/>
  <c r="AX45" i="2"/>
  <c r="AQ45" i="2"/>
  <c r="AW54" i="2"/>
  <c r="AP54" i="2"/>
  <c r="AX53" i="2"/>
  <c r="AQ53" i="2"/>
  <c r="AX49" i="2"/>
  <c r="AW48" i="2"/>
  <c r="AP48" i="2"/>
  <c r="AW52" i="2"/>
  <c r="AP52" i="2"/>
  <c r="AP50" i="2"/>
  <c r="AW50" i="2"/>
  <c r="AQ49" i="2"/>
  <c r="BG64" i="2" l="1"/>
  <c r="BF64" i="2"/>
  <c r="BD64" i="2"/>
  <c r="R64" i="6" s="1"/>
  <c r="N49" i="6"/>
  <c r="O50" i="6"/>
  <c r="M50" i="6"/>
  <c r="M52" i="6"/>
  <c r="O52" i="6"/>
  <c r="M48" i="6"/>
  <c r="O48" i="6"/>
  <c r="P49" i="6"/>
  <c r="N53" i="6"/>
  <c r="P53" i="6"/>
  <c r="M54" i="6"/>
  <c r="O54" i="6"/>
  <c r="N45" i="6"/>
  <c r="AR45" i="2"/>
  <c r="P45" i="6"/>
  <c r="AZ45" i="2"/>
  <c r="O46" i="6"/>
  <c r="BE46" i="2"/>
  <c r="BC46" i="2"/>
  <c r="Q46" i="6" s="1"/>
  <c r="M46" i="6"/>
  <c r="Y52" i="6"/>
  <c r="G52" i="6"/>
  <c r="Y48" i="6"/>
  <c r="G48" i="6"/>
  <c r="Z53" i="6"/>
  <c r="H53" i="6"/>
  <c r="Z45" i="6"/>
  <c r="H45" i="6"/>
  <c r="AY45" i="2"/>
  <c r="Y50" i="6"/>
  <c r="G50" i="6"/>
  <c r="Z49" i="6"/>
  <c r="H49" i="6"/>
  <c r="Y54" i="6"/>
  <c r="G54" i="6"/>
  <c r="X45" i="6"/>
  <c r="Y46" i="6"/>
  <c r="G46" i="6"/>
  <c r="AO46" i="2"/>
  <c r="AY46" i="2" s="1"/>
  <c r="BE54" i="2"/>
  <c r="BC54" i="2"/>
  <c r="Q54" i="6" s="1"/>
  <c r="BG55" i="2"/>
  <c r="BF55" i="2"/>
  <c r="BD55" i="2"/>
  <c r="R55" i="6" s="1"/>
  <c r="AO54" i="2"/>
  <c r="AR49" i="2"/>
  <c r="BE50" i="2"/>
  <c r="BC50" i="2"/>
  <c r="Q50" i="6" s="1"/>
  <c r="BE52" i="2"/>
  <c r="AY52" i="2"/>
  <c r="BC52" i="2"/>
  <c r="Q52" i="6" s="1"/>
  <c r="BE48" i="2"/>
  <c r="BC48" i="2"/>
  <c r="Q48" i="6" s="1"/>
  <c r="AZ49" i="2"/>
  <c r="AR53" i="2"/>
  <c r="AZ53" i="2"/>
  <c r="AO50" i="2"/>
  <c r="AO52" i="2"/>
  <c r="BG47" i="2"/>
  <c r="BF47" i="2"/>
  <c r="BD47" i="2"/>
  <c r="R47" i="6" s="1"/>
  <c r="AO48" i="2"/>
  <c r="AY49" i="2"/>
  <c r="BG53" i="2"/>
  <c r="BF53" i="2"/>
  <c r="BG51" i="2"/>
  <c r="BF51" i="2"/>
  <c r="BD51" i="2"/>
  <c r="R51" i="6" s="1"/>
  <c r="BD53" i="2"/>
  <c r="R53" i="6" s="1"/>
  <c r="N39" i="6"/>
  <c r="P39" i="6"/>
  <c r="P35" i="6"/>
  <c r="P43" i="6"/>
  <c r="M38" i="6"/>
  <c r="O38" i="6"/>
  <c r="N43" i="6"/>
  <c r="M42" i="6"/>
  <c r="O42" i="6"/>
  <c r="N35" i="6"/>
  <c r="O41" i="6"/>
  <c r="BE41" i="2"/>
  <c r="BC41" i="2"/>
  <c r="Q41" i="6" s="1"/>
  <c r="M41" i="6"/>
  <c r="Z43" i="6"/>
  <c r="H43" i="6"/>
  <c r="Z35" i="6"/>
  <c r="H35" i="6"/>
  <c r="Y42" i="6"/>
  <c r="G42" i="6"/>
  <c r="W41" i="6"/>
  <c r="AT41" i="2"/>
  <c r="Y41" i="6"/>
  <c r="G41" i="6"/>
  <c r="AO41" i="2"/>
  <c r="Z39" i="6"/>
  <c r="H39" i="6"/>
  <c r="Y38" i="6"/>
  <c r="G38" i="6"/>
  <c r="AM41" i="2"/>
  <c r="AR39" i="2"/>
  <c r="AZ39" i="2"/>
  <c r="AZ35" i="2"/>
  <c r="AZ43" i="2"/>
  <c r="BE38" i="2"/>
  <c r="BC38" i="2"/>
  <c r="Q38" i="6" s="1"/>
  <c r="AR43" i="2"/>
  <c r="BE42" i="2"/>
  <c r="BC42" i="2"/>
  <c r="Q42" i="6" s="1"/>
  <c r="AR35" i="2"/>
  <c r="AT40" i="2"/>
  <c r="X40" i="6" s="1"/>
  <c r="AN36" i="2"/>
  <c r="AM36" i="2"/>
  <c r="AN40" i="2"/>
  <c r="AM40" i="2"/>
  <c r="AO38" i="2"/>
  <c r="AY35" i="2"/>
  <c r="AT36" i="2"/>
  <c r="X36" i="6" s="1"/>
  <c r="AO42" i="2"/>
  <c r="AY43" i="2"/>
  <c r="AY39" i="2"/>
  <c r="M33" i="6"/>
  <c r="O33" i="6"/>
  <c r="O25" i="6"/>
  <c r="M25" i="6"/>
  <c r="Y25" i="6"/>
  <c r="G25" i="6"/>
  <c r="AN31" i="2"/>
  <c r="R31" i="2"/>
  <c r="AM31" i="2" s="1"/>
  <c r="AS31" i="2"/>
  <c r="AL31" i="2"/>
  <c r="R27" i="2"/>
  <c r="AS27" i="2"/>
  <c r="AN27" i="2"/>
  <c r="AN28" i="2" s="1"/>
  <c r="AL27" i="2"/>
  <c r="Y33" i="6"/>
  <c r="G33" i="6"/>
  <c r="AM33" i="2"/>
  <c r="BE33" i="2"/>
  <c r="BC33" i="2"/>
  <c r="Q33" i="6" s="1"/>
  <c r="BE25" i="2"/>
  <c r="AY25" i="2"/>
  <c r="BC25" i="2"/>
  <c r="Q25" i="6" s="1"/>
  <c r="AO33" i="2"/>
  <c r="R23" i="2"/>
  <c r="AL23" i="2"/>
  <c r="AS23" i="2"/>
  <c r="W23" i="6" s="1"/>
  <c r="AN23" i="2"/>
  <c r="AN24" i="2"/>
  <c r="AM24" i="2"/>
  <c r="AT28" i="2"/>
  <c r="X28" i="6" s="1"/>
  <c r="AM32" i="2"/>
  <c r="AN32" i="2"/>
  <c r="AT33" i="2"/>
  <c r="AT24" i="2"/>
  <c r="X24" i="6" s="1"/>
  <c r="AM25" i="2"/>
  <c r="AM28" i="2"/>
  <c r="AT30" i="2"/>
  <c r="X30" i="6" s="1"/>
  <c r="AT25" i="2"/>
  <c r="X25" i="6" s="1"/>
  <c r="AK24" i="2"/>
  <c r="L24" i="6" s="1"/>
  <c r="AM30" i="2"/>
  <c r="BG29" i="2"/>
  <c r="BF29" i="2"/>
  <c r="BD29" i="2"/>
  <c r="R29" i="6" s="1"/>
  <c r="AO25" i="2"/>
  <c r="AT32" i="2"/>
  <c r="X32" i="6" s="1"/>
  <c r="O13" i="6"/>
  <c r="P15" i="6"/>
  <c r="N15" i="6"/>
  <c r="N17" i="6"/>
  <c r="P17" i="6"/>
  <c r="M13" i="6"/>
  <c r="M19" i="6"/>
  <c r="O19" i="6"/>
  <c r="BC19" i="2"/>
  <c r="Q19" i="6" s="1"/>
  <c r="BE19" i="2"/>
  <c r="Z17" i="6"/>
  <c r="H17" i="6"/>
  <c r="X19" i="6"/>
  <c r="AI20" i="2"/>
  <c r="J20" i="6" s="1"/>
  <c r="AB20" i="6" s="1"/>
  <c r="I20" i="6"/>
  <c r="AY15" i="2"/>
  <c r="BD15" i="2" s="1"/>
  <c r="R15" i="6" s="1"/>
  <c r="Y13" i="6"/>
  <c r="G13" i="6"/>
  <c r="AO13" i="2"/>
  <c r="H15" i="6"/>
  <c r="Z15" i="6"/>
  <c r="AM17" i="2"/>
  <c r="AI18" i="2"/>
  <c r="J18" i="6" s="1"/>
  <c r="AB18" i="6" s="1"/>
  <c r="I18" i="6"/>
  <c r="AO19" i="2"/>
  <c r="Y19" i="6"/>
  <c r="G19" i="6"/>
  <c r="P18" i="2"/>
  <c r="C18" i="6"/>
  <c r="Q18" i="2"/>
  <c r="AR17" i="2"/>
  <c r="AZ17" i="2"/>
  <c r="AY17" i="2"/>
  <c r="R16" i="2"/>
  <c r="AS16" i="2"/>
  <c r="W16" i="6" s="1"/>
  <c r="AL16" i="2"/>
  <c r="Q21" i="2"/>
  <c r="P21" i="2"/>
  <c r="AK18" i="2"/>
  <c r="L18" i="6" s="1"/>
  <c r="AI21" i="2"/>
  <c r="J21" i="6" s="1"/>
  <c r="AB21" i="6" s="1"/>
  <c r="R20" i="2"/>
  <c r="AL20" i="2"/>
  <c r="AS20" i="2"/>
  <c r="W20" i="6" s="1"/>
  <c r="V20" i="2"/>
  <c r="AJ20" i="2"/>
  <c r="K20" i="6" s="1"/>
  <c r="AA20" i="6" s="1"/>
  <c r="AK21" i="2"/>
  <c r="L21" i="6" s="1"/>
  <c r="BE13" i="2"/>
  <c r="BC13" i="2"/>
  <c r="Q13" i="6" s="1"/>
  <c r="AZ15" i="2"/>
  <c r="AR15" i="2"/>
  <c r="Q12" i="2"/>
  <c r="P12" i="2"/>
  <c r="AK12" i="2"/>
  <c r="L12" i="6" s="1"/>
  <c r="AM14" i="2"/>
  <c r="AN14" i="2"/>
  <c r="AT13" i="2"/>
  <c r="X13" i="6" s="1"/>
  <c r="AT14" i="2"/>
  <c r="X14" i="6" s="1"/>
  <c r="AI12" i="2"/>
  <c r="J12" i="6" s="1"/>
  <c r="AB12" i="6" s="1"/>
  <c r="AK14" i="2"/>
  <c r="L14" i="6" s="1"/>
  <c r="BG15" i="2"/>
  <c r="BF15" i="2"/>
  <c r="R11" i="2"/>
  <c r="AL11" i="2"/>
  <c r="AS11" i="2"/>
  <c r="W11" i="6" s="1"/>
  <c r="AN11" i="2"/>
  <c r="AI10" i="2"/>
  <c r="J10" i="6" s="1"/>
  <c r="AB10" i="6" s="1"/>
  <c r="Q10" i="2"/>
  <c r="P10" i="2"/>
  <c r="AP27" i="2"/>
  <c r="AP31" i="2"/>
  <c r="AW27" i="2"/>
  <c r="AW31" i="2"/>
  <c r="AX33" i="2"/>
  <c r="AW23" i="2"/>
  <c r="AQ33" i="2"/>
  <c r="AP23" i="2"/>
  <c r="AX25" i="2"/>
  <c r="AQ25" i="2"/>
  <c r="AW24" i="2"/>
  <c r="AP24" i="2"/>
  <c r="AW32" i="2"/>
  <c r="AP32" i="2"/>
  <c r="AW28" i="2"/>
  <c r="AP28" i="2"/>
  <c r="AP14" i="2"/>
  <c r="AX19" i="2"/>
  <c r="AQ19" i="2"/>
  <c r="AW11" i="2"/>
  <c r="AW14" i="2"/>
  <c r="AQ13" i="2"/>
  <c r="AX13" i="2"/>
  <c r="AP11" i="2"/>
  <c r="AQ41" i="2"/>
  <c r="AX41" i="2"/>
  <c r="AW40" i="2"/>
  <c r="AP40" i="2"/>
  <c r="AX42" i="2"/>
  <c r="AQ42" i="2"/>
  <c r="AW36" i="2"/>
  <c r="AP36" i="2"/>
  <c r="AX38" i="2"/>
  <c r="AQ38" i="2"/>
  <c r="AQ46" i="2"/>
  <c r="AX46" i="2"/>
  <c r="AX54" i="2"/>
  <c r="AQ54" i="2"/>
  <c r="AX50" i="2"/>
  <c r="AQ50" i="2"/>
  <c r="AX52" i="2"/>
  <c r="AQ52" i="2"/>
  <c r="AX48" i="2"/>
  <c r="AQ48" i="2"/>
  <c r="N48" i="6" l="1"/>
  <c r="N52" i="6"/>
  <c r="N50" i="6"/>
  <c r="N54" i="6"/>
  <c r="AZ46" i="2"/>
  <c r="N46" i="6"/>
  <c r="AR46" i="2"/>
  <c r="P46" i="6"/>
  <c r="BF46" i="2"/>
  <c r="BG46" i="2"/>
  <c r="BD46" i="2"/>
  <c r="R46" i="6" s="1"/>
  <c r="AY48" i="2"/>
  <c r="P48" i="6" s="1"/>
  <c r="Z48" i="6"/>
  <c r="H48" i="6"/>
  <c r="AY50" i="2"/>
  <c r="P50" i="6" s="1"/>
  <c r="Z50" i="6"/>
  <c r="H50" i="6"/>
  <c r="Z54" i="6"/>
  <c r="H54" i="6"/>
  <c r="BF45" i="2"/>
  <c r="BG45" i="2"/>
  <c r="BD45" i="2"/>
  <c r="R45" i="6" s="1"/>
  <c r="BD52" i="2"/>
  <c r="R52" i="6" s="1"/>
  <c r="P52" i="6"/>
  <c r="Z52" i="6"/>
  <c r="H52" i="6"/>
  <c r="Z46" i="6"/>
  <c r="H46" i="6"/>
  <c r="AR54" i="2"/>
  <c r="AZ54" i="2"/>
  <c r="AY54" i="2"/>
  <c r="P54" i="6" s="1"/>
  <c r="AR48" i="2"/>
  <c r="AZ48" i="2"/>
  <c r="AR52" i="2"/>
  <c r="AZ52" i="2"/>
  <c r="AR50" i="2"/>
  <c r="AZ50" i="2"/>
  <c r="BG50" i="2"/>
  <c r="BF50" i="2"/>
  <c r="BD50" i="2"/>
  <c r="R50" i="6" s="1"/>
  <c r="BF49" i="2"/>
  <c r="BG49" i="2"/>
  <c r="BD49" i="2"/>
  <c r="R49" i="6" s="1"/>
  <c r="BF52" i="2"/>
  <c r="BG52" i="2"/>
  <c r="N38" i="6"/>
  <c r="M36" i="6"/>
  <c r="O36" i="6"/>
  <c r="N42" i="6"/>
  <c r="M40" i="6"/>
  <c r="O40" i="6"/>
  <c r="P41" i="6"/>
  <c r="AZ41" i="2"/>
  <c r="N41" i="6"/>
  <c r="AR41" i="2"/>
  <c r="Z38" i="6"/>
  <c r="H38" i="6"/>
  <c r="Y36" i="6"/>
  <c r="G36" i="6"/>
  <c r="AY38" i="2"/>
  <c r="P38" i="6" s="1"/>
  <c r="Z42" i="6"/>
  <c r="H42" i="6"/>
  <c r="AY41" i="2"/>
  <c r="X41" i="6"/>
  <c r="Y40" i="6"/>
  <c r="G40" i="6"/>
  <c r="Z41" i="6"/>
  <c r="H41" i="6"/>
  <c r="AR38" i="2"/>
  <c r="AZ38" i="2"/>
  <c r="BE36" i="2"/>
  <c r="BC36" i="2"/>
  <c r="Q36" i="6" s="1"/>
  <c r="AR42" i="2"/>
  <c r="AZ42" i="2"/>
  <c r="BE40" i="2"/>
  <c r="BC40" i="2"/>
  <c r="Q40" i="6" s="1"/>
  <c r="BG43" i="2"/>
  <c r="BF43" i="2"/>
  <c r="BD43" i="2"/>
  <c r="R43" i="6" s="1"/>
  <c r="AO36" i="2"/>
  <c r="AY42" i="2"/>
  <c r="P42" i="6" s="1"/>
  <c r="AO40" i="2"/>
  <c r="BG38" i="2"/>
  <c r="BF38" i="2"/>
  <c r="BG39" i="2"/>
  <c r="BF39" i="2"/>
  <c r="BD39" i="2"/>
  <c r="R39" i="6" s="1"/>
  <c r="BG35" i="2"/>
  <c r="BF35" i="2"/>
  <c r="BD35" i="2"/>
  <c r="R35" i="6" s="1"/>
  <c r="BD38" i="2"/>
  <c r="R38" i="6" s="1"/>
  <c r="M28" i="6"/>
  <c r="O28" i="6"/>
  <c r="M32" i="6"/>
  <c r="O32" i="6"/>
  <c r="M24" i="6"/>
  <c r="O24" i="6"/>
  <c r="N25" i="6"/>
  <c r="P25" i="6"/>
  <c r="M23" i="6"/>
  <c r="N33" i="6"/>
  <c r="O23" i="6"/>
  <c r="P33" i="6"/>
  <c r="O31" i="6"/>
  <c r="BE31" i="2"/>
  <c r="BC31" i="2"/>
  <c r="Q31" i="6" s="1"/>
  <c r="O27" i="6"/>
  <c r="BE27" i="2"/>
  <c r="BC27" i="2"/>
  <c r="Q27" i="6" s="1"/>
  <c r="M31" i="6"/>
  <c r="M27" i="6"/>
  <c r="Y28" i="6"/>
  <c r="G28" i="6"/>
  <c r="AY33" i="2"/>
  <c r="BG33" i="2" s="1"/>
  <c r="X33" i="6"/>
  <c r="W31" i="6"/>
  <c r="AT31" i="2"/>
  <c r="AY31" i="2" s="1"/>
  <c r="Y32" i="6"/>
  <c r="G32" i="6"/>
  <c r="W27" i="6"/>
  <c r="AT27" i="2"/>
  <c r="AY27" i="2" s="1"/>
  <c r="Z25" i="6"/>
  <c r="H25" i="6"/>
  <c r="Y23" i="6"/>
  <c r="G23" i="6"/>
  <c r="Z33" i="6"/>
  <c r="H33" i="6"/>
  <c r="Y31" i="6"/>
  <c r="G31" i="6"/>
  <c r="AO31" i="2"/>
  <c r="AN30" i="2"/>
  <c r="AM27" i="2"/>
  <c r="Y27" i="6"/>
  <c r="G27" i="6"/>
  <c r="AO27" i="2"/>
  <c r="Y24" i="6"/>
  <c r="G24" i="6"/>
  <c r="AN26" i="2"/>
  <c r="BE28" i="2"/>
  <c r="BC28" i="2"/>
  <c r="Q28" i="6" s="1"/>
  <c r="AY32" i="2"/>
  <c r="P32" i="6" s="1"/>
  <c r="BE32" i="2"/>
  <c r="BC32" i="2"/>
  <c r="Q32" i="6" s="1"/>
  <c r="BE24" i="2"/>
  <c r="BC24" i="2"/>
  <c r="Q24" i="6" s="1"/>
  <c r="AR25" i="2"/>
  <c r="AZ25" i="2"/>
  <c r="AR33" i="2"/>
  <c r="BE23" i="2"/>
  <c r="BC23" i="2"/>
  <c r="Q23" i="6" s="1"/>
  <c r="AZ33" i="2"/>
  <c r="BD33" i="2"/>
  <c r="R33" i="6" s="1"/>
  <c r="AO28" i="2"/>
  <c r="AO32" i="2"/>
  <c r="AO24" i="2"/>
  <c r="BG25" i="2"/>
  <c r="BF25" i="2"/>
  <c r="AO23" i="2"/>
  <c r="AO30" i="2"/>
  <c r="AT23" i="2"/>
  <c r="X23" i="6" s="1"/>
  <c r="AM23" i="2"/>
  <c r="BD25" i="2"/>
  <c r="R25" i="6" s="1"/>
  <c r="M11" i="6"/>
  <c r="O11" i="6"/>
  <c r="P13" i="6"/>
  <c r="M14" i="6"/>
  <c r="O14" i="6"/>
  <c r="N19" i="6"/>
  <c r="AR19" i="2"/>
  <c r="P19" i="6"/>
  <c r="AZ19" i="2"/>
  <c r="N13" i="6"/>
  <c r="AR13" i="2"/>
  <c r="Y14" i="6"/>
  <c r="G14" i="6"/>
  <c r="Z19" i="6"/>
  <c r="H19" i="6"/>
  <c r="G11" i="6"/>
  <c r="Y11" i="6"/>
  <c r="AS18" i="2"/>
  <c r="R18" i="2"/>
  <c r="AL18" i="2"/>
  <c r="Z13" i="6"/>
  <c r="H13" i="6"/>
  <c r="AY19" i="2"/>
  <c r="AM20" i="2"/>
  <c r="R21" i="2"/>
  <c r="AN21" i="2"/>
  <c r="AL21" i="2"/>
  <c r="AS21" i="2"/>
  <c r="W21" i="6" s="1"/>
  <c r="AK20" i="2"/>
  <c r="L20" i="6" s="1"/>
  <c r="AM16" i="2"/>
  <c r="AN16" i="2"/>
  <c r="BF17" i="2"/>
  <c r="BG17" i="2"/>
  <c r="BD17" i="2"/>
  <c r="R17" i="6" s="1"/>
  <c r="AT20" i="2"/>
  <c r="X20" i="6" s="1"/>
  <c r="AT16" i="2"/>
  <c r="X16" i="6" s="1"/>
  <c r="AZ13" i="2"/>
  <c r="BE14" i="2"/>
  <c r="BC14" i="2"/>
  <c r="Q14" i="6" s="1"/>
  <c r="AO14" i="2"/>
  <c r="AY14" i="2" s="1"/>
  <c r="R12" i="2"/>
  <c r="AS12" i="2"/>
  <c r="W12" i="6" s="1"/>
  <c r="AL12" i="2"/>
  <c r="AY13" i="2"/>
  <c r="BE11" i="2"/>
  <c r="BC11" i="2"/>
  <c r="Q11" i="6" s="1"/>
  <c r="AO11" i="2"/>
  <c r="R10" i="2"/>
  <c r="AS10" i="2"/>
  <c r="W10" i="6" s="1"/>
  <c r="AL10" i="2"/>
  <c r="AT11" i="2"/>
  <c r="X11" i="6" s="1"/>
  <c r="AM11" i="2"/>
  <c r="AX31" i="2"/>
  <c r="AX27" i="2"/>
  <c r="AP30" i="2"/>
  <c r="AW30" i="2"/>
  <c r="AQ27" i="2"/>
  <c r="AQ31" i="2"/>
  <c r="AP26" i="2"/>
  <c r="AW26" i="2"/>
  <c r="AX32" i="2"/>
  <c r="AQ32" i="2"/>
  <c r="AX24" i="2"/>
  <c r="AQ24" i="2"/>
  <c r="AX30" i="2"/>
  <c r="AQ30" i="2"/>
  <c r="AX23" i="2"/>
  <c r="AX28" i="2"/>
  <c r="AQ28" i="2"/>
  <c r="AQ23" i="2"/>
  <c r="AW16" i="2"/>
  <c r="AX14" i="2"/>
  <c r="AP16" i="2"/>
  <c r="AW21" i="2"/>
  <c r="AX11" i="2"/>
  <c r="AQ14" i="2"/>
  <c r="AP21" i="2"/>
  <c r="AQ11" i="2"/>
  <c r="AX40" i="2"/>
  <c r="AQ40" i="2"/>
  <c r="AX36" i="2"/>
  <c r="AQ36" i="2"/>
  <c r="BD48" i="2" l="1"/>
  <c r="R48" i="6" s="1"/>
  <c r="BG48" i="2"/>
  <c r="BF48" i="2"/>
  <c r="BG54" i="2"/>
  <c r="BF54" i="2"/>
  <c r="BD54" i="2"/>
  <c r="R54" i="6" s="1"/>
  <c r="N36" i="6"/>
  <c r="N40" i="6"/>
  <c r="Z36" i="6"/>
  <c r="H36" i="6"/>
  <c r="BG41" i="2"/>
  <c r="BF41" i="2"/>
  <c r="BD41" i="2"/>
  <c r="R41" i="6" s="1"/>
  <c r="AY40" i="2"/>
  <c r="P40" i="6" s="1"/>
  <c r="Z40" i="6"/>
  <c r="H40" i="6"/>
  <c r="AR36" i="2"/>
  <c r="AZ36" i="2"/>
  <c r="AR40" i="2"/>
  <c r="AZ40" i="2"/>
  <c r="BG40" i="2"/>
  <c r="BG42" i="2"/>
  <c r="BF42" i="2"/>
  <c r="BD42" i="2"/>
  <c r="R42" i="6" s="1"/>
  <c r="AY36" i="2"/>
  <c r="P36" i="6" s="1"/>
  <c r="N23" i="6"/>
  <c r="N28" i="6"/>
  <c r="P23" i="6"/>
  <c r="N30" i="6"/>
  <c r="N24" i="6"/>
  <c r="N32" i="6"/>
  <c r="O26" i="6"/>
  <c r="BE26" i="2"/>
  <c r="BC26" i="2"/>
  <c r="Q26" i="6" s="1"/>
  <c r="AY26" i="2"/>
  <c r="P26" i="6" s="1"/>
  <c r="M26" i="6"/>
  <c r="N31" i="6"/>
  <c r="AR31" i="2"/>
  <c r="N27" i="6"/>
  <c r="AR27" i="2"/>
  <c r="O30" i="6"/>
  <c r="BE30" i="2"/>
  <c r="BC30" i="2"/>
  <c r="Q30" i="6" s="1"/>
  <c r="M30" i="6"/>
  <c r="P27" i="6"/>
  <c r="AZ27" i="2"/>
  <c r="P31" i="6"/>
  <c r="AZ31" i="2"/>
  <c r="BG27" i="2"/>
  <c r="BF27" i="2"/>
  <c r="BD27" i="2"/>
  <c r="R27" i="6" s="1"/>
  <c r="BD31" i="2"/>
  <c r="R31" i="6" s="1"/>
  <c r="BG31" i="2"/>
  <c r="BF31" i="2"/>
  <c r="Y26" i="6"/>
  <c r="G26" i="6"/>
  <c r="AO26" i="2"/>
  <c r="Z31" i="6"/>
  <c r="H31" i="6"/>
  <c r="Z24" i="6"/>
  <c r="H24" i="6"/>
  <c r="BF33" i="2"/>
  <c r="Z32" i="6"/>
  <c r="H32" i="6"/>
  <c r="Z23" i="6"/>
  <c r="H23" i="6"/>
  <c r="Z28" i="6"/>
  <c r="H28" i="6"/>
  <c r="Z27" i="6"/>
  <c r="H27" i="6"/>
  <c r="Y30" i="6"/>
  <c r="G30" i="6"/>
  <c r="Z30" i="6"/>
  <c r="H30" i="6"/>
  <c r="X27" i="6"/>
  <c r="X31" i="6"/>
  <c r="AR23" i="2"/>
  <c r="AR28" i="2"/>
  <c r="AZ28" i="2"/>
  <c r="AZ23" i="2"/>
  <c r="AR30" i="2"/>
  <c r="AZ30" i="2"/>
  <c r="AR24" i="2"/>
  <c r="AZ24" i="2"/>
  <c r="AR32" i="2"/>
  <c r="AZ32" i="2"/>
  <c r="AY23" i="2"/>
  <c r="AY30" i="2"/>
  <c r="P30" i="6" s="1"/>
  <c r="BD26" i="2"/>
  <c r="R26" i="6" s="1"/>
  <c r="BG32" i="2"/>
  <c r="BF32" i="2"/>
  <c r="AY28" i="2"/>
  <c r="P28" i="6" s="1"/>
  <c r="AY24" i="2"/>
  <c r="P24" i="6" s="1"/>
  <c r="BD32" i="2"/>
  <c r="R32" i="6" s="1"/>
  <c r="P11" i="6"/>
  <c r="N11" i="6"/>
  <c r="N14" i="6"/>
  <c r="O21" i="6"/>
  <c r="M21" i="6"/>
  <c r="M16" i="6"/>
  <c r="O16" i="6"/>
  <c r="BD14" i="2"/>
  <c r="R14" i="6" s="1"/>
  <c r="P14" i="6"/>
  <c r="Z11" i="6"/>
  <c r="H11" i="6"/>
  <c r="BF19" i="2"/>
  <c r="BG19" i="2"/>
  <c r="BD19" i="2"/>
  <c r="R19" i="6" s="1"/>
  <c r="AN18" i="2"/>
  <c r="AM18" i="2"/>
  <c r="Y16" i="6"/>
  <c r="G16" i="6"/>
  <c r="AT18" i="2"/>
  <c r="W18" i="6"/>
  <c r="Z14" i="6"/>
  <c r="H14" i="6"/>
  <c r="Y21" i="6"/>
  <c r="G21" i="6"/>
  <c r="BE21" i="2"/>
  <c r="BC21" i="2"/>
  <c r="Q21" i="6" s="1"/>
  <c r="BE16" i="2"/>
  <c r="BC16" i="2"/>
  <c r="Q16" i="6" s="1"/>
  <c r="AT21" i="2"/>
  <c r="X21" i="6" s="1"/>
  <c r="AO21" i="2"/>
  <c r="AO16" i="2"/>
  <c r="AM21" i="2"/>
  <c r="AN20" i="2"/>
  <c r="AR14" i="2"/>
  <c r="AZ14" i="2"/>
  <c r="BG13" i="2"/>
  <c r="BF13" i="2"/>
  <c r="BD13" i="2"/>
  <c r="R13" i="6" s="1"/>
  <c r="AT12" i="2"/>
  <c r="X12" i="6" s="1"/>
  <c r="BF14" i="2"/>
  <c r="BG14" i="2"/>
  <c r="AN12" i="2"/>
  <c r="AM12" i="2"/>
  <c r="AZ11" i="2"/>
  <c r="AR11" i="2"/>
  <c r="AY11" i="2"/>
  <c r="AM10" i="2"/>
  <c r="AT10" i="2"/>
  <c r="X10" i="6" s="1"/>
  <c r="AQ26" i="2"/>
  <c r="AX26" i="2"/>
  <c r="AW18" i="2"/>
  <c r="AP18" i="2"/>
  <c r="AP12" i="2"/>
  <c r="AQ21" i="2"/>
  <c r="AP20" i="2"/>
  <c r="AX16" i="2"/>
  <c r="AX21" i="2"/>
  <c r="AQ16" i="2"/>
  <c r="AW12" i="2"/>
  <c r="AW20" i="2"/>
  <c r="BF40" i="2" l="1"/>
  <c r="BD40" i="2"/>
  <c r="R40" i="6" s="1"/>
  <c r="BF36" i="2"/>
  <c r="BG36" i="2"/>
  <c r="BD36" i="2"/>
  <c r="R36" i="6" s="1"/>
  <c r="AZ26" i="2"/>
  <c r="N26" i="6"/>
  <c r="AR26" i="2"/>
  <c r="BF26" i="2"/>
  <c r="Z26" i="6"/>
  <c r="H26" i="6"/>
  <c r="BG26" i="2"/>
  <c r="BF30" i="2"/>
  <c r="BG30" i="2"/>
  <c r="BD30" i="2"/>
  <c r="R30" i="6" s="1"/>
  <c r="BG24" i="2"/>
  <c r="BF24" i="2"/>
  <c r="BD24" i="2"/>
  <c r="R24" i="6" s="1"/>
  <c r="BG23" i="2"/>
  <c r="BF23" i="2"/>
  <c r="BD23" i="2"/>
  <c r="R23" i="6" s="1"/>
  <c r="BF28" i="2"/>
  <c r="BG28" i="2"/>
  <c r="BD28" i="2"/>
  <c r="R28" i="6" s="1"/>
  <c r="M12" i="6"/>
  <c r="O12" i="6"/>
  <c r="P21" i="6"/>
  <c r="M20" i="6"/>
  <c r="O20" i="6"/>
  <c r="N16" i="6"/>
  <c r="N21" i="6"/>
  <c r="M18" i="6"/>
  <c r="O18" i="6"/>
  <c r="BC18" i="2"/>
  <c r="Q18" i="6" s="1"/>
  <c r="BE18" i="2"/>
  <c r="Z21" i="6"/>
  <c r="H21" i="6"/>
  <c r="Y20" i="6"/>
  <c r="G20" i="6"/>
  <c r="X18" i="6"/>
  <c r="G18" i="6"/>
  <c r="Y18" i="6"/>
  <c r="AO18" i="2"/>
  <c r="AY18" i="2" s="1"/>
  <c r="Y12" i="6"/>
  <c r="G12" i="6"/>
  <c r="Z16" i="6"/>
  <c r="H16" i="6"/>
  <c r="AY16" i="2"/>
  <c r="BF16" i="2" s="1"/>
  <c r="AZ21" i="2"/>
  <c r="BE20" i="2"/>
  <c r="BC20" i="2"/>
  <c r="Q20" i="6" s="1"/>
  <c r="AR16" i="2"/>
  <c r="AZ16" i="2"/>
  <c r="AR21" i="2"/>
  <c r="BG16" i="2"/>
  <c r="AY21" i="2"/>
  <c r="AO20" i="2"/>
  <c r="BE12" i="2"/>
  <c r="BC12" i="2"/>
  <c r="Q12" i="6" s="1"/>
  <c r="AO12" i="2"/>
  <c r="AY12" i="2" s="1"/>
  <c r="P12" i="6" s="1"/>
  <c r="BG11" i="2"/>
  <c r="BF11" i="2"/>
  <c r="BD11" i="2"/>
  <c r="R11" i="6" s="1"/>
  <c r="AQ18" i="2"/>
  <c r="AQ12" i="2"/>
  <c r="AX18" i="2"/>
  <c r="AX12" i="2"/>
  <c r="AX20" i="2"/>
  <c r="AQ20" i="2"/>
  <c r="N12" i="6" l="1"/>
  <c r="N20" i="6"/>
  <c r="N18" i="6"/>
  <c r="AR18" i="2"/>
  <c r="AZ18" i="2"/>
  <c r="P18" i="6"/>
  <c r="BG18" i="2"/>
  <c r="BF18" i="2"/>
  <c r="BD18" i="2"/>
  <c r="R18" i="6" s="1"/>
  <c r="P16" i="6"/>
  <c r="BD16" i="2"/>
  <c r="R16" i="6" s="1"/>
  <c r="H12" i="6"/>
  <c r="Z12" i="6"/>
  <c r="Z20" i="6"/>
  <c r="H20" i="6"/>
  <c r="Z18" i="6"/>
  <c r="H18" i="6"/>
  <c r="AR20" i="2"/>
  <c r="AZ20" i="2"/>
  <c r="BG21" i="2"/>
  <c r="BF21" i="2"/>
  <c r="BD21" i="2"/>
  <c r="R21" i="6" s="1"/>
  <c r="AY20" i="2"/>
  <c r="P20" i="6" s="1"/>
  <c r="AR12" i="2"/>
  <c r="AZ12" i="2"/>
  <c r="BF12" i="2"/>
  <c r="BG12" i="2"/>
  <c r="BD12" i="2"/>
  <c r="R12" i="6" s="1"/>
  <c r="BF20" i="2" l="1"/>
  <c r="BG20" i="2"/>
  <c r="BD20" i="2"/>
  <c r="R20" i="6" s="1"/>
  <c r="C25" i="9" l="1"/>
  <c r="AV8" i="2" l="1"/>
  <c r="S9" i="6"/>
  <c r="B9" i="6"/>
  <c r="A9" i="6"/>
  <c r="S8" i="6"/>
  <c r="B8" i="6"/>
  <c r="A8" i="6"/>
  <c r="S7" i="6"/>
  <c r="U9" i="6"/>
  <c r="U7" i="6"/>
  <c r="B7" i="6"/>
  <c r="A7" i="6"/>
  <c r="D23" i="9" l="1"/>
  <c r="D24" i="9"/>
  <c r="D25" i="9"/>
  <c r="AD8" i="2"/>
  <c r="AF8" i="2" s="1"/>
  <c r="AD7" i="2" l="1"/>
  <c r="U8" i="6" l="1"/>
  <c r="X8" i="2" l="1"/>
  <c r="E8" i="2"/>
  <c r="F8" i="2" s="1"/>
  <c r="S8" i="2"/>
  <c r="S7" i="2"/>
  <c r="U7" i="2" s="1"/>
  <c r="S9" i="2"/>
  <c r="T9" i="2" s="1"/>
  <c r="AE7" i="2"/>
  <c r="E7" i="2"/>
  <c r="F7" i="2" s="1"/>
  <c r="AD9" i="2"/>
  <c r="AF9" i="2" s="1"/>
  <c r="E9" i="2"/>
  <c r="G9" i="2" s="1"/>
  <c r="O9" i="2" s="1"/>
  <c r="BB8" i="2"/>
  <c r="BA8" i="2"/>
  <c r="C8" i="2"/>
  <c r="J8" i="2" s="1"/>
  <c r="B8" i="2"/>
  <c r="A8" i="2"/>
  <c r="X7" i="2"/>
  <c r="AV7" i="2"/>
  <c r="BB7" i="2"/>
  <c r="BA7" i="2"/>
  <c r="C7" i="2"/>
  <c r="D7" i="2" s="1"/>
  <c r="B7" i="2"/>
  <c r="A7" i="2"/>
  <c r="X9" i="2"/>
  <c r="E9" i="6" s="1"/>
  <c r="AV9" i="2"/>
  <c r="BB9" i="2"/>
  <c r="BA9" i="2"/>
  <c r="C9" i="2"/>
  <c r="J9" i="2" s="1"/>
  <c r="L9" i="2" s="1"/>
  <c r="M9" i="2" s="1"/>
  <c r="B9" i="2"/>
  <c r="A9" i="2"/>
  <c r="F9" i="2" l="1"/>
  <c r="Z7" i="2"/>
  <c r="AA7" i="2" s="1"/>
  <c r="E7" i="6"/>
  <c r="Y8" i="2"/>
  <c r="F8" i="6" s="1"/>
  <c r="E8" i="6"/>
  <c r="AE9" i="2"/>
  <c r="Q9" i="2"/>
  <c r="R9" i="2" s="1"/>
  <c r="C9" i="6"/>
  <c r="H9" i="2"/>
  <c r="L8" i="2"/>
  <c r="M8" i="2" s="1"/>
  <c r="P9" i="2"/>
  <c r="T7" i="2"/>
  <c r="Y7" i="2"/>
  <c r="F7" i="6" s="1"/>
  <c r="Z8" i="2"/>
  <c r="U9" i="2"/>
  <c r="U10" i="2" s="1"/>
  <c r="AG9" i="2"/>
  <c r="J7" i="2"/>
  <c r="K7" i="2" s="1"/>
  <c r="AE8" i="2"/>
  <c r="G7" i="2"/>
  <c r="G8" i="2"/>
  <c r="D9" i="2"/>
  <c r="D8" i="2"/>
  <c r="Z9" i="2"/>
  <c r="K9" i="2"/>
  <c r="Y9" i="2"/>
  <c r="F9" i="6" s="1"/>
  <c r="AG8" i="2"/>
  <c r="V7" i="2"/>
  <c r="AJ7" i="2"/>
  <c r="K7" i="6" s="1"/>
  <c r="AA7" i="6" s="1"/>
  <c r="U8" i="2"/>
  <c r="AF7" i="2"/>
  <c r="K8" i="2"/>
  <c r="T8" i="2"/>
  <c r="V10" i="2" l="1"/>
  <c r="AJ10" i="2"/>
  <c r="K10" i="6" s="1"/>
  <c r="AA10" i="6" s="1"/>
  <c r="AL9" i="2"/>
  <c r="AM9" i="2" s="1"/>
  <c r="AN9" i="2"/>
  <c r="L7" i="2"/>
  <c r="M7" i="2" s="1"/>
  <c r="AA8" i="2"/>
  <c r="AH8" i="2"/>
  <c r="I8" i="6" s="1"/>
  <c r="V9" i="2"/>
  <c r="AK9" i="2" s="1"/>
  <c r="L9" i="6" s="1"/>
  <c r="AJ9" i="2"/>
  <c r="K9" i="6" s="1"/>
  <c r="AA9" i="6" s="1"/>
  <c r="O7" i="2"/>
  <c r="C7" i="6" s="1"/>
  <c r="H7" i="2"/>
  <c r="O8" i="2"/>
  <c r="C8" i="6" s="1"/>
  <c r="H8" i="2"/>
  <c r="AK7" i="2"/>
  <c r="L7" i="6" s="1"/>
  <c r="AH9" i="2"/>
  <c r="I9" i="6" s="1"/>
  <c r="AA9" i="2"/>
  <c r="AS9" i="2"/>
  <c r="W9" i="6" s="1"/>
  <c r="V8" i="2"/>
  <c r="AJ8" i="2"/>
  <c r="AH7" i="2"/>
  <c r="I7" i="6" s="1"/>
  <c r="AG7" i="2"/>
  <c r="AP9" i="2"/>
  <c r="AW9" i="2"/>
  <c r="AO9" i="2" l="1"/>
  <c r="Z9" i="6" s="1"/>
  <c r="AN10" i="2"/>
  <c r="AK10" i="2"/>
  <c r="L10" i="6" s="1"/>
  <c r="AI8" i="2"/>
  <c r="Y9" i="6"/>
  <c r="M9" i="6"/>
  <c r="K8" i="6"/>
  <c r="AA8" i="6" s="1"/>
  <c r="G9" i="6"/>
  <c r="J8" i="6"/>
  <c r="AB8" i="6" s="1"/>
  <c r="BC9" i="2"/>
  <c r="Q9" i="6" s="1"/>
  <c r="O9" i="6"/>
  <c r="AI9" i="2"/>
  <c r="J9" i="6" s="1"/>
  <c r="AB9" i="6" s="1"/>
  <c r="P7" i="2"/>
  <c r="Q7" i="2"/>
  <c r="P8" i="2"/>
  <c r="Q8" i="2"/>
  <c r="AS8" i="2" s="1"/>
  <c r="BE9" i="2"/>
  <c r="AI7" i="2"/>
  <c r="J7" i="6" s="1"/>
  <c r="AB7" i="6" s="1"/>
  <c r="AT9" i="2"/>
  <c r="X9" i="6" s="1"/>
  <c r="AK8" i="2"/>
  <c r="L8" i="6" s="1"/>
  <c r="AQ9" i="2"/>
  <c r="AX9" i="2"/>
  <c r="AW10" i="2"/>
  <c r="AP10" i="2"/>
  <c r="N9" i="6" l="1"/>
  <c r="AR9" i="2"/>
  <c r="M10" i="6"/>
  <c r="O10" i="6"/>
  <c r="BE10" i="2"/>
  <c r="BC10" i="2"/>
  <c r="Q10" i="6" s="1"/>
  <c r="H9" i="6"/>
  <c r="Y10" i="6"/>
  <c r="G10" i="6"/>
  <c r="AO10" i="2"/>
  <c r="AT8" i="2"/>
  <c r="P9" i="6"/>
  <c r="R8" i="2"/>
  <c r="AL8" i="2"/>
  <c r="W8" i="6"/>
  <c r="R7" i="2"/>
  <c r="AS7" i="2"/>
  <c r="W7" i="6" s="1"/>
  <c r="AN7" i="2"/>
  <c r="AL7" i="2"/>
  <c r="AZ9" i="2"/>
  <c r="AY9" i="2"/>
  <c r="BD9" i="2" s="1"/>
  <c r="R9" i="6" s="1"/>
  <c r="AQ10" i="2"/>
  <c r="AP7" i="2"/>
  <c r="AW7" i="2"/>
  <c r="AX10" i="2"/>
  <c r="N10" i="6" l="1"/>
  <c r="AR10" i="2"/>
  <c r="AZ10" i="2"/>
  <c r="Z10" i="6"/>
  <c r="H10" i="6"/>
  <c r="AY10" i="2"/>
  <c r="Y7" i="6"/>
  <c r="G7" i="6"/>
  <c r="M7" i="6"/>
  <c r="O7" i="6"/>
  <c r="BC7" i="2"/>
  <c r="Q7" i="6" s="1"/>
  <c r="AM7" i="2"/>
  <c r="BE7" i="2"/>
  <c r="AM8" i="2"/>
  <c r="AN8" i="2"/>
  <c r="G8" i="6" s="1"/>
  <c r="AO7" i="2"/>
  <c r="AT7" i="2"/>
  <c r="X7" i="6" s="1"/>
  <c r="BG9" i="2"/>
  <c r="BF9" i="2"/>
  <c r="AQ7" i="2"/>
  <c r="AX7" i="2"/>
  <c r="AP8" i="2"/>
  <c r="P10" i="6" l="1"/>
  <c r="BG10" i="2"/>
  <c r="BF10" i="2"/>
  <c r="BD10" i="2"/>
  <c r="R10" i="6" s="1"/>
  <c r="H7" i="6"/>
  <c r="Z7" i="6"/>
  <c r="P7" i="6"/>
  <c r="N7" i="6"/>
  <c r="M8" i="6"/>
  <c r="Y8" i="6"/>
  <c r="AY7" i="2"/>
  <c r="BD7" i="2" s="1"/>
  <c r="R7" i="6" s="1"/>
  <c r="X8" i="6"/>
  <c r="AR7" i="2"/>
  <c r="AZ7" i="2"/>
  <c r="AO8" i="2"/>
  <c r="AW8" i="2"/>
  <c r="AQ8" i="2"/>
  <c r="AX8" i="2"/>
  <c r="O8" i="6" l="1"/>
  <c r="BC8" i="2"/>
  <c r="Q8" i="6" s="1"/>
  <c r="BE8" i="2"/>
  <c r="AY8" i="2"/>
  <c r="P8" i="6" s="1"/>
  <c r="H8" i="6"/>
  <c r="N8" i="6"/>
  <c r="BG7" i="2"/>
  <c r="BF7" i="2"/>
  <c r="Z8" i="6"/>
  <c r="AR8" i="2"/>
  <c r="AZ8" i="2"/>
  <c r="BG8" i="2" l="1"/>
  <c r="BF8" i="2"/>
  <c r="BD8" i="2"/>
  <c r="R8" i="6" s="1"/>
</calcChain>
</file>

<file path=xl/sharedStrings.xml><?xml version="1.0" encoding="utf-8"?>
<sst xmlns="http://schemas.openxmlformats.org/spreadsheetml/2006/main" count="1052" uniqueCount="425">
  <si>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</si>
  <si>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</si>
  <si>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</si>
  <si>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</si>
  <si>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</si>
  <si>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</si>
  <si>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</si>
  <si>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</si>
  <si>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</si>
  <si>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</si>
  <si>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</si>
  <si>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</si>
  <si>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</si>
  <si>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</si>
  <si>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</si>
  <si>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</si>
  <si>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</si>
  <si>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</si>
  <si>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</si>
  <si>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</si>
  <si>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</si>
  <si>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</si>
  <si>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</si>
  <si>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</si>
  <si>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</si>
  <si>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</si>
  <si>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</si>
  <si>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</si>
  <si>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</si>
  <si>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</si>
  <si>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</si>
  <si>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</si>
  <si>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</si>
  <si>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</si>
  <si>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</si>
  <si>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</si>
  <si>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</si>
  <si>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</si>
  <si>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</si>
  <si>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</si>
  <si>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</si>
  <si>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</si>
  <si>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</si>
  <si>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</si>
  <si>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</si>
  <si>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</si>
  <si>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</si>
  <si>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</si>
  <si>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</si>
  <si>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</si>
  <si>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</si>
  <si>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</si>
  <si>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</si>
  <si>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</si>
  <si>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</si>
  <si>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</si>
  <si>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t xml:space="preserve">  (ka)</t>
  </si>
  <si>
    <t>(Akt. Ver.)</t>
  </si>
  <si>
    <t>Akt. Ver.</t>
  </si>
  <si>
    <t>Fehler 2σ (ka)</t>
  </si>
  <si>
    <t>Taylor 1. Ord.</t>
  </si>
  <si>
    <t>(Akt. Ver.) initial</t>
  </si>
  <si>
    <t>Ch. Bl. 230</t>
  </si>
  <si>
    <t>Sp. Bl. 230</t>
  </si>
  <si>
    <t>comment</t>
  </si>
  <si>
    <t>Lab.Nr.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</si>
  <si>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</si>
  <si>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</si>
  <si>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</si>
  <si>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</si>
  <si>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</si>
  <si>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</si>
  <si>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</si>
  <si>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</si>
  <si>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</si>
  <si>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</si>
  <si>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>(Akt.Ver.)</t>
  </si>
  <si>
    <t>(abso.)</t>
  </si>
  <si>
    <t xml:space="preserve">     (ka)</t>
  </si>
  <si>
    <t>Hu1-13</t>
  </si>
  <si>
    <t>TRI-13</t>
  </si>
  <si>
    <t>TriSp13</t>
  </si>
  <si>
    <t>235U/238U</t>
  </si>
  <si>
    <t>Isotope masses</t>
  </si>
  <si>
    <t>U233</t>
  </si>
  <si>
    <t>U234</t>
  </si>
  <si>
    <t>U235</t>
  </si>
  <si>
    <t>U236</t>
  </si>
  <si>
    <t>U238</t>
  </si>
  <si>
    <t>Th229</t>
  </si>
  <si>
    <t>Th230</t>
  </si>
  <si>
    <t>Th232</t>
  </si>
  <si>
    <t>Decay constants</t>
  </si>
  <si>
    <t>l230</t>
  </si>
  <si>
    <t>l234</t>
  </si>
  <si>
    <t>l238</t>
  </si>
  <si>
    <t>l232</t>
  </si>
  <si>
    <t>value</t>
  </si>
  <si>
    <t>uncertainty</t>
  </si>
  <si>
    <t>rel. uncertainty</t>
  </si>
  <si>
    <t>Spike concentrations</t>
  </si>
  <si>
    <t>236U [ng/g]</t>
  </si>
  <si>
    <t>233U [ng/g]</t>
  </si>
  <si>
    <t>229Th [pg/g]</t>
  </si>
  <si>
    <t>(230Th232Th)</t>
  </si>
  <si>
    <t>Uran Konzentrationen/Aktivitätsverhältnisse (Blank korr.)</t>
  </si>
  <si>
    <t>Thorium Konzentrationen/Aktivitätsverhältnisse (Blank korr.)</t>
  </si>
  <si>
    <t>Akt. Verhältnisse &amp; Alter (unkorr.)</t>
  </si>
  <si>
    <t>Akt. Verhältnisse &amp; Alter (Korr. Methode 2)</t>
  </si>
  <si>
    <t xml:space="preserve">   Error</t>
  </si>
  <si>
    <t>Cheng et al. 2013</t>
  </si>
  <si>
    <t>since 2021</t>
  </si>
  <si>
    <t>Achtung - Änderung der Spike Konz. Und Halbwertszeiten im Tabellenblatt "Constants"</t>
  </si>
  <si>
    <t>Alter(unkorr.)</t>
  </si>
  <si>
    <t xml:space="preserve">   Alter(korr.)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</si>
  <si>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</si>
  <si>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</si>
  <si>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</si>
  <si>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 (initial)</t>
    </r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</si>
  <si>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</si>
  <si>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r>
      <t xml:space="preserve">   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</si>
  <si>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t xml:space="preserve">  </t>
    </r>
    <r>
      <rPr>
        <b/>
        <vertAlign val="superscript"/>
        <sz val="11"/>
        <color theme="1"/>
        <rFont val="Arial"/>
        <family val="2"/>
      </rPr>
      <t xml:space="preserve"> 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</si>
  <si>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</si>
  <si>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</si>
  <si>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</si>
  <si>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234</t>
    </r>
    <r>
      <rPr>
        <b/>
        <sz val="11"/>
        <color theme="1"/>
        <rFont val="Arial"/>
        <family val="2"/>
      </rPr>
      <t>U/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</si>
  <si>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t>007j10815.exp</t>
  </si>
  <si>
    <t>010j10919.exp</t>
  </si>
  <si>
    <t>013j10815.exp</t>
  </si>
  <si>
    <t>016j10920.exp</t>
  </si>
  <si>
    <t>019j10815.exp</t>
  </si>
  <si>
    <t>022j10921.exp</t>
  </si>
  <si>
    <t>025j10815.exp</t>
  </si>
  <si>
    <t>028j10922.exp</t>
  </si>
  <si>
    <t>031j10815.exp</t>
  </si>
  <si>
    <t>034j10923.exp</t>
  </si>
  <si>
    <t>037j10815.exp</t>
  </si>
  <si>
    <t>040j10924.exp</t>
  </si>
  <si>
    <t>043j10815.exp</t>
  </si>
  <si>
    <t>046j10925.exp</t>
  </si>
  <si>
    <t>049j10815.exp</t>
  </si>
  <si>
    <t>SO236_7_1</t>
  </si>
  <si>
    <t>Koralle</t>
  </si>
  <si>
    <t>SO236_7_2</t>
  </si>
  <si>
    <t>SO236_7_3</t>
  </si>
  <si>
    <t>SO236_7_4</t>
  </si>
  <si>
    <t>SO236_7_5</t>
  </si>
  <si>
    <t>SO236_7_6</t>
  </si>
  <si>
    <t>SO236_7_7</t>
  </si>
  <si>
    <t>SO236_17_1</t>
  </si>
  <si>
    <t>SO236_17_2</t>
  </si>
  <si>
    <t>SO236_17_3</t>
  </si>
  <si>
    <t>010j10926.exp</t>
  </si>
  <si>
    <t>016j10927.exp</t>
  </si>
  <si>
    <t>022j10928.exp</t>
  </si>
  <si>
    <t>028j10917.exp</t>
  </si>
  <si>
    <t>034j10918.exp</t>
  </si>
  <si>
    <t>GeoB20582-1_3_163-166</t>
  </si>
  <si>
    <t>GeoB20582-1_3_184-186</t>
  </si>
  <si>
    <t>GeoB20582-1_2_17-21</t>
  </si>
  <si>
    <t>GeoB20582-1_2_62-63</t>
  </si>
  <si>
    <t>GeoB20582-1_2_83-86</t>
  </si>
  <si>
    <t>GeoB20582-1_3_124-125</t>
  </si>
  <si>
    <t>007m10815.exp</t>
  </si>
  <si>
    <t>010m10913.exp</t>
  </si>
  <si>
    <t>013m10815.exp</t>
  </si>
  <si>
    <t>016m10914.exp</t>
  </si>
  <si>
    <t>019m10815.exp</t>
  </si>
  <si>
    <t>022m10915.exp</t>
  </si>
  <si>
    <t>025m10815.exp</t>
  </si>
  <si>
    <t>028m10916.exp</t>
  </si>
  <si>
    <t>031m10815.exp</t>
  </si>
  <si>
    <t>007A10815.exp</t>
  </si>
  <si>
    <t>010A10929.exp</t>
  </si>
  <si>
    <t>013A10815.exp</t>
  </si>
  <si>
    <t>016A10930.exp</t>
  </si>
  <si>
    <t>019A10815.exp</t>
  </si>
  <si>
    <t>022A10931.exp</t>
  </si>
  <si>
    <t>025A10815.exp</t>
  </si>
  <si>
    <t>028A10932.exp</t>
  </si>
  <si>
    <t>031A10815.exp</t>
  </si>
  <si>
    <t>034A10933.exp</t>
  </si>
  <si>
    <t>037A10815.exp</t>
  </si>
  <si>
    <t>040A10934.exp</t>
  </si>
  <si>
    <t>043A10815.exp</t>
  </si>
  <si>
    <t>CSM_1779</t>
  </si>
  <si>
    <t>CSM_1781</t>
  </si>
  <si>
    <t>CSM_1784</t>
  </si>
  <si>
    <t>CSM_1788</t>
  </si>
  <si>
    <t>CSM_1818</t>
  </si>
  <si>
    <t>CSM_1820</t>
  </si>
  <si>
    <t>CSM_1821</t>
  </si>
  <si>
    <t>CSM_1823</t>
  </si>
  <si>
    <t>CSM_1928</t>
  </si>
  <si>
    <t>CSM_1929</t>
  </si>
  <si>
    <t>CSM_1936</t>
  </si>
  <si>
    <t>CSM_1937</t>
  </si>
  <si>
    <t>CSM_1968</t>
  </si>
  <si>
    <t>CSM_1972</t>
  </si>
  <si>
    <t>CSM_1999</t>
  </si>
  <si>
    <t>CSM_2012</t>
  </si>
  <si>
    <t>010A10935.exp</t>
  </si>
  <si>
    <t>016A10936.exp</t>
  </si>
  <si>
    <t>022A10937.exp</t>
  </si>
  <si>
    <t>028A10938.exp</t>
  </si>
  <si>
    <t>034A10939.exp</t>
  </si>
  <si>
    <t>010A10944.exp</t>
  </si>
  <si>
    <t>016A10943.exp</t>
  </si>
  <si>
    <t>022A10942.exp</t>
  </si>
  <si>
    <t>028A10941.exp</t>
  </si>
  <si>
    <t>034A10940.exp</t>
  </si>
  <si>
    <t>010m10945.exp</t>
  </si>
  <si>
    <t>016m10946.exp</t>
  </si>
  <si>
    <t>022m10947.exp</t>
  </si>
  <si>
    <t>028m10948.exp</t>
  </si>
  <si>
    <t>034m10949.exp</t>
  </si>
  <si>
    <t>037m10815.exp</t>
  </si>
  <si>
    <t>040m10950.exp</t>
  </si>
  <si>
    <t>043m10815.exp</t>
  </si>
  <si>
    <t>GeoB20960-1_8-13</t>
  </si>
  <si>
    <t>GeoB20960-1_68</t>
  </si>
  <si>
    <t>GeoB20960-1_113-116</t>
  </si>
  <si>
    <t>GeoB20960-1_181-185</t>
  </si>
  <si>
    <t>GeoB20960-1_338-340</t>
  </si>
  <si>
    <t>GeoB20960-1_381-386</t>
  </si>
  <si>
    <t>010m10955.exp</t>
  </si>
  <si>
    <t>016m10956.exp</t>
  </si>
  <si>
    <t>022m10957.exp</t>
  </si>
  <si>
    <t>028m10958.exp</t>
  </si>
  <si>
    <t>010m10951.exp</t>
  </si>
  <si>
    <t>016m10952.exp</t>
  </si>
  <si>
    <t>022m10953.exp</t>
  </si>
  <si>
    <t>028m10954.exp</t>
  </si>
  <si>
    <t>GeoB20960-1_499-502</t>
  </si>
  <si>
    <t>GeoB20960-1_531-534</t>
  </si>
  <si>
    <t>GeoB20960-1_641-643</t>
  </si>
  <si>
    <t>GeoB20960-1_686</t>
  </si>
  <si>
    <t>GeoB20960-1_901</t>
  </si>
  <si>
    <t>GeoB20960-1_924</t>
  </si>
  <si>
    <t>GeoB20960-1_1003</t>
  </si>
  <si>
    <t>GeoB20960-1_1037-1039</t>
  </si>
  <si>
    <t>010m10959.exp</t>
  </si>
  <si>
    <t>016m10960.exp</t>
  </si>
  <si>
    <t>022m10961.exp</t>
  </si>
  <si>
    <t>028m10962.exp</t>
  </si>
  <si>
    <t>GeoB20571-2_7-14</t>
  </si>
  <si>
    <t>GeoB20571-2_99-103</t>
  </si>
  <si>
    <t>GeoB20571-2_193-197</t>
  </si>
  <si>
    <t>GeoB20571-2_242-246</t>
  </si>
  <si>
    <t>GeoB20571-2_293-297</t>
  </si>
  <si>
    <t>GeoB20571-2_344-346</t>
  </si>
  <si>
    <t>GeoB20571-2_409-411</t>
  </si>
  <si>
    <t>GeoB20571-2_478-482</t>
  </si>
  <si>
    <t>GeoB20571-2_524-526</t>
  </si>
  <si>
    <t>010m10963.exp</t>
  </si>
  <si>
    <t>016m10964.exp</t>
  </si>
  <si>
    <t>022m10965.exp</t>
  </si>
  <si>
    <t>028m10966.exp</t>
  </si>
  <si>
    <t>034m10967.exp</t>
  </si>
  <si>
    <t>007C10815.exp</t>
  </si>
  <si>
    <t>010C10989.exp</t>
  </si>
  <si>
    <t>013C10815.exp</t>
  </si>
  <si>
    <t>016C10990.exp</t>
  </si>
  <si>
    <t>019C10815.exp</t>
  </si>
  <si>
    <t>022C10991.exp</t>
  </si>
  <si>
    <t>025C10815.exp</t>
  </si>
  <si>
    <t>028C10992.exp</t>
  </si>
  <si>
    <t>031C10815.exp</t>
  </si>
  <si>
    <t>034C10993.exp</t>
  </si>
  <si>
    <t>037C10815.exp</t>
  </si>
  <si>
    <t>CPR-30</t>
  </si>
  <si>
    <t>CPR-47,5</t>
  </si>
  <si>
    <t>CPR-70</t>
  </si>
  <si>
    <t>CPR-83,5</t>
  </si>
  <si>
    <t>CPR-100</t>
  </si>
  <si>
    <t>007J10815.exp</t>
  </si>
  <si>
    <t>010J11013.exp</t>
  </si>
  <si>
    <t>013J10815.exp</t>
  </si>
  <si>
    <t>016J11014.exp</t>
  </si>
  <si>
    <t>019J10815.exp</t>
  </si>
  <si>
    <t>022J11015.exp</t>
  </si>
  <si>
    <t>025J10815.exp</t>
  </si>
  <si>
    <t>028J11016.exp</t>
  </si>
  <si>
    <t>031J10815.exp</t>
  </si>
  <si>
    <t>034J11017.exp</t>
  </si>
  <si>
    <t>JPM_1937</t>
  </si>
  <si>
    <t>JPM_1968</t>
  </si>
  <si>
    <t>JPM_1972</t>
  </si>
  <si>
    <t>JPM_1999</t>
  </si>
  <si>
    <t>JPM_2012</t>
  </si>
  <si>
    <t>JPM_1829</t>
  </si>
  <si>
    <t>JPM_1850</t>
  </si>
  <si>
    <t>JPM_1870</t>
  </si>
  <si>
    <t>JPM_1890</t>
  </si>
  <si>
    <t>JPM_1910</t>
  </si>
  <si>
    <t>JPM_1928</t>
  </si>
  <si>
    <t>JPM_1929</t>
  </si>
  <si>
    <t>JPM_1936</t>
  </si>
  <si>
    <t>010J11005.exp</t>
  </si>
  <si>
    <t>016J11006.exp</t>
  </si>
  <si>
    <t>022J11007.exp</t>
  </si>
  <si>
    <t>028J11008.exp</t>
  </si>
  <si>
    <t>034J11009.exp</t>
  </si>
  <si>
    <t>037J10815.exp</t>
  </si>
  <si>
    <t>040J11010.exp</t>
  </si>
  <si>
    <t>043J10815.exp</t>
  </si>
  <si>
    <t>046J11011.exp</t>
  </si>
  <si>
    <t>049J10815.exp</t>
  </si>
  <si>
    <t>052J11012.exp</t>
  </si>
  <si>
    <t>007F10815.exp</t>
  </si>
  <si>
    <t>010F10994.exp</t>
  </si>
  <si>
    <t>013F10815.exp</t>
  </si>
  <si>
    <t>016F10995.exp</t>
  </si>
  <si>
    <t>019F10815.exp</t>
  </si>
  <si>
    <t>022F10996.exp</t>
  </si>
  <si>
    <t>025F10815.exp</t>
  </si>
  <si>
    <t>028F10997.exp</t>
  </si>
  <si>
    <t>031F10815.exp</t>
  </si>
  <si>
    <t>034F10998.exp</t>
  </si>
  <si>
    <t>037F10815.exp</t>
  </si>
  <si>
    <t>040F10999.exp</t>
  </si>
  <si>
    <t>043F10815.exp</t>
  </si>
  <si>
    <t>MD13-3462G-126</t>
  </si>
  <si>
    <t>MD13-3462G-136</t>
  </si>
  <si>
    <t>MD13-3462G-248</t>
  </si>
  <si>
    <t>MD13-3462G-272</t>
  </si>
  <si>
    <t>MD13-3462G-360</t>
  </si>
  <si>
    <t>MD13-3462G-583</t>
  </si>
  <si>
    <t>MD13-3462G-604</t>
  </si>
  <si>
    <t>MD13-3462G-654</t>
  </si>
  <si>
    <t>MD13-3462G-697</t>
  </si>
  <si>
    <t>MD13-3462G-801</t>
  </si>
  <si>
    <t>MD13-3462G-840</t>
  </si>
  <si>
    <t>010F11000.exp</t>
  </si>
  <si>
    <t>016F11001.exp</t>
  </si>
  <si>
    <t>022F11002.exp</t>
  </si>
  <si>
    <t>028F11003.exp</t>
  </si>
  <si>
    <t>034F11004.exp</t>
  </si>
  <si>
    <t>007Y10815.exp</t>
  </si>
  <si>
    <t>010Y11035.exp</t>
  </si>
  <si>
    <t>013Y10815.exp</t>
  </si>
  <si>
    <t>016Y11036.exp</t>
  </si>
  <si>
    <t>019Y10815.exp</t>
  </si>
  <si>
    <t>022Y11037.exp</t>
  </si>
  <si>
    <t>025Y10815.exp</t>
  </si>
  <si>
    <t>028Y11038.exp</t>
  </si>
  <si>
    <t>031Y10815.exp</t>
  </si>
  <si>
    <t>034Y11039.exp</t>
  </si>
  <si>
    <t>037Y10815.exp</t>
  </si>
  <si>
    <t>040Y11040.exp</t>
  </si>
  <si>
    <t>GeoB23225-1 85-86</t>
  </si>
  <si>
    <t>Carbonate</t>
  </si>
  <si>
    <t>GeoB23225-1 192-202 La-01</t>
  </si>
  <si>
    <t>GeoB23225-1 192-202 La-02</t>
  </si>
  <si>
    <t>GeoB23225-1 192-202 La-03</t>
  </si>
  <si>
    <t>GeoB23225-1 192-202 La-04</t>
  </si>
  <si>
    <t>GeoB23225-1 192-202 La-05</t>
  </si>
  <si>
    <t>010Y11041.exp</t>
  </si>
  <si>
    <t>016Y11042.exp</t>
  </si>
  <si>
    <t>022Y11043.exp</t>
  </si>
  <si>
    <t>028Y11044.exp</t>
  </si>
  <si>
    <t>034Y11045.exp</t>
  </si>
  <si>
    <t>040Y11046.exp</t>
  </si>
  <si>
    <t>GeoB23225-1 192-202 La-06</t>
  </si>
  <si>
    <t>GeoB23225-1 192-202 La-07</t>
  </si>
  <si>
    <t>GeoB23225-1 24-28 La-01</t>
  </si>
  <si>
    <t>GeoB23225-1 24-28 La-03</t>
  </si>
  <si>
    <t>GeoB23225-1 24-28 La-04</t>
  </si>
  <si>
    <t>GeoB23225-1 24-28 La-06</t>
  </si>
  <si>
    <t>GeoB23225-1 24-28 La-07</t>
  </si>
  <si>
    <t>GeoB23225-1 24-28 La-08</t>
  </si>
  <si>
    <t>GeoB23225-1 24-28 La-09</t>
  </si>
  <si>
    <t>GeoB23225-1 24-28 La-10</t>
  </si>
  <si>
    <t>010Y11047.exp</t>
  </si>
  <si>
    <t>016Y11048.exp</t>
  </si>
  <si>
    <t>022Y11049.exp</t>
  </si>
  <si>
    <t>028Y11050.exp</t>
  </si>
  <si>
    <t>016Y11067.exp</t>
  </si>
  <si>
    <t>022Y11068.exp</t>
  </si>
  <si>
    <t>028Y11073.exp</t>
  </si>
  <si>
    <t>Geob23225-1_28</t>
  </si>
  <si>
    <t>Shell</t>
  </si>
  <si>
    <t>Geob23225-1_85-86</t>
  </si>
  <si>
    <t>Geob23213-1_8723</t>
  </si>
  <si>
    <t>010Y11069.exp</t>
  </si>
  <si>
    <t>016Y11070.exp</t>
  </si>
  <si>
    <t>022Y11071.exp</t>
  </si>
  <si>
    <t>028Y11072.exp</t>
  </si>
  <si>
    <t>034Y11074.exp</t>
  </si>
  <si>
    <t>Geob23225-1_62-63</t>
  </si>
  <si>
    <t>Geob23225-1_99</t>
  </si>
  <si>
    <t>Geob23225-1_98.5</t>
  </si>
  <si>
    <t>Geob23213-1_8835</t>
  </si>
  <si>
    <t>Geob23213-1_8538</t>
  </si>
  <si>
    <t>010Y11075.exp</t>
  </si>
  <si>
    <t>016Y11076.exp</t>
  </si>
  <si>
    <t>022Y11077.exp</t>
  </si>
  <si>
    <t>028Y11078.exp</t>
  </si>
  <si>
    <t>034Y11080.exp</t>
  </si>
  <si>
    <t>MeBo24 T10-La-06</t>
  </si>
  <si>
    <t>Aragonite</t>
  </si>
  <si>
    <t>MeBo24 T10-La-07</t>
  </si>
  <si>
    <t>MeBo24 T10-La-11</t>
  </si>
  <si>
    <t>MeBo24 T10-La-17</t>
  </si>
  <si>
    <t>MeBo24 T09-La-02</t>
  </si>
  <si>
    <t>MeBo24 T09-La-04</t>
  </si>
  <si>
    <t>MeBo24 T09-La-05</t>
  </si>
  <si>
    <t>MeBo24 T09-La-06</t>
  </si>
  <si>
    <t>MeBo24 T08-La-09</t>
  </si>
  <si>
    <t>MeBo24 T05-La-03</t>
  </si>
  <si>
    <t>MeBo24 T02-La-10</t>
  </si>
  <si>
    <t>MeBo24 T06-Lf-01</t>
  </si>
  <si>
    <t>MeBo24 T06-Lf-07</t>
  </si>
  <si>
    <t>MeBo24 T06-Lf-08</t>
  </si>
  <si>
    <t>MeBo24 T06-Lf-09</t>
  </si>
  <si>
    <t>010Y11079.exp</t>
  </si>
  <si>
    <t>016Y11081.exp</t>
  </si>
  <si>
    <t>022Y11082.exp</t>
  </si>
  <si>
    <t>028Y11083.exp</t>
  </si>
  <si>
    <t>034Y11084.exp</t>
  </si>
  <si>
    <t>010Y11085.exp</t>
  </si>
  <si>
    <t>016Y11086.exp</t>
  </si>
  <si>
    <t>022Y11087.exp</t>
  </si>
  <si>
    <t>028Y11088.exp</t>
  </si>
  <si>
    <t>034Y11089.exp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</si>
</sst>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_-* #,##0.00\ [$€]_-;\-* #,##0.00\ [$€]_-;_-* &quot;-&quot;??\ [$€]_-;_-@_-"/>
    <numFmt numFmtId="174" formatCode="#,##0.0\ _D_M"/>
    <numFmt numFmtId="175" formatCode="0.0000E+00"/>
    <numFmt numFmtId="176" formatCode="0.0%"/>
    <numFmt numFmtId="177" formatCode="0.000%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sz val="11"/>
      <color indexed="11"/>
      <name val="Arial"/>
      <family val="2"/>
    </font>
    <font>
      <b/>
      <sz val="11"/>
      <color rgb="FFFF0000"/>
      <name val="Arial"/>
      <family val="2"/>
    </font>
    <font>
      <b/>
      <vertAlign val="superscript"/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73" fontId="1" fillId="0" borderId="0" applyFont="0" applyFill="0" applyBorder="0" applyAlignment="0" applyProtection="0"/>
  </cellStyleXfs>
  <cellXfs count="197">
    <xf numFmtId="0" fontId="0" fillId="0" borderId="0" xfId="0"/>
    <xf numFmtId="169" fontId="4" fillId="12" borderId="0" xfId="0" applyNumberFormat="1" applyFont="1" applyFill="1" applyAlignment="1">
      <alignment horizontal="center"/>
    </xf>
    <xf numFmtId="0" fontId="3" fillId="0" borderId="0" xfId="0" applyFont="1"/>
    <xf numFmtId="0" fontId="5" fillId="0" borderId="0" xfId="0" applyFont="1" applyFill="1" applyBorder="1" applyAlignment="1">
      <alignment horizontal="left"/>
    </xf>
    <xf numFmtId="11" fontId="0" fillId="0" borderId="0" xfId="0" applyNumberFormat="1"/>
    <xf numFmtId="0" fontId="6" fillId="0" borderId="0" xfId="0" applyFont="1"/>
    <xf numFmtId="0" fontId="7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Fill="1" applyAlignment="1">
      <alignment horizontal="center"/>
    </xf>
    <xf numFmtId="0" fontId="5" fillId="0" borderId="0" xfId="0" applyFont="1" applyAlignment="1">
      <alignment horizontal="right"/>
    </xf>
    <xf numFmtId="0" fontId="1" fillId="0" borderId="0" xfId="0" applyFont="1"/>
    <xf numFmtId="169" fontId="0" fillId="12" borderId="0" xfId="0" applyNumberFormat="1" applyFill="1"/>
    <xf numFmtId="175" fontId="1" fillId="0" borderId="0" xfId="0" applyNumberFormat="1" applyFont="1"/>
    <xf numFmtId="0" fontId="9" fillId="11" borderId="0" xfId="0" applyFont="1" applyFill="1" applyAlignment="1">
      <alignment horizontal="center"/>
    </xf>
    <xf numFmtId="14" fontId="9" fillId="11" borderId="0" xfId="0" applyNumberFormat="1" applyFont="1" applyFill="1" applyAlignment="1">
      <alignment horizontal="center"/>
    </xf>
    <xf numFmtId="166" fontId="9" fillId="11" borderId="0" xfId="0" applyNumberFormat="1" applyFont="1" applyFill="1" applyAlignment="1">
      <alignment horizontal="center"/>
    </xf>
    <xf numFmtId="0" fontId="9" fillId="11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/>
    </xf>
    <xf numFmtId="14" fontId="9" fillId="0" borderId="0" xfId="0" applyNumberFormat="1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>
      <alignment horizontal="center"/>
    </xf>
    <xf numFmtId="167" fontId="10" fillId="0" borderId="2" xfId="0" applyNumberFormat="1" applyFont="1" applyBorder="1" applyAlignment="1">
      <alignment horizontal="center"/>
    </xf>
    <xf numFmtId="167" fontId="10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10" fillId="0" borderId="3" xfId="0" applyNumberFormat="1" applyFont="1" applyFill="1" applyBorder="1" applyAlignment="1" applyProtection="1">
      <alignment horizontal="center"/>
    </xf>
    <xf numFmtId="167" fontId="10" fillId="0" borderId="4" xfId="0" applyNumberFormat="1" applyFont="1" applyBorder="1" applyAlignment="1">
      <alignment horizontal="center"/>
    </xf>
    <xf numFmtId="167" fontId="10" fillId="0" borderId="3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 vertical="center"/>
    </xf>
    <xf numFmtId="14" fontId="10" fillId="0" borderId="1" xfId="0" applyNumberFormat="1" applyFont="1" applyBorder="1" applyAlignment="1" applyProtection="1">
      <alignment horizontal="center" vertical="center"/>
    </xf>
    <xf numFmtId="166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 applyProtection="1">
      <alignment horizontal="center" vertical="center"/>
    </xf>
    <xf numFmtId="169" fontId="10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 vertical="center"/>
    </xf>
    <xf numFmtId="168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 applyProtection="1">
      <alignment horizontal="center" vertical="center"/>
    </xf>
    <xf numFmtId="2" fontId="10" fillId="0" borderId="1" xfId="0" applyNumberFormat="1" applyFont="1" applyBorder="1" applyAlignment="1" applyProtection="1">
      <alignment horizontal="center" vertical="center"/>
    </xf>
    <xf numFmtId="175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Fill="1" applyBorder="1" applyAlignment="1" applyProtection="1">
      <alignment horizontal="center" vertical="center"/>
    </xf>
    <xf numFmtId="169" fontId="10" fillId="0" borderId="1" xfId="0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14" fontId="10" fillId="0" borderId="5" xfId="0" applyNumberFormat="1" applyFont="1" applyBorder="1" applyAlignment="1">
      <alignment horizontal="center" vertical="center"/>
    </xf>
    <xf numFmtId="166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2" fontId="13" fillId="0" borderId="5" xfId="0" applyNumberFormat="1" applyFont="1" applyFill="1" applyBorder="1" applyAlignment="1">
      <alignment horizontal="center" vertical="top"/>
    </xf>
    <xf numFmtId="169" fontId="10" fillId="0" borderId="5" xfId="0" applyNumberFormat="1" applyFont="1" applyBorder="1" applyAlignment="1">
      <alignment horizontal="center" vertical="center"/>
    </xf>
    <xf numFmtId="168" fontId="10" fillId="0" borderId="5" xfId="0" applyNumberFormat="1" applyFont="1" applyBorder="1" applyAlignment="1" applyProtection="1">
      <alignment horizontal="center" vertical="center"/>
    </xf>
    <xf numFmtId="167" fontId="10" fillId="0" borderId="5" xfId="0" applyNumberFormat="1" applyFont="1" applyBorder="1" applyAlignment="1" applyProtection="1">
      <alignment horizontal="center" vertical="center"/>
    </xf>
    <xf numFmtId="2" fontId="10" fillId="0" borderId="5" xfId="0" applyNumberFormat="1" applyFont="1" applyBorder="1" applyAlignment="1" applyProtection="1">
      <alignment horizontal="center" vertical="center"/>
    </xf>
    <xf numFmtId="175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75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/>
    </xf>
    <xf numFmtId="14" fontId="9" fillId="0" borderId="0" xfId="0" applyNumberFormat="1" applyFont="1" applyFill="1" applyAlignment="1">
      <alignment horizontal="center"/>
    </xf>
    <xf numFmtId="166" fontId="9" fillId="0" borderId="0" xfId="0" applyNumberFormat="1" applyFont="1" applyFill="1" applyAlignment="1">
      <alignment horizontal="center"/>
    </xf>
    <xf numFmtId="164" fontId="9" fillId="0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0" fillId="0" borderId="6" xfId="0" applyFont="1" applyBorder="1" applyAlignment="1" applyProtection="1">
      <alignment horizontal="center"/>
    </xf>
    <xf numFmtId="169" fontId="10" fillId="0" borderId="6" xfId="0" applyNumberFormat="1" applyFont="1" applyBorder="1" applyAlignment="1">
      <alignment horizontal="center"/>
    </xf>
    <xf numFmtId="164" fontId="10" fillId="0" borderId="6" xfId="0" applyNumberFormat="1" applyFont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/>
    </xf>
    <xf numFmtId="0" fontId="10" fillId="5" borderId="6" xfId="0" applyFont="1" applyFill="1" applyBorder="1" applyAlignment="1" applyProtection="1">
      <alignment horizontal="center" vertical="center"/>
    </xf>
    <xf numFmtId="0" fontId="10" fillId="8" borderId="6" xfId="0" applyFont="1" applyFill="1" applyBorder="1" applyAlignment="1" applyProtection="1">
      <alignment horizontal="center"/>
    </xf>
    <xf numFmtId="0" fontId="10" fillId="0" borderId="6" xfId="0" applyFont="1" applyBorder="1" applyAlignment="1">
      <alignment horizontal="center"/>
    </xf>
    <xf numFmtId="0" fontId="10" fillId="9" borderId="6" xfId="0" applyFont="1" applyFill="1" applyBorder="1" applyAlignment="1" applyProtection="1">
      <alignment horizontal="center"/>
    </xf>
    <xf numFmtId="0" fontId="10" fillId="2" borderId="6" xfId="0" applyFont="1" applyFill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 vertical="center"/>
    </xf>
    <xf numFmtId="170" fontId="10" fillId="6" borderId="6" xfId="0" applyNumberFormat="1" applyFont="1" applyFill="1" applyBorder="1" applyAlignment="1" applyProtection="1">
      <alignment horizontal="center"/>
    </xf>
    <xf numFmtId="0" fontId="10" fillId="6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vertical="center"/>
    </xf>
    <xf numFmtId="2" fontId="10" fillId="3" borderId="6" xfId="0" applyNumberFormat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166" fontId="10" fillId="8" borderId="6" xfId="0" applyNumberFormat="1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7" xfId="0" applyFont="1" applyBorder="1" applyAlignment="1" applyProtection="1">
      <alignment horizontal="center"/>
    </xf>
    <xf numFmtId="164" fontId="10" fillId="0" borderId="7" xfId="0" applyNumberFormat="1" applyFont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0" fillId="5" borderId="7" xfId="0" applyFont="1" applyFill="1" applyBorder="1" applyAlignment="1" applyProtection="1">
      <alignment horizontal="center" vertical="center"/>
    </xf>
    <xf numFmtId="0" fontId="10" fillId="8" borderId="7" xfId="0" applyFont="1" applyFill="1" applyBorder="1" applyAlignment="1" applyProtection="1">
      <alignment horizontal="center"/>
    </xf>
    <xf numFmtId="0" fontId="10" fillId="9" borderId="7" xfId="0" applyFont="1" applyFill="1" applyBorder="1" applyAlignment="1" applyProtection="1">
      <alignment horizontal="center"/>
    </xf>
    <xf numFmtId="0" fontId="9" fillId="0" borderId="7" xfId="0" applyFont="1" applyBorder="1" applyAlignment="1">
      <alignment horizontal="center"/>
    </xf>
    <xf numFmtId="166" fontId="10" fillId="2" borderId="7" xfId="0" applyNumberFormat="1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 vertical="center"/>
    </xf>
    <xf numFmtId="170" fontId="10" fillId="6" borderId="7" xfId="0" applyNumberFormat="1" applyFont="1" applyFill="1" applyBorder="1" applyAlignment="1" applyProtection="1">
      <alignment horizontal="center"/>
    </xf>
    <xf numFmtId="0" fontId="10" fillId="6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vertical="center"/>
    </xf>
    <xf numFmtId="2" fontId="10" fillId="3" borderId="7" xfId="0" applyNumberFormat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166" fontId="10" fillId="8" borderId="7" xfId="0" applyNumberFormat="1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2" borderId="0" xfId="0" applyFont="1" applyFill="1" applyBorder="1" applyAlignment="1">
      <alignment horizontal="center"/>
    </xf>
    <xf numFmtId="174" fontId="10" fillId="12" borderId="0" xfId="0" applyNumberFormat="1" applyFont="1" applyFill="1" applyAlignment="1"/>
    <xf numFmtId="169" fontId="10" fillId="12" borderId="0" xfId="0" applyNumberFormat="1" applyFont="1" applyFill="1" applyAlignment="1">
      <alignment horizontal="center"/>
    </xf>
    <xf numFmtId="0" fontId="14" fillId="12" borderId="0" xfId="0" applyFont="1" applyFill="1" applyBorder="1" applyAlignment="1">
      <alignment horizontal="left"/>
    </xf>
    <xf numFmtId="170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>
      <alignment horizontal="center"/>
    </xf>
    <xf numFmtId="170" fontId="10" fillId="12" borderId="0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Border="1" applyAlignment="1">
      <alignment horizontal="center"/>
    </xf>
    <xf numFmtId="174" fontId="10" fillId="0" borderId="0" xfId="0" applyNumberFormat="1" applyFont="1" applyFill="1" applyAlignment="1"/>
    <xf numFmtId="169" fontId="10" fillId="0" borderId="0" xfId="0" applyNumberFormat="1" applyFont="1" applyFill="1" applyAlignment="1">
      <alignment horizontal="center"/>
    </xf>
    <xf numFmtId="170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>
      <alignment horizontal="center"/>
    </xf>
    <xf numFmtId="170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69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>
      <alignment horizontal="center"/>
    </xf>
    <xf numFmtId="164" fontId="9" fillId="11" borderId="0" xfId="0" applyNumberFormat="1" applyFont="1" applyFill="1" applyBorder="1" applyAlignment="1">
      <alignment horizontal="center"/>
    </xf>
    <xf numFmtId="170" fontId="9" fillId="11" borderId="0" xfId="0" applyNumberFormat="1" applyFont="1" applyFill="1" applyBorder="1" applyAlignment="1" applyProtection="1">
      <alignment horizontal="center"/>
    </xf>
    <xf numFmtId="0" fontId="9" fillId="11" borderId="0" xfId="0" applyFont="1" applyFill="1" applyBorder="1" applyAlignment="1" applyProtection="1">
      <alignment horizontal="center"/>
    </xf>
    <xf numFmtId="170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 applyProtection="1">
      <alignment horizontal="center"/>
    </xf>
    <xf numFmtId="171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 applyProtection="1">
      <alignment horizontal="center"/>
    </xf>
    <xf numFmtId="168" fontId="9" fillId="11" borderId="0" xfId="0" applyNumberFormat="1" applyFont="1" applyFill="1" applyBorder="1" applyAlignment="1">
      <alignment horizontal="center"/>
    </xf>
    <xf numFmtId="10" fontId="9" fillId="11" borderId="0" xfId="0" applyNumberFormat="1" applyFont="1" applyFill="1" applyBorder="1" applyAlignment="1">
      <alignment horizontal="center"/>
    </xf>
    <xf numFmtId="1" fontId="9" fillId="11" borderId="0" xfId="0" applyNumberFormat="1" applyFont="1" applyFill="1" applyBorder="1" applyAlignment="1">
      <alignment horizontal="center"/>
    </xf>
    <xf numFmtId="2" fontId="9" fillId="11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0" fontId="9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72" fontId="9" fillId="0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10" fillId="0" borderId="1" xfId="0" applyFont="1" applyBorder="1" applyAlignment="1" applyProtection="1">
      <alignment horizontal="center"/>
    </xf>
    <xf numFmtId="167" fontId="8" fillId="0" borderId="6" xfId="0" applyNumberFormat="1" applyFont="1" applyBorder="1" applyAlignment="1">
      <alignment horizontal="center" vertical="center" wrapText="1"/>
    </xf>
    <xf numFmtId="168" fontId="8" fillId="0" borderId="6" xfId="0" applyNumberFormat="1" applyFont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166" fontId="8" fillId="0" borderId="6" xfId="0" applyNumberFormat="1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/>
    </xf>
    <xf numFmtId="167" fontId="8" fillId="0" borderId="7" xfId="0" applyNumberFormat="1" applyFont="1" applyBorder="1" applyAlignment="1">
      <alignment horizontal="center" vertical="center"/>
    </xf>
    <xf numFmtId="168" fontId="8" fillId="0" borderId="7" xfId="0" applyNumberFormat="1" applyFont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66" fontId="8" fillId="0" borderId="7" xfId="0" applyNumberFormat="1" applyFont="1" applyBorder="1" applyAlignment="1">
      <alignment horizontal="center" vertical="center"/>
    </xf>
    <xf numFmtId="168" fontId="9" fillId="11" borderId="0" xfId="0" applyNumberFormat="1" applyFont="1" applyFill="1" applyAlignment="1">
      <alignment horizontal="center"/>
    </xf>
    <xf numFmtId="164" fontId="9" fillId="11" borderId="0" xfId="0" applyNumberFormat="1" applyFont="1" applyFill="1" applyAlignment="1">
      <alignment horizontal="center"/>
    </xf>
    <xf numFmtId="167" fontId="9" fillId="11" borderId="0" xfId="0" applyNumberFormat="1" applyFont="1" applyFill="1" applyAlignment="1">
      <alignment horizontal="center"/>
    </xf>
    <xf numFmtId="176" fontId="9" fillId="11" borderId="0" xfId="0" applyNumberFormat="1" applyFont="1" applyFill="1" applyAlignment="1">
      <alignment horizontal="center"/>
    </xf>
    <xf numFmtId="168" fontId="9" fillId="0" borderId="0" xfId="0" applyNumberFormat="1" applyFont="1" applyFill="1" applyAlignment="1">
      <alignment horizontal="center"/>
    </xf>
    <xf numFmtId="167" fontId="9" fillId="0" borderId="0" xfId="0" applyNumberFormat="1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2" fontId="9" fillId="11" borderId="0" xfId="0" applyNumberFormat="1" applyFont="1" applyFill="1" applyAlignment="1">
      <alignment horizontal="center"/>
    </xf>
    <xf numFmtId="176" fontId="9" fillId="0" borderId="0" xfId="0" applyNumberFormat="1" applyFont="1" applyAlignment="1">
      <alignment horizontal="center"/>
    </xf>
    <xf numFmtId="166" fontId="10" fillId="0" borderId="2" xfId="0" applyNumberFormat="1" applyFont="1" applyBorder="1" applyAlignment="1">
      <alignment horizontal="center"/>
    </xf>
    <xf numFmtId="166" fontId="10" fillId="0" borderId="4" xfId="0" applyNumberFormat="1" applyFont="1" applyBorder="1" applyAlignment="1">
      <alignment horizontal="center"/>
    </xf>
    <xf numFmtId="170" fontId="10" fillId="0" borderId="0" xfId="0" applyNumberFormat="1" applyFont="1" applyFill="1" applyBorder="1" applyAlignment="1" applyProtection="1">
      <alignment horizontal="center"/>
    </xf>
    <xf numFmtId="171" fontId="10" fillId="0" borderId="0" xfId="0" applyNumberFormat="1" applyFont="1" applyFill="1" applyBorder="1" applyAlignment="1">
      <alignment horizontal="center"/>
    </xf>
    <xf numFmtId="170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168" fontId="10" fillId="0" borderId="0" xfId="0" applyNumberFormat="1" applyFont="1" applyFill="1" applyBorder="1" applyAlignment="1">
      <alignment horizontal="center"/>
    </xf>
    <xf numFmtId="1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7" fontId="10" fillId="0" borderId="0" xfId="0" applyNumberFormat="1" applyFont="1" applyFill="1" applyBorder="1" applyAlignment="1">
      <alignment horizontal="center"/>
    </xf>
    <xf numFmtId="172" fontId="10" fillId="0" borderId="0" xfId="0" applyNumberFormat="1" applyFont="1" applyFill="1" applyBorder="1" applyAlignment="1">
      <alignment horizontal="center"/>
    </xf>
    <xf numFmtId="0" fontId="9" fillId="0" borderId="0" xfId="0" applyFont="1" applyFill="1"/>
    <xf numFmtId="177" fontId="0" fillId="0" borderId="0" xfId="0" applyNumberFormat="1"/>
    <xf numFmtId="177" fontId="0" fillId="12" borderId="0" xfId="0" applyNumberFormat="1" applyFill="1"/>
    <xf numFmtId="0" fontId="0" fillId="0" borderId="0" xfId="0" applyFill="1"/>
    <xf numFmtId="0" fontId="9" fillId="0" borderId="0" xfId="0" applyNumberFormat="1" applyFont="1" applyAlignment="1">
      <alignment horizontal="center"/>
    </xf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B299"/>
  <sheetViews>
    <sheetView zoomScaleNormal="100" workbookViewId="0">
      <pane ySplit="2" topLeftCell="A287" activePane="bottomLeft" state="frozen"/>
      <selection activeCell="B1" sqref="B1"/>
      <selection pane="bottomLeft" activeCell="D298" activeCellId="4" sqref="D290 D292 D294 D296 D298"/>
    </sheetView>
  </sheetViews>
  <sheetFormatPr baseColWidth="10" defaultRowHeight="14.25" x14ac:dyDescent="0.2"/>
  <cols>
    <col min="1" max="1" width="18" style="17" customWidth="1"/>
    <col min="2" max="2" width="28.28515625" style="17" bestFit="1" customWidth="1"/>
    <col min="3" max="3" width="16.85546875" style="17" customWidth="1"/>
    <col min="4" max="4" width="13.28515625" style="72" customWidth="1"/>
    <col min="5" max="5" width="13" style="73" bestFit="1" customWidth="1"/>
    <col min="6" max="6" width="11.5703125" style="17" bestFit="1" customWidth="1"/>
    <col min="7" max="7" width="11.5703125" style="74" bestFit="1" customWidth="1"/>
    <col min="8" max="8" width="18.42578125" style="74" bestFit="1" customWidth="1"/>
    <col min="9" max="9" width="11.5703125" style="74" customWidth="1"/>
    <col min="10" max="10" width="11.42578125" style="75"/>
    <col min="11" max="11" width="11.7109375" style="74" bestFit="1" customWidth="1"/>
    <col min="12" max="12" width="10.7109375" style="76" bestFit="1" customWidth="1"/>
    <col min="13" max="14" width="10.7109375" style="76" customWidth="1"/>
    <col min="15" max="15" width="12.7109375" style="74" bestFit="1" customWidth="1"/>
    <col min="16" max="16" width="13.140625" style="75" customWidth="1"/>
    <col min="17" max="17" width="13.140625" style="77" customWidth="1"/>
    <col min="18" max="18" width="13.140625" style="78" customWidth="1"/>
    <col min="19" max="19" width="13.140625" style="79" customWidth="1"/>
    <col min="20" max="20" width="11.42578125" style="17"/>
    <col min="21" max="21" width="15" style="74" customWidth="1"/>
    <col min="22" max="22" width="13.85546875" style="75" customWidth="1"/>
    <col min="23" max="23" width="16.85546875" style="74" customWidth="1"/>
    <col min="24" max="24" width="13.7109375" style="75" customWidth="1"/>
    <col min="25" max="25" width="14.28515625" style="77" customWidth="1"/>
    <col min="26" max="26" width="14" style="75" customWidth="1"/>
    <col min="27" max="27" width="15.28515625" style="17" bestFit="1" customWidth="1"/>
    <col min="28" max="16384" width="11.42578125" style="17"/>
  </cols>
  <sheetData>
    <row r="1" spans="1:28" s="46" customFormat="1" ht="15" x14ac:dyDescent="0.25">
      <c r="A1" s="30" t="s">
        <v>53</v>
      </c>
      <c r="B1" s="30" t="s">
        <v>0</v>
      </c>
      <c r="C1" s="30" t="s">
        <v>54</v>
      </c>
      <c r="D1" s="31" t="s">
        <v>55</v>
      </c>
      <c r="E1" s="32" t="s">
        <v>2</v>
      </c>
      <c r="F1" s="30" t="s">
        <v>3</v>
      </c>
      <c r="G1" s="33" t="s">
        <v>81</v>
      </c>
      <c r="H1" s="33"/>
      <c r="I1" s="34" t="s">
        <v>70</v>
      </c>
      <c r="J1" s="35" t="s">
        <v>71</v>
      </c>
      <c r="K1" s="36" t="s">
        <v>82</v>
      </c>
      <c r="L1" s="37" t="s">
        <v>4</v>
      </c>
      <c r="M1" s="38" t="s">
        <v>41</v>
      </c>
      <c r="N1" s="39" t="s">
        <v>4</v>
      </c>
      <c r="O1" s="33" t="s">
        <v>5</v>
      </c>
      <c r="P1" s="40" t="s">
        <v>6</v>
      </c>
      <c r="Q1" s="36" t="s">
        <v>73</v>
      </c>
      <c r="R1" s="39" t="s">
        <v>4</v>
      </c>
      <c r="S1" s="41" t="s">
        <v>7</v>
      </c>
      <c r="T1" s="39" t="s">
        <v>4</v>
      </c>
      <c r="U1" s="42" t="s">
        <v>8</v>
      </c>
      <c r="V1" s="40" t="s">
        <v>6</v>
      </c>
      <c r="W1" s="33" t="s">
        <v>9</v>
      </c>
      <c r="X1" s="40" t="s">
        <v>6</v>
      </c>
      <c r="Y1" s="43" t="s">
        <v>10</v>
      </c>
      <c r="Z1" s="40" t="s">
        <v>6</v>
      </c>
      <c r="AA1" s="44" t="s">
        <v>11</v>
      </c>
      <c r="AB1" s="45"/>
    </row>
    <row r="2" spans="1:28" s="46" customFormat="1" ht="15.75" thickBot="1" x14ac:dyDescent="0.25">
      <c r="A2" s="47"/>
      <c r="B2" s="47"/>
      <c r="C2" s="47" t="s">
        <v>1</v>
      </c>
      <c r="D2" s="48"/>
      <c r="E2" s="49" t="s">
        <v>12</v>
      </c>
      <c r="F2" s="47" t="s">
        <v>43</v>
      </c>
      <c r="G2" s="50" t="s">
        <v>43</v>
      </c>
      <c r="H2" s="50"/>
      <c r="I2" s="51"/>
      <c r="J2" s="52"/>
      <c r="K2" s="53" t="s">
        <v>14</v>
      </c>
      <c r="L2" s="54" t="s">
        <v>13</v>
      </c>
      <c r="M2" s="50" t="s">
        <v>14</v>
      </c>
      <c r="N2" s="55" t="s">
        <v>13</v>
      </c>
      <c r="O2" s="50" t="s">
        <v>15</v>
      </c>
      <c r="P2" s="56" t="s">
        <v>16</v>
      </c>
      <c r="Q2" s="53" t="s">
        <v>14</v>
      </c>
      <c r="R2" s="55" t="s">
        <v>13</v>
      </c>
      <c r="S2" s="57" t="s">
        <v>14</v>
      </c>
      <c r="T2" s="55" t="s">
        <v>13</v>
      </c>
      <c r="U2" s="58"/>
      <c r="V2" s="56" t="s">
        <v>17</v>
      </c>
      <c r="W2" s="50"/>
      <c r="X2" s="56" t="s">
        <v>17</v>
      </c>
      <c r="Y2" s="53"/>
      <c r="Z2" s="56" t="s">
        <v>17</v>
      </c>
      <c r="AA2" s="47"/>
    </row>
    <row r="3" spans="1:28" ht="15" thickTop="1" x14ac:dyDescent="0.2">
      <c r="A3" s="59"/>
      <c r="B3" s="59"/>
      <c r="C3" s="59"/>
      <c r="D3" s="60"/>
      <c r="E3" s="61"/>
      <c r="F3" s="59"/>
      <c r="G3" s="62"/>
      <c r="H3" s="62"/>
      <c r="I3" s="62"/>
      <c r="J3" s="63"/>
      <c r="K3" s="62"/>
      <c r="L3" s="64"/>
      <c r="M3" s="64"/>
      <c r="N3" s="64"/>
      <c r="O3" s="62"/>
      <c r="P3" s="63"/>
      <c r="Q3" s="65"/>
      <c r="R3" s="66"/>
      <c r="S3" s="67"/>
      <c r="T3" s="59"/>
      <c r="U3" s="62"/>
      <c r="V3" s="63"/>
      <c r="W3" s="62"/>
      <c r="X3" s="63"/>
      <c r="Y3" s="65"/>
      <c r="Z3" s="63"/>
      <c r="AA3" s="59"/>
    </row>
    <row r="7" spans="1:28" x14ac:dyDescent="0.2">
      <c r="A7" s="13">
        <v>10815</v>
      </c>
      <c r="B7" s="13" t="s">
        <v>79</v>
      </c>
      <c r="C7" s="13" t="s">
        <v>72</v>
      </c>
      <c r="D7" s="14">
        <v>44209</v>
      </c>
      <c r="E7" s="15"/>
      <c r="F7" s="16">
        <v>1.10995</v>
      </c>
      <c r="G7" s="16">
        <v>10.349080000000001</v>
      </c>
      <c r="H7" t="s">
        <v>126</v>
      </c>
      <c r="I7">
        <v>9.9110948659411752E-3</v>
      </c>
      <c r="J7">
        <v>0.54860213967346105</v>
      </c>
      <c r="K7">
        <v>7.1451118307029431E-3</v>
      </c>
      <c r="L7">
        <v>4.5313014002341416E-3</v>
      </c>
      <c r="M7">
        <v>2.7326004837481932</v>
      </c>
      <c r="N7">
        <v>7.138585984835316E-3</v>
      </c>
      <c r="O7">
        <v>2.0903104814436499</v>
      </c>
      <c r="P7">
        <v>0.53321479892453161</v>
      </c>
      <c r="Q7">
        <v>7.5778355061187465E-3</v>
      </c>
      <c r="R7">
        <v>9.8954887812676445E-2</v>
      </c>
      <c r="S7">
        <v>5.4959243885080215E-5</v>
      </c>
      <c r="T7">
        <v>9.8954887812677139E-2</v>
      </c>
      <c r="U7">
        <v>1.3165770688603684</v>
      </c>
      <c r="V7">
        <v>0.27645563543653112</v>
      </c>
      <c r="W7">
        <v>0.19126648602762386</v>
      </c>
      <c r="X7">
        <v>0.56994257321616237</v>
      </c>
      <c r="Y7">
        <v>0.25217554285846655</v>
      </c>
      <c r="Z7">
        <v>0.37473876388605837</v>
      </c>
    </row>
    <row r="8" spans="1:28" x14ac:dyDescent="0.2">
      <c r="A8" s="18">
        <v>10919</v>
      </c>
      <c r="B8" s="18" t="s">
        <v>141</v>
      </c>
      <c r="C8" s="18" t="s">
        <v>142</v>
      </c>
      <c r="D8" s="19">
        <v>44209</v>
      </c>
      <c r="E8" s="20"/>
      <c r="F8" s="21">
        <v>7.2069999999999995E-2</v>
      </c>
      <c r="G8" s="21">
        <v>0.20813000000000059</v>
      </c>
      <c r="H8" t="s">
        <v>127</v>
      </c>
      <c r="I8">
        <v>1.0027646906236733E-2</v>
      </c>
      <c r="J8">
        <v>0.16262597396593567</v>
      </c>
      <c r="K8">
        <v>7.1418199923043296E-3</v>
      </c>
      <c r="L8">
        <v>6.2361687914205344E-3</v>
      </c>
      <c r="M8">
        <v>2.456146164473517</v>
      </c>
      <c r="N8">
        <v>4.5520100184639582E-3</v>
      </c>
      <c r="O8">
        <v>2.1143098741483932</v>
      </c>
      <c r="P8">
        <v>0.17180102717542053</v>
      </c>
      <c r="Q8">
        <v>8.6286743297976538E-3</v>
      </c>
      <c r="R8">
        <v>5.6292338427281798E-2</v>
      </c>
      <c r="S8">
        <v>6.2580590000055499E-5</v>
      </c>
      <c r="T8">
        <v>5.6292338427282242E-2</v>
      </c>
      <c r="U8">
        <v>0.24133260588181193</v>
      </c>
      <c r="V8">
        <v>0.23589797412286789</v>
      </c>
      <c r="W8">
        <v>8.4867882542973935E-2</v>
      </c>
      <c r="X8">
        <v>0.14684591564103636</v>
      </c>
      <c r="Y8">
        <v>2.0495363298485017E-2</v>
      </c>
      <c r="Z8">
        <v>0.17587038381336031</v>
      </c>
    </row>
    <row r="9" spans="1:28" x14ac:dyDescent="0.2">
      <c r="A9" s="13">
        <v>10815</v>
      </c>
      <c r="B9" s="13" t="s">
        <v>79</v>
      </c>
      <c r="C9" s="13" t="s">
        <v>72</v>
      </c>
      <c r="D9" s="14">
        <v>44209</v>
      </c>
      <c r="E9" s="15"/>
      <c r="F9" s="16">
        <v>1.10995</v>
      </c>
      <c r="G9" s="16">
        <v>10.349080000000001</v>
      </c>
      <c r="H9" t="s">
        <v>128</v>
      </c>
      <c r="I9">
        <v>9.8671953399140436E-3</v>
      </c>
      <c r="J9">
        <v>0.49790637219116907</v>
      </c>
      <c r="K9">
        <v>7.1363371025790151E-3</v>
      </c>
      <c r="L9">
        <v>5.2809902517591293E-3</v>
      </c>
      <c r="M9">
        <v>2.7321056970071709</v>
      </c>
      <c r="N9">
        <v>9.4501441812127884E-3</v>
      </c>
      <c r="O9">
        <v>2.0962820075561166</v>
      </c>
      <c r="P9">
        <v>0.48045573079649306</v>
      </c>
      <c r="Q9">
        <v>7.5807156029179552E-3</v>
      </c>
      <c r="R9">
        <v>0.13963234278614675</v>
      </c>
      <c r="S9">
        <v>5.4980132164097678E-5</v>
      </c>
      <c r="T9">
        <v>0.13963234278614661</v>
      </c>
      <c r="U9">
        <v>1.3226730838182599</v>
      </c>
      <c r="V9">
        <v>0.22609118469620937</v>
      </c>
      <c r="W9">
        <v>0.19299628440244485</v>
      </c>
      <c r="X9">
        <v>0.32893778397552109</v>
      </c>
      <c r="Y9">
        <v>0.25514359151857213</v>
      </c>
      <c r="Z9">
        <v>0.30610616769844484</v>
      </c>
    </row>
    <row r="10" spans="1:28" s="68" customFormat="1" x14ac:dyDescent="0.2">
      <c r="A10" s="68">
        <v>10920</v>
      </c>
      <c r="B10" s="68" t="s">
        <v>143</v>
      </c>
      <c r="C10" s="68" t="s">
        <v>142</v>
      </c>
      <c r="D10" s="19">
        <v>44209</v>
      </c>
      <c r="E10" s="70"/>
      <c r="F10" s="68">
        <v>8.5519999999999999E-2</v>
      </c>
      <c r="G10" s="71">
        <v>0.20681000000000083</v>
      </c>
      <c r="H10" t="s">
        <v>129</v>
      </c>
      <c r="I10">
        <v>1.000729534888228E-2</v>
      </c>
      <c r="J10">
        <v>0.15956032469350478</v>
      </c>
      <c r="K10">
        <v>7.1374549083888265E-3</v>
      </c>
      <c r="L10">
        <v>4.1281738316209871E-3</v>
      </c>
      <c r="M10">
        <v>2.6855310285679046</v>
      </c>
      <c r="N10">
        <v>3.6374573804874729E-3</v>
      </c>
      <c r="O10">
        <v>2.3128850367962439</v>
      </c>
      <c r="P10">
        <v>0.15767479088812048</v>
      </c>
      <c r="Q10">
        <v>8.6226215806100119E-3</v>
      </c>
      <c r="R10">
        <v>4.3018310803703275E-2</v>
      </c>
      <c r="S10">
        <v>6.2536691644316553E-5</v>
      </c>
      <c r="T10">
        <v>4.3018310803703538E-2</v>
      </c>
      <c r="U10">
        <v>0.26481068358786042</v>
      </c>
      <c r="V10">
        <v>0.18781642167785673</v>
      </c>
      <c r="W10">
        <v>6.8926818630647743E-2</v>
      </c>
      <c r="X10">
        <v>0.17086598961174113</v>
      </c>
      <c r="Y10">
        <v>1.8246850626927363E-2</v>
      </c>
      <c r="Z10">
        <v>0.14110281521627976</v>
      </c>
    </row>
    <row r="11" spans="1:28" s="68" customFormat="1" x14ac:dyDescent="0.2">
      <c r="A11" s="13">
        <v>10815</v>
      </c>
      <c r="B11" s="13" t="s">
        <v>79</v>
      </c>
      <c r="C11" s="13" t="s">
        <v>72</v>
      </c>
      <c r="D11" s="14">
        <v>44209</v>
      </c>
      <c r="E11" s="15"/>
      <c r="F11" s="16">
        <v>1.10995</v>
      </c>
      <c r="G11" s="16">
        <v>10.349080000000001</v>
      </c>
      <c r="H11" t="s">
        <v>130</v>
      </c>
      <c r="I11">
        <v>9.9252647787156107E-3</v>
      </c>
      <c r="J11">
        <v>0.49474649454622338</v>
      </c>
      <c r="K11">
        <v>7.1345534342550261E-3</v>
      </c>
      <c r="L11">
        <v>5.2558765406307264E-3</v>
      </c>
      <c r="M11">
        <v>2.732731880413926</v>
      </c>
      <c r="N11">
        <v>8.6032475388932127E-3</v>
      </c>
      <c r="O11">
        <v>2.08788132870689</v>
      </c>
      <c r="P11">
        <v>0.50997943413452784</v>
      </c>
      <c r="Q11">
        <v>7.5732681032825693E-3</v>
      </c>
      <c r="R11">
        <v>0.11374152838430503</v>
      </c>
      <c r="S11">
        <v>5.4926118198174991E-5</v>
      </c>
      <c r="T11">
        <v>0.11374152838430517</v>
      </c>
      <c r="U11">
        <v>1.3194492440980941</v>
      </c>
      <c r="V11">
        <v>0.31092090983512338</v>
      </c>
      <c r="W11">
        <v>0.19258892733509933</v>
      </c>
      <c r="X11">
        <v>0.39919155853115018</v>
      </c>
      <c r="Y11">
        <v>0.25409684869788646</v>
      </c>
      <c r="Z11">
        <v>0.33116043385581351</v>
      </c>
    </row>
    <row r="12" spans="1:28" s="68" customFormat="1" x14ac:dyDescent="0.2">
      <c r="A12" s="68">
        <v>10921</v>
      </c>
      <c r="B12" s="68" t="s">
        <v>144</v>
      </c>
      <c r="C12" s="68" t="s">
        <v>142</v>
      </c>
      <c r="D12" s="19">
        <v>44209</v>
      </c>
      <c r="E12" s="70"/>
      <c r="F12" s="68">
        <v>7.0910000000000001E-2</v>
      </c>
      <c r="G12" s="71">
        <v>0.20472000000000001</v>
      </c>
      <c r="H12" t="s">
        <v>131</v>
      </c>
      <c r="I12">
        <v>1.0008481151630957E-2</v>
      </c>
      <c r="J12">
        <v>0.21010974040542046</v>
      </c>
      <c r="K12">
        <v>7.1344008474642957E-3</v>
      </c>
      <c r="L12">
        <v>8.2905394432141316E-3</v>
      </c>
      <c r="M12">
        <v>2.1180953482391218</v>
      </c>
      <c r="N12">
        <v>4.040736549529203E-3</v>
      </c>
      <c r="O12">
        <v>1.8266664318489592</v>
      </c>
      <c r="P12">
        <v>0.21469693958687344</v>
      </c>
      <c r="Q12">
        <v>8.6320242447680291E-3</v>
      </c>
      <c r="R12">
        <v>4.42689962286128E-2</v>
      </c>
      <c r="S12">
        <v>6.2604885696854724E-5</v>
      </c>
      <c r="T12">
        <v>4.4268996228613515E-2</v>
      </c>
      <c r="U12">
        <v>0.21343296930424191</v>
      </c>
      <c r="V12">
        <v>0.29137527416233883</v>
      </c>
      <c r="W12">
        <v>1.5539312921390427E-2</v>
      </c>
      <c r="X12">
        <v>0.18601209357574242</v>
      </c>
      <c r="Y12">
        <v>3.3220948767325232E-3</v>
      </c>
      <c r="Z12">
        <v>0.21865562204015798</v>
      </c>
    </row>
    <row r="13" spans="1:28" s="68" customFormat="1" x14ac:dyDescent="0.2">
      <c r="A13" s="13">
        <v>10815</v>
      </c>
      <c r="B13" s="13" t="s">
        <v>79</v>
      </c>
      <c r="C13" s="13" t="s">
        <v>72</v>
      </c>
      <c r="D13" s="14">
        <v>44209</v>
      </c>
      <c r="E13" s="15"/>
      <c r="F13" s="16">
        <v>1.10995</v>
      </c>
      <c r="G13" s="16">
        <v>10.349080000000001</v>
      </c>
      <c r="H13" t="s">
        <v>132</v>
      </c>
      <c r="I13">
        <v>9.8074714577104614E-3</v>
      </c>
      <c r="J13">
        <v>0.53890296294350415</v>
      </c>
      <c r="K13">
        <v>7.1264027137097783E-3</v>
      </c>
      <c r="L13">
        <v>6.6025988865765347E-3</v>
      </c>
      <c r="M13">
        <v>2.7323197116492457</v>
      </c>
      <c r="N13">
        <v>9.607957538330783E-3</v>
      </c>
      <c r="O13">
        <v>2.1104843991115909</v>
      </c>
      <c r="P13">
        <v>0.58840168437819218</v>
      </c>
      <c r="Q13">
        <v>7.5797537922497309E-3</v>
      </c>
      <c r="R13">
        <v>9.9521556768518593E-2</v>
      </c>
      <c r="S13">
        <v>5.4973156506333206E-5</v>
      </c>
      <c r="T13">
        <v>9.952155676851869E-2</v>
      </c>
      <c r="U13">
        <v>1.3244657776123525</v>
      </c>
      <c r="V13">
        <v>0.25877338433288438</v>
      </c>
      <c r="W13">
        <v>0.19528128147716806</v>
      </c>
      <c r="X13">
        <v>0.3616152056348928</v>
      </c>
      <c r="Y13">
        <v>0.25806587695805949</v>
      </c>
      <c r="Z13">
        <v>0.28125285468967337</v>
      </c>
    </row>
    <row r="14" spans="1:28" s="68" customFormat="1" x14ac:dyDescent="0.2">
      <c r="A14" s="68">
        <v>10922</v>
      </c>
      <c r="B14" s="68" t="s">
        <v>145</v>
      </c>
      <c r="C14" s="68" t="s">
        <v>142</v>
      </c>
      <c r="D14" s="19">
        <v>44209</v>
      </c>
      <c r="E14" s="70"/>
      <c r="F14" s="68">
        <v>4.7710000000000002E-2</v>
      </c>
      <c r="G14" s="71">
        <v>0.20434000000000019</v>
      </c>
      <c r="H14" t="s">
        <v>133</v>
      </c>
      <c r="I14">
        <v>1.0019568901158245E-2</v>
      </c>
      <c r="J14">
        <v>0.22941056713642349</v>
      </c>
      <c r="K14">
        <v>7.1270408547796501E-3</v>
      </c>
      <c r="L14">
        <v>4.2622657754640006E-3</v>
      </c>
      <c r="M14">
        <v>1.5650410058902895</v>
      </c>
      <c r="N14">
        <v>3.7461276285933884E-3</v>
      </c>
      <c r="O14">
        <v>1.3475109510353851</v>
      </c>
      <c r="P14">
        <v>0.22632963880012086</v>
      </c>
      <c r="Q14">
        <v>8.6238896719244371E-3</v>
      </c>
      <c r="R14">
        <v>7.0860803666615887E-2</v>
      </c>
      <c r="S14">
        <v>6.2545888642557209E-5</v>
      </c>
      <c r="T14">
        <v>7.0860803666615915E-2</v>
      </c>
      <c r="U14">
        <v>0.1544730426167579</v>
      </c>
      <c r="V14">
        <v>0.30668386012469867</v>
      </c>
      <c r="W14">
        <v>6.8896605077074694E-2</v>
      </c>
      <c r="X14">
        <v>0.17597518129197609</v>
      </c>
      <c r="Y14">
        <v>1.0644958111247434E-2</v>
      </c>
      <c r="Z14">
        <v>0.26113283810177801</v>
      </c>
    </row>
    <row r="15" spans="1:28" s="68" customFormat="1" x14ac:dyDescent="0.2">
      <c r="A15" s="13">
        <v>10815</v>
      </c>
      <c r="B15" s="13" t="s">
        <v>79</v>
      </c>
      <c r="C15" s="13" t="s">
        <v>72</v>
      </c>
      <c r="D15" s="14">
        <v>44209</v>
      </c>
      <c r="E15" s="15"/>
      <c r="F15" s="16">
        <v>1.10995</v>
      </c>
      <c r="G15" s="16">
        <v>10.349080000000001</v>
      </c>
      <c r="H15" t="s">
        <v>134</v>
      </c>
      <c r="I15">
        <v>9.8923013760169754E-3</v>
      </c>
      <c r="J15">
        <v>0.5937688002069117</v>
      </c>
      <c r="K15">
        <v>7.1271127397094253E-3</v>
      </c>
      <c r="L15">
        <v>5.0996841445780467E-3</v>
      </c>
      <c r="M15">
        <v>2.7324340201012309</v>
      </c>
      <c r="N15">
        <v>8.8434788774142594E-3</v>
      </c>
      <c r="O15">
        <v>2.0917607549019732</v>
      </c>
      <c r="P15">
        <v>0.61354226838818282</v>
      </c>
      <c r="Q15">
        <v>7.577680429970435E-3</v>
      </c>
      <c r="R15">
        <v>0.10649740365204509</v>
      </c>
      <c r="S15">
        <v>5.4958119175016397E-5</v>
      </c>
      <c r="T15">
        <v>0.10649740365204559</v>
      </c>
      <c r="U15">
        <v>1.3217582391397278</v>
      </c>
      <c r="V15">
        <v>0.24213011568536857</v>
      </c>
      <c r="W15">
        <v>0.19561993919915008</v>
      </c>
      <c r="X15">
        <v>0.36693906735491399</v>
      </c>
      <c r="Y15">
        <v>0.25797900305664723</v>
      </c>
      <c r="Z15">
        <v>0.30969823769836713</v>
      </c>
    </row>
    <row r="16" spans="1:28" s="68" customFormat="1" x14ac:dyDescent="0.2">
      <c r="A16" s="68">
        <v>10923</v>
      </c>
      <c r="B16" s="68" t="s">
        <v>146</v>
      </c>
      <c r="C16" s="68" t="s">
        <v>142</v>
      </c>
      <c r="D16" s="19">
        <v>44209</v>
      </c>
      <c r="E16" s="70"/>
      <c r="F16" s="68">
        <v>8.1839999999999996E-2</v>
      </c>
      <c r="G16" s="71">
        <v>0.20657999999999888</v>
      </c>
      <c r="H16" t="s">
        <v>135</v>
      </c>
      <c r="I16">
        <v>1.002357399614248E-2</v>
      </c>
      <c r="J16">
        <v>0.21523449139392736</v>
      </c>
      <c r="K16">
        <v>7.1307848266255729E-3</v>
      </c>
      <c r="L16">
        <v>6.3426107117637888E-3</v>
      </c>
      <c r="M16">
        <v>2.2418026809869609</v>
      </c>
      <c r="N16">
        <v>4.3874638194234521E-3</v>
      </c>
      <c r="O16">
        <v>1.9366625336441563</v>
      </c>
      <c r="P16">
        <v>0.22433846660837334</v>
      </c>
      <c r="Q16">
        <v>8.6599250909950749E-3</v>
      </c>
      <c r="R16">
        <v>5.5256440624752379E-2</v>
      </c>
      <c r="S16">
        <v>6.280724023610996E-5</v>
      </c>
      <c r="T16">
        <v>5.5256440624752157E-2</v>
      </c>
      <c r="U16">
        <v>0.21343605456186771</v>
      </c>
      <c r="V16">
        <v>0.226872419790627</v>
      </c>
      <c r="W16">
        <v>6.8225926705856615E-2</v>
      </c>
      <c r="X16">
        <v>0.18278626875071305</v>
      </c>
      <c r="Y16">
        <v>1.4558538435289309E-2</v>
      </c>
      <c r="Z16">
        <v>0.20119522049437791</v>
      </c>
    </row>
    <row r="17" spans="1:26" s="68" customFormat="1" x14ac:dyDescent="0.2">
      <c r="A17" s="13">
        <v>10815</v>
      </c>
      <c r="B17" s="13" t="s">
        <v>79</v>
      </c>
      <c r="C17" s="13" t="s">
        <v>72</v>
      </c>
      <c r="D17" s="14">
        <v>44209</v>
      </c>
      <c r="E17" s="15"/>
      <c r="F17" s="16">
        <v>1.10995</v>
      </c>
      <c r="G17" s="16">
        <v>10.349080000000001</v>
      </c>
      <c r="H17" t="s">
        <v>136</v>
      </c>
      <c r="I17">
        <v>9.9558189189730261E-3</v>
      </c>
      <c r="J17">
        <v>0.46231804993877984</v>
      </c>
      <c r="K17">
        <v>7.1283475088166235E-3</v>
      </c>
      <c r="L17">
        <v>6.4847297275285832E-3</v>
      </c>
      <c r="M17">
        <v>2.732103128386365</v>
      </c>
      <c r="N17">
        <v>7.7864728458257124E-3</v>
      </c>
      <c r="O17">
        <v>2.0838650577701787</v>
      </c>
      <c r="P17">
        <v>0.45490783187754591</v>
      </c>
      <c r="Q17">
        <v>7.5836621044857696E-3</v>
      </c>
      <c r="R17">
        <v>9.8556303114082089E-2</v>
      </c>
      <c r="S17">
        <v>5.5001502052391343E-5</v>
      </c>
      <c r="T17">
        <v>9.855630311408177E-2</v>
      </c>
      <c r="U17">
        <v>1.3212937498834374</v>
      </c>
      <c r="V17">
        <v>0.2428738220987201</v>
      </c>
      <c r="W17">
        <v>0.19581562180582646</v>
      </c>
      <c r="X17">
        <v>0.33682980638187004</v>
      </c>
      <c r="Y17">
        <v>0.2582910862890414</v>
      </c>
      <c r="Z17">
        <v>0.25025290762375763</v>
      </c>
    </row>
    <row r="18" spans="1:26" s="68" customFormat="1" x14ac:dyDescent="0.2">
      <c r="A18" s="68">
        <v>10924</v>
      </c>
      <c r="B18" s="68" t="s">
        <v>147</v>
      </c>
      <c r="C18" s="68" t="s">
        <v>142</v>
      </c>
      <c r="D18" s="19">
        <v>44209</v>
      </c>
      <c r="E18" s="70"/>
      <c r="F18" s="68">
        <v>7.7429999999999999E-2</v>
      </c>
      <c r="G18" s="71">
        <v>0.20365</v>
      </c>
      <c r="H18" t="s">
        <v>137</v>
      </c>
      <c r="I18">
        <v>1.0014420421751368E-2</v>
      </c>
      <c r="J18">
        <v>0.17197605579561046</v>
      </c>
      <c r="K18">
        <v>7.1302432327520846E-3</v>
      </c>
      <c r="L18">
        <v>3.3111705834488535E-3</v>
      </c>
      <c r="M18">
        <v>3.0355367680055751</v>
      </c>
      <c r="N18">
        <v>4.073007689614703E-3</v>
      </c>
      <c r="O18">
        <v>2.6077627140844477</v>
      </c>
      <c r="P18">
        <v>0.1790231795221485</v>
      </c>
      <c r="Q18">
        <v>8.6004681283683958E-3</v>
      </c>
      <c r="R18">
        <v>5.1432686938833461E-2</v>
      </c>
      <c r="S18">
        <v>6.2376020832227762E-5</v>
      </c>
      <c r="T18">
        <v>5.1432686938833301E-2</v>
      </c>
      <c r="U18">
        <v>0.30111233032712131</v>
      </c>
      <c r="V18">
        <v>0.18356629990892109</v>
      </c>
      <c r="W18">
        <v>7.0810631690755008E-2</v>
      </c>
      <c r="X18">
        <v>0.12838227631025786</v>
      </c>
      <c r="Y18">
        <v>2.1305033553789154E-2</v>
      </c>
      <c r="Z18">
        <v>0.1252479613109283</v>
      </c>
    </row>
    <row r="19" spans="1:26" s="68" customFormat="1" x14ac:dyDescent="0.2">
      <c r="A19" s="13">
        <v>10815</v>
      </c>
      <c r="B19" s="13" t="s">
        <v>79</v>
      </c>
      <c r="C19" s="13" t="s">
        <v>72</v>
      </c>
      <c r="D19" s="14">
        <v>44209</v>
      </c>
      <c r="E19" s="15"/>
      <c r="F19" s="16">
        <v>1.10995</v>
      </c>
      <c r="G19" s="16">
        <v>10.349080000000001</v>
      </c>
      <c r="H19" t="s">
        <v>138</v>
      </c>
      <c r="I19">
        <v>9.9789209510043227E-3</v>
      </c>
      <c r="J19">
        <v>0.59902893193401852</v>
      </c>
      <c r="K19">
        <v>7.125145106045375E-3</v>
      </c>
      <c r="L19">
        <v>5.6697244075034339E-3</v>
      </c>
      <c r="M19">
        <v>2.7323632623192693</v>
      </c>
      <c r="N19">
        <v>9.1703231008850444E-3</v>
      </c>
      <c r="O19">
        <v>2.0770935484111952</v>
      </c>
      <c r="P19">
        <v>0.61278231658783056</v>
      </c>
      <c r="Q19">
        <v>7.580540202669064E-3</v>
      </c>
      <c r="R19">
        <v>0.1231544878973906</v>
      </c>
      <c r="S19">
        <v>5.4978860050834147E-5</v>
      </c>
      <c r="T19">
        <v>0.12315448789738993</v>
      </c>
      <c r="U19">
        <v>1.3217158021893196</v>
      </c>
      <c r="V19">
        <v>0.27722099845990933</v>
      </c>
      <c r="W19">
        <v>0.19496262715107696</v>
      </c>
      <c r="X19">
        <v>0.43202251654149454</v>
      </c>
      <c r="Y19">
        <v>0.25800579560904835</v>
      </c>
      <c r="Z19">
        <v>0.30553413094307141</v>
      </c>
    </row>
    <row r="20" spans="1:26" s="68" customFormat="1" x14ac:dyDescent="0.2">
      <c r="A20" s="68">
        <v>10925</v>
      </c>
      <c r="B20" s="68" t="s">
        <v>148</v>
      </c>
      <c r="C20" s="68" t="s">
        <v>142</v>
      </c>
      <c r="D20" s="19">
        <v>44209</v>
      </c>
      <c r="E20" s="70"/>
      <c r="F20" s="68">
        <v>7.7439999999999995E-2</v>
      </c>
      <c r="G20" s="71">
        <v>0.20866000000000001</v>
      </c>
      <c r="H20" t="s">
        <v>139</v>
      </c>
      <c r="I20">
        <v>1.0019432036276241E-2</v>
      </c>
      <c r="J20">
        <v>0.14489909363300182</v>
      </c>
      <c r="K20">
        <v>7.1278401773334256E-3</v>
      </c>
      <c r="L20">
        <v>3.7868005803095022E-3</v>
      </c>
      <c r="M20">
        <v>2.9556821919374179</v>
      </c>
      <c r="N20">
        <v>3.9760578214838634E-3</v>
      </c>
      <c r="O20">
        <v>2.5371224446807723</v>
      </c>
      <c r="P20">
        <v>0.14156340045617211</v>
      </c>
      <c r="Q20">
        <v>8.5986549426588267E-3</v>
      </c>
      <c r="R20">
        <v>4.2138570631508596E-2</v>
      </c>
      <c r="S20">
        <v>6.2362870465537849E-5</v>
      </c>
      <c r="T20">
        <v>4.2138570631507652E-2</v>
      </c>
      <c r="U20">
        <v>0.29431009896526272</v>
      </c>
      <c r="V20">
        <v>0.24110127166046968</v>
      </c>
      <c r="W20">
        <v>0.17009150383473395</v>
      </c>
      <c r="X20">
        <v>0.2181232287954091</v>
      </c>
      <c r="Y20">
        <v>5.0046395436581681E-2</v>
      </c>
      <c r="Z20">
        <v>0.15282632955715181</v>
      </c>
    </row>
    <row r="21" spans="1:26" s="68" customFormat="1" x14ac:dyDescent="0.2">
      <c r="A21" s="13">
        <v>10815</v>
      </c>
      <c r="B21" s="13" t="s">
        <v>79</v>
      </c>
      <c r="C21" s="13" t="s">
        <v>72</v>
      </c>
      <c r="D21" s="14">
        <v>44209</v>
      </c>
      <c r="E21" s="15"/>
      <c r="F21" s="16">
        <v>1.10995</v>
      </c>
      <c r="G21" s="16">
        <v>10.349080000000001</v>
      </c>
      <c r="H21" t="s">
        <v>140</v>
      </c>
      <c r="I21">
        <v>9.9818303994220984E-3</v>
      </c>
      <c r="J21">
        <v>0.60802595531542247</v>
      </c>
      <c r="K21">
        <v>7.1255880207402224E-3</v>
      </c>
      <c r="L21">
        <v>5.101737911060172E-3</v>
      </c>
      <c r="M21">
        <v>2.7324641492659123</v>
      </c>
      <c r="N21">
        <v>1.1310584624337514E-2</v>
      </c>
      <c r="O21">
        <v>2.0756755360714734</v>
      </c>
      <c r="P21">
        <v>0.5998090234174358</v>
      </c>
      <c r="Q21">
        <v>7.5799233131772087E-3</v>
      </c>
      <c r="R21">
        <v>0.13649798493761556</v>
      </c>
      <c r="S21">
        <v>5.4974385979048676E-5</v>
      </c>
      <c r="T21">
        <v>0.13649798493761406</v>
      </c>
      <c r="U21">
        <v>1.3250893606460459</v>
      </c>
      <c r="V21">
        <v>0.24122108129125988</v>
      </c>
      <c r="W21">
        <v>0.19509424144412094</v>
      </c>
      <c r="X21">
        <v>0.2860822118061731</v>
      </c>
      <c r="Y21">
        <v>0.25866809784652117</v>
      </c>
      <c r="Z21">
        <v>0.23782169168693237</v>
      </c>
    </row>
    <row r="22" spans="1:26" s="68" customFormat="1" x14ac:dyDescent="0.2">
      <c r="D22" s="69"/>
      <c r="E22" s="70"/>
      <c r="G22" s="71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192"/>
      <c r="X22" s="192"/>
      <c r="Y22" s="192"/>
      <c r="Z22" s="192"/>
    </row>
    <row r="23" spans="1:26" s="68" customFormat="1" x14ac:dyDescent="0.2">
      <c r="A23" s="13">
        <v>10815</v>
      </c>
      <c r="B23" s="13" t="s">
        <v>79</v>
      </c>
      <c r="C23" s="13" t="s">
        <v>72</v>
      </c>
      <c r="D23" s="14">
        <v>44210</v>
      </c>
      <c r="E23" s="15"/>
      <c r="F23" s="16">
        <v>1.10995</v>
      </c>
      <c r="G23" s="16">
        <v>10.349080000000001</v>
      </c>
      <c r="H23" t="s">
        <v>126</v>
      </c>
      <c r="I23">
        <v>9.9292352242310346E-3</v>
      </c>
      <c r="J23">
        <v>0.6303483000312361</v>
      </c>
      <c r="K23">
        <v>7.1522258117899164E-3</v>
      </c>
      <c r="L23">
        <v>6.640626150422233E-3</v>
      </c>
      <c r="M23">
        <v>2.7323966602695462</v>
      </c>
      <c r="N23">
        <v>8.4000709164941643E-3</v>
      </c>
      <c r="O23">
        <v>2.0804261788037244</v>
      </c>
      <c r="P23">
        <v>0.58742189984778925</v>
      </c>
      <c r="Q23">
        <v>7.5745490751049898E-3</v>
      </c>
      <c r="R23">
        <v>0.13078352399173848</v>
      </c>
      <c r="S23">
        <v>5.4935408613985911E-5</v>
      </c>
      <c r="T23">
        <v>0.13078352399173862</v>
      </c>
      <c r="U23">
        <v>1.3164577954653698</v>
      </c>
      <c r="V23">
        <v>0.33753482486673797</v>
      </c>
      <c r="W23">
        <v>0.18546428295062406</v>
      </c>
      <c r="X23">
        <v>0.42186996962388984</v>
      </c>
      <c r="Y23">
        <v>0.24405542438193889</v>
      </c>
      <c r="Z23">
        <v>0.33629702942355505</v>
      </c>
    </row>
    <row r="24" spans="1:26" x14ac:dyDescent="0.2">
      <c r="A24" s="68">
        <v>10926</v>
      </c>
      <c r="B24" s="68" t="s">
        <v>149</v>
      </c>
      <c r="C24" s="68" t="s">
        <v>142</v>
      </c>
      <c r="D24" s="69">
        <v>44210</v>
      </c>
      <c r="E24" s="70"/>
      <c r="F24" s="68">
        <v>6.3270000000000007E-2</v>
      </c>
      <c r="G24" s="71">
        <v>0.20458000000000001</v>
      </c>
      <c r="H24" t="s">
        <v>152</v>
      </c>
      <c r="I24">
        <v>1.0051163413116954E-2</v>
      </c>
      <c r="J24">
        <v>0.1639696790218278</v>
      </c>
      <c r="K24">
        <v>7.1472394036698767E-3</v>
      </c>
      <c r="L24">
        <v>3.9709574178241796E-3</v>
      </c>
      <c r="M24">
        <v>1.6426221727541703</v>
      </c>
      <c r="N24">
        <v>3.8131321518835512E-3</v>
      </c>
      <c r="O24">
        <v>1.4049183960827398</v>
      </c>
      <c r="P24">
        <v>0.20080304192864057</v>
      </c>
      <c r="Q24">
        <v>8.5932731758003641E-3</v>
      </c>
      <c r="R24">
        <v>7.7767250010299632E-2</v>
      </c>
      <c r="S24">
        <v>6.2323838496967381E-5</v>
      </c>
      <c r="T24">
        <v>7.7767250010299757E-2</v>
      </c>
      <c r="U24">
        <v>0.15834698228515073</v>
      </c>
      <c r="V24">
        <v>0.25559665096006473</v>
      </c>
      <c r="W24">
        <v>0.3232189716917665</v>
      </c>
      <c r="X24">
        <v>0.28367427136394896</v>
      </c>
      <c r="Y24">
        <v>5.1293265795868383E-2</v>
      </c>
      <c r="Z24">
        <v>0.24394500277503112</v>
      </c>
    </row>
    <row r="25" spans="1:26" x14ac:dyDescent="0.2">
      <c r="A25" s="13">
        <v>10815</v>
      </c>
      <c r="B25" s="13" t="s">
        <v>79</v>
      </c>
      <c r="C25" s="13" t="s">
        <v>72</v>
      </c>
      <c r="D25" s="14">
        <v>44210</v>
      </c>
      <c r="E25" s="15"/>
      <c r="F25" s="16">
        <v>1.10995</v>
      </c>
      <c r="G25" s="16">
        <v>10.349080000000001</v>
      </c>
      <c r="H25" t="s">
        <v>128</v>
      </c>
      <c r="I25">
        <v>9.9779658264449959E-3</v>
      </c>
      <c r="J25">
        <v>0.64164301769595167</v>
      </c>
      <c r="K25">
        <v>7.1489098775691737E-3</v>
      </c>
      <c r="L25">
        <v>8.2116643764269526E-3</v>
      </c>
      <c r="M25">
        <v>2.7321721294643853</v>
      </c>
      <c r="N25">
        <v>1.0737973093315414E-2</v>
      </c>
      <c r="O25">
        <v>2.0753364245300885</v>
      </c>
      <c r="P25">
        <v>0.605936327519218</v>
      </c>
      <c r="Q25">
        <v>7.5720364150994859E-3</v>
      </c>
      <c r="R25">
        <v>0.13607291521961457</v>
      </c>
      <c r="S25">
        <v>5.4917185218409243E-5</v>
      </c>
      <c r="T25">
        <v>0.13607291521961523</v>
      </c>
      <c r="U25">
        <v>1.3120076191774659</v>
      </c>
      <c r="V25">
        <v>0.3851809453210569</v>
      </c>
      <c r="W25">
        <v>0.18854832472982774</v>
      </c>
      <c r="X25">
        <v>0.48564241448503531</v>
      </c>
      <c r="Y25">
        <v>0.24772854307752071</v>
      </c>
      <c r="Z25">
        <v>0.26751730946623475</v>
      </c>
    </row>
    <row r="26" spans="1:26" x14ac:dyDescent="0.2">
      <c r="A26" s="17">
        <v>10927</v>
      </c>
      <c r="B26" s="17" t="s">
        <v>150</v>
      </c>
      <c r="C26" s="17" t="s">
        <v>142</v>
      </c>
      <c r="D26" s="69">
        <v>44210</v>
      </c>
      <c r="F26" s="17">
        <v>8.5459999999999994E-2</v>
      </c>
      <c r="G26" s="74">
        <v>0.20343</v>
      </c>
      <c r="H26" t="s">
        <v>153</v>
      </c>
      <c r="I26">
        <v>1.0004653657183279E-2</v>
      </c>
      <c r="J26">
        <v>0.14002930884889178</v>
      </c>
      <c r="K26">
        <v>7.142789303482458E-3</v>
      </c>
      <c r="L26">
        <v>3.6606011371490828E-3</v>
      </c>
      <c r="M26">
        <v>2.6207086993112645</v>
      </c>
      <c r="N26">
        <v>3.9844237939066348E-3</v>
      </c>
      <c r="O26">
        <v>2.2520651675645955</v>
      </c>
      <c r="P26">
        <v>0.15684640579742734</v>
      </c>
      <c r="Q26">
        <v>8.5974830570952863E-3</v>
      </c>
      <c r="R26">
        <v>4.0226794299961829E-2</v>
      </c>
      <c r="S26">
        <v>6.2354371212098013E-5</v>
      </c>
      <c r="T26">
        <v>4.0226794299961101E-2</v>
      </c>
      <c r="U26">
        <v>0.26084216085159417</v>
      </c>
      <c r="V26">
        <v>0.25582298200739156</v>
      </c>
      <c r="W26">
        <v>2.2506240324182618E-3</v>
      </c>
      <c r="X26">
        <v>0.1917848715523861</v>
      </c>
      <c r="Y26">
        <v>5.8726450158708653E-4</v>
      </c>
      <c r="Z26">
        <v>0.17588220119085771</v>
      </c>
    </row>
    <row r="27" spans="1:26" x14ac:dyDescent="0.2">
      <c r="A27" s="13">
        <v>10815</v>
      </c>
      <c r="B27" s="13" t="s">
        <v>79</v>
      </c>
      <c r="C27" s="13" t="s">
        <v>72</v>
      </c>
      <c r="D27" s="14">
        <v>44210</v>
      </c>
      <c r="E27" s="15"/>
      <c r="F27" s="16">
        <v>1.10995</v>
      </c>
      <c r="G27" s="16">
        <v>10.349080000000001</v>
      </c>
      <c r="H27" t="s">
        <v>130</v>
      </c>
      <c r="I27">
        <v>9.9293296470753904E-3</v>
      </c>
      <c r="J27">
        <v>0.66775809423566157</v>
      </c>
      <c r="K27">
        <v>7.1400045252179396E-3</v>
      </c>
      <c r="L27">
        <v>8.4766726947770148E-3</v>
      </c>
      <c r="M27">
        <v>2.732106385920583</v>
      </c>
      <c r="N27">
        <v>7.9390349739964488E-3</v>
      </c>
      <c r="O27">
        <v>2.0813908686320874</v>
      </c>
      <c r="P27">
        <v>0.67892919173515609</v>
      </c>
      <c r="Q27">
        <v>7.5732860697176451E-3</v>
      </c>
      <c r="R27">
        <v>0.12499222358977359</v>
      </c>
      <c r="S27">
        <v>5.4926248502097042E-5</v>
      </c>
      <c r="T27">
        <v>0.12499222358977279</v>
      </c>
      <c r="U27">
        <v>1.3192624783807525</v>
      </c>
      <c r="V27">
        <v>0.29629283444212856</v>
      </c>
      <c r="W27">
        <v>0.19136378295102338</v>
      </c>
      <c r="X27">
        <v>0.42822527875062322</v>
      </c>
      <c r="Y27">
        <v>0.2522002678255657</v>
      </c>
      <c r="Z27">
        <v>0.28995286229454187</v>
      </c>
    </row>
    <row r="28" spans="1:26" x14ac:dyDescent="0.2">
      <c r="A28" s="17">
        <v>10928</v>
      </c>
      <c r="B28" s="17" t="s">
        <v>151</v>
      </c>
      <c r="C28" s="17" t="s">
        <v>142</v>
      </c>
      <c r="D28" s="69">
        <v>44210</v>
      </c>
      <c r="F28" s="17">
        <v>7.9039999999999999E-2</v>
      </c>
      <c r="G28" s="74">
        <v>0.20508000000000001</v>
      </c>
      <c r="H28" t="s">
        <v>154</v>
      </c>
      <c r="I28">
        <v>9.9926878896284977E-3</v>
      </c>
      <c r="J28">
        <v>0.1648891486925044</v>
      </c>
      <c r="K28">
        <v>7.1430915570957028E-3</v>
      </c>
      <c r="L28">
        <v>3.6557034905312352E-3</v>
      </c>
      <c r="M28">
        <v>2.7111262296978786</v>
      </c>
      <c r="N28">
        <v>4.1093163369936439E-3</v>
      </c>
      <c r="O28">
        <v>2.3324341740117749</v>
      </c>
      <c r="P28">
        <v>0.16941759760875369</v>
      </c>
      <c r="Q28">
        <v>8.5959544847362748E-3</v>
      </c>
      <c r="R28">
        <v>5.0522744372922555E-2</v>
      </c>
      <c r="S28">
        <v>6.2343285040986632E-5</v>
      </c>
      <c r="T28">
        <v>5.0522744372922104E-2</v>
      </c>
      <c r="U28">
        <v>0.26235567142256183</v>
      </c>
      <c r="V28">
        <v>0.27609129846878683</v>
      </c>
      <c r="W28">
        <v>2.1893049506437817E-2</v>
      </c>
      <c r="X28">
        <v>0.21033602710332622</v>
      </c>
      <c r="Y28">
        <v>5.7454105600868314E-3</v>
      </c>
      <c r="Z28">
        <v>0.16601931525118571</v>
      </c>
    </row>
    <row r="29" spans="1:26" x14ac:dyDescent="0.2">
      <c r="A29" s="13">
        <v>10815</v>
      </c>
      <c r="B29" s="13" t="s">
        <v>79</v>
      </c>
      <c r="C29" s="13" t="s">
        <v>72</v>
      </c>
      <c r="D29" s="14">
        <v>44210</v>
      </c>
      <c r="E29" s="15"/>
      <c r="F29" s="16">
        <v>1.10995</v>
      </c>
      <c r="G29" s="16">
        <v>10.349080000000001</v>
      </c>
      <c r="H29" t="s">
        <v>132</v>
      </c>
      <c r="I29">
        <v>9.9375101564991696E-3</v>
      </c>
      <c r="J29">
        <v>0.48200814148646554</v>
      </c>
      <c r="K29">
        <v>7.1399846919592471E-3</v>
      </c>
      <c r="L29">
        <v>4.883737248254888E-3</v>
      </c>
      <c r="M29">
        <v>2.7324173200286799</v>
      </c>
      <c r="N29">
        <v>9.8761833734146206E-3</v>
      </c>
      <c r="O29">
        <v>2.0847867505581501</v>
      </c>
      <c r="P29">
        <v>0.54848903320678544</v>
      </c>
      <c r="Q29">
        <v>7.5810668531711718E-3</v>
      </c>
      <c r="R29">
        <v>0.15389173350000704</v>
      </c>
      <c r="S29">
        <v>5.4982679652534938E-5</v>
      </c>
      <c r="T29">
        <v>0.15389173350000632</v>
      </c>
      <c r="U29">
        <v>1.3180717884870561</v>
      </c>
      <c r="V29">
        <v>0.27581445065042781</v>
      </c>
      <c r="W29">
        <v>0.19113793176803631</v>
      </c>
      <c r="X29">
        <v>0.36909244543929748</v>
      </c>
      <c r="Y29">
        <v>0.25244167099537601</v>
      </c>
      <c r="Z29">
        <v>0.25440050049206797</v>
      </c>
    </row>
    <row r="30" spans="1:26" x14ac:dyDescent="0.2">
      <c r="A30" s="17">
        <v>10917</v>
      </c>
      <c r="B30" s="17" t="s">
        <v>157</v>
      </c>
      <c r="C30" s="17" t="s">
        <v>142</v>
      </c>
      <c r="D30" s="69">
        <v>44210</v>
      </c>
      <c r="E30" s="73">
        <v>164.5</v>
      </c>
      <c r="F30" s="17">
        <v>7.349E-2</v>
      </c>
      <c r="G30" s="74">
        <v>0.20892000000000088</v>
      </c>
      <c r="H30" t="s">
        <v>155</v>
      </c>
      <c r="I30">
        <v>1.0026087613928236E-2</v>
      </c>
      <c r="J30">
        <v>0.18213612662555662</v>
      </c>
      <c r="K30">
        <v>7.1431085512177533E-3</v>
      </c>
      <c r="L30">
        <v>4.3309201863662933E-3</v>
      </c>
      <c r="M30">
        <v>2.3691465617332752</v>
      </c>
      <c r="N30">
        <v>4.5368729333325466E-3</v>
      </c>
      <c r="O30">
        <v>2.0495720536377369</v>
      </c>
      <c r="P30">
        <v>0.1763810259579742</v>
      </c>
      <c r="Q30">
        <v>8.675685240910674E-3</v>
      </c>
      <c r="R30">
        <v>4.9397696084198681E-2</v>
      </c>
      <c r="S30">
        <v>6.2921542786248093E-5</v>
      </c>
      <c r="T30">
        <v>4.9397696084198486E-2</v>
      </c>
      <c r="U30">
        <v>7.5332725592603983E-2</v>
      </c>
      <c r="V30">
        <v>0.38987653655741217</v>
      </c>
      <c r="W30">
        <v>0.22997248906170406</v>
      </c>
      <c r="X30">
        <v>0.21826425801380805</v>
      </c>
      <c r="Y30">
        <v>1.7306337667641364E-2</v>
      </c>
      <c r="Z30">
        <v>0.35411905321855425</v>
      </c>
    </row>
    <row r="31" spans="1:26" x14ac:dyDescent="0.2">
      <c r="A31" s="13">
        <v>10815</v>
      </c>
      <c r="B31" s="13" t="s">
        <v>79</v>
      </c>
      <c r="C31" s="13" t="s">
        <v>72</v>
      </c>
      <c r="D31" s="14">
        <v>44210</v>
      </c>
      <c r="E31" s="15"/>
      <c r="F31" s="16">
        <v>1.10995</v>
      </c>
      <c r="G31" s="16">
        <v>10.349080000000001</v>
      </c>
      <c r="H31" t="s">
        <v>134</v>
      </c>
      <c r="I31">
        <v>9.975298418165305E-3</v>
      </c>
      <c r="J31">
        <v>0.5123399770765199</v>
      </c>
      <c r="K31">
        <v>7.1413939448779764E-3</v>
      </c>
      <c r="L31">
        <v>5.4791999215402717E-3</v>
      </c>
      <c r="M31">
        <v>2.7319140450427679</v>
      </c>
      <c r="N31">
        <v>7.2849099888495847E-3</v>
      </c>
      <c r="O31">
        <v>2.0819298347087547</v>
      </c>
      <c r="P31">
        <v>0.5018237056320225</v>
      </c>
      <c r="Q31">
        <v>7.5894307498427316E-3</v>
      </c>
      <c r="R31">
        <v>0.13556898950453253</v>
      </c>
      <c r="S31">
        <v>5.5043339907911389E-5</v>
      </c>
      <c r="T31">
        <v>0.13556898950453242</v>
      </c>
      <c r="U31">
        <v>1.3213767335890658</v>
      </c>
      <c r="V31">
        <v>0.28147034658678016</v>
      </c>
      <c r="W31">
        <v>0.1890720872612591</v>
      </c>
      <c r="X31">
        <v>0.38213972267671581</v>
      </c>
      <c r="Y31">
        <v>0.24955308315498065</v>
      </c>
      <c r="Z31">
        <v>0.26318596478831086</v>
      </c>
    </row>
    <row r="32" spans="1:26" x14ac:dyDescent="0.2">
      <c r="A32" s="17">
        <v>10918</v>
      </c>
      <c r="B32" s="17" t="s">
        <v>158</v>
      </c>
      <c r="C32" s="17" t="s">
        <v>142</v>
      </c>
      <c r="D32" s="69">
        <v>44210</v>
      </c>
      <c r="E32" s="73">
        <v>185</v>
      </c>
      <c r="F32" s="17">
        <v>5.7669999999999999E-2</v>
      </c>
      <c r="G32" s="74">
        <v>0.20659000000000027</v>
      </c>
      <c r="H32" t="s">
        <v>156</v>
      </c>
      <c r="I32">
        <v>1.0026513576150009E-2</v>
      </c>
      <c r="J32">
        <v>0.15647519330195309</v>
      </c>
      <c r="K32">
        <v>7.1431323843443237E-3</v>
      </c>
      <c r="L32">
        <v>4.6194853437124365E-3</v>
      </c>
      <c r="M32">
        <v>1.9746864028837978</v>
      </c>
      <c r="N32">
        <v>4.4118858575264387E-3</v>
      </c>
      <c r="O32">
        <v>1.7076228225622478</v>
      </c>
      <c r="P32">
        <v>0.17388000487999292</v>
      </c>
      <c r="Q32">
        <v>8.6735454746572366E-3</v>
      </c>
      <c r="R32">
        <v>6.548766181307876E-2</v>
      </c>
      <c r="S32">
        <v>6.2906023851417068E-5</v>
      </c>
      <c r="T32">
        <v>6.5487661813078579E-2</v>
      </c>
      <c r="U32">
        <v>6.4398586769999377E-2</v>
      </c>
      <c r="V32">
        <v>0.4095537794440659</v>
      </c>
      <c r="W32">
        <v>6.5237842857371192E-2</v>
      </c>
      <c r="X32">
        <v>0.21415882481403839</v>
      </c>
      <c r="Y32">
        <v>4.2021776819763206E-3</v>
      </c>
      <c r="Z32">
        <v>0.33553190094884111</v>
      </c>
    </row>
    <row r="33" spans="1:26" x14ac:dyDescent="0.2">
      <c r="A33" s="13">
        <v>10815</v>
      </c>
      <c r="B33" s="13" t="s">
        <v>79</v>
      </c>
      <c r="C33" s="13" t="s">
        <v>72</v>
      </c>
      <c r="D33" s="14">
        <v>44210</v>
      </c>
      <c r="E33" s="15"/>
      <c r="F33" s="16">
        <v>1.10995</v>
      </c>
      <c r="G33" s="16">
        <v>10.349080000000001</v>
      </c>
      <c r="H33" t="s">
        <v>136</v>
      </c>
      <c r="I33">
        <v>9.8332688073184647E-3</v>
      </c>
      <c r="J33">
        <v>0.7249930753700129</v>
      </c>
      <c r="K33">
        <v>7.1344270357680921E-3</v>
      </c>
      <c r="L33">
        <v>5.6904226156344285E-3</v>
      </c>
      <c r="M33">
        <v>2.7320738048912308</v>
      </c>
      <c r="N33">
        <v>1.0074481527070986E-2</v>
      </c>
      <c r="O33">
        <v>2.1044089136988591</v>
      </c>
      <c r="P33">
        <v>0.79381539681100732</v>
      </c>
      <c r="Q33">
        <v>7.5830233366392984E-3</v>
      </c>
      <c r="R33">
        <v>9.5712656831242568E-2</v>
      </c>
      <c r="S33">
        <v>5.499686930497528E-5</v>
      </c>
      <c r="T33">
        <v>9.5712656831242804E-2</v>
      </c>
      <c r="U33">
        <v>1.3222985258436135</v>
      </c>
      <c r="V33">
        <v>0.17026586832006743</v>
      </c>
      <c r="W33">
        <v>0.19089205688001143</v>
      </c>
      <c r="X33">
        <v>0.36605666274696402</v>
      </c>
      <c r="Y33">
        <v>0.25242602679923892</v>
      </c>
      <c r="Z33">
        <v>0.34203833530438166</v>
      </c>
    </row>
    <row r="35" spans="1:26" x14ac:dyDescent="0.2">
      <c r="A35" s="13">
        <v>10815</v>
      </c>
      <c r="B35" s="13" t="s">
        <v>79</v>
      </c>
      <c r="C35" s="13" t="s">
        <v>72</v>
      </c>
      <c r="D35" s="14">
        <v>44211</v>
      </c>
      <c r="E35" s="15"/>
      <c r="F35" s="16">
        <v>1.10995</v>
      </c>
      <c r="G35" s="16">
        <v>10.349080000000001</v>
      </c>
      <c r="H35" t="s">
        <v>163</v>
      </c>
      <c r="I35">
        <v>9.9651313388868894E-3</v>
      </c>
      <c r="J35">
        <v>0.57607802170939282</v>
      </c>
      <c r="K35">
        <v>7.1415547944141799E-3</v>
      </c>
      <c r="L35">
        <v>7.0829504476351852E-3</v>
      </c>
      <c r="M35">
        <v>2.7322302981887687</v>
      </c>
      <c r="N35">
        <v>9.254471438085228E-3</v>
      </c>
      <c r="O35">
        <v>2.0782249533183141</v>
      </c>
      <c r="P35">
        <v>0.59189577163534135</v>
      </c>
      <c r="Q35">
        <v>7.5834972987251998E-3</v>
      </c>
      <c r="R35">
        <v>0.11934113570408336</v>
      </c>
      <c r="S35">
        <v>5.5000306777041062E-5</v>
      </c>
      <c r="T35">
        <v>0.11934113570408413</v>
      </c>
      <c r="U35">
        <v>1.3193451281854718</v>
      </c>
      <c r="V35">
        <v>0.43045682369370253</v>
      </c>
      <c r="W35">
        <v>0.18470533036702222</v>
      </c>
      <c r="X35">
        <v>0.47961239945520678</v>
      </c>
      <c r="Y35">
        <v>0.24347999308277393</v>
      </c>
      <c r="Z35">
        <v>0.36276459287557505</v>
      </c>
    </row>
    <row r="36" spans="1:26" x14ac:dyDescent="0.2">
      <c r="A36" s="17">
        <v>10913</v>
      </c>
      <c r="B36" s="17" t="s">
        <v>159</v>
      </c>
      <c r="C36" s="17" t="s">
        <v>142</v>
      </c>
      <c r="D36" s="72">
        <v>44211</v>
      </c>
      <c r="E36" s="73">
        <v>19</v>
      </c>
      <c r="F36" s="17">
        <v>7.6910000000000006E-2</v>
      </c>
      <c r="G36" s="74">
        <v>0.20640000000000036</v>
      </c>
      <c r="H36" t="s">
        <v>164</v>
      </c>
      <c r="I36">
        <v>1.0055788221139211E-2</v>
      </c>
      <c r="J36">
        <v>0.16519547876659763</v>
      </c>
      <c r="K36">
        <v>7.1385282790529187E-3</v>
      </c>
      <c r="L36">
        <v>5.8133517688323047E-3</v>
      </c>
      <c r="M36">
        <v>2.0449561814104098</v>
      </c>
      <c r="N36">
        <v>4.6299359464735731E-3</v>
      </c>
      <c r="O36">
        <v>1.7640054536799306</v>
      </c>
      <c r="P36">
        <v>0.17313208812722186</v>
      </c>
      <c r="Q36">
        <v>8.6763540120592814E-3</v>
      </c>
      <c r="R36">
        <v>5.799088621016938E-2</v>
      </c>
      <c r="S36">
        <v>6.2926393136540046E-5</v>
      </c>
      <c r="T36">
        <v>5.7990886210168929E-2</v>
      </c>
      <c r="U36">
        <v>5.2542484652543839E-2</v>
      </c>
      <c r="V36">
        <v>0.35359152347288147</v>
      </c>
      <c r="W36">
        <v>0.13292329057782462</v>
      </c>
      <c r="X36">
        <v>0.19186704392141421</v>
      </c>
      <c r="Y36">
        <v>6.9866219152406803E-3</v>
      </c>
      <c r="Z36">
        <v>0.30949052008307976</v>
      </c>
    </row>
    <row r="37" spans="1:26" x14ac:dyDescent="0.2">
      <c r="A37" s="13">
        <v>10815</v>
      </c>
      <c r="B37" s="13" t="s">
        <v>79</v>
      </c>
      <c r="C37" s="13" t="s">
        <v>72</v>
      </c>
      <c r="D37" s="14">
        <v>44211</v>
      </c>
      <c r="E37" s="15"/>
      <c r="F37" s="16">
        <v>1.10995</v>
      </c>
      <c r="G37" s="16">
        <v>10.349080000000001</v>
      </c>
      <c r="H37" t="s">
        <v>165</v>
      </c>
      <c r="I37">
        <v>1.0019021864425475E-2</v>
      </c>
      <c r="J37">
        <v>0.53541488576948026</v>
      </c>
      <c r="K37">
        <v>7.1342590684235997E-3</v>
      </c>
      <c r="L37">
        <v>6.0671863546311903E-3</v>
      </c>
      <c r="M37">
        <v>2.7318546235066457</v>
      </c>
      <c r="N37">
        <v>7.9609929543596157E-3</v>
      </c>
      <c r="O37">
        <v>2.0666096721628802</v>
      </c>
      <c r="P37">
        <v>0.51994042206000146</v>
      </c>
      <c r="Q37">
        <v>7.5758576424314432E-3</v>
      </c>
      <c r="R37">
        <v>0.12681155790331897</v>
      </c>
      <c r="S37">
        <v>5.4944899169801815E-5</v>
      </c>
      <c r="T37">
        <v>0.12681155790331902</v>
      </c>
      <c r="U37">
        <v>1.3180168121287335</v>
      </c>
      <c r="V37">
        <v>0.26865293662650647</v>
      </c>
      <c r="W37">
        <v>0.18823811520548242</v>
      </c>
      <c r="X37">
        <v>0.38082023838158507</v>
      </c>
      <c r="Y37">
        <v>0.24798033365009664</v>
      </c>
      <c r="Z37">
        <v>0.34377091969418355</v>
      </c>
    </row>
    <row r="38" spans="1:26" x14ac:dyDescent="0.2">
      <c r="A38" s="17">
        <v>10914</v>
      </c>
      <c r="B38" s="17" t="s">
        <v>160</v>
      </c>
      <c r="C38" s="17" t="s">
        <v>142</v>
      </c>
      <c r="D38" s="72">
        <v>44211</v>
      </c>
      <c r="E38" s="73">
        <v>62.5</v>
      </c>
      <c r="F38" s="17">
        <v>8.3150000000000002E-2</v>
      </c>
      <c r="G38" s="74">
        <v>0.20571999999999946</v>
      </c>
      <c r="H38" t="s">
        <v>166</v>
      </c>
      <c r="I38">
        <v>1.0042999425556982E-2</v>
      </c>
      <c r="J38">
        <v>0.3359091509572833</v>
      </c>
      <c r="K38">
        <v>7.1379152296661185E-3</v>
      </c>
      <c r="L38">
        <v>5.6194790084115502E-3</v>
      </c>
      <c r="M38">
        <v>2.7303910997318228</v>
      </c>
      <c r="N38">
        <v>5.7089335046538554E-3</v>
      </c>
      <c r="O38">
        <v>2.358562707903884</v>
      </c>
      <c r="P38">
        <v>0.33922155075220273</v>
      </c>
      <c r="Q38">
        <v>8.6735519827392561E-3</v>
      </c>
      <c r="R38">
        <v>5.8992291459220317E-2</v>
      </c>
      <c r="S38">
        <v>6.2906071052133751E-5</v>
      </c>
      <c r="T38">
        <v>5.8992291459219928E-2</v>
      </c>
      <c r="U38">
        <v>8.0120217255138348E-2</v>
      </c>
      <c r="V38">
        <v>0.37797590594202612</v>
      </c>
      <c r="W38">
        <v>0.18732722155032863</v>
      </c>
      <c r="X38">
        <v>0.3059480452494342</v>
      </c>
      <c r="Y38">
        <v>1.4997816203288362E-2</v>
      </c>
      <c r="Z38">
        <v>0.3152868101645383</v>
      </c>
    </row>
    <row r="39" spans="1:26" x14ac:dyDescent="0.2">
      <c r="A39" s="13">
        <v>10815</v>
      </c>
      <c r="B39" s="13" t="s">
        <v>79</v>
      </c>
      <c r="C39" s="13" t="s">
        <v>72</v>
      </c>
      <c r="D39" s="14">
        <v>44211</v>
      </c>
      <c r="E39" s="15"/>
      <c r="F39" s="16">
        <v>1.10995</v>
      </c>
      <c r="G39" s="16">
        <v>10.349080000000001</v>
      </c>
      <c r="H39" t="s">
        <v>167</v>
      </c>
      <c r="I39">
        <v>9.9656905428647038E-3</v>
      </c>
      <c r="J39">
        <v>0.53628839930585293</v>
      </c>
      <c r="K39">
        <v>7.1304685354482101E-3</v>
      </c>
      <c r="L39">
        <v>4.1010220607948494E-3</v>
      </c>
      <c r="M39">
        <v>2.7323002933949065</v>
      </c>
      <c r="N39">
        <v>9.0473288763381742E-3</v>
      </c>
      <c r="O39">
        <v>2.0793383948053887</v>
      </c>
      <c r="P39">
        <v>0.53180452237783915</v>
      </c>
      <c r="Q39">
        <v>7.5764207065994096E-3</v>
      </c>
      <c r="R39">
        <v>0.12776530579861026</v>
      </c>
      <c r="S39">
        <v>5.4948982866380511E-5</v>
      </c>
      <c r="T39">
        <v>0.1277653057986104</v>
      </c>
      <c r="U39">
        <v>1.3184211222658297</v>
      </c>
      <c r="V39">
        <v>0.25173876256425437</v>
      </c>
      <c r="W39">
        <v>0.18801062509989408</v>
      </c>
      <c r="X39">
        <v>0.30813664136843838</v>
      </c>
      <c r="Y39">
        <v>0.24764210449375165</v>
      </c>
      <c r="Z39">
        <v>0.33068850131786259</v>
      </c>
    </row>
    <row r="40" spans="1:26" x14ac:dyDescent="0.2">
      <c r="A40" s="17">
        <v>10915</v>
      </c>
      <c r="B40" s="17" t="s">
        <v>161</v>
      </c>
      <c r="C40" s="17" t="s">
        <v>142</v>
      </c>
      <c r="D40" s="72">
        <v>44211</v>
      </c>
      <c r="E40" s="73">
        <v>84.5</v>
      </c>
      <c r="F40" s="17">
        <v>7.4469999999999995E-2</v>
      </c>
      <c r="G40" s="74">
        <v>0.20433999999999841</v>
      </c>
      <c r="H40" t="s">
        <v>168</v>
      </c>
      <c r="I40">
        <v>1.0028305378205742E-2</v>
      </c>
      <c r="J40">
        <v>0.19320279630792589</v>
      </c>
      <c r="K40">
        <v>7.1347332906887108E-3</v>
      </c>
      <c r="L40">
        <v>3.5929697636216057E-3</v>
      </c>
      <c r="M40">
        <v>2.218210513584252</v>
      </c>
      <c r="N40">
        <v>3.9812139263480859E-3</v>
      </c>
      <c r="O40">
        <v>1.919902515491597</v>
      </c>
      <c r="P40">
        <v>0.20659343813435102</v>
      </c>
      <c r="Q40">
        <v>8.6750186443186744E-3</v>
      </c>
      <c r="R40">
        <v>5.6635769282497056E-2</v>
      </c>
      <c r="S40">
        <v>6.2916708207212565E-5</v>
      </c>
      <c r="T40">
        <v>5.6635769282497771E-2</v>
      </c>
      <c r="U40">
        <v>6.8727311671744867E-2</v>
      </c>
      <c r="V40">
        <v>0.31772535521324435</v>
      </c>
      <c r="W40">
        <v>0.35404271993312547</v>
      </c>
      <c r="X40">
        <v>0.36260873233597529</v>
      </c>
      <c r="Y40">
        <v>2.4348799794882209E-2</v>
      </c>
      <c r="Z40">
        <v>0.43787430208957728</v>
      </c>
    </row>
    <row r="41" spans="1:26" x14ac:dyDescent="0.2">
      <c r="A41" s="13">
        <v>10815</v>
      </c>
      <c r="B41" s="13" t="s">
        <v>79</v>
      </c>
      <c r="C41" s="13" t="s">
        <v>72</v>
      </c>
      <c r="D41" s="14">
        <v>44211</v>
      </c>
      <c r="E41" s="15"/>
      <c r="F41" s="16">
        <v>1.10995</v>
      </c>
      <c r="G41" s="16">
        <v>10.349080000000001</v>
      </c>
      <c r="H41" t="s">
        <v>169</v>
      </c>
      <c r="I41">
        <v>9.9878780705991346E-3</v>
      </c>
      <c r="J41">
        <v>0.53798068947166366</v>
      </c>
      <c r="K41">
        <v>7.1256524542655329E-3</v>
      </c>
      <c r="L41">
        <v>5.6177891031446488E-3</v>
      </c>
      <c r="M41">
        <v>2.7322648709715209</v>
      </c>
      <c r="N41">
        <v>9.0479503729248966E-3</v>
      </c>
      <c r="O41">
        <v>2.0703643181941107</v>
      </c>
      <c r="P41">
        <v>0.48820245608299795</v>
      </c>
      <c r="Q41">
        <v>7.5822699843789082E-3</v>
      </c>
      <c r="R41">
        <v>0.12539372254933423</v>
      </c>
      <c r="S41">
        <v>5.4991405519099145E-5</v>
      </c>
      <c r="T41">
        <v>0.12539372254933501</v>
      </c>
      <c r="U41">
        <v>1.3208816358041437</v>
      </c>
      <c r="V41">
        <v>0.26396709669235441</v>
      </c>
      <c r="W41">
        <v>0.18890233200208664</v>
      </c>
      <c r="X41">
        <v>0.31371155761058056</v>
      </c>
      <c r="Y41">
        <v>0.24961039530732795</v>
      </c>
      <c r="Z41">
        <v>0.31224143568268287</v>
      </c>
    </row>
    <row r="42" spans="1:26" x14ac:dyDescent="0.2">
      <c r="A42" s="17">
        <v>10916</v>
      </c>
      <c r="B42" s="17" t="s">
        <v>162</v>
      </c>
      <c r="C42" s="17" t="s">
        <v>142</v>
      </c>
      <c r="D42" s="72">
        <v>44211</v>
      </c>
      <c r="E42" s="73">
        <v>124.5</v>
      </c>
      <c r="F42" s="17">
        <v>7.5459999999999999E-2</v>
      </c>
      <c r="G42" s="74">
        <v>0.20597000000000065</v>
      </c>
      <c r="H42" t="s">
        <v>170</v>
      </c>
      <c r="I42">
        <v>1.0037500815836131E-2</v>
      </c>
      <c r="J42">
        <v>0.16192686291253364</v>
      </c>
      <c r="K42">
        <v>7.1317945133495533E-3</v>
      </c>
      <c r="L42">
        <v>4.9643773213302591E-3</v>
      </c>
      <c r="M42">
        <v>2.4000561595628578</v>
      </c>
      <c r="N42">
        <v>3.4529530587790731E-3</v>
      </c>
      <c r="O42">
        <v>2.0751439932817144</v>
      </c>
      <c r="P42">
        <v>0.16784496666009407</v>
      </c>
      <c r="Q42">
        <v>8.6803048416911194E-3</v>
      </c>
      <c r="R42">
        <v>4.5194293407011386E-2</v>
      </c>
      <c r="S42">
        <v>6.2955047045576415E-5</v>
      </c>
      <c r="T42">
        <v>4.519429340701174E-2</v>
      </c>
      <c r="U42">
        <v>7.5362334738383663E-2</v>
      </c>
      <c r="V42">
        <v>0.34123258225190695</v>
      </c>
      <c r="W42">
        <v>5.5922838072092092E-2</v>
      </c>
      <c r="X42">
        <v>0.19724228908660776</v>
      </c>
      <c r="Y42">
        <v>4.2199568518638143E-3</v>
      </c>
      <c r="Z42">
        <v>0.27394472248246698</v>
      </c>
    </row>
    <row r="43" spans="1:26" x14ac:dyDescent="0.2">
      <c r="A43" s="13">
        <v>10815</v>
      </c>
      <c r="B43" s="13" t="s">
        <v>79</v>
      </c>
      <c r="C43" s="13" t="s">
        <v>72</v>
      </c>
      <c r="D43" s="14">
        <v>44211</v>
      </c>
      <c r="E43" s="15"/>
      <c r="F43" s="16">
        <v>1.10995</v>
      </c>
      <c r="G43" s="16">
        <v>10.349080000000001</v>
      </c>
      <c r="H43" t="s">
        <v>171</v>
      </c>
      <c r="I43">
        <v>9.9708622157539898E-3</v>
      </c>
      <c r="J43">
        <v>0.64519495270287164</v>
      </c>
      <c r="K43">
        <v>7.1198640135254855E-3</v>
      </c>
      <c r="L43">
        <v>4.3674245152922351E-3</v>
      </c>
      <c r="M43">
        <v>2.7320586745096671</v>
      </c>
      <c r="N43">
        <v>9.4034878188073226E-3</v>
      </c>
      <c r="O43">
        <v>2.0782289946360062</v>
      </c>
      <c r="P43">
        <v>0.65883452194754821</v>
      </c>
      <c r="Q43">
        <v>7.5795730668394273E-3</v>
      </c>
      <c r="R43">
        <v>0.11587821686168691</v>
      </c>
      <c r="S43">
        <v>5.4971845771639498E-5</v>
      </c>
      <c r="T43">
        <v>0.1158782168616888</v>
      </c>
      <c r="U43">
        <v>1.3237139758029959</v>
      </c>
      <c r="V43">
        <v>0.25650507953022894</v>
      </c>
      <c r="W43">
        <v>0.19058087218499833</v>
      </c>
      <c r="X43">
        <v>0.30583285696039408</v>
      </c>
      <c r="Y43">
        <v>0.25196204272143674</v>
      </c>
      <c r="Z43">
        <v>0.26120787464860579</v>
      </c>
    </row>
    <row r="45" spans="1:26" x14ac:dyDescent="0.2">
      <c r="A45" s="13">
        <v>10815</v>
      </c>
      <c r="B45" s="13" t="s">
        <v>79</v>
      </c>
      <c r="C45" s="13" t="s">
        <v>72</v>
      </c>
      <c r="D45" s="14">
        <v>44217</v>
      </c>
      <c r="E45" s="15"/>
      <c r="F45" s="16">
        <v>1.10995</v>
      </c>
      <c r="G45" s="16">
        <v>10.349080000000001</v>
      </c>
      <c r="H45" t="s">
        <v>172</v>
      </c>
      <c r="I45">
        <v>9.9973989542642121E-3</v>
      </c>
      <c r="J45">
        <v>1.0231225608627552</v>
      </c>
      <c r="K45">
        <v>7.1967627141539502E-3</v>
      </c>
      <c r="L45">
        <v>1.3656105495811265E-2</v>
      </c>
      <c r="M45">
        <v>2.7320361719978283</v>
      </c>
      <c r="N45">
        <v>1.4309666916248381E-2</v>
      </c>
      <c r="O45">
        <v>2.0690310735154949</v>
      </c>
      <c r="P45">
        <v>1.1233993030016842</v>
      </c>
      <c r="Q45">
        <v>7.5813300445954522E-3</v>
      </c>
      <c r="R45">
        <v>0.23753313057393374</v>
      </c>
      <c r="S45">
        <v>5.4984588482789138E-5</v>
      </c>
      <c r="T45">
        <v>0.23753313057393427</v>
      </c>
      <c r="U45">
        <v>1.3245362881429896</v>
      </c>
      <c r="V45">
        <v>0.44485725425592559</v>
      </c>
      <c r="W45">
        <v>0.17643423644078321</v>
      </c>
      <c r="X45">
        <v>0.59600266400033741</v>
      </c>
      <c r="Y45">
        <v>0.23383499222979146</v>
      </c>
      <c r="Z45">
        <v>0.47756530706133543</v>
      </c>
    </row>
    <row r="46" spans="1:26" x14ac:dyDescent="0.2">
      <c r="A46" s="17">
        <v>10929</v>
      </c>
      <c r="B46" s="17" t="s">
        <v>185</v>
      </c>
      <c r="C46" s="17" t="s">
        <v>142</v>
      </c>
      <c r="D46" s="72">
        <v>44217</v>
      </c>
      <c r="F46" s="17">
        <v>9.5089999999999994E-2</v>
      </c>
      <c r="G46" s="74">
        <v>9.8950000000000315E-2</v>
      </c>
      <c r="H46" t="s">
        <v>173</v>
      </c>
      <c r="I46">
        <v>9.8305820130183096E-3</v>
      </c>
      <c r="J46">
        <v>0.61225819263943282</v>
      </c>
      <c r="K46">
        <v>7.1986156521683681E-3</v>
      </c>
      <c r="L46">
        <v>3.2065825014266552E-2</v>
      </c>
      <c r="M46">
        <v>4.6038256223326295</v>
      </c>
      <c r="N46">
        <v>1.1473125452372421E-2</v>
      </c>
      <c r="O46">
        <v>4.0721257717374604</v>
      </c>
      <c r="P46">
        <v>0.62084724500623412</v>
      </c>
      <c r="Q46">
        <v>8.6924651525614877E-3</v>
      </c>
      <c r="R46">
        <v>8.4243816325826892E-2</v>
      </c>
      <c r="S46">
        <v>6.3043241291849429E-5</v>
      </c>
      <c r="T46">
        <v>8.4243816325827059E-2</v>
      </c>
      <c r="U46">
        <v>7.8579240951609855E-3</v>
      </c>
      <c r="V46">
        <v>2.4515740924967959</v>
      </c>
      <c r="W46">
        <v>0.35023343417482172</v>
      </c>
      <c r="X46">
        <v>1.3572749233859054</v>
      </c>
      <c r="Y46">
        <v>2.7334363267323505E-3</v>
      </c>
      <c r="Z46">
        <v>2.7223224928588925</v>
      </c>
    </row>
    <row r="47" spans="1:26" x14ac:dyDescent="0.2">
      <c r="A47" s="13">
        <v>10815</v>
      </c>
      <c r="B47" s="13" t="s">
        <v>79</v>
      </c>
      <c r="C47" s="13" t="s">
        <v>72</v>
      </c>
      <c r="D47" s="14">
        <v>44217</v>
      </c>
      <c r="E47" s="15"/>
      <c r="F47" s="16">
        <v>1.10995</v>
      </c>
      <c r="G47" s="16">
        <v>10.349080000000001</v>
      </c>
      <c r="H47" t="s">
        <v>174</v>
      </c>
      <c r="I47">
        <v>1.0026562772795244E-2</v>
      </c>
      <c r="J47">
        <v>0.87883341264107762</v>
      </c>
      <c r="K47">
        <v>7.1839665870836429E-3</v>
      </c>
      <c r="L47">
        <v>7.8327817501047288E-3</v>
      </c>
      <c r="M47">
        <v>2.7319804941197923</v>
      </c>
      <c r="N47">
        <v>1.3265230870549736E-2</v>
      </c>
      <c r="O47">
        <v>2.0680654794813131</v>
      </c>
      <c r="P47">
        <v>0.88474958725922315</v>
      </c>
      <c r="Q47">
        <v>7.5794205404773989E-3</v>
      </c>
      <c r="R47">
        <v>0.15846765975880764</v>
      </c>
      <c r="S47">
        <v>5.4970739554234446E-5</v>
      </c>
      <c r="T47">
        <v>0.15846765975880889</v>
      </c>
      <c r="U47">
        <v>1.32431493783684</v>
      </c>
      <c r="V47">
        <v>0.29866197420202478</v>
      </c>
      <c r="W47">
        <v>0.17694980826159462</v>
      </c>
      <c r="X47">
        <v>0.51706778859707103</v>
      </c>
      <c r="Y47">
        <v>0.23408324686665666</v>
      </c>
      <c r="Z47">
        <v>0.53576499605456529</v>
      </c>
    </row>
    <row r="48" spans="1:26" x14ac:dyDescent="0.2">
      <c r="A48" s="17">
        <v>10930</v>
      </c>
      <c r="B48" s="17" t="s">
        <v>186</v>
      </c>
      <c r="C48" s="17" t="s">
        <v>142</v>
      </c>
      <c r="D48" s="72">
        <v>44217</v>
      </c>
      <c r="F48" s="17">
        <v>9.8229999999999998E-2</v>
      </c>
      <c r="G48" s="74">
        <v>0.10049000000000063</v>
      </c>
      <c r="H48" t="s">
        <v>175</v>
      </c>
      <c r="I48">
        <v>9.8957184924964026E-3</v>
      </c>
      <c r="J48">
        <v>0.86665248195332434</v>
      </c>
      <c r="K48">
        <v>7.1997368384756179E-3</v>
      </c>
      <c r="L48">
        <v>2.431709117311202E-2</v>
      </c>
      <c r="M48">
        <v>4.6035572726056984</v>
      </c>
      <c r="N48">
        <v>1.1817294256689738E-2</v>
      </c>
      <c r="O48">
        <v>4.0362828166898845</v>
      </c>
      <c r="P48">
        <v>0.89995621115859081</v>
      </c>
      <c r="Q48">
        <v>8.6877693598253342E-3</v>
      </c>
      <c r="R48">
        <v>9.0848090877156701E-2</v>
      </c>
      <c r="S48">
        <v>6.3009184440389427E-5</v>
      </c>
      <c r="T48">
        <v>9.0848090877157853E-2</v>
      </c>
      <c r="U48">
        <v>7.7747642746229173E-3</v>
      </c>
      <c r="V48">
        <v>2.158195880602678</v>
      </c>
      <c r="W48">
        <v>0.21887086213612636</v>
      </c>
      <c r="X48">
        <v>0.57648091068816409</v>
      </c>
      <c r="Y48">
        <v>1.6989334957560399E-3</v>
      </c>
      <c r="Z48">
        <v>2.1616920985433232</v>
      </c>
    </row>
    <row r="49" spans="1:26" x14ac:dyDescent="0.2">
      <c r="A49" s="13">
        <v>10815</v>
      </c>
      <c r="B49" s="13" t="s">
        <v>79</v>
      </c>
      <c r="C49" s="13" t="s">
        <v>72</v>
      </c>
      <c r="D49" s="14">
        <v>44217</v>
      </c>
      <c r="E49" s="15"/>
      <c r="F49" s="16">
        <v>1.10995</v>
      </c>
      <c r="G49" s="16">
        <v>10.349080000000001</v>
      </c>
      <c r="H49" t="s">
        <v>176</v>
      </c>
      <c r="I49">
        <v>1.0065654598186105E-2</v>
      </c>
      <c r="J49">
        <v>0.97163234689122657</v>
      </c>
      <c r="K49">
        <v>7.176829466209911E-3</v>
      </c>
      <c r="L49">
        <v>7.1591326741627381E-3</v>
      </c>
      <c r="M49">
        <v>2.7318154189471153</v>
      </c>
      <c r="N49">
        <v>1.0597172660716716E-2</v>
      </c>
      <c r="O49">
        <v>2.060877777041259</v>
      </c>
      <c r="P49">
        <v>0.86741214114191179</v>
      </c>
      <c r="Q49">
        <v>7.5833538206277491E-3</v>
      </c>
      <c r="R49">
        <v>0.17056365415850902</v>
      </c>
      <c r="S49">
        <v>5.4999266183359181E-5</v>
      </c>
      <c r="T49">
        <v>0.17056365415850905</v>
      </c>
      <c r="U49">
        <v>1.3201969906676434</v>
      </c>
      <c r="V49">
        <v>0.41974121573445666</v>
      </c>
      <c r="W49">
        <v>0.17779598473933028</v>
      </c>
      <c r="X49">
        <v>0.54040847173126738</v>
      </c>
      <c r="Y49">
        <v>0.23453750085056616</v>
      </c>
      <c r="Z49">
        <v>0.40005514988063712</v>
      </c>
    </row>
    <row r="50" spans="1:26" x14ac:dyDescent="0.2">
      <c r="A50" s="17">
        <v>10931</v>
      </c>
      <c r="B50" s="17" t="s">
        <v>187</v>
      </c>
      <c r="C50" s="17" t="s">
        <v>142</v>
      </c>
      <c r="D50" s="72">
        <v>44217</v>
      </c>
      <c r="F50" s="17">
        <v>9.9650000000000002E-2</v>
      </c>
      <c r="G50" s="74">
        <v>0.10245999999999889</v>
      </c>
      <c r="H50" t="s">
        <v>177</v>
      </c>
      <c r="I50">
        <v>9.9943830098853468E-3</v>
      </c>
      <c r="J50">
        <v>0.86073648847352879</v>
      </c>
      <c r="K50">
        <v>7.162721170414609E-3</v>
      </c>
      <c r="L50">
        <v>1.7074239550291199E-2</v>
      </c>
      <c r="M50">
        <v>4.8983349545112675</v>
      </c>
      <c r="N50">
        <v>1.3715732098516776E-2</v>
      </c>
      <c r="O50">
        <v>4.2671421629813331</v>
      </c>
      <c r="P50">
        <v>0.83569536558759583</v>
      </c>
      <c r="Q50">
        <v>8.6962154117542281E-3</v>
      </c>
      <c r="R50">
        <v>9.828326340389594E-2</v>
      </c>
      <c r="S50">
        <v>6.3070440537523145E-5</v>
      </c>
      <c r="T50">
        <v>9.8283263403896398E-2</v>
      </c>
      <c r="U50">
        <v>1.1293391271369373E-2</v>
      </c>
      <c r="V50">
        <v>3.735172063261631</v>
      </c>
      <c r="W50">
        <v>0.26413208393400872</v>
      </c>
      <c r="X50">
        <v>2.5642479623777814</v>
      </c>
      <c r="Y50">
        <v>2.9847697527273539E-3</v>
      </c>
      <c r="Z50">
        <v>4.1203694575130196</v>
      </c>
    </row>
    <row r="51" spans="1:26" x14ac:dyDescent="0.2">
      <c r="A51" s="13">
        <v>10815</v>
      </c>
      <c r="B51" s="13" t="s">
        <v>79</v>
      </c>
      <c r="C51" s="13" t="s">
        <v>72</v>
      </c>
      <c r="D51" s="14">
        <v>44217</v>
      </c>
      <c r="E51" s="15"/>
      <c r="F51" s="16">
        <v>1.10995</v>
      </c>
      <c r="G51" s="16">
        <v>10.349080000000001</v>
      </c>
      <c r="H51" t="s">
        <v>178</v>
      </c>
      <c r="I51">
        <v>9.9916216455949673E-3</v>
      </c>
      <c r="J51">
        <v>0.99634799480381075</v>
      </c>
      <c r="K51">
        <v>7.1660680764826876E-3</v>
      </c>
      <c r="L51">
        <v>6.0605037820302826E-3</v>
      </c>
      <c r="M51">
        <v>2.7328875108870085</v>
      </c>
      <c r="N51">
        <v>1.2130459972990662E-2</v>
      </c>
      <c r="O51">
        <v>2.0747537192815639</v>
      </c>
      <c r="P51">
        <v>0.95861649444149799</v>
      </c>
      <c r="Q51">
        <v>7.5754206913939909E-3</v>
      </c>
      <c r="R51">
        <v>0.12738220986149365</v>
      </c>
      <c r="S51">
        <v>5.4941730125209344E-5</v>
      </c>
      <c r="T51">
        <v>0.12738220986149432</v>
      </c>
      <c r="U51">
        <v>1.32319347589628</v>
      </c>
      <c r="V51">
        <v>0.3057641343834448</v>
      </c>
      <c r="W51">
        <v>0.17790329206569847</v>
      </c>
      <c r="X51">
        <v>0.47932785165335318</v>
      </c>
      <c r="Y51">
        <v>0.23541864931783002</v>
      </c>
      <c r="Z51">
        <v>0.47976829569693458</v>
      </c>
    </row>
    <row r="52" spans="1:26" x14ac:dyDescent="0.2">
      <c r="A52" s="17">
        <v>10932</v>
      </c>
      <c r="B52" s="17" t="s">
        <v>188</v>
      </c>
      <c r="C52" s="17" t="s">
        <v>142</v>
      </c>
      <c r="D52" s="72">
        <v>44217</v>
      </c>
      <c r="F52" s="17">
        <v>9.1689999999999994E-2</v>
      </c>
      <c r="G52" s="74">
        <v>0.10274000000000072</v>
      </c>
      <c r="H52" t="s">
        <v>179</v>
      </c>
      <c r="I52">
        <v>1.0139437321591442E-2</v>
      </c>
      <c r="J52">
        <v>0.90680218331900142</v>
      </c>
      <c r="K52">
        <v>7.156650258553208E-3</v>
      </c>
      <c r="L52">
        <v>1.8359251610473467E-2</v>
      </c>
      <c r="M52">
        <v>4.5321334407217888</v>
      </c>
      <c r="N52">
        <v>1.076745899019273E-2</v>
      </c>
      <c r="O52">
        <v>3.8908215145866611</v>
      </c>
      <c r="P52">
        <v>0.90887971300163684</v>
      </c>
      <c r="Q52">
        <v>8.6925796036309219E-3</v>
      </c>
      <c r="R52">
        <v>9.230695306922973E-2</v>
      </c>
      <c r="S52">
        <v>6.30440713632112E-5</v>
      </c>
      <c r="T52">
        <v>9.230695306922948E-2</v>
      </c>
      <c r="U52">
        <v>1.8096830691093108E-2</v>
      </c>
      <c r="V52">
        <v>2.8398791158072592</v>
      </c>
      <c r="W52">
        <v>0.37807909562132053</v>
      </c>
      <c r="X52">
        <v>2.1644876276276879</v>
      </c>
      <c r="Y52">
        <v>6.9195412459515651E-3</v>
      </c>
      <c r="Z52">
        <v>3.6926850724990792</v>
      </c>
    </row>
    <row r="53" spans="1:26" x14ac:dyDescent="0.2">
      <c r="A53" s="13">
        <v>10815</v>
      </c>
      <c r="B53" s="13" t="s">
        <v>79</v>
      </c>
      <c r="C53" s="13" t="s">
        <v>72</v>
      </c>
      <c r="D53" s="14">
        <v>44217</v>
      </c>
      <c r="E53" s="15"/>
      <c r="F53" s="16">
        <v>1.10995</v>
      </c>
      <c r="G53" s="16">
        <v>10.349080000000001</v>
      </c>
      <c r="H53" t="s">
        <v>180</v>
      </c>
      <c r="I53">
        <v>9.8843784071959654E-3</v>
      </c>
      <c r="J53">
        <v>0.71419799979366527</v>
      </c>
      <c r="K53">
        <v>7.1584383766013443E-3</v>
      </c>
      <c r="L53">
        <v>5.554790397392928E-3</v>
      </c>
      <c r="M53">
        <v>2.7320200583565573</v>
      </c>
      <c r="N53">
        <v>1.1219824915624605E-2</v>
      </c>
      <c r="O53">
        <v>2.0955659112401528</v>
      </c>
      <c r="P53">
        <v>0.75212494043795797</v>
      </c>
      <c r="Q53">
        <v>7.5712593764072078E-3</v>
      </c>
      <c r="R53">
        <v>0.16595002671400066</v>
      </c>
      <c r="S53">
        <v>5.4911549643585471E-5</v>
      </c>
      <c r="T53">
        <v>0.16595002671400083</v>
      </c>
      <c r="U53">
        <v>1.3209645115618438</v>
      </c>
      <c r="V53">
        <v>0.36167908289108125</v>
      </c>
      <c r="W53">
        <v>0.17921083915438665</v>
      </c>
      <c r="X53">
        <v>0.62505639406998903</v>
      </c>
      <c r="Y53">
        <v>0.23806346530988515</v>
      </c>
      <c r="Z53">
        <v>0.4846916594181549</v>
      </c>
    </row>
    <row r="54" spans="1:26" x14ac:dyDescent="0.2">
      <c r="A54" s="17">
        <v>10933</v>
      </c>
      <c r="B54" s="17" t="s">
        <v>189</v>
      </c>
      <c r="C54" s="17" t="s">
        <v>142</v>
      </c>
      <c r="D54" s="72">
        <v>44217</v>
      </c>
      <c r="F54" s="17">
        <v>9.1120000000000007E-2</v>
      </c>
      <c r="G54" s="74">
        <v>0.10377000000000081</v>
      </c>
      <c r="H54" t="s">
        <v>181</v>
      </c>
      <c r="I54">
        <v>9.8818939118824715E-3</v>
      </c>
      <c r="J54">
        <v>0.47991504521613276</v>
      </c>
      <c r="K54">
        <v>7.1396781349709901E-3</v>
      </c>
      <c r="L54">
        <v>6.203810111753816E-3</v>
      </c>
      <c r="M54">
        <v>4.5376360347567797</v>
      </c>
      <c r="N54">
        <v>8.5670589048237825E-3</v>
      </c>
      <c r="O54">
        <v>3.9940671564258485</v>
      </c>
      <c r="P54">
        <v>0.46842050187653067</v>
      </c>
      <c r="Q54">
        <v>8.6911584821606144E-3</v>
      </c>
      <c r="R54">
        <v>7.0738746705633654E-2</v>
      </c>
      <c r="S54">
        <v>6.3033764493734571E-5</v>
      </c>
      <c r="T54">
        <v>7.073874670563389E-2</v>
      </c>
      <c r="U54">
        <v>1.3995942205315382E-2</v>
      </c>
      <c r="V54">
        <v>3.7829831241853178</v>
      </c>
      <c r="W54">
        <v>0.36198094720390583</v>
      </c>
      <c r="X54">
        <v>1.5317751422175794</v>
      </c>
      <c r="Y54">
        <v>5.0803021146259789E-3</v>
      </c>
      <c r="Z54">
        <v>4.2962724950841222</v>
      </c>
    </row>
    <row r="55" spans="1:26" x14ac:dyDescent="0.2">
      <c r="A55" s="13">
        <v>10815</v>
      </c>
      <c r="B55" s="13" t="s">
        <v>79</v>
      </c>
      <c r="C55" s="13" t="s">
        <v>72</v>
      </c>
      <c r="D55" s="14">
        <v>44217</v>
      </c>
      <c r="E55" s="15"/>
      <c r="F55" s="16">
        <v>1.10995</v>
      </c>
      <c r="G55" s="16">
        <v>10.349080000000001</v>
      </c>
      <c r="H55" t="s">
        <v>182</v>
      </c>
      <c r="I55">
        <v>1.0024188887532107E-2</v>
      </c>
      <c r="J55">
        <v>1.0495604012410753</v>
      </c>
      <c r="K55">
        <v>7.1567329281879959E-3</v>
      </c>
      <c r="L55">
        <v>7.1444622219402933E-3</v>
      </c>
      <c r="M55">
        <v>2.7325378355104148</v>
      </c>
      <c r="N55">
        <v>1.2304453834630148E-2</v>
      </c>
      <c r="O55">
        <v>2.0609471820448548</v>
      </c>
      <c r="P55">
        <v>1.0988598941226633</v>
      </c>
      <c r="Q55">
        <v>7.582397699845961E-3</v>
      </c>
      <c r="R55">
        <v>0.19483837794884679</v>
      </c>
      <c r="S55">
        <v>5.4992331792240856E-5</v>
      </c>
      <c r="T55">
        <v>0.19483837794884631</v>
      </c>
      <c r="U55">
        <v>1.3208661770026793</v>
      </c>
      <c r="V55">
        <v>0.26119849879748513</v>
      </c>
      <c r="W55">
        <v>0.17934389622055016</v>
      </c>
      <c r="X55">
        <v>0.73249773163345855</v>
      </c>
      <c r="Y55">
        <v>0.23755713494347983</v>
      </c>
      <c r="Z55">
        <v>0.59012121360588821</v>
      </c>
    </row>
    <row r="56" spans="1:26" x14ac:dyDescent="0.2">
      <c r="A56" s="17">
        <v>10934</v>
      </c>
      <c r="B56" s="17" t="s">
        <v>190</v>
      </c>
      <c r="C56" s="17" t="s">
        <v>142</v>
      </c>
      <c r="D56" s="72">
        <v>44217</v>
      </c>
      <c r="F56" s="17">
        <v>9.6820000000000003E-2</v>
      </c>
      <c r="G56" s="74">
        <v>0.10721999999999987</v>
      </c>
      <c r="H56" t="s">
        <v>183</v>
      </c>
      <c r="I56">
        <v>9.9731048823008591E-3</v>
      </c>
      <c r="J56">
        <v>0.60094862713460606</v>
      </c>
      <c r="K56">
        <v>7.1375221947554508E-3</v>
      </c>
      <c r="L56">
        <v>4.9762897575977294E-3</v>
      </c>
      <c r="M56">
        <v>4.7361177664266316</v>
      </c>
      <c r="N56">
        <v>8.8210154537541312E-3</v>
      </c>
      <c r="O56">
        <v>4.1317915797858467</v>
      </c>
      <c r="P56">
        <v>0.59905334327617965</v>
      </c>
      <c r="Q56">
        <v>8.6940667788625477E-3</v>
      </c>
      <c r="R56">
        <v>5.0648397056543885E-2</v>
      </c>
      <c r="S56">
        <v>6.3054857296237699E-5</v>
      </c>
      <c r="T56">
        <v>5.0648397056543906E-2</v>
      </c>
      <c r="U56">
        <v>1.1954491812299791E-2</v>
      </c>
      <c r="V56">
        <v>2.58024235851923</v>
      </c>
      <c r="W56">
        <v>0.45677919167311748</v>
      </c>
      <c r="X56">
        <v>1.9170507566532422</v>
      </c>
      <c r="Y56">
        <v>5.5171792393068873E-3</v>
      </c>
      <c r="Z56">
        <v>2.9026482606365254</v>
      </c>
    </row>
    <row r="57" spans="1:26" x14ac:dyDescent="0.2">
      <c r="A57" s="13">
        <v>10815</v>
      </c>
      <c r="B57" s="13" t="s">
        <v>79</v>
      </c>
      <c r="C57" s="13" t="s">
        <v>72</v>
      </c>
      <c r="D57" s="14">
        <v>44217</v>
      </c>
      <c r="E57" s="15"/>
      <c r="F57" s="16">
        <v>1.10995</v>
      </c>
      <c r="G57" s="16">
        <v>10.349080000000001</v>
      </c>
      <c r="H57" t="s">
        <v>184</v>
      </c>
      <c r="I57">
        <v>9.9470703692211646E-3</v>
      </c>
      <c r="J57">
        <v>1.0197855309671173</v>
      </c>
      <c r="K57">
        <v>7.1544116034076575E-3</v>
      </c>
      <c r="L57">
        <v>7.3970992420236033E-3</v>
      </c>
      <c r="M57">
        <v>2.7321687682977935</v>
      </c>
      <c r="N57">
        <v>1.4412477953160391E-2</v>
      </c>
      <c r="O57">
        <v>2.0860116391228782</v>
      </c>
      <c r="P57">
        <v>0.99249070581826015</v>
      </c>
      <c r="Q57">
        <v>7.5896805086050831E-3</v>
      </c>
      <c r="R57">
        <v>0.23443158166665079</v>
      </c>
      <c r="S57">
        <v>5.5045151316026724E-5</v>
      </c>
      <c r="T57">
        <v>0.23443158166665004</v>
      </c>
      <c r="U57">
        <v>1.3229134956426656</v>
      </c>
      <c r="V57">
        <v>0.27901818386757327</v>
      </c>
      <c r="W57">
        <v>0.18073837769407347</v>
      </c>
      <c r="X57">
        <v>0.57264428546029955</v>
      </c>
      <c r="Y57">
        <v>0.2390313275167667</v>
      </c>
      <c r="Z57">
        <v>0.45176035633752554</v>
      </c>
    </row>
    <row r="59" spans="1:26" x14ac:dyDescent="0.2">
      <c r="A59" s="13">
        <v>10815</v>
      </c>
      <c r="B59" s="13" t="s">
        <v>79</v>
      </c>
      <c r="C59" s="13" t="s">
        <v>72</v>
      </c>
      <c r="D59" s="14">
        <v>44218</v>
      </c>
      <c r="E59" s="15"/>
      <c r="F59" s="16">
        <v>1.10995</v>
      </c>
      <c r="G59" s="16">
        <v>10.349080000000001</v>
      </c>
      <c r="H59" t="s">
        <v>172</v>
      </c>
      <c r="I59">
        <v>1.0073606389182655E-2</v>
      </c>
      <c r="J59">
        <v>1.0226312389550216</v>
      </c>
      <c r="K59">
        <v>7.1680797363174288E-3</v>
      </c>
      <c r="L59">
        <v>9.0736174452148311E-3</v>
      </c>
      <c r="M59">
        <v>2.7324387331469797</v>
      </c>
      <c r="N59">
        <v>1.3275228263423635E-2</v>
      </c>
      <c r="O59">
        <v>2.0554608373811565</v>
      </c>
      <c r="P59">
        <v>0.9656151219726482</v>
      </c>
      <c r="Q59">
        <v>7.5647443460244972E-3</v>
      </c>
      <c r="R59">
        <v>0.17258675052471661</v>
      </c>
      <c r="S59">
        <v>5.4864298532970448E-5</v>
      </c>
      <c r="T59">
        <v>0.17258675052471614</v>
      </c>
      <c r="U59">
        <v>1.3234837219458893</v>
      </c>
      <c r="V59">
        <v>0.31622855371178848</v>
      </c>
      <c r="W59">
        <v>0.17772189888179682</v>
      </c>
      <c r="X59">
        <v>0.6607723000856216</v>
      </c>
      <c r="Y59">
        <v>0.23472389716265249</v>
      </c>
      <c r="Z59">
        <v>0.52006532882964362</v>
      </c>
    </row>
    <row r="60" spans="1:26" x14ac:dyDescent="0.2">
      <c r="A60" s="17">
        <v>10935</v>
      </c>
      <c r="B60" s="17" t="s">
        <v>191</v>
      </c>
      <c r="C60" s="17" t="s">
        <v>142</v>
      </c>
      <c r="D60" s="72">
        <v>44218</v>
      </c>
      <c r="F60" s="17">
        <v>9.7850000000000006E-2</v>
      </c>
      <c r="G60" s="74">
        <v>0.10157999999999845</v>
      </c>
      <c r="H60" t="s">
        <v>201</v>
      </c>
      <c r="I60">
        <v>1.002143716903337E-2</v>
      </c>
      <c r="J60">
        <v>0.50205312908528321</v>
      </c>
      <c r="K60">
        <v>7.1484480985278881E-3</v>
      </c>
      <c r="L60">
        <v>6.6920926528468219E-3</v>
      </c>
      <c r="M60">
        <v>5.0009903602410359</v>
      </c>
      <c r="N60">
        <v>7.4042831000939655E-3</v>
      </c>
      <c r="O60">
        <v>4.3332425309644949</v>
      </c>
      <c r="P60">
        <v>0.51950517804725171</v>
      </c>
      <c r="Q60">
        <v>8.683069613223432E-3</v>
      </c>
      <c r="R60">
        <v>6.0964326472349235E-2</v>
      </c>
      <c r="S60">
        <v>6.2975098913000579E-5</v>
      </c>
      <c r="T60">
        <v>6.0964326472348389E-2</v>
      </c>
      <c r="U60">
        <v>9.4795189662853115E-3</v>
      </c>
      <c r="V60">
        <v>1.8946978290508332</v>
      </c>
      <c r="W60">
        <v>0.42668829925389878</v>
      </c>
      <c r="X60">
        <v>1.0096541381578152</v>
      </c>
      <c r="Y60">
        <v>4.0134888655242486E-3</v>
      </c>
      <c r="Z60">
        <v>2.0776180044121246</v>
      </c>
    </row>
    <row r="61" spans="1:26" x14ac:dyDescent="0.2">
      <c r="A61" s="13">
        <v>10815</v>
      </c>
      <c r="B61" s="13" t="s">
        <v>79</v>
      </c>
      <c r="C61" s="13" t="s">
        <v>72</v>
      </c>
      <c r="D61" s="14">
        <v>44218</v>
      </c>
      <c r="E61" s="15"/>
      <c r="F61" s="16">
        <v>1.10995</v>
      </c>
      <c r="G61" s="16">
        <v>10.349080000000001</v>
      </c>
      <c r="H61" t="s">
        <v>174</v>
      </c>
      <c r="I61">
        <v>9.971945256989705E-3</v>
      </c>
      <c r="J61">
        <v>0.79710624651955841</v>
      </c>
      <c r="K61">
        <v>7.1593270284844085E-3</v>
      </c>
      <c r="L61">
        <v>6.4465106897878465E-3</v>
      </c>
      <c r="M61">
        <v>2.7312849365327394</v>
      </c>
      <c r="N61">
        <v>1.3711369475826862E-2</v>
      </c>
      <c r="O61">
        <v>2.0800181702262854</v>
      </c>
      <c r="P61">
        <v>0.88962774143862744</v>
      </c>
      <c r="Q61">
        <v>7.5957140381709802E-3</v>
      </c>
      <c r="R61">
        <v>0.21018703575702632</v>
      </c>
      <c r="S61">
        <v>5.5088910278943312E-5</v>
      </c>
      <c r="T61">
        <v>0.21018703575702602</v>
      </c>
      <c r="U61">
        <v>1.3245308340229087</v>
      </c>
      <c r="V61">
        <v>0.24389606584334839</v>
      </c>
      <c r="W61">
        <v>0.18062763603951418</v>
      </c>
      <c r="X61">
        <v>0.51747828364360626</v>
      </c>
      <c r="Y61">
        <v>0.23858223209055859</v>
      </c>
      <c r="Z61">
        <v>0.49069716853239315</v>
      </c>
    </row>
    <row r="62" spans="1:26" x14ac:dyDescent="0.2">
      <c r="A62" s="17">
        <v>10936</v>
      </c>
      <c r="B62" s="17" t="s">
        <v>192</v>
      </c>
      <c r="C62" s="17" t="s">
        <v>142</v>
      </c>
      <c r="D62" s="72">
        <v>44218</v>
      </c>
      <c r="F62" s="17">
        <v>9.3509999999999996E-2</v>
      </c>
      <c r="G62" s="74">
        <v>0.10193999999999903</v>
      </c>
      <c r="H62" t="s">
        <v>202</v>
      </c>
      <c r="I62">
        <v>9.7610458746645729E-3</v>
      </c>
      <c r="J62">
        <v>0.65654699900038505</v>
      </c>
      <c r="K62">
        <v>7.1425767954834459E-3</v>
      </c>
      <c r="L62">
        <v>8.6706787192406473E-3</v>
      </c>
      <c r="M62">
        <v>4.803025596609487</v>
      </c>
      <c r="N62">
        <v>9.9617468863115906E-3</v>
      </c>
      <c r="O62">
        <v>4.2741662577684716</v>
      </c>
      <c r="P62">
        <v>0.65320147807190065</v>
      </c>
      <c r="Q62">
        <v>8.6799559707779351E-3</v>
      </c>
      <c r="R62">
        <v>6.3134456760114727E-2</v>
      </c>
      <c r="S62">
        <v>6.2952516813614178E-5</v>
      </c>
      <c r="T62">
        <v>6.3134456760115157E-2</v>
      </c>
      <c r="U62">
        <v>1.2276613441454049E-2</v>
      </c>
      <c r="V62">
        <v>2.6897059141988584</v>
      </c>
      <c r="W62">
        <v>0.36992721027948311</v>
      </c>
      <c r="X62">
        <v>1.3071608161329851</v>
      </c>
      <c r="Y62">
        <v>4.5541997780794317E-3</v>
      </c>
      <c r="Z62">
        <v>2.920195138643837</v>
      </c>
    </row>
    <row r="63" spans="1:26" x14ac:dyDescent="0.2">
      <c r="A63" s="13">
        <v>10815</v>
      </c>
      <c r="B63" s="13" t="s">
        <v>79</v>
      </c>
      <c r="C63" s="13" t="s">
        <v>72</v>
      </c>
      <c r="D63" s="14">
        <v>44218</v>
      </c>
      <c r="E63" s="15"/>
      <c r="F63" s="16">
        <v>1.10995</v>
      </c>
      <c r="G63" s="16">
        <v>10.349080000000001</v>
      </c>
      <c r="H63" t="s">
        <v>176</v>
      </c>
      <c r="I63">
        <v>9.7312830216662455E-3</v>
      </c>
      <c r="J63">
        <v>0.91839229662641231</v>
      </c>
      <c r="K63">
        <v>7.1555699800963657E-3</v>
      </c>
      <c r="L63">
        <v>4.6250096173933225E-3</v>
      </c>
      <c r="M63">
        <v>2.7321779328364082</v>
      </c>
      <c r="N63">
        <v>1.5357136731233024E-2</v>
      </c>
      <c r="O63">
        <v>2.132480942700286</v>
      </c>
      <c r="P63">
        <v>0.95094218284636245</v>
      </c>
      <c r="Q63">
        <v>7.5822341209472455E-3</v>
      </c>
      <c r="R63">
        <v>0.18986159547139525</v>
      </c>
      <c r="S63">
        <v>5.4991145414866762E-5</v>
      </c>
      <c r="T63">
        <v>0.18986159547139386</v>
      </c>
      <c r="U63">
        <v>1.3213285865003268</v>
      </c>
      <c r="V63">
        <v>0.34368105973394808</v>
      </c>
      <c r="W63">
        <v>0.17932731050526404</v>
      </c>
      <c r="X63">
        <v>0.62081004139088991</v>
      </c>
      <c r="Y63">
        <v>0.23654031324739783</v>
      </c>
      <c r="Z63">
        <v>0.59159223518135351</v>
      </c>
    </row>
    <row r="64" spans="1:26" x14ac:dyDescent="0.2">
      <c r="A64" s="17">
        <v>10937</v>
      </c>
      <c r="B64" s="17" t="s">
        <v>193</v>
      </c>
      <c r="C64" s="17" t="s">
        <v>142</v>
      </c>
      <c r="D64" s="72">
        <v>44218</v>
      </c>
      <c r="F64" s="17">
        <v>9.7640000000000005E-2</v>
      </c>
      <c r="G64" s="74">
        <v>0.10335000000000072</v>
      </c>
      <c r="H64" t="s">
        <v>203</v>
      </c>
      <c r="I64">
        <v>1.0016546431103935E-2</v>
      </c>
      <c r="J64">
        <v>0.57263529404429681</v>
      </c>
      <c r="K64">
        <v>7.136414890243162E-3</v>
      </c>
      <c r="L64">
        <v>4.2545741291075455E-3</v>
      </c>
      <c r="M64">
        <v>5.232711122392141</v>
      </c>
      <c r="N64">
        <v>7.560607261356881E-3</v>
      </c>
      <c r="O64">
        <v>4.5386290768268056</v>
      </c>
      <c r="P64">
        <v>0.57165619188478323</v>
      </c>
      <c r="Q64">
        <v>8.6862209737428656E-3</v>
      </c>
      <c r="R64">
        <v>4.9038978419927805E-2</v>
      </c>
      <c r="S64">
        <v>6.2997954567655233E-5</v>
      </c>
      <c r="T64">
        <v>4.9038978419926896E-2</v>
      </c>
      <c r="U64">
        <v>1.3792773382623309E-2</v>
      </c>
      <c r="V64">
        <v>2.1737832091502236</v>
      </c>
      <c r="W64">
        <v>0.37204874528780585</v>
      </c>
      <c r="X64">
        <v>1.6108151438535272</v>
      </c>
      <c r="Y64">
        <v>5.1095380031417562E-3</v>
      </c>
      <c r="Z64">
        <v>2.7715455723941664</v>
      </c>
    </row>
    <row r="65" spans="1:26" x14ac:dyDescent="0.2">
      <c r="A65" s="13">
        <v>10815</v>
      </c>
      <c r="B65" s="13" t="s">
        <v>79</v>
      </c>
      <c r="C65" s="13" t="s">
        <v>72</v>
      </c>
      <c r="D65" s="14">
        <v>44218</v>
      </c>
      <c r="E65" s="15"/>
      <c r="F65" s="16">
        <v>1.10995</v>
      </c>
      <c r="G65" s="16">
        <v>10.349080000000001</v>
      </c>
      <c r="H65" t="s">
        <v>178</v>
      </c>
      <c r="I65">
        <v>1.0046879977770699E-2</v>
      </c>
      <c r="J65">
        <v>1.0072969204505284</v>
      </c>
      <c r="K65">
        <v>7.1515762981294115E-3</v>
      </c>
      <c r="L65">
        <v>6.0941882183174461E-3</v>
      </c>
      <c r="M65">
        <v>2.7328189276249035</v>
      </c>
      <c r="N65">
        <v>1.8569352812166463E-2</v>
      </c>
      <c r="O65">
        <v>2.0687929725555296</v>
      </c>
      <c r="P65">
        <v>1.0472767695526497</v>
      </c>
      <c r="Q65">
        <v>7.5803709538276422E-3</v>
      </c>
      <c r="R65">
        <v>0.19134010360283921</v>
      </c>
      <c r="S65">
        <v>5.497763255145845E-5</v>
      </c>
      <c r="T65">
        <v>0.19134010360283984</v>
      </c>
      <c r="U65">
        <v>1.3215651229016099</v>
      </c>
      <c r="V65">
        <v>0.26462183135477207</v>
      </c>
      <c r="W65">
        <v>0.18145385404803838</v>
      </c>
      <c r="X65">
        <v>0.57400095401204532</v>
      </c>
      <c r="Y65">
        <v>0.23982679987659714</v>
      </c>
      <c r="Z65">
        <v>0.52646321380641037</v>
      </c>
    </row>
    <row r="66" spans="1:26" x14ac:dyDescent="0.2">
      <c r="A66" s="17">
        <v>10938</v>
      </c>
      <c r="B66" s="17" t="s">
        <v>194</v>
      </c>
      <c r="C66" s="17" t="s">
        <v>142</v>
      </c>
      <c r="D66" s="72">
        <v>44218</v>
      </c>
      <c r="F66" s="17">
        <v>9.0759999999999993E-2</v>
      </c>
      <c r="G66" s="74">
        <v>0.10203000000000095</v>
      </c>
      <c r="H66" t="s">
        <v>204</v>
      </c>
      <c r="I66">
        <v>9.9889516070505672E-3</v>
      </c>
      <c r="J66">
        <v>0.3981406320530666</v>
      </c>
      <c r="K66">
        <v>7.134664002028405E-3</v>
      </c>
      <c r="L66">
        <v>3.4841100127988218E-3</v>
      </c>
      <c r="M66">
        <v>4.8551045510491164</v>
      </c>
      <c r="N66">
        <v>7.5389718866729809E-3</v>
      </c>
      <c r="O66">
        <v>4.2199985497879311</v>
      </c>
      <c r="P66">
        <v>0.41318911023762112</v>
      </c>
      <c r="Q66">
        <v>8.6866211885867507E-3</v>
      </c>
      <c r="R66">
        <v>4.8640729086241834E-2</v>
      </c>
      <c r="S66">
        <v>6.3000857178195353E-5</v>
      </c>
      <c r="T66">
        <v>4.8640729086242056E-2</v>
      </c>
      <c r="U66">
        <v>7.8631164255635391E-3</v>
      </c>
      <c r="V66">
        <v>2.5007561603814139</v>
      </c>
      <c r="W66">
        <v>0.43638102619603497</v>
      </c>
      <c r="X66">
        <v>0.63934593934808193</v>
      </c>
      <c r="Y66">
        <v>3.4441508904634547E-3</v>
      </c>
      <c r="Z66">
        <v>2.7410503395099099</v>
      </c>
    </row>
    <row r="67" spans="1:26" x14ac:dyDescent="0.2">
      <c r="A67" s="13">
        <v>10815</v>
      </c>
      <c r="B67" s="13" t="s">
        <v>79</v>
      </c>
      <c r="C67" s="13" t="s">
        <v>72</v>
      </c>
      <c r="D67" s="14">
        <v>44218</v>
      </c>
      <c r="E67" s="15"/>
      <c r="F67" s="16">
        <v>1.10995</v>
      </c>
      <c r="G67" s="16">
        <v>10.349080000000001</v>
      </c>
      <c r="H67" t="s">
        <v>180</v>
      </c>
      <c r="I67">
        <v>9.9523811157617558E-3</v>
      </c>
      <c r="J67">
        <v>0.87677056291270061</v>
      </c>
      <c r="K67">
        <v>7.1511696499337038E-3</v>
      </c>
      <c r="L67">
        <v>5.6664661725913243E-3</v>
      </c>
      <c r="M67">
        <v>2.7322780007045457</v>
      </c>
      <c r="N67">
        <v>1.3670018891051419E-2</v>
      </c>
      <c r="O67">
        <v>2.0867736044525875</v>
      </c>
      <c r="P67">
        <v>0.88008998074624933</v>
      </c>
      <c r="Q67">
        <v>7.5859343452478701E-3</v>
      </c>
      <c r="R67">
        <v>0.18258812459199192</v>
      </c>
      <c r="S67">
        <v>5.5017981775936277E-5</v>
      </c>
      <c r="T67">
        <v>0.18258812459199197</v>
      </c>
      <c r="U67">
        <v>1.3236721323109562</v>
      </c>
      <c r="V67">
        <v>0.31105441967217945</v>
      </c>
      <c r="W67">
        <v>0.1815198596706967</v>
      </c>
      <c r="X67">
        <v>0.62907080763962508</v>
      </c>
      <c r="Y67">
        <v>0.24022274018988396</v>
      </c>
      <c r="Z67">
        <v>0.59840243507536162</v>
      </c>
    </row>
    <row r="68" spans="1:26" x14ac:dyDescent="0.2">
      <c r="A68" s="17">
        <v>10939</v>
      </c>
      <c r="B68" s="17" t="s">
        <v>195</v>
      </c>
      <c r="C68" s="17" t="s">
        <v>142</v>
      </c>
      <c r="D68" s="72">
        <v>44218</v>
      </c>
      <c r="F68" s="17">
        <v>9.4939999999999997E-2</v>
      </c>
      <c r="G68" s="74">
        <v>0.10117999999999938</v>
      </c>
      <c r="H68" t="s">
        <v>205</v>
      </c>
      <c r="I68">
        <v>9.9623240815336026E-3</v>
      </c>
      <c r="J68">
        <v>0.34503114884169367</v>
      </c>
      <c r="K68">
        <v>7.1367636962325186E-3</v>
      </c>
      <c r="L68">
        <v>3.1159739596552001E-3</v>
      </c>
      <c r="M68">
        <v>5.098553734290344</v>
      </c>
      <c r="N68">
        <v>5.7887735768817209E-3</v>
      </c>
      <c r="O68">
        <v>4.4461917906392889</v>
      </c>
      <c r="P68">
        <v>0.34956882169584252</v>
      </c>
      <c r="Q68">
        <v>8.6835359439006894E-3</v>
      </c>
      <c r="R68">
        <v>4.2168063427462162E-2</v>
      </c>
      <c r="S68">
        <v>6.2978481037276261E-5</v>
      </c>
      <c r="T68">
        <v>4.216806342746194E-2</v>
      </c>
      <c r="U68">
        <v>6.1256025103825556E-3</v>
      </c>
      <c r="V68">
        <v>2.2177656253506042</v>
      </c>
      <c r="W68">
        <v>0.29430073224607983</v>
      </c>
      <c r="X68">
        <v>0.59002930573255497</v>
      </c>
      <c r="Y68">
        <v>1.8097912513280222E-3</v>
      </c>
      <c r="Z68">
        <v>2.1986843976452208</v>
      </c>
    </row>
    <row r="69" spans="1:26" x14ac:dyDescent="0.2">
      <c r="A69" s="13">
        <v>10815</v>
      </c>
      <c r="B69" s="13" t="s">
        <v>79</v>
      </c>
      <c r="C69" s="13" t="s">
        <v>72</v>
      </c>
      <c r="D69" s="14">
        <v>44218</v>
      </c>
      <c r="E69" s="15"/>
      <c r="F69" s="16">
        <v>1.10995</v>
      </c>
      <c r="G69" s="16">
        <v>10.349080000000001</v>
      </c>
      <c r="H69" t="s">
        <v>182</v>
      </c>
      <c r="I69">
        <v>9.8347371265830805E-3</v>
      </c>
      <c r="J69">
        <v>0.68694383782609769</v>
      </c>
      <c r="K69">
        <v>7.1501917565576691E-3</v>
      </c>
      <c r="L69">
        <v>7.3630857773172489E-3</v>
      </c>
      <c r="M69">
        <v>2.7314990989508323</v>
      </c>
      <c r="N69">
        <v>1.2602914856708973E-2</v>
      </c>
      <c r="O69">
        <v>2.1014067150982934</v>
      </c>
      <c r="P69">
        <v>0.73525229554364258</v>
      </c>
      <c r="Q69">
        <v>7.5676820721157926E-3</v>
      </c>
      <c r="R69">
        <v>0.11590600354527753</v>
      </c>
      <c r="S69">
        <v>5.4885604775971971E-5</v>
      </c>
      <c r="T69">
        <v>0.11590600354527847</v>
      </c>
      <c r="U69">
        <v>1.3201658928189526</v>
      </c>
      <c r="V69">
        <v>0.32208620577781832</v>
      </c>
      <c r="W69">
        <v>0.18127077456583307</v>
      </c>
      <c r="X69">
        <v>0.43972812725715249</v>
      </c>
      <c r="Y69">
        <v>0.2394314689577183</v>
      </c>
      <c r="Z69">
        <v>0.52681847932558779</v>
      </c>
    </row>
    <row r="71" spans="1:26" x14ac:dyDescent="0.2">
      <c r="A71" s="13">
        <v>10815</v>
      </c>
      <c r="B71" s="13" t="s">
        <v>79</v>
      </c>
      <c r="C71" s="13" t="s">
        <v>72</v>
      </c>
      <c r="D71" s="14">
        <v>44221</v>
      </c>
      <c r="E71" s="15"/>
      <c r="F71" s="16">
        <v>1.10995</v>
      </c>
      <c r="G71" s="16">
        <v>10.349080000000001</v>
      </c>
      <c r="H71" t="s">
        <v>172</v>
      </c>
      <c r="I71">
        <v>1.0006063661152743E-2</v>
      </c>
      <c r="J71">
        <v>0.76678799014238308</v>
      </c>
      <c r="K71">
        <v>7.1675305326714314E-3</v>
      </c>
      <c r="L71">
        <v>7.8619488090280465E-3</v>
      </c>
      <c r="M71">
        <v>2.7321837143847518</v>
      </c>
      <c r="N71">
        <v>1.0441372252584322E-2</v>
      </c>
      <c r="O71">
        <v>2.0756606354015661</v>
      </c>
      <c r="P71">
        <v>0.83350017428519774</v>
      </c>
      <c r="Q71">
        <v>7.5784684378332043E-3</v>
      </c>
      <c r="R71">
        <v>0.14815282970527716</v>
      </c>
      <c r="S71">
        <v>5.4963834305184917E-5</v>
      </c>
      <c r="T71">
        <v>0.14815282970527774</v>
      </c>
      <c r="U71">
        <v>1.3175108506287818</v>
      </c>
      <c r="V71">
        <v>0.26620693656327427</v>
      </c>
      <c r="W71">
        <v>0.17816701595356074</v>
      </c>
      <c r="X71">
        <v>0.47889568301801611</v>
      </c>
      <c r="Y71">
        <v>0.23435436761828377</v>
      </c>
      <c r="Z71">
        <v>0.38284562303065944</v>
      </c>
    </row>
    <row r="72" spans="1:26" x14ac:dyDescent="0.2">
      <c r="A72" s="17">
        <v>10944</v>
      </c>
      <c r="B72" s="17" t="s">
        <v>200</v>
      </c>
      <c r="C72" s="17" t="s">
        <v>142</v>
      </c>
      <c r="D72" s="72">
        <v>44221</v>
      </c>
      <c r="F72" s="17">
        <v>9.146E-2</v>
      </c>
      <c r="G72" s="74">
        <v>0.10410999999999999</v>
      </c>
      <c r="H72" t="s">
        <v>206</v>
      </c>
      <c r="I72">
        <v>9.9723979922003107E-3</v>
      </c>
      <c r="J72">
        <v>0.34312658658548956</v>
      </c>
      <c r="K72">
        <v>7.1570730812226995E-3</v>
      </c>
      <c r="L72">
        <v>7.9868826614845848E-3</v>
      </c>
      <c r="M72">
        <v>4.6963179101454644</v>
      </c>
      <c r="N72">
        <v>5.4406256103214593E-3</v>
      </c>
      <c r="O72">
        <v>4.0877162526476907</v>
      </c>
      <c r="P72">
        <v>0.35809373169395486</v>
      </c>
      <c r="Q72">
        <v>8.6781218481000316E-3</v>
      </c>
      <c r="R72">
        <v>4.4361556730979072E-2</v>
      </c>
      <c r="S72">
        <v>6.2939214598820961E-5</v>
      </c>
      <c r="T72">
        <v>4.4361556730979176E-2</v>
      </c>
      <c r="U72">
        <v>1.9325421214033455E-3</v>
      </c>
      <c r="V72">
        <v>3.4030270235491837</v>
      </c>
      <c r="W72">
        <v>0.34208714520931255</v>
      </c>
      <c r="X72">
        <v>0.48445174046833384</v>
      </c>
      <c r="Y72">
        <v>6.5708393888105703E-4</v>
      </c>
      <c r="Z72">
        <v>3.3470923102252566</v>
      </c>
    </row>
    <row r="73" spans="1:26" x14ac:dyDescent="0.2">
      <c r="A73" s="13">
        <v>10815</v>
      </c>
      <c r="B73" s="13" t="s">
        <v>79</v>
      </c>
      <c r="C73" s="13" t="s">
        <v>72</v>
      </c>
      <c r="D73" s="14">
        <v>44221</v>
      </c>
      <c r="E73" s="15"/>
      <c r="F73" s="16">
        <v>1.10995</v>
      </c>
      <c r="G73" s="16">
        <v>10.349080000000001</v>
      </c>
      <c r="H73" t="s">
        <v>174</v>
      </c>
      <c r="I73">
        <v>9.9926357020901548E-3</v>
      </c>
      <c r="J73">
        <v>0.6547687456665332</v>
      </c>
      <c r="K73">
        <v>7.1661064372126647E-3</v>
      </c>
      <c r="L73">
        <v>6.6369744279603177E-3</v>
      </c>
      <c r="M73">
        <v>2.7321332660540341</v>
      </c>
      <c r="N73">
        <v>1.2511814764869383E-2</v>
      </c>
      <c r="O73">
        <v>2.075492874620477</v>
      </c>
      <c r="P73">
        <v>0.63988476908016767</v>
      </c>
      <c r="Q73">
        <v>7.5879520100087224E-3</v>
      </c>
      <c r="R73">
        <v>0.20349880731128905</v>
      </c>
      <c r="S73">
        <v>5.5032615153710235E-5</v>
      </c>
      <c r="T73">
        <v>0.20349880731128889</v>
      </c>
      <c r="U73">
        <v>1.3238105962376607</v>
      </c>
      <c r="V73">
        <v>0.32641204354170356</v>
      </c>
      <c r="W73">
        <v>0.17762529709731978</v>
      </c>
      <c r="X73">
        <v>0.4439619908373641</v>
      </c>
      <c r="Y73">
        <v>0.23533369563860163</v>
      </c>
      <c r="Z73">
        <v>0.36191713090754996</v>
      </c>
    </row>
    <row r="74" spans="1:26" x14ac:dyDescent="0.2">
      <c r="A74" s="17">
        <v>10943</v>
      </c>
      <c r="B74" s="17" t="s">
        <v>199</v>
      </c>
      <c r="C74" s="17" t="s">
        <v>142</v>
      </c>
      <c r="D74" s="72">
        <v>44221</v>
      </c>
      <c r="F74" s="17">
        <v>9.3160000000000007E-2</v>
      </c>
      <c r="G74" s="74">
        <v>0.10113999999999999</v>
      </c>
      <c r="H74" t="s">
        <v>207</v>
      </c>
      <c r="I74">
        <v>1.0098868589321753E-2</v>
      </c>
      <c r="J74">
        <v>0.81828833377499588</v>
      </c>
      <c r="K74">
        <v>7.1507569381026401E-3</v>
      </c>
      <c r="L74">
        <v>1.7447925072665085E-2</v>
      </c>
      <c r="M74">
        <v>4.909977190802624</v>
      </c>
      <c r="N74">
        <v>1.103678034183923E-2</v>
      </c>
      <c r="O74">
        <v>4.2162415507748161</v>
      </c>
      <c r="P74">
        <v>0.84323709905426825</v>
      </c>
      <c r="Q74">
        <v>8.6741301500981808E-3</v>
      </c>
      <c r="R74">
        <v>7.169707516592512E-2</v>
      </c>
      <c r="S74">
        <v>6.2910264286581747E-5</v>
      </c>
      <c r="T74">
        <v>7.1697075165925106E-2</v>
      </c>
      <c r="U74">
        <v>1.2521594966582568E-2</v>
      </c>
      <c r="V74">
        <v>3.3212685169489262</v>
      </c>
      <c r="W74">
        <v>0.42862190410254664</v>
      </c>
      <c r="X74">
        <v>4.0660140765388979</v>
      </c>
      <c r="Y74">
        <v>5.3665267898499944E-3</v>
      </c>
      <c r="Z74">
        <v>5.3723554660410473</v>
      </c>
    </row>
    <row r="75" spans="1:26" x14ac:dyDescent="0.2">
      <c r="A75" s="13">
        <v>10815</v>
      </c>
      <c r="B75" s="13" t="s">
        <v>79</v>
      </c>
      <c r="C75" s="13" t="s">
        <v>72</v>
      </c>
      <c r="D75" s="14">
        <v>44221</v>
      </c>
      <c r="E75" s="15"/>
      <c r="F75" s="16">
        <v>1.10995</v>
      </c>
      <c r="G75" s="16">
        <v>10.349080000000001</v>
      </c>
      <c r="H75" t="s">
        <v>176</v>
      </c>
      <c r="I75">
        <v>9.8362085999028452E-3</v>
      </c>
      <c r="J75">
        <v>0.80277280074869894</v>
      </c>
      <c r="K75">
        <v>7.1557192752056409E-3</v>
      </c>
      <c r="L75">
        <v>4.9107229682287283E-3</v>
      </c>
      <c r="M75">
        <v>2.7320560804578626</v>
      </c>
      <c r="N75">
        <v>1.2123959436214853E-2</v>
      </c>
      <c r="O75">
        <v>2.1053797785841284</v>
      </c>
      <c r="P75">
        <v>0.75273802445138738</v>
      </c>
      <c r="Q75">
        <v>7.5695951879013856E-3</v>
      </c>
      <c r="R75">
        <v>0.14461916467201655</v>
      </c>
      <c r="S75">
        <v>5.4899479898618278E-5</v>
      </c>
      <c r="T75">
        <v>0.14461916467201671</v>
      </c>
      <c r="U75">
        <v>1.3219724159494495</v>
      </c>
      <c r="V75">
        <v>0.35380636851903657</v>
      </c>
      <c r="W75">
        <v>0.17983557623342486</v>
      </c>
      <c r="X75">
        <v>0.45965274460932809</v>
      </c>
      <c r="Y75">
        <v>0.23793864778270693</v>
      </c>
      <c r="Z75">
        <v>0.3824500786497172</v>
      </c>
    </row>
    <row r="76" spans="1:26" x14ac:dyDescent="0.2">
      <c r="A76" s="17">
        <v>10942</v>
      </c>
      <c r="B76" s="17" t="s">
        <v>198</v>
      </c>
      <c r="C76" s="17" t="s">
        <v>142</v>
      </c>
      <c r="D76" s="72">
        <v>44221</v>
      </c>
      <c r="F76" s="17">
        <v>9.0249999999999997E-2</v>
      </c>
      <c r="G76" s="74">
        <v>0.10079</v>
      </c>
      <c r="H76" t="s">
        <v>208</v>
      </c>
      <c r="I76">
        <v>1.0098570368964853E-2</v>
      </c>
      <c r="J76">
        <v>0.46596644690179972</v>
      </c>
      <c r="K76">
        <v>7.1373376673724009E-3</v>
      </c>
      <c r="L76">
        <v>5.3839148902531334E-3</v>
      </c>
      <c r="M76">
        <v>4.7117499196182786</v>
      </c>
      <c r="N76">
        <v>6.8661077332753603E-3</v>
      </c>
      <c r="O76">
        <v>4.0515441677238409</v>
      </c>
      <c r="P76">
        <v>0.46387261683182235</v>
      </c>
      <c r="Q76">
        <v>8.6800286055340337E-3</v>
      </c>
      <c r="R76">
        <v>4.1863192404410568E-2</v>
      </c>
      <c r="S76">
        <v>6.2953043606690069E-5</v>
      </c>
      <c r="T76">
        <v>4.1863192404410603E-2</v>
      </c>
      <c r="U76">
        <v>6.5572345240597412E-3</v>
      </c>
      <c r="V76">
        <v>2.3146931491770473</v>
      </c>
      <c r="W76">
        <v>0.33357254331114611</v>
      </c>
      <c r="X76">
        <v>0.97359730842383785</v>
      </c>
      <c r="Y76">
        <v>2.1825338545142007E-3</v>
      </c>
      <c r="Z76">
        <v>2.2561660668683743</v>
      </c>
    </row>
    <row r="77" spans="1:26" x14ac:dyDescent="0.2">
      <c r="A77" s="13">
        <v>10815</v>
      </c>
      <c r="B77" s="13" t="s">
        <v>79</v>
      </c>
      <c r="C77" s="13" t="s">
        <v>72</v>
      </c>
      <c r="D77" s="14">
        <v>44221</v>
      </c>
      <c r="E77" s="15"/>
      <c r="F77" s="16">
        <v>1.10995</v>
      </c>
      <c r="G77" s="16">
        <v>10.349080000000001</v>
      </c>
      <c r="H77" t="s">
        <v>178</v>
      </c>
      <c r="I77">
        <v>9.9930233431023315E-3</v>
      </c>
      <c r="J77">
        <v>1.0356522484711135</v>
      </c>
      <c r="K77">
        <v>7.1512414198939148E-3</v>
      </c>
      <c r="L77">
        <v>7.3500305263026929E-3</v>
      </c>
      <c r="M77">
        <v>2.7320210221683192</v>
      </c>
      <c r="N77">
        <v>1.2690050560785218E-2</v>
      </c>
      <c r="O77">
        <v>2.0750144901394041</v>
      </c>
      <c r="P77">
        <v>1.0707922288324916</v>
      </c>
      <c r="Q77">
        <v>7.5824107216539965E-3</v>
      </c>
      <c r="R77">
        <v>0.1849810608093852</v>
      </c>
      <c r="S77">
        <v>5.4992426234608106E-5</v>
      </c>
      <c r="T77">
        <v>0.18498106080938431</v>
      </c>
      <c r="U77">
        <v>1.322517383071899</v>
      </c>
      <c r="V77">
        <v>0.28012369305381918</v>
      </c>
      <c r="W77">
        <v>0.18014813914376715</v>
      </c>
      <c r="X77">
        <v>0.47646860678638114</v>
      </c>
      <c r="Y77">
        <v>0.2382301961737425</v>
      </c>
      <c r="Z77">
        <v>0.41011809812953681</v>
      </c>
    </row>
    <row r="78" spans="1:26" x14ac:dyDescent="0.2">
      <c r="A78" s="17">
        <v>10941</v>
      </c>
      <c r="B78" s="17" t="s">
        <v>197</v>
      </c>
      <c r="C78" s="17" t="s">
        <v>142</v>
      </c>
      <c r="D78" s="72">
        <v>44221</v>
      </c>
      <c r="F78" s="17">
        <v>9.7019999999999995E-2</v>
      </c>
      <c r="G78" s="74">
        <v>0.11101</v>
      </c>
      <c r="H78" t="s">
        <v>209</v>
      </c>
      <c r="I78">
        <v>1.005129675528495E-2</v>
      </c>
      <c r="J78">
        <v>0.30487994344761493</v>
      </c>
      <c r="K78">
        <v>7.1336285130344981E-3</v>
      </c>
      <c r="L78">
        <v>3.8587909396061745E-3</v>
      </c>
      <c r="M78">
        <v>4.6696315362209164</v>
      </c>
      <c r="N78">
        <v>5.5478087959980821E-3</v>
      </c>
      <c r="O78">
        <v>4.0289551082121369</v>
      </c>
      <c r="P78">
        <v>0.28039130635281867</v>
      </c>
      <c r="Q78">
        <v>8.680915843034159E-3</v>
      </c>
      <c r="R78">
        <v>3.9509253698120084E-2</v>
      </c>
      <c r="S78">
        <v>6.2959478412791863E-5</v>
      </c>
      <c r="T78">
        <v>3.9509253698119876E-2</v>
      </c>
      <c r="U78">
        <v>6.0653397093577196E-3</v>
      </c>
      <c r="V78">
        <v>2.5596152779869699</v>
      </c>
      <c r="W78">
        <v>0.53055033906325899</v>
      </c>
      <c r="X78">
        <v>0.74348639066990752</v>
      </c>
      <c r="Y78">
        <v>3.1965928539115893E-3</v>
      </c>
      <c r="Z78">
        <v>2.4696463302017664</v>
      </c>
    </row>
    <row r="79" spans="1:26" x14ac:dyDescent="0.2">
      <c r="A79" s="13">
        <v>10815</v>
      </c>
      <c r="B79" s="13" t="s">
        <v>79</v>
      </c>
      <c r="C79" s="13" t="s">
        <v>72</v>
      </c>
      <c r="D79" s="14">
        <v>44221</v>
      </c>
      <c r="E79" s="15"/>
      <c r="F79" s="16">
        <v>1.10995</v>
      </c>
      <c r="G79" s="16">
        <v>10.349080000000001</v>
      </c>
      <c r="H79" t="s">
        <v>180</v>
      </c>
      <c r="I79">
        <v>9.8113643860027605E-3</v>
      </c>
      <c r="J79">
        <v>1.0535715953445697</v>
      </c>
      <c r="K79">
        <v>7.1485534464905843E-3</v>
      </c>
      <c r="L79">
        <v>6.9423998778693607E-3</v>
      </c>
      <c r="M79">
        <v>2.7317887502811251</v>
      </c>
      <c r="N79">
        <v>1.2954110235299124E-2</v>
      </c>
      <c r="O79">
        <v>2.1051043733201888</v>
      </c>
      <c r="P79">
        <v>1.0817166260879387</v>
      </c>
      <c r="Q79">
        <v>7.5810042136834578E-3</v>
      </c>
      <c r="R79">
        <v>0.188306883495762</v>
      </c>
      <c r="S79">
        <v>5.4982225351451316E-5</v>
      </c>
      <c r="T79">
        <v>0.18830688349576261</v>
      </c>
      <c r="U79">
        <v>1.3216522555964498</v>
      </c>
      <c r="V79">
        <v>0.27331101887164083</v>
      </c>
      <c r="W79">
        <v>0.18036864430199961</v>
      </c>
      <c r="X79">
        <v>0.38981340811926612</v>
      </c>
      <c r="Y79">
        <v>0.23883053648821759</v>
      </c>
      <c r="Z79">
        <v>0.39785605767344867</v>
      </c>
    </row>
    <row r="80" spans="1:26" x14ac:dyDescent="0.2">
      <c r="A80" s="17">
        <v>10940</v>
      </c>
      <c r="B80" s="17" t="s">
        <v>196</v>
      </c>
      <c r="C80" s="17" t="s">
        <v>142</v>
      </c>
      <c r="D80" s="72">
        <v>44221</v>
      </c>
      <c r="F80" s="17">
        <v>9.2560000000000003E-2</v>
      </c>
      <c r="G80" s="74">
        <v>0.10509</v>
      </c>
      <c r="H80" t="s">
        <v>210</v>
      </c>
      <c r="I80">
        <v>9.9962950560112344E-3</v>
      </c>
      <c r="J80">
        <v>0.36503294197334279</v>
      </c>
      <c r="K80">
        <v>7.1369269489976175E-3</v>
      </c>
      <c r="L80">
        <v>3.4554157649224399E-3</v>
      </c>
      <c r="M80">
        <v>4.7696775802605851</v>
      </c>
      <c r="N80">
        <v>6.4394218295454626E-3</v>
      </c>
      <c r="O80">
        <v>4.1432604645022444</v>
      </c>
      <c r="P80">
        <v>0.39451538769297023</v>
      </c>
      <c r="Q80">
        <v>8.6796518160213634E-3</v>
      </c>
      <c r="R80">
        <v>3.9515176998750887E-2</v>
      </c>
      <c r="S80">
        <v>6.2950310891430776E-5</v>
      </c>
      <c r="T80">
        <v>3.9515176998750595E-2</v>
      </c>
      <c r="U80">
        <v>6.2475453211328531E-3</v>
      </c>
      <c r="V80">
        <v>1.8878320545495715</v>
      </c>
      <c r="W80">
        <v>0.38361563399515741</v>
      </c>
      <c r="X80">
        <v>0.6567178813751432</v>
      </c>
      <c r="Y80">
        <v>2.392902755104725E-3</v>
      </c>
      <c r="Z80">
        <v>1.932122236986912</v>
      </c>
    </row>
    <row r="81" spans="1:26" x14ac:dyDescent="0.2">
      <c r="A81" s="13">
        <v>10815</v>
      </c>
      <c r="B81" s="13" t="s">
        <v>79</v>
      </c>
      <c r="C81" s="13" t="s">
        <v>72</v>
      </c>
      <c r="D81" s="14">
        <v>44221</v>
      </c>
      <c r="E81" s="15"/>
      <c r="F81" s="16">
        <v>1.10995</v>
      </c>
      <c r="G81" s="16">
        <v>10.349080000000001</v>
      </c>
      <c r="H81" t="s">
        <v>182</v>
      </c>
      <c r="I81">
        <v>9.9503444084868813E-3</v>
      </c>
      <c r="J81">
        <v>0.89383272469675601</v>
      </c>
      <c r="K81">
        <v>7.1476080565217948E-3</v>
      </c>
      <c r="L81">
        <v>6.0284296781588443E-3</v>
      </c>
      <c r="M81">
        <v>2.7321803048831277</v>
      </c>
      <c r="N81">
        <v>1.503321591657248E-2</v>
      </c>
      <c r="O81">
        <v>2.0805880854225749</v>
      </c>
      <c r="P81">
        <v>0.8823282672516275</v>
      </c>
      <c r="Q81">
        <v>7.5745903878427483E-3</v>
      </c>
      <c r="R81">
        <v>0.1419878454664317</v>
      </c>
      <c r="S81">
        <v>5.4935708240023969E-5</v>
      </c>
      <c r="T81">
        <v>0.14198784546643156</v>
      </c>
      <c r="U81">
        <v>1.3212513560679913</v>
      </c>
      <c r="V81">
        <v>0.35808398721381252</v>
      </c>
      <c r="W81">
        <v>0.18149971606434961</v>
      </c>
      <c r="X81">
        <v>0.4972913981639282</v>
      </c>
      <c r="Y81">
        <v>0.24017474059709182</v>
      </c>
      <c r="Z81">
        <v>0.43615486001914122</v>
      </c>
    </row>
    <row r="83" spans="1:26" x14ac:dyDescent="0.2">
      <c r="A83" s="13">
        <v>10815</v>
      </c>
      <c r="B83" s="13" t="s">
        <v>79</v>
      </c>
      <c r="C83" s="13" t="s">
        <v>72</v>
      </c>
      <c r="D83" s="14">
        <v>44222</v>
      </c>
      <c r="E83" s="15"/>
      <c r="F83" s="16">
        <v>1.10995</v>
      </c>
      <c r="G83" s="16">
        <v>10.349080000000001</v>
      </c>
      <c r="H83" t="s">
        <v>163</v>
      </c>
      <c r="I83">
        <v>1.0005696907407506E-2</v>
      </c>
      <c r="J83">
        <v>0.50612832820392772</v>
      </c>
      <c r="K83">
        <v>7.1686630929116979E-3</v>
      </c>
      <c r="L83">
        <v>6.9950192377141365E-3</v>
      </c>
      <c r="M83">
        <v>2.7320945721599981</v>
      </c>
      <c r="N83">
        <v>6.9980720530157499E-3</v>
      </c>
      <c r="O83">
        <v>2.0699063195576399</v>
      </c>
      <c r="P83">
        <v>0.50831361030522482</v>
      </c>
      <c r="Q83">
        <v>7.5760469235748194E-3</v>
      </c>
      <c r="R83">
        <v>0.104247371198113</v>
      </c>
      <c r="S83">
        <v>5.4946271956069513E-5</v>
      </c>
      <c r="T83">
        <v>0.10424737119811311</v>
      </c>
      <c r="U83">
        <v>1.3211105886129699</v>
      </c>
      <c r="V83">
        <v>0.34964377767975668</v>
      </c>
      <c r="W83">
        <v>0.17665660072480699</v>
      </c>
      <c r="X83">
        <v>0.4849761839152677</v>
      </c>
      <c r="Y83">
        <v>0.23345206783913705</v>
      </c>
      <c r="Z83">
        <v>0.32801789748570576</v>
      </c>
    </row>
    <row r="84" spans="1:26" x14ac:dyDescent="0.2">
      <c r="A84" s="17">
        <v>10945</v>
      </c>
      <c r="B84" s="17" t="s">
        <v>219</v>
      </c>
      <c r="C84" s="17" t="s">
        <v>142</v>
      </c>
      <c r="D84" s="72">
        <v>44222</v>
      </c>
      <c r="E84" s="73">
        <v>10.5</v>
      </c>
      <c r="F84" s="17">
        <v>7.5660000000000005E-2</v>
      </c>
      <c r="G84" s="74">
        <v>0.21067000000000036</v>
      </c>
      <c r="H84" t="s">
        <v>211</v>
      </c>
      <c r="I84">
        <v>1.0096465915707568E-2</v>
      </c>
      <c r="J84">
        <v>0.18158727161807503</v>
      </c>
      <c r="K84">
        <v>7.1535805488168328E-3</v>
      </c>
      <c r="L84">
        <v>1.4926754700407437E-2</v>
      </c>
      <c r="M84">
        <v>2.2870764103091585</v>
      </c>
      <c r="N84">
        <v>4.1626630175495656E-3</v>
      </c>
      <c r="O84">
        <v>1.9465581409751644</v>
      </c>
      <c r="P84">
        <v>0.19411304956667416</v>
      </c>
      <c r="Q84">
        <v>8.5912546811876683E-3</v>
      </c>
      <c r="R84">
        <v>4.9652423206209363E-2</v>
      </c>
      <c r="S84">
        <v>6.2309199100584343E-5</v>
      </c>
      <c r="T84">
        <v>4.9652423206209745E-2</v>
      </c>
      <c r="U84">
        <v>0.21651902134168793</v>
      </c>
      <c r="V84">
        <v>0.24806201547064943</v>
      </c>
      <c r="W84">
        <v>7.610076746472437E-2</v>
      </c>
      <c r="X84">
        <v>0.18419203225713929</v>
      </c>
      <c r="Y84">
        <v>1.6476396073114827E-2</v>
      </c>
      <c r="Z84">
        <v>0.17100783007705628</v>
      </c>
    </row>
    <row r="85" spans="1:26" x14ac:dyDescent="0.2">
      <c r="A85" s="13">
        <v>10815</v>
      </c>
      <c r="B85" s="13" t="s">
        <v>79</v>
      </c>
      <c r="C85" s="13" t="s">
        <v>72</v>
      </c>
      <c r="D85" s="14">
        <v>44222</v>
      </c>
      <c r="E85" s="15"/>
      <c r="F85" s="16">
        <v>1.10995</v>
      </c>
      <c r="G85" s="16">
        <v>10.349080000000001</v>
      </c>
      <c r="H85" t="s">
        <v>165</v>
      </c>
      <c r="I85">
        <v>1.001043405255287E-2</v>
      </c>
      <c r="J85">
        <v>0.58062250515484848</v>
      </c>
      <c r="K85">
        <v>7.1576037016930407E-3</v>
      </c>
      <c r="L85">
        <v>5.2160287253026402E-3</v>
      </c>
      <c r="M85">
        <v>2.7317497747210457</v>
      </c>
      <c r="N85">
        <v>6.5978777294850447E-3</v>
      </c>
      <c r="O85">
        <v>2.0692136267456989</v>
      </c>
      <c r="P85">
        <v>0.63103299217361153</v>
      </c>
      <c r="Q85">
        <v>7.5707528524619093E-3</v>
      </c>
      <c r="R85">
        <v>9.3593360464804723E-2</v>
      </c>
      <c r="S85">
        <v>5.4907876012372337E-5</v>
      </c>
      <c r="T85">
        <v>9.3593360464805098E-2</v>
      </c>
      <c r="U85">
        <v>1.3215439883450917</v>
      </c>
      <c r="V85">
        <v>0.26665575645110506</v>
      </c>
      <c r="W85">
        <v>0.17829504111261049</v>
      </c>
      <c r="X85">
        <v>0.34265029535377439</v>
      </c>
      <c r="Y85">
        <v>0.23609904904643264</v>
      </c>
      <c r="Z85">
        <v>0.26715056729384307</v>
      </c>
    </row>
    <row r="86" spans="1:26" x14ac:dyDescent="0.2">
      <c r="A86" s="17">
        <v>10946</v>
      </c>
      <c r="B86" s="17" t="s">
        <v>220</v>
      </c>
      <c r="C86" s="17" t="s">
        <v>142</v>
      </c>
      <c r="D86" s="72">
        <v>44222</v>
      </c>
      <c r="E86" s="73">
        <v>68</v>
      </c>
      <c r="F86" s="17">
        <v>6.862E-2</v>
      </c>
      <c r="G86" s="74">
        <v>0.20406000000000013</v>
      </c>
      <c r="H86" t="s">
        <v>212</v>
      </c>
      <c r="I86">
        <v>1.0094829036072965E-2</v>
      </c>
      <c r="J86">
        <v>0.15147934187127596</v>
      </c>
      <c r="K86">
        <v>7.1508524282695839E-3</v>
      </c>
      <c r="L86">
        <v>4.7849937960485539E-3</v>
      </c>
      <c r="M86">
        <v>1.8351523070088989</v>
      </c>
      <c r="N86">
        <v>3.9826440922372391E-3</v>
      </c>
      <c r="O86">
        <v>1.5641947540089709</v>
      </c>
      <c r="P86">
        <v>0.15120879532026374</v>
      </c>
      <c r="Q86">
        <v>8.6031601311805355E-3</v>
      </c>
      <c r="R86">
        <v>5.5296625458312411E-2</v>
      </c>
      <c r="S86">
        <v>6.2395544934984047E-5</v>
      </c>
      <c r="T86">
        <v>5.5296625458312099E-2</v>
      </c>
      <c r="U86">
        <v>0.169289836733792</v>
      </c>
      <c r="V86">
        <v>0.20466848720417746</v>
      </c>
      <c r="W86">
        <v>5.7378136709389752E-2</v>
      </c>
      <c r="X86">
        <v>0.16967745274280002</v>
      </c>
      <c r="Y86">
        <v>9.7165758544404644E-3</v>
      </c>
      <c r="Z86">
        <v>0.13382998706706789</v>
      </c>
    </row>
    <row r="87" spans="1:26" x14ac:dyDescent="0.2">
      <c r="A87" s="13">
        <v>10815</v>
      </c>
      <c r="B87" s="13" t="s">
        <v>79</v>
      </c>
      <c r="C87" s="13" t="s">
        <v>72</v>
      </c>
      <c r="D87" s="14">
        <v>44222</v>
      </c>
      <c r="E87" s="15"/>
      <c r="F87" s="16">
        <v>1.10995</v>
      </c>
      <c r="G87" s="16">
        <v>10.349080000000001</v>
      </c>
      <c r="H87" t="s">
        <v>167</v>
      </c>
      <c r="I87">
        <v>1.0018123404752121E-2</v>
      </c>
      <c r="J87">
        <v>0.46037405382436436</v>
      </c>
      <c r="K87">
        <v>7.1561339957367538E-3</v>
      </c>
      <c r="L87">
        <v>6.2634208264726017E-3</v>
      </c>
      <c r="M87">
        <v>2.7317402101886974</v>
      </c>
      <c r="N87">
        <v>8.7682845570185314E-3</v>
      </c>
      <c r="O87">
        <v>2.0701550943676197</v>
      </c>
      <c r="P87">
        <v>0.45689949740210434</v>
      </c>
      <c r="Q87">
        <v>7.5862973941414639E-3</v>
      </c>
      <c r="R87">
        <v>9.9977966035644905E-2</v>
      </c>
      <c r="S87">
        <v>5.5020614835557201E-5</v>
      </c>
      <c r="T87">
        <v>9.9977966035644392E-2</v>
      </c>
      <c r="U87">
        <v>1.324322529989608</v>
      </c>
      <c r="V87">
        <v>0.23870513764749204</v>
      </c>
      <c r="W87">
        <v>0.17795033159817061</v>
      </c>
      <c r="X87">
        <v>0.36862926878528274</v>
      </c>
      <c r="Y87">
        <v>0.23578904031308331</v>
      </c>
      <c r="Z87">
        <v>0.2386433410061041</v>
      </c>
    </row>
    <row r="88" spans="1:26" x14ac:dyDescent="0.2">
      <c r="A88" s="17">
        <v>10947</v>
      </c>
      <c r="B88" s="17" t="s">
        <v>221</v>
      </c>
      <c r="C88" s="17" t="s">
        <v>142</v>
      </c>
      <c r="D88" s="72">
        <v>44222</v>
      </c>
      <c r="E88" s="73">
        <v>114.5</v>
      </c>
      <c r="F88" s="17">
        <v>7.8409999999999994E-2</v>
      </c>
      <c r="G88" s="74">
        <v>0.20729000000000042</v>
      </c>
      <c r="H88" t="s">
        <v>213</v>
      </c>
      <c r="I88">
        <v>1.0074508144292263E-2</v>
      </c>
      <c r="J88">
        <v>0.21860493429002992</v>
      </c>
      <c r="K88">
        <v>7.1486880292047621E-3</v>
      </c>
      <c r="L88">
        <v>1.1045822588284807E-2</v>
      </c>
      <c r="M88">
        <v>2.4432626073399626</v>
      </c>
      <c r="N88">
        <v>3.6885287616727821E-3</v>
      </c>
      <c r="O88">
        <v>2.0789025361509381</v>
      </c>
      <c r="P88">
        <v>0.22279444668305445</v>
      </c>
      <c r="Q88">
        <v>8.5701330772861937E-3</v>
      </c>
      <c r="R88">
        <v>4.4381995704163013E-2</v>
      </c>
      <c r="S88">
        <v>6.215601190364294E-5</v>
      </c>
      <c r="T88">
        <v>4.4381995704162444E-2</v>
      </c>
      <c r="U88">
        <v>0.28800618241243581</v>
      </c>
      <c r="V88">
        <v>0.19980574395204923</v>
      </c>
      <c r="W88">
        <v>7.6159596742830238E-2</v>
      </c>
      <c r="X88">
        <v>0.13628747780309081</v>
      </c>
      <c r="Y88">
        <v>2.1928177138350942E-2</v>
      </c>
      <c r="Z88">
        <v>0.13262778557972987</v>
      </c>
    </row>
    <row r="89" spans="1:26" x14ac:dyDescent="0.2">
      <c r="A89" s="13">
        <v>10815</v>
      </c>
      <c r="B89" s="13" t="s">
        <v>79</v>
      </c>
      <c r="C89" s="13" t="s">
        <v>72</v>
      </c>
      <c r="D89" s="14">
        <v>44222</v>
      </c>
      <c r="E89" s="15"/>
      <c r="F89" s="16">
        <v>1.10995</v>
      </c>
      <c r="G89" s="16">
        <v>10.349080000000001</v>
      </c>
      <c r="H89" t="s">
        <v>169</v>
      </c>
      <c r="I89">
        <v>9.925463044218024E-3</v>
      </c>
      <c r="J89">
        <v>0.36958823073509445</v>
      </c>
      <c r="K89">
        <v>7.1569614489018218E-3</v>
      </c>
      <c r="L89">
        <v>5.1010783874642657E-3</v>
      </c>
      <c r="M89">
        <v>2.7317971794303992</v>
      </c>
      <c r="N89">
        <v>7.2001155736794616E-3</v>
      </c>
      <c r="O89">
        <v>2.0885710685317918</v>
      </c>
      <c r="P89">
        <v>0.38422639572541145</v>
      </c>
      <c r="Q89">
        <v>7.5822843124781986E-3</v>
      </c>
      <c r="R89">
        <v>9.7448040442839057E-2</v>
      </c>
      <c r="S89">
        <v>5.4991509435514683E-5</v>
      </c>
      <c r="T89">
        <v>9.7448040442839612E-2</v>
      </c>
      <c r="U89">
        <v>1.3216472764931657</v>
      </c>
      <c r="V89">
        <v>0.3128654044563971</v>
      </c>
      <c r="W89">
        <v>0.17776762636684504</v>
      </c>
      <c r="X89">
        <v>0.42946984428599505</v>
      </c>
      <c r="Y89">
        <v>0.2347812440051178</v>
      </c>
      <c r="Z89">
        <v>0.27680607977108196</v>
      </c>
    </row>
    <row r="90" spans="1:26" x14ac:dyDescent="0.2">
      <c r="A90" s="17">
        <v>10948</v>
      </c>
      <c r="B90" s="17" t="s">
        <v>222</v>
      </c>
      <c r="C90" s="17" t="s">
        <v>142</v>
      </c>
      <c r="D90" s="72">
        <v>44222</v>
      </c>
      <c r="E90" s="73">
        <v>183</v>
      </c>
      <c r="F90" s="17">
        <v>8.616E-2</v>
      </c>
      <c r="G90" s="74">
        <v>0.20748999999999995</v>
      </c>
      <c r="H90" t="s">
        <v>214</v>
      </c>
      <c r="I90">
        <v>1.0028999616429472E-2</v>
      </c>
      <c r="J90">
        <v>0.14355863519745912</v>
      </c>
      <c r="K90">
        <v>7.1506096989728436E-3</v>
      </c>
      <c r="L90">
        <v>8.6138347506155826E-3</v>
      </c>
      <c r="M90">
        <v>2.6113804820358038</v>
      </c>
      <c r="N90">
        <v>3.9294057203908689E-3</v>
      </c>
      <c r="O90">
        <v>2.2259449113509149</v>
      </c>
      <c r="P90">
        <v>0.15723802183867519</v>
      </c>
      <c r="Q90">
        <v>8.5493642637739543E-3</v>
      </c>
      <c r="R90">
        <v>4.9664985086893723E-2</v>
      </c>
      <c r="S90">
        <v>6.2005383365176898E-5</v>
      </c>
      <c r="T90">
        <v>4.966498508689357E-2</v>
      </c>
      <c r="U90">
        <v>0.35274080596307128</v>
      </c>
      <c r="V90">
        <v>0.17059077811364842</v>
      </c>
      <c r="W90">
        <v>4.7672611612576077E-2</v>
      </c>
      <c r="X90">
        <v>0.16675454456411726</v>
      </c>
      <c r="Y90">
        <v>1.6810870943580091E-2</v>
      </c>
      <c r="Z90">
        <v>0.11223630165575478</v>
      </c>
    </row>
    <row r="91" spans="1:26" x14ac:dyDescent="0.2">
      <c r="A91" s="13">
        <v>10815</v>
      </c>
      <c r="B91" s="13" t="s">
        <v>79</v>
      </c>
      <c r="C91" s="13" t="s">
        <v>72</v>
      </c>
      <c r="D91" s="14">
        <v>44222</v>
      </c>
      <c r="E91" s="15"/>
      <c r="F91" s="16">
        <v>1.10995</v>
      </c>
      <c r="G91" s="16">
        <v>10.349080000000001</v>
      </c>
      <c r="H91" t="s">
        <v>171</v>
      </c>
      <c r="I91">
        <v>9.9821378167667049E-3</v>
      </c>
      <c r="J91">
        <v>0.36796395355822448</v>
      </c>
      <c r="K91">
        <v>7.154140350097476E-3</v>
      </c>
      <c r="L91">
        <v>3.9746573806216543E-3</v>
      </c>
      <c r="M91">
        <v>2.7319173028768335</v>
      </c>
      <c r="N91">
        <v>7.2298824806225036E-3</v>
      </c>
      <c r="O91">
        <v>2.0755701097027477</v>
      </c>
      <c r="P91">
        <v>0.35076806728063192</v>
      </c>
      <c r="Q91">
        <v>7.5836512522941459E-3</v>
      </c>
      <c r="R91">
        <v>8.8422645907854883E-2</v>
      </c>
      <c r="S91">
        <v>5.5001423345451113E-5</v>
      </c>
      <c r="T91">
        <v>8.8422645907855368E-2</v>
      </c>
      <c r="U91">
        <v>1.3222309862712986</v>
      </c>
      <c r="V91">
        <v>0.26146921464086043</v>
      </c>
      <c r="W91">
        <v>0.17829883386145351</v>
      </c>
      <c r="X91">
        <v>0.30283619314418847</v>
      </c>
      <c r="Y91">
        <v>0.23568740237771618</v>
      </c>
      <c r="Z91">
        <v>0.20991308356266328</v>
      </c>
    </row>
    <row r="92" spans="1:26" x14ac:dyDescent="0.2">
      <c r="A92" s="17">
        <v>10949</v>
      </c>
      <c r="B92" s="17" t="s">
        <v>223</v>
      </c>
      <c r="C92" s="17" t="s">
        <v>142</v>
      </c>
      <c r="D92" s="72">
        <v>44222</v>
      </c>
      <c r="E92" s="73">
        <v>339</v>
      </c>
      <c r="F92" s="17">
        <v>7.6810000000000003E-2</v>
      </c>
      <c r="G92" s="74">
        <v>0.20931999999999995</v>
      </c>
      <c r="H92" t="s">
        <v>215</v>
      </c>
      <c r="I92">
        <v>1.0064955958705428E-2</v>
      </c>
      <c r="J92">
        <v>0.15347802454190998</v>
      </c>
      <c r="K92">
        <v>7.1448367542508717E-3</v>
      </c>
      <c r="L92">
        <v>5.6110972319173254E-3</v>
      </c>
      <c r="M92">
        <v>2.5900194488162924</v>
      </c>
      <c r="N92">
        <v>3.3199842465048745E-3</v>
      </c>
      <c r="O92">
        <v>2.1958644897258091</v>
      </c>
      <c r="P92">
        <v>0.18221966743368731</v>
      </c>
      <c r="Q92">
        <v>8.5399057306046345E-3</v>
      </c>
      <c r="R92">
        <v>4.9213225040811444E-2</v>
      </c>
      <c r="S92">
        <v>6.1936784115321444E-5</v>
      </c>
      <c r="T92">
        <v>4.9213225040810805E-2</v>
      </c>
      <c r="U92">
        <v>0.37315821390279219</v>
      </c>
      <c r="V92">
        <v>0.15677450372394711</v>
      </c>
      <c r="W92">
        <v>6.8700217850400619E-2</v>
      </c>
      <c r="X92">
        <v>0.12203169904322539</v>
      </c>
      <c r="Y92">
        <v>2.5635246088055855E-2</v>
      </c>
      <c r="Z92">
        <v>0.11345091596248932</v>
      </c>
    </row>
    <row r="93" spans="1:26" x14ac:dyDescent="0.2">
      <c r="A93" s="13">
        <v>10815</v>
      </c>
      <c r="B93" s="13" t="s">
        <v>79</v>
      </c>
      <c r="C93" s="13" t="s">
        <v>72</v>
      </c>
      <c r="D93" s="14">
        <v>44222</v>
      </c>
      <c r="E93" s="15"/>
      <c r="F93" s="16">
        <v>1.10995</v>
      </c>
      <c r="G93" s="16">
        <v>10.349080000000001</v>
      </c>
      <c r="H93" t="s">
        <v>216</v>
      </c>
      <c r="I93">
        <v>9.9598294372347414E-3</v>
      </c>
      <c r="J93">
        <v>0.39410334611564646</v>
      </c>
      <c r="K93">
        <v>7.1526890110555014E-3</v>
      </c>
      <c r="L93">
        <v>5.0797443943747592E-3</v>
      </c>
      <c r="M93">
        <v>2.7319714600707594</v>
      </c>
      <c r="N93">
        <v>6.6938303822554274E-3</v>
      </c>
      <c r="O93">
        <v>2.0804701332792428</v>
      </c>
      <c r="P93">
        <v>0.35905061886545764</v>
      </c>
      <c r="Q93">
        <v>7.5760774187067052E-3</v>
      </c>
      <c r="R93">
        <v>6.1346914156569052E-2</v>
      </c>
      <c r="S93">
        <v>5.4946493126005056E-5</v>
      </c>
      <c r="T93">
        <v>6.134691415656976E-2</v>
      </c>
      <c r="U93">
        <v>1.3246082943329782</v>
      </c>
      <c r="V93">
        <v>0.22715254670243232</v>
      </c>
      <c r="W93">
        <v>0.17867132134012789</v>
      </c>
      <c r="X93">
        <v>0.30128509784869445</v>
      </c>
      <c r="Y93">
        <v>0.23673259975812191</v>
      </c>
      <c r="Z93">
        <v>0.24527727799030424</v>
      </c>
    </row>
    <row r="94" spans="1:26" x14ac:dyDescent="0.2">
      <c r="A94" s="17">
        <v>10950</v>
      </c>
      <c r="B94" s="17" t="s">
        <v>224</v>
      </c>
      <c r="C94" s="17" t="s">
        <v>142</v>
      </c>
      <c r="D94" s="72">
        <v>44222</v>
      </c>
      <c r="E94" s="73">
        <v>383.5</v>
      </c>
      <c r="F94" s="17">
        <v>7.954E-2</v>
      </c>
      <c r="G94" s="74">
        <v>0.20708000000000126</v>
      </c>
      <c r="H94" t="s">
        <v>217</v>
      </c>
      <c r="I94">
        <v>1.0078112469436485E-2</v>
      </c>
      <c r="J94">
        <v>0.10789341398655802</v>
      </c>
      <c r="K94">
        <v>7.1448965404055584E-3</v>
      </c>
      <c r="L94">
        <v>6.1682360502114892E-3</v>
      </c>
      <c r="M94">
        <v>2.609867813896241</v>
      </c>
      <c r="N94">
        <v>3.072133858520319E-3</v>
      </c>
      <c r="O94">
        <v>2.210614168244569</v>
      </c>
      <c r="P94">
        <v>0.1218185100346261</v>
      </c>
      <c r="Q94">
        <v>8.543646450423931E-3</v>
      </c>
      <c r="R94">
        <v>3.5871318196426798E-2</v>
      </c>
      <c r="S94">
        <v>6.1963914175440659E-5</v>
      </c>
      <c r="T94">
        <v>3.5871318196426479E-2</v>
      </c>
      <c r="U94">
        <v>0.37182488788637441</v>
      </c>
      <c r="V94">
        <v>0.19472190242740231</v>
      </c>
      <c r="W94">
        <v>3.1168095513556718E-2</v>
      </c>
      <c r="X94">
        <v>0.1890826916194045</v>
      </c>
      <c r="Y94">
        <v>1.1590245029057054E-2</v>
      </c>
      <c r="Z94">
        <v>9.7907952619729177E-2</v>
      </c>
    </row>
    <row r="95" spans="1:26" x14ac:dyDescent="0.2">
      <c r="A95" s="13">
        <v>10815</v>
      </c>
      <c r="B95" s="13" t="s">
        <v>79</v>
      </c>
      <c r="C95" s="13" t="s">
        <v>72</v>
      </c>
      <c r="D95" s="14">
        <v>44222</v>
      </c>
      <c r="E95" s="15"/>
      <c r="F95" s="16">
        <v>1.10995</v>
      </c>
      <c r="G95" s="16">
        <v>10.349080000000001</v>
      </c>
      <c r="H95" t="s">
        <v>218</v>
      </c>
      <c r="I95">
        <v>9.916496746993169E-3</v>
      </c>
      <c r="J95">
        <v>0.36905276042588364</v>
      </c>
      <c r="K95">
        <v>7.1509200973456713E-3</v>
      </c>
      <c r="L95">
        <v>4.9432509229063205E-3</v>
      </c>
      <c r="M95">
        <v>2.7317900581588321</v>
      </c>
      <c r="N95">
        <v>7.8494990149475408E-3</v>
      </c>
      <c r="O95">
        <v>2.0870527854944512</v>
      </c>
      <c r="P95">
        <v>0.3589258276484244</v>
      </c>
      <c r="Q95">
        <v>7.5831254002557396E-3</v>
      </c>
      <c r="R95">
        <v>9.2239804731561487E-2</v>
      </c>
      <c r="S95">
        <v>5.4997609534712819E-5</v>
      </c>
      <c r="T95">
        <v>9.2239804731561723E-2</v>
      </c>
      <c r="U95">
        <v>1.3265077729405006</v>
      </c>
      <c r="V95">
        <v>0.25342322076988721</v>
      </c>
      <c r="W95">
        <v>0.17813950593323055</v>
      </c>
      <c r="X95">
        <v>0.30612528850253296</v>
      </c>
      <c r="Y95">
        <v>0.23606674170948469</v>
      </c>
      <c r="Z95">
        <v>0.18751011533329809</v>
      </c>
    </row>
    <row r="97" spans="1:26" x14ac:dyDescent="0.2">
      <c r="A97" s="13">
        <v>10815</v>
      </c>
      <c r="B97" s="13" t="s">
        <v>79</v>
      </c>
      <c r="C97" s="13" t="s">
        <v>72</v>
      </c>
      <c r="D97" s="14">
        <v>44223</v>
      </c>
      <c r="E97" s="15"/>
      <c r="F97" s="16">
        <v>1.10995</v>
      </c>
      <c r="G97" s="16">
        <v>10.349080000000001</v>
      </c>
      <c r="H97" t="s">
        <v>163</v>
      </c>
      <c r="I97">
        <v>1.0035657182007204E-2</v>
      </c>
      <c r="J97">
        <v>0.50552336802588038</v>
      </c>
      <c r="K97">
        <v>7.1558161321157209E-3</v>
      </c>
      <c r="L97">
        <v>6.5168883184348958E-3</v>
      </c>
      <c r="M97">
        <v>2.7320201853273742</v>
      </c>
      <c r="N97">
        <v>6.9722451933407828E-3</v>
      </c>
      <c r="O97">
        <v>2.066170236249055</v>
      </c>
      <c r="P97">
        <v>0.50666412868732913</v>
      </c>
      <c r="Q97">
        <v>7.57908277250041E-3</v>
      </c>
      <c r="R97">
        <v>9.8229035178729052E-2</v>
      </c>
      <c r="S97">
        <v>5.4968289847770262E-5</v>
      </c>
      <c r="T97">
        <v>9.8229035178726595E-2</v>
      </c>
      <c r="U97">
        <v>1.3214444707233957</v>
      </c>
      <c r="V97">
        <v>0.31344184052119822</v>
      </c>
      <c r="W97">
        <v>0.1768028883424502</v>
      </c>
      <c r="X97">
        <v>0.37597522433213831</v>
      </c>
      <c r="Y97">
        <v>0.23391758584165898</v>
      </c>
      <c r="Z97">
        <v>0.26155560787562765</v>
      </c>
    </row>
    <row r="98" spans="1:26" x14ac:dyDescent="0.2">
      <c r="A98" s="17">
        <v>10951</v>
      </c>
      <c r="B98" s="17" t="s">
        <v>233</v>
      </c>
      <c r="C98" s="17" t="s">
        <v>142</v>
      </c>
      <c r="D98" s="72">
        <v>44223</v>
      </c>
      <c r="E98" s="73">
        <v>500.5</v>
      </c>
      <c r="F98" s="17">
        <v>5.5079999999999997E-2</v>
      </c>
      <c r="G98" s="74">
        <v>0.20578000000000074</v>
      </c>
      <c r="H98" t="s">
        <v>229</v>
      </c>
      <c r="I98">
        <v>1.0054687627979631E-2</v>
      </c>
      <c r="J98">
        <v>0.13003712166798104</v>
      </c>
      <c r="K98">
        <v>7.1440195322111629E-3</v>
      </c>
      <c r="L98">
        <v>5.9674371260590043E-3</v>
      </c>
      <c r="M98">
        <v>1.413961541961575</v>
      </c>
      <c r="N98">
        <v>3.2245993600803365E-3</v>
      </c>
      <c r="O98">
        <v>1.1995435881415315</v>
      </c>
      <c r="P98">
        <v>0.12854165362592007</v>
      </c>
      <c r="Q98">
        <v>8.529959979708894E-3</v>
      </c>
      <c r="R98">
        <v>3.8369324696105121E-2</v>
      </c>
      <c r="S98">
        <v>6.1864651255132277E-5</v>
      </c>
      <c r="T98">
        <v>3.836932469610442E-2</v>
      </c>
      <c r="U98">
        <v>0.20851116168898859</v>
      </c>
      <c r="V98">
        <v>0.19773559665812035</v>
      </c>
      <c r="W98">
        <v>0.18445095779279994</v>
      </c>
      <c r="X98">
        <v>0.18899985262960162</v>
      </c>
      <c r="Y98">
        <v>3.8453340283695944E-2</v>
      </c>
      <c r="Z98">
        <v>0.1247763328696422</v>
      </c>
    </row>
    <row r="99" spans="1:26" x14ac:dyDescent="0.2">
      <c r="A99" s="13">
        <v>10815</v>
      </c>
      <c r="B99" s="13" t="s">
        <v>79</v>
      </c>
      <c r="C99" s="13" t="s">
        <v>72</v>
      </c>
      <c r="D99" s="14">
        <v>44223</v>
      </c>
      <c r="E99" s="15"/>
      <c r="F99" s="16">
        <v>1.10995</v>
      </c>
      <c r="G99" s="16">
        <v>10.349080000000001</v>
      </c>
      <c r="H99" t="s">
        <v>165</v>
      </c>
      <c r="I99">
        <v>9.9621297484615377E-3</v>
      </c>
      <c r="J99">
        <v>0.3632746914978407</v>
      </c>
      <c r="K99">
        <v>7.14995308550119E-3</v>
      </c>
      <c r="L99">
        <v>5.9720164994849882E-3</v>
      </c>
      <c r="M99">
        <v>2.7319295448687235</v>
      </c>
      <c r="N99">
        <v>8.218808098280659E-3</v>
      </c>
      <c r="O99">
        <v>2.0790955622017706</v>
      </c>
      <c r="P99">
        <v>0.35105571632992283</v>
      </c>
      <c r="Q99">
        <v>7.5764639349602276E-3</v>
      </c>
      <c r="R99">
        <v>0.11663775730038224</v>
      </c>
      <c r="S99">
        <v>5.4949296385725579E-5</v>
      </c>
      <c r="T99">
        <v>0.11663775730038231</v>
      </c>
      <c r="U99">
        <v>1.3210296473783134</v>
      </c>
      <c r="V99">
        <v>0.23707568739650894</v>
      </c>
      <c r="W99">
        <v>0.17749740434367309</v>
      </c>
      <c r="X99">
        <v>0.376445858056428</v>
      </c>
      <c r="Y99">
        <v>0.23428320012603474</v>
      </c>
      <c r="Z99">
        <v>0.24331735383342365</v>
      </c>
    </row>
    <row r="100" spans="1:26" x14ac:dyDescent="0.2">
      <c r="A100" s="17">
        <v>10952</v>
      </c>
      <c r="B100" s="17" t="s">
        <v>234</v>
      </c>
      <c r="C100" s="17" t="s">
        <v>142</v>
      </c>
      <c r="D100" s="72">
        <v>44223</v>
      </c>
      <c r="E100" s="73">
        <v>532.5</v>
      </c>
      <c r="F100" s="17">
        <v>8.0659999999999996E-2</v>
      </c>
      <c r="G100" s="74">
        <v>0.20641999999999783</v>
      </c>
      <c r="H100" t="s">
        <v>230</v>
      </c>
      <c r="I100">
        <v>1.0054939996296012E-2</v>
      </c>
      <c r="J100">
        <v>0.1287476972122594</v>
      </c>
      <c r="K100">
        <v>7.1410074879850504E-3</v>
      </c>
      <c r="L100">
        <v>5.6830052715028676E-3</v>
      </c>
      <c r="M100">
        <v>2.3897311141641993</v>
      </c>
      <c r="N100">
        <v>3.4267780364946507E-3</v>
      </c>
      <c r="O100">
        <v>2.0281956142189541</v>
      </c>
      <c r="P100">
        <v>0.12693675618831901</v>
      </c>
      <c r="Q100">
        <v>8.5330477466440836E-3</v>
      </c>
      <c r="R100">
        <v>4.488269820931836E-2</v>
      </c>
      <c r="S100">
        <v>6.1887045688993278E-5</v>
      </c>
      <c r="T100">
        <v>4.4882698209317638E-2</v>
      </c>
      <c r="U100">
        <v>0.35399797026312768</v>
      </c>
      <c r="V100">
        <v>0.17557970974051224</v>
      </c>
      <c r="W100">
        <v>4.3924545408666096E-2</v>
      </c>
      <c r="X100">
        <v>0.16173939420771963</v>
      </c>
      <c r="Y100">
        <v>1.5555014288675237E-2</v>
      </c>
      <c r="Z100">
        <v>0.12854239691011207</v>
      </c>
    </row>
    <row r="101" spans="1:26" x14ac:dyDescent="0.2">
      <c r="A101" s="13">
        <v>10815</v>
      </c>
      <c r="B101" s="13" t="s">
        <v>79</v>
      </c>
      <c r="C101" s="13" t="s">
        <v>72</v>
      </c>
      <c r="D101" s="14">
        <v>44223</v>
      </c>
      <c r="E101" s="15"/>
      <c r="F101" s="16">
        <v>1.10995</v>
      </c>
      <c r="G101" s="16">
        <v>10.349080000000001</v>
      </c>
      <c r="H101" t="s">
        <v>167</v>
      </c>
      <c r="I101">
        <v>9.9567180576180369E-3</v>
      </c>
      <c r="J101">
        <v>0.34944415362502101</v>
      </c>
      <c r="K101">
        <v>7.1466827172586983E-3</v>
      </c>
      <c r="L101">
        <v>6.3238607968042222E-3</v>
      </c>
      <c r="M101">
        <v>2.732447767204059</v>
      </c>
      <c r="N101">
        <v>7.1879079187166734E-3</v>
      </c>
      <c r="O101">
        <v>2.0791211426159557</v>
      </c>
      <c r="P101">
        <v>0.39620903089841331</v>
      </c>
      <c r="Q101">
        <v>7.5759768261350596E-3</v>
      </c>
      <c r="R101">
        <v>0.11714403835633798</v>
      </c>
      <c r="S101">
        <v>5.4945763565212452E-5</v>
      </c>
      <c r="T101">
        <v>0.11714403835633744</v>
      </c>
      <c r="U101">
        <v>1.3236367148076755</v>
      </c>
      <c r="V101">
        <v>0.19935843716468796</v>
      </c>
      <c r="W101">
        <v>0.17796898688045923</v>
      </c>
      <c r="X101">
        <v>0.27722119977629461</v>
      </c>
      <c r="Y101">
        <v>0.23552823912686202</v>
      </c>
      <c r="Z101">
        <v>0.19825676630812308</v>
      </c>
    </row>
    <row r="102" spans="1:26" x14ac:dyDescent="0.2">
      <c r="A102" s="17">
        <v>10953</v>
      </c>
      <c r="B102" s="17" t="s">
        <v>235</v>
      </c>
      <c r="C102" s="17" t="s">
        <v>142</v>
      </c>
      <c r="D102" s="72">
        <v>44223</v>
      </c>
      <c r="E102" s="73">
        <v>642</v>
      </c>
      <c r="F102" s="17">
        <v>8.1839999999999996E-2</v>
      </c>
      <c r="G102" s="74">
        <v>0.20943000000000112</v>
      </c>
      <c r="H102" t="s">
        <v>231</v>
      </c>
      <c r="I102">
        <v>1.0075578894522104E-2</v>
      </c>
      <c r="J102">
        <v>0.14748175819213891</v>
      </c>
      <c r="K102">
        <v>7.1344127627875637E-3</v>
      </c>
      <c r="L102">
        <v>5.1406809546655757E-3</v>
      </c>
      <c r="M102">
        <v>2.9833825800282177</v>
      </c>
      <c r="N102">
        <v>3.1582513890353416E-3</v>
      </c>
      <c r="O102">
        <v>2.52582391418952</v>
      </c>
      <c r="P102">
        <v>0.16892434599112904</v>
      </c>
      <c r="Q102">
        <v>8.5328518676776426E-3</v>
      </c>
      <c r="R102">
        <v>3.6343682721714184E-2</v>
      </c>
      <c r="S102">
        <v>6.1885625051150196E-5</v>
      </c>
      <c r="T102">
        <v>3.6343682721713878E-2</v>
      </c>
      <c r="U102">
        <v>0.46629031270286098</v>
      </c>
      <c r="V102">
        <v>0.18315678480714845</v>
      </c>
      <c r="W102">
        <v>6.4320797445324998E-2</v>
      </c>
      <c r="X102">
        <v>0.1630871855102104</v>
      </c>
      <c r="Y102">
        <v>3.0008627956911112E-2</v>
      </c>
      <c r="Z102">
        <v>0.12634663128283186</v>
      </c>
    </row>
    <row r="103" spans="1:26" x14ac:dyDescent="0.2">
      <c r="A103" s="13">
        <v>10815</v>
      </c>
      <c r="B103" s="13" t="s">
        <v>79</v>
      </c>
      <c r="C103" s="13" t="s">
        <v>72</v>
      </c>
      <c r="D103" s="14">
        <v>44223</v>
      </c>
      <c r="E103" s="15"/>
      <c r="F103" s="16">
        <v>1.10995</v>
      </c>
      <c r="G103" s="16">
        <v>10.349080000000001</v>
      </c>
      <c r="H103" t="s">
        <v>169</v>
      </c>
      <c r="I103">
        <v>9.9567778096287234E-3</v>
      </c>
      <c r="J103">
        <v>0.40697712254711821</v>
      </c>
      <c r="K103">
        <v>7.1435742996917781E-3</v>
      </c>
      <c r="L103">
        <v>4.2971448155621553E-3</v>
      </c>
      <c r="M103">
        <v>2.7318303828942248</v>
      </c>
      <c r="N103">
        <v>7.934890223254637E-3</v>
      </c>
      <c r="O103">
        <v>2.082700152057062</v>
      </c>
      <c r="P103">
        <v>0.40913186377807742</v>
      </c>
      <c r="Q103">
        <v>7.5828420082484941E-3</v>
      </c>
      <c r="R103">
        <v>7.8297746286649997E-2</v>
      </c>
      <c r="S103">
        <v>5.4995554197086583E-5</v>
      </c>
      <c r="T103">
        <v>7.8297746286650108E-2</v>
      </c>
      <c r="U103">
        <v>1.3239342190657475</v>
      </c>
      <c r="V103">
        <v>0.21917622671592604</v>
      </c>
      <c r="W103">
        <v>0.17789351111859661</v>
      </c>
      <c r="X103">
        <v>0.32859746773581006</v>
      </c>
      <c r="Y103">
        <v>0.23557631711784874</v>
      </c>
      <c r="Z103">
        <v>0.21885348037470939</v>
      </c>
    </row>
    <row r="104" spans="1:26" x14ac:dyDescent="0.2">
      <c r="A104" s="17">
        <v>10954</v>
      </c>
      <c r="B104" s="17" t="s">
        <v>236</v>
      </c>
      <c r="C104" s="17" t="s">
        <v>142</v>
      </c>
      <c r="D104" s="72">
        <v>44223</v>
      </c>
      <c r="E104" s="73">
        <v>686</v>
      </c>
      <c r="F104" s="17">
        <v>6.9470000000000004E-2</v>
      </c>
      <c r="G104" s="74">
        <v>0.20549999999999713</v>
      </c>
      <c r="H104" t="s">
        <v>232</v>
      </c>
      <c r="I104">
        <v>1.0078730290350968E-2</v>
      </c>
      <c r="J104">
        <v>0.13513835402272817</v>
      </c>
      <c r="K104">
        <v>7.140099888010139E-3</v>
      </c>
      <c r="L104">
        <v>2.9358439757311708E-3</v>
      </c>
      <c r="M104">
        <v>1.868949342417122</v>
      </c>
      <c r="N104">
        <v>3.7715395867186524E-3</v>
      </c>
      <c r="O104">
        <v>1.5817105213169589</v>
      </c>
      <c r="P104">
        <v>0.13297783808127736</v>
      </c>
      <c r="Q104">
        <v>8.5292965158900638E-3</v>
      </c>
      <c r="R104">
        <v>4.7001282056206489E-2</v>
      </c>
      <c r="S104">
        <v>6.1859839396944196E-5</v>
      </c>
      <c r="T104">
        <v>4.7001282056206406E-2</v>
      </c>
      <c r="U104">
        <v>0.29259702616302413</v>
      </c>
      <c r="V104">
        <v>0.17461412012066618</v>
      </c>
      <c r="W104">
        <v>2.3016709223587825E-2</v>
      </c>
      <c r="X104">
        <v>0.13431828254057157</v>
      </c>
      <c r="Y104">
        <v>6.7353126097413054E-3</v>
      </c>
      <c r="Z104">
        <v>0.11042454191270708</v>
      </c>
    </row>
    <row r="105" spans="1:26" x14ac:dyDescent="0.2">
      <c r="A105" s="13">
        <v>10815</v>
      </c>
      <c r="B105" s="13" t="s">
        <v>79</v>
      </c>
      <c r="C105" s="13" t="s">
        <v>72</v>
      </c>
      <c r="D105" s="14">
        <v>44223</v>
      </c>
      <c r="E105" s="15"/>
      <c r="F105" s="16">
        <v>1.10995</v>
      </c>
      <c r="G105" s="16">
        <v>10.349080000000001</v>
      </c>
      <c r="H105" t="s">
        <v>171</v>
      </c>
      <c r="I105">
        <v>9.9465870445468781E-3</v>
      </c>
      <c r="J105">
        <v>0.3752529421593484</v>
      </c>
      <c r="K105">
        <v>7.1441553507013873E-3</v>
      </c>
      <c r="L105">
        <v>4.4065138878498422E-3</v>
      </c>
      <c r="M105">
        <v>2.7317268908520789</v>
      </c>
      <c r="N105">
        <v>7.2695310250492796E-3</v>
      </c>
      <c r="O105">
        <v>2.0827688397332254</v>
      </c>
      <c r="P105">
        <v>0.33598022930297772</v>
      </c>
      <c r="Q105">
        <v>7.580228581967499E-3</v>
      </c>
      <c r="R105">
        <v>0.11267986971123416</v>
      </c>
      <c r="S105">
        <v>5.4976599980907435E-5</v>
      </c>
      <c r="T105">
        <v>0.11267986971123484</v>
      </c>
      <c r="U105">
        <v>1.3224310545961258</v>
      </c>
      <c r="V105">
        <v>0.22472995978838092</v>
      </c>
      <c r="W105">
        <v>0.1777952318319232</v>
      </c>
      <c r="X105">
        <v>0.26717263800496233</v>
      </c>
      <c r="Y105">
        <v>0.23536068497437362</v>
      </c>
      <c r="Z105">
        <v>0.28564977905344002</v>
      </c>
    </row>
    <row r="107" spans="1:26" x14ac:dyDescent="0.2">
      <c r="A107" s="13">
        <v>10815</v>
      </c>
      <c r="B107" s="13" t="s">
        <v>79</v>
      </c>
      <c r="C107" s="13" t="s">
        <v>72</v>
      </c>
      <c r="D107" s="14">
        <v>44224</v>
      </c>
      <c r="E107" s="15"/>
      <c r="F107" s="16">
        <v>1.10995</v>
      </c>
      <c r="G107" s="16">
        <v>10.349080000000001</v>
      </c>
      <c r="H107" t="s">
        <v>163</v>
      </c>
      <c r="I107">
        <v>9.9787092384411337E-3</v>
      </c>
      <c r="J107">
        <v>0.53337327786266719</v>
      </c>
      <c r="K107">
        <v>7.1526021961378517E-3</v>
      </c>
      <c r="L107">
        <v>5.9024751264775402E-3</v>
      </c>
      <c r="M107">
        <v>2.7323465068130224</v>
      </c>
      <c r="N107">
        <v>7.0814668632364353E-3</v>
      </c>
      <c r="O107">
        <v>2.0768049069547092</v>
      </c>
      <c r="P107">
        <v>0.52499277119811971</v>
      </c>
      <c r="Q107">
        <v>7.576944494547694E-3</v>
      </c>
      <c r="R107">
        <v>9.6067590406301723E-2</v>
      </c>
      <c r="S107">
        <v>5.4952781707034984E-5</v>
      </c>
      <c r="T107">
        <v>9.6067590406301542E-2</v>
      </c>
      <c r="U107">
        <v>1.3214825998803976</v>
      </c>
      <c r="V107">
        <v>0.2402954148680248</v>
      </c>
      <c r="W107">
        <v>0.17798386745754838</v>
      </c>
      <c r="X107">
        <v>0.27184181988670275</v>
      </c>
      <c r="Y107">
        <v>0.23516299085823511</v>
      </c>
      <c r="Z107">
        <v>0.25566361034877383</v>
      </c>
    </row>
    <row r="108" spans="1:26" x14ac:dyDescent="0.2">
      <c r="A108" s="17">
        <v>10955</v>
      </c>
      <c r="B108" s="17" t="s">
        <v>237</v>
      </c>
      <c r="C108" s="17" t="s">
        <v>142</v>
      </c>
      <c r="D108" s="72">
        <v>44224</v>
      </c>
      <c r="E108" s="73">
        <v>901</v>
      </c>
      <c r="F108" s="17">
        <v>6.4600000000000005E-2</v>
      </c>
      <c r="G108" s="74">
        <v>0.20499000000000223</v>
      </c>
      <c r="H108" t="s">
        <v>225</v>
      </c>
      <c r="I108">
        <v>1.0078492496753504E-2</v>
      </c>
      <c r="J108">
        <v>0.11698541246601694</v>
      </c>
      <c r="K108">
        <v>7.1358101902022613E-3</v>
      </c>
      <c r="L108">
        <v>7.5282226020875597E-3</v>
      </c>
      <c r="M108">
        <v>2.1311017502948233</v>
      </c>
      <c r="N108">
        <v>4.0429974378315241E-3</v>
      </c>
      <c r="O108">
        <v>1.7960110700691283</v>
      </c>
      <c r="P108">
        <v>0.13746553435831962</v>
      </c>
      <c r="Q108">
        <v>8.4947068499792652E-3</v>
      </c>
      <c r="R108">
        <v>4.7616825257420448E-2</v>
      </c>
      <c r="S108">
        <v>6.1608973317420554E-5</v>
      </c>
      <c r="T108">
        <v>4.7616825257419879E-2</v>
      </c>
      <c r="U108">
        <v>0.44108045013582076</v>
      </c>
      <c r="V108">
        <v>0.12037816312688637</v>
      </c>
      <c r="W108">
        <v>1.5799384369863313E-2</v>
      </c>
      <c r="X108">
        <v>9.7698843759360027E-2</v>
      </c>
      <c r="Y108">
        <v>6.9702438259813659E-3</v>
      </c>
      <c r="Z108">
        <v>8.9081455996146058E-2</v>
      </c>
    </row>
    <row r="109" spans="1:26" x14ac:dyDescent="0.2">
      <c r="A109" s="13">
        <v>10815</v>
      </c>
      <c r="B109" s="13" t="s">
        <v>79</v>
      </c>
      <c r="C109" s="13" t="s">
        <v>72</v>
      </c>
      <c r="D109" s="14">
        <v>44224</v>
      </c>
      <c r="E109" s="15"/>
      <c r="F109" s="16">
        <v>1.10995</v>
      </c>
      <c r="G109" s="16">
        <v>10.349080000000001</v>
      </c>
      <c r="H109" t="s">
        <v>165</v>
      </c>
      <c r="I109">
        <v>9.9497156709295875E-3</v>
      </c>
      <c r="J109">
        <v>0.47397170243007741</v>
      </c>
      <c r="K109">
        <v>7.1422139085558917E-3</v>
      </c>
      <c r="L109">
        <v>5.5713045441616281E-3</v>
      </c>
      <c r="M109">
        <v>2.7321888217398125</v>
      </c>
      <c r="N109">
        <v>6.3349191517666874E-3</v>
      </c>
      <c r="O109">
        <v>2.081487170756799</v>
      </c>
      <c r="P109">
        <v>0.48105228623922186</v>
      </c>
      <c r="Q109">
        <v>7.580234755941411E-3</v>
      </c>
      <c r="R109">
        <v>9.5812368624395974E-2</v>
      </c>
      <c r="S109">
        <v>5.4976644758461346E-5</v>
      </c>
      <c r="T109">
        <v>9.5812368624396155E-2</v>
      </c>
      <c r="U109">
        <v>1.3213272232299085</v>
      </c>
      <c r="V109">
        <v>0.22270693500361805</v>
      </c>
      <c r="W109">
        <v>0.17884686924680346</v>
      </c>
      <c r="X109">
        <v>0.35736130268433752</v>
      </c>
      <c r="Y109">
        <v>0.23687155381478051</v>
      </c>
      <c r="Z109">
        <v>0.24636598240940444</v>
      </c>
    </row>
    <row r="110" spans="1:26" x14ac:dyDescent="0.2">
      <c r="A110" s="17">
        <v>10956</v>
      </c>
      <c r="B110" s="17" t="s">
        <v>238</v>
      </c>
      <c r="C110" s="17" t="s">
        <v>142</v>
      </c>
      <c r="D110" s="72">
        <v>44224</v>
      </c>
      <c r="E110" s="73">
        <v>924</v>
      </c>
      <c r="F110" s="17">
        <v>8.4320000000000006E-2</v>
      </c>
      <c r="G110" s="74">
        <v>0.20405999999999999</v>
      </c>
      <c r="H110" t="s">
        <v>226</v>
      </c>
      <c r="I110">
        <v>1.0092028540559107E-2</v>
      </c>
      <c r="J110">
        <v>0.15771087551516169</v>
      </c>
      <c r="K110">
        <v>7.1245403279157037E-3</v>
      </c>
      <c r="L110">
        <v>3.9557649138678021E-2</v>
      </c>
      <c r="M110">
        <v>2.3905834472347101</v>
      </c>
      <c r="N110">
        <v>4.9739419624984717E-2</v>
      </c>
      <c r="O110">
        <v>2.01372613904091</v>
      </c>
      <c r="P110">
        <v>0.14888382465673242</v>
      </c>
      <c r="Q110">
        <v>8.505614650132538E-3</v>
      </c>
      <c r="R110">
        <v>8.1538155204995438E-2</v>
      </c>
      <c r="S110">
        <v>6.16880835657744E-5</v>
      </c>
      <c r="T110">
        <v>8.1538155204996049E-2</v>
      </c>
      <c r="U110">
        <v>0.50160307397605108</v>
      </c>
      <c r="V110">
        <v>0.17665815767939011</v>
      </c>
      <c r="W110">
        <v>2.9320707546807427E-2</v>
      </c>
      <c r="X110">
        <v>0.16028831400214116</v>
      </c>
      <c r="Y110">
        <v>1.4716444305774115E-2</v>
      </c>
      <c r="Z110">
        <v>0.13808649201594664</v>
      </c>
    </row>
    <row r="111" spans="1:26" x14ac:dyDescent="0.2">
      <c r="A111" s="13">
        <v>10815</v>
      </c>
      <c r="B111" s="13" t="s">
        <v>79</v>
      </c>
      <c r="C111" s="13" t="s">
        <v>72</v>
      </c>
      <c r="D111" s="14">
        <v>44224</v>
      </c>
      <c r="E111" s="15"/>
      <c r="F111" s="16">
        <v>1.10995</v>
      </c>
      <c r="G111" s="16">
        <v>10.349080000000001</v>
      </c>
      <c r="H111" t="s">
        <v>167</v>
      </c>
      <c r="I111">
        <v>9.9222465718528854E-3</v>
      </c>
      <c r="J111">
        <v>0.48362768554227797</v>
      </c>
      <c r="K111">
        <v>7.1371512094612257E-3</v>
      </c>
      <c r="L111">
        <v>2.4604775681426445E-2</v>
      </c>
      <c r="M111">
        <v>2.7309320971627025</v>
      </c>
      <c r="N111">
        <v>5.8006790572488122E-2</v>
      </c>
      <c r="O111">
        <v>2.0884449268289145</v>
      </c>
      <c r="P111">
        <v>0.44040337747936686</v>
      </c>
      <c r="Q111">
        <v>7.5930159070693691E-3</v>
      </c>
      <c r="R111">
        <v>0.13714118191679506</v>
      </c>
      <c r="S111">
        <v>5.5069341729965469E-5</v>
      </c>
      <c r="T111">
        <v>0.13714118191679447</v>
      </c>
      <c r="U111">
        <v>1.3222282884891623</v>
      </c>
      <c r="V111">
        <v>0.20358374460061884</v>
      </c>
      <c r="W111">
        <v>0.17963033301032522</v>
      </c>
      <c r="X111">
        <v>0.39802862176106946</v>
      </c>
      <c r="Y111">
        <v>0.23752960456728844</v>
      </c>
      <c r="Z111">
        <v>0.28414836651241626</v>
      </c>
    </row>
    <row r="112" spans="1:26" x14ac:dyDescent="0.2">
      <c r="A112" s="17">
        <v>10957</v>
      </c>
      <c r="B112" s="17" t="s">
        <v>239</v>
      </c>
      <c r="C112" s="17" t="s">
        <v>142</v>
      </c>
      <c r="D112" s="72">
        <v>44224</v>
      </c>
      <c r="E112" s="73">
        <v>1003</v>
      </c>
      <c r="F112" s="17">
        <v>8.1640000000000004E-2</v>
      </c>
      <c r="G112" s="74">
        <v>0.20746999999999999</v>
      </c>
      <c r="H112" t="s">
        <v>227</v>
      </c>
      <c r="I112">
        <v>1.0113061772942763E-2</v>
      </c>
      <c r="J112">
        <v>0.17104205674367501</v>
      </c>
      <c r="K112">
        <v>7.1300479254758145E-3</v>
      </c>
      <c r="L112">
        <v>7.5580831411630495E-2</v>
      </c>
      <c r="M112">
        <v>2.7086266305562141</v>
      </c>
      <c r="N112">
        <v>4.4964733162294004E-2</v>
      </c>
      <c r="O112">
        <v>2.2780725221391296</v>
      </c>
      <c r="P112">
        <v>0.14798585607599649</v>
      </c>
      <c r="Q112">
        <v>8.5006982056273304E-3</v>
      </c>
      <c r="R112">
        <v>9.5565378913717913E-2</v>
      </c>
      <c r="S112">
        <v>6.1652426408477794E-5</v>
      </c>
      <c r="T112">
        <v>9.5565378913717469E-2</v>
      </c>
      <c r="U112">
        <v>0.57351635007392932</v>
      </c>
      <c r="V112">
        <v>0.18156921128008552</v>
      </c>
      <c r="W112">
        <v>1.0573853607700516E-2</v>
      </c>
      <c r="X112">
        <v>0.13859782970744325</v>
      </c>
      <c r="Y112">
        <v>6.0643951038803585E-3</v>
      </c>
      <c r="Z112">
        <v>0.13556879361975774</v>
      </c>
    </row>
    <row r="113" spans="1:26" x14ac:dyDescent="0.2">
      <c r="A113" s="13">
        <v>10815</v>
      </c>
      <c r="B113" s="13" t="s">
        <v>79</v>
      </c>
      <c r="C113" s="13" t="s">
        <v>72</v>
      </c>
      <c r="D113" s="14">
        <v>44224</v>
      </c>
      <c r="E113" s="15"/>
      <c r="F113" s="16">
        <v>1.10995</v>
      </c>
      <c r="G113" s="16">
        <v>10.349080000000001</v>
      </c>
      <c r="H113" t="s">
        <v>169</v>
      </c>
      <c r="I113">
        <v>9.9673120147274457E-3</v>
      </c>
      <c r="J113">
        <v>0.53840141882483872</v>
      </c>
      <c r="K113">
        <v>7.1355349260687631E-3</v>
      </c>
      <c r="L113">
        <v>2.7867199910061844E-2</v>
      </c>
      <c r="M113">
        <v>2.7296855972274385</v>
      </c>
      <c r="N113">
        <v>7.0025534407244169E-2</v>
      </c>
      <c r="O113">
        <v>2.0697263337704559</v>
      </c>
      <c r="P113">
        <v>0.50244719972415419</v>
      </c>
      <c r="Q113">
        <v>7.5780986143012498E-3</v>
      </c>
      <c r="R113">
        <v>0.14145377740422285</v>
      </c>
      <c r="S113">
        <v>5.4961152111612515E-5</v>
      </c>
      <c r="T113">
        <v>0.14145377740422299</v>
      </c>
      <c r="U113">
        <v>1.3188106499117425</v>
      </c>
      <c r="V113">
        <v>0.21975783850878455</v>
      </c>
      <c r="W113">
        <v>0.17969812362690213</v>
      </c>
      <c r="X113">
        <v>0.39668052038451712</v>
      </c>
      <c r="Y113">
        <v>0.23722782224928315</v>
      </c>
      <c r="Z113">
        <v>0.37021579740813348</v>
      </c>
    </row>
    <row r="114" spans="1:26" x14ac:dyDescent="0.2">
      <c r="A114" s="17">
        <v>10958</v>
      </c>
      <c r="B114" s="17" t="s">
        <v>240</v>
      </c>
      <c r="C114" s="17" t="s">
        <v>142</v>
      </c>
      <c r="D114" s="72">
        <v>44224</v>
      </c>
      <c r="E114" s="73">
        <v>1038</v>
      </c>
      <c r="F114" s="17">
        <v>7.7420000000000003E-2</v>
      </c>
      <c r="G114" s="74">
        <v>0.20568</v>
      </c>
      <c r="H114" t="s">
        <v>228</v>
      </c>
      <c r="I114">
        <v>1.0175088605505743E-2</v>
      </c>
      <c r="J114">
        <v>0.15417639930262844</v>
      </c>
      <c r="K114">
        <v>7.1236963454751681E-3</v>
      </c>
      <c r="L114">
        <v>3.202910878377973E-3</v>
      </c>
      <c r="M114">
        <v>1.9454321613037255</v>
      </c>
      <c r="N114">
        <v>4.3764366226658009E-3</v>
      </c>
      <c r="O114">
        <v>1.6135218623056335</v>
      </c>
      <c r="P114">
        <v>0.17014401363381482</v>
      </c>
      <c r="Q114">
        <v>8.4359468091487252E-3</v>
      </c>
      <c r="R114">
        <v>5.2662978389894859E-2</v>
      </c>
      <c r="S114">
        <v>6.1182808430086259E-5</v>
      </c>
      <c r="T114">
        <v>5.2662978389894782E-2</v>
      </c>
      <c r="U114">
        <v>0.56277602691735173</v>
      </c>
      <c r="V114">
        <v>0.18308385332864918</v>
      </c>
      <c r="W114">
        <v>5.5717019324517759E-2</v>
      </c>
      <c r="X114">
        <v>0.13242147111204805</v>
      </c>
      <c r="Y114">
        <v>3.136796786014847E-2</v>
      </c>
      <c r="Z114">
        <v>0.11883552498505542</v>
      </c>
    </row>
    <row r="115" spans="1:26" x14ac:dyDescent="0.2">
      <c r="A115" s="13">
        <v>10815</v>
      </c>
      <c r="B115" s="13" t="s">
        <v>79</v>
      </c>
      <c r="C115" s="13" t="s">
        <v>72</v>
      </c>
      <c r="D115" s="14">
        <v>44224</v>
      </c>
      <c r="E115" s="15"/>
      <c r="F115" s="16">
        <v>1.10995</v>
      </c>
      <c r="G115" s="16">
        <v>10.349080000000001</v>
      </c>
      <c r="H115" t="s">
        <v>169</v>
      </c>
      <c r="I115">
        <v>9.9714458716290769E-3</v>
      </c>
      <c r="J115">
        <v>0.55947663488429589</v>
      </c>
      <c r="K115">
        <v>7.1355988392495413E-3</v>
      </c>
      <c r="L115">
        <v>5.6750156897716134E-3</v>
      </c>
      <c r="M115">
        <v>2.7322034177955947</v>
      </c>
      <c r="N115">
        <v>1.0134629469029934E-2</v>
      </c>
      <c r="O115">
        <v>2.0724359635448346</v>
      </c>
      <c r="P115">
        <v>0.58247639106312343</v>
      </c>
      <c r="Q115">
        <v>7.5752938096358144E-3</v>
      </c>
      <c r="R115">
        <v>0.12747099054358565</v>
      </c>
      <c r="S115">
        <v>5.4940809898650388E-5</v>
      </c>
      <c r="T115">
        <v>0.12747099054358557</v>
      </c>
      <c r="U115">
        <v>1.3195572024105173</v>
      </c>
      <c r="V115">
        <v>0.22959786148992839</v>
      </c>
      <c r="W115">
        <v>0.17983834858551287</v>
      </c>
      <c r="X115">
        <v>0.38923071967619088</v>
      </c>
      <c r="Y115">
        <v>0.23697656184609167</v>
      </c>
      <c r="Z115">
        <v>0.34764638389297192</v>
      </c>
    </row>
    <row r="117" spans="1:26" x14ac:dyDescent="0.2">
      <c r="A117" s="13">
        <v>10815</v>
      </c>
      <c r="B117" s="13" t="s">
        <v>79</v>
      </c>
      <c r="C117" s="13" t="s">
        <v>72</v>
      </c>
      <c r="D117" s="14">
        <v>44225</v>
      </c>
      <c r="E117" s="15"/>
      <c r="F117" s="16">
        <v>1.10995</v>
      </c>
      <c r="G117" s="16">
        <v>10.349080000000001</v>
      </c>
      <c r="H117" t="s">
        <v>163</v>
      </c>
      <c r="I117">
        <v>9.9589666381744123E-3</v>
      </c>
      <c r="J117">
        <v>0.53328686699125472</v>
      </c>
      <c r="K117">
        <v>7.1451529905457558E-3</v>
      </c>
      <c r="L117">
        <v>6.0211831098190283E-3</v>
      </c>
      <c r="M117">
        <v>2.7318119041595614</v>
      </c>
      <c r="N117">
        <v>8.1199067620163976E-3</v>
      </c>
      <c r="O117">
        <v>2.0835227479526437</v>
      </c>
      <c r="P117">
        <v>0.40624151243551104</v>
      </c>
      <c r="Q117">
        <v>7.5827391923955195E-3</v>
      </c>
      <c r="R117">
        <v>0.14456506782564127</v>
      </c>
      <c r="S117">
        <v>5.4994808511655123E-5</v>
      </c>
      <c r="T117">
        <v>0.14456506782564074</v>
      </c>
      <c r="U117">
        <v>1.3228505464521374</v>
      </c>
      <c r="V117">
        <v>0.2594387106389483</v>
      </c>
      <c r="W117">
        <v>0.18018654271726126</v>
      </c>
      <c r="X117">
        <v>0.39550666063558071</v>
      </c>
      <c r="Y117">
        <v>0.23791911589164633</v>
      </c>
      <c r="Z117">
        <v>0.22173197360748914</v>
      </c>
    </row>
    <row r="118" spans="1:26" x14ac:dyDescent="0.2">
      <c r="A118" s="17">
        <v>10959</v>
      </c>
      <c r="B118" s="17" t="s">
        <v>245</v>
      </c>
      <c r="C118" s="17" t="s">
        <v>142</v>
      </c>
      <c r="D118" s="72">
        <v>44225</v>
      </c>
      <c r="E118" s="73">
        <v>10.5</v>
      </c>
      <c r="F118" s="17">
        <v>8.3710000000000007E-2</v>
      </c>
      <c r="G118" s="74">
        <v>0.20805000000000007</v>
      </c>
      <c r="H118" t="s">
        <v>241</v>
      </c>
      <c r="I118">
        <v>1.0058180177635679E-2</v>
      </c>
      <c r="J118">
        <v>0.23003419294078281</v>
      </c>
      <c r="K118">
        <v>7.1286179914383839E-3</v>
      </c>
      <c r="L118">
        <v>4.7720926013830409E-3</v>
      </c>
      <c r="M118">
        <v>2.9234739895383117</v>
      </c>
      <c r="N118">
        <v>3.939475074568208E-3</v>
      </c>
      <c r="O118">
        <v>2.518306798710646</v>
      </c>
      <c r="P118">
        <v>0.2407445405854545</v>
      </c>
      <c r="Q118">
        <v>8.6703067347162852E-3</v>
      </c>
      <c r="R118">
        <v>4.74177751929621E-2</v>
      </c>
      <c r="S118">
        <v>6.2882534466070615E-5</v>
      </c>
      <c r="T118">
        <v>4.7417775192962044E-2</v>
      </c>
      <c r="U118">
        <v>7.978187287568364E-2</v>
      </c>
      <c r="V118">
        <v>0.41541544944833042</v>
      </c>
      <c r="W118">
        <v>0.20439058060449899</v>
      </c>
      <c r="X118">
        <v>0.28616242959662458</v>
      </c>
      <c r="Y118">
        <v>1.632967347796269E-2</v>
      </c>
      <c r="Z118">
        <v>0.45338036006411403</v>
      </c>
    </row>
    <row r="119" spans="1:26" x14ac:dyDescent="0.2">
      <c r="A119" s="13">
        <v>10815</v>
      </c>
      <c r="B119" s="13" t="s">
        <v>79</v>
      </c>
      <c r="C119" s="13" t="s">
        <v>72</v>
      </c>
      <c r="D119" s="14">
        <v>44225</v>
      </c>
      <c r="E119" s="15"/>
      <c r="F119" s="16">
        <v>1.10995</v>
      </c>
      <c r="G119" s="16">
        <v>10.349080000000001</v>
      </c>
      <c r="H119" t="s">
        <v>165</v>
      </c>
      <c r="I119">
        <v>9.9422938121862259E-3</v>
      </c>
      <c r="J119">
        <v>0.48242166320077406</v>
      </c>
      <c r="K119">
        <v>7.1363160184255217E-3</v>
      </c>
      <c r="L119">
        <v>4.9209390957185269E-3</v>
      </c>
      <c r="M119">
        <v>2.7320841763771333</v>
      </c>
      <c r="N119">
        <v>9.4349161150160503E-3</v>
      </c>
      <c r="O119">
        <v>2.0839725393109103</v>
      </c>
      <c r="P119">
        <v>0.50405514536258578</v>
      </c>
      <c r="Q119">
        <v>7.5744803287447499E-3</v>
      </c>
      <c r="R119">
        <v>0.11544612556325543</v>
      </c>
      <c r="S119">
        <v>5.493491002200993E-5</v>
      </c>
      <c r="T119">
        <v>0.11544612556325534</v>
      </c>
      <c r="U119">
        <v>1.3224238271189255</v>
      </c>
      <c r="V119">
        <v>0.2467216435043538</v>
      </c>
      <c r="W119">
        <v>0.18119844705027935</v>
      </c>
      <c r="X119">
        <v>0.39627092172368794</v>
      </c>
      <c r="Y119">
        <v>0.23953704834729014</v>
      </c>
      <c r="Z119">
        <v>0.27221731403168342</v>
      </c>
    </row>
    <row r="120" spans="1:26" x14ac:dyDescent="0.2">
      <c r="A120" s="17">
        <v>10960</v>
      </c>
      <c r="B120" s="17" t="s">
        <v>246</v>
      </c>
      <c r="C120" s="17" t="s">
        <v>142</v>
      </c>
      <c r="D120" s="72">
        <v>44225</v>
      </c>
      <c r="E120" s="73">
        <v>101</v>
      </c>
      <c r="F120" s="17">
        <v>6.2370000000000002E-2</v>
      </c>
      <c r="G120" s="74">
        <v>0.2048299999999994</v>
      </c>
      <c r="H120" t="s">
        <v>242</v>
      </c>
      <c r="I120">
        <v>1.0043390825149609E-2</v>
      </c>
      <c r="J120">
        <v>0.14166863401743507</v>
      </c>
      <c r="K120">
        <v>7.1286551210876939E-3</v>
      </c>
      <c r="L120">
        <v>2.8469410522494695E-3</v>
      </c>
      <c r="M120">
        <v>1.9522735750237397</v>
      </c>
      <c r="N120">
        <v>3.6731384892425226E-3</v>
      </c>
      <c r="O120">
        <v>1.6838337510914818</v>
      </c>
      <c r="P120">
        <v>0.14908906323416568</v>
      </c>
      <c r="Q120">
        <v>8.6674228552049166E-3</v>
      </c>
      <c r="R120">
        <v>5.242443345792807E-2</v>
      </c>
      <c r="S120">
        <v>6.2861618752438087E-5</v>
      </c>
      <c r="T120">
        <v>5.2424433457928417E-2</v>
      </c>
      <c r="U120">
        <v>6.4645707324555032E-2</v>
      </c>
      <c r="V120">
        <v>0.29737145273267462</v>
      </c>
      <c r="W120">
        <v>9.5828100678314015E-2</v>
      </c>
      <c r="X120">
        <v>0.12836451498431647</v>
      </c>
      <c r="Y120">
        <v>6.2030143489277866E-3</v>
      </c>
      <c r="Z120">
        <v>0.27037623207108352</v>
      </c>
    </row>
    <row r="121" spans="1:26" x14ac:dyDescent="0.2">
      <c r="A121" s="13">
        <v>10815</v>
      </c>
      <c r="B121" s="13" t="s">
        <v>79</v>
      </c>
      <c r="C121" s="13" t="s">
        <v>72</v>
      </c>
      <c r="D121" s="14">
        <v>44225</v>
      </c>
      <c r="E121" s="15"/>
      <c r="F121" s="16">
        <v>1.10995</v>
      </c>
      <c r="G121" s="16">
        <v>10.349080000000001</v>
      </c>
      <c r="H121" t="s">
        <v>167</v>
      </c>
      <c r="I121">
        <v>1.0016135849970206E-2</v>
      </c>
      <c r="J121">
        <v>0.48780205580495589</v>
      </c>
      <c r="K121">
        <v>7.1369269599452709E-3</v>
      </c>
      <c r="L121">
        <v>3.6176959744185075E-3</v>
      </c>
      <c r="M121">
        <v>2.73206060496859</v>
      </c>
      <c r="N121">
        <v>8.0295967516079043E-3</v>
      </c>
      <c r="O121">
        <v>2.0708028015781124</v>
      </c>
      <c r="P121">
        <v>0.5177013233616965</v>
      </c>
      <c r="Q121">
        <v>7.578993344788087E-3</v>
      </c>
      <c r="R121">
        <v>0.13458498940149966</v>
      </c>
      <c r="S121">
        <v>5.4967641261581248E-5</v>
      </c>
      <c r="T121">
        <v>0.13458498940149952</v>
      </c>
      <c r="U121">
        <v>1.3227507678602524</v>
      </c>
      <c r="V121">
        <v>0.21879072517751638</v>
      </c>
      <c r="W121">
        <v>0.18127423199591883</v>
      </c>
      <c r="X121">
        <v>0.15332186107311108</v>
      </c>
      <c r="Y121">
        <v>0.23953447548064305</v>
      </c>
      <c r="Z121">
        <v>0.21761360981453545</v>
      </c>
    </row>
    <row r="122" spans="1:26" x14ac:dyDescent="0.2">
      <c r="A122" s="17">
        <v>10961</v>
      </c>
      <c r="B122" s="17" t="s">
        <v>247</v>
      </c>
      <c r="C122" s="17" t="s">
        <v>142</v>
      </c>
      <c r="D122" s="72">
        <v>44225</v>
      </c>
      <c r="E122" s="73">
        <v>195</v>
      </c>
      <c r="F122" s="17">
        <v>8.3449999999999996E-2</v>
      </c>
      <c r="G122" s="74">
        <v>0.20080000000000098</v>
      </c>
      <c r="H122" t="s">
        <v>243</v>
      </c>
      <c r="I122">
        <v>1.0065760318513844E-2</v>
      </c>
      <c r="J122">
        <v>0.15136409530753989</v>
      </c>
      <c r="K122">
        <v>7.1298621648911778E-3</v>
      </c>
      <c r="L122">
        <v>2.7233565831577284E-3</v>
      </c>
      <c r="M122">
        <v>2.7434565880359432</v>
      </c>
      <c r="N122">
        <v>3.2758702201117836E-3</v>
      </c>
      <c r="O122">
        <v>2.3620710494263433</v>
      </c>
      <c r="P122">
        <v>0.15750554849822898</v>
      </c>
      <c r="Q122">
        <v>8.6637097219201126E-3</v>
      </c>
      <c r="R122">
        <v>3.1033766863567666E-2</v>
      </c>
      <c r="S122">
        <v>6.2834688767271165E-5</v>
      </c>
      <c r="T122">
        <v>3.1033766863567406E-2</v>
      </c>
      <c r="U122">
        <v>9.8955216860617423E-2</v>
      </c>
      <c r="V122">
        <v>0.24108898858884376</v>
      </c>
      <c r="W122">
        <v>0.16692496567231005</v>
      </c>
      <c r="X122">
        <v>0.13395693568597306</v>
      </c>
      <c r="Y122">
        <v>1.651799044253487E-2</v>
      </c>
      <c r="Z122">
        <v>0.19842033062217901</v>
      </c>
    </row>
    <row r="123" spans="1:26" x14ac:dyDescent="0.2">
      <c r="A123" s="13">
        <v>10815</v>
      </c>
      <c r="B123" s="13" t="s">
        <v>79</v>
      </c>
      <c r="C123" s="13" t="s">
        <v>72</v>
      </c>
      <c r="D123" s="14">
        <v>44225</v>
      </c>
      <c r="E123" s="15"/>
      <c r="F123" s="16">
        <v>1.10995</v>
      </c>
      <c r="G123" s="16">
        <v>10.349080000000001</v>
      </c>
      <c r="H123" t="s">
        <v>169</v>
      </c>
      <c r="I123">
        <v>1.0038368810059135E-2</v>
      </c>
      <c r="J123">
        <v>0.59115156334715258</v>
      </c>
      <c r="K123">
        <v>7.135996213113731E-3</v>
      </c>
      <c r="L123">
        <v>5.6950043091829224E-3</v>
      </c>
      <c r="M123">
        <v>2.7321237150030271</v>
      </c>
      <c r="N123">
        <v>1.002931961006134E-2</v>
      </c>
      <c r="O123">
        <v>2.0618843789933492</v>
      </c>
      <c r="P123">
        <v>0.54547119127666799</v>
      </c>
      <c r="Q123">
        <v>7.5817429826823129E-3</v>
      </c>
      <c r="R123">
        <v>0.10281545549887501</v>
      </c>
      <c r="S123">
        <v>5.4987583370314336E-5</v>
      </c>
      <c r="T123">
        <v>0.10281545549887441</v>
      </c>
      <c r="U123">
        <v>1.3208152057762363</v>
      </c>
      <c r="V123">
        <v>0.2693351483748947</v>
      </c>
      <c r="W123">
        <v>0.18090653486904898</v>
      </c>
      <c r="X123">
        <v>0.34314054858054194</v>
      </c>
      <c r="Y123">
        <v>0.23873614457464987</v>
      </c>
      <c r="Z123">
        <v>0.19429771995226625</v>
      </c>
    </row>
    <row r="124" spans="1:26" x14ac:dyDescent="0.2">
      <c r="A124" s="17">
        <v>10962</v>
      </c>
      <c r="B124" s="17" t="s">
        <v>248</v>
      </c>
      <c r="C124" s="17" t="s">
        <v>142</v>
      </c>
      <c r="D124" s="72">
        <v>44225</v>
      </c>
      <c r="E124" s="73">
        <v>244</v>
      </c>
      <c r="F124" s="17">
        <v>6.8239999999999995E-2</v>
      </c>
      <c r="G124" s="74">
        <v>0.20308999999999955</v>
      </c>
      <c r="H124" t="s">
        <v>244</v>
      </c>
      <c r="I124">
        <v>1.0043314262185899E-2</v>
      </c>
      <c r="J124">
        <v>0.21156505214599935</v>
      </c>
      <c r="K124">
        <v>7.1304658782559401E-3</v>
      </c>
      <c r="L124">
        <v>2.668766374936093E-3</v>
      </c>
      <c r="M124">
        <v>2.6614993241474525</v>
      </c>
      <c r="N124">
        <v>3.6997954895906086E-3</v>
      </c>
      <c r="O124">
        <v>2.2967078112045338</v>
      </c>
      <c r="P124">
        <v>0.20976536194971257</v>
      </c>
      <c r="Q124">
        <v>8.6692795336667707E-3</v>
      </c>
      <c r="R124">
        <v>3.968148438457543E-2</v>
      </c>
      <c r="S124">
        <v>6.2875084556006792E-5</v>
      </c>
      <c r="T124">
        <v>3.9681484384576554E-2</v>
      </c>
      <c r="U124">
        <v>9.9301712207156279E-2</v>
      </c>
      <c r="V124">
        <v>0.25799680187680807</v>
      </c>
      <c r="W124">
        <v>0.23864253903708368</v>
      </c>
      <c r="X124">
        <v>0.24293493743696043</v>
      </c>
      <c r="Y124">
        <v>2.3689242498787257E-2</v>
      </c>
      <c r="Z124">
        <v>0.26438932036470253</v>
      </c>
    </row>
    <row r="125" spans="1:26" x14ac:dyDescent="0.2">
      <c r="A125" s="13">
        <v>10815</v>
      </c>
      <c r="B125" s="13" t="s">
        <v>79</v>
      </c>
      <c r="C125" s="13" t="s">
        <v>72</v>
      </c>
      <c r="D125" s="14">
        <v>44225</v>
      </c>
      <c r="E125" s="15"/>
      <c r="F125" s="16">
        <v>1.10995</v>
      </c>
      <c r="G125" s="16">
        <v>10.349080000000001</v>
      </c>
      <c r="H125" t="s">
        <v>171</v>
      </c>
      <c r="I125">
        <v>9.9491879169797074E-3</v>
      </c>
      <c r="J125">
        <v>0.64398355686951214</v>
      </c>
      <c r="K125">
        <v>7.1364023100557493E-3</v>
      </c>
      <c r="L125">
        <v>5.0065621261837405E-3</v>
      </c>
      <c r="M125">
        <v>2.7318427717309355</v>
      </c>
      <c r="N125">
        <v>9.3228626101953312E-3</v>
      </c>
      <c r="O125">
        <v>2.0783376393739315</v>
      </c>
      <c r="P125">
        <v>0.63658691231579878</v>
      </c>
      <c r="Q125">
        <v>7.5778408936058757E-3</v>
      </c>
      <c r="R125">
        <v>9.7197336095401987E-2</v>
      </c>
      <c r="S125">
        <v>5.4959282958535814E-5</v>
      </c>
      <c r="T125">
        <v>9.7197336095402639E-2</v>
      </c>
      <c r="U125">
        <v>1.3187313468681843</v>
      </c>
      <c r="V125">
        <v>0.28204452288882598</v>
      </c>
      <c r="W125">
        <v>0.18172444115647834</v>
      </c>
      <c r="X125">
        <v>0.45970365409078184</v>
      </c>
      <c r="Y125">
        <v>0.23950505403861749</v>
      </c>
      <c r="Z125">
        <v>0.32328341171941327</v>
      </c>
    </row>
    <row r="127" spans="1:26" x14ac:dyDescent="0.2">
      <c r="A127" s="13">
        <v>10815</v>
      </c>
      <c r="B127" s="13" t="s">
        <v>79</v>
      </c>
      <c r="C127" s="13" t="s">
        <v>72</v>
      </c>
      <c r="D127" s="14">
        <v>44228</v>
      </c>
      <c r="E127" s="15"/>
      <c r="F127" s="16">
        <v>1.10995</v>
      </c>
      <c r="G127" s="16">
        <v>10.349080000000001</v>
      </c>
      <c r="H127" t="s">
        <v>163</v>
      </c>
      <c r="I127">
        <v>9.949478328610574E-3</v>
      </c>
      <c r="J127">
        <v>0.58411944651846148</v>
      </c>
      <c r="K127">
        <v>7.1437934813527067E-3</v>
      </c>
      <c r="L127">
        <v>5.171162747777013E-3</v>
      </c>
      <c r="M127">
        <v>2.7323632910194218</v>
      </c>
      <c r="N127">
        <v>7.7841512122739402E-3</v>
      </c>
      <c r="O127">
        <v>2.0825888931444925</v>
      </c>
      <c r="P127">
        <v>0.60254180489022557</v>
      </c>
      <c r="Q127">
        <v>7.5737450510561166E-3</v>
      </c>
      <c r="R127">
        <v>0.10486475764343323</v>
      </c>
      <c r="S127">
        <v>5.4929577324331233E-5</v>
      </c>
      <c r="T127">
        <v>0.10486475764343423</v>
      </c>
      <c r="U127">
        <v>1.3247158947310227</v>
      </c>
      <c r="V127">
        <v>0.23105925815848199</v>
      </c>
      <c r="W127">
        <v>0.18277269900140275</v>
      </c>
      <c r="X127">
        <v>0.34406184455669658</v>
      </c>
      <c r="Y127">
        <v>0.24268449414735702</v>
      </c>
      <c r="Z127">
        <v>0.25574968113998736</v>
      </c>
    </row>
    <row r="128" spans="1:26" x14ac:dyDescent="0.2">
      <c r="A128" s="17">
        <v>10963</v>
      </c>
      <c r="B128" s="17" t="s">
        <v>249</v>
      </c>
      <c r="C128" s="17" t="s">
        <v>142</v>
      </c>
      <c r="D128" s="72">
        <v>44228</v>
      </c>
      <c r="E128" s="73">
        <v>295</v>
      </c>
      <c r="F128" s="17">
        <v>9.2219999999999996E-2</v>
      </c>
      <c r="G128" s="74">
        <v>0.20696999999999832</v>
      </c>
      <c r="H128" t="s">
        <v>254</v>
      </c>
      <c r="I128">
        <v>1.0024986898111207E-2</v>
      </c>
      <c r="J128">
        <v>0.18330046775530107</v>
      </c>
      <c r="K128">
        <v>7.1305061945554707E-3</v>
      </c>
      <c r="L128">
        <v>3.1038697514756955E-3</v>
      </c>
      <c r="M128">
        <v>2.5859693527004914</v>
      </c>
      <c r="N128">
        <v>4.5806054494293529E-3</v>
      </c>
      <c r="O128">
        <v>2.2352757706306239</v>
      </c>
      <c r="P128">
        <v>0.18312634264219754</v>
      </c>
      <c r="Q128">
        <v>8.6635719767927544E-3</v>
      </c>
      <c r="R128">
        <v>4.1874514655863428E-2</v>
      </c>
      <c r="S128">
        <v>6.2833689752705282E-5</v>
      </c>
      <c r="T128">
        <v>4.1874514655863566E-2</v>
      </c>
      <c r="U128">
        <v>0.10034571053296615</v>
      </c>
      <c r="V128">
        <v>0.20689852173672491</v>
      </c>
      <c r="W128">
        <v>0.26063568601152232</v>
      </c>
      <c r="X128">
        <v>0.18494731374687226</v>
      </c>
      <c r="Y128">
        <v>2.615720814438156E-2</v>
      </c>
      <c r="Z128">
        <v>0.23936481602225543</v>
      </c>
    </row>
    <row r="129" spans="1:26" x14ac:dyDescent="0.2">
      <c r="A129" s="13">
        <v>10815</v>
      </c>
      <c r="B129" s="13" t="s">
        <v>79</v>
      </c>
      <c r="C129" s="13" t="s">
        <v>72</v>
      </c>
      <c r="D129" s="14">
        <v>44228</v>
      </c>
      <c r="E129" s="15"/>
      <c r="F129" s="16">
        <v>1.10995</v>
      </c>
      <c r="G129" s="16">
        <v>10.349080000000001</v>
      </c>
      <c r="H129" t="s">
        <v>165</v>
      </c>
      <c r="I129">
        <v>9.9008867641650206E-3</v>
      </c>
      <c r="J129">
        <v>0.54784935462404571</v>
      </c>
      <c r="K129">
        <v>7.1432065748567837E-3</v>
      </c>
      <c r="L129">
        <v>4.3518729852632014E-3</v>
      </c>
      <c r="M129">
        <v>2.7322803039703252</v>
      </c>
      <c r="N129">
        <v>7.8716387352145718E-3</v>
      </c>
      <c r="O129">
        <v>2.0946051268278212</v>
      </c>
      <c r="P129">
        <v>0.51047352279335989</v>
      </c>
      <c r="Q129">
        <v>7.5831167833776388E-3</v>
      </c>
      <c r="R129">
        <v>0.11610895300292132</v>
      </c>
      <c r="S129">
        <v>5.4997547039676519E-5</v>
      </c>
      <c r="T129">
        <v>0.11610895300292125</v>
      </c>
      <c r="U129">
        <v>1.3233597524869882</v>
      </c>
      <c r="V129">
        <v>0.26443009550288832</v>
      </c>
      <c r="W129">
        <v>0.18257921895740026</v>
      </c>
      <c r="X129">
        <v>0.40150714635486817</v>
      </c>
      <c r="Y129">
        <v>0.24209671546451597</v>
      </c>
      <c r="Z129">
        <v>0.34213668924812224</v>
      </c>
    </row>
    <row r="130" spans="1:26" x14ac:dyDescent="0.2">
      <c r="A130" s="17">
        <v>10964</v>
      </c>
      <c r="B130" s="17" t="s">
        <v>250</v>
      </c>
      <c r="C130" s="17" t="s">
        <v>142</v>
      </c>
      <c r="D130" s="72">
        <v>44228</v>
      </c>
      <c r="E130" s="73">
        <v>345</v>
      </c>
      <c r="F130" s="17">
        <v>8.1909999999999997E-2</v>
      </c>
      <c r="G130" s="74">
        <v>0.20667000000000257</v>
      </c>
      <c r="H130" t="s">
        <v>255</v>
      </c>
      <c r="I130">
        <v>1.002594782686984E-2</v>
      </c>
      <c r="J130">
        <v>0.18305181870280138</v>
      </c>
      <c r="K130">
        <v>7.1318724358201222E-3</v>
      </c>
      <c r="L130">
        <v>3.2013245999625325E-3</v>
      </c>
      <c r="M130">
        <v>2.5410679995877556</v>
      </c>
      <c r="N130">
        <v>3.4153402114354961E-3</v>
      </c>
      <c r="O130">
        <v>2.1974443063543072</v>
      </c>
      <c r="P130">
        <v>0.18083020121585155</v>
      </c>
      <c r="Q130">
        <v>8.666570667504649E-3</v>
      </c>
      <c r="R130">
        <v>3.9863095987639256E-2</v>
      </c>
      <c r="S130">
        <v>6.2855438149597462E-5</v>
      </c>
      <c r="T130">
        <v>3.9863095987638542E-2</v>
      </c>
      <c r="U130">
        <v>0.1007023704650612</v>
      </c>
      <c r="V130">
        <v>0.26587946204129304</v>
      </c>
      <c r="W130">
        <v>0.31893580843025626</v>
      </c>
      <c r="X130">
        <v>0.23505640784178247</v>
      </c>
      <c r="Y130">
        <v>3.2191154936149255E-2</v>
      </c>
      <c r="Z130">
        <v>0.24381939302204297</v>
      </c>
    </row>
    <row r="131" spans="1:26" x14ac:dyDescent="0.2">
      <c r="A131" s="13">
        <v>10815</v>
      </c>
      <c r="B131" s="13" t="s">
        <v>79</v>
      </c>
      <c r="C131" s="13" t="s">
        <v>72</v>
      </c>
      <c r="D131" s="14">
        <v>44228</v>
      </c>
      <c r="E131" s="15"/>
      <c r="F131" s="16">
        <v>1.10995</v>
      </c>
      <c r="G131" s="16">
        <v>10.349080000000001</v>
      </c>
      <c r="H131" t="s">
        <v>167</v>
      </c>
      <c r="I131">
        <v>9.9223141875755174E-3</v>
      </c>
      <c r="J131">
        <v>0.64185891674362749</v>
      </c>
      <c r="K131">
        <v>7.1456680861062888E-3</v>
      </c>
      <c r="L131">
        <v>6.2394506401849074E-3</v>
      </c>
      <c r="M131">
        <v>2.7320833807136289</v>
      </c>
      <c r="N131">
        <v>8.6180776656296035E-3</v>
      </c>
      <c r="O131">
        <v>2.0913976724303294</v>
      </c>
      <c r="P131">
        <v>0.61155831729604715</v>
      </c>
      <c r="Q131">
        <v>7.5795219435751465E-3</v>
      </c>
      <c r="R131">
        <v>9.6142349664735574E-2</v>
      </c>
      <c r="S131">
        <v>5.4971474993473684E-5</v>
      </c>
      <c r="T131">
        <v>9.6142349664736018E-2</v>
      </c>
      <c r="U131">
        <v>1.3233657131536631</v>
      </c>
      <c r="V131">
        <v>0.27191707046624036</v>
      </c>
      <c r="W131">
        <v>0.18222342970972907</v>
      </c>
      <c r="X131">
        <v>0.32225585469731871</v>
      </c>
      <c r="Y131">
        <v>0.24109761053922141</v>
      </c>
      <c r="Z131">
        <v>0.25752839903489699</v>
      </c>
    </row>
    <row r="132" spans="1:26" x14ac:dyDescent="0.2">
      <c r="A132" s="17">
        <v>10965</v>
      </c>
      <c r="B132" s="17" t="s">
        <v>251</v>
      </c>
      <c r="C132" s="17" t="s">
        <v>142</v>
      </c>
      <c r="D132" s="72">
        <v>44228</v>
      </c>
      <c r="E132" s="73">
        <v>410</v>
      </c>
      <c r="F132" s="17">
        <v>5.9119999999999999E-2</v>
      </c>
      <c r="G132" s="74">
        <v>0.20631000000000022</v>
      </c>
      <c r="H132" t="s">
        <v>256</v>
      </c>
      <c r="I132">
        <v>1.0034994080117815E-2</v>
      </c>
      <c r="J132">
        <v>0.18873186688393895</v>
      </c>
      <c r="K132">
        <v>7.1330288882858507E-3</v>
      </c>
      <c r="L132">
        <v>2.7318329317239801E-3</v>
      </c>
      <c r="M132">
        <v>2.3482377044794376</v>
      </c>
      <c r="N132">
        <v>4.1344670512794782E-3</v>
      </c>
      <c r="O132">
        <v>2.0279451519602811</v>
      </c>
      <c r="P132">
        <v>0.19567552685492323</v>
      </c>
      <c r="Q132">
        <v>8.666762117720812E-3</v>
      </c>
      <c r="R132">
        <v>4.9297468955591103E-2</v>
      </c>
      <c r="S132">
        <v>6.2856826667349465E-5</v>
      </c>
      <c r="T132">
        <v>4.9297468955590909E-2</v>
      </c>
      <c r="U132">
        <v>9.7878086137883277E-2</v>
      </c>
      <c r="V132">
        <v>0.29595653710128161</v>
      </c>
      <c r="W132">
        <v>0.18271659552951539</v>
      </c>
      <c r="X132">
        <v>0.20371546227941434</v>
      </c>
      <c r="Y132">
        <v>1.7880743450215886E-2</v>
      </c>
      <c r="Z132">
        <v>0.28119296772165531</v>
      </c>
    </row>
    <row r="133" spans="1:26" x14ac:dyDescent="0.2">
      <c r="A133" s="13">
        <v>10815</v>
      </c>
      <c r="B133" s="13" t="s">
        <v>79</v>
      </c>
      <c r="C133" s="13" t="s">
        <v>72</v>
      </c>
      <c r="D133" s="14">
        <v>44228</v>
      </c>
      <c r="E133" s="15"/>
      <c r="F133" s="16">
        <v>1.10995</v>
      </c>
      <c r="G133" s="16">
        <v>10.349080000000001</v>
      </c>
      <c r="H133" t="s">
        <v>169</v>
      </c>
      <c r="I133">
        <v>9.9002599741960309E-3</v>
      </c>
      <c r="J133">
        <v>0.73716902664523054</v>
      </c>
      <c r="K133">
        <v>7.14706871342003E-3</v>
      </c>
      <c r="L133">
        <v>5.5834927736633103E-3</v>
      </c>
      <c r="M133">
        <v>2.7320992711824612</v>
      </c>
      <c r="N133">
        <v>7.6221838318320237E-3</v>
      </c>
      <c r="O133">
        <v>2.092522285599721</v>
      </c>
      <c r="P133">
        <v>0.73349712791975796</v>
      </c>
      <c r="Q133">
        <v>7.5778068256328428E-3</v>
      </c>
      <c r="R133">
        <v>8.8749076625341067E-2</v>
      </c>
      <c r="S133">
        <v>5.4959035876102158E-5</v>
      </c>
      <c r="T133">
        <v>8.8749076625342219E-2</v>
      </c>
      <c r="U133">
        <v>1.3167241616786842</v>
      </c>
      <c r="V133">
        <v>0.27537970305414927</v>
      </c>
      <c r="W133">
        <v>0.18157740653833723</v>
      </c>
      <c r="X133">
        <v>0.33318219993993481</v>
      </c>
      <c r="Y133">
        <v>0.23958141233945188</v>
      </c>
      <c r="Z133">
        <v>0.18694572121067898</v>
      </c>
    </row>
    <row r="134" spans="1:26" x14ac:dyDescent="0.2">
      <c r="A134" s="17">
        <v>10966</v>
      </c>
      <c r="B134" s="17" t="s">
        <v>252</v>
      </c>
      <c r="C134" s="17" t="s">
        <v>142</v>
      </c>
      <c r="D134" s="72">
        <v>44228</v>
      </c>
      <c r="E134" s="73">
        <v>480</v>
      </c>
      <c r="F134" s="17">
        <v>6.8680000000000005E-2</v>
      </c>
      <c r="G134" s="74">
        <v>0.20542000000000016</v>
      </c>
      <c r="H134" t="s">
        <v>257</v>
      </c>
      <c r="I134">
        <v>1.0043915428798478E-2</v>
      </c>
      <c r="J134">
        <v>0.12372291941255531</v>
      </c>
      <c r="K134">
        <v>7.131842380744869E-3</v>
      </c>
      <c r="L134">
        <v>2.7369473978865618E-3</v>
      </c>
      <c r="M134">
        <v>2.4770202227353955</v>
      </c>
      <c r="N134">
        <v>3.3723546148287072E-3</v>
      </c>
      <c r="O134">
        <v>2.1370223136139992</v>
      </c>
      <c r="P134">
        <v>0.15133193314151763</v>
      </c>
      <c r="Q134">
        <v>8.6667084463037964E-3</v>
      </c>
      <c r="R134">
        <v>4.7164639245582944E-2</v>
      </c>
      <c r="S134">
        <v>6.2856437408372431E-5</v>
      </c>
      <c r="T134">
        <v>4.7164639245583055E-2</v>
      </c>
      <c r="U134">
        <v>0.10396213634356398</v>
      </c>
      <c r="V134">
        <v>0.27293941489093065</v>
      </c>
      <c r="W134">
        <v>0.15836082430112003</v>
      </c>
      <c r="X134">
        <v>0.1702891312211548</v>
      </c>
      <c r="Y134">
        <v>1.6452807429449684E-2</v>
      </c>
      <c r="Z134">
        <v>0.20575002903037129</v>
      </c>
    </row>
    <row r="135" spans="1:26" x14ac:dyDescent="0.2">
      <c r="A135" s="13">
        <v>10815</v>
      </c>
      <c r="B135" s="13" t="s">
        <v>79</v>
      </c>
      <c r="C135" s="13" t="s">
        <v>72</v>
      </c>
      <c r="D135" s="14">
        <v>44228</v>
      </c>
      <c r="E135" s="15"/>
      <c r="F135" s="16">
        <v>1.10995</v>
      </c>
      <c r="G135" s="16">
        <v>10.349080000000001</v>
      </c>
      <c r="H135" t="s">
        <v>171</v>
      </c>
      <c r="I135">
        <v>9.9043633174486848E-3</v>
      </c>
      <c r="J135">
        <v>0.63222348738117162</v>
      </c>
      <c r="K135">
        <v>7.1467701639850809E-3</v>
      </c>
      <c r="L135">
        <v>5.7077010949240425E-3</v>
      </c>
      <c r="M135">
        <v>2.7319031109239202</v>
      </c>
      <c r="N135">
        <v>9.6968041266826243E-3</v>
      </c>
      <c r="O135">
        <v>2.0926585143495049</v>
      </c>
      <c r="P135">
        <v>0.6469483137753298</v>
      </c>
      <c r="Q135">
        <v>7.5818958844042677E-3</v>
      </c>
      <c r="R135">
        <v>0.13604131350625445</v>
      </c>
      <c r="S135">
        <v>5.4988692310066421E-5</v>
      </c>
      <c r="T135">
        <v>0.13604131350625623</v>
      </c>
      <c r="U135">
        <v>1.3202902018367142</v>
      </c>
      <c r="V135">
        <v>0.30479018743592534</v>
      </c>
      <c r="W135">
        <v>0.18148182621796449</v>
      </c>
      <c r="X135">
        <v>0.38825350116081603</v>
      </c>
      <c r="Y135">
        <v>0.2396945574617862</v>
      </c>
      <c r="Z135">
        <v>0.29227447156547604</v>
      </c>
    </row>
    <row r="136" spans="1:26" x14ac:dyDescent="0.2">
      <c r="A136" s="17">
        <v>10967</v>
      </c>
      <c r="B136" s="17" t="s">
        <v>253</v>
      </c>
      <c r="C136" s="17" t="s">
        <v>142</v>
      </c>
      <c r="D136" s="72">
        <v>44228</v>
      </c>
      <c r="E136" s="73">
        <v>525</v>
      </c>
      <c r="F136" s="17">
        <v>7.2309999999999999E-2</v>
      </c>
      <c r="G136" s="74">
        <v>0.20621000000000045</v>
      </c>
      <c r="H136" t="s">
        <v>258</v>
      </c>
      <c r="I136">
        <v>1.0061713058759839E-2</v>
      </c>
      <c r="J136">
        <v>0.27264392440245161</v>
      </c>
      <c r="K136">
        <v>7.1375923592317432E-3</v>
      </c>
      <c r="L136">
        <v>3.4039502126571725E-3</v>
      </c>
      <c r="M136">
        <v>2.2876070692129318</v>
      </c>
      <c r="N136">
        <v>4.425025990788682E-3</v>
      </c>
      <c r="O136">
        <v>1.9718874226360039</v>
      </c>
      <c r="P136">
        <v>0.28487741170423325</v>
      </c>
      <c r="Q136">
        <v>8.6716550413758701E-3</v>
      </c>
      <c r="R136">
        <v>5.0664000747301846E-2</v>
      </c>
      <c r="S136">
        <v>6.2892313236601621E-5</v>
      </c>
      <c r="T136">
        <v>5.0664000747301902E-2</v>
      </c>
      <c r="U136">
        <v>9.7087176076589343E-2</v>
      </c>
      <c r="V136">
        <v>0.41124429448397942</v>
      </c>
      <c r="W136">
        <v>0.22808102870296953</v>
      </c>
      <c r="X136">
        <v>0.29496674424204944</v>
      </c>
      <c r="Y136">
        <v>2.2184828621955567E-2</v>
      </c>
      <c r="Z136">
        <v>0.39227645321149435</v>
      </c>
    </row>
    <row r="137" spans="1:26" x14ac:dyDescent="0.2">
      <c r="A137" s="13">
        <v>10815</v>
      </c>
      <c r="B137" s="13" t="s">
        <v>79</v>
      </c>
      <c r="C137" s="13" t="s">
        <v>72</v>
      </c>
      <c r="D137" s="14">
        <v>44228</v>
      </c>
      <c r="E137" s="15"/>
      <c r="F137" s="16">
        <v>1.10995</v>
      </c>
      <c r="G137" s="16">
        <v>10.349080000000001</v>
      </c>
      <c r="H137" t="s">
        <v>216</v>
      </c>
      <c r="I137">
        <v>9.913135693805997E-3</v>
      </c>
      <c r="J137">
        <v>0.49648343865903211</v>
      </c>
      <c r="K137">
        <v>7.1483981116603366E-3</v>
      </c>
      <c r="L137">
        <v>5.5810018442650124E-3</v>
      </c>
      <c r="M137">
        <v>2.7317757536899938</v>
      </c>
      <c r="N137">
        <v>9.0332380104639655E-3</v>
      </c>
      <c r="O137">
        <v>2.0924240846478814</v>
      </c>
      <c r="P137">
        <v>0.52183144834826145</v>
      </c>
      <c r="Q137">
        <v>7.5823398518538613E-3</v>
      </c>
      <c r="R137">
        <v>0.11598369369462476</v>
      </c>
      <c r="S137">
        <v>5.4991912242106347E-5</v>
      </c>
      <c r="T137">
        <v>0.11598369369462484</v>
      </c>
      <c r="U137">
        <v>1.3205754076473941</v>
      </c>
      <c r="V137">
        <v>0.25484448574405483</v>
      </c>
      <c r="W137">
        <v>0.18155356885758131</v>
      </c>
      <c r="X137">
        <v>0.36191730879041362</v>
      </c>
      <c r="Y137">
        <v>0.23958922942684813</v>
      </c>
      <c r="Z137">
        <v>0.28318785457921269</v>
      </c>
    </row>
    <row r="139" spans="1:26" x14ac:dyDescent="0.2">
      <c r="A139" s="13">
        <v>10815</v>
      </c>
      <c r="B139" s="13" t="s">
        <v>79</v>
      </c>
      <c r="C139" s="13" t="s">
        <v>72</v>
      </c>
      <c r="D139" s="14">
        <v>44237</v>
      </c>
      <c r="E139" s="15"/>
      <c r="F139" s="16">
        <v>1.10995</v>
      </c>
      <c r="G139" s="16">
        <v>10.349080000000001</v>
      </c>
      <c r="H139" t="s">
        <v>259</v>
      </c>
      <c r="I139">
        <v>9.9429125662005811E-3</v>
      </c>
      <c r="J139">
        <v>0.70144407437758671</v>
      </c>
      <c r="K139">
        <v>7.144493522241801E-3</v>
      </c>
      <c r="L139">
        <v>7.0463346125696187E-3</v>
      </c>
      <c r="M139">
        <v>2.7322410862018192</v>
      </c>
      <c r="N139">
        <v>1.0644167191973778E-2</v>
      </c>
      <c r="O139">
        <v>2.0817899539772049</v>
      </c>
      <c r="P139">
        <v>0.63692309923462709</v>
      </c>
      <c r="Q139">
        <v>7.5759058128704801E-3</v>
      </c>
      <c r="R139">
        <v>0.16702937941079199</v>
      </c>
      <c r="S139">
        <v>5.4945248532216044E-5</v>
      </c>
      <c r="T139">
        <v>0.16702937941079221</v>
      </c>
      <c r="U139">
        <v>1.3212617558340589</v>
      </c>
      <c r="V139">
        <v>0.3417572634944947</v>
      </c>
      <c r="W139">
        <v>0.18392994446309369</v>
      </c>
      <c r="X139">
        <v>0.46645144552532275</v>
      </c>
      <c r="Y139">
        <v>0.24296288286303247</v>
      </c>
      <c r="Z139">
        <v>0.32641837631813403</v>
      </c>
    </row>
    <row r="140" spans="1:26" x14ac:dyDescent="0.2">
      <c r="A140" s="17">
        <v>10989</v>
      </c>
      <c r="B140" s="17" t="s">
        <v>270</v>
      </c>
      <c r="C140" s="17" t="s">
        <v>142</v>
      </c>
      <c r="D140" s="72">
        <v>44237</v>
      </c>
      <c r="E140" s="73">
        <v>30</v>
      </c>
      <c r="F140" s="17">
        <v>0.10011</v>
      </c>
      <c r="G140" s="74">
        <v>0.10348000000000113</v>
      </c>
      <c r="H140" t="s">
        <v>260</v>
      </c>
      <c r="I140">
        <v>9.9746754656420775E-3</v>
      </c>
      <c r="J140">
        <v>0.26456793572765153</v>
      </c>
      <c r="K140">
        <v>7.130183291478266E-3</v>
      </c>
      <c r="L140">
        <v>3.5007009384990717E-3</v>
      </c>
      <c r="M140">
        <v>5.1858015872109267</v>
      </c>
      <c r="N140">
        <v>5.6173893943003445E-3</v>
      </c>
      <c r="O140">
        <v>4.5087239135662331</v>
      </c>
      <c r="P140">
        <v>0.27427119417540113</v>
      </c>
      <c r="Q140">
        <v>8.6744827151460507E-3</v>
      </c>
      <c r="R140">
        <v>4.7841943836290098E-2</v>
      </c>
      <c r="S140">
        <v>6.2912821310739332E-5</v>
      </c>
      <c r="T140">
        <v>4.78419438362905E-2</v>
      </c>
      <c r="U140">
        <v>3.2888505523135606E-3</v>
      </c>
      <c r="V140">
        <v>2.1112269535000228</v>
      </c>
      <c r="W140">
        <v>9.7448590902627599E-2</v>
      </c>
      <c r="X140">
        <v>0.19854057410384102</v>
      </c>
      <c r="Y140">
        <v>3.2152886717105216E-4</v>
      </c>
      <c r="Z140">
        <v>2.0127434222681364</v>
      </c>
    </row>
    <row r="141" spans="1:26" x14ac:dyDescent="0.2">
      <c r="A141" s="13">
        <v>10815</v>
      </c>
      <c r="B141" s="13" t="s">
        <v>79</v>
      </c>
      <c r="C141" s="13" t="s">
        <v>72</v>
      </c>
      <c r="D141" s="14">
        <v>44237</v>
      </c>
      <c r="E141" s="15"/>
      <c r="F141" s="16">
        <v>1.10995</v>
      </c>
      <c r="G141" s="16">
        <v>10.349080000000001</v>
      </c>
      <c r="H141" t="s">
        <v>261</v>
      </c>
      <c r="I141">
        <v>1.0040110791530795E-2</v>
      </c>
      <c r="J141">
        <v>0.88237798956806601</v>
      </c>
      <c r="K141">
        <v>7.1407071918814236E-3</v>
      </c>
      <c r="L141">
        <v>6.5786975446502083E-3</v>
      </c>
      <c r="M141">
        <v>2.7320982783171281</v>
      </c>
      <c r="N141">
        <v>1.2545510961822128E-2</v>
      </c>
      <c r="O141">
        <v>2.063484704276048</v>
      </c>
      <c r="P141">
        <v>0.85708578493806387</v>
      </c>
      <c r="Q141">
        <v>7.5752834621186033E-3</v>
      </c>
      <c r="R141">
        <v>0.18458260484831374</v>
      </c>
      <c r="S141">
        <v>5.4940734851927389E-5</v>
      </c>
      <c r="T141">
        <v>0.18458260484831443</v>
      </c>
      <c r="U141">
        <v>1.323331660810543</v>
      </c>
      <c r="V141">
        <v>0.28528277750824738</v>
      </c>
      <c r="W141">
        <v>0.18285776330492998</v>
      </c>
      <c r="X141">
        <v>0.41389496618343524</v>
      </c>
      <c r="Y141">
        <v>0.24180972446528176</v>
      </c>
      <c r="Z141">
        <v>0.3631099275414138</v>
      </c>
    </row>
    <row r="142" spans="1:26" x14ac:dyDescent="0.2">
      <c r="A142" s="17">
        <v>10990</v>
      </c>
      <c r="B142" s="17" t="s">
        <v>271</v>
      </c>
      <c r="C142" s="17" t="s">
        <v>142</v>
      </c>
      <c r="D142" s="72">
        <v>44237</v>
      </c>
      <c r="E142" s="73">
        <v>47.5</v>
      </c>
      <c r="F142" s="17">
        <v>8.9520000000000002E-2</v>
      </c>
      <c r="G142" s="74">
        <v>0.10232000000000063</v>
      </c>
      <c r="H142" t="s">
        <v>262</v>
      </c>
      <c r="I142">
        <v>1.0014246057744066E-2</v>
      </c>
      <c r="J142">
        <v>0.28499411653103673</v>
      </c>
      <c r="K142">
        <v>7.1265246258956482E-3</v>
      </c>
      <c r="L142">
        <v>2.5830260950479313E-3</v>
      </c>
      <c r="M142">
        <v>4.7082766988503177</v>
      </c>
      <c r="N142">
        <v>5.9545114943160759E-3</v>
      </c>
      <c r="O142">
        <v>4.0784826624893498</v>
      </c>
      <c r="P142">
        <v>0.28570011551410718</v>
      </c>
      <c r="Q142">
        <v>8.6712223097636428E-3</v>
      </c>
      <c r="R142">
        <v>4.3398398415602425E-2</v>
      </c>
      <c r="S142">
        <v>6.2889174793942897E-5</v>
      </c>
      <c r="T142">
        <v>4.3398398415602259E-2</v>
      </c>
      <c r="U142">
        <v>2.7863740163721422E-3</v>
      </c>
      <c r="V142">
        <v>2.0169844596902693</v>
      </c>
      <c r="W142">
        <v>0.18128629356177367</v>
      </c>
      <c r="X142">
        <v>0.31020418656945725</v>
      </c>
      <c r="Y142">
        <v>5.0189838470085393E-4</v>
      </c>
      <c r="Z142">
        <v>2.044758549087395</v>
      </c>
    </row>
    <row r="143" spans="1:26" x14ac:dyDescent="0.2">
      <c r="A143" s="13">
        <v>10815</v>
      </c>
      <c r="B143" s="13" t="s">
        <v>79</v>
      </c>
      <c r="C143" s="13" t="s">
        <v>72</v>
      </c>
      <c r="D143" s="14">
        <v>44237</v>
      </c>
      <c r="E143" s="15"/>
      <c r="F143" s="16">
        <v>1.10995</v>
      </c>
      <c r="G143" s="16">
        <v>10.349080000000001</v>
      </c>
      <c r="H143" t="s">
        <v>263</v>
      </c>
      <c r="I143">
        <v>9.843208689702029E-3</v>
      </c>
      <c r="J143">
        <v>0.6988833381434294</v>
      </c>
      <c r="K143">
        <v>7.1415042462057501E-3</v>
      </c>
      <c r="L143">
        <v>6.7937462254301405E-3</v>
      </c>
      <c r="M143">
        <v>2.7325604788520965</v>
      </c>
      <c r="N143">
        <v>1.2928551422613814E-2</v>
      </c>
      <c r="O143">
        <v>2.1069880295530687</v>
      </c>
      <c r="P143">
        <v>0.68741024925050198</v>
      </c>
      <c r="Q143">
        <v>7.5904350884803242E-3</v>
      </c>
      <c r="R143">
        <v>0.17967772570567053</v>
      </c>
      <c r="S143">
        <v>5.5050624005340289E-5</v>
      </c>
      <c r="T143">
        <v>0.17967772570567037</v>
      </c>
      <c r="U143">
        <v>1.3223733726625666</v>
      </c>
      <c r="V143">
        <v>0.22094470601230076</v>
      </c>
      <c r="W143">
        <v>0.18112235864597792</v>
      </c>
      <c r="X143">
        <v>0.38042813550467491</v>
      </c>
      <c r="Y143">
        <v>0.23939422398568855</v>
      </c>
      <c r="Z143">
        <v>0.36608710812231787</v>
      </c>
    </row>
    <row r="144" spans="1:26" x14ac:dyDescent="0.2">
      <c r="A144" s="17">
        <v>10991</v>
      </c>
      <c r="B144" s="17" t="s">
        <v>272</v>
      </c>
      <c r="C144" s="17" t="s">
        <v>142</v>
      </c>
      <c r="D144" s="72">
        <v>44237</v>
      </c>
      <c r="E144" s="73">
        <v>70</v>
      </c>
      <c r="F144" s="17">
        <v>0.10969</v>
      </c>
      <c r="G144" s="74">
        <v>0.10315999999999903</v>
      </c>
      <c r="H144" t="s">
        <v>264</v>
      </c>
      <c r="I144">
        <v>9.9612317815312313E-3</v>
      </c>
      <c r="J144">
        <v>0.34038340882295182</v>
      </c>
      <c r="K144">
        <v>7.1313080148451922E-3</v>
      </c>
      <c r="L144">
        <v>2.89589736518346E-3</v>
      </c>
      <c r="M144">
        <v>5.4481468653968426</v>
      </c>
      <c r="N144">
        <v>7.157260057855829E-3</v>
      </c>
      <c r="O144">
        <v>4.7493570736163866</v>
      </c>
      <c r="P144">
        <v>0.34841062998416422</v>
      </c>
      <c r="Q144">
        <v>8.6769532285812263E-3</v>
      </c>
      <c r="R144">
        <v>4.7739606768318586E-2</v>
      </c>
      <c r="S144">
        <v>6.2930739032798075E-5</v>
      </c>
      <c r="T144">
        <v>4.7739606768319162E-2</v>
      </c>
      <c r="U144">
        <v>3.6731947257056378E-3</v>
      </c>
      <c r="V144">
        <v>1.9266906730991673</v>
      </c>
      <c r="W144">
        <v>0.18013803633036796</v>
      </c>
      <c r="X144">
        <v>0.38591771490803178</v>
      </c>
      <c r="Y144">
        <v>6.6141884212213124E-4</v>
      </c>
      <c r="Z144">
        <v>1.946241017248711</v>
      </c>
    </row>
    <row r="145" spans="1:26" x14ac:dyDescent="0.2">
      <c r="A145" s="13">
        <v>10815</v>
      </c>
      <c r="B145" s="13" t="s">
        <v>79</v>
      </c>
      <c r="C145" s="13" t="s">
        <v>72</v>
      </c>
      <c r="D145" s="14">
        <v>44237</v>
      </c>
      <c r="E145" s="15"/>
      <c r="F145" s="16">
        <v>1.10995</v>
      </c>
      <c r="G145" s="16">
        <v>10.349080000000001</v>
      </c>
      <c r="H145" t="s">
        <v>265</v>
      </c>
      <c r="I145">
        <v>9.8903234240472256E-3</v>
      </c>
      <c r="J145">
        <v>0.89677164481823202</v>
      </c>
      <c r="K145">
        <v>7.1450973100345653E-3</v>
      </c>
      <c r="L145">
        <v>8.7659890598647417E-3</v>
      </c>
      <c r="M145">
        <v>2.7325298417342196</v>
      </c>
      <c r="N145">
        <v>1.2002700572211882E-2</v>
      </c>
      <c r="O145">
        <v>2.0902675220191202</v>
      </c>
      <c r="P145">
        <v>0.85230145100013821</v>
      </c>
      <c r="Q145">
        <v>7.5705642696865857E-3</v>
      </c>
      <c r="R145">
        <v>0.13329049480631824</v>
      </c>
      <c r="S145">
        <v>5.4906508291110345E-5</v>
      </c>
      <c r="T145">
        <v>0.13329049480631841</v>
      </c>
      <c r="U145">
        <v>1.321146178919858</v>
      </c>
      <c r="V145">
        <v>0.2322500861911706</v>
      </c>
      <c r="W145">
        <v>0.18011864271781075</v>
      </c>
      <c r="X145">
        <v>0.4303290883684468</v>
      </c>
      <c r="Y145">
        <v>0.238306167051692</v>
      </c>
      <c r="Z145">
        <v>0.36701025040470464</v>
      </c>
    </row>
    <row r="146" spans="1:26" x14ac:dyDescent="0.2">
      <c r="A146" s="17">
        <v>10992</v>
      </c>
      <c r="B146" s="17" t="s">
        <v>273</v>
      </c>
      <c r="C146" s="17" t="s">
        <v>142</v>
      </c>
      <c r="D146" s="72">
        <v>44237</v>
      </c>
      <c r="E146" s="73">
        <v>83.5</v>
      </c>
      <c r="F146" s="17">
        <v>0.10517</v>
      </c>
      <c r="G146" s="74">
        <v>0.10319999999999929</v>
      </c>
      <c r="H146" t="s">
        <v>266</v>
      </c>
      <c r="I146">
        <v>1.0006869005350463E-2</v>
      </c>
      <c r="J146">
        <v>0.32419331887195402</v>
      </c>
      <c r="K146">
        <v>7.1292786120176884E-3</v>
      </c>
      <c r="L146">
        <v>2.2594634123326621E-3</v>
      </c>
      <c r="M146">
        <v>5.4077387210512438</v>
      </c>
      <c r="N146">
        <v>5.087459969772533E-3</v>
      </c>
      <c r="O146">
        <v>4.6884460728822317</v>
      </c>
      <c r="P146">
        <v>0.32796404391919315</v>
      </c>
      <c r="Q146">
        <v>8.6743056418749232E-3</v>
      </c>
      <c r="R146">
        <v>3.309835718314158E-2</v>
      </c>
      <c r="S146">
        <v>6.2911537063663041E-5</v>
      </c>
      <c r="T146">
        <v>3.3098357183141143E-2</v>
      </c>
      <c r="U146">
        <v>3.1835914693593833E-3</v>
      </c>
      <c r="V146">
        <v>2.1346572111771485</v>
      </c>
      <c r="W146">
        <v>0.1139134221724403</v>
      </c>
      <c r="X146">
        <v>0.24962050486602044</v>
      </c>
      <c r="Y146">
        <v>3.626539605353502E-4</v>
      </c>
      <c r="Z146">
        <v>2.1394853732956913</v>
      </c>
    </row>
    <row r="147" spans="1:26" x14ac:dyDescent="0.2">
      <c r="A147" s="13">
        <v>10815</v>
      </c>
      <c r="B147" s="13" t="s">
        <v>79</v>
      </c>
      <c r="C147" s="13" t="s">
        <v>72</v>
      </c>
      <c r="D147" s="14">
        <v>44237</v>
      </c>
      <c r="E147" s="15"/>
      <c r="F147" s="16">
        <v>1.10995</v>
      </c>
      <c r="G147" s="16">
        <v>10.349080000000001</v>
      </c>
      <c r="H147" t="s">
        <v>267</v>
      </c>
      <c r="I147">
        <v>9.8610918768404637E-3</v>
      </c>
      <c r="J147">
        <v>0.87811371729915144</v>
      </c>
      <c r="K147">
        <v>7.14393704723453E-3</v>
      </c>
      <c r="L147">
        <v>5.9918954218008379E-3</v>
      </c>
      <c r="M147">
        <v>2.7313883036634867</v>
      </c>
      <c r="N147">
        <v>9.9990049482963153E-3</v>
      </c>
      <c r="O147">
        <v>2.10301084215578</v>
      </c>
      <c r="P147">
        <v>0.92550555014631974</v>
      </c>
      <c r="Q147">
        <v>7.5875696601568031E-3</v>
      </c>
      <c r="R147">
        <v>0.19244156223777573</v>
      </c>
      <c r="S147">
        <v>5.5029842111362689E-5</v>
      </c>
      <c r="T147">
        <v>0.19244156223777537</v>
      </c>
      <c r="U147">
        <v>1.3192917637214343</v>
      </c>
      <c r="V147">
        <v>0.24502645862072209</v>
      </c>
      <c r="W147">
        <v>0.18000299817462123</v>
      </c>
      <c r="X147">
        <v>0.41553832445524236</v>
      </c>
      <c r="Y147">
        <v>0.23685045435497118</v>
      </c>
      <c r="Z147">
        <v>0.42591408809127451</v>
      </c>
    </row>
    <row r="148" spans="1:26" x14ac:dyDescent="0.2">
      <c r="A148" s="17">
        <v>10993</v>
      </c>
      <c r="B148" s="17" t="s">
        <v>274</v>
      </c>
      <c r="C148" s="17" t="s">
        <v>142</v>
      </c>
      <c r="D148" s="72">
        <v>44237</v>
      </c>
      <c r="E148" s="73">
        <v>100</v>
      </c>
      <c r="F148" s="17">
        <v>9.0450000000000003E-2</v>
      </c>
      <c r="G148" s="74">
        <v>0.10152000000000072</v>
      </c>
      <c r="H148" t="s">
        <v>268</v>
      </c>
      <c r="I148">
        <v>1.0026663183632368E-2</v>
      </c>
      <c r="J148">
        <v>0.35647774127506432</v>
      </c>
      <c r="K148">
        <v>7.1332470760290681E-3</v>
      </c>
      <c r="L148">
        <v>3.4433930132057727E-3</v>
      </c>
      <c r="M148">
        <v>4.530605669410658</v>
      </c>
      <c r="N148">
        <v>6.4312034366205547E-3</v>
      </c>
      <c r="O148">
        <v>3.9227365425596625</v>
      </c>
      <c r="P148">
        <v>0.35807564945340148</v>
      </c>
      <c r="Q148">
        <v>8.6786521914376715E-3</v>
      </c>
      <c r="R148">
        <v>4.256516406710012E-2</v>
      </c>
      <c r="S148">
        <v>6.2943060983294827E-5</v>
      </c>
      <c r="T148">
        <v>4.2565164067099891E-2</v>
      </c>
      <c r="U148">
        <v>3.3976668930595128E-3</v>
      </c>
      <c r="V148">
        <v>2.263765949546058</v>
      </c>
      <c r="W148">
        <v>0.2067019771861334</v>
      </c>
      <c r="X148">
        <v>0.36237074941062886</v>
      </c>
      <c r="Y148">
        <v>7.0179003375701052E-4</v>
      </c>
      <c r="Z148">
        <v>2.3079613597420683</v>
      </c>
    </row>
    <row r="149" spans="1:26" x14ac:dyDescent="0.2">
      <c r="A149" s="13">
        <v>10815</v>
      </c>
      <c r="B149" s="13" t="s">
        <v>79</v>
      </c>
      <c r="C149" s="13" t="s">
        <v>72</v>
      </c>
      <c r="D149" s="14">
        <v>44237</v>
      </c>
      <c r="E149" s="15"/>
      <c r="F149" s="16">
        <v>1.10995</v>
      </c>
      <c r="G149" s="16">
        <v>10.349080000000001</v>
      </c>
      <c r="H149" t="s">
        <v>269</v>
      </c>
      <c r="I149">
        <v>9.9390602035386525E-3</v>
      </c>
      <c r="J149">
        <v>0.81030773825335622</v>
      </c>
      <c r="K149">
        <v>7.146150759421631E-3</v>
      </c>
      <c r="L149">
        <v>6.2928474120729563E-3</v>
      </c>
      <c r="M149">
        <v>2.7316845695998153</v>
      </c>
      <c r="N149">
        <v>1.1430355103511545E-2</v>
      </c>
      <c r="O149">
        <v>2.0823711993246312</v>
      </c>
      <c r="P149">
        <v>0.84614928427079372</v>
      </c>
      <c r="Q149">
        <v>7.5689534087270095E-3</v>
      </c>
      <c r="R149">
        <v>0.15059572607925051</v>
      </c>
      <c r="S149">
        <v>5.4894825311152427E-5</v>
      </c>
      <c r="T149">
        <v>0.15059572607925092</v>
      </c>
      <c r="U149">
        <v>1.3166883901709772</v>
      </c>
      <c r="V149">
        <v>0.26130285124400748</v>
      </c>
      <c r="W149">
        <v>0.18115851257967402</v>
      </c>
      <c r="X149">
        <v>0.4121910678515579</v>
      </c>
      <c r="Y149">
        <v>0.23794191693460667</v>
      </c>
      <c r="Z149">
        <v>0.47762174115801792</v>
      </c>
    </row>
    <row r="151" spans="1:26" x14ac:dyDescent="0.2">
      <c r="A151" s="13">
        <v>10815</v>
      </c>
      <c r="B151" s="13" t="s">
        <v>79</v>
      </c>
      <c r="C151" s="13" t="s">
        <v>72</v>
      </c>
      <c r="D151" s="14">
        <v>44239</v>
      </c>
      <c r="E151" s="15"/>
      <c r="F151" s="16">
        <v>1.10995</v>
      </c>
      <c r="G151" s="16">
        <v>10.349080000000001</v>
      </c>
      <c r="H151" t="s">
        <v>275</v>
      </c>
      <c r="I151">
        <v>9.8230957623813165E-3</v>
      </c>
      <c r="J151">
        <v>0.6070069275531399</v>
      </c>
      <c r="K151">
        <v>7.139277537083751E-3</v>
      </c>
      <c r="L151">
        <v>6.1819163322332209E-3</v>
      </c>
      <c r="M151">
        <v>2.732437104948509</v>
      </c>
      <c r="N151">
        <v>1.0804837256582224E-2</v>
      </c>
      <c r="O151">
        <v>2.1057834840479375</v>
      </c>
      <c r="P151">
        <v>0.61742554902812041</v>
      </c>
      <c r="Q151">
        <v>7.5598205641997929E-3</v>
      </c>
      <c r="R151">
        <v>0.13630381756393148</v>
      </c>
      <c r="S151">
        <v>5.4828588160803831E-5</v>
      </c>
      <c r="T151">
        <v>0.13630381756393162</v>
      </c>
      <c r="U151">
        <v>1.3241064824935511</v>
      </c>
      <c r="V151">
        <v>0.30257400212447377</v>
      </c>
      <c r="W151">
        <v>0.17937938464390615</v>
      </c>
      <c r="X151">
        <v>0.42830734719599328</v>
      </c>
      <c r="Y151">
        <v>0.2377192508366586</v>
      </c>
      <c r="Z151">
        <v>0.28982333428312462</v>
      </c>
    </row>
    <row r="152" spans="1:26" x14ac:dyDescent="0.2">
      <c r="A152" s="17">
        <v>11013</v>
      </c>
      <c r="B152" s="17" t="s">
        <v>285</v>
      </c>
      <c r="C152" s="17" t="s">
        <v>142</v>
      </c>
      <c r="D152" s="72">
        <v>44239</v>
      </c>
      <c r="F152" s="17">
        <v>8.6269999999999999E-2</v>
      </c>
      <c r="G152" s="74">
        <v>9.7080000000000055E-2</v>
      </c>
      <c r="H152" t="s">
        <v>276</v>
      </c>
      <c r="I152">
        <v>9.9712575214042955E-3</v>
      </c>
      <c r="J152">
        <v>0.39676286830212132</v>
      </c>
      <c r="K152">
        <v>7.1271980650983984E-3</v>
      </c>
      <c r="L152">
        <v>5.5032435534006635E-3</v>
      </c>
      <c r="M152">
        <v>4.0736989286751575</v>
      </c>
      <c r="N152">
        <v>6.5543941194432269E-3</v>
      </c>
      <c r="O152">
        <v>3.5475092223446998</v>
      </c>
      <c r="P152">
        <v>0.40298860462031738</v>
      </c>
      <c r="Q152">
        <v>8.6817942804182247E-3</v>
      </c>
      <c r="R152">
        <v>7.7750519524186504E-2</v>
      </c>
      <c r="S152">
        <v>6.2965849394900137E-5</v>
      </c>
      <c r="T152">
        <v>7.7750519524187087E-2</v>
      </c>
      <c r="U152">
        <v>4.0242607150414392E-3</v>
      </c>
      <c r="V152">
        <v>2.8901141913274961</v>
      </c>
      <c r="W152">
        <v>0.20080263656548289</v>
      </c>
      <c r="X152">
        <v>0.43514812025794541</v>
      </c>
      <c r="Y152">
        <v>8.1105846317322408E-4</v>
      </c>
      <c r="Z152">
        <v>2.866784938928872</v>
      </c>
    </row>
    <row r="153" spans="1:26" x14ac:dyDescent="0.2">
      <c r="A153" s="13">
        <v>10815</v>
      </c>
      <c r="B153" s="13" t="s">
        <v>79</v>
      </c>
      <c r="C153" s="13" t="s">
        <v>72</v>
      </c>
      <c r="D153" s="14">
        <v>44239</v>
      </c>
      <c r="E153" s="15"/>
      <c r="F153" s="16">
        <v>1.10995</v>
      </c>
      <c r="G153" s="16">
        <v>10.349080000000001</v>
      </c>
      <c r="H153" t="s">
        <v>277</v>
      </c>
      <c r="I153">
        <v>9.8072895100982885E-3</v>
      </c>
      <c r="J153">
        <v>0.94472789716067129</v>
      </c>
      <c r="K153">
        <v>7.1353152039941668E-3</v>
      </c>
      <c r="L153">
        <v>6.7695175968251441E-3</v>
      </c>
      <c r="M153">
        <v>2.7321848729982308</v>
      </c>
      <c r="N153">
        <v>1.0561785720287039E-2</v>
      </c>
      <c r="O153">
        <v>2.1096323545129056</v>
      </c>
      <c r="P153">
        <v>0.90823183134036178</v>
      </c>
      <c r="Q153">
        <v>7.579461829324295E-3</v>
      </c>
      <c r="R153">
        <v>0.15709985121337897</v>
      </c>
      <c r="S153">
        <v>5.4971039007000944E-5</v>
      </c>
      <c r="T153">
        <v>0.15709985121337894</v>
      </c>
      <c r="U153">
        <v>1.3236901468840327</v>
      </c>
      <c r="V153">
        <v>0.30879733667806547</v>
      </c>
      <c r="W153">
        <v>0.18112961442358444</v>
      </c>
      <c r="X153">
        <v>0.39494449258705339</v>
      </c>
      <c r="Y153">
        <v>0.23978255114608893</v>
      </c>
      <c r="Z153">
        <v>0.39191049136453715</v>
      </c>
    </row>
    <row r="154" spans="1:26" x14ac:dyDescent="0.2">
      <c r="A154" s="17">
        <v>11014</v>
      </c>
      <c r="B154" s="17" t="s">
        <v>286</v>
      </c>
      <c r="C154" s="17" t="s">
        <v>142</v>
      </c>
      <c r="D154" s="72">
        <v>44239</v>
      </c>
      <c r="F154" s="17">
        <v>9.3119999999999994E-2</v>
      </c>
      <c r="G154" s="74">
        <v>0.10289999999999999</v>
      </c>
      <c r="H154" t="s">
        <v>278</v>
      </c>
      <c r="I154">
        <v>9.9012354281546155E-3</v>
      </c>
      <c r="J154">
        <v>0.36491028266313869</v>
      </c>
      <c r="K154">
        <v>7.1278958863824808E-3</v>
      </c>
      <c r="L154">
        <v>3.1049755746103665E-3</v>
      </c>
      <c r="M154">
        <v>4.4567808238840021</v>
      </c>
      <c r="N154">
        <v>6.195990634620686E-3</v>
      </c>
      <c r="O154">
        <v>3.9067768094338291</v>
      </c>
      <c r="P154">
        <v>0.35717678093483729</v>
      </c>
      <c r="Q154">
        <v>8.6744783156637289E-3</v>
      </c>
      <c r="R154">
        <v>5.2387374336107191E-2</v>
      </c>
      <c r="S154">
        <v>6.2912789402917949E-5</v>
      </c>
      <c r="T154">
        <v>5.2387374336106782E-2</v>
      </c>
      <c r="U154">
        <v>3.788801658654895E-3</v>
      </c>
      <c r="V154">
        <v>1.7632398686837545</v>
      </c>
      <c r="W154">
        <v>0.29422883601618799</v>
      </c>
      <c r="X154">
        <v>0.51309298299664641</v>
      </c>
      <c r="Y154">
        <v>1.1144840232286963E-3</v>
      </c>
      <c r="Z154">
        <v>1.9871216681341417</v>
      </c>
    </row>
    <row r="155" spans="1:26" x14ac:dyDescent="0.2">
      <c r="A155" s="13">
        <v>10815</v>
      </c>
      <c r="B155" s="13" t="s">
        <v>79</v>
      </c>
      <c r="C155" s="13" t="s">
        <v>72</v>
      </c>
      <c r="D155" s="14">
        <v>44239</v>
      </c>
      <c r="E155" s="15"/>
      <c r="F155" s="16">
        <v>1.10995</v>
      </c>
      <c r="G155" s="16">
        <v>10.349080000000001</v>
      </c>
      <c r="H155" t="s">
        <v>279</v>
      </c>
      <c r="I155">
        <v>9.6433314306298475E-3</v>
      </c>
      <c r="J155">
        <v>1.1266151648548468</v>
      </c>
      <c r="K155">
        <v>7.1376680807157551E-3</v>
      </c>
      <c r="L155">
        <v>2.4597067309244072E-2</v>
      </c>
      <c r="M155">
        <v>2.7321284080062185</v>
      </c>
      <c r="N155">
        <v>1.5767347983240618E-2</v>
      </c>
      <c r="O155">
        <v>2.1518791038688367</v>
      </c>
      <c r="P155">
        <v>1.1557412452234317</v>
      </c>
      <c r="Q155">
        <v>7.5811631979525677E-3</v>
      </c>
      <c r="R155">
        <v>0.16999023339965544</v>
      </c>
      <c r="S155">
        <v>5.4983378405672741E-5</v>
      </c>
      <c r="T155">
        <v>0.16999023339965474</v>
      </c>
      <c r="U155">
        <v>1.3118168630695983</v>
      </c>
      <c r="V155">
        <v>0.42816389732217047</v>
      </c>
      <c r="W155">
        <v>0.17919219002686093</v>
      </c>
      <c r="X155">
        <v>0.75779443285673587</v>
      </c>
      <c r="Y155">
        <v>0.23477759661889508</v>
      </c>
      <c r="Z155">
        <v>0.71826166248365708</v>
      </c>
    </row>
    <row r="156" spans="1:26" x14ac:dyDescent="0.2">
      <c r="A156" s="17">
        <v>11015</v>
      </c>
      <c r="B156" s="17" t="s">
        <v>287</v>
      </c>
      <c r="C156" s="17" t="s">
        <v>142</v>
      </c>
      <c r="D156" s="72">
        <v>44239</v>
      </c>
      <c r="F156" s="17">
        <v>9.5899999999999999E-2</v>
      </c>
      <c r="G156" s="74">
        <v>0.10251000000000055</v>
      </c>
      <c r="H156" t="s">
        <v>280</v>
      </c>
      <c r="I156">
        <v>9.9558043913998938E-3</v>
      </c>
      <c r="J156">
        <v>0.39652931388062468</v>
      </c>
      <c r="K156">
        <v>7.1284912494107852E-3</v>
      </c>
      <c r="L156">
        <v>4.2357409463579564E-3</v>
      </c>
      <c r="M156">
        <v>4.4246582332128144</v>
      </c>
      <c r="N156">
        <v>6.1206414416731829E-3</v>
      </c>
      <c r="O156">
        <v>3.858196839917583</v>
      </c>
      <c r="P156">
        <v>0.38982101824400345</v>
      </c>
      <c r="Q156">
        <v>8.6818507395313611E-3</v>
      </c>
      <c r="R156">
        <v>5.4260452895126716E-2</v>
      </c>
      <c r="S156">
        <v>6.2966258872008187E-5</v>
      </c>
      <c r="T156">
        <v>5.4260452895127216E-2</v>
      </c>
      <c r="U156">
        <v>3.3142840032012637E-3</v>
      </c>
      <c r="V156">
        <v>2.3008345150821632</v>
      </c>
      <c r="W156">
        <v>0.17441592960958541</v>
      </c>
      <c r="X156">
        <v>0.31079741478667783</v>
      </c>
      <c r="Y156">
        <v>5.7807880049453285E-4</v>
      </c>
      <c r="Z156">
        <v>2.3126724582784366</v>
      </c>
    </row>
    <row r="157" spans="1:26" x14ac:dyDescent="0.2">
      <c r="A157" s="13">
        <v>10815</v>
      </c>
      <c r="B157" s="13" t="s">
        <v>79</v>
      </c>
      <c r="C157" s="13" t="s">
        <v>72</v>
      </c>
      <c r="D157" s="14">
        <v>44239</v>
      </c>
      <c r="E157" s="15"/>
      <c r="F157" s="16">
        <v>1.10995</v>
      </c>
      <c r="G157" s="16">
        <v>10.349080000000001</v>
      </c>
      <c r="H157" t="s">
        <v>281</v>
      </c>
      <c r="I157">
        <v>9.801416491550757E-3</v>
      </c>
      <c r="J157">
        <v>0.68748353663646311</v>
      </c>
      <c r="K157">
        <v>7.1399942103102243E-3</v>
      </c>
      <c r="L157">
        <v>7.6537467017996205E-3</v>
      </c>
      <c r="M157">
        <v>2.7322182354195594</v>
      </c>
      <c r="N157">
        <v>1.2062469177242944E-2</v>
      </c>
      <c r="O157">
        <v>2.1158653630165021</v>
      </c>
      <c r="P157">
        <v>0.73895107222477552</v>
      </c>
      <c r="Q157">
        <v>7.5813411524744481E-3</v>
      </c>
      <c r="R157">
        <v>0.21740959653325478</v>
      </c>
      <c r="S157">
        <v>5.4984669044135503E-5</v>
      </c>
      <c r="T157">
        <v>0.21740959653325501</v>
      </c>
      <c r="U157">
        <v>1.3213243546012825</v>
      </c>
      <c r="V157">
        <v>0.41146540346043131</v>
      </c>
      <c r="W157">
        <v>0.17947322649830175</v>
      </c>
      <c r="X157">
        <v>0.54963870247851154</v>
      </c>
      <c r="Y157">
        <v>0.2371450567361793</v>
      </c>
      <c r="Z157">
        <v>0.46066168070109609</v>
      </c>
    </row>
    <row r="158" spans="1:26" x14ac:dyDescent="0.2">
      <c r="A158" s="17">
        <v>11016</v>
      </c>
      <c r="B158" s="17" t="s">
        <v>288</v>
      </c>
      <c r="C158" s="17" t="s">
        <v>142</v>
      </c>
      <c r="D158" s="72">
        <v>44239</v>
      </c>
      <c r="F158" s="17">
        <v>8.054E-2</v>
      </c>
      <c r="G158" s="74">
        <v>0.10224</v>
      </c>
      <c r="H158" t="s">
        <v>282</v>
      </c>
      <c r="I158">
        <v>9.9555424403205001E-3</v>
      </c>
      <c r="J158">
        <v>0.62321211054517833</v>
      </c>
      <c r="K158">
        <v>7.1247579693149614E-3</v>
      </c>
      <c r="L158">
        <v>1.0511207252486207E-2</v>
      </c>
      <c r="M158">
        <v>4.0791043617904688</v>
      </c>
      <c r="N158">
        <v>7.7889689538984163E-3</v>
      </c>
      <c r="O158">
        <v>3.5602047580703533</v>
      </c>
      <c r="P158">
        <v>0.59871878147219704</v>
      </c>
      <c r="Q158">
        <v>8.6860146682365535E-3</v>
      </c>
      <c r="R158">
        <v>8.028713643520656E-2</v>
      </c>
      <c r="S158">
        <v>6.2996458309966968E-5</v>
      </c>
      <c r="T158">
        <v>8.0287136435206866E-2</v>
      </c>
      <c r="U158">
        <v>1.9437202382765757E-3</v>
      </c>
      <c r="V158">
        <v>5.1755819495676665</v>
      </c>
      <c r="W158">
        <v>0.36652702299979473</v>
      </c>
      <c r="X158">
        <v>1.4441592577695475</v>
      </c>
      <c r="Y158">
        <v>7.1222029832318165E-4</v>
      </c>
      <c r="Z158">
        <v>5.4889925112791866</v>
      </c>
    </row>
    <row r="159" spans="1:26" x14ac:dyDescent="0.2">
      <c r="A159" s="13">
        <v>10815</v>
      </c>
      <c r="B159" s="13" t="s">
        <v>79</v>
      </c>
      <c r="C159" s="13" t="s">
        <v>72</v>
      </c>
      <c r="D159" s="14">
        <v>44239</v>
      </c>
      <c r="E159" s="15"/>
      <c r="F159" s="16">
        <v>1.10995</v>
      </c>
      <c r="G159" s="16">
        <v>10.349080000000001</v>
      </c>
      <c r="H159" t="s">
        <v>283</v>
      </c>
      <c r="I159">
        <v>9.8968343751097559E-3</v>
      </c>
      <c r="J159">
        <v>0.77709466393140469</v>
      </c>
      <c r="K159">
        <v>7.1340035770510388E-3</v>
      </c>
      <c r="L159">
        <v>5.2428626404423693E-3</v>
      </c>
      <c r="M159">
        <v>2.7320209137563727</v>
      </c>
      <c r="N159">
        <v>1.0590810607478157E-2</v>
      </c>
      <c r="O159">
        <v>2.0956050417859315</v>
      </c>
      <c r="P159">
        <v>0.76936426705618111</v>
      </c>
      <c r="Q159">
        <v>7.5862600292796864E-3</v>
      </c>
      <c r="R159">
        <v>0.13188699235880658</v>
      </c>
      <c r="S159">
        <v>5.5020343842006406E-5</v>
      </c>
      <c r="T159">
        <v>0.13188699235880658</v>
      </c>
      <c r="U159">
        <v>1.3243350988667553</v>
      </c>
      <c r="V159">
        <v>0.25410239497791487</v>
      </c>
      <c r="W159">
        <v>0.17951443218509402</v>
      </c>
      <c r="X159">
        <v>0.3476268299226975</v>
      </c>
      <c r="Y159">
        <v>0.23787776780219153</v>
      </c>
      <c r="Z159">
        <v>0.36575688666854217</v>
      </c>
    </row>
    <row r="160" spans="1:26" x14ac:dyDescent="0.2">
      <c r="A160" s="17">
        <v>11017</v>
      </c>
      <c r="B160" s="17" t="s">
        <v>289</v>
      </c>
      <c r="C160" s="17" t="s">
        <v>142</v>
      </c>
      <c r="D160" s="72">
        <v>44239</v>
      </c>
      <c r="F160" s="17">
        <v>9.1020000000000004E-2</v>
      </c>
      <c r="G160" s="74">
        <v>0.10198</v>
      </c>
      <c r="H160" t="s">
        <v>284</v>
      </c>
      <c r="I160">
        <v>9.9395607938139955E-3</v>
      </c>
      <c r="J160">
        <v>0.53580411788188032</v>
      </c>
      <c r="K160">
        <v>7.1159570796917116E-3</v>
      </c>
      <c r="L160">
        <v>8.2342446756927569E-3</v>
      </c>
      <c r="M160">
        <v>4.1490787337884267</v>
      </c>
      <c r="N160">
        <v>1.0324186285018978E-2</v>
      </c>
      <c r="O160">
        <v>3.6267731147308711</v>
      </c>
      <c r="P160">
        <v>0.54274330044387509</v>
      </c>
      <c r="Q160">
        <v>8.684696569905951E-3</v>
      </c>
      <c r="R160">
        <v>6.8081934785899495E-2</v>
      </c>
      <c r="S160">
        <v>6.2986898629295918E-5</v>
      </c>
      <c r="T160">
        <v>6.8081934785900244E-2</v>
      </c>
      <c r="U160">
        <v>2.259216898821539E-3</v>
      </c>
      <c r="V160">
        <v>4.5690994616329688</v>
      </c>
      <c r="W160">
        <v>0.33445738327297003</v>
      </c>
      <c r="X160">
        <v>1.3499421411672838</v>
      </c>
      <c r="Y160">
        <v>7.6259405400065888E-4</v>
      </c>
      <c r="Z160">
        <v>4.8429578745516517</v>
      </c>
    </row>
    <row r="161" spans="1:26" x14ac:dyDescent="0.2">
      <c r="A161" s="13">
        <v>10815</v>
      </c>
      <c r="B161" s="13" t="s">
        <v>79</v>
      </c>
      <c r="C161" s="13" t="s">
        <v>72</v>
      </c>
      <c r="D161" s="14">
        <v>44239</v>
      </c>
      <c r="E161" s="15"/>
      <c r="F161" s="16">
        <v>1.10995</v>
      </c>
      <c r="G161" s="16">
        <v>10.349080000000001</v>
      </c>
      <c r="H161" t="s">
        <v>283</v>
      </c>
      <c r="I161">
        <v>9.8968343751097559E-3</v>
      </c>
      <c r="J161">
        <v>0.77709466393140469</v>
      </c>
      <c r="K161">
        <v>7.1340035770510388E-3</v>
      </c>
      <c r="L161">
        <v>5.2428626404423693E-3</v>
      </c>
      <c r="M161">
        <v>2.7320209137563727</v>
      </c>
      <c r="N161">
        <v>1.0590810607478157E-2</v>
      </c>
      <c r="O161">
        <v>2.0956050417859315</v>
      </c>
      <c r="P161">
        <v>0.76936426705618111</v>
      </c>
      <c r="Q161">
        <v>7.5862600292796864E-3</v>
      </c>
      <c r="R161">
        <v>0.13188699235880658</v>
      </c>
      <c r="S161">
        <v>5.5020343842006406E-5</v>
      </c>
      <c r="T161">
        <v>0.13188699235880658</v>
      </c>
      <c r="U161">
        <v>1.3243350988667553</v>
      </c>
      <c r="V161">
        <v>0.25410239497791487</v>
      </c>
      <c r="W161">
        <v>0.17951443218509402</v>
      </c>
      <c r="X161">
        <v>0.3476268299226975</v>
      </c>
      <c r="Y161">
        <v>0.23787776780219153</v>
      </c>
      <c r="Z161">
        <v>0.36575688666854217</v>
      </c>
    </row>
    <row r="163" spans="1:26" x14ac:dyDescent="0.2">
      <c r="A163" s="13">
        <v>10815</v>
      </c>
      <c r="B163" s="13" t="s">
        <v>79</v>
      </c>
      <c r="C163" s="13" t="s">
        <v>72</v>
      </c>
      <c r="D163" s="14">
        <v>44242</v>
      </c>
      <c r="E163" s="15"/>
      <c r="F163" s="16">
        <v>1.10995</v>
      </c>
      <c r="G163" s="16">
        <v>10.349080000000001</v>
      </c>
      <c r="H163" t="s">
        <v>275</v>
      </c>
      <c r="I163">
        <v>9.7215258026595863E-3</v>
      </c>
      <c r="J163">
        <v>0.8044121120496458</v>
      </c>
      <c r="K163">
        <v>7.1541965006710019E-3</v>
      </c>
      <c r="L163">
        <v>9.4454763645526879E-3</v>
      </c>
      <c r="M163">
        <v>2.7319952061600916</v>
      </c>
      <c r="N163">
        <v>1.0182168773537066E-2</v>
      </c>
      <c r="O163">
        <v>2.1319665008885331</v>
      </c>
      <c r="P163">
        <v>0.80680148630233539</v>
      </c>
      <c r="Q163">
        <v>7.5801240299115079E-3</v>
      </c>
      <c r="R163">
        <v>0.17297748907635702</v>
      </c>
      <c r="S163">
        <v>5.4975841703436335E-5</v>
      </c>
      <c r="T163">
        <v>0.17297748907635649</v>
      </c>
      <c r="U163">
        <v>1.3240826986534509</v>
      </c>
      <c r="V163">
        <v>0.31719799918793867</v>
      </c>
      <c r="W163">
        <v>0.17620346294354236</v>
      </c>
      <c r="X163">
        <v>0.54124484974920273</v>
      </c>
      <c r="Y163">
        <v>0.23352170323634411</v>
      </c>
      <c r="Z163">
        <v>0.41325040565568177</v>
      </c>
    </row>
    <row r="164" spans="1:26" x14ac:dyDescent="0.2">
      <c r="A164" s="17">
        <v>11005</v>
      </c>
      <c r="B164" s="17" t="s">
        <v>290</v>
      </c>
      <c r="C164" s="17" t="s">
        <v>142</v>
      </c>
      <c r="D164" s="72">
        <v>44242</v>
      </c>
      <c r="F164" s="17">
        <v>8.7550000000000003E-2</v>
      </c>
      <c r="G164" s="74">
        <v>0.10231000000000101</v>
      </c>
      <c r="H164" t="s">
        <v>298</v>
      </c>
      <c r="I164">
        <v>1.004271558476897E-2</v>
      </c>
      <c r="J164">
        <v>0.21305952323783114</v>
      </c>
      <c r="K164">
        <v>7.1394475029909771E-3</v>
      </c>
      <c r="L164">
        <v>1.2197889894031868E-2</v>
      </c>
      <c r="M164">
        <v>3.9488128037485657</v>
      </c>
      <c r="N164">
        <v>5.2344880971934441E-3</v>
      </c>
      <c r="O164">
        <v>3.4121181176642015</v>
      </c>
      <c r="P164">
        <v>0.2131061377103679</v>
      </c>
      <c r="Q164">
        <v>8.670889515955316E-3</v>
      </c>
      <c r="R164">
        <v>5.3957248077303149E-2</v>
      </c>
      <c r="S164">
        <v>6.2886761163288005E-5</v>
      </c>
      <c r="T164">
        <v>5.3957248077302553E-2</v>
      </c>
      <c r="U164">
        <v>6.050395316406919E-3</v>
      </c>
      <c r="V164">
        <v>1.7206178013167908</v>
      </c>
      <c r="W164">
        <v>0.15628554750997573</v>
      </c>
      <c r="X164">
        <v>0.33943345524180113</v>
      </c>
      <c r="Y164">
        <v>9.468818364193975E-4</v>
      </c>
      <c r="Z164">
        <v>1.7581775462333291</v>
      </c>
    </row>
    <row r="165" spans="1:26" x14ac:dyDescent="0.2">
      <c r="A165" s="13">
        <v>10815</v>
      </c>
      <c r="B165" s="13" t="s">
        <v>79</v>
      </c>
      <c r="C165" s="13" t="s">
        <v>72</v>
      </c>
      <c r="D165" s="14">
        <v>44242</v>
      </c>
      <c r="E165" s="15"/>
      <c r="F165" s="16">
        <v>1.10995</v>
      </c>
      <c r="G165" s="16">
        <v>10.349080000000001</v>
      </c>
      <c r="H165" t="s">
        <v>277</v>
      </c>
      <c r="I165">
        <v>9.911567401479162E-3</v>
      </c>
      <c r="J165">
        <v>0.83292262004319562</v>
      </c>
      <c r="K165">
        <v>7.1419053570822132E-3</v>
      </c>
      <c r="L165">
        <v>5.559916763332803E-3</v>
      </c>
      <c r="M165">
        <v>2.7322106346334949</v>
      </c>
      <c r="N165">
        <v>8.3790890239811185E-3</v>
      </c>
      <c r="O165">
        <v>2.0882538817419194</v>
      </c>
      <c r="P165">
        <v>0.83747078078168868</v>
      </c>
      <c r="Q165">
        <v>7.5725594325670329E-3</v>
      </c>
      <c r="R165">
        <v>0.10791691361872634</v>
      </c>
      <c r="S165">
        <v>5.4920978471051357E-5</v>
      </c>
      <c r="T165">
        <v>0.10791691361872689</v>
      </c>
      <c r="U165">
        <v>1.3232661723765655</v>
      </c>
      <c r="V165">
        <v>0.26234670869119203</v>
      </c>
      <c r="W165">
        <v>0.17783349456123357</v>
      </c>
      <c r="X165">
        <v>0.41118049098275372</v>
      </c>
      <c r="Y165">
        <v>0.23544522143065663</v>
      </c>
      <c r="Z165">
        <v>0.34739965061014921</v>
      </c>
    </row>
    <row r="166" spans="1:26" x14ac:dyDescent="0.2">
      <c r="A166" s="17">
        <v>11006</v>
      </c>
      <c r="B166" s="17" t="s">
        <v>291</v>
      </c>
      <c r="C166" s="17" t="s">
        <v>142</v>
      </c>
      <c r="D166" s="72">
        <v>44242</v>
      </c>
      <c r="F166" s="17">
        <v>9.6320000000000003E-2</v>
      </c>
      <c r="G166" s="74">
        <v>0.1021800000000006</v>
      </c>
      <c r="H166" t="s">
        <v>299</v>
      </c>
      <c r="I166">
        <v>1.0020529782441908E-2</v>
      </c>
      <c r="J166">
        <v>0.27480511528682361</v>
      </c>
      <c r="K166">
        <v>7.1399613668913231E-3</v>
      </c>
      <c r="L166">
        <v>4.7275391272125385E-3</v>
      </c>
      <c r="M166">
        <v>4.442208342255122</v>
      </c>
      <c r="N166">
        <v>4.9109359905742788E-3</v>
      </c>
      <c r="O166">
        <v>3.8455553672106717</v>
      </c>
      <c r="P166">
        <v>0.26253219810333756</v>
      </c>
      <c r="Q166">
        <v>8.676817056230874E-3</v>
      </c>
      <c r="R166">
        <v>4.9153207630140368E-2</v>
      </c>
      <c r="S166">
        <v>6.2929751425003268E-5</v>
      </c>
      <c r="T166">
        <v>4.9153207630140576E-2</v>
      </c>
      <c r="U166">
        <v>5.579793055655472E-3</v>
      </c>
      <c r="V166">
        <v>1.0544509299994282</v>
      </c>
      <c r="W166">
        <v>0.19556481286648689</v>
      </c>
      <c r="X166">
        <v>0.25488467114879049</v>
      </c>
      <c r="Y166">
        <v>1.086885517512609E-3</v>
      </c>
      <c r="Z166">
        <v>1.0775750750300022</v>
      </c>
    </row>
    <row r="167" spans="1:26" x14ac:dyDescent="0.2">
      <c r="A167" s="13">
        <v>10815</v>
      </c>
      <c r="B167" s="13" t="s">
        <v>79</v>
      </c>
      <c r="C167" s="13" t="s">
        <v>72</v>
      </c>
      <c r="D167" s="14">
        <v>44242</v>
      </c>
      <c r="E167" s="15"/>
      <c r="F167" s="16">
        <v>1.10995</v>
      </c>
      <c r="G167" s="16">
        <v>10.349080000000001</v>
      </c>
      <c r="H167" t="s">
        <v>279</v>
      </c>
      <c r="I167">
        <v>9.8465743941419208E-3</v>
      </c>
      <c r="J167">
        <v>0.75519861497951823</v>
      </c>
      <c r="K167">
        <v>7.1431175050996653E-3</v>
      </c>
      <c r="L167">
        <v>6.2411196639006426E-3</v>
      </c>
      <c r="M167">
        <v>2.7316855806213631</v>
      </c>
      <c r="N167">
        <v>1.2506147352020705E-2</v>
      </c>
      <c r="O167">
        <v>2.1059767729733712</v>
      </c>
      <c r="P167">
        <v>0.75311797583778572</v>
      </c>
      <c r="Q167">
        <v>7.5837716757863657E-3</v>
      </c>
      <c r="R167">
        <v>0.14743141068103141</v>
      </c>
      <c r="S167">
        <v>5.5002296732590877E-5</v>
      </c>
      <c r="T167">
        <v>0.1474314106810321</v>
      </c>
      <c r="U167">
        <v>1.3242128819847612</v>
      </c>
      <c r="V167">
        <v>0.28942198867998919</v>
      </c>
      <c r="W167">
        <v>0.17909893565697016</v>
      </c>
      <c r="X167">
        <v>0.494367531659342</v>
      </c>
      <c r="Y167">
        <v>0.23696236032571333</v>
      </c>
      <c r="Z167">
        <v>0.36503538737997837</v>
      </c>
    </row>
    <row r="168" spans="1:26" x14ac:dyDescent="0.2">
      <c r="A168" s="17">
        <v>11007</v>
      </c>
      <c r="B168" s="17" t="s">
        <v>292</v>
      </c>
      <c r="C168" s="17" t="s">
        <v>142</v>
      </c>
      <c r="D168" s="72">
        <v>44242</v>
      </c>
      <c r="F168" s="17">
        <v>9.7070000000000004E-2</v>
      </c>
      <c r="G168" s="74">
        <v>0.10322000000000031</v>
      </c>
      <c r="H168" t="s">
        <v>300</v>
      </c>
      <c r="I168">
        <v>9.9738392267475686E-3</v>
      </c>
      <c r="J168">
        <v>0.34903722153792466</v>
      </c>
      <c r="K168">
        <v>7.130044312583691E-3</v>
      </c>
      <c r="L168">
        <v>1.2654865540734174E-2</v>
      </c>
      <c r="M168">
        <v>4.5831762900471631</v>
      </c>
      <c r="N168">
        <v>6.5500989269857406E-3</v>
      </c>
      <c r="O168">
        <v>3.9876045736465091</v>
      </c>
      <c r="P168">
        <v>0.36288378407373617</v>
      </c>
      <c r="Q168">
        <v>8.6766674736457033E-3</v>
      </c>
      <c r="R168">
        <v>5.0966990585075915E-2</v>
      </c>
      <c r="S168">
        <v>6.2928666557725144E-5</v>
      </c>
      <c r="T168">
        <v>5.0966990585075957E-2</v>
      </c>
      <c r="U168">
        <v>5.5515609265682038E-3</v>
      </c>
      <c r="V168">
        <v>2.2756522470716756</v>
      </c>
      <c r="W168">
        <v>0.52338271904151412</v>
      </c>
      <c r="X168">
        <v>1.2021119968458882</v>
      </c>
      <c r="Y168">
        <v>2.9130769953579307E-3</v>
      </c>
      <c r="Z168">
        <v>2.4859864048594154</v>
      </c>
    </row>
    <row r="169" spans="1:26" x14ac:dyDescent="0.2">
      <c r="A169" s="13">
        <v>10815</v>
      </c>
      <c r="B169" s="13" t="s">
        <v>79</v>
      </c>
      <c r="C169" s="13" t="s">
        <v>72</v>
      </c>
      <c r="D169" s="14">
        <v>44242</v>
      </c>
      <c r="E169" s="15"/>
      <c r="F169" s="16">
        <v>1.10995</v>
      </c>
      <c r="G169" s="16">
        <v>10.349080000000001</v>
      </c>
      <c r="H169" t="s">
        <v>281</v>
      </c>
      <c r="I169">
        <v>9.991219564601389E-3</v>
      </c>
      <c r="J169">
        <v>0.82544240357197607</v>
      </c>
      <c r="K169">
        <v>7.1376758358367596E-3</v>
      </c>
      <c r="L169">
        <v>5.664734874789917E-3</v>
      </c>
      <c r="M169">
        <v>2.7322780929038495</v>
      </c>
      <c r="N169">
        <v>1.1175709163181917E-2</v>
      </c>
      <c r="O169">
        <v>2.0748231293765707</v>
      </c>
      <c r="P169">
        <v>0.83400849527113707</v>
      </c>
      <c r="Q169">
        <v>7.5757589608335466E-3</v>
      </c>
      <c r="R169">
        <v>0.16199543135084557</v>
      </c>
      <c r="S169">
        <v>5.4944183468596436E-5</v>
      </c>
      <c r="T169">
        <v>0.16199543135084485</v>
      </c>
      <c r="U169">
        <v>1.3208449525818375</v>
      </c>
      <c r="V169">
        <v>0.23366116023337663</v>
      </c>
      <c r="W169">
        <v>0.18005954278821928</v>
      </c>
      <c r="X169">
        <v>0.39816461978875051</v>
      </c>
      <c r="Y169">
        <v>0.2381444017161852</v>
      </c>
      <c r="Z169">
        <v>0.39674778923884257</v>
      </c>
    </row>
    <row r="170" spans="1:26" x14ac:dyDescent="0.2">
      <c r="A170" s="17">
        <v>11008</v>
      </c>
      <c r="B170" s="17" t="s">
        <v>293</v>
      </c>
      <c r="C170" s="17" t="s">
        <v>142</v>
      </c>
      <c r="D170" s="72">
        <v>44242</v>
      </c>
      <c r="F170" s="17">
        <v>9.7970000000000002E-2</v>
      </c>
      <c r="G170" s="74">
        <v>0.10099999999999909</v>
      </c>
      <c r="H170" t="s">
        <v>301</v>
      </c>
      <c r="I170">
        <v>1.0007216110640363E-2</v>
      </c>
      <c r="J170">
        <v>0.35665223166196702</v>
      </c>
      <c r="K170">
        <v>7.1207910602916914E-3</v>
      </c>
      <c r="L170">
        <v>7.9948270043652524E-3</v>
      </c>
      <c r="M170">
        <v>4.3830879583521165</v>
      </c>
      <c r="N170">
        <v>6.0872616882803434E-3</v>
      </c>
      <c r="O170">
        <v>3.8021382624662623</v>
      </c>
      <c r="P170">
        <v>0.35996521050438907</v>
      </c>
      <c r="Q170">
        <v>8.6787011844388518E-3</v>
      </c>
      <c r="R170">
        <v>4.9532630059801408E-2</v>
      </c>
      <c r="S170">
        <v>6.2943416311448663E-5</v>
      </c>
      <c r="T170">
        <v>4.953263005980206E-2</v>
      </c>
      <c r="U170">
        <v>5.9229473597186919E-3</v>
      </c>
      <c r="V170">
        <v>1.6813166914618285</v>
      </c>
      <c r="W170">
        <v>0.14161069032281862</v>
      </c>
      <c r="X170">
        <v>0.33041539804676806</v>
      </c>
      <c r="Y170">
        <v>8.4045147490355852E-4</v>
      </c>
      <c r="Z170">
        <v>1.6539387356170487</v>
      </c>
    </row>
    <row r="171" spans="1:26" x14ac:dyDescent="0.2">
      <c r="A171" s="13">
        <v>10815</v>
      </c>
      <c r="B171" s="13" t="s">
        <v>79</v>
      </c>
      <c r="C171" s="13" t="s">
        <v>72</v>
      </c>
      <c r="D171" s="14">
        <v>44242</v>
      </c>
      <c r="E171" s="15"/>
      <c r="F171" s="16">
        <v>1.10995</v>
      </c>
      <c r="G171" s="16">
        <v>10.349080000000001</v>
      </c>
      <c r="H171" t="s">
        <v>283</v>
      </c>
      <c r="I171">
        <v>9.9296705604109275E-3</v>
      </c>
      <c r="J171">
        <v>0.51849483326721246</v>
      </c>
      <c r="K171">
        <v>7.1350848775057459E-3</v>
      </c>
      <c r="L171">
        <v>7.0289630885877804E-3</v>
      </c>
      <c r="M171">
        <v>2.7321218866004839</v>
      </c>
      <c r="N171">
        <v>1.1905895036166224E-2</v>
      </c>
      <c r="O171">
        <v>2.0874904355691619</v>
      </c>
      <c r="P171">
        <v>0.56840892053199488</v>
      </c>
      <c r="Q171">
        <v>7.5805444741901349E-3</v>
      </c>
      <c r="R171">
        <v>0.18288720930355137</v>
      </c>
      <c r="S171">
        <v>5.4978891030599816E-5</v>
      </c>
      <c r="T171">
        <v>0.18288720930355107</v>
      </c>
      <c r="U171">
        <v>1.3222907005876128</v>
      </c>
      <c r="V171">
        <v>0.23330832261060949</v>
      </c>
      <c r="W171">
        <v>0.17977652612371425</v>
      </c>
      <c r="X171">
        <v>0.50852292112261166</v>
      </c>
      <c r="Y171">
        <v>0.23790315325489053</v>
      </c>
      <c r="Z171">
        <v>0.40773462925419846</v>
      </c>
    </row>
    <row r="172" spans="1:26" x14ac:dyDescent="0.2">
      <c r="A172" s="17">
        <v>11009</v>
      </c>
      <c r="B172" s="17" t="s">
        <v>294</v>
      </c>
      <c r="C172" s="17" t="s">
        <v>142</v>
      </c>
      <c r="D172" s="72">
        <v>44242</v>
      </c>
      <c r="F172" s="17">
        <v>9.1359999999999997E-2</v>
      </c>
      <c r="G172" s="74">
        <v>0.1024799999999999</v>
      </c>
      <c r="H172" t="s">
        <v>302</v>
      </c>
      <c r="I172">
        <v>1.0057000573477817E-2</v>
      </c>
      <c r="J172">
        <v>0.24514969524167046</v>
      </c>
      <c r="K172">
        <v>7.1279885083639204E-3</v>
      </c>
      <c r="L172">
        <v>3.0627603838211111E-3</v>
      </c>
      <c r="M172">
        <v>4.1328962216902481</v>
      </c>
      <c r="N172">
        <v>5.9614005331587719E-3</v>
      </c>
      <c r="O172">
        <v>3.5674482871775735</v>
      </c>
      <c r="P172">
        <v>0.23875206966172671</v>
      </c>
      <c r="Q172">
        <v>8.6824995600438479E-3</v>
      </c>
      <c r="R172">
        <v>4.3538844330224813E-2</v>
      </c>
      <c r="S172">
        <v>6.2970964527700332E-5</v>
      </c>
      <c r="T172">
        <v>4.3538844330224091E-2</v>
      </c>
      <c r="U172">
        <v>3.7416255869462474E-3</v>
      </c>
      <c r="V172">
        <v>1.629696109076693</v>
      </c>
      <c r="W172">
        <v>0.37164345445569519</v>
      </c>
      <c r="X172">
        <v>0.26523245960230085</v>
      </c>
      <c r="Y172">
        <v>1.3939425331229338E-3</v>
      </c>
      <c r="Z172">
        <v>1.5904022062659149</v>
      </c>
    </row>
    <row r="173" spans="1:26" x14ac:dyDescent="0.2">
      <c r="A173" s="13">
        <v>10815</v>
      </c>
      <c r="B173" s="13" t="s">
        <v>79</v>
      </c>
      <c r="C173" s="13" t="s">
        <v>72</v>
      </c>
      <c r="D173" s="14">
        <v>44242</v>
      </c>
      <c r="E173" s="15"/>
      <c r="F173" s="16">
        <v>1.10995</v>
      </c>
      <c r="G173" s="16">
        <v>10.349080000000001</v>
      </c>
      <c r="H173" t="s">
        <v>303</v>
      </c>
      <c r="I173">
        <v>9.8593123815519223E-3</v>
      </c>
      <c r="J173">
        <v>0.74442033793270357</v>
      </c>
      <c r="K173">
        <v>7.136358964491568E-3</v>
      </c>
      <c r="L173">
        <v>6.3369055181576152E-3</v>
      </c>
      <c r="M173">
        <v>2.7320549122341098</v>
      </c>
      <c r="N173">
        <v>1.0105199184077771E-2</v>
      </c>
      <c r="O173">
        <v>2.0971720813163888</v>
      </c>
      <c r="P173">
        <v>0.8081965776429284</v>
      </c>
      <c r="Q173">
        <v>7.5763998704669027E-3</v>
      </c>
      <c r="R173">
        <v>0.13084801085884173</v>
      </c>
      <c r="S173">
        <v>5.4948831749602206E-5</v>
      </c>
      <c r="T173">
        <v>0.13084801085884135</v>
      </c>
      <c r="U173">
        <v>1.3240364807823148</v>
      </c>
      <c r="V173">
        <v>0.31091385960956452</v>
      </c>
      <c r="W173">
        <v>0.17983187573647474</v>
      </c>
      <c r="X173">
        <v>0.45080231681725635</v>
      </c>
      <c r="Y173">
        <v>0.23797312144612962</v>
      </c>
      <c r="Z173">
        <v>0.36724595265988935</v>
      </c>
    </row>
    <row r="174" spans="1:26" x14ac:dyDescent="0.2">
      <c r="A174" s="17">
        <v>11010</v>
      </c>
      <c r="B174" s="17" t="s">
        <v>295</v>
      </c>
      <c r="C174" s="17" t="s">
        <v>142</v>
      </c>
      <c r="D174" s="72">
        <v>44242</v>
      </c>
      <c r="F174" s="17">
        <v>8.8569999999999996E-2</v>
      </c>
      <c r="G174" s="74">
        <v>0.10304000000000002</v>
      </c>
      <c r="H174" t="s">
        <v>304</v>
      </c>
      <c r="I174">
        <v>1.002853102923517E-2</v>
      </c>
      <c r="J174">
        <v>0.2587264367415692</v>
      </c>
      <c r="K174">
        <v>7.1262146390062208E-3</v>
      </c>
      <c r="L174">
        <v>4.4866466651028222E-3</v>
      </c>
      <c r="M174">
        <v>4.157990595115419</v>
      </c>
      <c r="N174">
        <v>4.2836887412281439E-3</v>
      </c>
      <c r="O174">
        <v>3.6038447506052647</v>
      </c>
      <c r="P174">
        <v>0.2391012195739223</v>
      </c>
      <c r="Q174">
        <v>8.6847312148470666E-3</v>
      </c>
      <c r="R174">
        <v>4.8649333061187579E-2</v>
      </c>
      <c r="S174">
        <v>6.298714989626612E-5</v>
      </c>
      <c r="T174">
        <v>4.8649333061187884E-2</v>
      </c>
      <c r="U174">
        <v>3.6261757191273555E-3</v>
      </c>
      <c r="V174">
        <v>1.3982942142648098</v>
      </c>
      <c r="W174">
        <v>7.9121195753391022E-2</v>
      </c>
      <c r="X174">
        <v>0.16665534261105958</v>
      </c>
      <c r="Y174">
        <v>2.8668803323208701E-4</v>
      </c>
      <c r="Z174">
        <v>1.3937169024645379</v>
      </c>
    </row>
    <row r="175" spans="1:26" x14ac:dyDescent="0.2">
      <c r="A175" s="13">
        <v>10815</v>
      </c>
      <c r="B175" s="13" t="s">
        <v>79</v>
      </c>
      <c r="C175" s="13" t="s">
        <v>72</v>
      </c>
      <c r="D175" s="14">
        <v>44242</v>
      </c>
      <c r="E175" s="15"/>
      <c r="F175" s="16">
        <v>1.10995</v>
      </c>
      <c r="G175" s="16">
        <v>10.349080000000001</v>
      </c>
      <c r="H175" t="s">
        <v>305</v>
      </c>
      <c r="I175">
        <v>9.9809366800657825E-3</v>
      </c>
      <c r="J175">
        <v>0.64408010014358685</v>
      </c>
      <c r="K175">
        <v>7.1354487347823113E-3</v>
      </c>
      <c r="L175">
        <v>6.7306734137306786E-3</v>
      </c>
      <c r="M175">
        <v>2.7319066265773153</v>
      </c>
      <c r="N175">
        <v>1.0737009434319841E-2</v>
      </c>
      <c r="O175">
        <v>2.0782406772138149</v>
      </c>
      <c r="P175">
        <v>0.59590949465782728</v>
      </c>
      <c r="Q175">
        <v>7.5768005272221313E-3</v>
      </c>
      <c r="R175">
        <v>0.12877799437980847</v>
      </c>
      <c r="S175">
        <v>5.4951737565162194E-5</v>
      </c>
      <c r="T175">
        <v>0.12877799437981027</v>
      </c>
      <c r="U175">
        <v>1.3250764225364196</v>
      </c>
      <c r="V175">
        <v>0.2799810639665602</v>
      </c>
      <c r="W175">
        <v>0.18052029231129157</v>
      </c>
      <c r="X175">
        <v>0.45165336707176162</v>
      </c>
      <c r="Y175">
        <v>0.23891936884206447</v>
      </c>
      <c r="Z175">
        <v>0.36420639604030702</v>
      </c>
    </row>
    <row r="176" spans="1:26" x14ac:dyDescent="0.2">
      <c r="A176" s="17">
        <v>11011</v>
      </c>
      <c r="B176" s="17" t="s">
        <v>296</v>
      </c>
      <c r="C176" s="17" t="s">
        <v>142</v>
      </c>
      <c r="D176" s="72">
        <v>44242</v>
      </c>
      <c r="F176" s="17">
        <v>9.4479999999999995E-2</v>
      </c>
      <c r="G176" s="74">
        <v>0.10154999999999959</v>
      </c>
      <c r="H176" t="s">
        <v>306</v>
      </c>
      <c r="I176">
        <v>1.0011019828978337E-2</v>
      </c>
      <c r="J176">
        <v>0.36617183168345779</v>
      </c>
      <c r="K176">
        <v>7.1195230621660952E-3</v>
      </c>
      <c r="L176">
        <v>4.0877823292378842E-3</v>
      </c>
      <c r="M176">
        <v>4.3438001370015513</v>
      </c>
      <c r="N176">
        <v>4.8737128491746383E-3</v>
      </c>
      <c r="O176">
        <v>3.7701714618358038</v>
      </c>
      <c r="P176">
        <v>0.3936086584317694</v>
      </c>
      <c r="Q176">
        <v>8.6841673159767114E-3</v>
      </c>
      <c r="R176">
        <v>5.7435410180138188E-2</v>
      </c>
      <c r="S176">
        <v>6.2983060145899115E-5</v>
      </c>
      <c r="T176">
        <v>5.7435410180136745E-2</v>
      </c>
      <c r="U176">
        <v>3.9199393710895453E-3</v>
      </c>
      <c r="V176">
        <v>1.7502031429280311</v>
      </c>
      <c r="W176">
        <v>0.31293465173139484</v>
      </c>
      <c r="X176">
        <v>0.55484332893973887</v>
      </c>
      <c r="Y176">
        <v>1.224489116880396E-3</v>
      </c>
      <c r="Z176">
        <v>1.7919433253929431</v>
      </c>
    </row>
    <row r="177" spans="1:26" x14ac:dyDescent="0.2">
      <c r="A177" s="13">
        <v>10815</v>
      </c>
      <c r="B177" s="13" t="s">
        <v>79</v>
      </c>
      <c r="C177" s="13" t="s">
        <v>72</v>
      </c>
      <c r="D177" s="14">
        <v>44242</v>
      </c>
      <c r="E177" s="15"/>
      <c r="F177" s="16">
        <v>1.10995</v>
      </c>
      <c r="G177" s="16">
        <v>10.349080000000001</v>
      </c>
      <c r="H177" t="s">
        <v>307</v>
      </c>
      <c r="I177">
        <v>9.8498191822803307E-3</v>
      </c>
      <c r="J177">
        <v>1.0120450886726458</v>
      </c>
      <c r="K177">
        <v>7.1327406895408578E-3</v>
      </c>
      <c r="L177">
        <v>4.6290246345666699E-3</v>
      </c>
      <c r="M177">
        <v>2.7314561401452826</v>
      </c>
      <c r="N177">
        <v>1.3210229284980321E-2</v>
      </c>
      <c r="O177">
        <v>2.1094632427165072</v>
      </c>
      <c r="P177">
        <v>1.0102315626018261</v>
      </c>
      <c r="Q177">
        <v>7.5830367524267793E-3</v>
      </c>
      <c r="R177">
        <v>0.13878376605859241</v>
      </c>
      <c r="S177">
        <v>5.4996966604730007E-5</v>
      </c>
      <c r="T177">
        <v>0.13878376605859225</v>
      </c>
      <c r="U177">
        <v>1.3232040327696297</v>
      </c>
      <c r="V177">
        <v>0.2313353649060079</v>
      </c>
      <c r="W177">
        <v>0.18283892269699836</v>
      </c>
      <c r="X177">
        <v>0.42303926359810279</v>
      </c>
      <c r="Y177">
        <v>0.24171596637701179</v>
      </c>
      <c r="Z177">
        <v>0.36622252303950303</v>
      </c>
    </row>
    <row r="178" spans="1:26" x14ac:dyDescent="0.2">
      <c r="A178" s="17">
        <v>11012</v>
      </c>
      <c r="B178" s="17" t="s">
        <v>297</v>
      </c>
      <c r="C178" s="17" t="s">
        <v>142</v>
      </c>
      <c r="D178" s="72">
        <v>44242</v>
      </c>
      <c r="F178" s="17">
        <v>8.9849999999999999E-2</v>
      </c>
      <c r="G178" s="74">
        <v>0.10246000000000066</v>
      </c>
      <c r="H178" t="s">
        <v>308</v>
      </c>
      <c r="I178">
        <v>1.0062686244963691E-2</v>
      </c>
      <c r="J178">
        <v>0.28482727494908394</v>
      </c>
      <c r="K178">
        <v>7.1235842824104636E-3</v>
      </c>
      <c r="L178">
        <v>2.9134303298749774E-3</v>
      </c>
      <c r="M178">
        <v>4.2021371051803831</v>
      </c>
      <c r="N178">
        <v>4.8345853072920986E-3</v>
      </c>
      <c r="O178">
        <v>3.6295197728976056</v>
      </c>
      <c r="P178">
        <v>0.30337867276789227</v>
      </c>
      <c r="Q178">
        <v>8.6855229282630023E-3</v>
      </c>
      <c r="R178">
        <v>4.5493277127878519E-2</v>
      </c>
      <c r="S178">
        <v>6.2992891901444013E-5</v>
      </c>
      <c r="T178">
        <v>4.5493277127877978E-2</v>
      </c>
      <c r="U178">
        <v>3.4302328792297737E-3</v>
      </c>
      <c r="V178">
        <v>1.4974320681487236</v>
      </c>
      <c r="W178">
        <v>0.16941064889279447</v>
      </c>
      <c r="X178">
        <v>0.21906813799749625</v>
      </c>
      <c r="Y178">
        <v>5.7864867865698626E-4</v>
      </c>
      <c r="Z178">
        <v>1.525628804431201</v>
      </c>
    </row>
    <row r="179" spans="1:26" x14ac:dyDescent="0.2">
      <c r="A179" s="13">
        <v>10815</v>
      </c>
      <c r="B179" s="13" t="s">
        <v>79</v>
      </c>
      <c r="C179" s="13" t="s">
        <v>72</v>
      </c>
      <c r="D179" s="14">
        <v>44242</v>
      </c>
      <c r="E179" s="15"/>
      <c r="F179" s="16">
        <v>1.10995</v>
      </c>
      <c r="G179" s="16">
        <v>10.349080000000001</v>
      </c>
      <c r="H179" t="s">
        <v>307</v>
      </c>
      <c r="I179">
        <v>9.8498191822803307E-3</v>
      </c>
      <c r="J179">
        <v>1.0120450886726458</v>
      </c>
      <c r="K179">
        <v>7.1327406895408578E-3</v>
      </c>
      <c r="L179">
        <v>4.6290246345666699E-3</v>
      </c>
      <c r="M179">
        <v>2.7314561401452826</v>
      </c>
      <c r="N179">
        <v>1.3210229284980321E-2</v>
      </c>
      <c r="O179">
        <v>2.1094632427165072</v>
      </c>
      <c r="P179">
        <v>1.0102315626018261</v>
      </c>
      <c r="Q179">
        <v>7.5830367524267793E-3</v>
      </c>
      <c r="R179">
        <v>0.13878376605859241</v>
      </c>
      <c r="S179">
        <v>5.4996966604730007E-5</v>
      </c>
      <c r="T179">
        <v>0.13878376605859225</v>
      </c>
      <c r="U179">
        <v>1.3232040327696297</v>
      </c>
      <c r="V179">
        <v>0.2313353649060079</v>
      </c>
      <c r="W179">
        <v>0.18283892269699836</v>
      </c>
      <c r="X179">
        <v>0.42303926359810279</v>
      </c>
      <c r="Y179">
        <v>0.24171596637701179</v>
      </c>
      <c r="Z179">
        <v>0.36622252303950303</v>
      </c>
    </row>
    <row r="181" spans="1:26" x14ac:dyDescent="0.2">
      <c r="A181" s="13">
        <v>10815</v>
      </c>
      <c r="B181" s="13" t="s">
        <v>79</v>
      </c>
      <c r="C181" s="13" t="s">
        <v>72</v>
      </c>
      <c r="D181" s="14">
        <v>44243</v>
      </c>
      <c r="E181" s="15"/>
      <c r="F181" s="16">
        <v>1.10995</v>
      </c>
      <c r="G181" s="16">
        <v>10.349080000000001</v>
      </c>
      <c r="H181" t="s">
        <v>309</v>
      </c>
      <c r="I181">
        <v>9.9899560378868425E-3</v>
      </c>
      <c r="J181">
        <v>0.53666523679210654</v>
      </c>
      <c r="K181">
        <v>7.147307003221688E-3</v>
      </c>
      <c r="L181">
        <v>2.208773488161592E-2</v>
      </c>
      <c r="M181">
        <v>2.7319483786102214</v>
      </c>
      <c r="N181">
        <v>7.354450141935932E-3</v>
      </c>
      <c r="O181">
        <v>2.0709921356418399</v>
      </c>
      <c r="P181">
        <v>0.5531977314506521</v>
      </c>
      <c r="Q181">
        <v>7.5837893771722184E-3</v>
      </c>
      <c r="R181">
        <v>0.12502035201634076</v>
      </c>
      <c r="S181">
        <v>5.5002425114208768E-5</v>
      </c>
      <c r="T181">
        <v>0.12502035201634093</v>
      </c>
      <c r="U181">
        <v>1.3195025698621394</v>
      </c>
      <c r="V181">
        <v>0.32006524721423824</v>
      </c>
      <c r="W181">
        <v>0.17612459740546013</v>
      </c>
      <c r="X181">
        <v>0.30258251976980355</v>
      </c>
      <c r="Y181">
        <v>0.23272088574539643</v>
      </c>
      <c r="Z181">
        <v>0.24605239987439093</v>
      </c>
    </row>
    <row r="182" spans="1:26" x14ac:dyDescent="0.2">
      <c r="A182" s="17">
        <v>10994</v>
      </c>
      <c r="B182" s="17" t="s">
        <v>322</v>
      </c>
      <c r="C182" s="17" t="s">
        <v>142</v>
      </c>
      <c r="D182" s="72">
        <v>44243</v>
      </c>
      <c r="E182" s="73">
        <v>126</v>
      </c>
      <c r="F182" s="17">
        <v>9.4960000000000003E-2</v>
      </c>
      <c r="G182" s="74">
        <v>0.20525999999999911</v>
      </c>
      <c r="H182" t="s">
        <v>310</v>
      </c>
      <c r="I182">
        <v>1.0034743110908514E-2</v>
      </c>
      <c r="J182">
        <v>0.13400566490708593</v>
      </c>
      <c r="K182">
        <v>7.1397297687102491E-3</v>
      </c>
      <c r="L182">
        <v>9.6625935652218976E-3</v>
      </c>
      <c r="M182">
        <v>3.3263039464879074</v>
      </c>
      <c r="N182">
        <v>3.4587670405680968E-3</v>
      </c>
      <c r="O182">
        <v>2.8182986244955184</v>
      </c>
      <c r="P182">
        <v>0.15368682376312065</v>
      </c>
      <c r="Q182">
        <v>8.5025476402132184E-3</v>
      </c>
      <c r="R182">
        <v>4.5102460187393084E-2</v>
      </c>
      <c r="S182">
        <v>6.1665839674887916E-5</v>
      </c>
      <c r="T182">
        <v>4.5102460187393528E-2</v>
      </c>
      <c r="U182">
        <v>0.5243437751354596</v>
      </c>
      <c r="V182">
        <v>0.20648773894727121</v>
      </c>
      <c r="W182">
        <v>5.4966856764785115E-3</v>
      </c>
      <c r="X182">
        <v>0.18531020272650994</v>
      </c>
      <c r="Y182">
        <v>2.8819572574814893E-3</v>
      </c>
      <c r="Z182">
        <v>8.8939465271574564E-2</v>
      </c>
    </row>
    <row r="183" spans="1:26" x14ac:dyDescent="0.2">
      <c r="A183" s="13">
        <v>10815</v>
      </c>
      <c r="B183" s="13" t="s">
        <v>79</v>
      </c>
      <c r="C183" s="13" t="s">
        <v>72</v>
      </c>
      <c r="D183" s="14">
        <v>44243</v>
      </c>
      <c r="E183" s="15"/>
      <c r="F183" s="16">
        <v>1.10995</v>
      </c>
      <c r="G183" s="16">
        <v>10.349080000000001</v>
      </c>
      <c r="H183" t="s">
        <v>311</v>
      </c>
      <c r="I183">
        <v>9.9972766881843162E-3</v>
      </c>
      <c r="J183">
        <v>0.67411867589331154</v>
      </c>
      <c r="K183">
        <v>7.1409777496933384E-3</v>
      </c>
      <c r="L183">
        <v>6.1646213897255386E-3</v>
      </c>
      <c r="M183">
        <v>2.7319958282359855</v>
      </c>
      <c r="N183">
        <v>1.1194595168619117E-2</v>
      </c>
      <c r="O183">
        <v>2.0712898686160877</v>
      </c>
      <c r="P183">
        <v>0.70031029308091808</v>
      </c>
      <c r="Q183">
        <v>7.572399206419324E-3</v>
      </c>
      <c r="R183">
        <v>0.10339634853833342</v>
      </c>
      <c r="S183">
        <v>5.4919816409942817E-5</v>
      </c>
      <c r="T183">
        <v>0.10339634853833374</v>
      </c>
      <c r="U183">
        <v>1.3237720710171277</v>
      </c>
      <c r="V183">
        <v>0.31209528239121365</v>
      </c>
      <c r="W183">
        <v>0.17640201000014888</v>
      </c>
      <c r="X183">
        <v>0.42356652441552484</v>
      </c>
      <c r="Y183">
        <v>0.23338187545587916</v>
      </c>
      <c r="Z183">
        <v>0.30425495911676076</v>
      </c>
    </row>
    <row r="184" spans="1:26" x14ac:dyDescent="0.2">
      <c r="A184" s="17">
        <v>10995</v>
      </c>
      <c r="B184" s="17" t="s">
        <v>323</v>
      </c>
      <c r="C184" s="17" t="s">
        <v>142</v>
      </c>
      <c r="D184" s="72">
        <v>44243</v>
      </c>
      <c r="E184" s="73">
        <v>136</v>
      </c>
      <c r="F184" s="17">
        <v>7.0849999999999996E-2</v>
      </c>
      <c r="G184" s="74">
        <v>0.20739000000000019</v>
      </c>
      <c r="H184" t="s">
        <v>312</v>
      </c>
      <c r="I184">
        <v>1.0071618336387696E-2</v>
      </c>
      <c r="J184">
        <v>0.12201917319074067</v>
      </c>
      <c r="K184">
        <v>7.1330289096847169E-3</v>
      </c>
      <c r="L184">
        <v>7.28591869242889E-3</v>
      </c>
      <c r="M184">
        <v>2.2059157794283299</v>
      </c>
      <c r="N184">
        <v>4.3135117677268334E-3</v>
      </c>
      <c r="O184">
        <v>1.8680266898911448</v>
      </c>
      <c r="P184">
        <v>0.12508341077444818</v>
      </c>
      <c r="Q184">
        <v>8.5294771188661918E-3</v>
      </c>
      <c r="R184">
        <v>4.0738667111042702E-2</v>
      </c>
      <c r="S184">
        <v>6.1861149243668052E-5</v>
      </c>
      <c r="T184">
        <v>4.0738667111043167E-2</v>
      </c>
      <c r="U184">
        <v>0.32885879561714332</v>
      </c>
      <c r="V184">
        <v>0.23707526806426477</v>
      </c>
      <c r="W184">
        <v>1.4816183939002818E-3</v>
      </c>
      <c r="X184">
        <v>0.16898772791650454</v>
      </c>
      <c r="Y184">
        <v>4.8714092576322547E-4</v>
      </c>
      <c r="Z184">
        <v>0.14756678695096292</v>
      </c>
    </row>
    <row r="185" spans="1:26" x14ac:dyDescent="0.2">
      <c r="A185" s="13">
        <v>10815</v>
      </c>
      <c r="B185" s="13" t="s">
        <v>79</v>
      </c>
      <c r="C185" s="13" t="s">
        <v>72</v>
      </c>
      <c r="D185" s="14">
        <v>44243</v>
      </c>
      <c r="E185" s="15"/>
      <c r="F185" s="16">
        <v>1.10995</v>
      </c>
      <c r="G185" s="16">
        <v>10.349080000000001</v>
      </c>
      <c r="H185" t="s">
        <v>313</v>
      </c>
      <c r="I185">
        <v>9.8989763563444074E-3</v>
      </c>
      <c r="J185">
        <v>0.50991494659260761</v>
      </c>
      <c r="K185">
        <v>7.1372943462367977E-3</v>
      </c>
      <c r="L185">
        <v>4.6209537438218935E-3</v>
      </c>
      <c r="M185">
        <v>2.7315787720929618</v>
      </c>
      <c r="N185">
        <v>9.928383181998247E-3</v>
      </c>
      <c r="O185">
        <v>2.0883153977610509</v>
      </c>
      <c r="P185">
        <v>0.54953818799708853</v>
      </c>
      <c r="Q185">
        <v>7.5700273039859579E-3</v>
      </c>
      <c r="R185">
        <v>0.10905089863215642</v>
      </c>
      <c r="S185">
        <v>5.4902613877082113E-5</v>
      </c>
      <c r="T185">
        <v>0.10905089863215646</v>
      </c>
      <c r="U185">
        <v>1.3255018623190367</v>
      </c>
      <c r="V185">
        <v>0.22304983501397418</v>
      </c>
      <c r="W185">
        <v>0.17641887397556752</v>
      </c>
      <c r="X185">
        <v>0.31314961308025796</v>
      </c>
      <c r="Y185">
        <v>0.23391069508906095</v>
      </c>
      <c r="Z185">
        <v>0.26032433862497428</v>
      </c>
    </row>
    <row r="186" spans="1:26" x14ac:dyDescent="0.2">
      <c r="A186" s="17">
        <v>10996</v>
      </c>
      <c r="B186" s="17" t="s">
        <v>324</v>
      </c>
      <c r="C186" s="17" t="s">
        <v>142</v>
      </c>
      <c r="D186" s="72">
        <v>44243</v>
      </c>
      <c r="E186" s="73">
        <v>248</v>
      </c>
      <c r="F186" s="17">
        <v>5.5120000000000002E-2</v>
      </c>
      <c r="G186" s="74">
        <v>0.2061200000000003</v>
      </c>
      <c r="H186" t="s">
        <v>314</v>
      </c>
      <c r="I186">
        <v>1.0053855466366019E-2</v>
      </c>
      <c r="J186">
        <v>0.16235751371096949</v>
      </c>
      <c r="K186">
        <v>7.1270950908997746E-3</v>
      </c>
      <c r="L186">
        <v>5.4596991717204973E-3</v>
      </c>
      <c r="M186">
        <v>1.7850588177405093</v>
      </c>
      <c r="N186">
        <v>3.4515693489887821E-3</v>
      </c>
      <c r="O186">
        <v>1.5097220939686953</v>
      </c>
      <c r="P186">
        <v>0.15892766477004128</v>
      </c>
      <c r="Q186">
        <v>8.5036354247203273E-3</v>
      </c>
      <c r="R186">
        <v>5.3765435168994291E-2</v>
      </c>
      <c r="S186">
        <v>6.1673728974407833E-5</v>
      </c>
      <c r="T186">
        <v>5.3765435168994381E-2</v>
      </c>
      <c r="U186">
        <v>0.33881773411157218</v>
      </c>
      <c r="V186">
        <v>0.19691344429314087</v>
      </c>
      <c r="W186">
        <v>3.5379819827992216E-2</v>
      </c>
      <c r="X186">
        <v>0.15411959452350368</v>
      </c>
      <c r="Y186">
        <v>1.1994611067524329E-2</v>
      </c>
      <c r="Z186">
        <v>0.13335164825244447</v>
      </c>
    </row>
    <row r="187" spans="1:26" x14ac:dyDescent="0.2">
      <c r="A187" s="13">
        <v>10815</v>
      </c>
      <c r="B187" s="13" t="s">
        <v>79</v>
      </c>
      <c r="C187" s="13" t="s">
        <v>72</v>
      </c>
      <c r="D187" s="14">
        <v>44243</v>
      </c>
      <c r="E187" s="15"/>
      <c r="F187" s="16">
        <v>1.10995</v>
      </c>
      <c r="G187" s="16">
        <v>10.349080000000001</v>
      </c>
      <c r="H187" t="s">
        <v>315</v>
      </c>
      <c r="I187">
        <v>9.8893352942065593E-3</v>
      </c>
      <c r="J187">
        <v>0.49747376311710284</v>
      </c>
      <c r="K187">
        <v>7.1330702743399275E-3</v>
      </c>
      <c r="L187">
        <v>5.2777738266621228E-3</v>
      </c>
      <c r="M187">
        <v>2.7315342422110613</v>
      </c>
      <c r="N187">
        <v>8.4923306537101808E-3</v>
      </c>
      <c r="O187">
        <v>2.097238248454889</v>
      </c>
      <c r="P187">
        <v>0.50883459934372777</v>
      </c>
      <c r="Q187">
        <v>7.5815176083263774E-3</v>
      </c>
      <c r="R187">
        <v>0.14456494467555481</v>
      </c>
      <c r="S187">
        <v>5.4985948813298277E-5</v>
      </c>
      <c r="T187">
        <v>0.14456494467555517</v>
      </c>
      <c r="U187">
        <v>1.3248108083049221</v>
      </c>
      <c r="V187">
        <v>0.21210067917882</v>
      </c>
      <c r="W187">
        <v>0.17840294204712739</v>
      </c>
      <c r="X187">
        <v>0.34211414292145792</v>
      </c>
      <c r="Y187">
        <v>0.23653038989566916</v>
      </c>
      <c r="Z187">
        <v>0.29892162989935706</v>
      </c>
    </row>
    <row r="188" spans="1:26" x14ac:dyDescent="0.2">
      <c r="A188" s="17">
        <v>10997</v>
      </c>
      <c r="B188" s="17" t="s">
        <v>325</v>
      </c>
      <c r="C188" s="17" t="s">
        <v>142</v>
      </c>
      <c r="D188" s="72">
        <v>44243</v>
      </c>
      <c r="E188" s="73">
        <v>272</v>
      </c>
      <c r="F188" s="17">
        <v>6.6479999999999997E-2</v>
      </c>
      <c r="G188" s="74">
        <v>0.2060499999999994</v>
      </c>
      <c r="H188" t="s">
        <v>316</v>
      </c>
      <c r="I188">
        <v>1.008181984108939E-2</v>
      </c>
      <c r="J188">
        <v>0.14726073197196568</v>
      </c>
      <c r="K188">
        <v>7.1253543792803515E-3</v>
      </c>
      <c r="L188">
        <v>3.0082278975350277E-3</v>
      </c>
      <c r="M188">
        <v>2.2179263071036543</v>
      </c>
      <c r="N188">
        <v>3.4085417204359177E-3</v>
      </c>
      <c r="O188">
        <v>1.8706949892969009</v>
      </c>
      <c r="P188">
        <v>0.15265407771160552</v>
      </c>
      <c r="Q188">
        <v>8.5078071637086083E-3</v>
      </c>
      <c r="R188">
        <v>4.1962931617597059E-2</v>
      </c>
      <c r="S188">
        <v>6.1703985057467008E-5</v>
      </c>
      <c r="T188">
        <v>4.1962931617596934E-2</v>
      </c>
      <c r="U188">
        <v>0.42882219959986673</v>
      </c>
      <c r="V188">
        <v>0.18478385232122516</v>
      </c>
      <c r="W188">
        <v>4.7320367549206016E-2</v>
      </c>
      <c r="X188">
        <v>0.19079633975787141</v>
      </c>
      <c r="Y188">
        <v>2.0308689819405423E-2</v>
      </c>
      <c r="Z188">
        <v>9.3631805179591937E-2</v>
      </c>
    </row>
    <row r="189" spans="1:26" x14ac:dyDescent="0.2">
      <c r="A189" s="13">
        <v>10815</v>
      </c>
      <c r="B189" s="13" t="s">
        <v>79</v>
      </c>
      <c r="C189" s="13" t="s">
        <v>72</v>
      </c>
      <c r="D189" s="14">
        <v>44243</v>
      </c>
      <c r="E189" s="15"/>
      <c r="F189" s="16">
        <v>1.10995</v>
      </c>
      <c r="G189" s="16">
        <v>10.349080000000001</v>
      </c>
      <c r="H189" t="s">
        <v>317</v>
      </c>
      <c r="I189">
        <v>9.9561736197624467E-3</v>
      </c>
      <c r="J189">
        <v>0.46656102791763227</v>
      </c>
      <c r="K189">
        <v>7.1324850594420564E-3</v>
      </c>
      <c r="L189">
        <v>5.5400644127807531E-3</v>
      </c>
      <c r="M189">
        <v>2.7317078521107563</v>
      </c>
      <c r="N189">
        <v>9.2313617332485734E-3</v>
      </c>
      <c r="O189">
        <v>2.079881395895935</v>
      </c>
      <c r="P189">
        <v>0.4982260272628542</v>
      </c>
      <c r="Q189">
        <v>7.5848138424693913E-3</v>
      </c>
      <c r="R189">
        <v>0.11977264625976922</v>
      </c>
      <c r="S189">
        <v>5.5009855182870646E-5</v>
      </c>
      <c r="T189">
        <v>0.1197726462597697</v>
      </c>
      <c r="U189">
        <v>1.3194158344511975</v>
      </c>
      <c r="V189">
        <v>0.30156529739342042</v>
      </c>
      <c r="W189">
        <v>0.17926832756886382</v>
      </c>
      <c r="X189">
        <v>0.35171864385248774</v>
      </c>
      <c r="Y189">
        <v>0.23645473525661317</v>
      </c>
      <c r="Z189">
        <v>0.24187177899906007</v>
      </c>
    </row>
    <row r="190" spans="1:26" x14ac:dyDescent="0.2">
      <c r="A190" s="17">
        <v>10998</v>
      </c>
      <c r="B190" s="17" t="s">
        <v>326</v>
      </c>
      <c r="C190" s="17" t="s">
        <v>142</v>
      </c>
      <c r="D190" s="72">
        <v>44243</v>
      </c>
      <c r="E190" s="73">
        <v>360</v>
      </c>
      <c r="F190" s="17">
        <v>7.5130000000000002E-2</v>
      </c>
      <c r="G190" s="74">
        <v>0.20661999999999914</v>
      </c>
      <c r="H190" t="s">
        <v>318</v>
      </c>
      <c r="I190">
        <v>1.008775216029272E-2</v>
      </c>
      <c r="J190">
        <v>0.21275697619143585</v>
      </c>
      <c r="K190">
        <v>7.1173161649338255E-3</v>
      </c>
      <c r="L190">
        <v>5.352304016129265E-3</v>
      </c>
      <c r="M190">
        <v>2.4001190514297055</v>
      </c>
      <c r="N190">
        <v>3.9936944610468412E-3</v>
      </c>
      <c r="O190">
        <v>2.0112458600995091</v>
      </c>
      <c r="P190">
        <v>0.20274697118859331</v>
      </c>
      <c r="Q190">
        <v>8.4535141978575139E-3</v>
      </c>
      <c r="R190">
        <v>4.0937076632843121E-2</v>
      </c>
      <c r="S190">
        <v>6.1310218216124865E-5</v>
      </c>
      <c r="T190">
        <v>4.09370766328436E-2</v>
      </c>
      <c r="U190">
        <v>0.58846592398429676</v>
      </c>
      <c r="V190">
        <v>0.19025079540035747</v>
      </c>
      <c r="W190">
        <v>8.2362590139277141E-3</v>
      </c>
      <c r="X190">
        <v>0.13824557775674629</v>
      </c>
      <c r="Y190">
        <v>4.8519277652887376E-3</v>
      </c>
      <c r="Z190">
        <v>0.1400695008926531</v>
      </c>
    </row>
    <row r="191" spans="1:26" x14ac:dyDescent="0.2">
      <c r="A191" s="13">
        <v>10815</v>
      </c>
      <c r="B191" s="13" t="s">
        <v>79</v>
      </c>
      <c r="C191" s="13" t="s">
        <v>72</v>
      </c>
      <c r="D191" s="14">
        <v>44243</v>
      </c>
      <c r="E191" s="15"/>
      <c r="F191" s="16">
        <v>1.10995</v>
      </c>
      <c r="G191" s="16">
        <v>10.349080000000001</v>
      </c>
      <c r="H191" t="s">
        <v>319</v>
      </c>
      <c r="I191">
        <v>9.965776403345469E-3</v>
      </c>
      <c r="J191">
        <v>0.50332858047498097</v>
      </c>
      <c r="K191">
        <v>7.1296730891520109E-3</v>
      </c>
      <c r="L191">
        <v>5.9652343026493871E-3</v>
      </c>
      <c r="M191">
        <v>2.7318070077046843</v>
      </c>
      <c r="N191">
        <v>9.656424732334341E-3</v>
      </c>
      <c r="O191">
        <v>2.0785412947634341</v>
      </c>
      <c r="P191">
        <v>0.54418680857307811</v>
      </c>
      <c r="Q191">
        <v>7.5814856519912446E-3</v>
      </c>
      <c r="R191">
        <v>0.12741907446249817</v>
      </c>
      <c r="S191">
        <v>5.4985717045794902E-5</v>
      </c>
      <c r="T191">
        <v>0.12741907446249823</v>
      </c>
      <c r="U191">
        <v>1.3208394150116438</v>
      </c>
      <c r="V191">
        <v>0.33727176393558</v>
      </c>
      <c r="W191">
        <v>0.17904285899961053</v>
      </c>
      <c r="X191">
        <v>0.42173492595403361</v>
      </c>
      <c r="Y191">
        <v>0.23638204807949806</v>
      </c>
      <c r="Z191">
        <v>0.25705632042947407</v>
      </c>
    </row>
    <row r="192" spans="1:26" x14ac:dyDescent="0.2">
      <c r="A192" s="17">
        <v>10999</v>
      </c>
      <c r="B192" s="17" t="s">
        <v>327</v>
      </c>
      <c r="C192" s="17" t="s">
        <v>142</v>
      </c>
      <c r="D192" s="72">
        <v>44243</v>
      </c>
      <c r="E192" s="73">
        <v>583</v>
      </c>
      <c r="F192" s="17">
        <v>5.9560000000000002E-2</v>
      </c>
      <c r="G192" s="74">
        <v>0.20683999999999969</v>
      </c>
      <c r="H192" t="s">
        <v>320</v>
      </c>
      <c r="I192">
        <v>1.0090512645033901E-2</v>
      </c>
      <c r="J192">
        <v>0.15428045410825872</v>
      </c>
      <c r="K192">
        <v>7.1186893903353735E-3</v>
      </c>
      <c r="L192">
        <v>3.0522465712102798E-3</v>
      </c>
      <c r="M192">
        <v>1.8731533338365038</v>
      </c>
      <c r="N192">
        <v>4.0858249132826726E-3</v>
      </c>
      <c r="O192">
        <v>1.5355839794920354</v>
      </c>
      <c r="P192">
        <v>0.16011642972349352</v>
      </c>
      <c r="Q192">
        <v>8.2732152257394224E-3</v>
      </c>
      <c r="R192">
        <v>4.8301312818465107E-2</v>
      </c>
      <c r="S192">
        <v>6.0002576321171307E-5</v>
      </c>
      <c r="T192">
        <v>4.830131281846415E-2</v>
      </c>
      <c r="U192">
        <v>0.76655637218488393</v>
      </c>
      <c r="V192">
        <v>0.20498581012803585</v>
      </c>
      <c r="W192">
        <v>4.6089738426318416E-2</v>
      </c>
      <c r="X192">
        <v>0.18427386097289775</v>
      </c>
      <c r="Y192">
        <v>3.5352074549852903E-2</v>
      </c>
      <c r="Z192">
        <v>0.14543476464753993</v>
      </c>
    </row>
    <row r="193" spans="1:26" x14ac:dyDescent="0.2">
      <c r="A193" s="13">
        <v>10815</v>
      </c>
      <c r="B193" s="13" t="s">
        <v>79</v>
      </c>
      <c r="C193" s="13" t="s">
        <v>72</v>
      </c>
      <c r="D193" s="14">
        <v>44243</v>
      </c>
      <c r="E193" s="15"/>
      <c r="F193" s="16">
        <v>1.10995</v>
      </c>
      <c r="G193" s="16">
        <v>10.349080000000001</v>
      </c>
      <c r="H193" t="s">
        <v>321</v>
      </c>
      <c r="I193">
        <v>9.9202027644977875E-3</v>
      </c>
      <c r="J193">
        <v>0.60776730235848087</v>
      </c>
      <c r="K193">
        <v>7.129349994135184E-3</v>
      </c>
      <c r="L193">
        <v>5.2145567426925242E-3</v>
      </c>
      <c r="M193">
        <v>2.7315209678996499</v>
      </c>
      <c r="N193">
        <v>1.0392582702561846E-2</v>
      </c>
      <c r="O193">
        <v>2.0857028412965506</v>
      </c>
      <c r="P193">
        <v>0.59963619999093765</v>
      </c>
      <c r="Q193">
        <v>7.5784821678291838E-3</v>
      </c>
      <c r="R193">
        <v>0.12431252605945999</v>
      </c>
      <c r="S193">
        <v>5.4963933883777908E-5</v>
      </c>
      <c r="T193">
        <v>0.12431252605945906</v>
      </c>
      <c r="U193">
        <v>1.324776487848808</v>
      </c>
      <c r="V193">
        <v>0.29626679782053078</v>
      </c>
      <c r="W193">
        <v>0.17852528769127463</v>
      </c>
      <c r="X193">
        <v>0.35791358188939787</v>
      </c>
      <c r="Y193">
        <v>0.23657894274485319</v>
      </c>
      <c r="Z193">
        <v>0.27484024850896155</v>
      </c>
    </row>
    <row r="195" spans="1:26" x14ac:dyDescent="0.2">
      <c r="A195" s="13">
        <v>10815</v>
      </c>
      <c r="B195" s="13" t="s">
        <v>79</v>
      </c>
      <c r="C195" s="13" t="s">
        <v>72</v>
      </c>
      <c r="D195" s="14">
        <v>44244</v>
      </c>
      <c r="E195" s="15"/>
      <c r="F195" s="16">
        <v>1.10995</v>
      </c>
      <c r="G195" s="16">
        <v>10.349080000000001</v>
      </c>
      <c r="H195" t="s">
        <v>309</v>
      </c>
      <c r="I195">
        <v>9.9327499900848885E-3</v>
      </c>
      <c r="J195">
        <v>0.42073319121329839</v>
      </c>
      <c r="K195">
        <v>7.1378213296598055E-3</v>
      </c>
      <c r="L195">
        <v>4.2442306109606205E-3</v>
      </c>
      <c r="M195">
        <v>2.7326065751993811</v>
      </c>
      <c r="N195">
        <v>1.0435313877690802E-2</v>
      </c>
      <c r="O195">
        <v>2.0860908130930893</v>
      </c>
      <c r="P195">
        <v>0.43994955360051369</v>
      </c>
      <c r="Q195">
        <v>7.5727089165646575E-3</v>
      </c>
      <c r="R195">
        <v>9.9266074899965487E-2</v>
      </c>
      <c r="S195">
        <v>5.4922062623310353E-5</v>
      </c>
      <c r="T195">
        <v>9.9266074899965751E-2</v>
      </c>
      <c r="U195">
        <v>1.3227985694005537</v>
      </c>
      <c r="V195">
        <v>0.18320420203061324</v>
      </c>
      <c r="W195">
        <v>0.17920495973579961</v>
      </c>
      <c r="X195">
        <v>0.37476390595201942</v>
      </c>
      <c r="Y195">
        <v>0.23716023899703759</v>
      </c>
      <c r="Z195">
        <v>0.28333311162074576</v>
      </c>
    </row>
    <row r="196" spans="1:26" x14ac:dyDescent="0.2">
      <c r="A196" s="17">
        <v>11000</v>
      </c>
      <c r="B196" s="17" t="s">
        <v>328</v>
      </c>
      <c r="C196" s="17" t="s">
        <v>142</v>
      </c>
      <c r="D196" s="72">
        <v>44244</v>
      </c>
      <c r="E196" s="73">
        <v>604</v>
      </c>
      <c r="F196" s="17">
        <v>4.5960000000000001E-2</v>
      </c>
      <c r="G196" s="74">
        <v>0.20650999999999975</v>
      </c>
      <c r="H196" t="s">
        <v>333</v>
      </c>
      <c r="I196">
        <v>1.0049165580054965E-2</v>
      </c>
      <c r="J196">
        <v>0.12084623165265765</v>
      </c>
      <c r="K196">
        <v>7.1316112973914061E-3</v>
      </c>
      <c r="L196">
        <v>3.587854650907895E-3</v>
      </c>
      <c r="M196">
        <v>1.4502295139788539</v>
      </c>
      <c r="N196">
        <v>3.7445105822061209E-3</v>
      </c>
      <c r="O196">
        <v>1.1946781896307404</v>
      </c>
      <c r="P196">
        <v>0.13278581655704794</v>
      </c>
      <c r="Q196">
        <v>8.2785369105414699E-3</v>
      </c>
      <c r="R196">
        <v>4.988814375693932E-2</v>
      </c>
      <c r="S196">
        <v>6.0041172536763343E-5</v>
      </c>
      <c r="T196">
        <v>4.9888143756938778E-2</v>
      </c>
      <c r="U196">
        <v>0.59868826052623392</v>
      </c>
      <c r="V196">
        <v>0.18417598150530298</v>
      </c>
      <c r="W196">
        <v>0.11718035158566344</v>
      </c>
      <c r="X196">
        <v>0.18024873374265507</v>
      </c>
      <c r="Y196">
        <v>7.0168581560864723E-2</v>
      </c>
      <c r="Z196">
        <v>0.10675812949459519</v>
      </c>
    </row>
    <row r="197" spans="1:26" x14ac:dyDescent="0.2">
      <c r="A197" s="13">
        <v>10815</v>
      </c>
      <c r="B197" s="13" t="s">
        <v>79</v>
      </c>
      <c r="C197" s="13" t="s">
        <v>72</v>
      </c>
      <c r="D197" s="14">
        <v>44244</v>
      </c>
      <c r="E197" s="15"/>
      <c r="F197" s="16">
        <v>1.10995</v>
      </c>
      <c r="G197" s="16">
        <v>10.349080000000001</v>
      </c>
      <c r="H197" t="s">
        <v>311</v>
      </c>
      <c r="I197">
        <v>9.983685790568313E-3</v>
      </c>
      <c r="J197">
        <v>0.39608519569726353</v>
      </c>
      <c r="K197">
        <v>7.1362194876709922E-3</v>
      </c>
      <c r="L197">
        <v>5.2153793568964976E-3</v>
      </c>
      <c r="M197">
        <v>2.7323050220481795</v>
      </c>
      <c r="N197">
        <v>8.3021118847734082E-3</v>
      </c>
      <c r="O197">
        <v>2.0697356487174319</v>
      </c>
      <c r="P197">
        <v>0.41907357942227857</v>
      </c>
      <c r="Q197">
        <v>7.5757882382882407E-3</v>
      </c>
      <c r="R197">
        <v>6.6835848229625308E-2</v>
      </c>
      <c r="S197">
        <v>5.4944395807168807E-5</v>
      </c>
      <c r="T197">
        <v>6.6835848229624961E-2</v>
      </c>
      <c r="U197">
        <v>1.3215662047636523</v>
      </c>
      <c r="V197">
        <v>0.25867625780437586</v>
      </c>
      <c r="W197">
        <v>0.18090083030483609</v>
      </c>
      <c r="X197">
        <v>0.31772047309445839</v>
      </c>
      <c r="Y197">
        <v>0.23869293160201921</v>
      </c>
      <c r="Z197">
        <v>0.25364819219106222</v>
      </c>
    </row>
    <row r="198" spans="1:26" x14ac:dyDescent="0.2">
      <c r="A198" s="17">
        <v>11001</v>
      </c>
      <c r="B198" s="17" t="s">
        <v>329</v>
      </c>
      <c r="C198" s="17" t="s">
        <v>142</v>
      </c>
      <c r="D198" s="72">
        <v>44244</v>
      </c>
      <c r="E198" s="73">
        <v>654</v>
      </c>
      <c r="F198" s="17">
        <v>7.3370000000000005E-2</v>
      </c>
      <c r="G198" s="74">
        <v>0.20678000000000019</v>
      </c>
      <c r="H198" t="s">
        <v>334</v>
      </c>
      <c r="I198">
        <v>1.0061811759158726E-2</v>
      </c>
      <c r="J198">
        <v>0.10425306994908959</v>
      </c>
      <c r="K198">
        <v>7.1249924585157168E-3</v>
      </c>
      <c r="L198">
        <v>3.5077932301805178E-3</v>
      </c>
      <c r="M198">
        <v>2.448064932644022</v>
      </c>
      <c r="N198">
        <v>3.6210006162045289E-3</v>
      </c>
      <c r="O198">
        <v>1.9998391483254012</v>
      </c>
      <c r="P198">
        <v>0.11720317384137104</v>
      </c>
      <c r="Q198">
        <v>8.2219816861944343E-3</v>
      </c>
      <c r="R198">
        <v>4.0341676223763827E-2</v>
      </c>
      <c r="S198">
        <v>5.9630998369568179E-5</v>
      </c>
      <c r="T198">
        <v>4.0341676223763098E-2</v>
      </c>
      <c r="U198">
        <v>1.0705417275818365</v>
      </c>
      <c r="V198">
        <v>0.16889096305501852</v>
      </c>
      <c r="W198">
        <v>0.13763757146089475</v>
      </c>
      <c r="X198">
        <v>0.18807292958772903</v>
      </c>
      <c r="Y198">
        <v>0.14742536469901538</v>
      </c>
      <c r="Z198">
        <v>9.1646922262335062E-2</v>
      </c>
    </row>
    <row r="199" spans="1:26" x14ac:dyDescent="0.2">
      <c r="A199" s="13">
        <v>10815</v>
      </c>
      <c r="B199" s="13" t="s">
        <v>79</v>
      </c>
      <c r="C199" s="13" t="s">
        <v>72</v>
      </c>
      <c r="D199" s="14">
        <v>44244</v>
      </c>
      <c r="E199" s="15"/>
      <c r="F199" s="16">
        <v>1.10995</v>
      </c>
      <c r="G199" s="16">
        <v>10.349080000000001</v>
      </c>
      <c r="H199" t="s">
        <v>313</v>
      </c>
      <c r="I199">
        <v>9.990846295492576E-3</v>
      </c>
      <c r="J199">
        <v>0.48364282406814518</v>
      </c>
      <c r="K199">
        <v>7.1342569584863964E-3</v>
      </c>
      <c r="L199">
        <v>4.5972277529438355E-3</v>
      </c>
      <c r="M199">
        <v>2.731793032821042</v>
      </c>
      <c r="N199">
        <v>9.3173466249109136E-3</v>
      </c>
      <c r="O199">
        <v>2.0730564329397176</v>
      </c>
      <c r="P199">
        <v>0.50123046466555721</v>
      </c>
      <c r="Q199">
        <v>7.5831849247825689E-3</v>
      </c>
      <c r="R199">
        <v>8.9489810380249446E-2</v>
      </c>
      <c r="S199">
        <v>5.4998041244134943E-5</v>
      </c>
      <c r="T199">
        <v>8.9489810380248849E-2</v>
      </c>
      <c r="U199">
        <v>1.3211596650329391</v>
      </c>
      <c r="V199">
        <v>0.23661192782764287</v>
      </c>
      <c r="W199">
        <v>0.17981851816898275</v>
      </c>
      <c r="X199">
        <v>0.44081208412107881</v>
      </c>
      <c r="Y199">
        <v>0.2374196380301325</v>
      </c>
      <c r="Z199">
        <v>0.38531738823694273</v>
      </c>
    </row>
    <row r="200" spans="1:26" x14ac:dyDescent="0.2">
      <c r="A200" s="17">
        <v>11002</v>
      </c>
      <c r="B200" s="17" t="s">
        <v>330</v>
      </c>
      <c r="C200" s="17" t="s">
        <v>142</v>
      </c>
      <c r="D200" s="72">
        <v>44244</v>
      </c>
      <c r="E200" s="73">
        <v>697</v>
      </c>
      <c r="F200" s="17">
        <v>7.4319999999999997E-2</v>
      </c>
      <c r="G200" s="74">
        <v>0.20138999999999996</v>
      </c>
      <c r="H200" t="s">
        <v>335</v>
      </c>
      <c r="I200">
        <v>1.0058747185816652E-2</v>
      </c>
      <c r="J200">
        <v>0.11761362921864429</v>
      </c>
      <c r="K200">
        <v>7.1240962994711127E-3</v>
      </c>
      <c r="L200">
        <v>2.4056741507128298E-3</v>
      </c>
      <c r="M200">
        <v>2.9850947313624827</v>
      </c>
      <c r="N200">
        <v>3.993897689062784E-3</v>
      </c>
      <c r="O200">
        <v>2.4501832409602429</v>
      </c>
      <c r="P200">
        <v>0.13752058428628547</v>
      </c>
      <c r="Q200">
        <v>8.2490818507544219E-3</v>
      </c>
      <c r="R200">
        <v>3.4583796344043224E-2</v>
      </c>
      <c r="S200">
        <v>5.9827545860230357E-5</v>
      </c>
      <c r="T200">
        <v>3.4583796344042995E-2</v>
      </c>
      <c r="U200">
        <v>1.2278301039872836</v>
      </c>
      <c r="V200">
        <v>0.13877180895901353</v>
      </c>
      <c r="W200">
        <v>2.5377923253160503E-2</v>
      </c>
      <c r="X200">
        <v>0.13851038738692778</v>
      </c>
      <c r="Y200">
        <v>3.1164460598858763E-2</v>
      </c>
      <c r="Z200">
        <v>7.2260123222968181E-2</v>
      </c>
    </row>
    <row r="201" spans="1:26" x14ac:dyDescent="0.2">
      <c r="A201" s="13">
        <v>10815</v>
      </c>
      <c r="B201" s="13" t="s">
        <v>79</v>
      </c>
      <c r="C201" s="13" t="s">
        <v>72</v>
      </c>
      <c r="D201" s="14">
        <v>44244</v>
      </c>
      <c r="E201" s="15"/>
      <c r="F201" s="16">
        <v>1.10995</v>
      </c>
      <c r="G201" s="16">
        <v>10.349080000000001</v>
      </c>
      <c r="H201" t="s">
        <v>315</v>
      </c>
      <c r="I201">
        <v>9.8772352383197978E-3</v>
      </c>
      <c r="J201">
        <v>0.57031787695212843</v>
      </c>
      <c r="K201">
        <v>7.1339442962877215E-3</v>
      </c>
      <c r="L201">
        <v>4.8221393641154821E-3</v>
      </c>
      <c r="M201">
        <v>2.7318922500062777</v>
      </c>
      <c r="N201">
        <v>8.8985549751121155E-3</v>
      </c>
      <c r="O201">
        <v>2.0997742606232017</v>
      </c>
      <c r="P201">
        <v>0.52101307123952345</v>
      </c>
      <c r="Q201">
        <v>7.5864525048077794E-3</v>
      </c>
      <c r="R201">
        <v>0.11102089025122061</v>
      </c>
      <c r="S201">
        <v>5.5021739795967373E-5</v>
      </c>
      <c r="T201">
        <v>0.11102089025122122</v>
      </c>
      <c r="U201">
        <v>1.3241127685886858</v>
      </c>
      <c r="V201">
        <v>0.28811772592557022</v>
      </c>
      <c r="W201">
        <v>0.17986528854218184</v>
      </c>
      <c r="X201">
        <v>0.45435205834690079</v>
      </c>
      <c r="Y201">
        <v>0.23849185076212154</v>
      </c>
      <c r="Z201">
        <v>0.33961138205769892</v>
      </c>
    </row>
    <row r="202" spans="1:26" x14ac:dyDescent="0.2">
      <c r="A202" s="17">
        <v>11003</v>
      </c>
      <c r="B202" s="17" t="s">
        <v>331</v>
      </c>
      <c r="C202" s="17" t="s">
        <v>142</v>
      </c>
      <c r="D202" s="72">
        <v>44244</v>
      </c>
      <c r="E202" s="73">
        <v>801</v>
      </c>
      <c r="F202" s="17">
        <v>5.1389999999999998E-2</v>
      </c>
      <c r="G202" s="74">
        <v>0.2101500000000005</v>
      </c>
      <c r="H202" t="s">
        <v>336</v>
      </c>
      <c r="I202">
        <v>1.0065890300178678E-2</v>
      </c>
      <c r="J202">
        <v>0.16768134669752879</v>
      </c>
      <c r="K202">
        <v>7.1247124086990859E-3</v>
      </c>
      <c r="L202">
        <v>3.0491328523381523E-3</v>
      </c>
      <c r="M202">
        <v>1.2933759419046655</v>
      </c>
      <c r="N202">
        <v>3.6035166120429677E-3</v>
      </c>
      <c r="O202">
        <v>1.0580562869331112</v>
      </c>
      <c r="P202">
        <v>0.16528178234497995</v>
      </c>
      <c r="Q202">
        <v>8.231110268391767E-3</v>
      </c>
      <c r="R202">
        <v>5.0310249887552352E-2</v>
      </c>
      <c r="S202">
        <v>5.9697204606811428E-5</v>
      </c>
      <c r="T202">
        <v>5.0310249887552144E-2</v>
      </c>
      <c r="U202">
        <v>0.585035054560615</v>
      </c>
      <c r="V202">
        <v>0.15236379275962753</v>
      </c>
      <c r="W202">
        <v>2.8056174860666905E-2</v>
      </c>
      <c r="X202">
        <v>0.13748131786903403</v>
      </c>
      <c r="Y202">
        <v>1.641200848018521E-2</v>
      </c>
      <c r="Z202">
        <v>8.8213587620215889E-2</v>
      </c>
    </row>
    <row r="203" spans="1:26" x14ac:dyDescent="0.2">
      <c r="A203" s="13">
        <v>10815</v>
      </c>
      <c r="B203" s="13" t="s">
        <v>79</v>
      </c>
      <c r="C203" s="13" t="s">
        <v>72</v>
      </c>
      <c r="D203" s="14">
        <v>44244</v>
      </c>
      <c r="E203" s="15"/>
      <c r="F203" s="16">
        <v>1.10995</v>
      </c>
      <c r="G203" s="16">
        <v>10.349080000000001</v>
      </c>
      <c r="H203" t="s">
        <v>317</v>
      </c>
      <c r="I203">
        <v>9.9865924861546052E-3</v>
      </c>
      <c r="J203">
        <v>0.44322164223041638</v>
      </c>
      <c r="K203">
        <v>7.133756315280018E-3</v>
      </c>
      <c r="L203">
        <v>4.2814385910714108E-3</v>
      </c>
      <c r="M203">
        <v>2.7319398075487666</v>
      </c>
      <c r="N203">
        <v>5.847861030634084E-3</v>
      </c>
      <c r="O203">
        <v>2.075304892285609</v>
      </c>
      <c r="P203">
        <v>0.47101598240665321</v>
      </c>
      <c r="Q203">
        <v>7.585519838307804E-3</v>
      </c>
      <c r="R203">
        <v>0.12854572425461488</v>
      </c>
      <c r="S203">
        <v>5.5014975510097856E-5</v>
      </c>
      <c r="T203">
        <v>0.1285457242546148</v>
      </c>
      <c r="U203">
        <v>1.3228232548708596</v>
      </c>
      <c r="V203">
        <v>0.23916526118567399</v>
      </c>
      <c r="W203">
        <v>0.18031016761474802</v>
      </c>
      <c r="X203">
        <v>0.35165759052011369</v>
      </c>
      <c r="Y203">
        <v>0.23810729571578021</v>
      </c>
      <c r="Z203">
        <v>0.28012314190163878</v>
      </c>
    </row>
    <row r="204" spans="1:26" x14ac:dyDescent="0.2">
      <c r="A204" s="17">
        <v>11004</v>
      </c>
      <c r="B204" s="17" t="s">
        <v>332</v>
      </c>
      <c r="C204" s="17" t="s">
        <v>142</v>
      </c>
      <c r="D204" s="72">
        <v>44244</v>
      </c>
      <c r="E204" s="73">
        <v>840</v>
      </c>
      <c r="F204" s="17">
        <v>7.7329999999999996E-2</v>
      </c>
      <c r="G204" s="74">
        <v>0.20541999999999838</v>
      </c>
      <c r="H204" t="s">
        <v>337</v>
      </c>
      <c r="I204">
        <v>1.001452644613412E-2</v>
      </c>
      <c r="J204">
        <v>0.14287079231200545</v>
      </c>
      <c r="K204">
        <v>7.1248958513936561E-3</v>
      </c>
      <c r="L204">
        <v>2.693943690852134E-3</v>
      </c>
      <c r="M204">
        <v>2.1426984717003634</v>
      </c>
      <c r="N204">
        <v>3.5443006255291153E-3</v>
      </c>
      <c r="O204">
        <v>1.7501343694661406</v>
      </c>
      <c r="P204">
        <v>0.14889160437229712</v>
      </c>
      <c r="Q204">
        <v>8.1795145366506863E-3</v>
      </c>
      <c r="R204">
        <v>3.8443352386150091E-2</v>
      </c>
      <c r="S204">
        <v>5.932299980889816E-5</v>
      </c>
      <c r="T204">
        <v>3.8443352386150882E-2</v>
      </c>
      <c r="U204">
        <v>1.0208321029769241</v>
      </c>
      <c r="V204">
        <v>0.15094773851481205</v>
      </c>
      <c r="W204">
        <v>0.15966111514874148</v>
      </c>
      <c r="X204">
        <v>0.17990738517891869</v>
      </c>
      <c r="Y204">
        <v>0.16287316073311764</v>
      </c>
      <c r="Z204">
        <v>0.1435380811702277</v>
      </c>
    </row>
    <row r="205" spans="1:26" x14ac:dyDescent="0.2">
      <c r="A205" s="13">
        <v>10815</v>
      </c>
      <c r="B205" s="13" t="s">
        <v>79</v>
      </c>
      <c r="C205" s="13" t="s">
        <v>72</v>
      </c>
      <c r="D205" s="14">
        <v>44244</v>
      </c>
      <c r="E205" s="15"/>
      <c r="F205" s="16">
        <v>1.10995</v>
      </c>
      <c r="G205" s="16">
        <v>10.349080000000001</v>
      </c>
      <c r="H205" t="s">
        <v>319</v>
      </c>
      <c r="I205">
        <v>9.9841157026803618E-3</v>
      </c>
      <c r="J205">
        <v>0.53396916083290191</v>
      </c>
      <c r="K205">
        <v>7.1339148127350285E-3</v>
      </c>
      <c r="L205">
        <v>4.6153575447161581E-3</v>
      </c>
      <c r="M205">
        <v>2.7322013562282725</v>
      </c>
      <c r="N205">
        <v>1.1295490469999277E-2</v>
      </c>
      <c r="O205">
        <v>2.0760747437064011</v>
      </c>
      <c r="P205">
        <v>0.53468537827698226</v>
      </c>
      <c r="Q205">
        <v>7.5878614341200442E-3</v>
      </c>
      <c r="R205">
        <v>9.6697085836076502E-2</v>
      </c>
      <c r="S205">
        <v>5.5031958240221955E-5</v>
      </c>
      <c r="T205">
        <v>9.6697085836077307E-2</v>
      </c>
      <c r="U205">
        <v>1.3223953483525277</v>
      </c>
      <c r="V205">
        <v>0.3033288150322252</v>
      </c>
      <c r="W205">
        <v>0.18019427234680402</v>
      </c>
      <c r="X205">
        <v>0.35209325003157371</v>
      </c>
      <c r="Y205">
        <v>0.2387935316070123</v>
      </c>
      <c r="Z205">
        <v>0.32859499172715301</v>
      </c>
    </row>
    <row r="207" spans="1:26" x14ac:dyDescent="0.2">
      <c r="A207" s="13">
        <v>10815</v>
      </c>
      <c r="B207" s="13" t="s">
        <v>79</v>
      </c>
      <c r="C207" s="13" t="s">
        <v>72</v>
      </c>
      <c r="D207" s="14">
        <v>44270</v>
      </c>
      <c r="E207" s="15"/>
      <c r="F207" s="16">
        <v>1.10995</v>
      </c>
      <c r="G207" s="16">
        <v>10.349080000000001</v>
      </c>
      <c r="H207" t="s">
        <v>338</v>
      </c>
      <c r="I207">
        <v>9.8309688069377846E-3</v>
      </c>
      <c r="J207">
        <v>1.8836855981579377</v>
      </c>
      <c r="K207">
        <v>7.1577206508948348E-3</v>
      </c>
      <c r="L207">
        <v>1.0846389360792201E-2</v>
      </c>
      <c r="M207">
        <v>2.73098246510376</v>
      </c>
      <c r="N207">
        <v>2.75507875165329E-2</v>
      </c>
      <c r="O207">
        <v>2.1119369059322874</v>
      </c>
      <c r="P207">
        <v>1.781313092867598</v>
      </c>
      <c r="Q207">
        <v>7.5783585810527999E-3</v>
      </c>
      <c r="R207">
        <v>0.31990528589466988</v>
      </c>
      <c r="S207">
        <v>5.4963037554505691E-5</v>
      </c>
      <c r="T207">
        <v>0.3199052858946701</v>
      </c>
      <c r="U207">
        <v>1.3173174256271261</v>
      </c>
      <c r="V207">
        <v>0.57698043556621426</v>
      </c>
      <c r="W207">
        <v>0.17912889271046675</v>
      </c>
      <c r="X207">
        <v>1.0215990273255122</v>
      </c>
      <c r="Y207">
        <v>0.23538176672106109</v>
      </c>
      <c r="Z207">
        <v>0.82336060014488077</v>
      </c>
    </row>
    <row r="208" spans="1:26" x14ac:dyDescent="0.2">
      <c r="A208" s="17">
        <v>11035</v>
      </c>
      <c r="B208" s="17" t="s">
        <v>350</v>
      </c>
      <c r="C208" s="17" t="s">
        <v>351</v>
      </c>
      <c r="E208" s="73">
        <v>85.5</v>
      </c>
      <c r="F208" s="17">
        <v>3.6170000000000001E-2</v>
      </c>
      <c r="G208" s="74">
        <v>0.10087000000000046</v>
      </c>
      <c r="H208" t="s">
        <v>339</v>
      </c>
      <c r="I208">
        <v>1.0058341242547999E-2</v>
      </c>
      <c r="J208">
        <v>0.30882509568515598</v>
      </c>
      <c r="K208">
        <v>7.160251684795239E-3</v>
      </c>
      <c r="L208">
        <v>6.5083848842583218E-3</v>
      </c>
      <c r="M208">
        <v>1.3319728317868473</v>
      </c>
      <c r="N208">
        <v>6.3839848007810522E-3</v>
      </c>
      <c r="O208">
        <v>1.1317324648620239</v>
      </c>
      <c r="P208">
        <v>0.34163360195095871</v>
      </c>
      <c r="Q208">
        <v>8.5357442422485386E-3</v>
      </c>
      <c r="R208">
        <v>9.3429602365430617E-2</v>
      </c>
      <c r="S208">
        <v>6.1906602376313923E-5</v>
      </c>
      <c r="T208">
        <v>9.3429602365430409E-2</v>
      </c>
      <c r="U208">
        <v>0.20661984705117858</v>
      </c>
      <c r="V208">
        <v>0.294860047653204</v>
      </c>
      <c r="W208">
        <v>3.5125711151587921E-3</v>
      </c>
      <c r="X208">
        <v>0.17495219969991585</v>
      </c>
      <c r="Y208">
        <v>7.264904649615997E-4</v>
      </c>
      <c r="Z208">
        <v>0.25377516801184735</v>
      </c>
    </row>
    <row r="209" spans="1:26" x14ac:dyDescent="0.2">
      <c r="A209" s="13">
        <v>10815</v>
      </c>
      <c r="B209" s="13" t="s">
        <v>79</v>
      </c>
      <c r="C209" s="13" t="s">
        <v>72</v>
      </c>
      <c r="D209" s="14">
        <v>44270</v>
      </c>
      <c r="E209" s="15"/>
      <c r="F209" s="16">
        <v>1.10995</v>
      </c>
      <c r="G209" s="16">
        <v>10.349080000000001</v>
      </c>
      <c r="H209" t="s">
        <v>340</v>
      </c>
      <c r="I209">
        <v>9.8784856248841871E-3</v>
      </c>
      <c r="J209">
        <v>0.68632405054583512</v>
      </c>
      <c r="K209">
        <v>7.148130966959809E-3</v>
      </c>
      <c r="L209">
        <v>6.2439359821969869E-3</v>
      </c>
      <c r="M209">
        <v>2.7317469422343867</v>
      </c>
      <c r="N209">
        <v>1.0652423743794569E-2</v>
      </c>
      <c r="O209">
        <v>2.0935576350736951</v>
      </c>
      <c r="P209">
        <v>0.71534385011351276</v>
      </c>
      <c r="Q209">
        <v>7.5641026597569024E-3</v>
      </c>
      <c r="R209">
        <v>0.12375551653118388</v>
      </c>
      <c r="S209">
        <v>5.485964461932323E-5</v>
      </c>
      <c r="T209">
        <v>0.12375551653118343</v>
      </c>
      <c r="U209">
        <v>1.3116273609446776</v>
      </c>
      <c r="V209">
        <v>0.28688356836573053</v>
      </c>
      <c r="W209">
        <v>0.18430702902055601</v>
      </c>
      <c r="X209">
        <v>0.42986548496058363</v>
      </c>
      <c r="Y209">
        <v>0.24173640533111482</v>
      </c>
      <c r="Z209">
        <v>0.35058807940984077</v>
      </c>
    </row>
    <row r="210" spans="1:26" x14ac:dyDescent="0.2">
      <c r="A210" s="17">
        <v>11036</v>
      </c>
      <c r="B210" s="17" t="s">
        <v>352</v>
      </c>
      <c r="C210" s="17" t="s">
        <v>351</v>
      </c>
      <c r="E210" s="73">
        <v>200</v>
      </c>
      <c r="F210" s="17">
        <v>3.202E-2</v>
      </c>
      <c r="G210" s="74">
        <v>0.10412999999999961</v>
      </c>
      <c r="H210" t="s">
        <v>341</v>
      </c>
      <c r="I210">
        <v>1.0098721242151838E-2</v>
      </c>
      <c r="J210">
        <v>0.43119073406010711</v>
      </c>
      <c r="K210">
        <v>7.1519674020590323E-3</v>
      </c>
      <c r="L210">
        <v>4.9700748127848885E-3</v>
      </c>
      <c r="M210">
        <v>2.186775836724439</v>
      </c>
      <c r="N210">
        <v>8.8131502968910955E-3</v>
      </c>
      <c r="O210">
        <v>1.8467359039414457</v>
      </c>
      <c r="P210">
        <v>0.46186854674901334</v>
      </c>
      <c r="Q210">
        <v>8.5312643986961475E-3</v>
      </c>
      <c r="R210">
        <v>8.4634540680198253E-2</v>
      </c>
      <c r="S210">
        <v>6.1874111724575173E-5</v>
      </c>
      <c r="T210">
        <v>8.4634540680199349E-2</v>
      </c>
      <c r="U210">
        <v>0.34090952919206702</v>
      </c>
      <c r="V210">
        <v>0.22425011371835524</v>
      </c>
      <c r="W210">
        <v>3.3541025161282427E-2</v>
      </c>
      <c r="X210">
        <v>0.16636697814629706</v>
      </c>
      <c r="Y210">
        <v>1.1428372222643307E-2</v>
      </c>
      <c r="Z210">
        <v>0.15081754163303887</v>
      </c>
    </row>
    <row r="211" spans="1:26" x14ac:dyDescent="0.2">
      <c r="A211" s="13">
        <v>10815</v>
      </c>
      <c r="B211" s="13" t="s">
        <v>79</v>
      </c>
      <c r="C211" s="13" t="s">
        <v>72</v>
      </c>
      <c r="D211" s="14">
        <v>44270</v>
      </c>
      <c r="E211" s="15"/>
      <c r="F211" s="16">
        <v>1.10995</v>
      </c>
      <c r="G211" s="16">
        <v>10.349080000000001</v>
      </c>
      <c r="H211" t="s">
        <v>342</v>
      </c>
      <c r="I211">
        <v>1.0007938907091023E-2</v>
      </c>
      <c r="J211">
        <v>0.5952808262650221</v>
      </c>
      <c r="K211">
        <v>7.1451676868327417E-3</v>
      </c>
      <c r="L211">
        <v>6.8950725104367323E-3</v>
      </c>
      <c r="M211">
        <v>2.7319249303493205</v>
      </c>
      <c r="N211">
        <v>1.0502418149778316E-2</v>
      </c>
      <c r="O211">
        <v>2.071115306464657</v>
      </c>
      <c r="P211">
        <v>0.57911873553823956</v>
      </c>
      <c r="Q211">
        <v>7.5759589952757835E-3</v>
      </c>
      <c r="R211">
        <v>0.10312759605872622</v>
      </c>
      <c r="S211">
        <v>5.4945634244571627E-5</v>
      </c>
      <c r="T211">
        <v>0.10312759605872611</v>
      </c>
      <c r="U211">
        <v>1.3143574205786417</v>
      </c>
      <c r="V211">
        <v>0.26165753177758405</v>
      </c>
      <c r="W211">
        <v>0.18496856533460762</v>
      </c>
      <c r="X211">
        <v>0.42990521121155906</v>
      </c>
      <c r="Y211">
        <v>0.24305268141744346</v>
      </c>
      <c r="Z211">
        <v>0.37755863145456697</v>
      </c>
    </row>
    <row r="212" spans="1:26" x14ac:dyDescent="0.2">
      <c r="A212" s="17">
        <v>11037</v>
      </c>
      <c r="B212" s="17" t="s">
        <v>353</v>
      </c>
      <c r="C212" s="17" t="s">
        <v>351</v>
      </c>
      <c r="E212" s="73">
        <v>200</v>
      </c>
      <c r="F212" s="17">
        <v>6.5089999999999995E-2</v>
      </c>
      <c r="G212" s="74">
        <v>9.9380000000000024E-2</v>
      </c>
      <c r="H212" t="s">
        <v>343</v>
      </c>
      <c r="I212">
        <v>9.9519859079837854E-3</v>
      </c>
      <c r="J212">
        <v>0.52286490669497954</v>
      </c>
      <c r="K212">
        <v>7.1532640023479355E-3</v>
      </c>
      <c r="L212">
        <v>5.1658896331874121E-3</v>
      </c>
      <c r="M212">
        <v>5.7791195044485439</v>
      </c>
      <c r="N212">
        <v>7.1263986233300576E-3</v>
      </c>
      <c r="O212">
        <v>4.9599992046809964</v>
      </c>
      <c r="P212">
        <v>0.52455966651721386</v>
      </c>
      <c r="Q212">
        <v>8.5391247828655262E-3</v>
      </c>
      <c r="R212">
        <v>4.6867979433112099E-2</v>
      </c>
      <c r="S212">
        <v>6.1931120189623865E-5</v>
      </c>
      <c r="T212">
        <v>4.6867979433111599E-2</v>
      </c>
      <c r="U212">
        <v>0.85766288389844458</v>
      </c>
      <c r="V212">
        <v>0.19409697014328772</v>
      </c>
      <c r="W212">
        <v>1.5747591401717585E-2</v>
      </c>
      <c r="X212">
        <v>0.19274103885482821</v>
      </c>
      <c r="Y212">
        <v>1.3500951590993789E-2</v>
      </c>
      <c r="Z212">
        <v>0.13487170039534199</v>
      </c>
    </row>
    <row r="213" spans="1:26" x14ac:dyDescent="0.2">
      <c r="A213" s="13">
        <v>10815</v>
      </c>
      <c r="B213" s="13" t="s">
        <v>79</v>
      </c>
      <c r="C213" s="13" t="s">
        <v>72</v>
      </c>
      <c r="D213" s="14">
        <v>44270</v>
      </c>
      <c r="E213" s="15"/>
      <c r="F213" s="16">
        <v>1.10995</v>
      </c>
      <c r="G213" s="16">
        <v>10.349080000000001</v>
      </c>
      <c r="H213" t="s">
        <v>344</v>
      </c>
      <c r="I213">
        <v>1.0056135012821136E-2</v>
      </c>
      <c r="J213">
        <v>0.5967857792926996</v>
      </c>
      <c r="K213">
        <v>7.1353403821258826E-3</v>
      </c>
      <c r="L213">
        <v>6.0876241151851737E-3</v>
      </c>
      <c r="M213">
        <v>2.7310271970088436</v>
      </c>
      <c r="N213">
        <v>1.0640852743133917E-2</v>
      </c>
      <c r="O213">
        <v>2.0590246882831282</v>
      </c>
      <c r="P213">
        <v>0.61421980803104115</v>
      </c>
      <c r="Q213">
        <v>7.5805636129481152E-3</v>
      </c>
      <c r="R213">
        <v>0.11851582479128402</v>
      </c>
      <c r="S213">
        <v>5.4979029836947159E-5</v>
      </c>
      <c r="T213">
        <v>0.11851582479128309</v>
      </c>
      <c r="U213">
        <v>1.3142820787929659</v>
      </c>
      <c r="V213">
        <v>0.31528670885922011</v>
      </c>
      <c r="W213">
        <v>0.18640975199296719</v>
      </c>
      <c r="X213">
        <v>0.39193996880507392</v>
      </c>
      <c r="Y213">
        <v>0.24506908423165363</v>
      </c>
      <c r="Z213">
        <v>0.28621222361539628</v>
      </c>
    </row>
    <row r="214" spans="1:26" x14ac:dyDescent="0.2">
      <c r="A214" s="17">
        <v>11038</v>
      </c>
      <c r="B214" s="17" t="s">
        <v>354</v>
      </c>
      <c r="C214" s="17" t="s">
        <v>351</v>
      </c>
      <c r="E214" s="73">
        <v>200</v>
      </c>
      <c r="F214" s="17">
        <v>7.6799999999999993E-2</v>
      </c>
      <c r="G214" s="74">
        <v>9.6949999999999648E-2</v>
      </c>
      <c r="H214" t="s">
        <v>345</v>
      </c>
      <c r="I214">
        <v>1.0070984528507689E-2</v>
      </c>
      <c r="J214">
        <v>0.51207965965930213</v>
      </c>
      <c r="K214">
        <v>7.1578451756854388E-3</v>
      </c>
      <c r="L214">
        <v>4.7423404032172992E-3</v>
      </c>
      <c r="M214">
        <v>7.2058667812476775</v>
      </c>
      <c r="N214">
        <v>8.0171892937930776E-3</v>
      </c>
      <c r="O214">
        <v>6.1101774520224819</v>
      </c>
      <c r="P214">
        <v>0.52250656337327361</v>
      </c>
      <c r="Q214">
        <v>8.5358139344493007E-3</v>
      </c>
      <c r="R214">
        <v>4.1389327278048088E-2</v>
      </c>
      <c r="S214">
        <v>6.1907107828122057E-5</v>
      </c>
      <c r="T214">
        <v>4.1389327278048088E-2</v>
      </c>
      <c r="U214">
        <v>1.0979376205129567</v>
      </c>
      <c r="V214">
        <v>0.21962738110656374</v>
      </c>
      <c r="W214">
        <v>1.6141122426839506E-2</v>
      </c>
      <c r="X214">
        <v>0.17668077113580219</v>
      </c>
      <c r="Y214">
        <v>1.7727170213522079E-2</v>
      </c>
      <c r="Z214">
        <v>0.14153415549580756</v>
      </c>
    </row>
    <row r="215" spans="1:26" x14ac:dyDescent="0.2">
      <c r="A215" s="13">
        <v>10815</v>
      </c>
      <c r="B215" s="13" t="s">
        <v>79</v>
      </c>
      <c r="C215" s="13" t="s">
        <v>72</v>
      </c>
      <c r="D215" s="14">
        <v>44270</v>
      </c>
      <c r="E215" s="15"/>
      <c r="F215" s="16">
        <v>1.10995</v>
      </c>
      <c r="G215" s="16">
        <v>10.349080000000001</v>
      </c>
      <c r="H215" t="s">
        <v>346</v>
      </c>
      <c r="I215">
        <v>9.9420277085726875E-3</v>
      </c>
      <c r="J215">
        <v>0.6320568402662442</v>
      </c>
      <c r="K215">
        <v>7.1396570569993312E-3</v>
      </c>
      <c r="L215">
        <v>7.4304336504984088E-3</v>
      </c>
      <c r="M215">
        <v>2.7312516067364334</v>
      </c>
      <c r="N215">
        <v>8.1455272316887303E-3</v>
      </c>
      <c r="O215">
        <v>2.0800096831038677</v>
      </c>
      <c r="P215">
        <v>0.68849116230591323</v>
      </c>
      <c r="Q215">
        <v>7.5776108683894769E-3</v>
      </c>
      <c r="R215">
        <v>0.13292251900434468</v>
      </c>
      <c r="S215">
        <v>5.4957614670545463E-5</v>
      </c>
      <c r="T215">
        <v>0.13292251900434454</v>
      </c>
      <c r="U215">
        <v>1.3165303454927455</v>
      </c>
      <c r="V215">
        <v>0.22778948567082255</v>
      </c>
      <c r="W215">
        <v>0.18611597857207715</v>
      </c>
      <c r="X215">
        <v>0.36471570357936728</v>
      </c>
      <c r="Y215">
        <v>0.24496946911047471</v>
      </c>
      <c r="Z215">
        <v>0.40022691575467761</v>
      </c>
    </row>
    <row r="216" spans="1:26" x14ac:dyDescent="0.2">
      <c r="A216" s="17">
        <v>11039</v>
      </c>
      <c r="B216" s="17" t="s">
        <v>355</v>
      </c>
      <c r="C216" s="17" t="s">
        <v>351</v>
      </c>
      <c r="E216" s="73">
        <v>200</v>
      </c>
      <c r="F216" s="17">
        <v>7.4679999999999996E-2</v>
      </c>
      <c r="G216" s="74">
        <v>9.7159999999998803E-2</v>
      </c>
      <c r="H216" t="s">
        <v>347</v>
      </c>
      <c r="I216">
        <v>1.0028547980631141E-2</v>
      </c>
      <c r="J216">
        <v>0.46799320441534009</v>
      </c>
      <c r="K216">
        <v>7.1529225903218608E-3</v>
      </c>
      <c r="L216">
        <v>5.4314468478987273E-3</v>
      </c>
      <c r="M216">
        <v>6.4289485722441295</v>
      </c>
      <c r="N216">
        <v>7.8841195663711221E-3</v>
      </c>
      <c r="O216">
        <v>5.471264368190079</v>
      </c>
      <c r="P216">
        <v>0.48179065698337925</v>
      </c>
      <c r="Q216">
        <v>8.5375106217388773E-3</v>
      </c>
      <c r="R216">
        <v>4.31722064964635E-2</v>
      </c>
      <c r="S216">
        <v>6.1919413274772248E-5</v>
      </c>
      <c r="T216">
        <v>4.3172206496463764E-2</v>
      </c>
      <c r="U216">
        <v>0.98131581194305018</v>
      </c>
      <c r="V216">
        <v>0.18162178012031269</v>
      </c>
      <c r="W216">
        <v>1.0698204104974454E-2</v>
      </c>
      <c r="X216">
        <v>0.16935951359360929</v>
      </c>
      <c r="Y216">
        <v>1.0487826536927456E-2</v>
      </c>
      <c r="Z216">
        <v>0.13756672296597094</v>
      </c>
    </row>
    <row r="217" spans="1:26" x14ac:dyDescent="0.2">
      <c r="A217" s="13">
        <v>10815</v>
      </c>
      <c r="B217" s="13" t="s">
        <v>79</v>
      </c>
      <c r="C217" s="13" t="s">
        <v>72</v>
      </c>
      <c r="D217" s="14">
        <v>44270</v>
      </c>
      <c r="E217" s="15"/>
      <c r="F217" s="16">
        <v>1.10995</v>
      </c>
      <c r="G217" s="16">
        <v>10.349080000000001</v>
      </c>
      <c r="H217" t="s">
        <v>348</v>
      </c>
      <c r="I217">
        <v>9.9822827814695977E-3</v>
      </c>
      <c r="J217">
        <v>0.73240440786389094</v>
      </c>
      <c r="K217">
        <v>7.1247489937563968E-3</v>
      </c>
      <c r="L217">
        <v>5.2492411411879476E-3</v>
      </c>
      <c r="M217">
        <v>2.7290315290445468</v>
      </c>
      <c r="N217">
        <v>1.069988145044091E-2</v>
      </c>
      <c r="O217">
        <v>2.077874712977664</v>
      </c>
      <c r="P217">
        <v>0.74999894653071042</v>
      </c>
      <c r="Q217">
        <v>7.5942066247456858E-3</v>
      </c>
      <c r="R217">
        <v>9.3376455665109104E-2</v>
      </c>
      <c r="S217">
        <v>5.5077977565768231E-5</v>
      </c>
      <c r="T217">
        <v>9.3376455665109492E-2</v>
      </c>
      <c r="U217">
        <v>1.3181368693397004</v>
      </c>
      <c r="V217">
        <v>0.21710976850648295</v>
      </c>
      <c r="W217">
        <v>0.18658242829118413</v>
      </c>
      <c r="X217">
        <v>0.44211078679814875</v>
      </c>
      <c r="Y217">
        <v>0.24569708091803089</v>
      </c>
      <c r="Z217">
        <v>0.38334171593108241</v>
      </c>
    </row>
    <row r="218" spans="1:26" x14ac:dyDescent="0.2">
      <c r="A218" s="17">
        <v>11040</v>
      </c>
      <c r="B218" s="17" t="s">
        <v>356</v>
      </c>
      <c r="C218" s="17" t="s">
        <v>351</v>
      </c>
      <c r="E218" s="73">
        <v>200</v>
      </c>
      <c r="F218" s="17">
        <v>6.2979999999999994E-2</v>
      </c>
      <c r="G218" s="74">
        <v>9.77800000000002E-2</v>
      </c>
      <c r="H218" t="s">
        <v>349</v>
      </c>
      <c r="I218">
        <v>1.0041883835875048E-2</v>
      </c>
      <c r="J218">
        <v>0.58913445996040437</v>
      </c>
      <c r="K218">
        <v>7.1435199274093629E-3</v>
      </c>
      <c r="L218">
        <v>6.3397745280634327E-3</v>
      </c>
      <c r="M218">
        <v>4.6618709046316917</v>
      </c>
      <c r="N218">
        <v>9.7861002665473457E-3</v>
      </c>
      <c r="O218">
        <v>3.9624001194313774</v>
      </c>
      <c r="P218">
        <v>0.57636012334419351</v>
      </c>
      <c r="Q218">
        <v>8.5360469489907144E-3</v>
      </c>
      <c r="R218">
        <v>6.7847486615044611E-2</v>
      </c>
      <c r="S218">
        <v>6.1908797796583358E-5</v>
      </c>
      <c r="T218">
        <v>6.7847486615044722E-2</v>
      </c>
      <c r="U218">
        <v>0.71763451330656336</v>
      </c>
      <c r="V218">
        <v>0.23542588740295303</v>
      </c>
      <c r="W218">
        <v>9.9434852142090517E-3</v>
      </c>
      <c r="X218">
        <v>0.23019680768003922</v>
      </c>
      <c r="Y218">
        <v>7.1334688037630496E-3</v>
      </c>
      <c r="Z218">
        <v>0.16205984516360125</v>
      </c>
    </row>
    <row r="219" spans="1:26" x14ac:dyDescent="0.2">
      <c r="A219" s="13">
        <v>10815</v>
      </c>
      <c r="B219" s="13" t="s">
        <v>79</v>
      </c>
      <c r="C219" s="13" t="s">
        <v>72</v>
      </c>
      <c r="D219" s="14">
        <v>44270</v>
      </c>
      <c r="E219" s="15"/>
      <c r="F219" s="16">
        <v>1.10995</v>
      </c>
      <c r="G219" s="16">
        <v>10.349080000000001</v>
      </c>
      <c r="H219" t="s">
        <v>348</v>
      </c>
      <c r="I219">
        <v>9.9822827814695977E-3</v>
      </c>
      <c r="J219">
        <v>0.73240440786389094</v>
      </c>
      <c r="K219">
        <v>7.1247489937563968E-3</v>
      </c>
      <c r="L219">
        <v>5.2492411411879476E-3</v>
      </c>
      <c r="M219">
        <v>2.7290315290445468</v>
      </c>
      <c r="N219">
        <v>1.069988145044091E-2</v>
      </c>
      <c r="O219">
        <v>2.077874712977664</v>
      </c>
      <c r="P219">
        <v>0.74999894653071042</v>
      </c>
      <c r="Q219">
        <v>7.5942066247456858E-3</v>
      </c>
      <c r="R219">
        <v>9.3376455665109104E-2</v>
      </c>
      <c r="S219">
        <v>5.5077977565768231E-5</v>
      </c>
      <c r="T219">
        <v>9.3376455665109492E-2</v>
      </c>
      <c r="U219">
        <v>1.3181368693397004</v>
      </c>
      <c r="V219">
        <v>0.21710976850648295</v>
      </c>
      <c r="W219">
        <v>0.18658242829118413</v>
      </c>
      <c r="X219">
        <v>0.44211078679814875</v>
      </c>
      <c r="Y219">
        <v>0.24569708091803089</v>
      </c>
      <c r="Z219">
        <v>0.38334171593108241</v>
      </c>
    </row>
    <row r="221" spans="1:26" x14ac:dyDescent="0.2">
      <c r="A221" s="13">
        <v>10815</v>
      </c>
      <c r="B221" s="13" t="s">
        <v>79</v>
      </c>
      <c r="C221" s="13" t="s">
        <v>72</v>
      </c>
      <c r="D221" s="14">
        <v>44272</v>
      </c>
      <c r="E221" s="15"/>
      <c r="F221" s="16">
        <v>1.10995</v>
      </c>
      <c r="G221" s="16">
        <v>10.349080000000001</v>
      </c>
      <c r="H221" t="s">
        <v>338</v>
      </c>
      <c r="I221">
        <v>9.8015446631505229E-3</v>
      </c>
      <c r="J221">
        <v>0.66488640008404509</v>
      </c>
      <c r="K221">
        <v>7.1752536889711288E-3</v>
      </c>
      <c r="L221">
        <v>5.8819856180068811E-3</v>
      </c>
      <c r="M221">
        <v>2.7320684190018421</v>
      </c>
      <c r="N221">
        <v>1.2966505036173723E-2</v>
      </c>
      <c r="O221">
        <v>2.1150272581739968</v>
      </c>
      <c r="P221">
        <v>0.68935702974625535</v>
      </c>
      <c r="Q221">
        <v>7.5859117539644819E-3</v>
      </c>
      <c r="R221">
        <v>0.10396745397497063</v>
      </c>
      <c r="S221">
        <v>5.5017817929696485E-5</v>
      </c>
      <c r="T221">
        <v>0.10396745397497059</v>
      </c>
      <c r="U221">
        <v>1.3202525950861299</v>
      </c>
      <c r="V221">
        <v>0.28481965625429567</v>
      </c>
      <c r="W221">
        <v>0.17393617047391224</v>
      </c>
      <c r="X221">
        <v>0.49414546468566678</v>
      </c>
      <c r="Y221">
        <v>0.22887010375853586</v>
      </c>
      <c r="Z221">
        <v>0.37349308881671495</v>
      </c>
    </row>
    <row r="222" spans="1:26" x14ac:dyDescent="0.2">
      <c r="A222" s="17">
        <v>11041</v>
      </c>
      <c r="B222" s="17" t="s">
        <v>363</v>
      </c>
      <c r="C222" s="17" t="s">
        <v>351</v>
      </c>
      <c r="D222" s="72">
        <v>44272</v>
      </c>
      <c r="E222" s="73">
        <v>200</v>
      </c>
      <c r="F222" s="17">
        <v>4.9860000000000002E-2</v>
      </c>
      <c r="G222" s="74">
        <v>0.10163000000000011</v>
      </c>
      <c r="H222" t="s">
        <v>357</v>
      </c>
      <c r="I222">
        <v>9.9891750036279967E-3</v>
      </c>
      <c r="J222">
        <v>0.41158775894171112</v>
      </c>
      <c r="K222">
        <v>7.161060102212945E-3</v>
      </c>
      <c r="L222">
        <v>3.5357083124635796E-3</v>
      </c>
      <c r="M222">
        <v>4.1277816781383452</v>
      </c>
      <c r="N222">
        <v>7.5618595689701746E-3</v>
      </c>
      <c r="O222">
        <v>3.5192756859665999</v>
      </c>
      <c r="P222">
        <v>0.40787477644810832</v>
      </c>
      <c r="Q222">
        <v>8.5189481440722022E-3</v>
      </c>
      <c r="R222">
        <v>4.9353135247491284E-2</v>
      </c>
      <c r="S222">
        <v>6.1784786475817553E-5</v>
      </c>
      <c r="T222">
        <v>4.9353135247491291E-2</v>
      </c>
      <c r="U222">
        <v>0.6381210836721426</v>
      </c>
      <c r="V222">
        <v>0.20597480002064894</v>
      </c>
      <c r="W222">
        <v>8.9997622349039831E-3</v>
      </c>
      <c r="X222">
        <v>0.18474487620852975</v>
      </c>
      <c r="Y222">
        <v>5.7417650494122775E-3</v>
      </c>
      <c r="Z222">
        <v>0.15326007139505143</v>
      </c>
    </row>
    <row r="223" spans="1:26" x14ac:dyDescent="0.2">
      <c r="A223" s="13">
        <v>10815</v>
      </c>
      <c r="B223" s="13" t="s">
        <v>79</v>
      </c>
      <c r="C223" s="13" t="s">
        <v>72</v>
      </c>
      <c r="D223" s="14">
        <v>44272</v>
      </c>
      <c r="E223" s="15"/>
      <c r="F223" s="16">
        <v>1.10995</v>
      </c>
      <c r="G223" s="16">
        <v>10.349080000000001</v>
      </c>
      <c r="H223" t="s">
        <v>340</v>
      </c>
      <c r="I223">
        <v>9.900771478055936E-3</v>
      </c>
      <c r="J223">
        <v>0.75499622094198293</v>
      </c>
      <c r="K223">
        <v>7.1723741989289675E-3</v>
      </c>
      <c r="L223">
        <v>5.6716627884174902E-3</v>
      </c>
      <c r="M223">
        <v>2.7324922650400851</v>
      </c>
      <c r="N223">
        <v>1.1664495443500986E-2</v>
      </c>
      <c r="O223">
        <v>2.0912129581360417</v>
      </c>
      <c r="P223">
        <v>0.77398129720077069</v>
      </c>
      <c r="Q223">
        <v>7.5698396187514816E-3</v>
      </c>
      <c r="R223">
        <v>0.16166164552435139</v>
      </c>
      <c r="S223">
        <v>5.4901252665352611E-5</v>
      </c>
      <c r="T223">
        <v>0.16166164552435042</v>
      </c>
      <c r="U223">
        <v>1.3184680863338756</v>
      </c>
      <c r="V223">
        <v>0.28803988252725149</v>
      </c>
      <c r="W223">
        <v>0.17356761071132445</v>
      </c>
      <c r="X223">
        <v>0.48998866715305256</v>
      </c>
      <c r="Y223">
        <v>0.22938366375325206</v>
      </c>
      <c r="Z223">
        <v>0.33928107624256193</v>
      </c>
    </row>
    <row r="224" spans="1:26" x14ac:dyDescent="0.2">
      <c r="A224" s="17">
        <v>11042</v>
      </c>
      <c r="B224" s="17" t="s">
        <v>364</v>
      </c>
      <c r="C224" s="17" t="s">
        <v>351</v>
      </c>
      <c r="D224" s="72">
        <v>44272</v>
      </c>
      <c r="E224" s="73">
        <v>200</v>
      </c>
      <c r="F224" s="17">
        <v>5.024E-2</v>
      </c>
      <c r="G224" s="74">
        <v>9.9999999999997868E-2</v>
      </c>
      <c r="H224" t="s">
        <v>358</v>
      </c>
      <c r="I224">
        <v>9.9749267462247142E-3</v>
      </c>
      <c r="J224">
        <v>0.52983132339738781</v>
      </c>
      <c r="K224">
        <v>7.1590001167457368E-3</v>
      </c>
      <c r="L224">
        <v>3.0508872593089319E-3</v>
      </c>
      <c r="M224">
        <v>4.4607356195884771</v>
      </c>
      <c r="N224">
        <v>6.851004410310918E-3</v>
      </c>
      <c r="O224">
        <v>3.8103786203624828</v>
      </c>
      <c r="P224">
        <v>0.54356963451837581</v>
      </c>
      <c r="Q224">
        <v>8.5176034709452588E-3</v>
      </c>
      <c r="R224">
        <v>5.0746316428296287E-2</v>
      </c>
      <c r="S224">
        <v>6.1775034057957637E-5</v>
      </c>
      <c r="T224">
        <v>5.074631642829671E-2</v>
      </c>
      <c r="U224">
        <v>0.67507198287838976</v>
      </c>
      <c r="V224">
        <v>0.26500192425471236</v>
      </c>
      <c r="W224">
        <v>8.592043394875893E-3</v>
      </c>
      <c r="X224">
        <v>0.18661396954819198</v>
      </c>
      <c r="Y224">
        <v>5.799216282283283E-3</v>
      </c>
      <c r="Z224">
        <v>0.1610374685437112</v>
      </c>
    </row>
    <row r="225" spans="1:26" x14ac:dyDescent="0.2">
      <c r="A225" s="13">
        <v>10815</v>
      </c>
      <c r="B225" s="13" t="s">
        <v>79</v>
      </c>
      <c r="C225" s="13" t="s">
        <v>72</v>
      </c>
      <c r="D225" s="14">
        <v>44272</v>
      </c>
      <c r="E225" s="15"/>
      <c r="F225" s="16">
        <v>1.10995</v>
      </c>
      <c r="G225" s="16">
        <v>10.349080000000001</v>
      </c>
      <c r="H225" t="s">
        <v>342</v>
      </c>
      <c r="I225">
        <v>9.940868170690214E-3</v>
      </c>
      <c r="J225">
        <v>0.70086241101242619</v>
      </c>
      <c r="K225">
        <v>7.1649287617869314E-3</v>
      </c>
      <c r="L225">
        <v>6.1005163181465233E-3</v>
      </c>
      <c r="M225">
        <v>2.7319079358362548</v>
      </c>
      <c r="N225">
        <v>9.2581016447584007E-3</v>
      </c>
      <c r="O225">
        <v>2.0823115198138926</v>
      </c>
      <c r="P225">
        <v>0.73849054142617088</v>
      </c>
      <c r="Q225">
        <v>7.5721335933844041E-3</v>
      </c>
      <c r="R225">
        <v>0.13425816180127145</v>
      </c>
      <c r="S225">
        <v>5.4917890016640441E-5</v>
      </c>
      <c r="T225">
        <v>0.13425816180127129</v>
      </c>
      <c r="U225">
        <v>1.3132548783646125</v>
      </c>
      <c r="V225">
        <v>0.22474957963820166</v>
      </c>
      <c r="W225">
        <v>0.17739824996968237</v>
      </c>
      <c r="X225">
        <v>0.32780272737573779</v>
      </c>
      <c r="Y225">
        <v>0.23282357995642769</v>
      </c>
      <c r="Z225">
        <v>0.25675316336062115</v>
      </c>
    </row>
    <row r="226" spans="1:26" x14ac:dyDescent="0.2">
      <c r="A226" s="17">
        <v>11043</v>
      </c>
      <c r="B226" s="17" t="s">
        <v>365</v>
      </c>
      <c r="C226" s="17" t="s">
        <v>351</v>
      </c>
      <c r="D226" s="72">
        <v>44272</v>
      </c>
      <c r="E226" s="73">
        <v>26</v>
      </c>
      <c r="F226" s="17">
        <v>3.5839999999999997E-2</v>
      </c>
      <c r="G226" s="74">
        <v>0.10500000000000043</v>
      </c>
      <c r="H226" t="s">
        <v>359</v>
      </c>
      <c r="I226">
        <v>9.959411623553226E-3</v>
      </c>
      <c r="J226">
        <v>0.29707901940268699</v>
      </c>
      <c r="K226">
        <v>7.1618753340872351E-3</v>
      </c>
      <c r="L226">
        <v>4.1688257686562022E-3</v>
      </c>
      <c r="M226">
        <v>2.6237461691739532</v>
      </c>
      <c r="N226">
        <v>5.8851635360730415E-3</v>
      </c>
      <c r="O226">
        <v>2.2685742230987764</v>
      </c>
      <c r="P226">
        <v>0.31585128051369327</v>
      </c>
      <c r="Q226">
        <v>8.6114643455452305E-3</v>
      </c>
      <c r="R226">
        <v>5.9502159840621481E-2</v>
      </c>
      <c r="S226">
        <v>6.2455772336618038E-5</v>
      </c>
      <c r="T226">
        <v>5.9502159840621252E-2</v>
      </c>
      <c r="U226">
        <v>0.19414047446880373</v>
      </c>
      <c r="V226">
        <v>0.22998387502102002</v>
      </c>
      <c r="W226">
        <v>1.1795120939307574E-2</v>
      </c>
      <c r="X226">
        <v>0.13565840547076877</v>
      </c>
      <c r="Y226">
        <v>2.2877991623184296E-3</v>
      </c>
      <c r="Z226">
        <v>0.19409763814275402</v>
      </c>
    </row>
    <row r="227" spans="1:26" x14ac:dyDescent="0.2">
      <c r="A227" s="13">
        <v>10815</v>
      </c>
      <c r="B227" s="13" t="s">
        <v>79</v>
      </c>
      <c r="C227" s="13" t="s">
        <v>72</v>
      </c>
      <c r="D227" s="14">
        <v>44272</v>
      </c>
      <c r="E227" s="15"/>
      <c r="F227" s="16">
        <v>1.10995</v>
      </c>
      <c r="G227" s="16">
        <v>10.349080000000001</v>
      </c>
      <c r="H227" t="s">
        <v>344</v>
      </c>
      <c r="I227">
        <v>9.8649524810065729E-3</v>
      </c>
      <c r="J227">
        <v>0.7276728587502963</v>
      </c>
      <c r="K227">
        <v>7.1673094859719217E-3</v>
      </c>
      <c r="L227">
        <v>6.0385031647191712E-3</v>
      </c>
      <c r="M227">
        <v>2.7322903738993389</v>
      </c>
      <c r="N227">
        <v>1.1709647507367053E-2</v>
      </c>
      <c r="O227">
        <v>2.0982873853131916</v>
      </c>
      <c r="P227">
        <v>0.75025713095928082</v>
      </c>
      <c r="Q227">
        <v>7.5700243867757016E-3</v>
      </c>
      <c r="R227">
        <v>0.13279306829105247</v>
      </c>
      <c r="S227">
        <v>5.4902592719632846E-5</v>
      </c>
      <c r="T227">
        <v>0.13279306829105186</v>
      </c>
      <c r="U227">
        <v>1.3115994835295117</v>
      </c>
      <c r="V227">
        <v>0.28452892675202068</v>
      </c>
      <c r="W227">
        <v>0.17664099608588169</v>
      </c>
      <c r="X227">
        <v>0.36031131512168035</v>
      </c>
      <c r="Y227">
        <v>0.23195706378429021</v>
      </c>
      <c r="Z227">
        <v>0.38179949098690857</v>
      </c>
    </row>
    <row r="228" spans="1:26" x14ac:dyDescent="0.2">
      <c r="A228" s="17">
        <v>11044</v>
      </c>
      <c r="B228" s="17" t="s">
        <v>366</v>
      </c>
      <c r="C228" s="17" t="s">
        <v>351</v>
      </c>
      <c r="D228" s="72">
        <v>44272</v>
      </c>
      <c r="E228" s="73">
        <v>26</v>
      </c>
      <c r="F228" s="17">
        <v>4.1759999999999999E-2</v>
      </c>
      <c r="G228" s="74">
        <v>0.10116000000000014</v>
      </c>
      <c r="H228" t="s">
        <v>360</v>
      </c>
      <c r="I228">
        <v>1.0004578217724748E-2</v>
      </c>
      <c r="J228">
        <v>0.25535033225883702</v>
      </c>
      <c r="K228">
        <v>7.1645547044600043E-3</v>
      </c>
      <c r="L228">
        <v>3.4097575193105332E-3</v>
      </c>
      <c r="M228">
        <v>3.1456131573317752</v>
      </c>
      <c r="N228">
        <v>5.0004602424990061E-3</v>
      </c>
      <c r="O228">
        <v>2.7042756126689493</v>
      </c>
      <c r="P228">
        <v>0.24042995390563254</v>
      </c>
      <c r="Q228">
        <v>8.6109990291111452E-3</v>
      </c>
      <c r="R228">
        <v>5.8905755754471344E-2</v>
      </c>
      <c r="S228">
        <v>6.2452397568273676E-5</v>
      </c>
      <c r="T228">
        <v>5.8905755754471822E-2</v>
      </c>
      <c r="U228">
        <v>0.23629102238609359</v>
      </c>
      <c r="V228">
        <v>0.26117815009321321</v>
      </c>
      <c r="W228">
        <v>5.6937132626773579E-2</v>
      </c>
      <c r="X228">
        <v>0.17552692906236594</v>
      </c>
      <c r="Y228">
        <v>1.3463519008076718E-2</v>
      </c>
      <c r="Z228">
        <v>0.16373759085541897</v>
      </c>
    </row>
    <row r="229" spans="1:26" x14ac:dyDescent="0.2">
      <c r="A229" s="13">
        <v>10815</v>
      </c>
      <c r="B229" s="13" t="s">
        <v>79</v>
      </c>
      <c r="C229" s="13" t="s">
        <v>72</v>
      </c>
      <c r="D229" s="14">
        <v>44272</v>
      </c>
      <c r="E229" s="15"/>
      <c r="F229" s="16">
        <v>1.10995</v>
      </c>
      <c r="G229" s="16">
        <v>10.349080000000001</v>
      </c>
      <c r="H229" t="s">
        <v>346</v>
      </c>
      <c r="I229">
        <v>9.8176864610363349E-3</v>
      </c>
      <c r="J229">
        <v>0.9139923468904253</v>
      </c>
      <c r="K229">
        <v>7.1629071327602226E-3</v>
      </c>
      <c r="L229">
        <v>7.5576905425468934E-3</v>
      </c>
      <c r="M229">
        <v>2.7323528610115906</v>
      </c>
      <c r="N229">
        <v>1.1178492007750484E-2</v>
      </c>
      <c r="O229">
        <v>2.1042694112864915</v>
      </c>
      <c r="P229">
        <v>0.97969573133434107</v>
      </c>
      <c r="Q229">
        <v>7.5836378365973485E-3</v>
      </c>
      <c r="R229">
        <v>0.14843055604177657</v>
      </c>
      <c r="S229">
        <v>5.5001326046354077E-5</v>
      </c>
      <c r="T229">
        <v>0.14843055604177624</v>
      </c>
      <c r="U229">
        <v>1.3140190288223699</v>
      </c>
      <c r="V229">
        <v>0.22802431153933969</v>
      </c>
      <c r="W229">
        <v>0.17818100738727216</v>
      </c>
      <c r="X229">
        <v>0.39335976130962558</v>
      </c>
      <c r="Y229">
        <v>0.23383413033491351</v>
      </c>
      <c r="Z229">
        <v>0.35340198449553284</v>
      </c>
    </row>
    <row r="230" spans="1:26" x14ac:dyDescent="0.2">
      <c r="A230" s="17">
        <v>11045</v>
      </c>
      <c r="B230" s="17" t="s">
        <v>367</v>
      </c>
      <c r="C230" s="17" t="s">
        <v>351</v>
      </c>
      <c r="D230" s="72">
        <v>44272</v>
      </c>
      <c r="E230" s="73">
        <v>26</v>
      </c>
      <c r="F230" s="17">
        <v>2.9940000000000001E-2</v>
      </c>
      <c r="G230" s="74">
        <v>0.10082999999999842</v>
      </c>
      <c r="H230" t="s">
        <v>361</v>
      </c>
      <c r="I230">
        <v>9.9702058657308874E-3</v>
      </c>
      <c r="J230">
        <v>0.44099666681252647</v>
      </c>
      <c r="K230">
        <v>7.1653286220011523E-3</v>
      </c>
      <c r="L230">
        <v>4.8279956928434942E-3</v>
      </c>
      <c r="M230">
        <v>2.6834226354026405</v>
      </c>
      <c r="N230">
        <v>5.777728244035797E-3</v>
      </c>
      <c r="O230">
        <v>2.3174745947454007</v>
      </c>
      <c r="P230">
        <v>0.43218713104636519</v>
      </c>
      <c r="Q230">
        <v>8.6128875209130693E-3</v>
      </c>
      <c r="R230">
        <v>6.6154618472302473E-2</v>
      </c>
      <c r="S230">
        <v>6.246609410225532E-5</v>
      </c>
      <c r="T230">
        <v>6.6154618472301835E-2</v>
      </c>
      <c r="U230">
        <v>0.20419098707263034</v>
      </c>
      <c r="V230">
        <v>0.26298063585757808</v>
      </c>
      <c r="W230">
        <v>4.9863586458584103E-2</v>
      </c>
      <c r="X230">
        <v>0.16752558447606863</v>
      </c>
      <c r="Y230">
        <v>1.0165878893852322E-2</v>
      </c>
      <c r="Z230">
        <v>0.22705780194323408</v>
      </c>
    </row>
    <row r="231" spans="1:26" x14ac:dyDescent="0.2">
      <c r="A231" s="13">
        <v>10815</v>
      </c>
      <c r="B231" s="13" t="s">
        <v>79</v>
      </c>
      <c r="C231" s="13" t="s">
        <v>72</v>
      </c>
      <c r="D231" s="14">
        <v>44272</v>
      </c>
      <c r="E231" s="15"/>
      <c r="F231" s="16">
        <v>1.10995</v>
      </c>
      <c r="G231" s="16">
        <v>10.349080000000001</v>
      </c>
      <c r="H231" t="s">
        <v>348</v>
      </c>
      <c r="I231">
        <v>9.8925616328732081E-3</v>
      </c>
      <c r="J231">
        <v>0.85123760904001067</v>
      </c>
      <c r="K231">
        <v>7.1650691834184424E-3</v>
      </c>
      <c r="L231">
        <v>5.1527084372167279E-3</v>
      </c>
      <c r="M231">
        <v>2.7318947031852687</v>
      </c>
      <c r="N231">
        <v>9.8082532867281962E-3</v>
      </c>
      <c r="O231">
        <v>2.0950456374547275</v>
      </c>
      <c r="P231">
        <v>0.8516626002149742</v>
      </c>
      <c r="Q231">
        <v>7.5813611898132823E-3</v>
      </c>
      <c r="R231">
        <v>0.11228994415420465</v>
      </c>
      <c r="S231">
        <v>5.498481436755813E-5</v>
      </c>
      <c r="T231">
        <v>0.11228994415420418</v>
      </c>
      <c r="U231">
        <v>1.3145338598235548</v>
      </c>
      <c r="V231">
        <v>0.19070693838767541</v>
      </c>
      <c r="W231">
        <v>0.1767946851801791</v>
      </c>
      <c r="X231">
        <v>0.45319605514119404</v>
      </c>
      <c r="Y231">
        <v>0.23215492674251317</v>
      </c>
      <c r="Z231">
        <v>0.36206008316754262</v>
      </c>
    </row>
    <row r="232" spans="1:26" x14ac:dyDescent="0.2">
      <c r="A232" s="17">
        <v>11046</v>
      </c>
      <c r="B232" s="17" t="s">
        <v>368</v>
      </c>
      <c r="C232" s="17" t="s">
        <v>351</v>
      </c>
      <c r="D232" s="72">
        <v>44272</v>
      </c>
      <c r="E232" s="73">
        <v>26</v>
      </c>
      <c r="F232" s="17">
        <v>5.0130000000000001E-2</v>
      </c>
      <c r="G232" s="74">
        <v>9.92999999999995E-2</v>
      </c>
      <c r="H232" t="s">
        <v>362</v>
      </c>
      <c r="I232">
        <v>9.9959472451720405E-3</v>
      </c>
      <c r="J232">
        <v>0.33536923618687597</v>
      </c>
      <c r="K232">
        <v>7.1625119455014877E-3</v>
      </c>
      <c r="L232">
        <v>4.3487174236519158E-3</v>
      </c>
      <c r="M232">
        <v>4.3379306661108226</v>
      </c>
      <c r="N232">
        <v>7.7395853872484072E-3</v>
      </c>
      <c r="O232">
        <v>3.7329454535788074</v>
      </c>
      <c r="P232">
        <v>0.35499049846382036</v>
      </c>
      <c r="Q232">
        <v>8.6015783582591484E-3</v>
      </c>
      <c r="R232">
        <v>5.643481029376176E-2</v>
      </c>
      <c r="S232">
        <v>6.2384072919830511E-5</v>
      </c>
      <c r="T232">
        <v>5.6434810293762253E-2</v>
      </c>
      <c r="U232">
        <v>0.33040057461231098</v>
      </c>
      <c r="V232">
        <v>0.29062721382170376</v>
      </c>
      <c r="W232">
        <v>1.0123191421302833E-2</v>
      </c>
      <c r="X232">
        <v>0.19132262081359455</v>
      </c>
      <c r="Y232">
        <v>3.3439409954697627E-3</v>
      </c>
      <c r="Z232">
        <v>0.18037552264910001</v>
      </c>
    </row>
    <row r="233" spans="1:26" x14ac:dyDescent="0.2">
      <c r="A233" s="13">
        <v>10815</v>
      </c>
      <c r="B233" s="13" t="s">
        <v>79</v>
      </c>
      <c r="C233" s="13" t="s">
        <v>72</v>
      </c>
      <c r="D233" s="14">
        <v>44272</v>
      </c>
      <c r="E233" s="15"/>
      <c r="F233" s="16">
        <v>1.10995</v>
      </c>
      <c r="G233" s="16">
        <v>10.349080000000001</v>
      </c>
      <c r="H233" t="s">
        <v>348</v>
      </c>
      <c r="I233">
        <v>9.8925616328732081E-3</v>
      </c>
      <c r="J233">
        <v>0.85123760904001067</v>
      </c>
      <c r="K233">
        <v>7.1650691834184424E-3</v>
      </c>
      <c r="L233">
        <v>5.1527084372167279E-3</v>
      </c>
      <c r="M233">
        <v>2.7318947031852687</v>
      </c>
      <c r="N233">
        <v>9.8082532867281962E-3</v>
      </c>
      <c r="O233">
        <v>2.0950456374547275</v>
      </c>
      <c r="P233">
        <v>0.8516626002149742</v>
      </c>
      <c r="Q233">
        <v>7.5813611898132823E-3</v>
      </c>
      <c r="R233">
        <v>0.11228994415420465</v>
      </c>
      <c r="S233">
        <v>5.498481436755813E-5</v>
      </c>
      <c r="T233">
        <v>0.11228994415420418</v>
      </c>
      <c r="U233">
        <v>1.3145338598235548</v>
      </c>
      <c r="V233">
        <v>0.19070693838767541</v>
      </c>
      <c r="W233">
        <v>0.1767946851801791</v>
      </c>
      <c r="X233">
        <v>0.45319605514119404</v>
      </c>
      <c r="Y233">
        <v>0.23215492674251317</v>
      </c>
      <c r="Z233">
        <v>0.36206008316754262</v>
      </c>
    </row>
    <row r="235" spans="1:26" x14ac:dyDescent="0.2">
      <c r="A235" s="13">
        <v>10815</v>
      </c>
      <c r="B235" s="13" t="s">
        <v>79</v>
      </c>
      <c r="C235" s="13" t="s">
        <v>72</v>
      </c>
      <c r="D235" s="14">
        <v>44273</v>
      </c>
      <c r="E235" s="15"/>
      <c r="F235" s="16">
        <v>1.10995</v>
      </c>
      <c r="G235" s="16">
        <v>10.349080000000001</v>
      </c>
      <c r="H235" t="s">
        <v>338</v>
      </c>
      <c r="I235">
        <v>9.948684018994295E-3</v>
      </c>
      <c r="J235">
        <v>0.73696809973594091</v>
      </c>
      <c r="K235">
        <v>7.1702443624688909E-3</v>
      </c>
      <c r="L235">
        <v>5.1962420465656838E-3</v>
      </c>
      <c r="M235">
        <v>2.7329901744739362</v>
      </c>
      <c r="N235">
        <v>9.5448188003441053E-3</v>
      </c>
      <c r="O235">
        <v>2.0839861453480584</v>
      </c>
      <c r="P235">
        <v>0.78360555845461233</v>
      </c>
      <c r="Q235">
        <v>7.5837176086658228E-3</v>
      </c>
      <c r="R235">
        <v>0.12725240037700489</v>
      </c>
      <c r="S235">
        <v>5.5001904603722195E-5</v>
      </c>
      <c r="T235">
        <v>0.12725240037700541</v>
      </c>
      <c r="U235">
        <v>1.3148850102285266</v>
      </c>
      <c r="V235">
        <v>0.25314595497899778</v>
      </c>
      <c r="W235">
        <v>0.17700637074159944</v>
      </c>
      <c r="X235">
        <v>0.46592007967305515</v>
      </c>
      <c r="Y235">
        <v>0.23261560633072159</v>
      </c>
      <c r="Z235">
        <v>0.35466107734466812</v>
      </c>
    </row>
    <row r="236" spans="1:26" x14ac:dyDescent="0.2">
      <c r="A236" s="17">
        <v>11047</v>
      </c>
      <c r="B236" s="17" t="s">
        <v>369</v>
      </c>
      <c r="C236" s="17" t="s">
        <v>351</v>
      </c>
      <c r="D236" s="72">
        <v>44273</v>
      </c>
      <c r="E236" s="73">
        <v>26</v>
      </c>
      <c r="F236" s="17">
        <v>4.2999999999999997E-2</v>
      </c>
      <c r="G236" s="74">
        <v>0.1002200000000002</v>
      </c>
      <c r="H236" t="s">
        <v>373</v>
      </c>
      <c r="I236">
        <v>9.9945927887941013E-3</v>
      </c>
      <c r="J236">
        <v>0.52722020877953302</v>
      </c>
      <c r="K236">
        <v>7.1635759486706301E-3</v>
      </c>
      <c r="L236">
        <v>3.2894181176479579E-3</v>
      </c>
      <c r="M236">
        <v>4.0777852881597179</v>
      </c>
      <c r="N236">
        <v>7.4388042061005917E-3</v>
      </c>
      <c r="O236">
        <v>3.5125262099727115</v>
      </c>
      <c r="P236">
        <v>0.51353864683338024</v>
      </c>
      <c r="Q236">
        <v>8.6102324703744466E-3</v>
      </c>
      <c r="R236">
        <v>5.6541447804185713E-2</v>
      </c>
      <c r="S236">
        <v>6.2446838000699518E-5</v>
      </c>
      <c r="T236">
        <v>5.6541447804185088E-2</v>
      </c>
      <c r="U236">
        <v>0.31756408263798963</v>
      </c>
      <c r="V236">
        <v>0.20904736508240152</v>
      </c>
      <c r="W236">
        <v>1.4893291104565464E-3</v>
      </c>
      <c r="X236">
        <v>0.14832511839073048</v>
      </c>
      <c r="Y236">
        <v>4.7251859512061176E-4</v>
      </c>
      <c r="Z236">
        <v>0.19192812886023322</v>
      </c>
    </row>
    <row r="237" spans="1:26" x14ac:dyDescent="0.2">
      <c r="A237" s="13">
        <v>10815</v>
      </c>
      <c r="B237" s="13" t="s">
        <v>79</v>
      </c>
      <c r="C237" s="13" t="s">
        <v>72</v>
      </c>
      <c r="D237" s="14">
        <v>44273</v>
      </c>
      <c r="E237" s="15"/>
      <c r="F237" s="16">
        <v>1.10995</v>
      </c>
      <c r="G237" s="16">
        <v>10.349080000000001</v>
      </c>
      <c r="H237" t="s">
        <v>340</v>
      </c>
      <c r="I237">
        <v>9.8526507106969034E-3</v>
      </c>
      <c r="J237">
        <v>0.77847898085259148</v>
      </c>
      <c r="K237">
        <v>7.1599876277037792E-3</v>
      </c>
      <c r="L237">
        <v>6.1485340299179663E-3</v>
      </c>
      <c r="M237">
        <v>2.7323246551034699</v>
      </c>
      <c r="N237">
        <v>1.3162198924167453E-2</v>
      </c>
      <c r="O237">
        <v>2.0999859201789888</v>
      </c>
      <c r="P237">
        <v>0.77607087422117416</v>
      </c>
      <c r="Q237">
        <v>7.569056046292006E-3</v>
      </c>
      <c r="R237">
        <v>0.1199634728756373</v>
      </c>
      <c r="S237">
        <v>5.4895569703527011E-5</v>
      </c>
      <c r="T237">
        <v>0.11996347287563686</v>
      </c>
      <c r="U237">
        <v>1.3133848522238951</v>
      </c>
      <c r="V237">
        <v>0.27177594251746606</v>
      </c>
      <c r="W237">
        <v>0.1796518227188259</v>
      </c>
      <c r="X237">
        <v>0.45456229527626596</v>
      </c>
      <c r="Y237">
        <v>0.23597913137555096</v>
      </c>
      <c r="Z237">
        <v>0.37830769820412175</v>
      </c>
    </row>
    <row r="238" spans="1:26" x14ac:dyDescent="0.2">
      <c r="A238" s="17">
        <v>11048</v>
      </c>
      <c r="B238" s="17" t="s">
        <v>370</v>
      </c>
      <c r="C238" s="17" t="s">
        <v>351</v>
      </c>
      <c r="D238" s="72">
        <v>44273</v>
      </c>
      <c r="E238" s="73">
        <v>26</v>
      </c>
      <c r="F238" s="17">
        <v>4.2860000000000002E-2</v>
      </c>
      <c r="G238" s="74">
        <v>0.10198000000000107</v>
      </c>
      <c r="H238" t="s">
        <v>374</v>
      </c>
      <c r="I238">
        <v>9.9161765149077697E-3</v>
      </c>
      <c r="J238">
        <v>0.51736422734116649</v>
      </c>
      <c r="K238">
        <v>7.158191633300193E-3</v>
      </c>
      <c r="L238">
        <v>5.1000623826690837E-3</v>
      </c>
      <c r="M238">
        <v>4.0725006300839492</v>
      </c>
      <c r="N238">
        <v>8.2644957761722534E-3</v>
      </c>
      <c r="O238">
        <v>3.534556738525624</v>
      </c>
      <c r="P238">
        <v>0.54645450338188739</v>
      </c>
      <c r="Q238">
        <v>8.6157970914792041E-3</v>
      </c>
      <c r="R238">
        <v>4.819468625977557E-2</v>
      </c>
      <c r="S238">
        <v>6.2487196143625349E-5</v>
      </c>
      <c r="T238">
        <v>4.8194686259774182E-2</v>
      </c>
      <c r="U238">
        <v>0.31041123504113061</v>
      </c>
      <c r="V238">
        <v>0.27968339710929552</v>
      </c>
      <c r="W238">
        <v>7.6021318359300845E-4</v>
      </c>
      <c r="X238">
        <v>0.16774048096146812</v>
      </c>
      <c r="Y238">
        <v>2.3618167480808272E-4</v>
      </c>
      <c r="Z238">
        <v>0.22382296393327222</v>
      </c>
    </row>
    <row r="239" spans="1:26" x14ac:dyDescent="0.2">
      <c r="A239" s="13">
        <v>10815</v>
      </c>
      <c r="B239" s="13" t="s">
        <v>79</v>
      </c>
      <c r="C239" s="13" t="s">
        <v>72</v>
      </c>
      <c r="D239" s="14">
        <v>44273</v>
      </c>
      <c r="E239" s="15"/>
      <c r="F239" s="16">
        <v>1.10995</v>
      </c>
      <c r="G239" s="16">
        <v>10.349080000000001</v>
      </c>
      <c r="H239" t="s">
        <v>342</v>
      </c>
      <c r="I239">
        <v>9.9215587702254776E-3</v>
      </c>
      <c r="J239">
        <v>0.62622188721053851</v>
      </c>
      <c r="K239">
        <v>7.1542376819774432E-3</v>
      </c>
      <c r="L239">
        <v>6.9337360896759284E-3</v>
      </c>
      <c r="M239">
        <v>2.7321927301777245</v>
      </c>
      <c r="N239">
        <v>1.2971336535893874E-2</v>
      </c>
      <c r="O239">
        <v>2.0804194674069576</v>
      </c>
      <c r="P239">
        <v>0.64063234290995563</v>
      </c>
      <c r="Q239">
        <v>7.5841149107308175E-3</v>
      </c>
      <c r="R239">
        <v>0.11584039775032549</v>
      </c>
      <c r="S239">
        <v>5.5004786088952202E-5</v>
      </c>
      <c r="T239">
        <v>0.1158403977503254</v>
      </c>
      <c r="U239">
        <v>1.3153263258288581</v>
      </c>
      <c r="V239">
        <v>0.22336103076877151</v>
      </c>
      <c r="W239">
        <v>0.1820824397684109</v>
      </c>
      <c r="X239">
        <v>0.46570881769436917</v>
      </c>
      <c r="Y239">
        <v>0.23964171736578468</v>
      </c>
      <c r="Z239">
        <v>0.36101188009463836</v>
      </c>
    </row>
    <row r="240" spans="1:26" x14ac:dyDescent="0.2">
      <c r="A240" s="17">
        <v>11049</v>
      </c>
      <c r="B240" s="17" t="s">
        <v>371</v>
      </c>
      <c r="C240" s="17" t="s">
        <v>351</v>
      </c>
      <c r="D240" s="72">
        <v>44273</v>
      </c>
      <c r="E240" s="73">
        <v>26</v>
      </c>
      <c r="F240" s="17">
        <v>4.6469999999999997E-2</v>
      </c>
      <c r="G240" s="74">
        <v>9.8340000000000316E-2</v>
      </c>
      <c r="H240" t="s">
        <v>375</v>
      </c>
      <c r="I240">
        <v>9.93519370071793E-3</v>
      </c>
      <c r="J240">
        <v>0.40685292619312236</v>
      </c>
      <c r="K240">
        <v>7.1496159795659013E-3</v>
      </c>
      <c r="L240">
        <v>1.0505265540668128E-2</v>
      </c>
      <c r="M240">
        <v>4.7125487854054873</v>
      </c>
      <c r="N240">
        <v>7.0441676016642901E-3</v>
      </c>
      <c r="O240">
        <v>4.0792176408010103</v>
      </c>
      <c r="P240">
        <v>0.40068161951733505</v>
      </c>
      <c r="Q240">
        <v>8.6059543861358879E-3</v>
      </c>
      <c r="R240">
        <v>4.5198431618772246E-2</v>
      </c>
      <c r="S240">
        <v>6.2415810634792925E-5</v>
      </c>
      <c r="T240">
        <v>4.5198431618771857E-2</v>
      </c>
      <c r="U240">
        <v>0.31822639842457878</v>
      </c>
      <c r="V240">
        <v>0.23358638552643282</v>
      </c>
      <c r="W240">
        <v>1.0049717970366581E-3</v>
      </c>
      <c r="X240">
        <v>0.15866223661722167</v>
      </c>
      <c r="Y240">
        <v>3.1981597355924444E-4</v>
      </c>
      <c r="Z240">
        <v>0.19298254880202245</v>
      </c>
    </row>
    <row r="241" spans="1:26" x14ac:dyDescent="0.2">
      <c r="A241" s="13">
        <v>10815</v>
      </c>
      <c r="B241" s="13" t="s">
        <v>79</v>
      </c>
      <c r="C241" s="13" t="s">
        <v>72</v>
      </c>
      <c r="D241" s="14">
        <v>44273</v>
      </c>
      <c r="E241" s="15"/>
      <c r="F241" s="16">
        <v>1.10995</v>
      </c>
      <c r="G241" s="16">
        <v>10.349080000000001</v>
      </c>
      <c r="H241" t="s">
        <v>344</v>
      </c>
      <c r="I241">
        <v>9.9168953605722615E-3</v>
      </c>
      <c r="J241">
        <v>0.91496848042003309</v>
      </c>
      <c r="K241">
        <v>7.1389099392561439E-3</v>
      </c>
      <c r="L241">
        <v>5.3625785052095988E-3</v>
      </c>
      <c r="M241">
        <v>2.7319937999092319</v>
      </c>
      <c r="N241">
        <v>9.5604383484615436E-3</v>
      </c>
      <c r="O241">
        <v>2.0896539900818332</v>
      </c>
      <c r="P241">
        <v>0.89619419700884739</v>
      </c>
      <c r="Q241">
        <v>7.576316255306104E-3</v>
      </c>
      <c r="R241">
        <v>0.14717747660572503</v>
      </c>
      <c r="S241">
        <v>5.4948225319703999E-5</v>
      </c>
      <c r="T241">
        <v>0.14717747660572408</v>
      </c>
      <c r="U241">
        <v>1.3156650559282426</v>
      </c>
      <c r="V241">
        <v>0.29565433677047387</v>
      </c>
      <c r="W241">
        <v>0.18347525162960726</v>
      </c>
      <c r="X241">
        <v>0.50876141005624109</v>
      </c>
      <c r="Y241">
        <v>0.24111564040719938</v>
      </c>
      <c r="Z241">
        <v>0.36599856159174798</v>
      </c>
    </row>
    <row r="242" spans="1:26" x14ac:dyDescent="0.2">
      <c r="A242" s="17">
        <v>11050</v>
      </c>
      <c r="B242" s="17" t="s">
        <v>372</v>
      </c>
      <c r="C242" s="17" t="s">
        <v>351</v>
      </c>
      <c r="D242" s="72">
        <v>44273</v>
      </c>
      <c r="E242" s="73">
        <v>26</v>
      </c>
      <c r="F242" s="17">
        <v>4.0469999999999999E-2</v>
      </c>
      <c r="G242" s="74">
        <v>0.10175999999999874</v>
      </c>
      <c r="H242" t="s">
        <v>376</v>
      </c>
      <c r="I242">
        <v>1.0010381332246635E-2</v>
      </c>
      <c r="J242">
        <v>0.45982580030288611</v>
      </c>
      <c r="K242">
        <v>7.1483275626369625E-3</v>
      </c>
      <c r="L242">
        <v>9.7322804562162274E-3</v>
      </c>
      <c r="M242">
        <v>3.8576757290137182</v>
      </c>
      <c r="N242">
        <v>6.833517220345961E-3</v>
      </c>
      <c r="O242">
        <v>3.3175172691567436</v>
      </c>
      <c r="P242">
        <v>0.46267072738409448</v>
      </c>
      <c r="Q242">
        <v>8.6058546702117763E-3</v>
      </c>
      <c r="R242">
        <v>6.5390549409864593E-2</v>
      </c>
      <c r="S242">
        <v>6.2415087432001327E-5</v>
      </c>
      <c r="T242">
        <v>6.5390549409864399E-2</v>
      </c>
      <c r="U242">
        <v>0.26016521004278359</v>
      </c>
      <c r="V242">
        <v>0.27345757345813615</v>
      </c>
      <c r="W242">
        <v>2.8435473883526227E-3</v>
      </c>
      <c r="X242">
        <v>0.202929108690418</v>
      </c>
      <c r="Y242">
        <v>7.3975289585664526E-4</v>
      </c>
      <c r="Z242">
        <v>0.22056013467321894</v>
      </c>
    </row>
    <row r="243" spans="1:26" x14ac:dyDescent="0.2">
      <c r="A243" s="13">
        <v>10815</v>
      </c>
      <c r="B243" s="13" t="s">
        <v>79</v>
      </c>
      <c r="C243" s="13" t="s">
        <v>72</v>
      </c>
      <c r="D243" s="14">
        <v>44273</v>
      </c>
      <c r="E243" s="15"/>
      <c r="F243" s="16">
        <v>1.10995</v>
      </c>
      <c r="G243" s="16">
        <v>10.349080000000001</v>
      </c>
      <c r="H243" t="s">
        <v>346</v>
      </c>
      <c r="I243">
        <v>9.8858691708014028E-3</v>
      </c>
      <c r="J243">
        <v>0.72254322785545977</v>
      </c>
      <c r="K243">
        <v>7.1376482277081196E-3</v>
      </c>
      <c r="L243">
        <v>4.0958777710700008E-2</v>
      </c>
      <c r="M243">
        <v>2.7320596916235238</v>
      </c>
      <c r="N243">
        <v>1.1744689311375327E-2</v>
      </c>
      <c r="O243">
        <v>2.0942872426260264</v>
      </c>
      <c r="P243">
        <v>0.72905548849827662</v>
      </c>
      <c r="Q243">
        <v>7.5814987719518027E-3</v>
      </c>
      <c r="R243">
        <v>0.15009712898400035</v>
      </c>
      <c r="S243">
        <v>5.4985812200026116E-5</v>
      </c>
      <c r="T243">
        <v>0.15009712898399985</v>
      </c>
      <c r="U243">
        <v>1.3165307363965097</v>
      </c>
      <c r="V243">
        <v>0.30340526781668287</v>
      </c>
      <c r="W243">
        <v>0.18519914366646789</v>
      </c>
      <c r="X243">
        <v>0.6890704034675611</v>
      </c>
      <c r="Y243">
        <v>0.24356316759071875</v>
      </c>
      <c r="Z243">
        <v>0.58051155047573977</v>
      </c>
    </row>
    <row r="244" spans="1:26" s="68" customFormat="1" x14ac:dyDescent="0.2">
      <c r="D244" s="69"/>
      <c r="E244" s="70"/>
      <c r="G244" s="71"/>
      <c r="H244" s="195"/>
      <c r="I244" s="195"/>
      <c r="J244" s="195"/>
      <c r="K244" s="195"/>
      <c r="L244" s="195"/>
      <c r="M244" s="195"/>
      <c r="N244" s="195"/>
      <c r="O244" s="195"/>
      <c r="P244" s="195"/>
      <c r="Q244" s="195"/>
      <c r="R244" s="195"/>
      <c r="S244" s="195"/>
      <c r="T244" s="195"/>
      <c r="U244" s="195"/>
      <c r="V244" s="195"/>
      <c r="W244" s="195"/>
      <c r="X244" s="195"/>
      <c r="Y244" s="195"/>
      <c r="Z244" s="195"/>
    </row>
    <row r="245" spans="1:26" s="68" customFormat="1" x14ac:dyDescent="0.2">
      <c r="A245" s="13">
        <v>10815</v>
      </c>
      <c r="B245" s="13" t="s">
        <v>79</v>
      </c>
      <c r="C245" s="13" t="s">
        <v>72</v>
      </c>
      <c r="D245" s="14">
        <v>44280</v>
      </c>
      <c r="E245" s="15"/>
      <c r="F245" s="16">
        <v>1.10995</v>
      </c>
      <c r="G245" s="16">
        <v>10.349080000000001</v>
      </c>
      <c r="H245" t="s">
        <v>340</v>
      </c>
      <c r="I245">
        <v>9.7455815463689636E-3</v>
      </c>
      <c r="J245">
        <v>1.2545752637215704</v>
      </c>
      <c r="K245">
        <v>7.1542001055623543E-3</v>
      </c>
      <c r="L245">
        <v>8.9953285721091555E-3</v>
      </c>
      <c r="M245">
        <v>2.7315917439794979</v>
      </c>
      <c r="N245">
        <v>1.4120826705767449E-2</v>
      </c>
      <c r="O245">
        <v>2.1248711908418585</v>
      </c>
      <c r="P245">
        <v>1.1288464160458864</v>
      </c>
      <c r="Q245">
        <v>7.5854849582878319E-3</v>
      </c>
      <c r="R245">
        <v>0.13107213207331367</v>
      </c>
      <c r="S245">
        <v>5.5014722538187503E-5</v>
      </c>
      <c r="T245">
        <v>0.13107213207331331</v>
      </c>
      <c r="U245">
        <v>1.3147974473677004</v>
      </c>
      <c r="V245">
        <v>0.29363209528107381</v>
      </c>
      <c r="W245">
        <v>0.17139795843906344</v>
      </c>
      <c r="X245">
        <v>0.57158645577208056</v>
      </c>
      <c r="Y245">
        <v>0.22502643829747937</v>
      </c>
      <c r="Z245">
        <v>0.50251357224196436</v>
      </c>
    </row>
    <row r="246" spans="1:26" s="68" customFormat="1" x14ac:dyDescent="0.2">
      <c r="A246" s="68">
        <v>11067</v>
      </c>
      <c r="B246" s="68" t="s">
        <v>380</v>
      </c>
      <c r="C246" s="68" t="s">
        <v>381</v>
      </c>
      <c r="D246" s="69">
        <v>44280</v>
      </c>
      <c r="E246" s="70">
        <v>28</v>
      </c>
      <c r="F246" s="68">
        <v>8.1449999999999995E-2</v>
      </c>
      <c r="G246" s="71">
        <v>0.10038000000000125</v>
      </c>
      <c r="H246" t="s">
        <v>377</v>
      </c>
      <c r="I246">
        <v>9.9040892639479516E-3</v>
      </c>
      <c r="J246">
        <v>0.38806679800655497</v>
      </c>
      <c r="K246">
        <v>7.1501701264563219E-3</v>
      </c>
      <c r="L246">
        <v>4.1874804449385959E-3</v>
      </c>
      <c r="M246">
        <v>1.8117993992600427</v>
      </c>
      <c r="N246">
        <v>5.8732700498998263E-3</v>
      </c>
      <c r="O246">
        <v>1.5619083171009496</v>
      </c>
      <c r="P246">
        <v>0.38705646207544525</v>
      </c>
      <c r="Q246">
        <v>8.5285724957108507E-3</v>
      </c>
      <c r="R246">
        <v>7.9272314169519714E-2</v>
      </c>
      <c r="S246">
        <v>6.1854588345826113E-5</v>
      </c>
      <c r="T246">
        <v>7.927231416951909E-2</v>
      </c>
      <c r="U246">
        <v>0.30129520687812572</v>
      </c>
      <c r="V246">
        <v>0.25435861125280079</v>
      </c>
      <c r="W246">
        <v>1.2760313119630998E-3</v>
      </c>
      <c r="X246">
        <v>0.15980095290749891</v>
      </c>
      <c r="Y246">
        <v>3.8471732614625537E-4</v>
      </c>
      <c r="Z246">
        <v>0.21357751159071414</v>
      </c>
    </row>
    <row r="247" spans="1:26" s="68" customFormat="1" x14ac:dyDescent="0.2">
      <c r="A247" s="13">
        <v>10815</v>
      </c>
      <c r="B247" s="13" t="s">
        <v>79</v>
      </c>
      <c r="C247" s="13" t="s">
        <v>72</v>
      </c>
      <c r="D247" s="14">
        <v>44280</v>
      </c>
      <c r="E247" s="15"/>
      <c r="F247" s="16">
        <v>1.10995</v>
      </c>
      <c r="G247" s="16">
        <v>10.349080000000001</v>
      </c>
      <c r="H247" t="s">
        <v>342</v>
      </c>
      <c r="I247">
        <v>9.9560768108159104E-3</v>
      </c>
      <c r="J247">
        <v>0.95550060703422457</v>
      </c>
      <c r="K247">
        <v>7.1542491998203128E-3</v>
      </c>
      <c r="L247">
        <v>8.009038553700696E-3</v>
      </c>
      <c r="M247">
        <v>2.7325764253513642</v>
      </c>
      <c r="N247">
        <v>1.446615544630527E-2</v>
      </c>
      <c r="O247">
        <v>2.0815240923745093</v>
      </c>
      <c r="P247">
        <v>0.99307449972391293</v>
      </c>
      <c r="Q247">
        <v>7.582627831698472E-3</v>
      </c>
      <c r="R247">
        <v>0.17956810382483795</v>
      </c>
      <c r="S247">
        <v>5.4994000853623577E-5</v>
      </c>
      <c r="T247">
        <v>0.17956810382483918</v>
      </c>
      <c r="U247">
        <v>1.3134120827386031</v>
      </c>
      <c r="V247">
        <v>0.38688389401414719</v>
      </c>
      <c r="W247">
        <v>0.1721676867700617</v>
      </c>
      <c r="X247">
        <v>0.47878060559629804</v>
      </c>
      <c r="Y247">
        <v>0.22641706302596545</v>
      </c>
      <c r="Z247">
        <v>0.46720068197184678</v>
      </c>
    </row>
    <row r="248" spans="1:26" x14ac:dyDescent="0.2">
      <c r="A248" s="17">
        <v>11068</v>
      </c>
      <c r="B248" s="17" t="s">
        <v>382</v>
      </c>
      <c r="C248" s="17" t="s">
        <v>381</v>
      </c>
      <c r="D248" s="69">
        <v>44280</v>
      </c>
      <c r="E248" s="73">
        <v>85.5</v>
      </c>
      <c r="F248" s="17">
        <v>4.827E-2</v>
      </c>
      <c r="G248" s="74">
        <v>0.10219999999999985</v>
      </c>
      <c r="H248" t="s">
        <v>378</v>
      </c>
      <c r="I248">
        <v>1.0000204695989957E-2</v>
      </c>
      <c r="J248">
        <v>0.54002562413920197</v>
      </c>
      <c r="K248">
        <v>7.1544992844539291E-3</v>
      </c>
      <c r="L248">
        <v>6.8367302788860124E-3</v>
      </c>
      <c r="M248">
        <v>1.1250309779593188</v>
      </c>
      <c r="N248">
        <v>0.1248752709712751</v>
      </c>
      <c r="O248">
        <v>0.96025861015594904</v>
      </c>
      <c r="P248">
        <v>0.63760788473448493</v>
      </c>
      <c r="Q248">
        <v>8.5261715127677475E-3</v>
      </c>
      <c r="R248">
        <v>0.23447793501768793</v>
      </c>
      <c r="S248">
        <v>6.1837174902762152E-5</v>
      </c>
      <c r="T248">
        <v>0.23447793501768696</v>
      </c>
      <c r="U248">
        <v>0.12284099448089356</v>
      </c>
      <c r="V248">
        <v>0.45262401153068005</v>
      </c>
      <c r="W248">
        <v>1.2841631338834363E-2</v>
      </c>
      <c r="X248">
        <v>0.20564035628955704</v>
      </c>
      <c r="Y248">
        <v>1.5767672860821547E-3</v>
      </c>
      <c r="Z248">
        <v>0.30746309712262859</v>
      </c>
    </row>
    <row r="249" spans="1:26" x14ac:dyDescent="0.2">
      <c r="A249" s="13">
        <v>10815</v>
      </c>
      <c r="B249" s="13" t="s">
        <v>79</v>
      </c>
      <c r="C249" s="13" t="s">
        <v>72</v>
      </c>
      <c r="D249" s="14">
        <v>44280</v>
      </c>
      <c r="E249" s="15"/>
      <c r="F249" s="16">
        <v>1.10995</v>
      </c>
      <c r="G249" s="16">
        <v>10.349080000000001</v>
      </c>
      <c r="H249" t="s">
        <v>344</v>
      </c>
      <c r="I249">
        <v>9.7413888970347296E-3</v>
      </c>
      <c r="J249">
        <v>1.0997469983939989</v>
      </c>
      <c r="K249">
        <v>7.1557740240540098E-3</v>
      </c>
      <c r="L249">
        <v>6.9013284692603311E-3</v>
      </c>
      <c r="M249">
        <v>2.7331291428665665</v>
      </c>
      <c r="N249">
        <v>1.6241310012989722E-2</v>
      </c>
      <c r="O249">
        <v>2.1328191434850594</v>
      </c>
      <c r="P249">
        <v>1.0749324566087173</v>
      </c>
      <c r="Q249">
        <v>7.5918466951661488E-3</v>
      </c>
      <c r="R249">
        <v>0.18349313251912303</v>
      </c>
      <c r="S249">
        <v>5.506086186759703E-5</v>
      </c>
      <c r="T249">
        <v>0.18349313251912375</v>
      </c>
      <c r="U249">
        <v>1.3189739709030139</v>
      </c>
      <c r="V249">
        <v>0.34071063931436957</v>
      </c>
      <c r="W249">
        <v>0.17064745459851655</v>
      </c>
      <c r="X249">
        <v>0.58615309337110322</v>
      </c>
      <c r="Y249">
        <v>0.22432827828475596</v>
      </c>
      <c r="Z249">
        <v>0.5573204461664476</v>
      </c>
    </row>
    <row r="250" spans="1:26" x14ac:dyDescent="0.2">
      <c r="A250" s="17">
        <v>11073</v>
      </c>
      <c r="B250" s="17" t="s">
        <v>383</v>
      </c>
      <c r="C250" s="17" t="s">
        <v>381</v>
      </c>
      <c r="D250" s="69">
        <v>44280</v>
      </c>
      <c r="F250" s="17">
        <v>6.7199999999999996E-2</v>
      </c>
      <c r="G250" s="74">
        <v>0.10139999999999993</v>
      </c>
      <c r="H250" t="s">
        <v>379</v>
      </c>
      <c r="I250">
        <v>9.9604633410054575E-3</v>
      </c>
      <c r="J250">
        <v>1.4988181254046771</v>
      </c>
      <c r="K250">
        <v>7.1540631653780355E-3</v>
      </c>
      <c r="L250">
        <v>1.3252595926169803E-2</v>
      </c>
      <c r="M250">
        <v>0.63226444503167079</v>
      </c>
      <c r="N250">
        <v>1.0836786101513583E-2</v>
      </c>
      <c r="O250">
        <v>0.54351491268458252</v>
      </c>
      <c r="P250">
        <v>0.65520447764588108</v>
      </c>
      <c r="Q250">
        <v>8.6219280301243657E-3</v>
      </c>
      <c r="R250">
        <v>0.51024710914479898</v>
      </c>
      <c r="S250">
        <v>6.2531661578639312E-5</v>
      </c>
      <c r="T250">
        <v>0.51024710914479843</v>
      </c>
      <c r="U250">
        <v>0.2269482165992745</v>
      </c>
      <c r="V250">
        <v>0.59022903723570297</v>
      </c>
      <c r="W250">
        <v>1.3801685126106091E-3</v>
      </c>
      <c r="X250">
        <v>0.22743359421896178</v>
      </c>
      <c r="Y250">
        <v>3.124240308363021E-4</v>
      </c>
      <c r="Z250">
        <v>0.24947915438039833</v>
      </c>
    </row>
    <row r="251" spans="1:26" x14ac:dyDescent="0.2">
      <c r="A251" s="13">
        <v>10815</v>
      </c>
      <c r="B251" s="13" t="s">
        <v>79</v>
      </c>
      <c r="C251" s="13" t="s">
        <v>72</v>
      </c>
      <c r="D251" s="14">
        <v>44280</v>
      </c>
      <c r="E251" s="15"/>
      <c r="F251" s="16">
        <v>1.10995</v>
      </c>
      <c r="G251" s="16">
        <v>10.349080000000001</v>
      </c>
      <c r="H251" t="s">
        <v>344</v>
      </c>
      <c r="I251">
        <v>9.7413888970347296E-3</v>
      </c>
      <c r="J251">
        <v>1.0997469983939989</v>
      </c>
      <c r="K251">
        <v>7.1557740240540098E-3</v>
      </c>
      <c r="L251">
        <v>6.9013284692603311E-3</v>
      </c>
      <c r="M251">
        <v>2.7331291428665665</v>
      </c>
      <c r="N251">
        <v>1.6241310012989722E-2</v>
      </c>
      <c r="O251">
        <v>2.1328191434850594</v>
      </c>
      <c r="P251">
        <v>1.0749324566087173</v>
      </c>
      <c r="Q251">
        <v>7.5918466951661488E-3</v>
      </c>
      <c r="R251">
        <v>0.18349313251912303</v>
      </c>
      <c r="S251">
        <v>5.506086186759703E-5</v>
      </c>
      <c r="T251">
        <v>0.18349313251912375</v>
      </c>
      <c r="U251">
        <v>1.3189739709030139</v>
      </c>
      <c r="V251">
        <v>0.34071063931436957</v>
      </c>
      <c r="W251">
        <v>0.17064745459851655</v>
      </c>
      <c r="X251">
        <v>0.58615309337110322</v>
      </c>
      <c r="Y251">
        <v>0.22432827828475596</v>
      </c>
      <c r="Z251">
        <v>0.5573204461664476</v>
      </c>
    </row>
    <row r="253" spans="1:26" x14ac:dyDescent="0.2">
      <c r="A253" s="13">
        <v>10815</v>
      </c>
      <c r="B253" s="13" t="s">
        <v>79</v>
      </c>
      <c r="C253" s="13" t="s">
        <v>72</v>
      </c>
      <c r="D253" s="14">
        <v>44281</v>
      </c>
      <c r="E253" s="15"/>
      <c r="F253" s="16">
        <v>1.10995</v>
      </c>
      <c r="G253" s="16">
        <v>10.349080000000001</v>
      </c>
      <c r="H253" t="s">
        <v>338</v>
      </c>
      <c r="I253">
        <v>1.023018518467265E-2</v>
      </c>
      <c r="J253">
        <v>2.5267150901062654</v>
      </c>
      <c r="K253">
        <v>7.1657138212007469E-3</v>
      </c>
      <c r="L253">
        <v>1.4788681419915505E-2</v>
      </c>
      <c r="M253">
        <v>2.7322052545620505</v>
      </c>
      <c r="N253">
        <v>2.3169675999194356E-2</v>
      </c>
      <c r="O253">
        <v>1.9675023508367928</v>
      </c>
      <c r="P253">
        <v>2.5775592576519331</v>
      </c>
      <c r="Q253">
        <v>7.3690283485635484E-3</v>
      </c>
      <c r="R253">
        <v>0.17011010144691793</v>
      </c>
      <c r="S253">
        <v>5.3444842643754732E-5</v>
      </c>
      <c r="T253">
        <v>0.17011010144691743</v>
      </c>
      <c r="U253">
        <v>1.3182392772542826</v>
      </c>
      <c r="V253">
        <v>0.53373765303024268</v>
      </c>
      <c r="W253">
        <v>0.18505381096706341</v>
      </c>
      <c r="X253">
        <v>1.6133672081394907</v>
      </c>
      <c r="Y253">
        <v>0.24243924623351815</v>
      </c>
      <c r="Z253">
        <v>1.5582448935463225</v>
      </c>
    </row>
    <row r="254" spans="1:26" x14ac:dyDescent="0.2">
      <c r="A254" s="17">
        <v>11069</v>
      </c>
      <c r="B254" s="17" t="s">
        <v>389</v>
      </c>
      <c r="C254" s="17" t="s">
        <v>381</v>
      </c>
      <c r="D254" s="72">
        <v>44281</v>
      </c>
      <c r="E254" s="73">
        <v>62.5</v>
      </c>
      <c r="F254" s="17">
        <v>6.7089999999999997E-2</v>
      </c>
      <c r="G254" s="74">
        <v>0.10138000000000069</v>
      </c>
      <c r="H254" t="s">
        <v>384</v>
      </c>
      <c r="I254">
        <v>1.0003805293008091E-2</v>
      </c>
      <c r="J254">
        <v>0.2795503460112761</v>
      </c>
      <c r="K254">
        <v>7.1599274903765596E-3</v>
      </c>
      <c r="L254">
        <v>2.2964697519415947E-2</v>
      </c>
      <c r="M254">
        <v>0.2087539762195596</v>
      </c>
      <c r="N254">
        <v>3.4652681739502783E-2</v>
      </c>
      <c r="O254">
        <v>0.17221527069100745</v>
      </c>
      <c r="P254">
        <v>0.33489824328990797</v>
      </c>
      <c r="Q254">
        <v>8.2536616153901111E-3</v>
      </c>
      <c r="R254">
        <v>0.15636141465182921</v>
      </c>
      <c r="S254">
        <v>5.9860761202704601E-5</v>
      </c>
      <c r="T254">
        <v>0.15636141465182821</v>
      </c>
      <c r="U254">
        <v>3.5248436624435955E-2</v>
      </c>
      <c r="V254">
        <v>0.50474261167889967</v>
      </c>
      <c r="W254">
        <v>0.35787280907614927</v>
      </c>
      <c r="X254">
        <v>0.4588182979853993</v>
      </c>
      <c r="Y254">
        <v>1.260933219342795E-2</v>
      </c>
      <c r="Z254">
        <v>0.62759346960860507</v>
      </c>
    </row>
    <row r="255" spans="1:26" x14ac:dyDescent="0.2">
      <c r="A255" s="13">
        <v>10815</v>
      </c>
      <c r="B255" s="13" t="s">
        <v>79</v>
      </c>
      <c r="C255" s="13" t="s">
        <v>72</v>
      </c>
      <c r="D255" s="14">
        <v>44281</v>
      </c>
      <c r="E255" s="15"/>
      <c r="F255" s="16">
        <v>1.10995</v>
      </c>
      <c r="G255" s="16">
        <v>10.349080000000001</v>
      </c>
      <c r="H255" t="s">
        <v>340</v>
      </c>
      <c r="I255">
        <v>9.9259542623008588E-3</v>
      </c>
      <c r="J255">
        <v>2.8491489773981709</v>
      </c>
      <c r="K255">
        <v>7.1613517433795296E-3</v>
      </c>
      <c r="L255">
        <v>1.2413404089221225E-2</v>
      </c>
      <c r="M255">
        <v>2.7326512436170121</v>
      </c>
      <c r="N255">
        <v>2.8358521352911035E-2</v>
      </c>
      <c r="O255">
        <v>2.0322523526340999</v>
      </c>
      <c r="P255">
        <v>3.0073226658870502</v>
      </c>
      <c r="Q255">
        <v>7.3793304471744346E-3</v>
      </c>
      <c r="R255">
        <v>0.13282215480366799</v>
      </c>
      <c r="S255">
        <v>5.3519559962390991E-5</v>
      </c>
      <c r="T255">
        <v>0.13282215480366674</v>
      </c>
      <c r="U255">
        <v>1.3176227120998374</v>
      </c>
      <c r="V255">
        <v>0.70023406910324926</v>
      </c>
      <c r="W255">
        <v>0.1875089741876958</v>
      </c>
      <c r="X255">
        <v>1.2856496266628161</v>
      </c>
      <c r="Y255">
        <v>0.24756713654192608</v>
      </c>
      <c r="Z255">
        <v>1.0018631307857631</v>
      </c>
    </row>
    <row r="256" spans="1:26" x14ac:dyDescent="0.2">
      <c r="A256" s="17">
        <v>11070</v>
      </c>
      <c r="B256" s="17" t="s">
        <v>390</v>
      </c>
      <c r="C256" s="17" t="s">
        <v>381</v>
      </c>
      <c r="D256" s="72">
        <v>44281</v>
      </c>
      <c r="E256" s="73">
        <v>99</v>
      </c>
      <c r="F256" s="17">
        <v>4.1880000000000001E-2</v>
      </c>
      <c r="G256" s="74">
        <v>0.10335000000000072</v>
      </c>
      <c r="H256" t="s">
        <v>385</v>
      </c>
      <c r="I256">
        <v>1.003282682410526E-2</v>
      </c>
      <c r="J256">
        <v>0.43498652801105414</v>
      </c>
      <c r="K256">
        <v>7.1394930196523546E-3</v>
      </c>
      <c r="L256">
        <v>0.12451637883829482</v>
      </c>
      <c r="M256">
        <v>3.4110855998022785E-2</v>
      </c>
      <c r="N256">
        <v>0.1116226960399184</v>
      </c>
      <c r="O256">
        <v>2.8072246900410189E-2</v>
      </c>
      <c r="P256">
        <v>0.65490958160251844</v>
      </c>
      <c r="Q256">
        <v>8.2358888917086846E-3</v>
      </c>
      <c r="R256">
        <v>0.49700664087946989</v>
      </c>
      <c r="S256">
        <v>5.9731862197900235E-5</v>
      </c>
      <c r="T256">
        <v>0.49700664087947</v>
      </c>
      <c r="U256">
        <v>5.8195061360802169E-3</v>
      </c>
      <c r="V256">
        <v>2.7808157885874261</v>
      </c>
      <c r="W256">
        <v>0.24441873628665955</v>
      </c>
      <c r="X256">
        <v>1.3249604658407379</v>
      </c>
      <c r="Y256">
        <v>1.4029818343647949E-3</v>
      </c>
      <c r="Z256">
        <v>2.940705148371241</v>
      </c>
    </row>
    <row r="257" spans="1:26" x14ac:dyDescent="0.2">
      <c r="A257" s="13">
        <v>10815</v>
      </c>
      <c r="B257" s="13" t="s">
        <v>79</v>
      </c>
      <c r="C257" s="13" t="s">
        <v>72</v>
      </c>
      <c r="D257" s="14">
        <v>44281</v>
      </c>
      <c r="E257" s="15"/>
      <c r="F257" s="16">
        <v>1.10995</v>
      </c>
      <c r="G257" s="16">
        <v>10.349080000000001</v>
      </c>
      <c r="H257" t="s">
        <v>342</v>
      </c>
      <c r="I257">
        <v>9.9335574767683236E-3</v>
      </c>
      <c r="J257">
        <v>2.8183291030499427</v>
      </c>
      <c r="K257">
        <v>7.1385368839802458E-3</v>
      </c>
      <c r="L257">
        <v>1.6767275594475148E-2</v>
      </c>
      <c r="M257">
        <v>2.7321755719658425</v>
      </c>
      <c r="N257">
        <v>3.7586184766556376E-2</v>
      </c>
      <c r="O257">
        <v>2.1221693340518222</v>
      </c>
      <c r="P257">
        <v>2.6114686540820022</v>
      </c>
      <c r="Q257">
        <v>7.7244480955307648E-3</v>
      </c>
      <c r="R257">
        <v>0.14277656998819691</v>
      </c>
      <c r="S257">
        <v>5.6022570880184806E-5</v>
      </c>
      <c r="T257">
        <v>0.14277656998819555</v>
      </c>
      <c r="U257">
        <v>1.3156842326997755</v>
      </c>
      <c r="V257">
        <v>0.54095867301081391</v>
      </c>
      <c r="W257">
        <v>0.19742695646638195</v>
      </c>
      <c r="X257">
        <v>1.2765459165841784</v>
      </c>
      <c r="Y257">
        <v>0.26085806230243752</v>
      </c>
      <c r="Z257">
        <v>1.2795824896370231</v>
      </c>
    </row>
    <row r="258" spans="1:26" x14ac:dyDescent="0.2">
      <c r="A258" s="17">
        <v>11071</v>
      </c>
      <c r="B258" s="17" t="s">
        <v>391</v>
      </c>
      <c r="C258" s="17" t="s">
        <v>381</v>
      </c>
      <c r="D258" s="72">
        <v>44281</v>
      </c>
      <c r="E258" s="196">
        <v>98.5</v>
      </c>
      <c r="F258" s="17">
        <v>9.6549999999999997E-2</v>
      </c>
      <c r="G258" s="74">
        <v>0.10041999999999973</v>
      </c>
      <c r="H258" t="s">
        <v>386</v>
      </c>
      <c r="I258">
        <v>1.0001368548617988E-2</v>
      </c>
      <c r="J258">
        <v>0.29952754399742659</v>
      </c>
      <c r="K258">
        <v>7.1473384054115989E-3</v>
      </c>
      <c r="L258">
        <v>3.2174729344761628E-2</v>
      </c>
      <c r="M258">
        <v>0.13027771666367677</v>
      </c>
      <c r="N258">
        <v>3.0448468866467921E-2</v>
      </c>
      <c r="O258">
        <v>0.10857048810348319</v>
      </c>
      <c r="P258">
        <v>0.4044061946858265</v>
      </c>
      <c r="Q258">
        <v>8.324181912217142E-3</v>
      </c>
      <c r="R258">
        <v>0.19582006085861356</v>
      </c>
      <c r="S258">
        <v>6.0372218885975138E-5</v>
      </c>
      <c r="T258">
        <v>0.19582006085861492</v>
      </c>
      <c r="U258">
        <v>1.782587659686492E-2</v>
      </c>
      <c r="V258">
        <v>1.002151373620364</v>
      </c>
      <c r="W258">
        <v>0.27194139597804651</v>
      </c>
      <c r="X258">
        <v>0.55958047800991018</v>
      </c>
      <c r="Y258">
        <v>4.855722342003415E-3</v>
      </c>
      <c r="Z258">
        <v>0.69382396594910345</v>
      </c>
    </row>
    <row r="259" spans="1:26" x14ac:dyDescent="0.2">
      <c r="A259" s="13">
        <v>10815</v>
      </c>
      <c r="B259" s="13" t="s">
        <v>79</v>
      </c>
      <c r="C259" s="13" t="s">
        <v>72</v>
      </c>
      <c r="D259" s="14">
        <v>44281</v>
      </c>
      <c r="E259" s="15"/>
      <c r="F259" s="16">
        <v>1.10995</v>
      </c>
      <c r="G259" s="16">
        <v>10.349080000000001</v>
      </c>
      <c r="H259" t="s">
        <v>344</v>
      </c>
      <c r="I259">
        <v>1.0026215692128191E-2</v>
      </c>
      <c r="J259">
        <v>1.996364349438575</v>
      </c>
      <c r="K259">
        <v>7.1465689674450389E-3</v>
      </c>
      <c r="L259">
        <v>1.3660683226905826E-2</v>
      </c>
      <c r="M259">
        <v>2.7319705937277359</v>
      </c>
      <c r="N259">
        <v>3.0476444379060705E-2</v>
      </c>
      <c r="O259">
        <v>2.0806490031389688</v>
      </c>
      <c r="P259">
        <v>2.0555998277528511</v>
      </c>
      <c r="Q259">
        <v>7.6158518038065776E-3</v>
      </c>
      <c r="R259">
        <v>0.14549522380496466</v>
      </c>
      <c r="S259">
        <v>5.5234962060084978E-5</v>
      </c>
      <c r="T259">
        <v>0.14549522380496482</v>
      </c>
      <c r="U259">
        <v>1.3137623446284752</v>
      </c>
      <c r="V259">
        <v>0.40047877892826517</v>
      </c>
      <c r="W259">
        <v>0.19530795889699526</v>
      </c>
      <c r="X259">
        <v>1.3666938083354263</v>
      </c>
      <c r="Y259">
        <v>0.25632346878909268</v>
      </c>
      <c r="Z259">
        <v>1.3101622632085717</v>
      </c>
    </row>
    <row r="260" spans="1:26" x14ac:dyDescent="0.2">
      <c r="A260" s="17">
        <v>11072</v>
      </c>
      <c r="B260" s="17" t="s">
        <v>392</v>
      </c>
      <c r="C260" s="17" t="s">
        <v>381</v>
      </c>
      <c r="D260" s="72">
        <v>44281</v>
      </c>
      <c r="F260" s="17">
        <v>7.8189999999999996E-2</v>
      </c>
      <c r="G260" s="74">
        <v>0.10076000000000107</v>
      </c>
      <c r="H260" t="s">
        <v>387</v>
      </c>
      <c r="I260">
        <v>1.0034582990756271E-2</v>
      </c>
      <c r="J260">
        <v>0.22006518098947117</v>
      </c>
      <c r="K260">
        <v>7.1438414814898217E-3</v>
      </c>
      <c r="L260">
        <v>1.3622798464209437E-2</v>
      </c>
      <c r="M260">
        <v>0.38626541462316438</v>
      </c>
      <c r="N260">
        <v>8.3817608349838566E-3</v>
      </c>
      <c r="O260">
        <v>0.32087280762435816</v>
      </c>
      <c r="P260">
        <v>0.24517563748281695</v>
      </c>
      <c r="Q260">
        <v>8.3477469609895653E-3</v>
      </c>
      <c r="R260">
        <v>0.15970708417411575</v>
      </c>
      <c r="S260">
        <v>6.0543127486670126E-5</v>
      </c>
      <c r="T260">
        <v>0.15970708417411644</v>
      </c>
      <c r="U260">
        <v>0.14412328225164772</v>
      </c>
      <c r="V260">
        <v>0.35407984745669974</v>
      </c>
      <c r="W260">
        <v>2.0140450847440573E-2</v>
      </c>
      <c r="X260">
        <v>0.26800349606466334</v>
      </c>
      <c r="Y260">
        <v>2.9013611749933287E-3</v>
      </c>
      <c r="Z260">
        <v>0.29981291577157099</v>
      </c>
    </row>
    <row r="261" spans="1:26" x14ac:dyDescent="0.2">
      <c r="A261" s="13">
        <v>10815</v>
      </c>
      <c r="B261" s="13" t="s">
        <v>79</v>
      </c>
      <c r="C261" s="13" t="s">
        <v>72</v>
      </c>
      <c r="D261" s="14">
        <v>44281</v>
      </c>
      <c r="E261" s="15"/>
      <c r="F261" s="16">
        <v>1.10995</v>
      </c>
      <c r="G261" s="16">
        <v>10.349080000000001</v>
      </c>
      <c r="H261" t="s">
        <v>346</v>
      </c>
      <c r="I261">
        <v>9.6832645043864463E-3</v>
      </c>
      <c r="J261">
        <v>2.9588778689994855</v>
      </c>
      <c r="K261">
        <v>7.142405854105009E-3</v>
      </c>
      <c r="L261">
        <v>1.6438026337634859E-2</v>
      </c>
      <c r="M261">
        <v>2.7317064947348868</v>
      </c>
      <c r="N261">
        <v>2.9871219205313718E-2</v>
      </c>
      <c r="O261">
        <v>2.1735503752699441</v>
      </c>
      <c r="P261">
        <v>2.9683167846502752</v>
      </c>
      <c r="Q261">
        <v>7.6536618444865631E-3</v>
      </c>
      <c r="R261">
        <v>0.14250068032500446</v>
      </c>
      <c r="S261">
        <v>5.5509184329142973E-5</v>
      </c>
      <c r="T261">
        <v>0.14250068032500504</v>
      </c>
      <c r="U261">
        <v>1.3153420299889103</v>
      </c>
      <c r="V261">
        <v>0.56022969504251907</v>
      </c>
      <c r="W261">
        <v>0.19348735495621711</v>
      </c>
      <c r="X261">
        <v>1.3486468315612556</v>
      </c>
      <c r="Y261">
        <v>0.25443619561298586</v>
      </c>
      <c r="Z261">
        <v>1.2500189576824587</v>
      </c>
    </row>
    <row r="262" spans="1:26" x14ac:dyDescent="0.2">
      <c r="A262" s="17">
        <v>11074</v>
      </c>
      <c r="B262" s="17" t="s">
        <v>393</v>
      </c>
      <c r="C262" s="17" t="s">
        <v>381</v>
      </c>
      <c r="D262" s="72">
        <v>44281</v>
      </c>
      <c r="F262" s="17">
        <v>7.2249999999999995E-2</v>
      </c>
      <c r="G262" s="74">
        <v>0.10196000000000005</v>
      </c>
      <c r="H262" t="s">
        <v>388</v>
      </c>
      <c r="I262">
        <v>9.5301039259191329E-3</v>
      </c>
      <c r="J262">
        <v>0.30301741373922914</v>
      </c>
      <c r="K262">
        <v>7.1331964762034634E-3</v>
      </c>
      <c r="L262">
        <v>1.4094478294411118E-2</v>
      </c>
      <c r="M262">
        <v>0.44930964891624275</v>
      </c>
      <c r="N262">
        <v>9.8451195868538514E-3</v>
      </c>
      <c r="O262">
        <v>0.42155247915249006</v>
      </c>
      <c r="P262">
        <v>0.33580634099439111</v>
      </c>
      <c r="Q262">
        <v>8.933631959092336E-3</v>
      </c>
      <c r="R262">
        <v>0.11803098598069361</v>
      </c>
      <c r="S262">
        <v>6.479233512298531E-5</v>
      </c>
      <c r="T262">
        <v>0.11803098598069368</v>
      </c>
      <c r="U262">
        <v>0.14358006328372536</v>
      </c>
      <c r="V262">
        <v>0.33622569214362102</v>
      </c>
      <c r="W262">
        <v>1.048076942412577E-3</v>
      </c>
      <c r="X262">
        <v>0.24228330170903556</v>
      </c>
      <c r="Y262">
        <v>1.5062198054654994E-4</v>
      </c>
      <c r="Z262">
        <v>0.2439946739210424</v>
      </c>
    </row>
    <row r="263" spans="1:26" x14ac:dyDescent="0.2">
      <c r="A263" s="13">
        <v>10815</v>
      </c>
      <c r="B263" s="13" t="s">
        <v>79</v>
      </c>
      <c r="C263" s="13" t="s">
        <v>72</v>
      </c>
      <c r="D263" s="14">
        <v>44281</v>
      </c>
      <c r="E263" s="15"/>
      <c r="F263" s="16">
        <v>1.10995</v>
      </c>
      <c r="G263" s="16">
        <v>10.349080000000001</v>
      </c>
      <c r="H263" t="s">
        <v>348</v>
      </c>
      <c r="I263">
        <v>1.0123410056148715E-2</v>
      </c>
      <c r="J263">
        <v>2.8124063915966282</v>
      </c>
      <c r="K263">
        <v>7.1309349640128394E-3</v>
      </c>
      <c r="L263">
        <v>1.7526496211931475E-2</v>
      </c>
      <c r="M263">
        <v>2.7333560991019539</v>
      </c>
      <c r="N263">
        <v>3.0988230419983494E-2</v>
      </c>
      <c r="O263">
        <v>2.1134085551448356</v>
      </c>
      <c r="P263">
        <v>2.9024975856746504</v>
      </c>
      <c r="Q263">
        <v>7.780016855820796E-3</v>
      </c>
      <c r="R263">
        <v>0.13523933202480398</v>
      </c>
      <c r="S263">
        <v>5.6425590587686451E-5</v>
      </c>
      <c r="T263">
        <v>0.13523933202480379</v>
      </c>
      <c r="U263">
        <v>1.3163305274306984</v>
      </c>
      <c r="V263">
        <v>0.45436211355547645</v>
      </c>
      <c r="W263">
        <v>0.19417153944637985</v>
      </c>
      <c r="X263">
        <v>1.2945103548050263</v>
      </c>
      <c r="Y263">
        <v>0.25634264591767986</v>
      </c>
      <c r="Z263">
        <v>1.3680550529908002</v>
      </c>
    </row>
    <row r="265" spans="1:26" x14ac:dyDescent="0.2">
      <c r="A265" s="13">
        <v>10815</v>
      </c>
      <c r="B265" s="13" t="s">
        <v>79</v>
      </c>
      <c r="C265" s="13" t="s">
        <v>72</v>
      </c>
      <c r="D265" s="14">
        <v>44284</v>
      </c>
      <c r="E265" s="15"/>
      <c r="F265" s="16">
        <v>1.10995</v>
      </c>
      <c r="G265" s="16">
        <v>10.349080000000001</v>
      </c>
      <c r="H265" t="s">
        <v>338</v>
      </c>
      <c r="I265">
        <v>9.9795381629420102E-3</v>
      </c>
      <c r="J265">
        <v>0.47244762041791033</v>
      </c>
      <c r="K265">
        <v>7.1552882414889921E-3</v>
      </c>
      <c r="L265">
        <v>5.126956539294519E-3</v>
      </c>
      <c r="M265">
        <v>2.7320991309755733</v>
      </c>
      <c r="N265">
        <v>7.6134212301057864E-3</v>
      </c>
      <c r="O265">
        <v>2.0752188250586565</v>
      </c>
      <c r="P265">
        <v>0.49639492597313506</v>
      </c>
      <c r="Q265">
        <v>7.5803955555001001E-3</v>
      </c>
      <c r="R265">
        <v>0.1066683826155322</v>
      </c>
      <c r="S265">
        <v>5.4977810978308107E-5</v>
      </c>
      <c r="T265">
        <v>0.10666838261553288</v>
      </c>
      <c r="U265">
        <v>1.3135792750943664</v>
      </c>
      <c r="V265">
        <v>0.34517997456602301</v>
      </c>
      <c r="W265">
        <v>0.17470687743809699</v>
      </c>
      <c r="X265">
        <v>0.45490383001010315</v>
      </c>
      <c r="Y265">
        <v>0.23025031016105821</v>
      </c>
      <c r="Z265">
        <v>0.25331903751369894</v>
      </c>
    </row>
    <row r="266" spans="1:26" x14ac:dyDescent="0.2">
      <c r="A266" s="17">
        <v>11075</v>
      </c>
      <c r="B266" s="17" t="s">
        <v>399</v>
      </c>
      <c r="C266" s="17" t="s">
        <v>400</v>
      </c>
      <c r="D266" s="72">
        <v>44284</v>
      </c>
      <c r="F266" s="17">
        <v>2.7709999999999999E-2</v>
      </c>
      <c r="G266" s="74">
        <v>0.1002099999999988</v>
      </c>
      <c r="H266" t="s">
        <v>394</v>
      </c>
      <c r="I266">
        <v>1.0058285339173089E-2</v>
      </c>
      <c r="J266">
        <v>0.6240924579054149</v>
      </c>
      <c r="K266">
        <v>7.1465725788736603E-3</v>
      </c>
      <c r="L266">
        <v>5.3230840416755515E-3</v>
      </c>
      <c r="M266">
        <v>3.9121424521992654</v>
      </c>
      <c r="N266">
        <v>8.4292915114407441E-3</v>
      </c>
      <c r="O266">
        <v>3.3517882521113238</v>
      </c>
      <c r="P266">
        <v>0.62430770423893689</v>
      </c>
      <c r="Q266">
        <v>8.610581392375416E-3</v>
      </c>
      <c r="R266">
        <v>7.7296340537893221E-2</v>
      </c>
      <c r="S266">
        <v>6.2449368603182575E-5</v>
      </c>
      <c r="T266">
        <v>7.7296340537893402E-2</v>
      </c>
      <c r="U266">
        <v>0.27476462437702642</v>
      </c>
      <c r="V266">
        <v>0.44798502035244192</v>
      </c>
      <c r="W266">
        <v>3.3669084092788834E-3</v>
      </c>
      <c r="X266">
        <v>0.28857203549497112</v>
      </c>
      <c r="Y266">
        <v>9.2289800587850798E-4</v>
      </c>
      <c r="Z266">
        <v>0.3274852625849009</v>
      </c>
    </row>
    <row r="267" spans="1:26" x14ac:dyDescent="0.2">
      <c r="A267" s="13">
        <v>10815</v>
      </c>
      <c r="B267" s="13" t="s">
        <v>79</v>
      </c>
      <c r="C267" s="13" t="s">
        <v>72</v>
      </c>
      <c r="D267" s="14">
        <v>44284</v>
      </c>
      <c r="E267" s="15"/>
      <c r="F267" s="16">
        <v>1.10995</v>
      </c>
      <c r="G267" s="16">
        <v>10.349080000000001</v>
      </c>
      <c r="H267" t="s">
        <v>340</v>
      </c>
      <c r="I267">
        <v>9.9400540316703784E-3</v>
      </c>
      <c r="J267">
        <v>0.61249633000347214</v>
      </c>
      <c r="K267">
        <v>7.1422326797441942E-3</v>
      </c>
      <c r="L267">
        <v>5.9464083990615896E-3</v>
      </c>
      <c r="M267">
        <v>2.7322546709161961</v>
      </c>
      <c r="N267">
        <v>7.7979288584627939E-3</v>
      </c>
      <c r="O267">
        <v>2.0859510034504707</v>
      </c>
      <c r="P267">
        <v>0.63714118771618999</v>
      </c>
      <c r="Q267">
        <v>7.5838026780596385E-3</v>
      </c>
      <c r="R267">
        <v>9.1348432064541837E-2</v>
      </c>
      <c r="S267">
        <v>5.5002521580635744E-5</v>
      </c>
      <c r="T267">
        <v>9.1348432064542476E-2</v>
      </c>
      <c r="U267">
        <v>1.3170931102030838</v>
      </c>
      <c r="V267">
        <v>0.3930001235511098</v>
      </c>
      <c r="W267">
        <v>0.17977915335324376</v>
      </c>
      <c r="X267">
        <v>0.46256151476292762</v>
      </c>
      <c r="Y267">
        <v>0.23697194739581007</v>
      </c>
      <c r="Z267">
        <v>0.22527272192439016</v>
      </c>
    </row>
    <row r="268" spans="1:26" x14ac:dyDescent="0.2">
      <c r="A268" s="17">
        <v>11076</v>
      </c>
      <c r="B268" s="17" t="s">
        <v>401</v>
      </c>
      <c r="C268" s="17" t="s">
        <v>400</v>
      </c>
      <c r="D268" s="72">
        <v>44284</v>
      </c>
      <c r="F268" s="17">
        <v>4.7370000000000002E-2</v>
      </c>
      <c r="G268" s="74">
        <v>0.10237000000000052</v>
      </c>
      <c r="H268" t="s">
        <v>395</v>
      </c>
      <c r="I268">
        <v>9.9997091097172343E-3</v>
      </c>
      <c r="J268">
        <v>0.55302075412500706</v>
      </c>
      <c r="K268">
        <v>7.1451312792073238E-3</v>
      </c>
      <c r="L268">
        <v>5.6731619392223799E-3</v>
      </c>
      <c r="M268">
        <v>5.5163510692374862</v>
      </c>
      <c r="N268">
        <v>8.2164733529717614E-3</v>
      </c>
      <c r="O268">
        <v>4.7543298885034693</v>
      </c>
      <c r="P268">
        <v>0.56291865689398957</v>
      </c>
      <c r="Q268">
        <v>8.6148290315614159E-3</v>
      </c>
      <c r="R268">
        <v>6.2435388020615476E-2</v>
      </c>
      <c r="S268">
        <v>6.2480175162360431E-5</v>
      </c>
      <c r="T268">
        <v>6.2435388020615636E-2</v>
      </c>
      <c r="U268">
        <v>0.34438524895980666</v>
      </c>
      <c r="V268">
        <v>0.40697063010581813</v>
      </c>
      <c r="W268">
        <v>1.3375685921537572E-3</v>
      </c>
      <c r="X268">
        <v>0.27399997553043276</v>
      </c>
      <c r="Y268">
        <v>4.6051094456111739E-4</v>
      </c>
      <c r="Z268">
        <v>0.26463868808637631</v>
      </c>
    </row>
    <row r="269" spans="1:26" x14ac:dyDescent="0.2">
      <c r="A269" s="13">
        <v>10815</v>
      </c>
      <c r="B269" s="13" t="s">
        <v>79</v>
      </c>
      <c r="C269" s="13" t="s">
        <v>72</v>
      </c>
      <c r="D269" s="14">
        <v>44284</v>
      </c>
      <c r="E269" s="15"/>
      <c r="F269" s="16">
        <v>1.10995</v>
      </c>
      <c r="G269" s="16">
        <v>10.349080000000001</v>
      </c>
      <c r="H269" t="s">
        <v>342</v>
      </c>
      <c r="I269">
        <v>9.866998793203097E-3</v>
      </c>
      <c r="J269">
        <v>0.44105836820423955</v>
      </c>
      <c r="K269">
        <v>7.1418105010401731E-3</v>
      </c>
      <c r="L269">
        <v>1.5662916359890477E-2</v>
      </c>
      <c r="M269">
        <v>2.7318742685693067</v>
      </c>
      <c r="N269">
        <v>7.7241906823830638E-3</v>
      </c>
      <c r="O269">
        <v>2.0990741764517242</v>
      </c>
      <c r="P269">
        <v>0.43462587823037135</v>
      </c>
      <c r="Q269">
        <v>7.5765086491159884E-3</v>
      </c>
      <c r="R269">
        <v>0.10223311118328884</v>
      </c>
      <c r="S269">
        <v>5.4949620680992949E-5</v>
      </c>
      <c r="T269">
        <v>0.10223311118328757</v>
      </c>
      <c r="U269">
        <v>1.3163302455724863</v>
      </c>
      <c r="V269">
        <v>0.27755018737853271</v>
      </c>
      <c r="W269">
        <v>0.17927430073790493</v>
      </c>
      <c r="X269">
        <v>0.45787903173617239</v>
      </c>
      <c r="Y269">
        <v>0.23571018485698311</v>
      </c>
      <c r="Z269">
        <v>0.3227916702375222</v>
      </c>
    </row>
    <row r="270" spans="1:26" x14ac:dyDescent="0.2">
      <c r="A270" s="17">
        <v>11077</v>
      </c>
      <c r="B270" s="17" t="s">
        <v>402</v>
      </c>
      <c r="C270" s="17" t="s">
        <v>400</v>
      </c>
      <c r="D270" s="72">
        <v>44284</v>
      </c>
      <c r="F270" s="17">
        <v>5.9200000000000003E-2</v>
      </c>
      <c r="G270" s="74">
        <v>0.10400000000000098</v>
      </c>
      <c r="H270" t="s">
        <v>396</v>
      </c>
      <c r="I270">
        <v>9.9061438677944605E-3</v>
      </c>
      <c r="J270">
        <v>0.46951691566682807</v>
      </c>
      <c r="K270">
        <v>7.1367227667688245E-3</v>
      </c>
      <c r="L270">
        <v>6.6452916197390355E-3</v>
      </c>
      <c r="M270">
        <v>5.238702674592064</v>
      </c>
      <c r="N270">
        <v>7.9046922302715948E-3</v>
      </c>
      <c r="O270">
        <v>4.5648892314822929</v>
      </c>
      <c r="P270">
        <v>0.45923307543143699</v>
      </c>
      <c r="Q270">
        <v>8.628226763609621E-3</v>
      </c>
      <c r="R270">
        <v>6.3064856547268067E-2</v>
      </c>
      <c r="S270">
        <v>6.2577343967694016E-5</v>
      </c>
      <c r="T270">
        <v>6.306485654726883E-2</v>
      </c>
      <c r="U270">
        <v>0.29307282930869905</v>
      </c>
      <c r="V270">
        <v>0.3527798785538277</v>
      </c>
      <c r="W270">
        <v>1.0414540174743406E-3</v>
      </c>
      <c r="X270">
        <v>0.27128394761003044</v>
      </c>
      <c r="Y270">
        <v>3.0588547195440063E-4</v>
      </c>
      <c r="Z270">
        <v>0.31417163691130595</v>
      </c>
    </row>
    <row r="271" spans="1:26" x14ac:dyDescent="0.2">
      <c r="A271" s="13">
        <v>10815</v>
      </c>
      <c r="B271" s="13" t="s">
        <v>79</v>
      </c>
      <c r="C271" s="13" t="s">
        <v>72</v>
      </c>
      <c r="D271" s="14">
        <v>44284</v>
      </c>
      <c r="E271" s="15"/>
      <c r="F271" s="16">
        <v>1.10995</v>
      </c>
      <c r="G271" s="16">
        <v>10.349080000000001</v>
      </c>
      <c r="H271" t="s">
        <v>344</v>
      </c>
      <c r="I271">
        <v>9.9708573272577379E-3</v>
      </c>
      <c r="J271">
        <v>0.49826812003555987</v>
      </c>
      <c r="K271">
        <v>7.1337126958657335E-3</v>
      </c>
      <c r="L271">
        <v>1.2040590937185274E-2</v>
      </c>
      <c r="M271">
        <v>2.7320068583264394</v>
      </c>
      <c r="N271">
        <v>6.8910828820837973E-3</v>
      </c>
      <c r="O271">
        <v>2.0784215077031964</v>
      </c>
      <c r="P271">
        <v>0.48494914487332474</v>
      </c>
      <c r="Q271">
        <v>7.5789848549248553E-3</v>
      </c>
      <c r="R271">
        <v>0.13422416108678767</v>
      </c>
      <c r="S271">
        <v>5.4967579687736924E-5</v>
      </c>
      <c r="T271">
        <v>0.13422416108678631</v>
      </c>
      <c r="U271">
        <v>1.318724595986801</v>
      </c>
      <c r="V271">
        <v>0.41454965096941909</v>
      </c>
      <c r="W271">
        <v>0.1819079093909366</v>
      </c>
      <c r="X271">
        <v>0.45270839004469776</v>
      </c>
      <c r="Y271">
        <v>0.2397722439326902</v>
      </c>
      <c r="Z271">
        <v>0.28018968117051712</v>
      </c>
    </row>
    <row r="272" spans="1:26" x14ac:dyDescent="0.2">
      <c r="A272" s="17">
        <v>11078</v>
      </c>
      <c r="B272" s="17" t="s">
        <v>403</v>
      </c>
      <c r="C272" s="17" t="s">
        <v>400</v>
      </c>
      <c r="D272" s="72">
        <v>44284</v>
      </c>
      <c r="F272" s="17">
        <v>6.139E-2</v>
      </c>
      <c r="G272" s="74">
        <v>0.10102999999999973</v>
      </c>
      <c r="H272" t="s">
        <v>397</v>
      </c>
      <c r="I272">
        <v>9.7567588271377063E-3</v>
      </c>
      <c r="J272">
        <v>0.41556486877155224</v>
      </c>
      <c r="K272">
        <v>7.1405967437253226E-3</v>
      </c>
      <c r="L272">
        <v>7.1860670618267113E-3</v>
      </c>
      <c r="M272">
        <v>4.1357815344481264</v>
      </c>
      <c r="N272">
        <v>6.7395024428709791E-3</v>
      </c>
      <c r="O272">
        <v>3.666678102226903</v>
      </c>
      <c r="P272">
        <v>0.44001896363778215</v>
      </c>
      <c r="Q272">
        <v>8.6582817186217666E-3</v>
      </c>
      <c r="R272">
        <v>6.6767153860062572E-2</v>
      </c>
      <c r="S272">
        <v>6.2795321462868448E-5</v>
      </c>
      <c r="T272">
        <v>6.6767153860062267E-2</v>
      </c>
      <c r="U272">
        <v>0.19596189370627184</v>
      </c>
      <c r="V272">
        <v>0.44312264093939568</v>
      </c>
      <c r="W272">
        <v>9.3404580527427759E-4</v>
      </c>
      <c r="X272">
        <v>0.30299454868498432</v>
      </c>
      <c r="Y272">
        <v>1.8339699040759305E-4</v>
      </c>
      <c r="Z272">
        <v>0.26604873339981383</v>
      </c>
    </row>
    <row r="273" spans="1:26" x14ac:dyDescent="0.2">
      <c r="A273" s="13">
        <v>10815</v>
      </c>
      <c r="B273" s="13" t="s">
        <v>79</v>
      </c>
      <c r="C273" s="13" t="s">
        <v>72</v>
      </c>
      <c r="D273" s="14">
        <v>44284</v>
      </c>
      <c r="E273" s="15"/>
      <c r="F273" s="16">
        <v>1.10995</v>
      </c>
      <c r="G273" s="16">
        <v>10.349080000000001</v>
      </c>
      <c r="H273" t="s">
        <v>346</v>
      </c>
      <c r="I273">
        <v>9.8616306794686859E-3</v>
      </c>
      <c r="J273">
        <v>0.4268081432346732</v>
      </c>
      <c r="K273">
        <v>7.1334145044771079E-3</v>
      </c>
      <c r="L273">
        <v>6.8592494931241166E-3</v>
      </c>
      <c r="M273">
        <v>2.7321734793402785</v>
      </c>
      <c r="N273">
        <v>9.5658659234676251E-3</v>
      </c>
      <c r="O273">
        <v>2.1005753019143616</v>
      </c>
      <c r="P273">
        <v>0.45302404548776865</v>
      </c>
      <c r="Q273">
        <v>7.5786833712534526E-3</v>
      </c>
      <c r="R273">
        <v>0.11125004483416054</v>
      </c>
      <c r="S273">
        <v>5.4965393137948329E-5</v>
      </c>
      <c r="T273">
        <v>0.11125004483416105</v>
      </c>
      <c r="U273">
        <v>1.3184466751054751</v>
      </c>
      <c r="V273">
        <v>0.27180606326709456</v>
      </c>
      <c r="W273">
        <v>0.18198639584195514</v>
      </c>
      <c r="X273">
        <v>0.41982354102488062</v>
      </c>
      <c r="Y273">
        <v>0.23956129761123074</v>
      </c>
      <c r="Z273">
        <v>0.24639784147861016</v>
      </c>
    </row>
    <row r="274" spans="1:26" x14ac:dyDescent="0.2">
      <c r="A274" s="17">
        <v>11080</v>
      </c>
      <c r="B274" s="17" t="s">
        <v>405</v>
      </c>
      <c r="C274" s="17" t="s">
        <v>400</v>
      </c>
      <c r="D274" s="72">
        <v>44284</v>
      </c>
      <c r="F274" s="17">
        <v>4.6829999999999997E-2</v>
      </c>
      <c r="G274" s="74">
        <v>0.1039500000000011</v>
      </c>
      <c r="H274" t="s">
        <v>398</v>
      </c>
      <c r="I274">
        <v>1.0007679016324402E-2</v>
      </c>
      <c r="J274">
        <v>0.33596800587381537</v>
      </c>
      <c r="K274">
        <v>7.1315298397398473E-3</v>
      </c>
      <c r="L274">
        <v>7.885393719485911E-3</v>
      </c>
      <c r="M274">
        <v>1.6165027783353492</v>
      </c>
      <c r="N274">
        <v>7.8991601276478789E-3</v>
      </c>
      <c r="O274">
        <v>1.393528156902448</v>
      </c>
      <c r="P274">
        <v>0.34235059571116944</v>
      </c>
      <c r="Q274">
        <v>8.6337033176704294E-3</v>
      </c>
      <c r="R274">
        <v>0.14665312128359378</v>
      </c>
      <c r="S274">
        <v>6.2617063392856367E-5</v>
      </c>
      <c r="T274">
        <v>0.14665312128359381</v>
      </c>
      <c r="U274">
        <v>5.2259868401104255E-2</v>
      </c>
      <c r="V274">
        <v>0.54254406924847065</v>
      </c>
      <c r="W274">
        <v>0.71674560146126776</v>
      </c>
      <c r="X274">
        <v>1.2851017973079566</v>
      </c>
      <c r="Y274">
        <v>3.7395085311035726E-2</v>
      </c>
      <c r="Z274">
        <v>1.4022765941857835</v>
      </c>
    </row>
    <row r="275" spans="1:26" x14ac:dyDescent="0.2">
      <c r="A275" s="13">
        <v>10815</v>
      </c>
      <c r="B275" s="13" t="s">
        <v>79</v>
      </c>
      <c r="C275" s="13" t="s">
        <v>72</v>
      </c>
      <c r="D275" s="14">
        <v>44284</v>
      </c>
      <c r="E275" s="15"/>
      <c r="F275" s="16">
        <v>1.10995</v>
      </c>
      <c r="G275" s="16">
        <v>10.349080000000001</v>
      </c>
      <c r="H275" t="s">
        <v>346</v>
      </c>
      <c r="I275">
        <v>9.8616306794686859E-3</v>
      </c>
      <c r="J275">
        <v>0.4268081432346732</v>
      </c>
      <c r="K275">
        <v>7.1334145044771079E-3</v>
      </c>
      <c r="L275">
        <v>6.8592494931241166E-3</v>
      </c>
      <c r="M275">
        <v>2.7321734793402785</v>
      </c>
      <c r="N275">
        <v>9.5658659234676251E-3</v>
      </c>
      <c r="O275">
        <v>2.1005753019143616</v>
      </c>
      <c r="P275">
        <v>0.45302404548776865</v>
      </c>
      <c r="Q275">
        <v>7.5786833712534526E-3</v>
      </c>
      <c r="R275">
        <v>0.11125004483416054</v>
      </c>
      <c r="S275">
        <v>5.4965393137948329E-5</v>
      </c>
      <c r="T275">
        <v>0.11125004483416105</v>
      </c>
      <c r="U275">
        <v>1.3184466751054751</v>
      </c>
      <c r="V275">
        <v>0.27180606326709456</v>
      </c>
      <c r="W275">
        <v>0.18198639584195514</v>
      </c>
      <c r="X275">
        <v>0.41982354102488062</v>
      </c>
      <c r="Y275">
        <v>0.23956129761123074</v>
      </c>
      <c r="Z275">
        <v>0.24639784147861016</v>
      </c>
    </row>
    <row r="277" spans="1:26" x14ac:dyDescent="0.2">
      <c r="A277" s="13">
        <v>10815</v>
      </c>
      <c r="B277" s="13" t="s">
        <v>79</v>
      </c>
      <c r="C277" s="13" t="s">
        <v>72</v>
      </c>
      <c r="D277" s="14">
        <v>44285</v>
      </c>
      <c r="E277" s="15"/>
      <c r="F277" s="16">
        <v>1.10995</v>
      </c>
      <c r="G277" s="16">
        <v>10.349080000000001</v>
      </c>
      <c r="H277" t="s">
        <v>338</v>
      </c>
      <c r="I277">
        <v>1.0083853694983247E-2</v>
      </c>
      <c r="J277">
        <v>0.8910883892657302</v>
      </c>
      <c r="K277">
        <v>7.1656483514607192E-3</v>
      </c>
      <c r="L277">
        <v>3.1785220625241348E-2</v>
      </c>
      <c r="M277">
        <v>2.7324920274643945</v>
      </c>
      <c r="N277">
        <v>1.32537498639742E-2</v>
      </c>
      <c r="O277">
        <v>2.0538294537272965</v>
      </c>
      <c r="P277">
        <v>0.87318283821873399</v>
      </c>
      <c r="Q277">
        <v>7.5644617091308198E-3</v>
      </c>
      <c r="R277">
        <v>0.19644118589040491</v>
      </c>
      <c r="S277">
        <v>5.4862248671904172E-5</v>
      </c>
      <c r="T277">
        <v>0.19644118589040549</v>
      </c>
      <c r="U277">
        <v>1.3122318410440741</v>
      </c>
      <c r="V277">
        <v>0.50922375402920994</v>
      </c>
      <c r="W277">
        <v>0.17312189064516698</v>
      </c>
      <c r="X277">
        <v>0.89253288294680633</v>
      </c>
      <c r="Y277">
        <v>0.22778928765434256</v>
      </c>
      <c r="Z277">
        <v>0.63656172203850392</v>
      </c>
    </row>
    <row r="278" spans="1:26" x14ac:dyDescent="0.2">
      <c r="A278" s="17">
        <v>11079</v>
      </c>
      <c r="B278" s="17" t="s">
        <v>404</v>
      </c>
      <c r="C278" s="17" t="s">
        <v>400</v>
      </c>
      <c r="D278" s="72">
        <v>44285</v>
      </c>
      <c r="F278" s="17">
        <v>4.0169999999999997E-2</v>
      </c>
      <c r="G278" s="74">
        <v>9.8990000000000578E-2</v>
      </c>
      <c r="H278" t="s">
        <v>415</v>
      </c>
      <c r="I278">
        <v>9.9044829704647373E-3</v>
      </c>
      <c r="J278">
        <v>0.62590260557957889</v>
      </c>
      <c r="K278">
        <v>7.1583285474376883E-3</v>
      </c>
      <c r="L278">
        <v>9.7954337599643598E-3</v>
      </c>
      <c r="M278">
        <v>1.0967099060444416</v>
      </c>
      <c r="N278">
        <v>9.3982500983246439E-3</v>
      </c>
      <c r="O278">
        <v>0.95740953364860948</v>
      </c>
      <c r="P278">
        <v>0.69390500423240864</v>
      </c>
      <c r="Q278">
        <v>8.648688198909283E-3</v>
      </c>
      <c r="R278">
        <v>0.28209817982391605</v>
      </c>
      <c r="S278">
        <v>6.2725743205440095E-5</v>
      </c>
      <c r="T278">
        <v>0.2820981798239165</v>
      </c>
      <c r="U278">
        <v>4.1138840216207659E-2</v>
      </c>
      <c r="V278">
        <v>0.74574828287833717</v>
      </c>
      <c r="W278">
        <v>0.43861509662475279</v>
      </c>
      <c r="X278">
        <v>0.84971906698546262</v>
      </c>
      <c r="Y278">
        <v>1.7932462193179413E-2</v>
      </c>
      <c r="Z278">
        <v>1.1478227385485016</v>
      </c>
    </row>
    <row r="279" spans="1:26" x14ac:dyDescent="0.2">
      <c r="A279" s="13">
        <v>10815</v>
      </c>
      <c r="B279" s="13" t="s">
        <v>79</v>
      </c>
      <c r="C279" s="13" t="s">
        <v>72</v>
      </c>
      <c r="D279" s="14">
        <v>44285</v>
      </c>
      <c r="E279" s="15"/>
      <c r="F279" s="16">
        <v>1.10995</v>
      </c>
      <c r="G279" s="16">
        <v>10.349080000000001</v>
      </c>
      <c r="H279" t="s">
        <v>340</v>
      </c>
      <c r="I279">
        <v>9.8618182749483363E-3</v>
      </c>
      <c r="J279">
        <v>1.0208081078309041</v>
      </c>
      <c r="K279">
        <v>7.1696366661754725E-3</v>
      </c>
      <c r="L279">
        <v>8.0288479069142334E-3</v>
      </c>
      <c r="M279">
        <v>2.7321795790901615</v>
      </c>
      <c r="N279">
        <v>1.6249516865897019E-2</v>
      </c>
      <c r="O279">
        <v>2.1058094711894815</v>
      </c>
      <c r="P279">
        <v>1.030805930585132</v>
      </c>
      <c r="Q279">
        <v>7.5943136659857875E-3</v>
      </c>
      <c r="R279">
        <v>0.19647114979683827</v>
      </c>
      <c r="S279">
        <v>5.5078753896372857E-5</v>
      </c>
      <c r="T279">
        <v>0.1964711497968385</v>
      </c>
      <c r="U279">
        <v>1.3226346891569878</v>
      </c>
      <c r="V279">
        <v>0.41682676143392955</v>
      </c>
      <c r="W279">
        <v>0.16924776749796991</v>
      </c>
      <c r="X279">
        <v>0.79543895924719088</v>
      </c>
      <c r="Y279">
        <v>0.22333755611248379</v>
      </c>
      <c r="Z279">
        <v>0.46893699580423776</v>
      </c>
    </row>
    <row r="280" spans="1:26" x14ac:dyDescent="0.2">
      <c r="A280" s="17">
        <v>11081</v>
      </c>
      <c r="B280" s="17" t="s">
        <v>406</v>
      </c>
      <c r="C280" s="17" t="s">
        <v>400</v>
      </c>
      <c r="D280" s="72">
        <v>44285</v>
      </c>
      <c r="F280" s="17">
        <v>4.199E-2</v>
      </c>
      <c r="G280" s="74">
        <v>0.1027300000000011</v>
      </c>
      <c r="H280" t="s">
        <v>416</v>
      </c>
      <c r="I280">
        <v>1.0029814860685982E-2</v>
      </c>
      <c r="J280">
        <v>0.70525375272986035</v>
      </c>
      <c r="K280">
        <v>7.1486818945619745E-3</v>
      </c>
      <c r="L280">
        <v>7.0469157689120937E-3</v>
      </c>
      <c r="M280">
        <v>1.5835924796992289</v>
      </c>
      <c r="N280">
        <v>9.7708656273377426E-3</v>
      </c>
      <c r="O280">
        <v>1.3628226343601941</v>
      </c>
      <c r="P280">
        <v>0.64180472171841962</v>
      </c>
      <c r="Q280">
        <v>8.6534955623837947E-3</v>
      </c>
      <c r="R280">
        <v>0.21133048546738387</v>
      </c>
      <c r="S280">
        <v>6.2760609238283739E-5</v>
      </c>
      <c r="T280">
        <v>0.21133048546738459</v>
      </c>
      <c r="U280">
        <v>6.6561150630266783E-2</v>
      </c>
      <c r="V280">
        <v>0.55630529735487733</v>
      </c>
      <c r="W280">
        <v>0.52996581316090019</v>
      </c>
      <c r="X280">
        <v>0.84000365686733236</v>
      </c>
      <c r="Y280">
        <v>3.5069880130835326E-2</v>
      </c>
      <c r="Z280">
        <v>0.9027828534370026</v>
      </c>
    </row>
    <row r="281" spans="1:26" x14ac:dyDescent="0.2">
      <c r="A281" s="13">
        <v>10815</v>
      </c>
      <c r="B281" s="13" t="s">
        <v>79</v>
      </c>
      <c r="C281" s="13" t="s">
        <v>72</v>
      </c>
      <c r="D281" s="14">
        <v>44285</v>
      </c>
      <c r="E281" s="15"/>
      <c r="F281" s="16">
        <v>1.10995</v>
      </c>
      <c r="G281" s="16">
        <v>10.349080000000001</v>
      </c>
      <c r="H281" t="s">
        <v>342</v>
      </c>
      <c r="I281">
        <v>9.9087856283566131E-3</v>
      </c>
      <c r="J281">
        <v>1.5233354833807375</v>
      </c>
      <c r="K281">
        <v>7.1683226710951529E-3</v>
      </c>
      <c r="L281">
        <v>1.1017504358448629E-2</v>
      </c>
      <c r="M281">
        <v>2.7320564381427133</v>
      </c>
      <c r="N281">
        <v>1.7356434625107196E-2</v>
      </c>
      <c r="O281">
        <v>2.0940570141020736</v>
      </c>
      <c r="P281">
        <v>1.5684787899908001</v>
      </c>
      <c r="Q281">
        <v>7.572188267506867E-3</v>
      </c>
      <c r="R281">
        <v>0.20769331952748663</v>
      </c>
      <c r="S281">
        <v>5.4918286547870032E-5</v>
      </c>
      <c r="T281">
        <v>0.20769331952748743</v>
      </c>
      <c r="U281">
        <v>1.317017291032279</v>
      </c>
      <c r="V281">
        <v>0.39885636203487668</v>
      </c>
      <c r="W281">
        <v>0.17211663838420396</v>
      </c>
      <c r="X281">
        <v>0.77543759777496257</v>
      </c>
      <c r="Y281">
        <v>0.22680887596219246</v>
      </c>
      <c r="Z281">
        <v>0.65667129581003969</v>
      </c>
    </row>
    <row r="282" spans="1:26" x14ac:dyDescent="0.2">
      <c r="A282" s="17">
        <v>11082</v>
      </c>
      <c r="B282" s="17" t="s">
        <v>407</v>
      </c>
      <c r="C282" s="17" t="s">
        <v>400</v>
      </c>
      <c r="D282" s="72">
        <v>44285</v>
      </c>
      <c r="F282" s="17">
        <v>4.0529999999999997E-2</v>
      </c>
      <c r="G282" s="74">
        <v>0.10436000000000156</v>
      </c>
      <c r="H282" t="s">
        <v>417</v>
      </c>
      <c r="I282">
        <v>1.0019146302246025E-2</v>
      </c>
      <c r="J282">
        <v>0.62483079599879798</v>
      </c>
      <c r="K282">
        <v>7.1535440954908049E-3</v>
      </c>
      <c r="L282">
        <v>6.3770424842629235E-3</v>
      </c>
      <c r="M282">
        <v>2.2749096976514811</v>
      </c>
      <c r="N282">
        <v>8.5384865121639498E-3</v>
      </c>
      <c r="O282">
        <v>1.9608274210683214</v>
      </c>
      <c r="P282">
        <v>0.65892177196291546</v>
      </c>
      <c r="Q282">
        <v>8.6459497060867255E-3</v>
      </c>
      <c r="R282">
        <v>0.12930815429726636</v>
      </c>
      <c r="S282">
        <v>6.2705881927798047E-5</v>
      </c>
      <c r="T282">
        <v>0.12930815429726589</v>
      </c>
      <c r="U282">
        <v>9.8795649193153895E-2</v>
      </c>
      <c r="V282">
        <v>0.50834662788332141</v>
      </c>
      <c r="W282">
        <v>0.63508651949864414</v>
      </c>
      <c r="X282">
        <v>0.86660325816274308</v>
      </c>
      <c r="Y282">
        <v>6.2643766834852399E-2</v>
      </c>
      <c r="Z282">
        <v>0.81821384099478256</v>
      </c>
    </row>
    <row r="283" spans="1:26" x14ac:dyDescent="0.2">
      <c r="A283" s="13">
        <v>10815</v>
      </c>
      <c r="B283" s="13" t="s">
        <v>79</v>
      </c>
      <c r="C283" s="13" t="s">
        <v>72</v>
      </c>
      <c r="D283" s="14">
        <v>44285</v>
      </c>
      <c r="E283" s="15"/>
      <c r="F283" s="16">
        <v>1.10995</v>
      </c>
      <c r="G283" s="16">
        <v>10.349080000000001</v>
      </c>
      <c r="H283" t="s">
        <v>344</v>
      </c>
      <c r="I283">
        <v>9.9972088060383702E-3</v>
      </c>
      <c r="J283">
        <v>1.2859930241772521</v>
      </c>
      <c r="K283">
        <v>7.1680720439304957E-3</v>
      </c>
      <c r="L283">
        <v>6.0732731538179537E-3</v>
      </c>
      <c r="M283">
        <v>2.7325100555254833</v>
      </c>
      <c r="N283">
        <v>1.7901189510184469E-2</v>
      </c>
      <c r="O283">
        <v>2.0787746002995124</v>
      </c>
      <c r="P283">
        <v>1.3239356746853528</v>
      </c>
      <c r="Q283">
        <v>7.5889262677812487E-3</v>
      </c>
      <c r="R283">
        <v>0.24222977827458295</v>
      </c>
      <c r="S283">
        <v>5.5039681085727888E-5</v>
      </c>
      <c r="T283">
        <v>0.24222977827458389</v>
      </c>
      <c r="U283">
        <v>1.3178940985296066</v>
      </c>
      <c r="V283">
        <v>0.4030856385048005</v>
      </c>
      <c r="W283">
        <v>0.16994291039866716</v>
      </c>
      <c r="X283">
        <v>0.73097721128029891</v>
      </c>
      <c r="Y283">
        <v>0.22385307983799088</v>
      </c>
      <c r="Z283">
        <v>0.61308901324060816</v>
      </c>
    </row>
    <row r="284" spans="1:26" x14ac:dyDescent="0.2">
      <c r="A284" s="17">
        <v>11083</v>
      </c>
      <c r="B284" s="17" t="s">
        <v>408</v>
      </c>
      <c r="C284" s="17" t="s">
        <v>400</v>
      </c>
      <c r="D284" s="72">
        <v>44285</v>
      </c>
      <c r="F284" s="17">
        <v>3.4180000000000002E-2</v>
      </c>
      <c r="G284" s="74">
        <v>0.10153999999999996</v>
      </c>
      <c r="H284" t="s">
        <v>418</v>
      </c>
      <c r="I284">
        <v>1.0091037701358723E-2</v>
      </c>
      <c r="J284">
        <v>0.50046268268373928</v>
      </c>
      <c r="K284">
        <v>7.1477584701004383E-3</v>
      </c>
      <c r="L284">
        <v>5.717112601829449E-3</v>
      </c>
      <c r="M284">
        <v>1.827779835039306</v>
      </c>
      <c r="N284">
        <v>8.0626324542485001E-3</v>
      </c>
      <c r="O284">
        <v>1.5529215326486889</v>
      </c>
      <c r="P284">
        <v>0.49015317120512536</v>
      </c>
      <c r="Q284">
        <v>8.5707424908657657E-3</v>
      </c>
      <c r="R284">
        <v>9.7141707225783303E-2</v>
      </c>
      <c r="S284">
        <v>6.2160431755396098E-5</v>
      </c>
      <c r="T284">
        <v>9.714170722578358E-2</v>
      </c>
      <c r="U284">
        <v>0.14976740561362073</v>
      </c>
      <c r="V284">
        <v>0.38546696203427117</v>
      </c>
      <c r="W284">
        <v>0.10776800299841553</v>
      </c>
      <c r="X284">
        <v>0.31723702309045432</v>
      </c>
      <c r="Y284">
        <v>1.6181787629264487E-2</v>
      </c>
      <c r="Z284">
        <v>0.30046544654251162</v>
      </c>
    </row>
    <row r="285" spans="1:26" x14ac:dyDescent="0.2">
      <c r="A285" s="13">
        <v>10815</v>
      </c>
      <c r="B285" s="13" t="s">
        <v>79</v>
      </c>
      <c r="C285" s="13" t="s">
        <v>72</v>
      </c>
      <c r="D285" s="14">
        <v>44285</v>
      </c>
      <c r="E285" s="15"/>
      <c r="F285" s="16">
        <v>1.10995</v>
      </c>
      <c r="G285" s="16">
        <v>10.349080000000001</v>
      </c>
      <c r="H285" t="s">
        <v>346</v>
      </c>
      <c r="I285">
        <v>9.9608873773590952E-3</v>
      </c>
      <c r="J285">
        <v>0.79480043055758132</v>
      </c>
      <c r="K285">
        <v>7.1465532281753501E-3</v>
      </c>
      <c r="L285">
        <v>9.2650319896867509E-3</v>
      </c>
      <c r="M285">
        <v>2.7321149854592068</v>
      </c>
      <c r="N285">
        <v>1.4829410904669259E-2</v>
      </c>
      <c r="O285">
        <v>2.0772506472146834</v>
      </c>
      <c r="P285">
        <v>0.81258818577781156</v>
      </c>
      <c r="Q285">
        <v>7.5781383195120547E-3</v>
      </c>
      <c r="R285">
        <v>0.22134573455880641</v>
      </c>
      <c r="S285">
        <v>5.496144007885101E-5</v>
      </c>
      <c r="T285">
        <v>0.22134573455880657</v>
      </c>
      <c r="U285">
        <v>1.3210262961936474</v>
      </c>
      <c r="V285">
        <v>0.4923241066259666</v>
      </c>
      <c r="W285">
        <v>0.17735269243356988</v>
      </c>
      <c r="X285">
        <v>0.82725214209809461</v>
      </c>
      <c r="Y285">
        <v>0.23376667389853603</v>
      </c>
      <c r="Z285">
        <v>0.65735762426941857</v>
      </c>
    </row>
    <row r="286" spans="1:26" x14ac:dyDescent="0.2">
      <c r="A286" s="17">
        <v>11084</v>
      </c>
      <c r="B286" s="17" t="s">
        <v>409</v>
      </c>
      <c r="C286" s="17" t="s">
        <v>400</v>
      </c>
      <c r="D286" s="72">
        <v>44285</v>
      </c>
      <c r="F286" s="17">
        <v>3.857E-2</v>
      </c>
      <c r="G286" s="74">
        <v>0.10469999999999935</v>
      </c>
      <c r="H286" t="s">
        <v>419</v>
      </c>
      <c r="I286">
        <v>1.0042389706801656E-2</v>
      </c>
      <c r="J286">
        <v>0.44966197094401833</v>
      </c>
      <c r="K286">
        <v>7.1540784284484134E-3</v>
      </c>
      <c r="L286">
        <v>5.0532828814388777E-3</v>
      </c>
      <c r="M286">
        <v>3.2308255081296351</v>
      </c>
      <c r="N286">
        <v>7.5119562788354462E-3</v>
      </c>
      <c r="O286">
        <v>2.7470716935487101</v>
      </c>
      <c r="P286">
        <v>0.47638210409493353</v>
      </c>
      <c r="Q286">
        <v>8.5301933539024908E-3</v>
      </c>
      <c r="R286">
        <v>7.1305066579515061E-2</v>
      </c>
      <c r="S286">
        <v>6.1866343832018108E-5</v>
      </c>
      <c r="T286">
        <v>7.1305066579517642E-2</v>
      </c>
      <c r="U286">
        <v>0.44417053215282071</v>
      </c>
      <c r="V286">
        <v>0.27888782425752201</v>
      </c>
      <c r="W286">
        <v>1.901591909286195E-2</v>
      </c>
      <c r="X286">
        <v>0.23949609619973375</v>
      </c>
      <c r="Y286">
        <v>8.4513656484626713E-3</v>
      </c>
      <c r="Z286">
        <v>0.22118502994214351</v>
      </c>
    </row>
    <row r="287" spans="1:26" x14ac:dyDescent="0.2">
      <c r="A287" s="13">
        <v>10815</v>
      </c>
      <c r="B287" s="13" t="s">
        <v>79</v>
      </c>
      <c r="C287" s="13" t="s">
        <v>72</v>
      </c>
      <c r="D287" s="14">
        <v>44285</v>
      </c>
      <c r="E287" s="15"/>
      <c r="F287" s="16">
        <v>1.10995</v>
      </c>
      <c r="G287" s="16">
        <v>10.349080000000001</v>
      </c>
      <c r="H287" t="s">
        <v>346</v>
      </c>
      <c r="I287">
        <v>9.9608873773590952E-3</v>
      </c>
      <c r="J287">
        <v>0.79480043055758132</v>
      </c>
      <c r="K287">
        <v>7.1465532281753501E-3</v>
      </c>
      <c r="L287">
        <v>9.2650319896867509E-3</v>
      </c>
      <c r="M287">
        <v>2.7321149854592068</v>
      </c>
      <c r="N287">
        <v>1.4829410904669259E-2</v>
      </c>
      <c r="O287">
        <v>2.0772506472146834</v>
      </c>
      <c r="P287">
        <v>0.81258818577781156</v>
      </c>
      <c r="Q287">
        <v>7.5781383195120547E-3</v>
      </c>
      <c r="R287">
        <v>0.22134573455880641</v>
      </c>
      <c r="S287">
        <v>5.496144007885101E-5</v>
      </c>
      <c r="T287">
        <v>0.22134573455880657</v>
      </c>
      <c r="U287">
        <v>1.3210262961936474</v>
      </c>
      <c r="V287">
        <v>0.4923241066259666</v>
      </c>
      <c r="W287">
        <v>0.17735269243356988</v>
      </c>
      <c r="X287">
        <v>0.82725214209809461</v>
      </c>
      <c r="Y287">
        <v>0.23376667389853603</v>
      </c>
      <c r="Z287">
        <v>0.65735762426941857</v>
      </c>
    </row>
    <row r="289" spans="1:26" x14ac:dyDescent="0.2">
      <c r="A289" s="13">
        <v>10815</v>
      </c>
      <c r="B289" s="13" t="s">
        <v>79</v>
      </c>
      <c r="C289" s="13" t="s">
        <v>72</v>
      </c>
      <c r="D289" s="14">
        <v>44286</v>
      </c>
      <c r="E289" s="15"/>
      <c r="F289" s="16">
        <v>1.10995</v>
      </c>
      <c r="G289" s="16">
        <v>10.349080000000001</v>
      </c>
      <c r="H289" t="s">
        <v>338</v>
      </c>
      <c r="I289">
        <v>9.9297568130272563E-3</v>
      </c>
      <c r="J289">
        <v>0.54794079662681305</v>
      </c>
      <c r="K289">
        <v>7.1551279848746296E-3</v>
      </c>
      <c r="L289">
        <v>5.575924581567763E-3</v>
      </c>
      <c r="M289">
        <v>2.732122646093563</v>
      </c>
      <c r="N289">
        <v>9.2586246305862135E-3</v>
      </c>
      <c r="O289">
        <v>2.0816241648067333</v>
      </c>
      <c r="P289">
        <v>0.54506637195528784</v>
      </c>
      <c r="Q289">
        <v>7.562483548672806E-3</v>
      </c>
      <c r="R289">
        <v>0.10945825403336458</v>
      </c>
      <c r="S289">
        <v>5.4847901804257346E-5</v>
      </c>
      <c r="T289">
        <v>0.10945825403336419</v>
      </c>
      <c r="U289">
        <v>1.3234239161341901</v>
      </c>
      <c r="V289">
        <v>0.24346988682921564</v>
      </c>
      <c r="W289">
        <v>0.17344100101349447</v>
      </c>
      <c r="X289">
        <v>0.44697007704926134</v>
      </c>
      <c r="Y289">
        <v>0.22919672698912674</v>
      </c>
      <c r="Z289">
        <v>0.2762102196827711</v>
      </c>
    </row>
    <row r="290" spans="1:26" x14ac:dyDescent="0.2">
      <c r="A290" s="17">
        <v>11085</v>
      </c>
      <c r="B290" s="17" t="s">
        <v>410</v>
      </c>
      <c r="C290" s="17" t="s">
        <v>400</v>
      </c>
      <c r="D290" s="72">
        <v>44286</v>
      </c>
      <c r="F290" s="17">
        <v>4.1239999999999999E-2</v>
      </c>
      <c r="G290" s="74">
        <v>0.10238999999999976</v>
      </c>
      <c r="H290" t="s">
        <v>420</v>
      </c>
      <c r="I290">
        <v>1.0015500788631311E-2</v>
      </c>
      <c r="J290">
        <v>0.40664191562727281</v>
      </c>
      <c r="K290">
        <v>7.1387039275331715E-3</v>
      </c>
      <c r="L290">
        <v>3.8933493759380879E-3</v>
      </c>
      <c r="M290">
        <v>3.8223666425382419</v>
      </c>
      <c r="N290">
        <v>7.8239960484624629E-3</v>
      </c>
      <c r="O290">
        <v>3.282540537557614</v>
      </c>
      <c r="P290">
        <v>0.40784675798759895</v>
      </c>
      <c r="Q290">
        <v>8.6014387266303786E-3</v>
      </c>
      <c r="R290">
        <v>5.3971100784489599E-2</v>
      </c>
      <c r="S290">
        <v>6.2383060223166178E-5</v>
      </c>
      <c r="T290">
        <v>5.3971100784488982E-2</v>
      </c>
      <c r="U290">
        <v>0.21487440547059333</v>
      </c>
      <c r="V290">
        <v>0.47937082361059141</v>
      </c>
      <c r="W290">
        <v>9.7084777432664623E-2</v>
      </c>
      <c r="X290">
        <v>0.29572138546026366</v>
      </c>
      <c r="Y290">
        <v>2.0878220691543981E-2</v>
      </c>
      <c r="Z290">
        <v>0.32387284294852819</v>
      </c>
    </row>
    <row r="291" spans="1:26" x14ac:dyDescent="0.2">
      <c r="A291" s="13">
        <v>10815</v>
      </c>
      <c r="B291" s="13" t="s">
        <v>79</v>
      </c>
      <c r="C291" s="13" t="s">
        <v>72</v>
      </c>
      <c r="D291" s="14">
        <v>44286</v>
      </c>
      <c r="E291" s="15"/>
      <c r="F291" s="16">
        <v>1.10995</v>
      </c>
      <c r="G291" s="16">
        <v>10.349080000000001</v>
      </c>
      <c r="H291" t="s">
        <v>340</v>
      </c>
      <c r="I291">
        <v>9.9275840213847253E-3</v>
      </c>
      <c r="J291">
        <v>0.66375534110087941</v>
      </c>
      <c r="K291">
        <v>7.1627856669105785E-3</v>
      </c>
      <c r="L291">
        <v>5.5109242913212297E-3</v>
      </c>
      <c r="M291">
        <v>2.7324332638130322</v>
      </c>
      <c r="N291">
        <v>9.1313560596738008E-3</v>
      </c>
      <c r="O291">
        <v>2.083453020298085</v>
      </c>
      <c r="P291">
        <v>0.64577420842983912</v>
      </c>
      <c r="Q291">
        <v>7.5577527303977814E-3</v>
      </c>
      <c r="R291">
        <v>0.11151457571080857</v>
      </c>
      <c r="S291">
        <v>5.4813590925492124E-5</v>
      </c>
      <c r="T291">
        <v>0.11151457571080856</v>
      </c>
      <c r="U291">
        <v>1.3185442697195391</v>
      </c>
      <c r="V291">
        <v>0.38552994632867421</v>
      </c>
      <c r="W291">
        <v>0.17087274493763363</v>
      </c>
      <c r="X291">
        <v>0.4666959823531126</v>
      </c>
      <c r="Y291">
        <v>0.22539009752934702</v>
      </c>
      <c r="Z291">
        <v>0.272363390606364</v>
      </c>
    </row>
    <row r="292" spans="1:26" x14ac:dyDescent="0.2">
      <c r="A292" s="17">
        <v>11086</v>
      </c>
      <c r="B292" s="17" t="s">
        <v>411</v>
      </c>
      <c r="C292" s="17" t="s">
        <v>400</v>
      </c>
      <c r="D292" s="72">
        <v>44286</v>
      </c>
      <c r="F292" s="17">
        <v>5.4219999999999997E-2</v>
      </c>
      <c r="G292" s="74">
        <v>0.1</v>
      </c>
      <c r="H292" t="s">
        <v>421</v>
      </c>
      <c r="I292">
        <v>1.0039407134441946E-2</v>
      </c>
      <c r="J292">
        <v>0.53982360061583823</v>
      </c>
      <c r="K292">
        <v>7.1450487404081968E-3</v>
      </c>
      <c r="L292">
        <v>7.8653468179385559E-3</v>
      </c>
      <c r="M292">
        <v>3.2624830979480755</v>
      </c>
      <c r="N292">
        <v>6.240522486273734E-3</v>
      </c>
      <c r="O292">
        <v>2.773633491785882</v>
      </c>
      <c r="P292">
        <v>0.54153294392625584</v>
      </c>
      <c r="Q292">
        <v>8.5319819837430307E-3</v>
      </c>
      <c r="R292">
        <v>7.4075381221845024E-2</v>
      </c>
      <c r="S292">
        <v>6.1879316104053721E-5</v>
      </c>
      <c r="T292">
        <v>7.4075381221845968E-2</v>
      </c>
      <c r="U292">
        <v>0.37241755605872018</v>
      </c>
      <c r="V292">
        <v>0.35249998882783284</v>
      </c>
      <c r="W292">
        <v>5.4073197904356524E-2</v>
      </c>
      <c r="X292">
        <v>0.33619651213389823</v>
      </c>
      <c r="Y292">
        <v>2.0178208429764127E-2</v>
      </c>
      <c r="Z292">
        <v>0.33909390478972223</v>
      </c>
    </row>
    <row r="293" spans="1:26" x14ac:dyDescent="0.2">
      <c r="A293" s="13">
        <v>10815</v>
      </c>
      <c r="B293" s="13" t="s">
        <v>79</v>
      </c>
      <c r="C293" s="13" t="s">
        <v>72</v>
      </c>
      <c r="D293" s="14">
        <v>44286</v>
      </c>
      <c r="E293" s="15"/>
      <c r="F293" s="16">
        <v>1.10995</v>
      </c>
      <c r="G293" s="16">
        <v>10.349080000000001</v>
      </c>
      <c r="H293" t="s">
        <v>342</v>
      </c>
      <c r="I293">
        <v>9.966918501899704E-3</v>
      </c>
      <c r="J293">
        <v>0.62564741757333864</v>
      </c>
      <c r="K293">
        <v>7.1536528735933799E-3</v>
      </c>
      <c r="L293">
        <v>7.9568257143074854E-3</v>
      </c>
      <c r="M293">
        <v>2.7320747760285209</v>
      </c>
      <c r="N293">
        <v>1.0228963998246273E-2</v>
      </c>
      <c r="O293">
        <v>2.0761418201232376</v>
      </c>
      <c r="P293">
        <v>0.5900776458277347</v>
      </c>
      <c r="Q293">
        <v>7.569737668398701E-3</v>
      </c>
      <c r="R293">
        <v>0.11595811543010101</v>
      </c>
      <c r="S293">
        <v>5.4900513257074577E-5</v>
      </c>
      <c r="T293">
        <v>0.11595811543010046</v>
      </c>
      <c r="U293">
        <v>1.3230828787846314</v>
      </c>
      <c r="V293">
        <v>0.24944839338400532</v>
      </c>
      <c r="W293">
        <v>0.17293359973765982</v>
      </c>
      <c r="X293">
        <v>0.41105511834658404</v>
      </c>
      <c r="Y293">
        <v>0.22883819776629019</v>
      </c>
      <c r="Z293">
        <v>0.40151397032578112</v>
      </c>
    </row>
    <row r="294" spans="1:26" x14ac:dyDescent="0.2">
      <c r="A294" s="17">
        <v>11087</v>
      </c>
      <c r="B294" s="17" t="s">
        <v>412</v>
      </c>
      <c r="C294" s="17" t="s">
        <v>400</v>
      </c>
      <c r="D294" s="72">
        <v>44286</v>
      </c>
      <c r="F294" s="17">
        <v>5.858E-2</v>
      </c>
      <c r="G294" s="74">
        <v>9.8559999999999093E-2</v>
      </c>
      <c r="H294" t="s">
        <v>422</v>
      </c>
      <c r="I294">
        <v>9.9756150360966016E-3</v>
      </c>
      <c r="J294">
        <v>0.39218784292358061</v>
      </c>
      <c r="K294">
        <v>7.1483981322630922E-3</v>
      </c>
      <c r="L294">
        <v>5.2260738449473616E-3</v>
      </c>
      <c r="M294">
        <v>5.3666997044359706</v>
      </c>
      <c r="N294">
        <v>1.2241035370977918E-2</v>
      </c>
      <c r="O294">
        <v>4.5842454555112013</v>
      </c>
      <c r="P294">
        <v>0.40964782206173689</v>
      </c>
      <c r="Q294">
        <v>8.5205336212997394E-3</v>
      </c>
      <c r="R294">
        <v>5.5086250252371086E-2</v>
      </c>
      <c r="S294">
        <v>6.1796285356936339E-5</v>
      </c>
      <c r="T294">
        <v>5.5086250252372036E-2</v>
      </c>
      <c r="U294">
        <v>0.62580804750594288</v>
      </c>
      <c r="V294">
        <v>0.21975473415667868</v>
      </c>
      <c r="W294">
        <v>9.6439181019087831E-3</v>
      </c>
      <c r="X294">
        <v>0.17762365083224915</v>
      </c>
      <c r="Y294">
        <v>6.0381849377848865E-3</v>
      </c>
      <c r="Z294">
        <v>0.17032883794696599</v>
      </c>
    </row>
    <row r="295" spans="1:26" x14ac:dyDescent="0.2">
      <c r="A295" s="13">
        <v>10815</v>
      </c>
      <c r="B295" s="13" t="s">
        <v>79</v>
      </c>
      <c r="C295" s="13" t="s">
        <v>72</v>
      </c>
      <c r="D295" s="14">
        <v>44286</v>
      </c>
      <c r="E295" s="15"/>
      <c r="F295" s="16">
        <v>1.10995</v>
      </c>
      <c r="G295" s="16">
        <v>10.349080000000001</v>
      </c>
      <c r="H295" t="s">
        <v>344</v>
      </c>
      <c r="I295">
        <v>9.9425360912268994E-3</v>
      </c>
      <c r="J295">
        <v>0.38910338806483635</v>
      </c>
      <c r="K295">
        <v>7.141313230583912E-3</v>
      </c>
      <c r="L295">
        <v>1.1853110590020527E-2</v>
      </c>
      <c r="M295">
        <v>2.7323183373074738</v>
      </c>
      <c r="N295">
        <v>8.5411196529816893E-3</v>
      </c>
      <c r="O295">
        <v>2.07474349459816</v>
      </c>
      <c r="P295">
        <v>0.4398922917046158</v>
      </c>
      <c r="Q295">
        <v>7.5514938845038515E-3</v>
      </c>
      <c r="R295">
        <v>0.11441251505278287</v>
      </c>
      <c r="S295">
        <v>5.4768197826414444E-5</v>
      </c>
      <c r="T295">
        <v>0.11441251505278219</v>
      </c>
      <c r="U295">
        <v>1.3200396033958284</v>
      </c>
      <c r="V295">
        <v>0.39475093858254184</v>
      </c>
      <c r="W295">
        <v>0.17054522220107673</v>
      </c>
      <c r="X295">
        <v>0.51194718601552469</v>
      </c>
      <c r="Y295">
        <v>0.22436023742637962</v>
      </c>
      <c r="Z295">
        <v>0.26852825002048308</v>
      </c>
    </row>
    <row r="296" spans="1:26" x14ac:dyDescent="0.2">
      <c r="A296" s="17">
        <v>11088</v>
      </c>
      <c r="B296" s="17" t="s">
        <v>413</v>
      </c>
      <c r="C296" s="17" t="s">
        <v>400</v>
      </c>
      <c r="D296" s="72">
        <v>44286</v>
      </c>
      <c r="F296" s="17">
        <v>5.1139999999999998E-2</v>
      </c>
      <c r="G296" s="74">
        <v>9.795000000000087E-2</v>
      </c>
      <c r="H296" t="s">
        <v>423</v>
      </c>
      <c r="I296">
        <v>1.0012776784192575E-2</v>
      </c>
      <c r="J296">
        <v>0.62061870135216113</v>
      </c>
      <c r="K296">
        <v>7.1435592281645895E-3</v>
      </c>
      <c r="L296">
        <v>4.4739251734770653E-3</v>
      </c>
      <c r="M296">
        <v>5.1730398077648339</v>
      </c>
      <c r="N296">
        <v>8.8430682422209108E-3</v>
      </c>
      <c r="O296">
        <v>4.4026861970264646</v>
      </c>
      <c r="P296">
        <v>0.66502871587085266</v>
      </c>
      <c r="Q296">
        <v>8.5219843744457537E-3</v>
      </c>
      <c r="R296">
        <v>6.6618411650197398E-2</v>
      </c>
      <c r="S296">
        <v>6.1806807134019557E-5</v>
      </c>
      <c r="T296">
        <v>6.6618411650198411E-2</v>
      </c>
      <c r="U296">
        <v>0.55006117857115766</v>
      </c>
      <c r="V296">
        <v>0.2415728021666991</v>
      </c>
      <c r="W296">
        <v>1.1291805554653818E-2</v>
      </c>
      <c r="X296">
        <v>0.20115946266141996</v>
      </c>
      <c r="Y296">
        <v>6.2221384793154618E-3</v>
      </c>
      <c r="Z296">
        <v>0.17569952507054273</v>
      </c>
    </row>
    <row r="297" spans="1:26" x14ac:dyDescent="0.2">
      <c r="A297" s="13">
        <v>10815</v>
      </c>
      <c r="B297" s="13" t="s">
        <v>79</v>
      </c>
      <c r="C297" s="13" t="s">
        <v>72</v>
      </c>
      <c r="D297" s="14">
        <v>44286</v>
      </c>
      <c r="E297" s="15"/>
      <c r="F297" s="16">
        <v>1.10995</v>
      </c>
      <c r="G297" s="16">
        <v>10.349080000000001</v>
      </c>
      <c r="H297" t="s">
        <v>346</v>
      </c>
      <c r="I297">
        <v>9.9616648630403773E-3</v>
      </c>
      <c r="J297">
        <v>0.36339140344342652</v>
      </c>
      <c r="K297">
        <v>7.1376784497201202E-3</v>
      </c>
      <c r="L297">
        <v>1.1921483340980806E-2</v>
      </c>
      <c r="M297">
        <v>2.7320883921189449</v>
      </c>
      <c r="N297">
        <v>9.7363246334064221E-3</v>
      </c>
      <c r="O297">
        <v>2.0722014078864919</v>
      </c>
      <c r="P297">
        <v>0.39952327900684625</v>
      </c>
      <c r="Q297">
        <v>7.5604928055570536E-3</v>
      </c>
      <c r="R297">
        <v>0.11694213466082325</v>
      </c>
      <c r="S297">
        <v>5.4833463679238277E-5</v>
      </c>
      <c r="T297">
        <v>0.11694213466082416</v>
      </c>
      <c r="U297">
        <v>1.3162716912997146</v>
      </c>
      <c r="V297">
        <v>0.43517961611230349</v>
      </c>
      <c r="W297">
        <v>0.17151602964684487</v>
      </c>
      <c r="X297">
        <v>0.51971900419104922</v>
      </c>
      <c r="Y297">
        <v>0.22631304429192337</v>
      </c>
      <c r="Z297">
        <v>0.29998132131810296</v>
      </c>
    </row>
    <row r="298" spans="1:26" x14ac:dyDescent="0.2">
      <c r="A298" s="17">
        <v>11089</v>
      </c>
      <c r="B298" s="17" t="s">
        <v>414</v>
      </c>
      <c r="C298" s="17" t="s">
        <v>400</v>
      </c>
      <c r="D298" s="72">
        <v>44286</v>
      </c>
      <c r="F298" s="17">
        <v>2.657E-2</v>
      </c>
      <c r="G298" s="74">
        <v>0.1041799999999995</v>
      </c>
      <c r="H298" t="s">
        <v>424</v>
      </c>
      <c r="I298">
        <v>9.9607072223476152E-3</v>
      </c>
      <c r="J298">
        <v>0.31692885475457339</v>
      </c>
      <c r="K298">
        <v>7.1458795029096835E-3</v>
      </c>
      <c r="L298">
        <v>8.0577187903783341E-3</v>
      </c>
      <c r="M298">
        <v>2.2630531510503373</v>
      </c>
      <c r="N298">
        <v>5.9814916714792769E-3</v>
      </c>
      <c r="O298">
        <v>1.9367324747347558</v>
      </c>
      <c r="P298">
        <v>0.33904964338545551</v>
      </c>
      <c r="Q298">
        <v>8.5163256504404913E-3</v>
      </c>
      <c r="R298">
        <v>8.1924906285332708E-2</v>
      </c>
      <c r="S298">
        <v>6.1765766497490522E-5</v>
      </c>
      <c r="T298">
        <v>8.1924906285332499E-2</v>
      </c>
      <c r="U298">
        <v>0.25780085811271425</v>
      </c>
      <c r="V298">
        <v>0.3196579586457603</v>
      </c>
      <c r="W298">
        <v>1.1360450222543433E-2</v>
      </c>
      <c r="X298">
        <v>0.22048640479557613</v>
      </c>
      <c r="Y298">
        <v>2.9255780525076578E-3</v>
      </c>
      <c r="Z298">
        <v>0.24227747979154823</v>
      </c>
    </row>
    <row r="299" spans="1:26" x14ac:dyDescent="0.2">
      <c r="A299" s="13">
        <v>10815</v>
      </c>
      <c r="B299" s="13" t="s">
        <v>79</v>
      </c>
      <c r="C299" s="13" t="s">
        <v>72</v>
      </c>
      <c r="D299" s="14">
        <v>44286</v>
      </c>
      <c r="E299" s="15"/>
      <c r="F299" s="16">
        <v>1.10995</v>
      </c>
      <c r="G299" s="16">
        <v>10.349080000000001</v>
      </c>
      <c r="H299" t="s">
        <v>346</v>
      </c>
      <c r="I299">
        <v>9.9616648630403773E-3</v>
      </c>
      <c r="J299">
        <v>0.36339140344342652</v>
      </c>
      <c r="K299">
        <v>7.1376784497201202E-3</v>
      </c>
      <c r="L299">
        <v>1.1921483340980806E-2</v>
      </c>
      <c r="M299">
        <v>2.7320883921189449</v>
      </c>
      <c r="N299">
        <v>9.7363246334064221E-3</v>
      </c>
      <c r="O299">
        <v>2.0722014078864919</v>
      </c>
      <c r="P299">
        <v>0.39952327900684625</v>
      </c>
      <c r="Q299">
        <v>7.5604928055570536E-3</v>
      </c>
      <c r="R299">
        <v>0.11694213466082325</v>
      </c>
      <c r="S299">
        <v>5.4833463679238277E-5</v>
      </c>
      <c r="T299">
        <v>0.11694213466082416</v>
      </c>
      <c r="U299">
        <v>1.3162716912997146</v>
      </c>
      <c r="V299">
        <v>0.43517961611230349</v>
      </c>
      <c r="W299">
        <v>0.17151602964684487</v>
      </c>
      <c r="X299">
        <v>0.51971900419104922</v>
      </c>
      <c r="Y299">
        <v>0.22631304429192337</v>
      </c>
      <c r="Z299">
        <v>0.29998132131810296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F299"/>
  <sheetViews>
    <sheetView zoomScaleNormal="100" workbookViewId="0">
      <pane xSplit="2" ySplit="3" topLeftCell="Q277" activePane="bottomRight" state="frozen"/>
      <selection pane="topRight" activeCell="C1" sqref="C1"/>
      <selection pane="bottomLeft" activeCell="A4" sqref="A4"/>
      <selection pane="bottomRight" activeCell="X298" sqref="X298"/>
    </sheetView>
  </sheetViews>
  <sheetFormatPr baseColWidth="10" defaultRowHeight="14.25" x14ac:dyDescent="0.2"/>
  <cols>
    <col min="1" max="1" width="23.7109375" style="17" bestFit="1" customWidth="1"/>
    <col min="2" max="2" width="37.42578125" style="17" bestFit="1" customWidth="1"/>
    <col min="3" max="3" width="13.5703125" style="17" customWidth="1"/>
    <col min="4" max="4" width="12.5703125" style="17" customWidth="1"/>
    <col min="5" max="5" width="12.28515625" style="77" bestFit="1" customWidth="1"/>
    <col min="6" max="6" width="13.5703125" style="17" customWidth="1"/>
    <col min="7" max="7" width="12.28515625" style="74" bestFit="1" customWidth="1"/>
    <col min="8" max="8" width="14.5703125" style="17" customWidth="1"/>
    <col min="9" max="9" width="11.42578125" style="17"/>
    <col min="10" max="10" width="15.28515625" style="17" bestFit="1" customWidth="1"/>
    <col min="11" max="11" width="12.7109375" style="17" customWidth="1"/>
    <col min="12" max="12" width="12.85546875" style="17" customWidth="1"/>
    <col min="13" max="13" width="14.7109375" style="17" customWidth="1"/>
    <col min="14" max="14" width="11.42578125" style="17"/>
    <col min="15" max="15" width="13" style="17" bestFit="1" customWidth="1"/>
    <col min="16" max="16" width="14.7109375" style="17" customWidth="1"/>
    <col min="17" max="17" width="14.140625" style="17" bestFit="1" customWidth="1"/>
    <col min="18" max="18" width="15.28515625" style="17" customWidth="1"/>
    <col min="19" max="19" width="15.28515625" style="17" bestFit="1" customWidth="1"/>
    <col min="20" max="20" width="14.28515625" style="17" customWidth="1"/>
    <col min="21" max="21" width="15.7109375" style="17" bestFit="1" customWidth="1"/>
    <col min="22" max="22" width="14.28515625" style="17" customWidth="1"/>
    <col min="23" max="23" width="11.85546875" style="17" bestFit="1" customWidth="1"/>
    <col min="24" max="24" width="16.5703125" style="17" bestFit="1" customWidth="1"/>
    <col min="25" max="25" width="15" style="17" customWidth="1"/>
    <col min="26" max="26" width="13.140625" style="17" customWidth="1"/>
    <col min="27" max="27" width="14" style="17" bestFit="1" customWidth="1"/>
    <col min="28" max="29" width="11.42578125" style="17"/>
    <col min="30" max="30" width="14.140625" style="17" bestFit="1" customWidth="1"/>
    <col min="31" max="31" width="14" style="17" customWidth="1"/>
    <col min="32" max="32" width="13.28515625" style="17" customWidth="1"/>
    <col min="33" max="33" width="12.7109375" style="17" customWidth="1"/>
    <col min="34" max="34" width="15.28515625" style="17" bestFit="1" customWidth="1"/>
    <col min="35" max="35" width="15" style="17" customWidth="1"/>
    <col min="36" max="36" width="19.5703125" style="17" customWidth="1"/>
    <col min="37" max="39" width="12.85546875" style="17" customWidth="1"/>
    <col min="40" max="40" width="17" style="17" bestFit="1" customWidth="1"/>
    <col min="41" max="41" width="16.42578125" style="17" customWidth="1"/>
    <col min="42" max="42" width="15.7109375" style="17" customWidth="1"/>
    <col min="43" max="43" width="14.85546875" style="17" customWidth="1"/>
    <col min="44" max="44" width="12.7109375" style="17" customWidth="1"/>
    <col min="45" max="45" width="16.28515625" style="17" customWidth="1"/>
    <col min="46" max="46" width="16.42578125" style="17" customWidth="1"/>
    <col min="47" max="47" width="18.85546875" style="17" customWidth="1"/>
    <col min="48" max="48" width="13.85546875" style="17" customWidth="1"/>
    <col min="49" max="49" width="14.7109375" style="17" customWidth="1"/>
    <col min="50" max="52" width="17" style="17" customWidth="1"/>
    <col min="53" max="53" width="32.42578125" style="17" bestFit="1" customWidth="1"/>
    <col min="54" max="54" width="11.42578125" style="17"/>
    <col min="55" max="55" width="16.42578125" style="17" customWidth="1"/>
    <col min="56" max="56" width="17" style="17" customWidth="1"/>
    <col min="57" max="58" width="17.140625" style="17" customWidth="1"/>
    <col min="59" max="59" width="11.5703125" style="73" customWidth="1"/>
    <col min="60" max="60" width="12.140625" style="17" bestFit="1" customWidth="1"/>
    <col min="61" max="65" width="11.42578125" style="68"/>
    <col min="66" max="66" width="28" style="68" bestFit="1" customWidth="1"/>
    <col min="67" max="67" width="27" style="68" bestFit="1" customWidth="1"/>
    <col min="68" max="68" width="11.42578125" style="68"/>
    <col min="69" max="69" width="14.5703125" style="68" customWidth="1"/>
    <col min="70" max="16384" width="11.42578125" style="68"/>
  </cols>
  <sheetData>
    <row r="1" spans="1:110" ht="24.75" customHeight="1" x14ac:dyDescent="0.2">
      <c r="C1" s="155" t="s">
        <v>105</v>
      </c>
      <c r="W1" s="155" t="s">
        <v>106</v>
      </c>
      <c r="AJ1" s="155" t="s">
        <v>107</v>
      </c>
      <c r="AW1" s="155" t="s">
        <v>108</v>
      </c>
    </row>
    <row r="2" spans="1:110" s="18" customFormat="1" ht="18" x14ac:dyDescent="0.3">
      <c r="A2" s="80" t="s">
        <v>53</v>
      </c>
      <c r="B2" s="80" t="s">
        <v>0</v>
      </c>
      <c r="C2" s="80" t="s">
        <v>5</v>
      </c>
      <c r="D2" s="80" t="s">
        <v>49</v>
      </c>
      <c r="E2" s="81" t="s">
        <v>41</v>
      </c>
      <c r="F2" s="80" t="s">
        <v>49</v>
      </c>
      <c r="G2" s="82" t="s">
        <v>42</v>
      </c>
      <c r="H2" s="80" t="s">
        <v>49</v>
      </c>
      <c r="I2" s="80" t="s">
        <v>18</v>
      </c>
      <c r="J2" s="80" t="s">
        <v>19</v>
      </c>
      <c r="K2" s="80" t="s">
        <v>49</v>
      </c>
      <c r="L2" s="80" t="s">
        <v>20</v>
      </c>
      <c r="M2" s="80" t="s">
        <v>50</v>
      </c>
      <c r="N2" s="80" t="s">
        <v>21</v>
      </c>
      <c r="O2" s="80" t="s">
        <v>22</v>
      </c>
      <c r="P2" s="80" t="s">
        <v>50</v>
      </c>
      <c r="Q2" s="83" t="s">
        <v>22</v>
      </c>
      <c r="R2" s="80" t="s">
        <v>50</v>
      </c>
      <c r="S2" s="84" t="s">
        <v>7</v>
      </c>
      <c r="T2" s="84" t="s">
        <v>50</v>
      </c>
      <c r="U2" s="84" t="s">
        <v>74</v>
      </c>
      <c r="V2" s="84" t="s">
        <v>50</v>
      </c>
      <c r="W2" s="80" t="s">
        <v>23</v>
      </c>
      <c r="X2" s="85" t="s">
        <v>24</v>
      </c>
      <c r="Y2" s="80" t="s">
        <v>50</v>
      </c>
      <c r="Z2" s="86" t="s">
        <v>25</v>
      </c>
      <c r="AA2" s="80" t="s">
        <v>50</v>
      </c>
      <c r="AB2" s="80" t="s">
        <v>62</v>
      </c>
      <c r="AC2" s="80" t="s">
        <v>63</v>
      </c>
      <c r="AD2" s="87" t="s">
        <v>26</v>
      </c>
      <c r="AE2" s="80" t="s">
        <v>50</v>
      </c>
      <c r="AF2" s="80" t="s">
        <v>27</v>
      </c>
      <c r="AG2" s="80" t="s">
        <v>50</v>
      </c>
      <c r="AH2" s="86" t="s">
        <v>11</v>
      </c>
      <c r="AI2" s="80" t="s">
        <v>50</v>
      </c>
      <c r="AJ2" s="88" t="s">
        <v>117</v>
      </c>
      <c r="AK2" s="88" t="s">
        <v>49</v>
      </c>
      <c r="AL2" s="83" t="s">
        <v>28</v>
      </c>
      <c r="AM2" s="89" t="s">
        <v>50</v>
      </c>
      <c r="AN2" s="83" t="s">
        <v>75</v>
      </c>
      <c r="AO2" s="89" t="s">
        <v>50</v>
      </c>
      <c r="AP2" s="86" t="s">
        <v>47</v>
      </c>
      <c r="AQ2" s="80" t="s">
        <v>50</v>
      </c>
      <c r="AR2" s="80" t="s">
        <v>6</v>
      </c>
      <c r="AS2" s="90" t="s">
        <v>44</v>
      </c>
      <c r="AT2" s="91" t="s">
        <v>50</v>
      </c>
      <c r="AU2" s="92" t="s">
        <v>104</v>
      </c>
      <c r="AV2" s="93" t="s">
        <v>50</v>
      </c>
      <c r="AW2" s="94" t="s">
        <v>45</v>
      </c>
      <c r="AX2" s="95" t="s">
        <v>49</v>
      </c>
      <c r="AY2" s="95" t="s">
        <v>59</v>
      </c>
      <c r="AZ2" s="95" t="s">
        <v>49</v>
      </c>
      <c r="BA2" s="86" t="s">
        <v>46</v>
      </c>
      <c r="BB2" s="86" t="s">
        <v>2</v>
      </c>
      <c r="BC2" s="88" t="s">
        <v>118</v>
      </c>
      <c r="BD2" s="88" t="s">
        <v>49</v>
      </c>
      <c r="BE2" s="95" t="s">
        <v>45</v>
      </c>
      <c r="BF2" s="95" t="s">
        <v>51</v>
      </c>
      <c r="BG2" s="96" t="s">
        <v>119</v>
      </c>
      <c r="BH2" s="97" t="s">
        <v>64</v>
      </c>
    </row>
    <row r="3" spans="1:110" s="18" customFormat="1" ht="18.75" thickBot="1" x14ac:dyDescent="0.35">
      <c r="A3" s="98"/>
      <c r="B3" s="98"/>
      <c r="C3" s="98" t="s">
        <v>15</v>
      </c>
      <c r="D3" s="99" t="s">
        <v>29</v>
      </c>
      <c r="E3" s="98" t="s">
        <v>15</v>
      </c>
      <c r="F3" s="99" t="s">
        <v>29</v>
      </c>
      <c r="G3" s="100"/>
      <c r="H3" s="99" t="s">
        <v>29</v>
      </c>
      <c r="I3" s="99" t="s">
        <v>30</v>
      </c>
      <c r="J3" s="99" t="s">
        <v>31</v>
      </c>
      <c r="K3" s="99" t="s">
        <v>29</v>
      </c>
      <c r="L3" s="99" t="s">
        <v>32</v>
      </c>
      <c r="M3" s="99" t="s">
        <v>33</v>
      </c>
      <c r="N3" s="99" t="s">
        <v>34</v>
      </c>
      <c r="O3" s="99" t="s">
        <v>35</v>
      </c>
      <c r="P3" s="99" t="s">
        <v>33</v>
      </c>
      <c r="Q3" s="101" t="s">
        <v>32</v>
      </c>
      <c r="R3" s="99" t="s">
        <v>33</v>
      </c>
      <c r="S3" s="102" t="s">
        <v>58</v>
      </c>
      <c r="T3" s="102" t="s">
        <v>33</v>
      </c>
      <c r="U3" s="102" t="s">
        <v>58</v>
      </c>
      <c r="V3" s="102" t="s">
        <v>33</v>
      </c>
      <c r="W3" s="99" t="s">
        <v>34</v>
      </c>
      <c r="X3" s="103" t="s">
        <v>36</v>
      </c>
      <c r="Y3" s="99" t="s">
        <v>37</v>
      </c>
      <c r="Z3" s="99" t="s">
        <v>32</v>
      </c>
      <c r="AA3" s="99" t="s">
        <v>37</v>
      </c>
      <c r="AB3" s="99" t="s">
        <v>30</v>
      </c>
      <c r="AC3" s="99" t="s">
        <v>38</v>
      </c>
      <c r="AD3" s="104" t="s">
        <v>31</v>
      </c>
      <c r="AE3" s="99" t="s">
        <v>37</v>
      </c>
      <c r="AF3" s="99" t="s">
        <v>32</v>
      </c>
      <c r="AG3" s="99" t="s">
        <v>37</v>
      </c>
      <c r="AH3" s="105"/>
      <c r="AI3" s="99" t="s">
        <v>37</v>
      </c>
      <c r="AJ3" s="106" t="s">
        <v>115</v>
      </c>
      <c r="AK3" s="106" t="s">
        <v>116</v>
      </c>
      <c r="AL3" s="101" t="s">
        <v>57</v>
      </c>
      <c r="AM3" s="107" t="s">
        <v>37</v>
      </c>
      <c r="AN3" s="101" t="s">
        <v>57</v>
      </c>
      <c r="AO3" s="107" t="s">
        <v>37</v>
      </c>
      <c r="AP3" s="98" t="s">
        <v>39</v>
      </c>
      <c r="AQ3" s="99" t="s">
        <v>56</v>
      </c>
      <c r="AR3" s="99" t="s">
        <v>40</v>
      </c>
      <c r="AS3" s="108" t="s">
        <v>57</v>
      </c>
      <c r="AT3" s="109" t="s">
        <v>37</v>
      </c>
      <c r="AU3" s="110" t="s">
        <v>61</v>
      </c>
      <c r="AV3" s="111" t="s">
        <v>37</v>
      </c>
      <c r="AW3" s="112" t="s">
        <v>39</v>
      </c>
      <c r="AX3" s="113" t="s">
        <v>39</v>
      </c>
      <c r="AY3" s="113" t="s">
        <v>60</v>
      </c>
      <c r="AZ3" s="113" t="s">
        <v>13</v>
      </c>
      <c r="BA3" s="105"/>
      <c r="BB3" s="98" t="s">
        <v>12</v>
      </c>
      <c r="BC3" s="106" t="s">
        <v>115</v>
      </c>
      <c r="BD3" s="106" t="s">
        <v>116</v>
      </c>
      <c r="BE3" s="113" t="s">
        <v>48</v>
      </c>
      <c r="BF3" s="113" t="s">
        <v>52</v>
      </c>
      <c r="BG3" s="114" t="s">
        <v>13</v>
      </c>
      <c r="BH3" s="115"/>
    </row>
    <row r="4" spans="1:110" ht="15" thickTop="1" x14ac:dyDescent="0.2">
      <c r="A4" s="46"/>
      <c r="B4" s="46"/>
      <c r="C4" s="46"/>
      <c r="D4" s="46"/>
      <c r="E4" s="156"/>
      <c r="F4" s="46"/>
      <c r="G4" s="157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158"/>
      <c r="BH4" s="46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</row>
    <row r="5" spans="1:110" s="125" customFormat="1" ht="15" x14ac:dyDescent="0.25">
      <c r="A5" s="116" t="s">
        <v>80</v>
      </c>
      <c r="B5" s="117" t="s">
        <v>111</v>
      </c>
      <c r="C5" s="116" t="s">
        <v>66</v>
      </c>
      <c r="D5" s="116">
        <v>3.8677800000000002</v>
      </c>
      <c r="E5" s="118" t="s">
        <v>67</v>
      </c>
      <c r="F5" s="116" t="s">
        <v>68</v>
      </c>
      <c r="G5" s="116">
        <v>3.8556E-2</v>
      </c>
      <c r="H5" s="118" t="s">
        <v>67</v>
      </c>
      <c r="I5" s="116"/>
      <c r="J5" s="116"/>
      <c r="K5" s="116" t="s">
        <v>69</v>
      </c>
      <c r="L5" s="119">
        <v>1.8037000000000001E-2</v>
      </c>
      <c r="M5" s="118" t="s">
        <v>67</v>
      </c>
      <c r="N5" s="120" t="s">
        <v>112</v>
      </c>
      <c r="O5" s="121"/>
      <c r="P5" s="117"/>
      <c r="Q5" s="122"/>
      <c r="R5" s="123"/>
      <c r="S5" s="124"/>
      <c r="T5" s="121"/>
      <c r="U5" s="182"/>
      <c r="V5" s="182"/>
      <c r="W5" s="185"/>
      <c r="X5" s="182"/>
      <c r="Y5" s="182"/>
      <c r="Z5" s="182"/>
      <c r="AA5" s="182"/>
      <c r="AB5" s="186"/>
      <c r="AC5" s="186"/>
      <c r="AD5" s="182"/>
      <c r="AE5" s="182"/>
      <c r="AF5" s="182"/>
      <c r="AG5" s="182"/>
      <c r="AH5" s="126"/>
      <c r="AI5" s="185"/>
      <c r="AJ5" s="184"/>
      <c r="AK5" s="185"/>
      <c r="AL5" s="185"/>
      <c r="AM5" s="185"/>
      <c r="AN5" s="126"/>
      <c r="AO5" s="182"/>
      <c r="AP5" s="126"/>
      <c r="AQ5" s="126"/>
      <c r="AR5" s="126"/>
      <c r="AS5" s="183"/>
      <c r="AT5" s="183"/>
      <c r="AU5" s="126"/>
      <c r="AV5" s="126"/>
      <c r="AW5" s="126"/>
      <c r="AX5" s="187"/>
      <c r="AY5" s="187"/>
      <c r="AZ5" s="187"/>
      <c r="BA5" s="126"/>
      <c r="BB5" s="188"/>
      <c r="BC5" s="126"/>
      <c r="BD5" s="184"/>
      <c r="BE5" s="126"/>
      <c r="BF5" s="189"/>
      <c r="BG5" s="190"/>
      <c r="BH5" s="126"/>
      <c r="BI5" s="126"/>
      <c r="BJ5" s="126"/>
      <c r="BK5" s="126"/>
      <c r="BL5" s="126"/>
      <c r="BM5" s="126"/>
      <c r="BN5" s="191"/>
      <c r="BO5" s="126"/>
      <c r="BP5" s="126"/>
      <c r="BQ5" s="126"/>
      <c r="BR5" s="126"/>
      <c r="BS5" s="126"/>
      <c r="BT5" s="126"/>
      <c r="BU5" s="126"/>
      <c r="BV5" s="126"/>
      <c r="BW5" s="126"/>
      <c r="BX5" s="126"/>
      <c r="BY5" s="126"/>
      <c r="BZ5" s="126"/>
      <c r="CA5" s="126"/>
      <c r="CB5" s="126"/>
      <c r="CC5" s="126"/>
      <c r="CD5" s="126"/>
      <c r="CE5" s="126"/>
      <c r="CF5" s="126"/>
      <c r="CG5" s="126"/>
      <c r="CH5" s="126"/>
      <c r="CI5" s="126"/>
      <c r="CJ5" s="126"/>
      <c r="CK5" s="126"/>
      <c r="CL5" s="126"/>
      <c r="CM5" s="126"/>
      <c r="CN5" s="126"/>
      <c r="CO5" s="126"/>
      <c r="CP5" s="126"/>
      <c r="CQ5" s="126"/>
      <c r="CR5" s="126"/>
      <c r="CS5" s="126"/>
      <c r="CT5" s="126"/>
      <c r="CU5" s="126"/>
      <c r="CV5" s="126"/>
      <c r="CW5" s="126"/>
      <c r="CX5" s="126"/>
      <c r="CY5" s="126"/>
      <c r="CZ5" s="126"/>
      <c r="DA5" s="126"/>
      <c r="DB5" s="126"/>
      <c r="DC5" s="126"/>
      <c r="DD5" s="126"/>
      <c r="DE5" s="126"/>
      <c r="DF5" s="126"/>
    </row>
    <row r="6" spans="1:110" ht="15" x14ac:dyDescent="0.25">
      <c r="A6" s="125"/>
      <c r="B6" s="126"/>
      <c r="C6" s="125"/>
      <c r="D6" s="125"/>
      <c r="E6" s="127"/>
      <c r="F6" s="125"/>
      <c r="G6" s="125"/>
      <c r="H6" s="127"/>
      <c r="I6" s="125"/>
      <c r="J6" s="125"/>
      <c r="K6" s="125"/>
      <c r="L6" s="128"/>
      <c r="M6" s="127"/>
      <c r="N6" s="18"/>
      <c r="O6" s="129"/>
      <c r="P6" s="18"/>
      <c r="Q6" s="130"/>
      <c r="R6" s="131"/>
      <c r="S6" s="132"/>
      <c r="T6" s="129"/>
      <c r="U6" s="129"/>
      <c r="V6" s="129"/>
      <c r="W6" s="133"/>
      <c r="X6" s="129"/>
      <c r="Y6" s="129"/>
      <c r="Z6" s="129"/>
      <c r="AA6" s="129"/>
      <c r="AB6" s="134"/>
      <c r="AC6" s="134"/>
      <c r="AD6" s="129"/>
      <c r="AE6" s="129"/>
      <c r="AF6" s="129"/>
      <c r="AG6" s="129"/>
      <c r="AH6" s="18"/>
      <c r="AI6" s="133"/>
      <c r="AJ6" s="132"/>
      <c r="AK6" s="133"/>
      <c r="AL6" s="133"/>
      <c r="AM6" s="133"/>
      <c r="AN6" s="18"/>
      <c r="AO6" s="129"/>
      <c r="AP6" s="18"/>
      <c r="AQ6" s="18"/>
      <c r="AR6" s="18"/>
      <c r="AS6" s="131"/>
      <c r="AT6" s="131"/>
      <c r="AU6" s="18"/>
      <c r="AV6" s="18"/>
      <c r="AW6" s="18"/>
      <c r="AX6" s="135"/>
      <c r="AY6" s="135"/>
      <c r="AZ6" s="135"/>
      <c r="BA6" s="18"/>
      <c r="BB6" s="136"/>
      <c r="BC6" s="18"/>
      <c r="BD6" s="132"/>
      <c r="BE6" s="18"/>
      <c r="BF6" s="137"/>
      <c r="BG6" s="20"/>
      <c r="BH6" s="18"/>
      <c r="BI6" s="18"/>
      <c r="BJ6" s="18"/>
      <c r="BK6" s="18"/>
      <c r="BL6" s="18"/>
      <c r="BM6" s="18"/>
      <c r="BN6" s="159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</row>
    <row r="7" spans="1:110" ht="15" customHeight="1" x14ac:dyDescent="0.2">
      <c r="A7" s="138">
        <f>Input!A7</f>
        <v>10815</v>
      </c>
      <c r="B7" s="138" t="str">
        <f>Input!B7</f>
        <v>Hu1-13</v>
      </c>
      <c r="C7" s="138">
        <f>Input!O7</f>
        <v>2.0903104814436499</v>
      </c>
      <c r="D7" s="138">
        <f>C7*Input!P7/100</f>
        <v>1.1145844830528167E-2</v>
      </c>
      <c r="E7" s="139">
        <f>Input!M7</f>
        <v>2.7326004837481932</v>
      </c>
      <c r="F7" s="140">
        <f>E7*Input!N7/100</f>
        <v>1.9506903515439055E-4</v>
      </c>
      <c r="G7" s="141">
        <f>E7*137.88</f>
        <v>376.77095469920084</v>
      </c>
      <c r="H7" s="140">
        <f>G7*Input!L7/100</f>
        <v>1.707262754596043E-2</v>
      </c>
      <c r="I7" s="138">
        <v>0</v>
      </c>
      <c r="J7" s="142">
        <f>(((C7*Constants!$B$24*0.000000001*Input!G7*(Constants!$B$4/Constants!$B$3))-(I7*0.000000000000001))/Input!F7)*1000000000000</f>
        <v>754.68055967822056</v>
      </c>
      <c r="K7" s="138">
        <f>J7*Input!P7/100</f>
        <v>4.0240684288107538</v>
      </c>
      <c r="L7" s="143">
        <f>(J7/Constants!$B$4)*602200000000*Constants!$B$17/(365.2425*24*60)</f>
        <v>10.419203059382474</v>
      </c>
      <c r="M7" s="144">
        <f>L7*Input!P7/100</f>
        <v>5.5556732642624909E-2</v>
      </c>
      <c r="N7" s="138">
        <v>0</v>
      </c>
      <c r="O7" s="142">
        <f>(((G7*Constants!$B$23*0.000000001*Input!G7*(Constants!$B$7/Constants!$B$6))-(N7*0.000000001))/Input!F7)*1000000</f>
        <v>13.702861900025455</v>
      </c>
      <c r="P7" s="138">
        <f>O7*Input!N7/100</f>
        <v>9.7819057911655537E-4</v>
      </c>
      <c r="Q7" s="145">
        <f>(O7/Constants!$B$7)*602200000000000000*Constants!$B$18/(365.2425*24*60)</f>
        <v>10.223989714008182</v>
      </c>
      <c r="R7" s="146">
        <f>Q7*Input!N7/100</f>
        <v>7.2984829681519228E-4</v>
      </c>
      <c r="S7" s="144">
        <f>Input!S7*Constants!$B$17/Constants!$B$18</f>
        <v>0.99982777629865893</v>
      </c>
      <c r="T7" s="138">
        <f>S7*Input!T7/100</f>
        <v>9.8937845435632249E-4</v>
      </c>
      <c r="U7" s="144">
        <f>S7</f>
        <v>0.99982777629865893</v>
      </c>
      <c r="V7" s="138">
        <f>U7*Input!T7/100</f>
        <v>9.8937845435632249E-4</v>
      </c>
      <c r="W7" s="147">
        <v>0</v>
      </c>
      <c r="X7" s="142">
        <f>(((Constants!$B$25*0.000000001*Input!G7/Input!W7*(Constants!$B$11/Constants!$B$9))-(W7*0.000000001))/Input!F7)*1000000000</f>
        <v>0.89229610430290107</v>
      </c>
      <c r="Y7" s="142">
        <f>X7*Input!X7/100</f>
        <v>5.0855753775715263E-3</v>
      </c>
      <c r="Z7" s="142">
        <f>(X7/Constants!$B$11)*6.022E+23*0.000000001*Constants!$B$19/(365.2425*24*60)</f>
        <v>2.1783832586086142E-4</v>
      </c>
      <c r="AA7" s="142">
        <f>Z7*Input!X7/100</f>
        <v>1.2415533598624024E-6</v>
      </c>
      <c r="AB7" s="143">
        <v>0</v>
      </c>
      <c r="AC7" s="143">
        <v>0.9</v>
      </c>
      <c r="AD7" s="142">
        <f>(((Input!G7*Constants!$B$25*0.000000001*Input!U7*(Constants!$B$10/Constants!$B$9))-((AB7*0.000000000000001)+(Input!G7*AC7*0.000000000000001)))/Input!F7)*1000000000000</f>
        <v>222.74552132170422</v>
      </c>
      <c r="AE7" s="142">
        <f>AD7*Input!V7/100</f>
        <v>0.6157925463763313</v>
      </c>
      <c r="AF7" s="142">
        <f>(AD7/Constants!$B$10)*602200000000*Constants!$B$16/(365.2425*24*60)</f>
        <v>10.167368218175486</v>
      </c>
      <c r="AG7" s="142">
        <f>AF7*Input!V7/100</f>
        <v>2.8108262414728951E-2</v>
      </c>
      <c r="AH7" s="138">
        <f>AF7/Z7</f>
        <v>46673.91827400303</v>
      </c>
      <c r="AI7" s="147">
        <f>AH7*SQRT((AG7/AF7)^2+(AA7/Z7)^2)</f>
        <v>295.65717044756207</v>
      </c>
      <c r="AJ7" s="144">
        <f t="shared" ref="AJ7:AJ9" si="0">(U7-1)*1000</f>
        <v>-0.17222370134106768</v>
      </c>
      <c r="AK7" s="147">
        <f>V7*1000</f>
        <v>0.98937845435632243</v>
      </c>
      <c r="AL7" s="147">
        <f>AF7/Q7</f>
        <v>0.99446189820055109</v>
      </c>
      <c r="AM7" s="147">
        <f>AL7*SQRT((R7/Q7)^2+(AG7/AF7)^2)</f>
        <v>2.7501623590841409E-3</v>
      </c>
      <c r="AN7" s="138">
        <f>AF7/Q7</f>
        <v>0.99446189820055109</v>
      </c>
      <c r="AO7" s="142">
        <f>AN7*SQRT((R7/Q7)^2+(AG7/AF7)^2)</f>
        <v>2.7501623590841409E-3</v>
      </c>
      <c r="AP7" s="138">
        <f t="shared" ref="AP7:AP9" si="1">ThU_Alter_Kombi(AN7,U7)</f>
        <v>571.48569999999995</v>
      </c>
      <c r="AQ7" s="138" t="e">
        <f t="shared" ref="AQ7:AQ9" si="2">Montealter(AN7,AO7,U7,V7)</f>
        <v>#VALUE!</v>
      </c>
      <c r="AR7" s="138" t="e">
        <f>(AQ7/AP7)*100</f>
        <v>#VALUE!</v>
      </c>
      <c r="AS7" s="146">
        <f t="shared" ref="AS7:AS21" si="3">Z7/Q7</f>
        <v>2.1306586954248875E-5</v>
      </c>
      <c r="AT7" s="146">
        <f t="shared" ref="AT7:AT21" si="4">AS7*SQRT((Y7/X7)^2+(P7/O7)^2)</f>
        <v>1.2144483484556861E-7</v>
      </c>
      <c r="AU7" s="138">
        <v>0.75</v>
      </c>
      <c r="AV7" s="138">
        <f>AU7/2</f>
        <v>0.375</v>
      </c>
      <c r="AW7" s="138">
        <f t="shared" ref="AW7:AW21" si="5">marincorr_age(AN7,U7,AS7,AU7)</f>
        <v>571.48389999999995</v>
      </c>
      <c r="AX7" s="148">
        <f t="shared" ref="AX7:AX21" si="6">marincorr_age_error(AN7, AO7, U7, V7, AS7, AT7, AU7, AV7)</f>
        <v>151.35194514119999</v>
      </c>
      <c r="AY7" s="148">
        <f t="shared" ref="AY7:AY21" si="7">SQRT(((AU7*EXP(-0.0000091577*AW7*1000))/(0.0000091577*(EXP(-0.0000091577*AW7*1000)+(AJ7/1000)*EXP(-(0.0000091577-0.0000028263)*AW7*1000)-AS7*AU7*EXP(-0.0000091577*AW7*1000))))^2*AT7^2+((AS7*EXP(-0.0000091577*AW7*1000))/(0.0000091577*(EXP(-0.0000091577*AW7*1000)+(AJ7/1000)*EXP(-(0.0000091577-0.0000028263)*AW7*1000)-AS7*AU7*EXP(-0.0000091577*AW7*1000))))^2*AV7^2+((0.0000091577/(0.0000091577-0.0000028263))*(EXP(-(0.0000091577-0.0000028263)*AW7*1000)-1)/(0.0000091577*(EXP(-0.0000091577*AW7*1000)+(AJ7/1000)*EXP(-(0.0000091577-0.0000028263)*AW7*1000)-AS7*AU7*EXP(-0.0000091577*AW7*1000))))^2*T7^2+(1/(0.0000091577*(EXP(-0.0000091577*AW7*1000)+(AJ7/1000)*EXP(-(0.0000091577-0.0000028263)*AW7*1000)-AS7*AU7*EXP(-0.0000091577*AW7*1000))))^2*AO7^2)/1000</f>
        <v>63.153018874209067</v>
      </c>
      <c r="AZ7" s="149">
        <f t="shared" ref="AZ7:AZ21" si="8">AX7/AW7</f>
        <v>0.26484026083884427</v>
      </c>
      <c r="BA7" s="138" t="str">
        <f>Input!B7</f>
        <v>Hu1-13</v>
      </c>
      <c r="BB7" s="150">
        <f>Input!E7</f>
        <v>0</v>
      </c>
      <c r="BC7" s="138">
        <f>((U7-1)*EXP(Constants!$B$17*AW7*1000))*1000</f>
        <v>-0.86398557737022996</v>
      </c>
      <c r="BD7" s="144">
        <f>SQRT((EXP(Constants!$B$17*AW7*1000)*V7)^2+((U7-1)*Constants!$B$17*EXP(Constants!$B$17*AW7*1000)*AY7*1000)^2)*1000</f>
        <v>4.9657507541367227</v>
      </c>
      <c r="BE7" s="138">
        <f t="shared" ref="BE7:BE9" si="9">AW7*1000-58</f>
        <v>571425.89999999991</v>
      </c>
      <c r="BF7" s="151">
        <f t="shared" ref="BF7:BF9" si="10">AY7/2*1000</f>
        <v>31576.509437104534</v>
      </c>
      <c r="BG7" s="160">
        <f t="shared" ref="BG7:BG9" si="11">AY7/AW7*100</f>
        <v>11.050708318153681</v>
      </c>
      <c r="BH7" s="138"/>
      <c r="BI7" s="18"/>
      <c r="BJ7" s="18"/>
      <c r="BK7" s="18"/>
      <c r="BL7" s="18"/>
      <c r="BM7" s="18"/>
      <c r="BN7" s="159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</row>
    <row r="8" spans="1:110" ht="15" customHeight="1" x14ac:dyDescent="0.2">
      <c r="A8" s="18">
        <f>Input!A8</f>
        <v>10919</v>
      </c>
      <c r="B8" s="18" t="str">
        <f>Input!B8</f>
        <v>SO236_7_1</v>
      </c>
      <c r="C8" s="18">
        <f>Input!O8</f>
        <v>2.1143098741483932</v>
      </c>
      <c r="D8" s="18">
        <f>C8*Input!P8/100</f>
        <v>3.632406081458281E-3</v>
      </c>
      <c r="E8" s="152">
        <f>Input!M8</f>
        <v>2.456146164473517</v>
      </c>
      <c r="F8" s="153">
        <f>E8*Input!N8/100</f>
        <v>1.1180401947495274E-4</v>
      </c>
      <c r="G8" s="21">
        <f>E8*137.88</f>
        <v>338.6534331576085</v>
      </c>
      <c r="H8" s="153">
        <f>G8*Input!L8/100</f>
        <v>2.1118999709648981E-2</v>
      </c>
      <c r="I8" s="18">
        <v>0.3</v>
      </c>
      <c r="J8" s="129">
        <f>(((C8*Constants!$B$24*0.000000001*Input!G8*(Constants!$B$4/Constants!$B$3))-(I8*0.000000000000001))/Input!F8)*1000000000000</f>
        <v>236.42597564456642</v>
      </c>
      <c r="K8" s="18">
        <f>J8*Input!P8/100</f>
        <v>0.40618225466687469</v>
      </c>
      <c r="L8" s="134">
        <f>(J8/Constants!$B$4)*602200000000*Constants!$B$17/(365.2425*24*60)</f>
        <v>3.2641231010424856</v>
      </c>
      <c r="M8" s="132">
        <f>L8*Input!P8/100</f>
        <v>5.6077970158611799E-3</v>
      </c>
      <c r="N8" s="18">
        <v>5.0000000000000001E-3</v>
      </c>
      <c r="O8" s="129">
        <f>(((G8*Constants!$B$23*0.000000001*Input!G8*(Constants!$B$7/Constants!$B$6))-(N8*0.000000001))/Input!F8)*1000000</f>
        <v>3.8147254189337043</v>
      </c>
      <c r="P8" s="18">
        <f>O8*Input!N8/100</f>
        <v>1.7364668324675343E-4</v>
      </c>
      <c r="Q8" s="130">
        <f>(O8/Constants!$B$7)*602200000000000000*Constants!$B$18/(365.2425*24*60)</f>
        <v>2.8462458229161078</v>
      </c>
      <c r="R8" s="131">
        <f>Q8*Input!N8/100</f>
        <v>1.2956139500925316E-4</v>
      </c>
      <c r="S8" s="132">
        <f>Input!S8*Constants!$B$17/Constants!$B$18</f>
        <v>1.1384765822114851</v>
      </c>
      <c r="T8" s="18">
        <f>S8*Input!T8/100</f>
        <v>6.4087509057384525E-4</v>
      </c>
      <c r="U8" s="18">
        <f>S8*1/((U7+U9)/2)</f>
        <v>1.1384563429223404</v>
      </c>
      <c r="V8" s="18">
        <f>U8*Input!T8/100</f>
        <v>6.4086369740470471E-4</v>
      </c>
      <c r="W8" s="133">
        <v>3.0000000000000001E-3</v>
      </c>
      <c r="X8" s="129">
        <f>IF((((Constants!$B$25*0.000000001*Input!G8/Input!W8*(Constants!$B$11/Constants!$B$9))-(W8*0.000000001))/Input!F8)*1000000000&lt;0, "n.d.", (((Constants!$B$25*0.000000001*Input!G8/Input!W8*(Constants!$B$11/Constants!$B$9))-(W8*0.000000001))/Input!F8)*1000000000)</f>
        <v>0.58122792514230925</v>
      </c>
      <c r="Y8" s="129">
        <f>X8*Input!X8/100</f>
        <v>8.5350946863662139E-4</v>
      </c>
      <c r="Z8" s="129">
        <f>(X8/Constants!$B$11)*6.022E+23*0.000000001*Constants!$B$19/(365.2425*24*60)</f>
        <v>1.4189652688834572E-4</v>
      </c>
      <c r="AA8" s="129">
        <f>Z8*Input!X8/100</f>
        <v>2.0836925417202061E-7</v>
      </c>
      <c r="AB8" s="134">
        <v>0.05</v>
      </c>
      <c r="AC8" s="134">
        <v>0.9</v>
      </c>
      <c r="AD8" s="129">
        <f>(((Input!G8*Constants!$B$25*0.000000001*Input!U8*(Constants!$B$10/Constants!$B$9))-((AB8*0.000000000000001)+(Input!G8*AC8*0.000000000000001)))/Input!F8)*1000000000000</f>
        <v>12.643397648196322</v>
      </c>
      <c r="AE8" s="129">
        <f>AD8*Input!V8/100</f>
        <v>2.9825518912393444E-2</v>
      </c>
      <c r="AF8" s="129">
        <f>(AD8/Constants!$B$10)*602200000000*Constants!$B$16/(365.2425*24*60)</f>
        <v>0.57711633731286227</v>
      </c>
      <c r="AG8" s="129">
        <f>AF8*Input!V8/100</f>
        <v>1.361405748053139E-3</v>
      </c>
      <c r="AH8" s="18">
        <f>AF8/Z8</f>
        <v>4067.1632348477315</v>
      </c>
      <c r="AI8" s="133">
        <f>AH8*SQRT((AG8/AF8)^2+(AA8/Z8)^2)</f>
        <v>11.301414788374437</v>
      </c>
      <c r="AJ8" s="132">
        <f t="shared" si="0"/>
        <v>138.45634292234044</v>
      </c>
      <c r="AK8" s="133">
        <f>V8*1000</f>
        <v>0.64086369740470472</v>
      </c>
      <c r="AL8" s="133">
        <f>AF8/Q8</f>
        <v>0.20276405244631346</v>
      </c>
      <c r="AM8" s="133">
        <f>AL8*SQRT((R8/Q8)^2+(AG8/AF8)^2)</f>
        <v>4.7840533557881587E-4</v>
      </c>
      <c r="AN8" s="18">
        <f>AL8*1/((AN7+AN9)/2)</f>
        <v>0.20340381245177225</v>
      </c>
      <c r="AO8" s="129">
        <f>AN8*SQRT((R8/Q8)^2+(AG8/AF8)^2)</f>
        <v>4.7991479742083765E-4</v>
      </c>
      <c r="AP8" s="18">
        <f>ThU_Alter_Kombi(AN8,U8)</f>
        <v>21.377400000000002</v>
      </c>
      <c r="AQ8" s="18">
        <f t="shared" si="2"/>
        <v>5.9700000000000003E-2</v>
      </c>
      <c r="AR8" s="154">
        <f>(AQ8/AP8)</f>
        <v>2.7926688933172417E-3</v>
      </c>
      <c r="AS8" s="131">
        <f t="shared" si="3"/>
        <v>4.9853925386868484E-5</v>
      </c>
      <c r="AT8" s="131">
        <f t="shared" si="4"/>
        <v>7.3243618136125468E-8</v>
      </c>
      <c r="AU8" s="18">
        <v>8</v>
      </c>
      <c r="AV8" s="18">
        <f>AU8/2</f>
        <v>4</v>
      </c>
      <c r="AW8" s="18">
        <f t="shared" si="5"/>
        <v>21.339500000000001</v>
      </c>
      <c r="AX8" s="135">
        <f t="shared" si="6"/>
        <v>6.3097912300000003E-2</v>
      </c>
      <c r="AY8" s="135">
        <f t="shared" si="7"/>
        <v>6.0267997113946759E-2</v>
      </c>
      <c r="AZ8" s="154">
        <f t="shared" si="8"/>
        <v>2.9568599217413716E-3</v>
      </c>
      <c r="BA8" s="18" t="str">
        <f>Input!B8</f>
        <v>SO236_7_1</v>
      </c>
      <c r="BB8" s="136">
        <f>Input!E8</f>
        <v>0</v>
      </c>
      <c r="BC8" s="18">
        <f>((U8-1)*EXP(Constants!$B$17*AW8*1000))*1000</f>
        <v>147.05055096062623</v>
      </c>
      <c r="BD8" s="132">
        <f>SQRT((EXP(Constants!$B$17*AW8*1000)*V8)^2+((U8-1)*Constants!$B$17*EXP(Constants!$B$17*AW8*1000)*AY8*1000)^2)*1000</f>
        <v>0.68110248809862017</v>
      </c>
      <c r="BE8" s="18">
        <f t="shared" si="9"/>
        <v>21281.5</v>
      </c>
      <c r="BF8" s="137">
        <f t="shared" si="10"/>
        <v>30.133998556973378</v>
      </c>
      <c r="BG8" s="20">
        <f t="shared" si="11"/>
        <v>0.28242459811123388</v>
      </c>
      <c r="BH8" s="18"/>
      <c r="BI8" s="18"/>
      <c r="BJ8" s="18"/>
      <c r="BK8" s="18"/>
      <c r="BL8" s="18"/>
      <c r="BM8" s="18"/>
      <c r="BN8" s="159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</row>
    <row r="9" spans="1:110" ht="15" customHeight="1" x14ac:dyDescent="0.2">
      <c r="A9" s="138">
        <f>Input!A9</f>
        <v>10815</v>
      </c>
      <c r="B9" s="138" t="str">
        <f>Input!B9</f>
        <v>Hu1-13</v>
      </c>
      <c r="C9" s="138">
        <f>Input!O9</f>
        <v>2.0962820075561166</v>
      </c>
      <c r="D9" s="138">
        <f>C9*Input!P9/100</f>
        <v>1.0071707038959137E-2</v>
      </c>
      <c r="E9" s="139">
        <f>Input!M9</f>
        <v>2.7321056970071709</v>
      </c>
      <c r="F9" s="140">
        <f>E9*Input!N9/100</f>
        <v>2.5818792755030626E-4</v>
      </c>
      <c r="G9" s="141">
        <f t="shared" ref="G9" si="12">E9*137.88</f>
        <v>376.70273350334872</v>
      </c>
      <c r="H9" s="140">
        <f>G9*Input!L9/100</f>
        <v>1.9893634634422019E-2</v>
      </c>
      <c r="I9" s="138">
        <v>0</v>
      </c>
      <c r="J9" s="142">
        <f>(((C9*Constants!$B$24*0.000000001*Input!G9*(Constants!$B$4/Constants!$B$3))-(I9*0.000000000000001))/Input!F9)*1000000000000</f>
        <v>756.83650479197104</v>
      </c>
      <c r="K9" s="138">
        <f>J9*Input!P9/100</f>
        <v>3.6362643600329001</v>
      </c>
      <c r="L9" s="143">
        <f>(J9/Constants!$B$4)*602200000000*Constants!$B$17/(365.2425*24*60)</f>
        <v>10.44896827545565</v>
      </c>
      <c r="M9" s="144">
        <f>L9*Input!P9/100</f>
        <v>5.0202666888534163E-2</v>
      </c>
      <c r="N9" s="138">
        <v>0</v>
      </c>
      <c r="O9" s="142">
        <f>(((G9*Constants!$B$23*0.000000001*Input!G9*(Constants!$B$7/Constants!$B$6))-(N9*0.000000001))/Input!F9)*1000000</f>
        <v>13.700380749040338</v>
      </c>
      <c r="P9" s="138">
        <f>O9*Input!N9/100</f>
        <v>1.2947057341594326E-3</v>
      </c>
      <c r="Q9" s="145">
        <f>(O9/Constants!$B$7)*602200000000000000*Constants!$B$18/(365.2425*24*60)</f>
        <v>10.222138475753296</v>
      </c>
      <c r="R9" s="146">
        <f>Q9*Input!N9/100</f>
        <v>9.6600682436191363E-4</v>
      </c>
      <c r="S9" s="144">
        <f>Input!S9*Constants!$B$17/Constants!$B$18</f>
        <v>1.0002077793715616</v>
      </c>
      <c r="T9" s="138">
        <f>S9*Input!T9/100</f>
        <v>1.3966135550658038E-3</v>
      </c>
      <c r="U9" s="144">
        <f>S9</f>
        <v>1.0002077793715616</v>
      </c>
      <c r="V9" s="138">
        <f>U9*Input!T9/100</f>
        <v>1.3966135550658038E-3</v>
      </c>
      <c r="W9" s="147">
        <v>0</v>
      </c>
      <c r="X9" s="142">
        <f>(((Constants!$B$25*0.000000001*Input!G9/Input!W9*(Constants!$B$11/Constants!$B$9))-(W9*0.000000001))/Input!F9)*1000000000</f>
        <v>0.88429858064144207</v>
      </c>
      <c r="Y9" s="142">
        <f>X9*Input!X9/100</f>
        <v>2.9087921548889462E-3</v>
      </c>
      <c r="Z9" s="142">
        <f>(X9/Constants!$B$11)*6.022E+23*0.000000001*Constants!$B$19/(365.2425*24*60)</f>
        <v>2.1588587178531004E-4</v>
      </c>
      <c r="AA9" s="142">
        <f>Z9*Input!X9/100</f>
        <v>7.1013020256683356E-7</v>
      </c>
      <c r="AB9" s="143">
        <v>0</v>
      </c>
      <c r="AC9" s="143">
        <v>0.9</v>
      </c>
      <c r="AD9" s="142">
        <f>(((Input!G9*Constants!$B$25*0.000000001*Input!U9*(Constants!$B$10/Constants!$B$9))-((AB9*0.000000000000001)+(Input!G9*AC9*0.000000000000001)))/Input!F9)*1000000000000</f>
        <v>223.77691645743397</v>
      </c>
      <c r="AE9" s="142">
        <f>AD9*Input!V9/100</f>
        <v>0.50593988149525915</v>
      </c>
      <c r="AF9" s="142">
        <f>(AD9/Constants!$B$10)*602200000000*Constants!$B$16/(365.2425*24*60)</f>
        <v>10.214446938596781</v>
      </c>
      <c r="AG9" s="142">
        <f>AF9*Input!V9/100</f>
        <v>2.3093964093639154E-2</v>
      </c>
      <c r="AH9" s="138">
        <f t="shared" ref="AH9" si="13">AF9/Z9</f>
        <v>47314.105615742403</v>
      </c>
      <c r="AI9" s="147">
        <f t="shared" ref="AI9" si="14">AH9*SQRT((AG9/AF9)^2+(AA9/Z9)^2)</f>
        <v>188.85221787826225</v>
      </c>
      <c r="AJ9" s="144">
        <f t="shared" si="0"/>
        <v>0.20777937156157833</v>
      </c>
      <c r="AK9" s="147">
        <f t="shared" ref="AK9" si="15">V9*1000</f>
        <v>1.3966135550658039</v>
      </c>
      <c r="AL9" s="147">
        <f t="shared" ref="AL9" si="16">AF9/Q9</f>
        <v>0.99924756085287259</v>
      </c>
      <c r="AM9" s="147">
        <f t="shared" ref="AM9" si="17">AL9*SQRT((R9/Q9)^2+(AG9/AF9)^2)</f>
        <v>2.2611832835853639E-3</v>
      </c>
      <c r="AN9" s="138">
        <f>AF9/Q9</f>
        <v>0.99924756085287259</v>
      </c>
      <c r="AO9" s="142">
        <f t="shared" ref="AO9" si="18">AN9*SQRT((R9/Q9)^2+(AG9/AF9)^2)</f>
        <v>2.2611832835853639E-3</v>
      </c>
      <c r="AP9" s="138">
        <f t="shared" si="1"/>
        <v>747.93859999999995</v>
      </c>
      <c r="AQ9" s="138" t="e">
        <f t="shared" si="2"/>
        <v>#VALUE!</v>
      </c>
      <c r="AR9" s="138" t="e">
        <f>(AQ9/AP9)*100</f>
        <v>#VALUE!</v>
      </c>
      <c r="AS9" s="146">
        <f t="shared" si="3"/>
        <v>2.1119443088878802E-5</v>
      </c>
      <c r="AT9" s="146">
        <f t="shared" si="4"/>
        <v>6.9498491371204141E-8</v>
      </c>
      <c r="AU9" s="138">
        <v>0.75</v>
      </c>
      <c r="AV9" s="138">
        <f t="shared" ref="AV9" si="19">AU9/2</f>
        <v>0.375</v>
      </c>
      <c r="AW9" s="138">
        <f t="shared" si="5"/>
        <v>747.93690000000004</v>
      </c>
      <c r="AX9" s="148">
        <f t="shared" si="6"/>
        <v>351.6343621474</v>
      </c>
      <c r="AY9" s="148">
        <f t="shared" si="7"/>
        <v>310.57990352428567</v>
      </c>
      <c r="AZ9" s="149">
        <f t="shared" si="8"/>
        <v>0.47013907476339245</v>
      </c>
      <c r="BA9" s="138" t="str">
        <f>Input!B9</f>
        <v>Hu1-13</v>
      </c>
      <c r="BB9" s="150">
        <f>Input!E9</f>
        <v>0</v>
      </c>
      <c r="BC9" s="138">
        <f>((U9-1)*EXP(Constants!$B$17*AW9*1000))*1000</f>
        <v>1.7150535971843033</v>
      </c>
      <c r="BD9" s="144">
        <f>SQRT((EXP(Constants!$B$17*AW9*1000)*V9)^2+((U9-1)*Constants!$B$17*EXP(Constants!$B$17*AW9*1000)*AY9*1000)^2)*1000</f>
        <v>11.625528046469926</v>
      </c>
      <c r="BE9" s="138">
        <f t="shared" si="9"/>
        <v>747878.9</v>
      </c>
      <c r="BF9" s="151">
        <f t="shared" si="10"/>
        <v>155289.95176214282</v>
      </c>
      <c r="BG9" s="160">
        <f t="shared" si="11"/>
        <v>41.524880444364442</v>
      </c>
      <c r="BH9" s="138"/>
      <c r="BI9" s="18"/>
      <c r="BJ9" s="18"/>
      <c r="BK9" s="18"/>
      <c r="BL9" s="18"/>
      <c r="BM9" s="18"/>
      <c r="BN9" s="159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</row>
    <row r="10" spans="1:110" ht="15" customHeight="1" x14ac:dyDescent="0.2">
      <c r="A10" s="18">
        <f>Input!A10</f>
        <v>10920</v>
      </c>
      <c r="B10" s="18" t="str">
        <f>Input!B10</f>
        <v>SO236_7_2</v>
      </c>
      <c r="C10" s="18">
        <f>Input!O10</f>
        <v>2.3128850367962439</v>
      </c>
      <c r="D10" s="18">
        <f>C10*Input!P10/100</f>
        <v>3.6468366452511057E-3</v>
      </c>
      <c r="E10" s="152">
        <f>Input!M10</f>
        <v>2.6855310285679046</v>
      </c>
      <c r="F10" s="153">
        <f>E10*Input!N10/100</f>
        <v>9.7685046603924398E-5</v>
      </c>
      <c r="G10" s="21">
        <f>E10*137.88</f>
        <v>370.28101821894268</v>
      </c>
      <c r="H10" s="153">
        <f>G10*Input!L10/100</f>
        <v>1.5285844097574131E-2</v>
      </c>
      <c r="I10" s="18">
        <v>0.3</v>
      </c>
      <c r="J10" s="129">
        <f>(((C10*Constants!$B$24*0.000000001*Input!G10*(Constants!$B$4/Constants!$B$3))-(I10*0.000000000000001))/Input!F10)*1000000000000</f>
        <v>216.57328822138953</v>
      </c>
      <c r="K10" s="18">
        <f>J10*Input!P10/100</f>
        <v>0.34148147932260237</v>
      </c>
      <c r="L10" s="134">
        <f>(J10/Constants!$B$4)*602200000000*Constants!$B$17/(365.2425*24*60)</f>
        <v>2.9900347084320753</v>
      </c>
      <c r="M10" s="132">
        <f>L10*Input!P10/100</f>
        <v>4.7145309740024973E-3</v>
      </c>
      <c r="N10" s="18">
        <v>5.0000000000000001E-3</v>
      </c>
      <c r="O10" s="129">
        <f>(((G10*Constants!$B$23*0.000000001*Input!G10*(Constants!$B$7/Constants!$B$6))-(N10*0.000000001))/Input!F10)*1000000</f>
        <v>3.4927182914369013</v>
      </c>
      <c r="P10" s="18">
        <f>O10*Input!N10/100</f>
        <v>1.2704613927150751E-4</v>
      </c>
      <c r="Q10" s="130">
        <f>(O10/Constants!$B$7)*602200000000000000*Constants!$B$18/(365.2425*24*60)</f>
        <v>2.6059896207165867</v>
      </c>
      <c r="R10" s="131">
        <f>Q10*Input!N10/100</f>
        <v>9.4791761793492987E-5</v>
      </c>
      <c r="S10" s="132">
        <f>Input!S10*Constants!$B$17/Constants!$B$18</f>
        <v>1.1376779759662206</v>
      </c>
      <c r="T10" s="18">
        <f>S10*Input!T10/100</f>
        <v>4.8940984764643232E-4</v>
      </c>
      <c r="U10" s="18">
        <f>S10*1/((U9+U11)/2)</f>
        <v>1.1380006403308873</v>
      </c>
      <c r="V10" s="18">
        <f>U10*Input!T10/100</f>
        <v>4.8954865240567757E-4</v>
      </c>
      <c r="W10" s="133">
        <v>3.0000000000000001E-3</v>
      </c>
      <c r="X10" s="129">
        <f>IF((((Constants!$B$25*0.000000001*Input!G10/Input!W10*(Constants!$B$11/Constants!$B$9))-(W10*0.000000001))/Input!F10)*1000000000&lt;0, "n.d.", (((Constants!$B$25*0.000000001*Input!G10/Input!W10*(Constants!$B$11/Constants!$B$9))-(W10*0.000000001))/Input!F10)*1000000000)</f>
        <v>0.60711287808861247</v>
      </c>
      <c r="Y10" s="129">
        <f>X10*Input!X10/100</f>
        <v>1.0373494272064312E-3</v>
      </c>
      <c r="Z10" s="129">
        <f>(X10/Constants!$B$11)*6.022E+23*0.000000001*Constants!$B$19/(365.2425*24*60)</f>
        <v>1.4821588073021314E-4</v>
      </c>
      <c r="AA10" s="129">
        <f>Z10*Input!X10/100</f>
        <v>2.5325053137143659E-7</v>
      </c>
      <c r="AB10" s="134">
        <v>0.05</v>
      </c>
      <c r="AC10" s="134">
        <v>0.9</v>
      </c>
      <c r="AD10" s="129">
        <f>(((Input!G10*Constants!$B$25*0.000000001*Input!U10*(Constants!$B$10/Constants!$B$9))-((AB10*0.000000000000001)+(Input!G10*AC10*0.000000000000001)))/Input!F10)*1000000000000</f>
        <v>11.617611970191827</v>
      </c>
      <c r="AE10" s="129">
        <f>AD10*Input!V10/100</f>
        <v>2.1819783086832644E-2</v>
      </c>
      <c r="AF10" s="129">
        <f>(AD10/Constants!$B$10)*602200000000*Constants!$B$16/(365.2425*24*60)</f>
        <v>0.53029366433916203</v>
      </c>
      <c r="AG10" s="129">
        <f>AF10*Input!V10/100</f>
        <v>9.9597858474619874E-4</v>
      </c>
      <c r="AH10" s="18">
        <f>AF10/Z10</f>
        <v>3577.8464610308392</v>
      </c>
      <c r="AI10" s="133">
        <f>AH10*SQRT((AG10/AF10)^2+(AA10/Z10)^2)</f>
        <v>9.0845033657348413</v>
      </c>
      <c r="AJ10" s="132">
        <f t="shared" ref="AJ10:AJ13" si="20">(U10-1)*1000</f>
        <v>138.00064033088734</v>
      </c>
      <c r="AK10" s="133">
        <f>V10*1000</f>
        <v>0.48954865240567758</v>
      </c>
      <c r="AL10" s="133">
        <f>AF10/Q10</f>
        <v>0.20349032096042791</v>
      </c>
      <c r="AM10" s="133">
        <f>AL10*SQRT((R10/Q10)^2+(AG10/AF10)^2)</f>
        <v>3.8225990894261125E-4</v>
      </c>
      <c r="AN10" s="18">
        <f>AL10*1/((AN9+AN11)/2)</f>
        <v>0.20391537379313579</v>
      </c>
      <c r="AO10" s="129">
        <f>AN10*SQRT((R10/Q10)^2+(AG10/AF10)^2)</f>
        <v>3.8305837766760929E-4</v>
      </c>
      <c r="AP10" s="18">
        <f>ThU_Alter_Kombi(AN10,U10)</f>
        <v>21.446300000000001</v>
      </c>
      <c r="AQ10" s="18">
        <f t="shared" ref="AQ10:AQ13" si="21">Montealter(AN10,AO10,U10,V10)</f>
        <v>4.3799999999999999E-2</v>
      </c>
      <c r="AR10" s="154">
        <f>(AQ10/AP10)</f>
        <v>2.0423103285881479E-3</v>
      </c>
      <c r="AS10" s="131">
        <f t="shared" si="3"/>
        <v>5.6875084824573174E-5</v>
      </c>
      <c r="AT10" s="131">
        <f t="shared" si="4"/>
        <v>9.7202194791576497E-8</v>
      </c>
      <c r="AU10" s="18">
        <v>8</v>
      </c>
      <c r="AV10" s="18">
        <f>AU10/2</f>
        <v>4</v>
      </c>
      <c r="AW10" s="18">
        <f t="shared" si="5"/>
        <v>21.402999999999999</v>
      </c>
      <c r="AX10" s="135">
        <f t="shared" si="6"/>
        <v>5.3093435799999998E-2</v>
      </c>
      <c r="AY10" s="135">
        <f t="shared" si="7"/>
        <v>5.0488177099105983E-2</v>
      </c>
      <c r="AZ10" s="154">
        <f t="shared" si="8"/>
        <v>2.4806539176750924E-3</v>
      </c>
      <c r="BA10" s="18" t="str">
        <f>Input!B10</f>
        <v>SO236_7_2</v>
      </c>
      <c r="BB10" s="136">
        <f>Input!E10</f>
        <v>0</v>
      </c>
      <c r="BC10" s="18">
        <f>((U10-1)*EXP(Constants!$B$17*AW10*1000))*1000</f>
        <v>146.59282937605138</v>
      </c>
      <c r="BD10" s="132">
        <f>SQRT((EXP(Constants!$B$17*AW10*1000)*V10)^2+((U10-1)*Constants!$B$17*EXP(Constants!$B$17*AW10*1000)*AY10*1000)^2)*1000</f>
        <v>0.5204481870261809</v>
      </c>
      <c r="BE10" s="18">
        <f t="shared" ref="BE10:BE13" si="22">AW10*1000-58</f>
        <v>21345</v>
      </c>
      <c r="BF10" s="137">
        <f t="shared" ref="BF10:BF13" si="23">AY10/2*1000</f>
        <v>25.244088549552991</v>
      </c>
      <c r="BG10" s="20">
        <f t="shared" ref="BG10:BG13" si="24">AY10/AW10*100</f>
        <v>0.23589299209973361</v>
      </c>
      <c r="BH10" s="18"/>
      <c r="BI10" s="18"/>
      <c r="BJ10" s="18"/>
      <c r="BK10" s="18"/>
      <c r="BL10" s="18"/>
      <c r="BM10" s="18"/>
      <c r="BN10" s="159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</row>
    <row r="11" spans="1:110" ht="15" customHeight="1" x14ac:dyDescent="0.2">
      <c r="A11" s="138">
        <f>Input!A11</f>
        <v>10815</v>
      </c>
      <c r="B11" s="138" t="str">
        <f>Input!B11</f>
        <v>Hu1-13</v>
      </c>
      <c r="C11" s="138">
        <f>Input!O11</f>
        <v>2.08788132870689</v>
      </c>
      <c r="D11" s="138">
        <f>C11*Input!P11/100</f>
        <v>1.0647765385539859E-2</v>
      </c>
      <c r="E11" s="139">
        <f>Input!M11</f>
        <v>2.732731880413926</v>
      </c>
      <c r="F11" s="140">
        <f>E11*Input!N11/100</f>
        <v>2.3510368824626132E-4</v>
      </c>
      <c r="G11" s="141">
        <f t="shared" ref="G11" si="25">E11*137.88</f>
        <v>376.78907167147213</v>
      </c>
      <c r="H11" s="140">
        <f>G11*Input!L11/100</f>
        <v>1.9803568425641196E-2</v>
      </c>
      <c r="I11" s="138">
        <v>0</v>
      </c>
      <c r="J11" s="142">
        <f>(((C11*Constants!$B$24*0.000000001*Input!G11*(Constants!$B$4/Constants!$B$3))-(I11*0.000000000000001))/Input!F11)*1000000000000</f>
        <v>753.80354434332378</v>
      </c>
      <c r="K11" s="138">
        <f>J11*Input!P11/100</f>
        <v>3.8442430499280973</v>
      </c>
      <c r="L11" s="143">
        <f>(J11/Constants!$B$4)*602200000000*Constants!$B$17/(365.2425*24*60)</f>
        <v>10.407094888921081</v>
      </c>
      <c r="M11" s="144">
        <f>L11*Input!P11/100</f>
        <v>5.3074043624363104E-2</v>
      </c>
      <c r="N11" s="138">
        <v>0</v>
      </c>
      <c r="O11" s="142">
        <f>(((G11*Constants!$B$23*0.000000001*Input!G11*(Constants!$B$7/Constants!$B$6))-(N11*0.000000001))/Input!F11)*1000000</f>
        <v>13.703520799991026</v>
      </c>
      <c r="P11" s="138">
        <f>O11*Input!N11/100</f>
        <v>1.1789478159669473E-3</v>
      </c>
      <c r="Q11" s="145">
        <f>(O11/Constants!$B$7)*602200000000000000*Constants!$B$18/(365.2425*24*60)</f>
        <v>10.224481332950246</v>
      </c>
      <c r="R11" s="146">
        <f>Q11*Input!N11/100</f>
        <v>8.7963743864163794E-4</v>
      </c>
      <c r="S11" s="144">
        <f>Input!S11*Constants!$B$17/Constants!$B$18</f>
        <v>0.99922514825038977</v>
      </c>
      <c r="T11" s="138">
        <f>S11*Input!T11/100</f>
        <v>1.1365339556203323E-3</v>
      </c>
      <c r="U11" s="144">
        <f>S11</f>
        <v>0.99922514825038977</v>
      </c>
      <c r="V11" s="138">
        <f>U11*Input!T11/100</f>
        <v>1.1365339556203323E-3</v>
      </c>
      <c r="W11" s="147">
        <v>0</v>
      </c>
      <c r="X11" s="142">
        <f>(((Constants!$B$25*0.000000001*Input!G11/Input!W11*(Constants!$B$11/Constants!$B$9))-(W11*0.000000001))/Input!F11)*1000000000</f>
        <v>0.88616901671194959</v>
      </c>
      <c r="Y11" s="142">
        <f>X11*Input!X11/100</f>
        <v>3.5375119090326002E-3</v>
      </c>
      <c r="Z11" s="142">
        <f>(X11/Constants!$B$11)*6.022E+23*0.000000001*Constants!$B$19/(365.2425*24*60)</f>
        <v>2.1634250569894508E-4</v>
      </c>
      <c r="AA11" s="142">
        <f>Z11*Input!X11/100</f>
        <v>8.6362102026496122E-7</v>
      </c>
      <c r="AB11" s="143">
        <v>0</v>
      </c>
      <c r="AC11" s="143">
        <v>0.9</v>
      </c>
      <c r="AD11" s="142">
        <f>(((Input!G11*Constants!$B$25*0.000000001*Input!U11*(Constants!$B$10/Constants!$B$9))-((AB11*0.000000000000001)+(Input!G11*AC11*0.000000000000001)))/Input!F11)*1000000000000</f>
        <v>223.23146953371091</v>
      </c>
      <c r="AE11" s="142">
        <f>AD11*Input!V11/100</f>
        <v>0.69407331611253031</v>
      </c>
      <c r="AF11" s="142">
        <f>(AD11/Constants!$B$10)*602200000000*Constants!$B$16/(365.2425*24*60)</f>
        <v>10.189549649151603</v>
      </c>
      <c r="AG11" s="142">
        <f>AF11*Input!V11/100</f>
        <v>3.1681440477243784E-2</v>
      </c>
      <c r="AH11" s="138">
        <f t="shared" ref="AH11" si="26">AF11/Z11</f>
        <v>47099.157034498974</v>
      </c>
      <c r="AI11" s="147">
        <f t="shared" ref="AI11" si="27">AH11*SQRT((AG11/AF11)^2+(AA11/Z11)^2)</f>
        <v>238.31694671015887</v>
      </c>
      <c r="AJ11" s="144">
        <f t="shared" si="20"/>
        <v>-0.77485174961022807</v>
      </c>
      <c r="AK11" s="147">
        <f t="shared" ref="AK11" si="28">V11*1000</f>
        <v>1.1365339556203324</v>
      </c>
      <c r="AL11" s="147">
        <f t="shared" ref="AL11" si="29">AF11/Q11</f>
        <v>0.99658352510400017</v>
      </c>
      <c r="AM11" s="147">
        <f t="shared" ref="AM11" si="30">AL11*SQRT((R11/Q11)^2+(AG11/AF11)^2)</f>
        <v>3.0997725384570595E-3</v>
      </c>
      <c r="AN11" s="138">
        <f>AF11/Q11</f>
        <v>0.99658352510400017</v>
      </c>
      <c r="AO11" s="142">
        <f t="shared" ref="AO11" si="31">AN11*SQRT((R11/Q11)^2+(AG11/AF11)^2)</f>
        <v>3.0997725384570595E-3</v>
      </c>
      <c r="AP11" s="138">
        <f t="shared" ref="AP11" si="32">ThU_Alter_Kombi(AN11,U11)</f>
        <v>661.77480000000003</v>
      </c>
      <c r="AQ11" s="138" t="e">
        <f t="shared" si="21"/>
        <v>#VALUE!</v>
      </c>
      <c r="AR11" s="138" t="e">
        <f>(AQ11/AP11)*100</f>
        <v>#VALUE!</v>
      </c>
      <c r="AS11" s="146">
        <f t="shared" si="3"/>
        <v>2.1159264578217979E-5</v>
      </c>
      <c r="AT11" s="146">
        <f t="shared" si="4"/>
        <v>8.4485611929274643E-8</v>
      </c>
      <c r="AU11" s="138">
        <v>0.75</v>
      </c>
      <c r="AV11" s="138">
        <f t="shared" ref="AV11" si="33">AU11/2</f>
        <v>0.375</v>
      </c>
      <c r="AW11" s="138">
        <f t="shared" si="5"/>
        <v>661.7731</v>
      </c>
      <c r="AX11" s="148">
        <f t="shared" si="6"/>
        <v>295.31374530319999</v>
      </c>
      <c r="AY11" s="148">
        <f t="shared" si="7"/>
        <v>164.46784260793387</v>
      </c>
      <c r="AZ11" s="149">
        <f t="shared" si="8"/>
        <v>0.44624622140609826</v>
      </c>
      <c r="BA11" s="138" t="str">
        <f>Input!B11</f>
        <v>Hu1-13</v>
      </c>
      <c r="BB11" s="150">
        <f>Input!E11</f>
        <v>0</v>
      </c>
      <c r="BC11" s="138">
        <f>((U11-1)*EXP(Constants!$B$17*AW11*1000))*1000</f>
        <v>-5.0152327737151534</v>
      </c>
      <c r="BD11" s="144">
        <f>SQRT((EXP(Constants!$B$17*AW11*1000)*V11)^2+((U11-1)*Constants!$B$17*EXP(Constants!$B$17*AW11*1000)*AY11*1000)^2)*1000</f>
        <v>7.7157299253778895</v>
      </c>
      <c r="BE11" s="138">
        <f t="shared" si="22"/>
        <v>661715.1</v>
      </c>
      <c r="BF11" s="151">
        <f t="shared" si="23"/>
        <v>82233.921303966941</v>
      </c>
      <c r="BG11" s="160">
        <f t="shared" si="24"/>
        <v>24.852603197067676</v>
      </c>
      <c r="BH11" s="138"/>
      <c r="BI11" s="18"/>
      <c r="BJ11" s="18"/>
      <c r="BK11" s="18"/>
      <c r="BL11" s="18"/>
      <c r="BM11" s="18"/>
      <c r="BN11" s="159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</row>
    <row r="12" spans="1:110" ht="15" customHeight="1" x14ac:dyDescent="0.2">
      <c r="A12" s="18">
        <f>Input!A12</f>
        <v>10921</v>
      </c>
      <c r="B12" s="18" t="str">
        <f>Input!B12</f>
        <v>SO236_7_3</v>
      </c>
      <c r="C12" s="18">
        <f>Input!O12</f>
        <v>1.8266664318489592</v>
      </c>
      <c r="D12" s="18">
        <f>C12*Input!P12/100</f>
        <v>3.9217969256404566E-3</v>
      </c>
      <c r="E12" s="152">
        <f>Input!M12</f>
        <v>2.1180953482391218</v>
      </c>
      <c r="F12" s="153">
        <f>E12*Input!N12/100</f>
        <v>8.5586652890176049E-5</v>
      </c>
      <c r="G12" s="21">
        <f>E12*137.88</f>
        <v>292.04298661521011</v>
      </c>
      <c r="H12" s="153">
        <f>G12*Input!L12/100</f>
        <v>2.4211938996474561E-2</v>
      </c>
      <c r="I12" s="18">
        <v>0.3</v>
      </c>
      <c r="J12" s="129">
        <f>(((C12*Constants!$B$24*0.000000001*Input!G12*(Constants!$B$4/Constants!$B$3))-(I12*0.000000000000001))/Input!F12)*1000000000000</f>
        <v>204.20062812561684</v>
      </c>
      <c r="K12" s="18">
        <f>J12*Input!P12/100</f>
        <v>0.43841249920287167</v>
      </c>
      <c r="L12" s="134">
        <f>(J12/Constants!$B$4)*602200000000*Constants!$B$17/(365.2425*24*60)</f>
        <v>2.8192163982618221</v>
      </c>
      <c r="M12" s="132">
        <f>L12*Input!P12/100</f>
        <v>6.0527713273994133E-3</v>
      </c>
      <c r="N12" s="18">
        <v>5.0000000000000001E-3</v>
      </c>
      <c r="O12" s="129">
        <f>(((G12*Constants!$B$23*0.000000001*Input!G12*(Constants!$B$7/Constants!$B$6))-(N12*0.000000001))/Input!F12)*1000000</f>
        <v>3.2887116280623627</v>
      </c>
      <c r="P12" s="18">
        <f>O12*Input!N12/100</f>
        <v>1.328881727637328E-4</v>
      </c>
      <c r="Q12" s="130">
        <f>(O12/Constants!$B$7)*602200000000000000*Constants!$B$18/(365.2425*24*60)</f>
        <v>2.4537760143073641</v>
      </c>
      <c r="R12" s="131">
        <f>Q12*Input!N12/100</f>
        <v>9.915062425369859E-5</v>
      </c>
      <c r="S12" s="132">
        <f>Input!S12*Constants!$B$17/Constants!$B$18</f>
        <v>1.1389185735997798</v>
      </c>
      <c r="T12" s="18">
        <f>S12*Input!T12/100</f>
        <v>5.0418782039386538E-4</v>
      </c>
      <c r="U12" s="18">
        <f>S12*1/((U11+U13)/2)</f>
        <v>1.139313901118705</v>
      </c>
      <c r="V12" s="18">
        <f>U12*Input!T12/100</f>
        <v>5.0436282791830906E-4</v>
      </c>
      <c r="W12" s="133">
        <v>3.0000000000000001E-3</v>
      </c>
      <c r="X12" s="129">
        <f>IF((((Constants!$B$25*0.000000001*Input!G12/Input!W12*(Constants!$B$11/Constants!$B$9))-(W12*0.000000001))/Input!F12)*1000000000&lt;0, "n.d.", (((Constants!$B$25*0.000000001*Input!G12/Input!W12*(Constants!$B$11/Constants!$B$9))-(W12*0.000000001))/Input!F12)*1000000000)</f>
        <v>3.3584100855210015</v>
      </c>
      <c r="Y12" s="129">
        <f>X12*Input!X12/100</f>
        <v>6.2470489109364953E-3</v>
      </c>
      <c r="Z12" s="129">
        <f>(X12/Constants!$B$11)*6.022E+23*0.000000001*Constants!$B$19/(365.2425*24*60)</f>
        <v>8.1989647501114714E-4</v>
      </c>
      <c r="AA12" s="129">
        <f>Z12*Input!X12/100</f>
        <v>1.5251065983219486E-6</v>
      </c>
      <c r="AB12" s="134">
        <v>0.05</v>
      </c>
      <c r="AC12" s="134">
        <v>0.9</v>
      </c>
      <c r="AD12" s="129">
        <f>(((Input!G12*Constants!$B$25*0.000000001*Input!U12*(Constants!$B$10/Constants!$B$9))-((AB12*0.000000000000001)+(Input!G12*AC12*0.000000000000001)))/Input!F12)*1000000000000</f>
        <v>11.178066579184446</v>
      </c>
      <c r="AE12" s="129">
        <f>AD12*Input!V12/100</f>
        <v>3.2570122141147448E-2</v>
      </c>
      <c r="AF12" s="129">
        <f>(AD12/Constants!$B$10)*602200000000*Constants!$B$16/(365.2425*24*60)</f>
        <v>0.51023032114619393</v>
      </c>
      <c r="AG12" s="129">
        <f>AF12*Input!V12/100</f>
        <v>1.4866849970991045E-3</v>
      </c>
      <c r="AH12" s="18">
        <f>AF12/Z12</f>
        <v>622.31066567185439</v>
      </c>
      <c r="AI12" s="133">
        <f>AH12*SQRT((AG12/AF12)^2+(AA12/Z12)^2)</f>
        <v>2.1512519978473001</v>
      </c>
      <c r="AJ12" s="132">
        <f t="shared" si="20"/>
        <v>139.31390111870502</v>
      </c>
      <c r="AK12" s="133">
        <f>V12*1000</f>
        <v>0.50436282791830911</v>
      </c>
      <c r="AL12" s="133">
        <f>AF12/Q12</f>
        <v>0.20793679544146104</v>
      </c>
      <c r="AM12" s="133">
        <f>AL12*SQRT((R12/Q12)^2+(AG12/AF12)^2)</f>
        <v>6.0593466490017987E-4</v>
      </c>
      <c r="AN12" s="18">
        <f>AL12*1/((AN11+AN13)/2)</f>
        <v>0.20823800136506845</v>
      </c>
      <c r="AO12" s="129">
        <f>AN12*SQRT((R12/Q12)^2+(AG12/AF12)^2)</f>
        <v>6.0681238887394561E-4</v>
      </c>
      <c r="AP12" s="18">
        <f>ThU_Alter_Kombi(AN12,U12)</f>
        <v>21.9192</v>
      </c>
      <c r="AQ12" s="18">
        <f t="shared" si="21"/>
        <v>7.2300000000000003E-2</v>
      </c>
      <c r="AR12" s="154">
        <f>(AQ12/AP12)</f>
        <v>3.2984780466440381E-3</v>
      </c>
      <c r="AS12" s="131">
        <f t="shared" si="3"/>
        <v>3.3413664092832134E-4</v>
      </c>
      <c r="AT12" s="131">
        <f t="shared" si="4"/>
        <v>6.2168119117340996E-7</v>
      </c>
      <c r="AU12" s="18">
        <v>8</v>
      </c>
      <c r="AV12" s="18">
        <f>AU12/2</f>
        <v>4</v>
      </c>
      <c r="AW12" s="18">
        <f t="shared" si="5"/>
        <v>21.664999999999999</v>
      </c>
      <c r="AX12" s="135">
        <f t="shared" si="6"/>
        <v>0.15099585660000001</v>
      </c>
      <c r="AY12" s="135">
        <f t="shared" si="7"/>
        <v>0.14604722985048035</v>
      </c>
      <c r="AZ12" s="154">
        <f t="shared" si="8"/>
        <v>6.9695756565889685E-3</v>
      </c>
      <c r="BA12" s="18" t="str">
        <f>Input!B12</f>
        <v>SO236_7_3</v>
      </c>
      <c r="BB12" s="136">
        <f>Input!E12</f>
        <v>0</v>
      </c>
      <c r="BC12" s="18">
        <f>((U12-1)*EXP(Constants!$B$17*AW12*1000))*1000</f>
        <v>148.0973160230422</v>
      </c>
      <c r="BD12" s="132">
        <f>SQRT((EXP(Constants!$B$17*AW12*1000)*V12)^2+((U12-1)*Constants!$B$17*EXP(Constants!$B$17*AW12*1000)*AY12*1000)^2)*1000</f>
        <v>0.53962499976682132</v>
      </c>
      <c r="BE12" s="18">
        <f t="shared" si="22"/>
        <v>21607</v>
      </c>
      <c r="BF12" s="137">
        <f t="shared" si="23"/>
        <v>73.023614925240182</v>
      </c>
      <c r="BG12" s="20">
        <f t="shared" si="24"/>
        <v>0.67411599284782076</v>
      </c>
      <c r="BH12" s="18"/>
      <c r="BI12" s="18"/>
      <c r="BJ12" s="18"/>
      <c r="BK12" s="18"/>
      <c r="BL12" s="18"/>
      <c r="BM12" s="18"/>
      <c r="BN12" s="159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</row>
    <row r="13" spans="1:110" ht="15" customHeight="1" x14ac:dyDescent="0.2">
      <c r="A13" s="138">
        <f>Input!A13</f>
        <v>10815</v>
      </c>
      <c r="B13" s="138" t="str">
        <f>Input!B13</f>
        <v>Hu1-13</v>
      </c>
      <c r="C13" s="138">
        <f>Input!O13</f>
        <v>2.1104843991115909</v>
      </c>
      <c r="D13" s="138">
        <f>C13*Input!P13/100</f>
        <v>1.2418125752911569E-2</v>
      </c>
      <c r="E13" s="139">
        <f>Input!M13</f>
        <v>2.7323197116492457</v>
      </c>
      <c r="F13" s="140">
        <f>E13*Input!N13/100</f>
        <v>2.6252011770670162E-4</v>
      </c>
      <c r="G13" s="141">
        <f t="shared" ref="G13" si="34">E13*137.88</f>
        <v>376.73224184219799</v>
      </c>
      <c r="H13" s="140">
        <f>G13*Input!L13/100</f>
        <v>2.4874118805247782E-2</v>
      </c>
      <c r="I13" s="138">
        <v>0</v>
      </c>
      <c r="J13" s="142">
        <f>(((C13*Constants!$B$24*0.000000001*Input!G13*(Constants!$B$4/Constants!$B$3))-(I13*0.000000000000001))/Input!F13)*1000000000000</f>
        <v>761.96410133947131</v>
      </c>
      <c r="K13" s="138">
        <f>J13*Input!P13/100</f>
        <v>4.4834096066386042</v>
      </c>
      <c r="L13" s="143">
        <f>(J13/Constants!$B$4)*602200000000*Constants!$B$17/(365.2425*24*60)</f>
        <v>10.519760439040429</v>
      </c>
      <c r="M13" s="144">
        <f>L13*Input!P13/100</f>
        <v>6.1898447615864584E-2</v>
      </c>
      <c r="N13" s="138">
        <v>0</v>
      </c>
      <c r="O13" s="142">
        <f>(((G13*Constants!$B$23*0.000000001*Input!G13*(Constants!$B$7/Constants!$B$6))-(N13*0.000000001))/Input!F13)*1000000</f>
        <v>13.701453944006955</v>
      </c>
      <c r="P13" s="138">
        <f>O13*Input!N13/100</f>
        <v>1.3164298770741367E-3</v>
      </c>
      <c r="Q13" s="145">
        <f>(O13/Constants!$B$7)*602200000000000000*Constants!$B$18/(365.2425*24*60)</f>
        <v>10.22293920879577</v>
      </c>
      <c r="R13" s="146">
        <f>Q13*Input!N13/100</f>
        <v>9.8221565835046663E-4</v>
      </c>
      <c r="S13" s="144">
        <f>Input!S13*Constants!$B$17/Constants!$B$18</f>
        <v>1.000080877036343</v>
      </c>
      <c r="T13" s="138">
        <f>S13*Input!T13/100</f>
        <v>9.9529605777082361E-4</v>
      </c>
      <c r="U13" s="144">
        <f>S13</f>
        <v>1.000080877036343</v>
      </c>
      <c r="V13" s="138">
        <f>U13*Input!T13/100</f>
        <v>9.9529605777082361E-4</v>
      </c>
      <c r="W13" s="147">
        <v>0</v>
      </c>
      <c r="X13" s="142">
        <f>(((Constants!$B$25*0.000000001*Input!G13/Input!W13*(Constants!$B$11/Constants!$B$9))-(W13*0.000000001))/Input!F13)*1000000000</f>
        <v>0.87395135404264557</v>
      </c>
      <c r="Y13" s="142">
        <f>X13*Input!X13/100</f>
        <v>3.160340986070243E-3</v>
      </c>
      <c r="Z13" s="142">
        <f>(X13/Constants!$B$11)*6.022E+23*0.000000001*Constants!$B$19/(365.2425*24*60)</f>
        <v>2.1335977925984086E-4</v>
      </c>
      <c r="AA13" s="142">
        <f>Z13*Input!X13/100</f>
        <v>7.7154140451262698E-7</v>
      </c>
      <c r="AB13" s="143">
        <v>0</v>
      </c>
      <c r="AC13" s="143">
        <v>0.9</v>
      </c>
      <c r="AD13" s="142">
        <f>(((Input!G13*Constants!$B$25*0.000000001*Input!U13*(Constants!$B$10/Constants!$B$9))-((AB13*0.000000000000001)+(Input!G13*AC13*0.000000000000001)))/Input!F13)*1000000000000</f>
        <v>224.08022536855901</v>
      </c>
      <c r="AE13" s="142">
        <f>AD13*Input!V13/100</f>
        <v>0.57985998280697471</v>
      </c>
      <c r="AF13" s="142">
        <f>(AD13/Constants!$B$10)*602200000000*Constants!$B$16/(365.2425*24*60)</f>
        <v>10.228291676596285</v>
      </c>
      <c r="AG13" s="142">
        <f>AF13*Input!V13/100</f>
        <v>2.646809653096693E-2</v>
      </c>
      <c r="AH13" s="138">
        <f t="shared" ref="AH13" si="35">AF13/Z13</f>
        <v>47939.174440838397</v>
      </c>
      <c r="AI13" s="147">
        <f t="shared" ref="AI13" si="36">AH13*SQRT((AG13/AF13)^2+(AA13/Z13)^2)</f>
        <v>213.1699478202774</v>
      </c>
      <c r="AJ13" s="144">
        <f t="shared" si="20"/>
        <v>8.0877036342963393E-2</v>
      </c>
      <c r="AK13" s="147">
        <f t="shared" ref="AK13" si="37">V13*1000</f>
        <v>0.99529605777082364</v>
      </c>
      <c r="AL13" s="147">
        <f t="shared" ref="AL13" si="38">AF13/Q13</f>
        <v>1.0005235742569916</v>
      </c>
      <c r="AM13" s="147">
        <f t="shared" ref="AM13" si="39">AL13*SQRT((R13/Q13)^2+(AG13/AF13)^2)</f>
        <v>2.5908726953707746E-3</v>
      </c>
      <c r="AN13" s="138">
        <f>AF13/Q13</f>
        <v>1.0005235742569916</v>
      </c>
      <c r="AO13" s="142">
        <f t="shared" ref="AO13" si="40">AN13*SQRT((R13/Q13)^2+(AG13/AF13)^2)</f>
        <v>2.5908726953707746E-3</v>
      </c>
      <c r="AP13" s="138" t="str">
        <f t="shared" ref="AP13" si="41">ThU_Alter_Kombi(AN13,U13)</f>
        <v>Out of range</v>
      </c>
      <c r="AQ13" s="138" t="e">
        <f t="shared" si="21"/>
        <v>#VALUE!</v>
      </c>
      <c r="AR13" s="138" t="e">
        <f>(AQ13/AP13)*100</f>
        <v>#VALUE!</v>
      </c>
      <c r="AS13" s="146">
        <f t="shared" si="3"/>
        <v>2.0870688448999782E-5</v>
      </c>
      <c r="AT13" s="146">
        <f t="shared" si="4"/>
        <v>7.5498217517948523E-8</v>
      </c>
      <c r="AU13" s="138">
        <v>0.75</v>
      </c>
      <c r="AV13" s="138">
        <f t="shared" ref="AV13" si="42">AU13/2</f>
        <v>0.375</v>
      </c>
      <c r="AW13" s="138" t="str">
        <f t="shared" si="5"/>
        <v>Out of range</v>
      </c>
      <c r="AX13" s="148">
        <f t="shared" si="6"/>
        <v>351.36440772219999</v>
      </c>
      <c r="AY13" s="148" t="e">
        <f t="shared" si="7"/>
        <v>#VALUE!</v>
      </c>
      <c r="AZ13" s="149" t="e">
        <f t="shared" si="8"/>
        <v>#VALUE!</v>
      </c>
      <c r="BA13" s="138" t="str">
        <f>Input!B13</f>
        <v>Hu1-13</v>
      </c>
      <c r="BB13" s="150">
        <f>Input!E13</f>
        <v>0</v>
      </c>
      <c r="BC13" s="138" t="e">
        <f>((U13-1)*EXP(Constants!$B$17*AW13*1000))*1000</f>
        <v>#VALUE!</v>
      </c>
      <c r="BD13" s="144" t="e">
        <f>SQRT((EXP(Constants!$B$17*AW13*1000)*V13)^2+((U13-1)*Constants!$B$17*EXP(Constants!$B$17*AW13*1000)*AY13*1000)^2)*1000</f>
        <v>#VALUE!</v>
      </c>
      <c r="BE13" s="138" t="e">
        <f t="shared" si="22"/>
        <v>#VALUE!</v>
      </c>
      <c r="BF13" s="151" t="e">
        <f t="shared" si="23"/>
        <v>#VALUE!</v>
      </c>
      <c r="BG13" s="160" t="e">
        <f t="shared" si="24"/>
        <v>#VALUE!</v>
      </c>
      <c r="BH13" s="138"/>
      <c r="BI13" s="18"/>
      <c r="BJ13" s="18"/>
      <c r="BK13" s="18"/>
      <c r="BL13" s="18"/>
      <c r="BM13" s="18"/>
      <c r="BN13" s="159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</row>
    <row r="14" spans="1:110" ht="15" customHeight="1" x14ac:dyDescent="0.2">
      <c r="A14" s="18">
        <f>Input!A14</f>
        <v>10922</v>
      </c>
      <c r="B14" s="18" t="str">
        <f>Input!B14</f>
        <v>SO236_7_4</v>
      </c>
      <c r="C14" s="18">
        <f>Input!O14</f>
        <v>1.3475109510353851</v>
      </c>
      <c r="D14" s="18">
        <f>C14*Input!P14/100</f>
        <v>3.0498166682704601E-3</v>
      </c>
      <c r="E14" s="152">
        <f>Input!M14</f>
        <v>1.5650410058902895</v>
      </c>
      <c r="F14" s="153">
        <f>E14*Input!N14/100</f>
        <v>5.8628433520472018E-5</v>
      </c>
      <c r="G14" s="21">
        <f>E14*137.88</f>
        <v>215.78785389215309</v>
      </c>
      <c r="H14" s="153">
        <f>G14*Input!L14/100</f>
        <v>9.197451844053503E-3</v>
      </c>
      <c r="I14" s="18">
        <v>0.3</v>
      </c>
      <c r="J14" s="129">
        <f>(((C14*Constants!$B$24*0.000000001*Input!G14*(Constants!$B$4/Constants!$B$3))-(I14*0.000000000000001))/Input!F14)*1000000000000</f>
        <v>223.46941485016683</v>
      </c>
      <c r="K14" s="18">
        <f>J14*Input!P14/100</f>
        <v>0.50577751945912619</v>
      </c>
      <c r="L14" s="134">
        <f>(J14/Constants!$B$4)*602200000000*Constants!$B$17/(365.2425*24*60)</f>
        <v>3.0852433934140779</v>
      </c>
      <c r="M14" s="132">
        <f>L14*Input!P14/100</f>
        <v>6.9828202284186744E-3</v>
      </c>
      <c r="N14" s="18">
        <v>5.0000000000000001E-3</v>
      </c>
      <c r="O14" s="129">
        <f>(((G14*Constants!$B$23*0.000000001*Input!G14*(Constants!$B$7/Constants!$B$6))-(N14*0.000000001))/Input!F14)*1000000</f>
        <v>3.6049054588093097</v>
      </c>
      <c r="P14" s="18">
        <f>O14*Input!N14/100</f>
        <v>1.3504435937712682E-4</v>
      </c>
      <c r="Q14" s="130">
        <f>(O14/Constants!$B$7)*602200000000000000*Constants!$B$18/(365.2425*24*60)</f>
        <v>2.6896947951266927</v>
      </c>
      <c r="R14" s="131">
        <f>Q14*Input!N14/100</f>
        <v>1.0075939984507937E-4</v>
      </c>
      <c r="S14" s="132">
        <f>Input!S14*Constants!$B$17/Constants!$B$18</f>
        <v>1.1378452892996938</v>
      </c>
      <c r="T14" s="18">
        <f>S14*Input!T14/100</f>
        <v>8.0628631648049386E-4</v>
      </c>
      <c r="U14" s="18">
        <f>S14*1/((U13+U15)/2)</f>
        <v>1.1379089027194549</v>
      </c>
      <c r="V14" s="18">
        <f>U14*Input!T14/100</f>
        <v>8.0633139346097645E-4</v>
      </c>
      <c r="W14" s="133">
        <v>3.0000000000000001E-3</v>
      </c>
      <c r="X14" s="129">
        <f>IF((((Constants!$B$25*0.000000001*Input!G14/Input!W14*(Constants!$B$11/Constants!$B$9))-(W14*0.000000001))/Input!F14)*1000000000&lt;0, "n.d.", (((Constants!$B$25*0.000000001*Input!G14/Input!W14*(Constants!$B$11/Constants!$B$9))-(W14*0.000000001))/Input!F14)*1000000000)</f>
        <v>1.074998092112174</v>
      </c>
      <c r="Y14" s="129">
        <f>X14*Input!X14/100</f>
        <v>1.8917298414796824E-3</v>
      </c>
      <c r="Z14" s="129">
        <f>(X14/Constants!$B$11)*6.022E+23*0.000000001*Constants!$B$19/(365.2425*24*60)</f>
        <v>2.6244178760848009E-4</v>
      </c>
      <c r="AA14" s="129">
        <f>Z14*Input!X14/100</f>
        <v>4.6183241152992569E-7</v>
      </c>
      <c r="AB14" s="134">
        <v>0.05</v>
      </c>
      <c r="AC14" s="134">
        <v>0.9</v>
      </c>
      <c r="AD14" s="129">
        <f>(((Input!G14*Constants!$B$25*0.000000001*Input!U14*(Constants!$B$10/Constants!$B$9))-((AB14*0.000000000000001)+(Input!G14*AC14*0.000000000000001)))/Input!F14)*1000000000000</f>
        <v>12.000518485217466</v>
      </c>
      <c r="AE14" s="129">
        <f>AD14*Input!V14/100</f>
        <v>3.6803653325442942E-2</v>
      </c>
      <c r="AF14" s="129">
        <f>(AD14/Constants!$B$10)*602200000000*Constants!$B$16/(365.2425*24*60)</f>
        <v>0.54777168817687272</v>
      </c>
      <c r="AG14" s="129">
        <f>AF14*Input!V14/100</f>
        <v>1.6799273579710609E-3</v>
      </c>
      <c r="AH14" s="18">
        <f>AF14/Z14</f>
        <v>2087.2121515726672</v>
      </c>
      <c r="AI14" s="133">
        <f>AH14*SQRT((AG14/AF14)^2+(AA14/Z14)^2)</f>
        <v>7.3800662015403189</v>
      </c>
      <c r="AJ14" s="132">
        <f t="shared" ref="AJ14:AJ19" si="43">(U14-1)*1000</f>
        <v>137.90890271945489</v>
      </c>
      <c r="AK14" s="133">
        <f>V14*1000</f>
        <v>0.80633139346097649</v>
      </c>
      <c r="AL14" s="133">
        <f>AF14/Q14</f>
        <v>0.20365570442020023</v>
      </c>
      <c r="AM14" s="133">
        <f>AL14*SQRT((R14/Q14)^2+(AG14/AF14)^2)</f>
        <v>6.2462576910146856E-4</v>
      </c>
      <c r="AN14" s="18">
        <f>AL14*1/((AN13+AN15)/2)</f>
        <v>0.20376166233265955</v>
      </c>
      <c r="AO14" s="129">
        <f>AN14*SQRT((R14/Q14)^2+(AG14/AF14)^2)</f>
        <v>6.2495074915911396E-4</v>
      </c>
      <c r="AP14" s="18">
        <f>ThU_Alter_Kombi(AN14,U14)</f>
        <v>21.430399999999999</v>
      </c>
      <c r="AQ14" s="18">
        <f t="shared" ref="AQ14:AQ19" si="44">Montealter(AN14,AO14,U14,V14)</f>
        <v>7.85E-2</v>
      </c>
      <c r="AR14" s="154">
        <f>(AQ14/AP14)</f>
        <v>3.6630207555621921E-3</v>
      </c>
      <c r="AS14" s="131">
        <f t="shared" si="3"/>
        <v>9.7573073377687182E-5</v>
      </c>
      <c r="AT14" s="131">
        <f t="shared" si="4"/>
        <v>1.7174329410417413E-7</v>
      </c>
      <c r="AU14" s="18">
        <v>8</v>
      </c>
      <c r="AV14" s="18">
        <f>AU14/2</f>
        <v>4</v>
      </c>
      <c r="AW14" s="18">
        <f t="shared" si="5"/>
        <v>21.356200000000001</v>
      </c>
      <c r="AX14" s="135">
        <f t="shared" si="6"/>
        <v>8.8846079499999994E-2</v>
      </c>
      <c r="AY14" s="135">
        <f t="shared" si="7"/>
        <v>8.3199521358228987E-2</v>
      </c>
      <c r="AZ14" s="154">
        <f t="shared" si="8"/>
        <v>4.1602007613714045E-3</v>
      </c>
      <c r="BA14" s="18" t="str">
        <f>Input!B14</f>
        <v>SO236_7_4</v>
      </c>
      <c r="BB14" s="136">
        <f>Input!E14</f>
        <v>0</v>
      </c>
      <c r="BC14" s="18">
        <f>((U14-1)*EXP(Constants!$B$17*AW14*1000))*1000</f>
        <v>146.47603328200603</v>
      </c>
      <c r="BD14" s="132">
        <f>SQRT((EXP(Constants!$B$17*AW14*1000)*V14)^2+((U14-1)*Constants!$B$17*EXP(Constants!$B$17*AW14*1000)*AY14*1000)^2)*1000</f>
        <v>0.85711230442223196</v>
      </c>
      <c r="BE14" s="18">
        <f t="shared" ref="BE14:BE19" si="45">AW14*1000-58</f>
        <v>21298.2</v>
      </c>
      <c r="BF14" s="137">
        <f t="shared" ref="BF14:BF19" si="46">AY14/2*1000</f>
        <v>41.599760679114496</v>
      </c>
      <c r="BG14" s="20">
        <f t="shared" ref="BG14:BG19" si="47">AY14/AW14*100</f>
        <v>0.38958017511649534</v>
      </c>
      <c r="BH14" s="18"/>
      <c r="BI14" s="18"/>
      <c r="BJ14" s="18"/>
      <c r="BK14" s="18"/>
      <c r="BL14" s="18"/>
      <c r="BM14" s="18"/>
      <c r="BN14" s="159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</row>
    <row r="15" spans="1:110" ht="15" customHeight="1" x14ac:dyDescent="0.2">
      <c r="A15" s="138">
        <f>Input!A15</f>
        <v>10815</v>
      </c>
      <c r="B15" s="138" t="str">
        <f>Input!B15</f>
        <v>Hu1-13</v>
      </c>
      <c r="C15" s="138">
        <f>Input!O15</f>
        <v>2.0917607549019732</v>
      </c>
      <c r="D15" s="138">
        <f>C15*Input!P15/100</f>
        <v>1.2833836384879345E-2</v>
      </c>
      <c r="E15" s="139">
        <f>Input!M15</f>
        <v>2.7324340201012309</v>
      </c>
      <c r="F15" s="140">
        <f>E15*Input!N15/100</f>
        <v>2.4164222540693365E-4</v>
      </c>
      <c r="G15" s="141">
        <f t="shared" ref="G15" si="48">E15*137.88</f>
        <v>376.7480026915577</v>
      </c>
      <c r="H15" s="140">
        <f>G15*Input!L15/100</f>
        <v>1.9212958158275843E-2</v>
      </c>
      <c r="I15" s="138">
        <v>0</v>
      </c>
      <c r="J15" s="142">
        <f>(((C15*Constants!$B$24*0.000000001*Input!G15*(Constants!$B$4/Constants!$B$3))-(I15*0.000000000000001))/Input!F15)*1000000000000</f>
        <v>755.20416284384135</v>
      </c>
      <c r="K15" s="138">
        <f>J15*Input!P15/100</f>
        <v>4.6334967516740901</v>
      </c>
      <c r="L15" s="143">
        <f>(J15/Constants!$B$4)*602200000000*Constants!$B$17/(365.2425*24*60)</f>
        <v>10.426431982448232</v>
      </c>
      <c r="M15" s="144">
        <f>L15*Input!P15/100</f>
        <v>6.3970567297063866E-2</v>
      </c>
      <c r="N15" s="138">
        <v>0</v>
      </c>
      <c r="O15" s="142">
        <f>(((G15*Constants!$B$23*0.000000001*Input!G15*(Constants!$B$7/Constants!$B$6))-(N15*0.000000001))/Input!F15)*1000000</f>
        <v>13.702027153644027</v>
      </c>
      <c r="P15" s="138">
        <f>O15*Input!N15/100</f>
        <v>1.2117358771100758E-3</v>
      </c>
      <c r="Q15" s="145">
        <f>(O15/Constants!$B$7)*602200000000000000*Constants!$B$18/(365.2425*24*60)</f>
        <v>10.223366892404941</v>
      </c>
      <c r="R15" s="146">
        <f>Q15*Input!N15/100</f>
        <v>9.0410129169039356E-4</v>
      </c>
      <c r="S15" s="144">
        <f>Input!S15*Constants!$B$17/Constants!$B$18</f>
        <v>0.99980731538466883</v>
      </c>
      <c r="T15" s="138">
        <f>S15*Input!T15/100</f>
        <v>1.0647688324078911E-3</v>
      </c>
      <c r="U15" s="144">
        <f>S15</f>
        <v>0.99980731538466883</v>
      </c>
      <c r="V15" s="138">
        <f>U15*Input!T15/100</f>
        <v>1.0647688324078911E-3</v>
      </c>
      <c r="W15" s="147">
        <v>0</v>
      </c>
      <c r="X15" s="142">
        <f>(((Constants!$B$25*0.000000001*Input!G15/Input!W15*(Constants!$B$11/Constants!$B$9))-(W15*0.000000001))/Input!F15)*1000000000</f>
        <v>0.87243836729960267</v>
      </c>
      <c r="Y15" s="142">
        <f>X15*Input!X15/100</f>
        <v>3.201317208215601E-3</v>
      </c>
      <c r="Z15" s="142">
        <f>(X15/Constants!$B$11)*6.022E+23*0.000000001*Constants!$B$19/(365.2425*24*60)</f>
        <v>2.1299041028292304E-4</v>
      </c>
      <c r="AA15" s="142">
        <f>Z15*Input!X15/100</f>
        <v>7.8154502504756271E-7</v>
      </c>
      <c r="AB15" s="143">
        <v>0</v>
      </c>
      <c r="AC15" s="143">
        <v>0.9</v>
      </c>
      <c r="AD15" s="142">
        <f>(((Input!G15*Constants!$B$25*0.000000001*Input!U15*(Constants!$B$10/Constants!$B$9))-((AB15*0.000000000000001)+(Input!G15*AC15*0.000000000000001)))/Input!F15)*1000000000000</f>
        <v>223.62213233077026</v>
      </c>
      <c r="AE15" s="142">
        <f>AD15*Input!V15/100</f>
        <v>0.54145652771058206</v>
      </c>
      <c r="AF15" s="142">
        <f>(AD15/Constants!$B$10)*602200000000*Constants!$B$16/(365.2425*24*60)</f>
        <v>10.207381713667539</v>
      </c>
      <c r="AG15" s="142">
        <f>AF15*Input!V15/100</f>
        <v>2.471514515175037E-2</v>
      </c>
      <c r="AH15" s="138">
        <f t="shared" ref="AH15" si="49">AF15/Z15</f>
        <v>47924.137523885212</v>
      </c>
      <c r="AI15" s="147">
        <f t="shared" ref="AI15" si="50">AH15*SQRT((AG15/AF15)^2+(AA15/Z15)^2)</f>
        <v>210.68710629219734</v>
      </c>
      <c r="AJ15" s="144">
        <f t="shared" si="43"/>
        <v>-0.19268461533117343</v>
      </c>
      <c r="AK15" s="147">
        <f t="shared" ref="AK15" si="51">V15*1000</f>
        <v>1.064768832407891</v>
      </c>
      <c r="AL15" s="147">
        <f t="shared" ref="AL15" si="52">AF15/Q15</f>
        <v>0.99843640760371444</v>
      </c>
      <c r="AM15" s="147">
        <f t="shared" ref="AM15" si="53">AL15*SQRT((R15/Q15)^2+(AG15/AF15)^2)</f>
        <v>2.4191271474515428E-3</v>
      </c>
      <c r="AN15" s="138">
        <f>AF15/Q15</f>
        <v>0.99843640760371444</v>
      </c>
      <c r="AO15" s="142">
        <f t="shared" ref="AO15" si="54">AN15*SQRT((R15/Q15)^2+(AG15/AF15)^2)</f>
        <v>2.4191271474515428E-3</v>
      </c>
      <c r="AP15" s="138">
        <f t="shared" ref="AP15" si="55">ThU_Alter_Kombi(AN15,U15)</f>
        <v>725.65790000000004</v>
      </c>
      <c r="AQ15" s="138" t="e">
        <f t="shared" si="44"/>
        <v>#VALUE!</v>
      </c>
      <c r="AR15" s="138" t="e">
        <f>(AQ15/AP15)*100</f>
        <v>#VALUE!</v>
      </c>
      <c r="AS15" s="146">
        <f t="shared" si="3"/>
        <v>2.0833685470210024E-5</v>
      </c>
      <c r="AT15" s="146">
        <f t="shared" si="4"/>
        <v>7.6469129750047661E-8</v>
      </c>
      <c r="AU15" s="138">
        <v>0.75</v>
      </c>
      <c r="AV15" s="138">
        <f t="shared" ref="AV15" si="56">AU15/2</f>
        <v>0.375</v>
      </c>
      <c r="AW15" s="138">
        <f t="shared" si="5"/>
        <v>725.65620000000001</v>
      </c>
      <c r="AX15" s="148">
        <f t="shared" si="6"/>
        <v>346.17127907370002</v>
      </c>
      <c r="AY15" s="148">
        <f t="shared" si="7"/>
        <v>240.53884303665569</v>
      </c>
      <c r="AZ15" s="149">
        <f t="shared" si="8"/>
        <v>0.47704585046431081</v>
      </c>
      <c r="BA15" s="138" t="str">
        <f>Input!B15</f>
        <v>Hu1-13</v>
      </c>
      <c r="BB15" s="150">
        <f>Input!E15</f>
        <v>0</v>
      </c>
      <c r="BC15" s="138">
        <f>((U15-1)*EXP(Constants!$B$17*AW15*1000))*1000</f>
        <v>-1.493533503970786</v>
      </c>
      <c r="BD15" s="144">
        <f>SQRT((EXP(Constants!$B$17*AW15*1000)*V15)^2+((U15-1)*Constants!$B$17*EXP(Constants!$B$17*AW15*1000)*AY15*1000)^2)*1000</f>
        <v>8.3152538576565114</v>
      </c>
      <c r="BE15" s="138">
        <f t="shared" si="45"/>
        <v>725598.20000000007</v>
      </c>
      <c r="BF15" s="151">
        <f t="shared" si="46"/>
        <v>120269.42151832784</v>
      </c>
      <c r="BG15" s="160">
        <f t="shared" si="47"/>
        <v>33.147769293042032</v>
      </c>
      <c r="BH15" s="138"/>
      <c r="BI15" s="18"/>
      <c r="BJ15" s="18"/>
      <c r="BK15" s="18"/>
      <c r="BL15" s="18"/>
      <c r="BM15" s="18"/>
      <c r="BN15" s="159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</row>
    <row r="16" spans="1:110" ht="15" customHeight="1" x14ac:dyDescent="0.2">
      <c r="A16" s="18">
        <f>Input!A16</f>
        <v>10923</v>
      </c>
      <c r="B16" s="18" t="str">
        <f>Input!B16</f>
        <v>SO236_7_5</v>
      </c>
      <c r="C16" s="18">
        <f>Input!O16</f>
        <v>1.9366625336441563</v>
      </c>
      <c r="D16" s="18">
        <f>C16*Input!P16/100</f>
        <v>4.3446790313561726E-3</v>
      </c>
      <c r="E16" s="152">
        <f>Input!M16</f>
        <v>2.2418026809869609</v>
      </c>
      <c r="F16" s="153">
        <f>E16*Input!N16/100</f>
        <v>9.8358281531167867E-5</v>
      </c>
      <c r="G16" s="21">
        <f>E16*137.88</f>
        <v>309.09975365448219</v>
      </c>
      <c r="H16" s="153">
        <f>G16*Input!L16/100</f>
        <v>1.9604994085324668E-2</v>
      </c>
      <c r="I16" s="18">
        <v>0.3</v>
      </c>
      <c r="J16" s="129">
        <f>(((C16*Constants!$B$24*0.000000001*Input!G16*(Constants!$B$4/Constants!$B$3))-(I16*0.000000000000001))/Input!F16)*1000000000000</f>
        <v>189.2876279435101</v>
      </c>
      <c r="K16" s="18">
        <f>J16*Input!P16/100</f>
        <v>0.42464496200783336</v>
      </c>
      <c r="L16" s="134">
        <f>(J16/Constants!$B$4)*602200000000*Constants!$B$17/(365.2425*24*60)</f>
        <v>2.6133258726224327</v>
      </c>
      <c r="M16" s="132">
        <f>L16*Input!P16/100</f>
        <v>5.862695190121058E-3</v>
      </c>
      <c r="N16" s="18">
        <v>5.0000000000000001E-3</v>
      </c>
      <c r="O16" s="129">
        <f>(((G16*Constants!$B$23*0.000000001*Input!G16*(Constants!$B$7/Constants!$B$6))-(N16*0.000000001))/Input!F16)*1000000</f>
        <v>3.0433235701837313</v>
      </c>
      <c r="P16" s="18">
        <f>O16*Input!N16/100</f>
        <v>1.3352472054979731E-4</v>
      </c>
      <c r="Q16" s="130">
        <f>(O16/Constants!$B$7)*602200000000000000*Constants!$B$18/(365.2425*24*60)</f>
        <v>2.2706868904443476</v>
      </c>
      <c r="R16" s="131">
        <f>Q16*Input!N16/100</f>
        <v>9.962556577063719E-5</v>
      </c>
      <c r="S16" s="132">
        <f>Input!S16*Constants!$B$17/Constants!$B$18</f>
        <v>1.1425998412939014</v>
      </c>
      <c r="T16" s="18">
        <f>S16*Input!T16/100</f>
        <v>6.31360002883077E-4</v>
      </c>
      <c r="U16" s="18">
        <f>S16*1/((U15+U17)/2)</f>
        <v>1.1423691630624695</v>
      </c>
      <c r="V16" s="18">
        <f>U16*Input!T16/100</f>
        <v>6.3123253830309157E-4</v>
      </c>
      <c r="W16" s="133">
        <v>3.0000000000000001E-3</v>
      </c>
      <c r="X16" s="129">
        <f>IF((((Constants!$B$25*0.000000001*Input!G16/Input!W16*(Constants!$B$11/Constants!$B$9))-(W16*0.000000001))/Input!F16)*1000000000&lt;0, "n.d.", (((Constants!$B$25*0.000000001*Input!G16/Input!W16*(Constants!$B$11/Constants!$B$9))-(W16*0.000000001))/Input!F16)*1000000000)</f>
        <v>0.6405521633508362</v>
      </c>
      <c r="Y16" s="129">
        <f>X16*Input!X16/100</f>
        <v>1.1708413987909659E-3</v>
      </c>
      <c r="Z16" s="129">
        <f>(X16/Constants!$B$11)*6.022E+23*0.000000001*Constants!$B$19/(365.2425*24*60)</f>
        <v>1.5637949131237238E-4</v>
      </c>
      <c r="AA16" s="129">
        <f>Z16*Input!X16/100</f>
        <v>2.8584023726123093E-7</v>
      </c>
      <c r="AB16" s="134">
        <v>0.05</v>
      </c>
      <c r="AC16" s="134">
        <v>0.9</v>
      </c>
      <c r="AD16" s="129">
        <f>(((Input!G16*Constants!$B$25*0.000000001*Input!U16*(Constants!$B$10/Constants!$B$9))-((AB16*0.000000000000001)+(Input!G16*AC16*0.000000000000001)))/Input!F16)*1000000000000</f>
        <v>9.7733417058121592</v>
      </c>
      <c r="AE16" s="129">
        <f>AD16*Input!V16/100</f>
        <v>2.2173016822382586E-2</v>
      </c>
      <c r="AF16" s="129">
        <f>(AD16/Constants!$B$10)*602200000000*Constants!$B$16/(365.2425*24*60)</f>
        <v>0.44611071529257756</v>
      </c>
      <c r="AG16" s="129">
        <f>AF16*Input!V16/100</f>
        <v>1.0121021747295455E-3</v>
      </c>
      <c r="AH16" s="18">
        <f>AF16/Z16</f>
        <v>2852.7443819436594</v>
      </c>
      <c r="AI16" s="133">
        <f>AH16*SQRT((AG16/AF16)^2+(AA16/Z16)^2)</f>
        <v>8.3113284074705032</v>
      </c>
      <c r="AJ16" s="132">
        <f t="shared" si="43"/>
        <v>142.36916306246948</v>
      </c>
      <c r="AK16" s="133">
        <f>V16*1000</f>
        <v>0.63123253830309156</v>
      </c>
      <c r="AL16" s="133">
        <f>AF16/Q16</f>
        <v>0.19646509484417676</v>
      </c>
      <c r="AM16" s="133">
        <f>AL16*SQRT((R16/Q16)^2+(AG16/AF16)^2)</f>
        <v>4.458084560033152E-4</v>
      </c>
      <c r="AN16" s="18">
        <f>AL16*1/((AN15+AN17)/2)</f>
        <v>0.19679543424410956</v>
      </c>
      <c r="AO16" s="129">
        <f>AN16*SQRT((R16/Q16)^2+(AG16/AF16)^2)</f>
        <v>4.4655804512477165E-4</v>
      </c>
      <c r="AP16" s="18">
        <f>ThU_Alter_Kombi(AN16,U16)</f>
        <v>20.536300000000001</v>
      </c>
      <c r="AQ16" s="18">
        <f t="shared" si="44"/>
        <v>4.8000000000000001E-2</v>
      </c>
      <c r="AR16" s="154">
        <f>(AQ16/AP16)</f>
        <v>2.337324639784187E-3</v>
      </c>
      <c r="AS16" s="131">
        <f t="shared" si="3"/>
        <v>6.8868804400315487E-5</v>
      </c>
      <c r="AT16" s="131">
        <f t="shared" si="4"/>
        <v>1.2591897670556603E-7</v>
      </c>
      <c r="AU16" s="18">
        <v>8</v>
      </c>
      <c r="AV16" s="18">
        <f>AU16/2</f>
        <v>4</v>
      </c>
      <c r="AW16" s="18">
        <f t="shared" si="5"/>
        <v>20.484100000000002</v>
      </c>
      <c r="AX16" s="135">
        <f t="shared" si="6"/>
        <v>5.6643583300000001E-2</v>
      </c>
      <c r="AY16" s="135">
        <f t="shared" si="7"/>
        <v>5.8828610587434993E-2</v>
      </c>
      <c r="AZ16" s="154">
        <f t="shared" si="8"/>
        <v>2.7652463764578378E-3</v>
      </c>
      <c r="BA16" s="18" t="str">
        <f>Input!B16</f>
        <v>SO236_7_5</v>
      </c>
      <c r="BB16" s="136">
        <f>Input!E16</f>
        <v>0</v>
      </c>
      <c r="BC16" s="18">
        <f>((U16-1)*EXP(Constants!$B$17*AW16*1000))*1000</f>
        <v>150.84167597074673</v>
      </c>
      <c r="BD16" s="132">
        <f>SQRT((EXP(Constants!$B$17*AW16*1000)*V16)^2+((U16-1)*Constants!$B$17*EXP(Constants!$B$17*AW16*1000)*AY16*1000)^2)*1000</f>
        <v>0.66926641544112475</v>
      </c>
      <c r="BE16" s="18">
        <f t="shared" si="45"/>
        <v>20426.100000000002</v>
      </c>
      <c r="BF16" s="137">
        <f t="shared" si="46"/>
        <v>29.414305293717497</v>
      </c>
      <c r="BG16" s="20">
        <f t="shared" si="47"/>
        <v>0.28719158072570916</v>
      </c>
      <c r="BH16" s="18"/>
      <c r="BI16" s="18"/>
      <c r="BJ16" s="18"/>
      <c r="BK16" s="18"/>
      <c r="BL16" s="18"/>
      <c r="BM16" s="18"/>
      <c r="BN16" s="159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</row>
    <row r="17" spans="1:110" ht="15" customHeight="1" x14ac:dyDescent="0.2">
      <c r="A17" s="138">
        <f>Input!A17</f>
        <v>10815</v>
      </c>
      <c r="B17" s="138" t="str">
        <f>Input!B17</f>
        <v>Hu1-13</v>
      </c>
      <c r="C17" s="138">
        <f>Input!O17</f>
        <v>2.0838650577701787</v>
      </c>
      <c r="D17" s="138">
        <f>C17*Input!P17/100</f>
        <v>9.4796653535560889E-3</v>
      </c>
      <c r="E17" s="139">
        <f>Input!M17</f>
        <v>2.732103128386365</v>
      </c>
      <c r="F17" s="140">
        <f>E17*Input!N17/100</f>
        <v>2.1273446821175909E-4</v>
      </c>
      <c r="G17" s="141">
        <f t="shared" ref="G17" si="57">E17*137.88</f>
        <v>376.70237934191198</v>
      </c>
      <c r="H17" s="140">
        <f>G17*Input!L17/100</f>
        <v>2.442813117749246E-2</v>
      </c>
      <c r="I17" s="138">
        <v>0</v>
      </c>
      <c r="J17" s="142">
        <f>(((C17*Constants!$B$24*0.000000001*Input!G17*(Constants!$B$4/Constants!$B$3))-(I17*0.000000000000001))/Input!F17)*1000000000000</f>
        <v>752.35351975355877</v>
      </c>
      <c r="K17" s="138">
        <f>J17*Input!P17/100</f>
        <v>3.4225150847653185</v>
      </c>
      <c r="L17" s="143">
        <f>(J17/Constants!$B$4)*602200000000*Constants!$B$17/(365.2425*24*60)</f>
        <v>10.387075689475555</v>
      </c>
      <c r="M17" s="144">
        <f>L17*Input!P17/100</f>
        <v>4.72516208144729E-2</v>
      </c>
      <c r="N17" s="138">
        <v>0</v>
      </c>
      <c r="O17" s="142">
        <f>(((G17*Constants!$B$23*0.000000001*Input!G17*(Constants!$B$7/Constants!$B$6))-(N17*0.000000001))/Input!F17)*1000000</f>
        <v>13.700367868468739</v>
      </c>
      <c r="P17" s="138">
        <f>O17*Input!N17/100</f>
        <v>1.0667754238565493E-3</v>
      </c>
      <c r="Q17" s="145">
        <f>(O17/Constants!$B$7)*602200000000000000*Constants!$B$18/(365.2425*24*60)</f>
        <v>10.222128865291443</v>
      </c>
      <c r="R17" s="146">
        <f>Q17*Input!N17/100</f>
        <v>7.959432883612302E-4</v>
      </c>
      <c r="S17" s="144">
        <f>Input!S17*Constants!$B$17/Constants!$B$18</f>
        <v>1.0005965439611377</v>
      </c>
      <c r="T17" s="138">
        <f>S17*Input!T17/100</f>
        <v>9.8615096281536529E-4</v>
      </c>
      <c r="U17" s="144">
        <f>S17</f>
        <v>1.0005965439611377</v>
      </c>
      <c r="V17" s="138">
        <f>U17*Input!T17/100</f>
        <v>9.8615096281536529E-4</v>
      </c>
      <c r="W17" s="147">
        <v>0</v>
      </c>
      <c r="X17" s="142">
        <f>(((Constants!$B$25*0.000000001*Input!G17/Input!W17*(Constants!$B$11/Constants!$B$9))-(W17*0.000000001))/Input!F17)*1000000000</f>
        <v>0.87156652156889303</v>
      </c>
      <c r="Y17" s="142">
        <f>X17*Input!X17/100</f>
        <v>2.9356958270897022E-3</v>
      </c>
      <c r="Z17" s="142">
        <f>(X17/Constants!$B$11)*6.022E+23*0.000000001*Constants!$B$19/(365.2425*24*60)</f>
        <v>2.1277756455439091E-4</v>
      </c>
      <c r="AA17" s="142">
        <f>Z17*Input!X17/100</f>
        <v>7.1669825871261346E-7</v>
      </c>
      <c r="AB17" s="143">
        <v>0</v>
      </c>
      <c r="AC17" s="143">
        <v>0.9</v>
      </c>
      <c r="AD17" s="142">
        <f>(((Input!G17*Constants!$B$25*0.000000001*Input!U17*(Constants!$B$10/Constants!$B$9))-((AB17*0.000000000000001)+(Input!G17*AC17*0.000000000000001)))/Input!F17)*1000000000000</f>
        <v>223.54354460373119</v>
      </c>
      <c r="AE17" s="142">
        <f>AD17*Input!V17/100</f>
        <v>0.54292875083403913</v>
      </c>
      <c r="AF17" s="142">
        <f>(AD17/Constants!$B$10)*602200000000*Constants!$B$16/(365.2425*24*60)</f>
        <v>10.203794524333745</v>
      </c>
      <c r="AG17" s="142">
        <f>AF17*Input!V17/100</f>
        <v>2.4782345760349281E-2</v>
      </c>
      <c r="AH17" s="138">
        <f t="shared" ref="AH17" si="58">AF17/Z17</f>
        <v>47955.218143900769</v>
      </c>
      <c r="AI17" s="147">
        <f t="shared" ref="AI17" si="59">AH17*SQRT((AG17/AF17)^2+(AA17/Z17)^2)</f>
        <v>199.13949961199137</v>
      </c>
      <c r="AJ17" s="144">
        <f t="shared" si="43"/>
        <v>0.59654396113772989</v>
      </c>
      <c r="AK17" s="147">
        <f t="shared" ref="AK17" si="60">V17*1000</f>
        <v>0.9861509628153653</v>
      </c>
      <c r="AL17" s="147">
        <f t="shared" ref="AL17" si="61">AF17/Q17</f>
        <v>0.99820640678675532</v>
      </c>
      <c r="AM17" s="147">
        <f t="shared" ref="AM17" si="62">AL17*SQRT((R17/Q17)^2+(AG17/AF17)^2)</f>
        <v>2.4256276555951928E-3</v>
      </c>
      <c r="AN17" s="138">
        <f>AF17/Q17</f>
        <v>0.99820640678675532</v>
      </c>
      <c r="AO17" s="142">
        <f t="shared" ref="AO17" si="63">AN17*SQRT((R17/Q17)^2+(AG17/AF17)^2)</f>
        <v>2.4256276555951928E-3</v>
      </c>
      <c r="AP17" s="138">
        <f t="shared" ref="AP17" si="64">ThU_Alter_Kombi(AN17,U17)</f>
        <v>647.35090000000002</v>
      </c>
      <c r="AQ17" s="138" t="e">
        <f t="shared" si="44"/>
        <v>#VALUE!</v>
      </c>
      <c r="AR17" s="138" t="e">
        <f>(AQ17/AP17)*100</f>
        <v>#VALUE!</v>
      </c>
      <c r="AS17" s="146">
        <f t="shared" si="3"/>
        <v>2.081538663407609E-5</v>
      </c>
      <c r="AT17" s="146">
        <f t="shared" si="4"/>
        <v>7.0131157779455145E-8</v>
      </c>
      <c r="AU17" s="138">
        <v>0.75</v>
      </c>
      <c r="AV17" s="138">
        <f t="shared" ref="AV17" si="65">AU17/2</f>
        <v>0.375</v>
      </c>
      <c r="AW17" s="138">
        <f t="shared" si="5"/>
        <v>647.3492</v>
      </c>
      <c r="AX17" s="148">
        <f t="shared" si="6"/>
        <v>264.3328159596</v>
      </c>
      <c r="AY17" s="148">
        <f t="shared" si="7"/>
        <v>114.46555307623264</v>
      </c>
      <c r="AZ17" s="149">
        <f t="shared" si="8"/>
        <v>0.40833110778479376</v>
      </c>
      <c r="BA17" s="138" t="str">
        <f>Input!B17</f>
        <v>Hu1-13</v>
      </c>
      <c r="BB17" s="150">
        <f>Input!E17</f>
        <v>0</v>
      </c>
      <c r="BC17" s="138">
        <f>((U17-1)*EXP(Constants!$B$17*AW17*1000))*1000</f>
        <v>3.7071223978718764</v>
      </c>
      <c r="BD17" s="144">
        <f>SQRT((EXP(Constants!$B$17*AW17*1000)*V17)^2+((U17-1)*Constants!$B$17*EXP(Constants!$B$17*AW17*1000)*AY17*1000)^2)*1000</f>
        <v>6.2441743104821272</v>
      </c>
      <c r="BE17" s="138">
        <f t="shared" si="45"/>
        <v>647291.19999999995</v>
      </c>
      <c r="BF17" s="151">
        <f t="shared" si="46"/>
        <v>57232.776538116319</v>
      </c>
      <c r="BG17" s="160">
        <f t="shared" si="47"/>
        <v>17.682195803475565</v>
      </c>
      <c r="BH17" s="138"/>
      <c r="BI17" s="18"/>
      <c r="BJ17" s="18"/>
      <c r="BK17" s="18"/>
      <c r="BL17" s="18"/>
      <c r="BM17" s="18"/>
      <c r="BN17" s="159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</row>
    <row r="18" spans="1:110" ht="15" customHeight="1" x14ac:dyDescent="0.2">
      <c r="A18" s="18">
        <f>Input!A18</f>
        <v>10924</v>
      </c>
      <c r="B18" s="18" t="str">
        <f>Input!B18</f>
        <v>SO236_7_6</v>
      </c>
      <c r="C18" s="18">
        <f>Input!O18</f>
        <v>2.6077627140844477</v>
      </c>
      <c r="D18" s="18">
        <f>C18*Input!P18/100</f>
        <v>4.6684997251470531E-3</v>
      </c>
      <c r="E18" s="152">
        <f>Input!M18</f>
        <v>3.0355367680055751</v>
      </c>
      <c r="F18" s="153">
        <f>E18*Input!N18/100</f>
        <v>1.2363764598194869E-4</v>
      </c>
      <c r="G18" s="21">
        <f>E18*137.88</f>
        <v>418.5398095726087</v>
      </c>
      <c r="H18" s="153">
        <f>G18*Input!L18/100</f>
        <v>1.3858567054591068E-2</v>
      </c>
      <c r="I18" s="18">
        <v>0.3</v>
      </c>
      <c r="J18" s="129">
        <f>(((C18*Constants!$B$24*0.000000001*Input!G18*(Constants!$B$4/Constants!$B$3))-(I18*0.000000000000001))/Input!F18)*1000000000000</f>
        <v>265.57728502659677</v>
      </c>
      <c r="K18" s="18">
        <f>J18*Input!P18/100</f>
        <v>0.4754448997432123</v>
      </c>
      <c r="L18" s="134">
        <f>(J18/Constants!$B$4)*602200000000*Constants!$B$17/(365.2425*24*60)</f>
        <v>3.6665892941928178</v>
      </c>
      <c r="M18" s="132">
        <f>L18*Input!P18/100</f>
        <v>6.5640447344826854E-3</v>
      </c>
      <c r="N18" s="18">
        <v>5.0000000000000001E-3</v>
      </c>
      <c r="O18" s="129">
        <f>(((G18*Constants!$B$23*0.000000001*Input!G18*(Constants!$B$7/Constants!$B$6))-(N18*0.000000001))/Input!F18)*1000000</f>
        <v>4.2937913114267356</v>
      </c>
      <c r="P18" s="18">
        <f>O18*Input!N18/100</f>
        <v>1.7488645029041896E-4</v>
      </c>
      <c r="Q18" s="130">
        <f>(O18/Constants!$B$7)*602200000000000000*Constants!$B$18/(365.2425*24*60)</f>
        <v>3.2036868299784218</v>
      </c>
      <c r="R18" s="131">
        <f>Q18*Input!N18/100</f>
        <v>1.3048641093619466E-4</v>
      </c>
      <c r="S18" s="132">
        <f>Input!S18*Constants!$B$17/Constants!$B$18</f>
        <v>1.1347550256231855</v>
      </c>
      <c r="T18" s="18">
        <f>S18*Input!T18/100</f>
        <v>5.8363499985145063E-4</v>
      </c>
      <c r="U18" s="18">
        <f>S18*1/((U17+U19)/2)</f>
        <v>1.1343119742355967</v>
      </c>
      <c r="V18" s="18">
        <f>U18*Input!T18/100</f>
        <v>5.8340712661829395E-4</v>
      </c>
      <c r="W18" s="133">
        <v>3.0000000000000001E-3</v>
      </c>
      <c r="X18" s="129">
        <f>IF((((Constants!$B$25*0.000000001*Input!G18/Input!W18*(Constants!$B$11/Constants!$B$9))-(W18*0.000000001))/Input!F18)*1000000000&lt;0, "n.d.", (((Constants!$B$25*0.000000001*Input!G18/Input!W18*(Constants!$B$11/Constants!$B$9))-(W18*0.000000001))/Input!F18)*1000000000)</f>
        <v>0.64112588458067343</v>
      </c>
      <c r="Y18" s="129">
        <f>X18*Input!X18/100</f>
        <v>8.2309200463894503E-4</v>
      </c>
      <c r="Z18" s="129">
        <f>(X18/Constants!$B$11)*6.022E+23*0.000000001*Constants!$B$19/(365.2425*24*60)</f>
        <v>1.5651955521225479E-4</v>
      </c>
      <c r="AA18" s="129">
        <f>Z18*Input!X18/100</f>
        <v>2.0094336785218358E-7</v>
      </c>
      <c r="AB18" s="134">
        <v>0.05</v>
      </c>
      <c r="AC18" s="134">
        <v>0.9</v>
      </c>
      <c r="AD18" s="129">
        <f>(((Input!G18*Constants!$B$25*0.000000001*Input!U18*(Constants!$B$10/Constants!$B$9))-((AB18*0.000000000000001)+(Input!G18*AC18*0.000000000000001)))/Input!F18)*1000000000000</f>
        <v>14.367902173071499</v>
      </c>
      <c r="AE18" s="129">
        <f>AD18*Input!V18/100</f>
        <v>2.637462639364082E-2</v>
      </c>
      <c r="AF18" s="129">
        <f>(AD18/Constants!$B$10)*602200000000*Constants!$B$16/(365.2425*24*60)</f>
        <v>0.65583249912063368</v>
      </c>
      <c r="AG18" s="129">
        <f>AF18*Input!V18/100</f>
        <v>1.2038874522359547E-3</v>
      </c>
      <c r="AH18" s="18">
        <f>AF18/Z18</f>
        <v>4190.0994302677709</v>
      </c>
      <c r="AI18" s="133">
        <f>AH18*SQRT((AG18/AF18)^2+(AA18/Z18)^2)</f>
        <v>9.3860654595609656</v>
      </c>
      <c r="AJ18" s="132">
        <f t="shared" si="43"/>
        <v>134.31197423559672</v>
      </c>
      <c r="AK18" s="133">
        <f>V18*1000</f>
        <v>0.58340712661829397</v>
      </c>
      <c r="AL18" s="133">
        <f>AF18/Q18</f>
        <v>0.20471180047428386</v>
      </c>
      <c r="AM18" s="133">
        <f>AL18*SQRT((R18/Q18)^2+(AG18/AF18)^2)</f>
        <v>3.7587436806888527E-4</v>
      </c>
      <c r="AN18" s="18">
        <f>AL18*1/((AN17+AN19)/2)</f>
        <v>0.20505664301971913</v>
      </c>
      <c r="AO18" s="129">
        <f>AN18*SQRT((R18/Q18)^2+(AG18/AF18)^2)</f>
        <v>3.7650753857272748E-4</v>
      </c>
      <c r="AP18" s="18">
        <f>ThU_Alter_Kombi(AN18,U18)</f>
        <v>21.657900000000001</v>
      </c>
      <c r="AQ18" s="18">
        <f t="shared" si="44"/>
        <v>4.6300000000000001E-2</v>
      </c>
      <c r="AR18" s="154">
        <f>(AQ18/AP18)</f>
        <v>2.137788058860739E-3</v>
      </c>
      <c r="AS18" s="131">
        <f t="shared" si="3"/>
        <v>4.8856072243899388E-5</v>
      </c>
      <c r="AT18" s="131">
        <f t="shared" si="4"/>
        <v>6.2754095315904109E-8</v>
      </c>
      <c r="AU18" s="18">
        <v>8</v>
      </c>
      <c r="AV18" s="18">
        <f>AU18/2</f>
        <v>4</v>
      </c>
      <c r="AW18" s="18">
        <f t="shared" si="5"/>
        <v>21.6205</v>
      </c>
      <c r="AX18" s="135">
        <f t="shared" si="6"/>
        <v>5.3576197499999999E-2</v>
      </c>
      <c r="AY18" s="135">
        <f t="shared" si="7"/>
        <v>4.9313529144669299E-2</v>
      </c>
      <c r="AZ18" s="154">
        <f t="shared" si="8"/>
        <v>2.4780276820610069E-3</v>
      </c>
      <c r="BA18" s="18" t="str">
        <f>Input!B18</f>
        <v>SO236_7_6</v>
      </c>
      <c r="BB18" s="136">
        <f>Input!E18</f>
        <v>0</v>
      </c>
      <c r="BC18" s="18">
        <f>((U18-1)*EXP(Constants!$B$17*AW18*1000))*1000</f>
        <v>142.76209994610431</v>
      </c>
      <c r="BD18" s="132">
        <f>SQRT((EXP(Constants!$B$17*AW18*1000)*V18)^2+((U18-1)*Constants!$B$17*EXP(Constants!$B$17*AW18*1000)*AY18*1000)^2)*1000</f>
        <v>0.62042988347300387</v>
      </c>
      <c r="BE18" s="18">
        <f t="shared" si="45"/>
        <v>21562.5</v>
      </c>
      <c r="BF18" s="137">
        <f t="shared" si="46"/>
        <v>24.656764572334648</v>
      </c>
      <c r="BG18" s="20">
        <f t="shared" si="47"/>
        <v>0.2280869043022562</v>
      </c>
      <c r="BH18" s="18"/>
      <c r="BI18" s="18"/>
      <c r="BJ18" s="18"/>
      <c r="BK18" s="18"/>
      <c r="BL18" s="18"/>
      <c r="BM18" s="18"/>
      <c r="BN18" s="159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</row>
    <row r="19" spans="1:110" ht="15" customHeight="1" x14ac:dyDescent="0.2">
      <c r="A19" s="138">
        <f>Input!A19</f>
        <v>10815</v>
      </c>
      <c r="B19" s="138" t="str">
        <f>Input!B19</f>
        <v>Hu1-13</v>
      </c>
      <c r="C19" s="138">
        <f>Input!O19</f>
        <v>2.0770935484111952</v>
      </c>
      <c r="D19" s="138">
        <f>C19*Input!P19/100</f>
        <v>1.2728061963650495E-2</v>
      </c>
      <c r="E19" s="139">
        <f>Input!M19</f>
        <v>2.7323632623192693</v>
      </c>
      <c r="F19" s="140">
        <f>E19*Input!N19/100</f>
        <v>2.5056653944456017E-4</v>
      </c>
      <c r="G19" s="141">
        <f t="shared" ref="G19" si="66">E19*137.88</f>
        <v>376.73824660858082</v>
      </c>
      <c r="H19" s="140">
        <f>G19*Input!L19/100</f>
        <v>2.1360020320367185E-2</v>
      </c>
      <c r="I19" s="138">
        <v>0</v>
      </c>
      <c r="J19" s="142">
        <f>(((C19*Constants!$B$24*0.000000001*Input!G19*(Constants!$B$4/Constants!$B$3))-(I19*0.000000000000001))/Input!F19)*1000000000000</f>
        <v>749.90875065429339</v>
      </c>
      <c r="K19" s="138">
        <f>J19*Input!P19/100</f>
        <v>4.5953082145542368</v>
      </c>
      <c r="L19" s="143">
        <f>(J19/Constants!$B$4)*602200000000*Constants!$B$17/(365.2425*24*60)</f>
        <v>10.353322937596785</v>
      </c>
      <c r="M19" s="144">
        <f>L19*Input!P19/100</f>
        <v>6.3443332140824801E-2</v>
      </c>
      <c r="N19" s="138">
        <v>0</v>
      </c>
      <c r="O19" s="142">
        <f>(((G19*Constants!$B$23*0.000000001*Input!G19*(Constants!$B$7/Constants!$B$6))-(N19*0.000000001))/Input!F19)*1000000</f>
        <v>13.701672332615363</v>
      </c>
      <c r="P19" s="138">
        <f>O19*Input!N19/100</f>
        <v>1.2564876231254012E-3</v>
      </c>
      <c r="Q19" s="145">
        <f>(O19/Constants!$B$7)*602200000000000000*Constants!$B$18/(365.2425*24*60)</f>
        <v>10.223102153069917</v>
      </c>
      <c r="R19" s="146">
        <f>Q19*Input!N19/100</f>
        <v>9.3749149837004688E-4</v>
      </c>
      <c r="S19" s="144">
        <f>Input!S19*Constants!$B$17/Constants!$B$18</f>
        <v>1.0001846368738567</v>
      </c>
      <c r="T19" s="138">
        <f>S19*Input!T19/100</f>
        <v>1.2317722675703675E-3</v>
      </c>
      <c r="U19" s="144">
        <f>S19</f>
        <v>1.0001846368738567</v>
      </c>
      <c r="V19" s="138">
        <f>U19*Input!T19/100</f>
        <v>1.2317722675703675E-3</v>
      </c>
      <c r="W19" s="147">
        <v>0</v>
      </c>
      <c r="X19" s="142">
        <f>(((Constants!$B$25*0.000000001*Input!G19/Input!W19*(Constants!$B$11/Constants!$B$9))-(W19*0.000000001))/Input!F19)*1000000000</f>
        <v>0.87537977334447981</v>
      </c>
      <c r="Y19" s="142">
        <f>X19*Input!X19/100</f>
        <v>3.7818377260980529E-3</v>
      </c>
      <c r="Z19" s="142">
        <f>(X19/Constants!$B$11)*6.022E+23*0.000000001*Constants!$B$19/(365.2425*24*60)</f>
        <v>2.1370850259040165E-4</v>
      </c>
      <c r="AA19" s="142">
        <f>Z19*Input!X19/100</f>
        <v>9.2326885095419828E-7</v>
      </c>
      <c r="AB19" s="143">
        <v>0</v>
      </c>
      <c r="AC19" s="143">
        <v>0.9</v>
      </c>
      <c r="AD19" s="142">
        <f>(((Input!G19*Constants!$B$25*0.000000001*Input!U19*(Constants!$B$10/Constants!$B$9))-((AB19*0.000000000000001)+(Input!G19*AC19*0.000000000000001)))/Input!F19)*1000000000000</f>
        <v>223.61495235097544</v>
      </c>
      <c r="AE19" s="142">
        <f>AD19*Input!V19/100</f>
        <v>0.61990760361302466</v>
      </c>
      <c r="AF19" s="142">
        <f>(AD19/Constants!$B$10)*602200000000*Constants!$B$16/(365.2425*24*60)</f>
        <v>10.207053978690244</v>
      </c>
      <c r="AG19" s="142">
        <f>AF19*Input!V19/100</f>
        <v>2.8296096953066993E-2</v>
      </c>
      <c r="AH19" s="138">
        <f t="shared" ref="AH19" si="67">AF19/Z19</f>
        <v>47761.571743606779</v>
      </c>
      <c r="AI19" s="147">
        <f t="shared" ref="AI19" si="68">AH19*SQRT((AG19/AF19)^2+(AA19/Z19)^2)</f>
        <v>245.16854370872568</v>
      </c>
      <c r="AJ19" s="144">
        <f t="shared" si="43"/>
        <v>0.184636873856725</v>
      </c>
      <c r="AK19" s="147">
        <f t="shared" ref="AK19" si="69">V19*1000</f>
        <v>1.2317722675703675</v>
      </c>
      <c r="AL19" s="147">
        <f t="shared" ref="AL19" si="70">AF19/Q19</f>
        <v>0.99843020502589286</v>
      </c>
      <c r="AM19" s="147">
        <f t="shared" ref="AM19" si="71">AL19*SQRT((R19/Q19)^2+(AG19/AF19)^2)</f>
        <v>2.769372135308628E-3</v>
      </c>
      <c r="AN19" s="138">
        <f>AF19/Q19</f>
        <v>0.99843020502589286</v>
      </c>
      <c r="AO19" s="142">
        <f t="shared" ref="AO19" si="72">AN19*SQRT((R19/Q19)^2+(AG19/AF19)^2)</f>
        <v>2.769372135308628E-3</v>
      </c>
      <c r="AP19" s="138">
        <f t="shared" ref="AP19" si="73">ThU_Alter_Kombi(AN19,U19)</f>
        <v>687.17309999999998</v>
      </c>
      <c r="AQ19" s="138" t="e">
        <f t="shared" si="44"/>
        <v>#VALUE!</v>
      </c>
      <c r="AR19" s="138" t="e">
        <f>(AQ19/AP19)*100</f>
        <v>#VALUE!</v>
      </c>
      <c r="AS19" s="146">
        <f t="shared" si="3"/>
        <v>2.0904467097223193E-5</v>
      </c>
      <c r="AT19" s="146">
        <f t="shared" si="4"/>
        <v>9.0332348201860058E-8</v>
      </c>
      <c r="AU19" s="138">
        <v>0.75</v>
      </c>
      <c r="AV19" s="138">
        <f t="shared" ref="AV19" si="74">AU19/2</f>
        <v>0.375</v>
      </c>
      <c r="AW19" s="138">
        <f t="shared" si="5"/>
        <v>687.17139999999995</v>
      </c>
      <c r="AX19" s="148">
        <f t="shared" si="6"/>
        <v>308.32495222940003</v>
      </c>
      <c r="AY19" s="148">
        <f t="shared" si="7"/>
        <v>193.45922435322737</v>
      </c>
      <c r="AZ19" s="149">
        <f t="shared" si="8"/>
        <v>0.44868711391277349</v>
      </c>
      <c r="BA19" s="138" t="str">
        <f>Input!B19</f>
        <v>Hu1-13</v>
      </c>
      <c r="BB19" s="150">
        <f>Input!E19</f>
        <v>0</v>
      </c>
      <c r="BC19" s="138">
        <f>((U19-1)*EXP(Constants!$B$17*AW19*1000))*1000</f>
        <v>1.283864531012451</v>
      </c>
      <c r="BD19" s="144">
        <f>SQRT((EXP(Constants!$B$17*AW19*1000)*V19)^2+((U19-1)*Constants!$B$17*EXP(Constants!$B$17*AW19*1000)*AY19*1000)^2)*1000</f>
        <v>8.5937080476453271</v>
      </c>
      <c r="BE19" s="138">
        <f t="shared" si="45"/>
        <v>687113.39999999991</v>
      </c>
      <c r="BF19" s="151">
        <f t="shared" si="46"/>
        <v>96729.612176613678</v>
      </c>
      <c r="BG19" s="160">
        <f t="shared" si="47"/>
        <v>28.15297964281217</v>
      </c>
      <c r="BH19" s="138"/>
      <c r="BI19" s="18"/>
      <c r="BJ19" s="18"/>
      <c r="BK19" s="18"/>
      <c r="BL19" s="18"/>
      <c r="BM19" s="18"/>
      <c r="BN19" s="159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</row>
    <row r="20" spans="1:110" ht="15" customHeight="1" x14ac:dyDescent="0.2">
      <c r="A20" s="18">
        <f>Input!A20</f>
        <v>10925</v>
      </c>
      <c r="B20" s="18" t="str">
        <f>Input!B20</f>
        <v>SO236_7_7</v>
      </c>
      <c r="C20" s="18">
        <f>Input!O20</f>
        <v>2.5371224446807723</v>
      </c>
      <c r="D20" s="18">
        <f>C20*Input!P20/100</f>
        <v>3.5916368064268654E-3</v>
      </c>
      <c r="E20" s="152">
        <f>Input!M20</f>
        <v>2.9556821919374179</v>
      </c>
      <c r="F20" s="153">
        <f>E20*Input!N20/100</f>
        <v>1.175196329707334E-4</v>
      </c>
      <c r="G20" s="21">
        <f>E20*137.88</f>
        <v>407.52946062433114</v>
      </c>
      <c r="H20" s="153">
        <f>G20*Input!L20/100</f>
        <v>1.5432327979854357E-2</v>
      </c>
      <c r="I20" s="18">
        <v>0.3</v>
      </c>
      <c r="J20" s="129">
        <f>(((C20*Constants!$B$24*0.000000001*Input!G20*(Constants!$B$4/Constants!$B$3))-(I20*0.000000000000001))/Input!F20)*1000000000000</f>
        <v>264.70550069526183</v>
      </c>
      <c r="K20" s="18">
        <f>J20*Input!P20/100</f>
        <v>0.37472610797874895</v>
      </c>
      <c r="L20" s="134">
        <f>(J20/Constants!$B$4)*602200000000*Constants!$B$17/(365.2425*24*60)</f>
        <v>3.6545533435436592</v>
      </c>
      <c r="M20" s="132">
        <f>L20*Input!P20/100</f>
        <v>5.1735099846051376E-3</v>
      </c>
      <c r="N20" s="18">
        <v>5.0000000000000001E-3</v>
      </c>
      <c r="O20" s="129">
        <f>(((G20*Constants!$B$23*0.000000001*Input!G20*(Constants!$B$7/Constants!$B$6))-(N20*0.000000001))/Input!F20)*1000000</f>
        <v>4.2831359392568382</v>
      </c>
      <c r="P20" s="18">
        <f>O20*Input!N20/100</f>
        <v>1.7029996151760786E-4</v>
      </c>
      <c r="Q20" s="130">
        <f>(O20/Constants!$B$7)*602200000000000000*Constants!$B$18/(365.2425*24*60)</f>
        <v>3.1957366356132755</v>
      </c>
      <c r="R20" s="131">
        <f>Q20*Input!N20/100</f>
        <v>1.2706433645432691E-4</v>
      </c>
      <c r="S20" s="132">
        <f>Input!S20*Constants!$B$17/Constants!$B$18</f>
        <v>1.1345157919482722</v>
      </c>
      <c r="T20" s="18">
        <f>S20*Input!T20/100</f>
        <v>4.7806873831573109E-4</v>
      </c>
      <c r="U20" s="18">
        <f>S20*1/((U19+U21)/2)</f>
        <v>1.1343525128596752</v>
      </c>
      <c r="V20" s="18">
        <f>U20*Input!T20/100</f>
        <v>4.7799993484165618E-4</v>
      </c>
      <c r="W20" s="133">
        <v>3.0000000000000001E-3</v>
      </c>
      <c r="X20" s="129">
        <f>IF((((Constants!$B$25*0.000000001*Input!G20/Input!W20*(Constants!$B$11/Constants!$B$9))-(W20*0.000000001))/Input!F20)*1000000000&lt;0, "n.d.", (((Constants!$B$25*0.000000001*Input!G20/Input!W20*(Constants!$B$11/Constants!$B$9))-(W20*0.000000001))/Input!F20)*1000000000)</f>
        <v>0.25122212931430821</v>
      </c>
      <c r="Y20" s="129">
        <f>X20*Input!X20/100</f>
        <v>5.4797381990894694E-4</v>
      </c>
      <c r="Z20" s="129">
        <f>(X20/Constants!$B$11)*6.022E+23*0.000000001*Constants!$B$19/(365.2425*24*60)</f>
        <v>6.1331443458204741E-5</v>
      </c>
      <c r="AA20" s="129">
        <f>Z20*Input!X20/100</f>
        <v>1.3377812473786691E-7</v>
      </c>
      <c r="AB20" s="134">
        <v>0.05</v>
      </c>
      <c r="AC20" s="134">
        <v>0.9</v>
      </c>
      <c r="AD20" s="129">
        <f>(((Input!G20*Constants!$B$25*0.000000001*Input!U20*(Constants!$B$10/Constants!$B$9))-((AB20*0.000000000000001)+(Input!G20*AC20*0.000000000000001)))/Input!F20)*1000000000000</f>
        <v>14.386894716046616</v>
      </c>
      <c r="AE20" s="129">
        <f>AD20*Input!V20/100</f>
        <v>3.4686986112841309E-2</v>
      </c>
      <c r="AF20" s="129">
        <f>(AD20/Constants!$B$10)*602200000000*Constants!$B$16/(365.2425*24*60)</f>
        <v>0.65669942644057133</v>
      </c>
      <c r="AG20" s="129">
        <f>AF20*Input!V20/100</f>
        <v>1.5833106681352282E-3</v>
      </c>
      <c r="AH20" s="18">
        <f>AF20/Z20</f>
        <v>10707.385794500162</v>
      </c>
      <c r="AI20" s="133">
        <f>AH20*SQRT((AG20/AF20)^2+(AA20/Z20)^2)</f>
        <v>34.812602213307997</v>
      </c>
      <c r="AJ20" s="132">
        <f t="shared" ref="AJ20:AJ21" si="75">(U20-1)*1000</f>
        <v>134.35251285967519</v>
      </c>
      <c r="AK20" s="133">
        <f>V20*1000</f>
        <v>0.4779999348416562</v>
      </c>
      <c r="AL20" s="133">
        <f>AF20/Q20</f>
        <v>0.20549234850028494</v>
      </c>
      <c r="AM20" s="133">
        <f>AL20*SQRT((R20/Q20)^2+(AG20/AF20)^2)</f>
        <v>4.95512031593992E-4</v>
      </c>
      <c r="AN20" s="18">
        <f>AL20*1/((AN19+AN21)/2)</f>
        <v>0.20555689855185197</v>
      </c>
      <c r="AO20" s="129">
        <f>AN20*SQRT((R20/Q20)^2+(AG20/AF20)^2)</f>
        <v>4.9566768375050737E-4</v>
      </c>
      <c r="AP20" s="18">
        <f>ThU_Alter_Kombi(AN20,U20)</f>
        <v>21.715199999999999</v>
      </c>
      <c r="AQ20" s="18">
        <f t="shared" ref="AQ20:AQ21" si="76">Montealter(AN20,AO20,U20,V20)</f>
        <v>5.91E-2</v>
      </c>
      <c r="AR20" s="154">
        <f>(AQ20/AP20)</f>
        <v>2.7215959328028296E-3</v>
      </c>
      <c r="AS20" s="131">
        <f t="shared" si="3"/>
        <v>1.9191645135812318E-5</v>
      </c>
      <c r="AT20" s="131">
        <f t="shared" si="4"/>
        <v>4.1868390268028052E-8</v>
      </c>
      <c r="AU20" s="18">
        <v>8</v>
      </c>
      <c r="AV20" s="18">
        <f>AU20/2</f>
        <v>4</v>
      </c>
      <c r="AW20" s="18">
        <f t="shared" si="5"/>
        <v>21.700600000000001</v>
      </c>
      <c r="AX20" s="135">
        <f t="shared" si="6"/>
        <v>5.5444443000000003E-2</v>
      </c>
      <c r="AY20" s="135">
        <f t="shared" si="7"/>
        <v>5.9156133997690041E-2</v>
      </c>
      <c r="AZ20" s="154">
        <f t="shared" si="8"/>
        <v>2.5549728118116548E-3</v>
      </c>
      <c r="BA20" s="18" t="str">
        <f>Input!B20</f>
        <v>SO236_7_7</v>
      </c>
      <c r="BB20" s="136">
        <f>Input!E20</f>
        <v>0</v>
      </c>
      <c r="BC20" s="18">
        <f>((U20-1)*EXP(Constants!$B$17*AW20*1000))*1000</f>
        <v>142.83747335803872</v>
      </c>
      <c r="BD20" s="132">
        <f>SQRT((EXP(Constants!$B$17*AW20*1000)*V20)^2+((U20-1)*Constants!$B$17*EXP(Constants!$B$17*AW20*1000)*AY20*1000)^2)*1000</f>
        <v>0.50874690650893339</v>
      </c>
      <c r="BE20" s="18">
        <f t="shared" ref="BE20:BE21" si="77">AW20*1000-58</f>
        <v>21642.600000000002</v>
      </c>
      <c r="BF20" s="137">
        <f t="shared" ref="BF20:BF21" si="78">AY20/2*1000</f>
        <v>29.578066998845021</v>
      </c>
      <c r="BG20" s="20">
        <f t="shared" ref="BG20:BG21" si="79">AY20/AW20*100</f>
        <v>0.27260137506654208</v>
      </c>
      <c r="BH20" s="18"/>
      <c r="BI20" s="18"/>
      <c r="BJ20" s="18"/>
      <c r="BK20" s="18"/>
      <c r="BL20" s="18"/>
      <c r="BM20" s="18"/>
      <c r="BN20" s="159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</row>
    <row r="21" spans="1:110" ht="15" customHeight="1" x14ac:dyDescent="0.2">
      <c r="A21" s="138">
        <f>Input!A21</f>
        <v>10815</v>
      </c>
      <c r="B21" s="138" t="str">
        <f>Input!B21</f>
        <v>Hu1-13</v>
      </c>
      <c r="C21" s="138">
        <f>Input!O21</f>
        <v>2.0756755360714734</v>
      </c>
      <c r="D21" s="138">
        <f>C21*Input!P21/100</f>
        <v>1.2450089162224929E-2</v>
      </c>
      <c r="E21" s="139">
        <f>Input!M21</f>
        <v>2.7324641492659123</v>
      </c>
      <c r="F21" s="140">
        <f>E21*Input!N21/100</f>
        <v>3.0905766993240513E-4</v>
      </c>
      <c r="G21" s="141">
        <f t="shared" ref="G21" si="80">E21*137.88</f>
        <v>376.75215690078397</v>
      </c>
      <c r="H21" s="140">
        <f>G21*Input!L21/100</f>
        <v>1.92209076193442E-2</v>
      </c>
      <c r="I21" s="138">
        <v>0</v>
      </c>
      <c r="J21" s="142">
        <f>(((C21*Constants!$B$24*0.000000001*Input!G21*(Constants!$B$4/Constants!$B$3))-(I21*0.000000000000001))/Input!F21)*1000000000000</f>
        <v>749.39679496365716</v>
      </c>
      <c r="K21" s="138">
        <f>J21*Input!P21/100</f>
        <v>4.4949495973930755</v>
      </c>
      <c r="L21" s="143">
        <f>(J21/Constants!$B$4)*602200000000*Constants!$B$17/(365.2425*24*60)</f>
        <v>10.346254820855551</v>
      </c>
      <c r="M21" s="144">
        <f>L21*Input!P21/100</f>
        <v>6.2057770001253051E-2</v>
      </c>
      <c r="N21" s="138">
        <v>0</v>
      </c>
      <c r="O21" s="142">
        <f>(((G21*Constants!$B$23*0.000000001*Input!G21*(Constants!$B$7/Constants!$B$6))-(N21*0.000000001))/Input!F21)*1000000</f>
        <v>13.702178238950953</v>
      </c>
      <c r="P21" s="138">
        <f>O21*Input!N21/100</f>
        <v>1.5497964650941073E-3</v>
      </c>
      <c r="Q21" s="145">
        <f>(O21/Constants!$B$7)*602200000000000000*Constants!$B$18/(365.2425*24*60)</f>
        <v>10.223479620288739</v>
      </c>
      <c r="R21" s="146">
        <f>Q21*Input!N21/100</f>
        <v>1.1563353140046574E-3</v>
      </c>
      <c r="S21" s="144">
        <f>Input!S21*Constants!$B$17/Constants!$B$18</f>
        <v>1.0001032438100506</v>
      </c>
      <c r="T21" s="138">
        <f>S21*Input!T21/100</f>
        <v>1.3651207750964326E-3</v>
      </c>
      <c r="U21" s="144">
        <f>S21</f>
        <v>1.0001032438100506</v>
      </c>
      <c r="V21" s="138">
        <f>U21*Input!T21/100</f>
        <v>1.3651207750964326E-3</v>
      </c>
      <c r="W21" s="147">
        <v>0</v>
      </c>
      <c r="X21" s="142">
        <f>(((Constants!$B$25*0.000000001*Input!G21/Input!W21*(Constants!$B$11/Constants!$B$9))-(W21*0.000000001))/Input!F21)*1000000000</f>
        <v>0.87478922546792048</v>
      </c>
      <c r="Y21" s="142">
        <f>X21*Input!X21/100</f>
        <v>2.5026163648607176E-3</v>
      </c>
      <c r="Z21" s="142">
        <f>(X21/Constants!$B$11)*6.022E+23*0.000000001*Constants!$B$19/(365.2425*24*60)</f>
        <v>2.1356433076207018E-4</v>
      </c>
      <c r="AA21" s="142">
        <f>Z21*Input!X21/100</f>
        <v>6.1096956107318171E-7</v>
      </c>
      <c r="AB21" s="143">
        <v>0</v>
      </c>
      <c r="AC21" s="143">
        <v>0.9</v>
      </c>
      <c r="AD21" s="142">
        <f>(((Input!G21*Constants!$B$25*0.000000001*Input!U21*(Constants!$B$10/Constants!$B$9))-((AB21*0.000000000000001)+(Input!G21*AC21*0.000000000000001)))/Input!F21)*1000000000000</f>
        <v>224.18573044230271</v>
      </c>
      <c r="AE21" s="142">
        <f>AD21*Input!V21/100</f>
        <v>0.54078324307363179</v>
      </c>
      <c r="AF21" s="142">
        <f>(AD21/Constants!$B$10)*602200000000*Constants!$B$16/(365.2425*24*60)</f>
        <v>10.233107526213701</v>
      </c>
      <c r="AG21" s="142">
        <f>AF21*Input!V21/100</f>
        <v>2.4684412624429983E-2</v>
      </c>
      <c r="AH21" s="138">
        <f t="shared" ref="AH21" si="81">AF21/Z21</f>
        <v>47915.808270503279</v>
      </c>
      <c r="AI21" s="147">
        <f t="shared" ref="AI21" si="82">AH21*SQRT((AG21/AF21)^2+(AA21/Z21)^2)</f>
        <v>179.30415699817513</v>
      </c>
      <c r="AJ21" s="144">
        <f t="shared" si="75"/>
        <v>0.10324381005055727</v>
      </c>
      <c r="AK21" s="147">
        <f t="shared" ref="AK21" si="83">V21*1000</f>
        <v>1.3651207750964327</v>
      </c>
      <c r="AL21" s="147">
        <f t="shared" ref="AL21" si="84">AF21/Q21</f>
        <v>1.0009417445216846</v>
      </c>
      <c r="AM21" s="147">
        <f t="shared" ref="AM21" si="85">AL21*SQRT((R21/Q21)^2+(AG21/AF21)^2)</f>
        <v>2.4171352420251993E-3</v>
      </c>
      <c r="AN21" s="138">
        <f>AF21/Q21</f>
        <v>1.0009417445216846</v>
      </c>
      <c r="AO21" s="142">
        <f t="shared" ref="AO21" si="86">AN21*SQRT((R21/Q21)^2+(AG21/AF21)^2)</f>
        <v>2.4171352420251993E-3</v>
      </c>
      <c r="AP21" s="138" t="str">
        <f t="shared" ref="AP21" si="87">ThU_Alter_Kombi(AN21,U21)</f>
        <v>Out of range</v>
      </c>
      <c r="AQ21" s="138" t="e">
        <f t="shared" si="76"/>
        <v>#VALUE!</v>
      </c>
      <c r="AR21" s="138" t="e">
        <f>(AQ21/AP21)*100</f>
        <v>#VALUE!</v>
      </c>
      <c r="AS21" s="146">
        <f t="shared" si="3"/>
        <v>2.0889593239687852E-5</v>
      </c>
      <c r="AT21" s="146">
        <f t="shared" si="4"/>
        <v>5.9808098845805927E-8</v>
      </c>
      <c r="AU21" s="138">
        <v>0.75</v>
      </c>
      <c r="AV21" s="138">
        <f t="shared" ref="AV21" si="88">AU21/2</f>
        <v>0.375</v>
      </c>
      <c r="AW21" s="138" t="str">
        <f t="shared" si="5"/>
        <v>Out of range</v>
      </c>
      <c r="AX21" s="148">
        <f t="shared" si="6"/>
        <v>331.78530328020003</v>
      </c>
      <c r="AY21" s="148" t="e">
        <f t="shared" si="7"/>
        <v>#VALUE!</v>
      </c>
      <c r="AZ21" s="149" t="e">
        <f t="shared" si="8"/>
        <v>#VALUE!</v>
      </c>
      <c r="BA21" s="138" t="str">
        <f>Input!B21</f>
        <v>Hu1-13</v>
      </c>
      <c r="BB21" s="150">
        <f>Input!E21</f>
        <v>0</v>
      </c>
      <c r="BC21" s="138" t="e">
        <f>((U21-1)*EXP(Constants!$B$17*AW21*1000))*1000</f>
        <v>#VALUE!</v>
      </c>
      <c r="BD21" s="144" t="e">
        <f>SQRT((EXP(Constants!$B$17*AW21*1000)*V21)^2+((U21-1)*Constants!$B$17*EXP(Constants!$B$17*AW21*1000)*AY21*1000)^2)*1000</f>
        <v>#VALUE!</v>
      </c>
      <c r="BE21" s="138" t="e">
        <f t="shared" si="77"/>
        <v>#VALUE!</v>
      </c>
      <c r="BF21" s="151" t="e">
        <f t="shared" si="78"/>
        <v>#VALUE!</v>
      </c>
      <c r="BG21" s="160" t="e">
        <f t="shared" si="79"/>
        <v>#VALUE!</v>
      </c>
      <c r="BH21" s="138"/>
      <c r="BI21" s="18"/>
      <c r="BJ21" s="18"/>
      <c r="BK21" s="18"/>
      <c r="BL21" s="18"/>
      <c r="BM21" s="18"/>
      <c r="BN21" s="159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</row>
    <row r="22" spans="1:110" ht="15" customHeight="1" x14ac:dyDescent="0.2">
      <c r="A22" s="18"/>
      <c r="B22" s="18"/>
      <c r="C22" s="18"/>
      <c r="D22" s="18"/>
      <c r="E22" s="152"/>
      <c r="F22" s="153"/>
      <c r="G22" s="21"/>
      <c r="H22" s="153"/>
      <c r="I22" s="18"/>
      <c r="J22" s="129"/>
      <c r="K22" s="18"/>
      <c r="L22" s="134"/>
      <c r="M22" s="132"/>
      <c r="N22" s="18"/>
      <c r="O22" s="129"/>
      <c r="P22" s="18"/>
      <c r="Q22" s="130"/>
      <c r="R22" s="131"/>
      <c r="S22" s="132"/>
      <c r="T22" s="18"/>
      <c r="U22" s="18"/>
      <c r="V22" s="18"/>
      <c r="W22" s="133"/>
      <c r="X22" s="129"/>
      <c r="Y22" s="129"/>
      <c r="Z22" s="129"/>
      <c r="AA22" s="129"/>
      <c r="AB22" s="134"/>
      <c r="AC22" s="134"/>
      <c r="AD22" s="129"/>
      <c r="AE22" s="129"/>
      <c r="AF22" s="129"/>
      <c r="AG22" s="129"/>
      <c r="AH22" s="18"/>
      <c r="AI22" s="133"/>
      <c r="AJ22" s="132"/>
      <c r="AK22" s="133"/>
      <c r="AL22" s="133"/>
      <c r="AM22" s="133"/>
      <c r="AN22" s="18"/>
      <c r="AO22" s="129"/>
      <c r="AP22" s="18"/>
      <c r="AQ22" s="18"/>
      <c r="AR22" s="154"/>
      <c r="AS22" s="131"/>
      <c r="AT22" s="131"/>
      <c r="AU22" s="18"/>
      <c r="AV22" s="18"/>
      <c r="AW22" s="18"/>
      <c r="AX22" s="135"/>
      <c r="AY22" s="135"/>
      <c r="AZ22" s="154"/>
      <c r="BA22" s="18"/>
      <c r="BB22" s="136"/>
      <c r="BC22" s="18"/>
      <c r="BD22" s="132"/>
      <c r="BE22" s="18"/>
      <c r="BF22" s="137"/>
      <c r="BG22" s="20"/>
      <c r="BH22" s="18"/>
      <c r="BI22" s="18"/>
      <c r="BJ22" s="18"/>
      <c r="BK22" s="18"/>
      <c r="BL22" s="18"/>
      <c r="BM22" s="18"/>
      <c r="BN22" s="159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</row>
    <row r="23" spans="1:110" ht="15" customHeight="1" x14ac:dyDescent="0.2">
      <c r="A23" s="138">
        <f>Input!A23</f>
        <v>10815</v>
      </c>
      <c r="B23" s="138" t="str">
        <f>Input!B23</f>
        <v>Hu1-13</v>
      </c>
      <c r="C23" s="138">
        <f>Input!O23</f>
        <v>2.0804261788037244</v>
      </c>
      <c r="D23" s="138">
        <f>C23*Input!P23/100</f>
        <v>1.2220878984459602E-2</v>
      </c>
      <c r="E23" s="139">
        <f>Input!M23</f>
        <v>2.7323966602695462</v>
      </c>
      <c r="F23" s="140">
        <f>E23*Input!N23/100</f>
        <v>2.2952325718256003E-4</v>
      </c>
      <c r="G23" s="141">
        <f t="shared" ref="G23" si="89">E23*137.88</f>
        <v>376.74285151796499</v>
      </c>
      <c r="H23" s="140">
        <f>G23*Input!L23/100</f>
        <v>2.5018084317748386E-2</v>
      </c>
      <c r="I23" s="138">
        <v>0</v>
      </c>
      <c r="J23" s="142">
        <f>(((C23*Constants!$B$24*0.000000001*Input!G23*(Constants!$B$4/Constants!$B$3))-(I23*0.000000000000001))/Input!F23)*1000000000000</f>
        <v>751.11195534190404</v>
      </c>
      <c r="K23" s="138">
        <f>J23*Input!P23/100</f>
        <v>4.4121961180532914</v>
      </c>
      <c r="L23" s="143">
        <f>(J23/Constants!$B$4)*602200000000*Constants!$B$17/(365.2425*24*60)</f>
        <v>10.369934514245271</v>
      </c>
      <c r="M23" s="144">
        <f>L23*Input!P23/100</f>
        <v>6.0915266336551185E-2</v>
      </c>
      <c r="N23" s="138">
        <v>0</v>
      </c>
      <c r="O23" s="142">
        <f>(((G23*Constants!$B$23*0.000000001*Input!G23*(Constants!$B$7/Constants!$B$6))-(N23*0.000000001))/Input!F23)*1000000</f>
        <v>13.70183980953089</v>
      </c>
      <c r="P23" s="138">
        <f>O23*Input!N23/100</f>
        <v>1.1509642608650236E-3</v>
      </c>
      <c r="Q23" s="145">
        <f>(O23/Constants!$B$7)*602200000000000000*Constants!$B$18/(365.2425*24*60)</f>
        <v>10.223227111073156</v>
      </c>
      <c r="R23" s="146">
        <f>Q23*Input!N23/100</f>
        <v>8.5875832728440264E-4</v>
      </c>
      <c r="S23" s="144">
        <f>Input!S23*Constants!$B$17/Constants!$B$18</f>
        <v>0.99939416105195855</v>
      </c>
      <c r="T23" s="138">
        <f>S23*Input!T23/100</f>
        <v>1.3070429023914231E-3</v>
      </c>
      <c r="U23" s="144">
        <f>S23</f>
        <v>0.99939416105195855</v>
      </c>
      <c r="V23" s="138">
        <f>U23*Input!T23/100</f>
        <v>1.3070429023914231E-3</v>
      </c>
      <c r="W23" s="147">
        <v>0</v>
      </c>
      <c r="X23" s="142">
        <f>(((Constants!$B$25*0.000000001*Input!G23/Input!W23*(Constants!$B$11/Constants!$B$9))-(W23*0.000000001))/Input!F23)*1000000000</f>
        <v>0.92021136172936513</v>
      </c>
      <c r="Y23" s="142">
        <f>X23*Input!X23/100</f>
        <v>3.8820953922032559E-3</v>
      </c>
      <c r="Z23" s="142">
        <f>(X23/Constants!$B$11)*6.022E+23*0.000000001*Constants!$B$19/(365.2425*24*60)</f>
        <v>2.2465334266350302E-4</v>
      </c>
      <c r="AA23" s="142">
        <f>Z23*Input!X23/100</f>
        <v>9.4774498845357341E-7</v>
      </c>
      <c r="AB23" s="143">
        <v>0</v>
      </c>
      <c r="AC23" s="143">
        <v>0.9</v>
      </c>
      <c r="AD23" s="142">
        <f>(((Input!G23*Constants!$B$25*0.000000001*Input!U23*(Constants!$B$10/Constants!$B$9))-((AB23*0.000000000000001)+(Input!G23*AC23*0.000000000000001)))/Input!F23)*1000000000000</f>
        <v>222.72534125320479</v>
      </c>
      <c r="AE23" s="142">
        <f>AD23*Input!V23/100</f>
        <v>0.75177559053284926</v>
      </c>
      <c r="AF23" s="142">
        <f>(AD23/Constants!$B$10)*602200000000*Constants!$B$16/(365.2425*24*60)</f>
        <v>10.166447085459176</v>
      </c>
      <c r="AG23" s="142">
        <f>AF23*Input!V23/100</f>
        <v>3.4315299365074214E-2</v>
      </c>
      <c r="AH23" s="138">
        <f t="shared" ref="AH23" si="90">AF23/Z23</f>
        <v>45253.931968806653</v>
      </c>
      <c r="AI23" s="147">
        <f t="shared" ref="AI23" si="91">AH23*SQRT((AG23/AF23)^2+(AA23/Z23)^2)</f>
        <v>244.49859314497832</v>
      </c>
      <c r="AJ23" s="144">
        <f t="shared" ref="AJ23:AJ33" si="92">(U23-1)*1000</f>
        <v>-0.60583894804144833</v>
      </c>
      <c r="AK23" s="147">
        <f t="shared" ref="AK23" si="93">V23*1000</f>
        <v>1.3070429023914232</v>
      </c>
      <c r="AL23" s="147">
        <f t="shared" ref="AL23" si="94">AF23/Q23</f>
        <v>0.9944459782613575</v>
      </c>
      <c r="AM23" s="147">
        <f t="shared" ref="AM23" si="95">AL23*SQRT((R23/Q23)^2+(AG23/AF23)^2)</f>
        <v>3.3576407680548761E-3</v>
      </c>
      <c r="AN23" s="138">
        <f>AF23/Q23</f>
        <v>0.9944459782613575</v>
      </c>
      <c r="AO23" s="142">
        <f t="shared" ref="AO23" si="96">AN23*SQRT((R23/Q23)^2+(AG23/AF23)^2)</f>
        <v>3.3576407680548761E-3</v>
      </c>
      <c r="AP23" s="138">
        <f t="shared" ref="AP23" si="97">ThU_Alter_Kombi(AN23,U23)</f>
        <v>584.49689999999998</v>
      </c>
      <c r="AQ23" s="138" t="e">
        <f t="shared" ref="AQ23:AQ33" si="98">Montealter(AN23,AO23,U23,V23)</f>
        <v>#VALUE!</v>
      </c>
      <c r="AR23" s="138" t="e">
        <f>(AQ23/AP23)*100</f>
        <v>#VALUE!</v>
      </c>
      <c r="AS23" s="146">
        <f t="shared" ref="AS23:AS33" si="99">Z23/Q23</f>
        <v>2.1974797216445741E-5</v>
      </c>
      <c r="AT23" s="146">
        <f t="shared" ref="AT23:AT33" si="100">AS23*SQRT((Y23/X23)^2+(P23/O23)^2)</f>
        <v>9.2723445840623517E-8</v>
      </c>
      <c r="AU23" s="138">
        <v>0.75</v>
      </c>
      <c r="AV23" s="138">
        <f t="shared" ref="AV23" si="101">AU23/2</f>
        <v>0.375</v>
      </c>
      <c r="AW23" s="138">
        <f t="shared" ref="AW23:AW33" si="102">marincorr_age(AN23,U23,AS23,AU23)</f>
        <v>584.49509999999998</v>
      </c>
      <c r="AX23" s="148">
        <f t="shared" ref="AX23:AX33" si="103">marincorr_age_error(AN23, AO23, U23, V23, AS23, AT23, AU23, AV23)</f>
        <v>229.347972943</v>
      </c>
      <c r="AY23" s="148">
        <f t="shared" ref="AY23:AY33" si="104">SQRT(((AU23*EXP(-0.0000091577*AW23*1000))/(0.0000091577*(EXP(-0.0000091577*AW23*1000)+(AJ23/1000)*EXP(-(0.0000091577-0.0000028263)*AW23*1000)-AS23*AU23*EXP(-0.0000091577*AW23*1000))))^2*AT23^2+((AS23*EXP(-0.0000091577*AW23*1000))/(0.0000091577*(EXP(-0.0000091577*AW23*1000)+(AJ23/1000)*EXP(-(0.0000091577-0.0000028263)*AW23*1000)-AS23*AU23*EXP(-0.0000091577*AW23*1000))))^2*AV23^2+((0.0000091577/(0.0000091577-0.0000028263))*(EXP(-(0.0000091577-0.0000028263)*AW23*1000)-1)/(0.0000091577*(EXP(-0.0000091577*AW23*1000)+(AJ23/1000)*EXP(-(0.0000091577-0.0000028263)*AW23*1000)-AS23*AU23*EXP(-0.0000091577*AW23*1000))))^2*T23^2+(1/(0.0000091577*(EXP(-0.0000091577*AW23*1000)+(AJ23/1000)*EXP(-(0.0000091577-0.0000028263)*AW23*1000)-AS23*AU23*EXP(-0.0000091577*AW23*1000))))^2*AO23^2)/1000</f>
        <v>88.608992209472675</v>
      </c>
      <c r="AZ23" s="149">
        <f t="shared" ref="AZ23:AZ33" si="105">AX23/AW23</f>
        <v>0.39238647670955668</v>
      </c>
      <c r="BA23" s="138" t="str">
        <f>Input!B23</f>
        <v>Hu1-13</v>
      </c>
      <c r="BB23" s="150">
        <f>Input!E23</f>
        <v>0</v>
      </c>
      <c r="BC23" s="138">
        <f>((U23-1)*EXP(Constants!$B$17*AW23*1000))*1000</f>
        <v>-3.1529519827022963</v>
      </c>
      <c r="BD23" s="144">
        <f>SQRT((EXP(Constants!$B$17*AW23*1000)*V23)^2+((U23-1)*Constants!$B$17*EXP(Constants!$B$17*AW23*1000)*AY23*1000)^2)*1000</f>
        <v>6.8477494378251063</v>
      </c>
      <c r="BE23" s="138">
        <f t="shared" ref="BE23:BE33" si="106">AW23*1000-58</f>
        <v>584437.1</v>
      </c>
      <c r="BF23" s="151">
        <f t="shared" ref="BF23:BF33" si="107">AY23/2*1000</f>
        <v>44304.496104736339</v>
      </c>
      <c r="BG23" s="160">
        <f t="shared" ref="BG23:BG33" si="108">AY23/AW23*100</f>
        <v>15.159920452621876</v>
      </c>
      <c r="BH23" s="138"/>
      <c r="BI23" s="18"/>
      <c r="BJ23" s="18"/>
      <c r="BK23" s="18"/>
      <c r="BL23" s="18"/>
      <c r="BM23" s="18"/>
      <c r="BN23" s="159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</row>
    <row r="24" spans="1:110" ht="15" customHeight="1" x14ac:dyDescent="0.2">
      <c r="A24" s="18">
        <f>Input!A24</f>
        <v>10926</v>
      </c>
      <c r="B24" s="18" t="str">
        <f>Input!B24</f>
        <v>SO236_17_1</v>
      </c>
      <c r="C24" s="18">
        <f>Input!O24</f>
        <v>1.4049183960827398</v>
      </c>
      <c r="D24" s="18">
        <f>C24*Input!P24/100</f>
        <v>2.8211188759492082E-3</v>
      </c>
      <c r="E24" s="152">
        <f>Input!M24</f>
        <v>1.6426221727541703</v>
      </c>
      <c r="F24" s="153">
        <f>E24*Input!N24/100</f>
        <v>6.2635354203257435E-5</v>
      </c>
      <c r="G24" s="21">
        <f>E24*137.88</f>
        <v>226.484745179345</v>
      </c>
      <c r="H24" s="153">
        <f>G24*Input!L24/100</f>
        <v>8.993612788939391E-3</v>
      </c>
      <c r="I24" s="18">
        <v>0.3</v>
      </c>
      <c r="J24" s="129">
        <f>(((C24*Constants!$B$24*0.000000001*Input!G24*(Constants!$B$4/Constants!$B$3))-(I24*0.000000000000001))/Input!F24)*1000000000000</f>
        <v>175.89713595366786</v>
      </c>
      <c r="K24" s="18">
        <f>J24*Input!P24/100</f>
        <v>0.35320679966032159</v>
      </c>
      <c r="L24" s="134">
        <f>(J24/Constants!$B$4)*602200000000*Constants!$B$17/(365.2425*24*60)</f>
        <v>2.4284552630406928</v>
      </c>
      <c r="M24" s="132">
        <f>L24*Input!P24/100</f>
        <v>4.876412040061881E-3</v>
      </c>
      <c r="N24" s="18">
        <v>5.0000000000000001E-3</v>
      </c>
      <c r="O24" s="129">
        <f>(((G24*Constants!$B$23*0.000000001*Input!G24*(Constants!$B$7/Constants!$B$6))-(N24*0.000000001))/Input!F24)*1000000</f>
        <v>2.8564578305902981</v>
      </c>
      <c r="P24" s="18">
        <f>O24*Input!N24/100</f>
        <v>1.0892051194323404E-4</v>
      </c>
      <c r="Q24" s="130">
        <f>(O24/Constants!$B$7)*602200000000000000*Constants!$B$18/(365.2425*24*60)</f>
        <v>2.1312624830874984</v>
      </c>
      <c r="R24" s="131">
        <f>Q24*Input!N24/100</f>
        <v>8.1267854983641129E-5</v>
      </c>
      <c r="S24" s="132">
        <f>Input!S24*Constants!$B$17/Constants!$B$18</f>
        <v>1.1338057158340162</v>
      </c>
      <c r="T24" s="18">
        <f>S24*Input!T24/100</f>
        <v>8.8172952566370824E-4</v>
      </c>
      <c r="U24" s="18">
        <f>S24*1/((U23+U25)/2)</f>
        <v>1.1346812364222627</v>
      </c>
      <c r="V24" s="18">
        <f>U24*Input!T24/100</f>
        <v>8.8241039394846145E-4</v>
      </c>
      <c r="W24" s="133">
        <v>3.0000000000000001E-3</v>
      </c>
      <c r="X24" s="129">
        <f>IF((((Constants!$B$25*0.000000001*Input!G24/Input!W24*(Constants!$B$11/Constants!$B$9))-(W24*0.000000001))/Input!F24)*1000000000&lt;0, "n.d.", (((Constants!$B$25*0.000000001*Input!G24/Input!W24*(Constants!$B$11/Constants!$B$9))-(W24*0.000000001))/Input!F24)*1000000000)</f>
        <v>0.13569668456692102</v>
      </c>
      <c r="Y24" s="129">
        <f>X24*Input!X24/100</f>
        <v>3.8493658121024942E-4</v>
      </c>
      <c r="Z24" s="129">
        <f>(X24/Constants!$B$11)*6.022E+23*0.000000001*Constants!$B$19/(365.2425*24*60)</f>
        <v>3.3127947604367204E-5</v>
      </c>
      <c r="AA24" s="129">
        <f>Z24*Input!X24/100</f>
        <v>9.3975463984519462E-8</v>
      </c>
      <c r="AB24" s="134">
        <v>0.05</v>
      </c>
      <c r="AC24" s="134">
        <v>0.9</v>
      </c>
      <c r="AD24" s="129">
        <f>(((Input!G24*Constants!$B$25*0.000000001*Input!U24*(Constants!$B$10/Constants!$B$9))-((AB24*0.000000000000001)+(Input!G24*AC24*0.000000000000001)))/Input!F24)*1000000000000</f>
        <v>9.2871583818252965</v>
      </c>
      <c r="AE24" s="129">
        <f>AD24*Input!V24/100</f>
        <v>2.3737665793302401E-2</v>
      </c>
      <c r="AF24" s="129">
        <f>(AD24/Constants!$B$10)*602200000000*Constants!$B$16/(365.2425*24*60)</f>
        <v>0.42391855247296406</v>
      </c>
      <c r="AG24" s="129">
        <f>AF24*Input!V24/100</f>
        <v>1.0835216229192809E-3</v>
      </c>
      <c r="AH24" s="18">
        <f>AF24/Z24</f>
        <v>12796.402528029825</v>
      </c>
      <c r="AI24" s="133">
        <f>AH24*SQRT((AG24/AF24)^2+(AA24/Z24)^2)</f>
        <v>48.861608245679925</v>
      </c>
      <c r="AJ24" s="132">
        <f t="shared" si="92"/>
        <v>134.68123642226271</v>
      </c>
      <c r="AK24" s="133">
        <f>V24*1000</f>
        <v>0.88241039394846144</v>
      </c>
      <c r="AL24" s="133">
        <f>AF24/Q24</f>
        <v>0.19890490065721303</v>
      </c>
      <c r="AM24" s="133">
        <f>AL24*SQRT((R24/Q24)^2+(AG24/AF24)^2)</f>
        <v>5.0845083646001011E-4</v>
      </c>
      <c r="AN24" s="18">
        <f>AL24*1/((AN23+AN25)/2)</f>
        <v>0.20034622794197593</v>
      </c>
      <c r="AO24" s="129">
        <f>AN24*SQRT((R24/Q24)^2+(AG24/AF24)^2)</f>
        <v>5.1213523066613023E-4</v>
      </c>
      <c r="AP24" s="18">
        <f>ThU_Alter_Kombi(AN24,U24)</f>
        <v>21.103200000000001</v>
      </c>
      <c r="AQ24" s="18">
        <f t="shared" si="98"/>
        <v>6.3799999999999996E-2</v>
      </c>
      <c r="AR24" s="154">
        <f>(AQ24/AP24)</f>
        <v>3.0232381818871066E-3</v>
      </c>
      <c r="AS24" s="131">
        <f t="shared" si="99"/>
        <v>1.5543813991590423E-5</v>
      </c>
      <c r="AT24" s="131">
        <f t="shared" si="100"/>
        <v>4.4097784462864654E-8</v>
      </c>
      <c r="AU24" s="18">
        <v>8</v>
      </c>
      <c r="AV24" s="18">
        <f>AU24/2</f>
        <v>4</v>
      </c>
      <c r="AW24" s="18">
        <f t="shared" si="102"/>
        <v>21.0913</v>
      </c>
      <c r="AX24" s="135">
        <f t="shared" si="103"/>
        <v>6.4562015E-2</v>
      </c>
      <c r="AY24" s="135">
        <f t="shared" si="104"/>
        <v>6.2453621610467684E-2</v>
      </c>
      <c r="AZ24" s="154">
        <f t="shared" si="105"/>
        <v>3.061073286141679E-3</v>
      </c>
      <c r="BA24" s="18" t="str">
        <f>Input!B24</f>
        <v>SO236_17_1</v>
      </c>
      <c r="BB24" s="136">
        <f>Input!E24</f>
        <v>0</v>
      </c>
      <c r="BC24" s="18">
        <f>((U24-1)*EXP(Constants!$B$17*AW24*1000))*1000</f>
        <v>142.9409615579529</v>
      </c>
      <c r="BD24" s="132">
        <f>SQRT((EXP(Constants!$B$17*AW24*1000)*V24)^2+((U24-1)*Constants!$B$17*EXP(Constants!$B$17*AW24*1000)*AY24*1000)^2)*1000</f>
        <v>0.93686561243640787</v>
      </c>
      <c r="BE24" s="18">
        <f t="shared" si="106"/>
        <v>21033.3</v>
      </c>
      <c r="BF24" s="137">
        <f t="shared" si="107"/>
        <v>31.226810805233843</v>
      </c>
      <c r="BG24" s="20">
        <f t="shared" si="108"/>
        <v>0.29611082109906778</v>
      </c>
      <c r="BH24" s="18"/>
      <c r="BI24" s="18"/>
      <c r="BJ24" s="18"/>
      <c r="BK24" s="18"/>
      <c r="BL24" s="18"/>
      <c r="BM24" s="18"/>
      <c r="BN24" s="159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</row>
    <row r="25" spans="1:110" ht="15" customHeight="1" x14ac:dyDescent="0.2">
      <c r="A25" s="138">
        <f>Input!A25</f>
        <v>10815</v>
      </c>
      <c r="B25" s="138" t="str">
        <f>Input!B25</f>
        <v>Hu1-13</v>
      </c>
      <c r="C25" s="138">
        <f>Input!O25</f>
        <v>2.0753364245300885</v>
      </c>
      <c r="D25" s="138">
        <f>C25*Input!P25/100</f>
        <v>1.2575217314466265E-2</v>
      </c>
      <c r="E25" s="139">
        <f>Input!M25</f>
        <v>2.7321721294643853</v>
      </c>
      <c r="F25" s="140">
        <f>E25*Input!N25/100</f>
        <v>2.9337990812494847E-4</v>
      </c>
      <c r="G25" s="141">
        <f t="shared" ref="G25" si="109">E25*137.88</f>
        <v>376.71189321054942</v>
      </c>
      <c r="H25" s="140">
        <f>G25*Input!L25/100</f>
        <v>3.0934316336534227E-2</v>
      </c>
      <c r="I25" s="138">
        <v>0</v>
      </c>
      <c r="J25" s="142">
        <f>(((C25*Constants!$B$24*0.000000001*Input!G25*(Constants!$B$4/Constants!$B$3))-(I25*0.000000000000001))/Input!F25)*1000000000000</f>
        <v>749.27436296605799</v>
      </c>
      <c r="K25" s="138">
        <f>J25*Input!P25/100</f>
        <v>4.5401255579995476</v>
      </c>
      <c r="L25" s="143">
        <f>(J25/Constants!$B$4)*602200000000*Constants!$B$17/(365.2425*24*60)</f>
        <v>10.344564511190633</v>
      </c>
      <c r="M25" s="144">
        <f>L25*Input!P25/100</f>
        <v>6.2681474296964856E-2</v>
      </c>
      <c r="N25" s="138">
        <v>0</v>
      </c>
      <c r="O25" s="142">
        <f>(((G25*Constants!$B$23*0.000000001*Input!G25*(Constants!$B$7/Constants!$B$6))-(N25*0.000000001))/Input!F25)*1000000</f>
        <v>13.700713880353272</v>
      </c>
      <c r="P25" s="138">
        <f>O25*Input!N25/100</f>
        <v>1.4711789700644646E-3</v>
      </c>
      <c r="Q25" s="145">
        <f>(O25/Constants!$B$7)*602200000000000000*Constants!$B$18/(365.2425*24*60)</f>
        <v>10.222387031941169</v>
      </c>
      <c r="R25" s="146">
        <f>Q25*Input!N25/100</f>
        <v>1.0976771689844068E-3</v>
      </c>
      <c r="S25" s="144">
        <f>Input!S25*Constants!$B$17/Constants!$B$18</f>
        <v>0.99906263798526351</v>
      </c>
      <c r="T25" s="138">
        <f>S25*Input!T25/100</f>
        <v>1.3594536563765391E-3</v>
      </c>
      <c r="U25" s="144">
        <f>S25</f>
        <v>0.99906263798526351</v>
      </c>
      <c r="V25" s="138">
        <f>U25*Input!T25/100</f>
        <v>1.3594536563765391E-3</v>
      </c>
      <c r="W25" s="147">
        <v>0</v>
      </c>
      <c r="X25" s="142">
        <f>(((Constants!$B$25*0.000000001*Input!G25/Input!W25*(Constants!$B$11/Constants!$B$9))-(W25*0.000000001))/Input!F25)*1000000000</f>
        <v>0.90515967516923346</v>
      </c>
      <c r="Y25" s="142">
        <f>X25*Input!X25/100</f>
        <v>4.3958393014367683E-3</v>
      </c>
      <c r="Z25" s="142">
        <f>(X25/Constants!$B$11)*6.022E+23*0.000000001*Constants!$B$19/(365.2425*24*60)</f>
        <v>2.2097873937225251E-4</v>
      </c>
      <c r="AA25" s="142">
        <f>Z25*Input!X25/100</f>
        <v>1.0731664853860006E-6</v>
      </c>
      <c r="AB25" s="143">
        <v>0</v>
      </c>
      <c r="AC25" s="143">
        <v>0.9</v>
      </c>
      <c r="AD25" s="142">
        <f>(((Input!G25*Constants!$B$25*0.000000001*Input!U25*(Constants!$B$10/Constants!$B$9))-((AB25*0.000000000000001)+(Input!G25*AC25*0.000000000000001)))/Input!F25)*1000000000000</f>
        <v>221.97240836045623</v>
      </c>
      <c r="AE25" s="142">
        <f>AD25*Input!V25/100</f>
        <v>0.85499542087472202</v>
      </c>
      <c r="AF25" s="142">
        <f>(AD25/Constants!$B$10)*602200000000*Constants!$B$16/(365.2425*24*60)</f>
        <v>10.13207896026085</v>
      </c>
      <c r="AG25" s="142">
        <f>AF25*Input!V25/100</f>
        <v>3.9026837519808656E-2</v>
      </c>
      <c r="AH25" s="138">
        <f t="shared" ref="AH25" si="110">AF25/Z25</f>
        <v>45850.922079850992</v>
      </c>
      <c r="AI25" s="147">
        <f t="shared" ref="AI25" si="111">AH25*SQRT((AG25/AF25)^2+(AA25/Z25)^2)</f>
        <v>284.20653103976616</v>
      </c>
      <c r="AJ25" s="144">
        <f t="shared" si="92"/>
        <v>-0.93736201473648695</v>
      </c>
      <c r="AK25" s="147">
        <f t="shared" ref="AK25" si="112">V25*1000</f>
        <v>1.3594536563765391</v>
      </c>
      <c r="AL25" s="147">
        <f t="shared" ref="AL25" si="113">AF25/Q25</f>
        <v>0.99116565716029537</v>
      </c>
      <c r="AM25" s="147">
        <f t="shared" ref="AM25" si="114">AL25*SQRT((R25/Q25)^2+(AG25/AF25)^2)</f>
        <v>3.8192644889512069E-3</v>
      </c>
      <c r="AN25" s="138">
        <f>AF25/Q25</f>
        <v>0.99116565716029537</v>
      </c>
      <c r="AO25" s="142">
        <f t="shared" ref="AO25" si="115">AN25*SQRT((R25/Q25)^2+(AG25/AF25)^2)</f>
        <v>3.8192644889512069E-3</v>
      </c>
      <c r="AP25" s="138">
        <f t="shared" ref="AP25" si="116">ThU_Alter_Kombi(AN25,U25)</f>
        <v>533.16189999999995</v>
      </c>
      <c r="AQ25" s="138" t="e">
        <f t="shared" si="98"/>
        <v>#VALUE!</v>
      </c>
      <c r="AR25" s="138" t="e">
        <f>(AQ25/AP25)*100</f>
        <v>#VALUE!</v>
      </c>
      <c r="AS25" s="146">
        <f t="shared" si="99"/>
        <v>2.1617136846978685E-5</v>
      </c>
      <c r="AT25" s="146">
        <f t="shared" si="100"/>
        <v>1.0500764452659304E-7</v>
      </c>
      <c r="AU25" s="138">
        <v>0.75</v>
      </c>
      <c r="AV25" s="138">
        <f t="shared" ref="AV25" si="117">AU25/2</f>
        <v>0.375</v>
      </c>
      <c r="AW25" s="138">
        <f t="shared" si="102"/>
        <v>533.16020000000003</v>
      </c>
      <c r="AX25" s="148">
        <f t="shared" si="103"/>
        <v>110.36785715809999</v>
      </c>
      <c r="AY25" s="148">
        <f t="shared" si="104"/>
        <v>61.726057907033166</v>
      </c>
      <c r="AZ25" s="149">
        <f t="shared" si="105"/>
        <v>0.20700693179667198</v>
      </c>
      <c r="BA25" s="138" t="str">
        <f>Input!B25</f>
        <v>Hu1-13</v>
      </c>
      <c r="BB25" s="150">
        <f>Input!E25</f>
        <v>0</v>
      </c>
      <c r="BC25" s="138">
        <f>((U25-1)*EXP(Constants!$B$17*AW25*1000))*1000</f>
        <v>-4.2203765661880377</v>
      </c>
      <c r="BD25" s="144">
        <f>SQRT((EXP(Constants!$B$17*AW25*1000)*V25)^2+((U25-1)*Constants!$B$17*EXP(Constants!$B$17*AW25*1000)*AY25*1000)^2)*1000</f>
        <v>6.164793209829087</v>
      </c>
      <c r="BE25" s="138">
        <f t="shared" si="106"/>
        <v>533102.20000000007</v>
      </c>
      <c r="BF25" s="151">
        <f t="shared" si="107"/>
        <v>30863.028953516583</v>
      </c>
      <c r="BG25" s="160">
        <f t="shared" si="108"/>
        <v>11.577394169150878</v>
      </c>
      <c r="BH25" s="138"/>
      <c r="BI25" s="18"/>
      <c r="BJ25" s="18"/>
      <c r="BK25" s="18"/>
      <c r="BL25" s="18"/>
      <c r="BM25" s="18"/>
      <c r="BN25" s="159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</row>
    <row r="26" spans="1:110" ht="15" customHeight="1" x14ac:dyDescent="0.2">
      <c r="A26" s="18">
        <f>Input!A26</f>
        <v>10927</v>
      </c>
      <c r="B26" s="18" t="str">
        <f>Input!B26</f>
        <v>SO236_17_2</v>
      </c>
      <c r="C26" s="18">
        <f>Input!O26</f>
        <v>2.2520651675645955</v>
      </c>
      <c r="D26" s="18">
        <f>C26*Input!P26/100</f>
        <v>3.5322832715408777E-3</v>
      </c>
      <c r="E26" s="152">
        <f>Input!M26</f>
        <v>2.6207086993112645</v>
      </c>
      <c r="F26" s="153">
        <f>E26*Input!N26/100</f>
        <v>1.0442014098433912E-4</v>
      </c>
      <c r="G26" s="21">
        <f>E26*137.88</f>
        <v>361.34331546103715</v>
      </c>
      <c r="H26" s="153">
        <f>G26*Input!L26/100</f>
        <v>1.3227337514778923E-2</v>
      </c>
      <c r="I26" s="18">
        <v>0.3</v>
      </c>
      <c r="J26" s="129">
        <f>(((C26*Constants!$B$24*0.000000001*Input!G26*(Constants!$B$4/Constants!$B$3))-(I26*0.000000000000001))/Input!F26)*1000000000000</f>
        <v>207.57725074095768</v>
      </c>
      <c r="K26" s="18">
        <f>J26*Input!P26/100</f>
        <v>0.32557745704030572</v>
      </c>
      <c r="L26" s="134">
        <f>(J26/Constants!$B$4)*602200000000*Constants!$B$17/(365.2425*24*60)</f>
        <v>2.8658344225808006</v>
      </c>
      <c r="M26" s="132">
        <f>L26*Input!P26/100</f>
        <v>4.4949582879234415E-3</v>
      </c>
      <c r="N26" s="18">
        <v>5.0000000000000001E-3</v>
      </c>
      <c r="O26" s="129">
        <f>(((G26*Constants!$B$23*0.000000001*Input!G26*(Constants!$B$7/Constants!$B$6))-(N26*0.000000001))/Input!F26)*1000000</f>
        <v>3.3550585145594733</v>
      </c>
      <c r="P26" s="18">
        <f>O26*Input!N26/100</f>
        <v>1.3367974975359815E-4</v>
      </c>
      <c r="Q26" s="130">
        <f>(O26/Constants!$B$7)*602200000000000000*Constants!$B$18/(365.2425*24*60)</f>
        <v>2.5032788035824765</v>
      </c>
      <c r="R26" s="131">
        <f>Q26*Input!N26/100</f>
        <v>9.9741236277761522E-5</v>
      </c>
      <c r="S26" s="132">
        <f>Input!S26*Constants!$B$17/Constants!$B$18</f>
        <v>1.1343611721051623</v>
      </c>
      <c r="T26" s="18">
        <f>S26*Input!T26/100</f>
        <v>4.5631713532137138E-4</v>
      </c>
      <c r="U26" s="18">
        <f>S26*1/((U25+U27)/2)</f>
        <v>1.1353317918075476</v>
      </c>
      <c r="V26" s="18">
        <f>U26*Input!T26/100</f>
        <v>4.5670758451248484E-4</v>
      </c>
      <c r="W26" s="133">
        <v>3.0000000000000001E-3</v>
      </c>
      <c r="X26" s="129">
        <f>IF((((Constants!$B$25*0.000000001*Input!G26/Input!W26*(Constants!$B$11/Constants!$B$9))-(W26*0.000000001))/Input!F26)*1000000000&lt;0, "n.d.", (((Constants!$B$25*0.000000001*Input!G26/Input!W26*(Constants!$B$11/Constants!$B$9))-(W26*0.000000001))/Input!F26)*1000000000)</f>
        <v>19.32459954822956</v>
      </c>
      <c r="Y26" s="129">
        <f>X26*Input!X26/100</f>
        <v>3.7061658421585049E-2</v>
      </c>
      <c r="Z26" s="129">
        <f>(X26/Constants!$B$11)*6.022E+23*0.000000001*Constants!$B$19/(365.2425*24*60)</f>
        <v>4.7177594894988704E-3</v>
      </c>
      <c r="AA26" s="129">
        <f>Z26*Input!X26/100</f>
        <v>9.0479489770859149E-6</v>
      </c>
      <c r="AB26" s="134">
        <v>0.05</v>
      </c>
      <c r="AC26" s="134">
        <v>0.9</v>
      </c>
      <c r="AD26" s="129">
        <f>(((Input!G26*Constants!$B$25*0.000000001*Input!U26*(Constants!$B$10/Constants!$B$9))-((AB26*0.000000000000001)+(Input!G26*AC26*0.000000000000001)))/Input!F26)*1000000000000</f>
        <v>11.264333057350019</v>
      </c>
      <c r="AE26" s="129">
        <f>AD26*Input!V26/100</f>
        <v>2.8816752730557199E-2</v>
      </c>
      <c r="AF26" s="129">
        <f>(AD26/Constants!$B$10)*602200000000*Constants!$B$16/(365.2425*24*60)</f>
        <v>0.51416801220812913</v>
      </c>
      <c r="AG26" s="129">
        <f>AF26*Input!V26/100</f>
        <v>1.3153599413589651E-3</v>
      </c>
      <c r="AH26" s="18">
        <f>AF26/Z26</f>
        <v>108.9856346752312</v>
      </c>
      <c r="AI26" s="133">
        <f>AH26*SQRT((AG26/AF26)^2+(AA26/Z26)^2)</f>
        <v>0.34845902355198266</v>
      </c>
      <c r="AJ26" s="132">
        <f t="shared" si="92"/>
        <v>135.33179180754763</v>
      </c>
      <c r="AK26" s="133">
        <f>V26*1000</f>
        <v>0.45670758451248483</v>
      </c>
      <c r="AL26" s="133">
        <f>AF26/Q26</f>
        <v>0.20539782123840791</v>
      </c>
      <c r="AM26" s="133">
        <f>AL26*SQRT((R26/Q26)^2+(AG26/AF26)^2)</f>
        <v>5.2551855937381863E-4</v>
      </c>
      <c r="AN26" s="18">
        <f>AL26*1/((AN25+AN27)/2)</f>
        <v>0.20665467013709907</v>
      </c>
      <c r="AO26" s="129">
        <f>AN26*SQRT((R26/Q26)^2+(AG26/AF26)^2)</f>
        <v>5.2873425766413352E-4</v>
      </c>
      <c r="AP26" s="18">
        <f>ThU_Alter_Kombi(AN26,U26)</f>
        <v>21.8218</v>
      </c>
      <c r="AQ26" s="18">
        <f t="shared" si="98"/>
        <v>6.2300000000000001E-2</v>
      </c>
      <c r="AR26" s="154">
        <f>(AQ26/AP26)</f>
        <v>2.8549432219156989E-3</v>
      </c>
      <c r="AS26" s="131">
        <f t="shared" si="99"/>
        <v>1.8846320604589551E-3</v>
      </c>
      <c r="AT26" s="131">
        <f t="shared" si="100"/>
        <v>3.6152191257857086E-6</v>
      </c>
      <c r="AU26" s="18">
        <v>8</v>
      </c>
      <c r="AV26" s="18">
        <f>AU26/2</f>
        <v>4</v>
      </c>
      <c r="AW26" s="18">
        <f t="shared" si="102"/>
        <v>20.374600000000001</v>
      </c>
      <c r="AX26" s="135">
        <f t="shared" si="103"/>
        <v>0.7558178485</v>
      </c>
      <c r="AY26" s="135">
        <f t="shared" si="104"/>
        <v>0.73226588694754635</v>
      </c>
      <c r="AZ26" s="154">
        <f t="shared" si="105"/>
        <v>3.7096082794263442E-2</v>
      </c>
      <c r="BA26" s="18" t="str">
        <f>Input!B26</f>
        <v>SO236_17_2</v>
      </c>
      <c r="BB26" s="136">
        <f>Input!E26</f>
        <v>0</v>
      </c>
      <c r="BC26" s="18">
        <f>((U26-1)*EXP(Constants!$B$17*AW26*1000))*1000</f>
        <v>143.34120311419568</v>
      </c>
      <c r="BD26" s="132">
        <f>SQRT((EXP(Constants!$B$17*AW26*1000)*V26)^2+((U26-1)*Constants!$B$17*EXP(Constants!$B$17*AW26*1000)*AY26*1000)^2)*1000</f>
        <v>0.56722532185168406</v>
      </c>
      <c r="BE26" s="18">
        <f t="shared" si="106"/>
        <v>20316.600000000002</v>
      </c>
      <c r="BF26" s="137">
        <f t="shared" si="107"/>
        <v>366.1329434737732</v>
      </c>
      <c r="BG26" s="20">
        <f t="shared" si="108"/>
        <v>3.5940135607449784</v>
      </c>
      <c r="BH26" s="18"/>
      <c r="BI26" s="18"/>
      <c r="BJ26" s="18"/>
      <c r="BK26" s="18"/>
      <c r="BL26" s="18"/>
      <c r="BM26" s="18"/>
      <c r="BN26" s="159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</row>
    <row r="27" spans="1:110" ht="15" customHeight="1" x14ac:dyDescent="0.2">
      <c r="A27" s="138">
        <f>Input!A27</f>
        <v>10815</v>
      </c>
      <c r="B27" s="138" t="str">
        <f>Input!B27</f>
        <v>Hu1-13</v>
      </c>
      <c r="C27" s="138">
        <f>Input!O27</f>
        <v>2.0813908686320874</v>
      </c>
      <c r="D27" s="138">
        <f>C27*Input!P27/100</f>
        <v>1.4131170201253176E-2</v>
      </c>
      <c r="E27" s="139">
        <f>Input!M27</f>
        <v>2.732106385920583</v>
      </c>
      <c r="F27" s="140">
        <f>E27*Input!N27/100</f>
        <v>2.1690288150502546E-4</v>
      </c>
      <c r="G27" s="141">
        <f t="shared" ref="G27" si="118">E27*137.88</f>
        <v>376.70282849072998</v>
      </c>
      <c r="H27" s="140">
        <f>G27*Input!L27/100</f>
        <v>3.1931865803126395E-2</v>
      </c>
      <c r="I27" s="138">
        <v>0</v>
      </c>
      <c r="J27" s="142">
        <f>(((C27*Constants!$B$24*0.000000001*Input!G27*(Constants!$B$4/Constants!$B$3))-(I27*0.000000000000001))/Input!F27)*1000000000000</f>
        <v>751.46024458699355</v>
      </c>
      <c r="K27" s="138">
        <f>J27*Input!P27/100</f>
        <v>5.101882964785502</v>
      </c>
      <c r="L27" s="143">
        <f>(J27/Constants!$B$4)*602200000000*Constants!$B$17/(365.2425*24*60)</f>
        <v>10.37474303398445</v>
      </c>
      <c r="M27" s="144">
        <f>L27*Input!P27/100</f>
        <v>7.0437159025230039E-2</v>
      </c>
      <c r="N27" s="138">
        <v>0</v>
      </c>
      <c r="O27" s="142">
        <f>(((G27*Constants!$B$23*0.000000001*Input!G27*(Constants!$B$7/Constants!$B$6))-(N27*0.000000001))/Input!F27)*1000000</f>
        <v>13.700384203656332</v>
      </c>
      <c r="P27" s="138">
        <f>O27*Input!N27/100</f>
        <v>1.0876782935001611E-3</v>
      </c>
      <c r="Q27" s="145">
        <f>(O27/Constants!$B$7)*602200000000000000*Constants!$B$18/(365.2425*24*60)</f>
        <v>10.222141053314001</v>
      </c>
      <c r="R27" s="146">
        <f>Q27*Input!N27/100</f>
        <v>8.1153935331384748E-4</v>
      </c>
      <c r="S27" s="144">
        <f>Input!S27*Constants!$B$17/Constants!$B$18</f>
        <v>0.99922751876117955</v>
      </c>
      <c r="T27" s="138">
        <f>S27*Input!T27/100</f>
        <v>1.2489566944205123E-3</v>
      </c>
      <c r="U27" s="144">
        <f>S27</f>
        <v>0.99922751876117955</v>
      </c>
      <c r="V27" s="138">
        <f>U27*Input!T27/100</f>
        <v>1.2489566944205123E-3</v>
      </c>
      <c r="W27" s="147">
        <v>0</v>
      </c>
      <c r="X27" s="142">
        <f>(((Constants!$B$25*0.000000001*Input!G27/Input!W27*(Constants!$B$11/Constants!$B$9))-(W27*0.000000001))/Input!F27)*1000000000</f>
        <v>0.89184242563721405</v>
      </c>
      <c r="Y27" s="142">
        <f>X27*Input!X27/100</f>
        <v>3.8190947132012792E-3</v>
      </c>
      <c r="Z27" s="142">
        <f>(X27/Constants!$B$11)*6.022E+23*0.000000001*Constants!$B$19/(365.2425*24*60)</f>
        <v>2.1772756823171184E-4</v>
      </c>
      <c r="AA27" s="142">
        <f>Z27*Input!X27/100</f>
        <v>9.3236448597720146E-7</v>
      </c>
      <c r="AB27" s="143">
        <v>0</v>
      </c>
      <c r="AC27" s="143">
        <v>0.9</v>
      </c>
      <c r="AD27" s="142">
        <f>(((Input!G27*Constants!$B$25*0.000000001*Input!U27*(Constants!$B$10/Constants!$B$9))-((AB27*0.000000000000001)+(Input!G27*AC27*0.000000000000001)))/Input!F27)*1000000000000</f>
        <v>223.19987032443771</v>
      </c>
      <c r="AE27" s="142">
        <f>AD27*Input!V27/100</f>
        <v>0.66132522225543189</v>
      </c>
      <c r="AF27" s="142">
        <f>(AD27/Constants!$B$10)*602200000000*Constants!$B$16/(365.2425*24*60)</f>
        <v>10.188107282121383</v>
      </c>
      <c r="AG27" s="142">
        <f>AF27*Input!V27/100</f>
        <v>3.0186631842202351E-2</v>
      </c>
      <c r="AH27" s="138">
        <f t="shared" ref="AH27" si="119">AF27/Z27</f>
        <v>46792.913570223274</v>
      </c>
      <c r="AI27" s="147">
        <f t="shared" ref="AI27" si="120">AH27*SQRT((AG27/AF27)^2+(AA27/Z27)^2)</f>
        <v>243.66770429463321</v>
      </c>
      <c r="AJ27" s="144">
        <f t="shared" si="92"/>
        <v>-0.77248123882045494</v>
      </c>
      <c r="AK27" s="147">
        <f t="shared" ref="AK27" si="121">V27*1000</f>
        <v>1.2489566944205122</v>
      </c>
      <c r="AL27" s="147">
        <f t="shared" ref="AL27" si="122">AF27/Q27</f>
        <v>0.99667058290282695</v>
      </c>
      <c r="AM27" s="147">
        <f t="shared" ref="AM27" si="123">AL27*SQRT((R27/Q27)^2+(AG27/AF27)^2)</f>
        <v>2.9541234033057767E-3</v>
      </c>
      <c r="AN27" s="138">
        <f>AF27/Q27</f>
        <v>0.99667058290282695</v>
      </c>
      <c r="AO27" s="142">
        <f t="shared" ref="AO27" si="124">AN27*SQRT((R27/Q27)^2+(AG27/AF27)^2)</f>
        <v>2.9541234033057767E-3</v>
      </c>
      <c r="AP27" s="138">
        <f t="shared" ref="AP27" si="125">ThU_Alter_Kombi(AN27,U27)</f>
        <v>665.8125</v>
      </c>
      <c r="AQ27" s="138" t="e">
        <f t="shared" si="98"/>
        <v>#VALUE!</v>
      </c>
      <c r="AR27" s="138" t="e">
        <f>(AQ27/AP27)*100</f>
        <v>#VALUE!</v>
      </c>
      <c r="AS27" s="146">
        <f t="shared" si="99"/>
        <v>2.1299605150833341E-5</v>
      </c>
      <c r="AT27" s="146">
        <f t="shared" si="100"/>
        <v>9.1225967079935993E-8</v>
      </c>
      <c r="AU27" s="138">
        <v>0.75</v>
      </c>
      <c r="AV27" s="138">
        <f t="shared" ref="AV27" si="126">AU27/2</f>
        <v>0.375</v>
      </c>
      <c r="AW27" s="138">
        <f t="shared" si="102"/>
        <v>665.81079999999997</v>
      </c>
      <c r="AX27" s="148">
        <f t="shared" si="103"/>
        <v>312.43777459080002</v>
      </c>
      <c r="AY27" s="148">
        <f t="shared" si="104"/>
        <v>168.31582244263274</v>
      </c>
      <c r="AZ27" s="149">
        <f t="shared" si="105"/>
        <v>0.46925909671456217</v>
      </c>
      <c r="BA27" s="138" t="str">
        <f>Input!B27</f>
        <v>Hu1-13</v>
      </c>
      <c r="BB27" s="150">
        <f>Input!E27</f>
        <v>0</v>
      </c>
      <c r="BC27" s="138">
        <f>((U27-1)*EXP(Constants!$B$17*AW27*1000))*1000</f>
        <v>-5.0571873518103256</v>
      </c>
      <c r="BD27" s="144">
        <f>SQRT((EXP(Constants!$B$17*AW27*1000)*V27)^2+((U27-1)*Constants!$B$17*EXP(Constants!$B$17*AW27*1000)*AY27*1000)^2)*1000</f>
        <v>8.522077234939621</v>
      </c>
      <c r="BE27" s="138">
        <f t="shared" si="106"/>
        <v>665752.79999999993</v>
      </c>
      <c r="BF27" s="151">
        <f t="shared" si="107"/>
        <v>84157.911221316375</v>
      </c>
      <c r="BG27" s="160">
        <f t="shared" si="108"/>
        <v>25.279827609079447</v>
      </c>
      <c r="BH27" s="138"/>
      <c r="BI27" s="18"/>
      <c r="BJ27" s="18"/>
      <c r="BK27" s="18"/>
      <c r="BL27" s="18"/>
      <c r="BM27" s="18"/>
      <c r="BN27" s="159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</row>
    <row r="28" spans="1:110" ht="15" customHeight="1" x14ac:dyDescent="0.2">
      <c r="A28" s="18">
        <f>Input!A28</f>
        <v>10928</v>
      </c>
      <c r="B28" s="18" t="str">
        <f>Input!B28</f>
        <v>SO236_17_3</v>
      </c>
      <c r="C28" s="18">
        <f>Input!O28</f>
        <v>2.3324341740117749</v>
      </c>
      <c r="D28" s="18">
        <f>C28*Input!P28/100</f>
        <v>3.9515539434163268E-3</v>
      </c>
      <c r="E28" s="152">
        <f>Input!M28</f>
        <v>2.7111262296978786</v>
      </c>
      <c r="F28" s="153">
        <f>E28*Input!N28/100</f>
        <v>1.1140875307349476E-4</v>
      </c>
      <c r="G28" s="21">
        <f>E28*137.88</f>
        <v>373.81008455074351</v>
      </c>
      <c r="H28" s="153">
        <f>G28*Input!L28/100</f>
        <v>1.3665388308879291E-2</v>
      </c>
      <c r="I28" s="18">
        <v>0.3</v>
      </c>
      <c r="J28" s="129">
        <f>(((C28*Constants!$B$24*0.000000001*Input!G28*(Constants!$B$4/Constants!$B$3))-(I28*0.000000000000001))/Input!F28)*1000000000000</f>
        <v>234.33263432204129</v>
      </c>
      <c r="K28" s="18">
        <f>J28*Input!P28/100</f>
        <v>0.39700071948170818</v>
      </c>
      <c r="L28" s="134">
        <f>(J28/Constants!$B$4)*602200000000*Constants!$B$17/(365.2425*24*60)</f>
        <v>3.2352221998170911</v>
      </c>
      <c r="M28" s="132">
        <f>L28*Input!P28/100</f>
        <v>5.4810357282351887E-3</v>
      </c>
      <c r="N28" s="18">
        <v>5.0000000000000001E-3</v>
      </c>
      <c r="O28" s="129">
        <f>(((G28*Constants!$B$23*0.000000001*Input!G28*(Constants!$B$7/Constants!$B$6))-(N28*0.000000001))/Input!F28)*1000000</f>
        <v>3.7831683302731678</v>
      </c>
      <c r="P28" s="18">
        <f>O28*Input!N28/100</f>
        <v>1.5546235425188494E-4</v>
      </c>
      <c r="Q28" s="130">
        <f>(O28/Constants!$B$7)*602200000000000000*Constants!$B$18/(365.2425*24*60)</f>
        <v>2.8227004239897155</v>
      </c>
      <c r="R28" s="131">
        <f>Q28*Input!N28/100</f>
        <v>1.1599368966739824E-4</v>
      </c>
      <c r="S28" s="132">
        <f>Input!S28*Constants!$B$17/Constants!$B$18</f>
        <v>1.1341594906221868</v>
      </c>
      <c r="T28" s="18">
        <f>S28*Input!T28/100</f>
        <v>5.7300850022828291E-4</v>
      </c>
      <c r="U28" s="18">
        <f>S28*1/((U27+U29)/2)</f>
        <v>1.1344535168840011</v>
      </c>
      <c r="V28" s="18">
        <f>U28*Input!T28/100</f>
        <v>5.7315705036492862E-4</v>
      </c>
      <c r="W28" s="133">
        <v>3.0000000000000001E-3</v>
      </c>
      <c r="X28" s="129">
        <f>IF((((Constants!$B$25*0.000000001*Input!G28/Input!W28*(Constants!$B$11/Constants!$B$9))-(W28*0.000000001))/Input!F28)*1000000000&lt;0, "n.d.", (((Constants!$B$25*0.000000001*Input!G28/Input!W28*(Constants!$B$11/Constants!$B$9))-(W28*0.000000001))/Input!F28)*1000000000)</f>
        <v>2.1313447798500622</v>
      </c>
      <c r="Y28" s="129">
        <f>X28*Input!X28/100</f>
        <v>4.4829859338107554E-3</v>
      </c>
      <c r="Z28" s="129">
        <f>(X28/Constants!$B$11)*6.022E+23*0.000000001*Constants!$B$19/(365.2425*24*60)</f>
        <v>5.2033016443296632E-4</v>
      </c>
      <c r="AA28" s="129">
        <f>Z28*Input!X28/100</f>
        <v>1.094441795688506E-6</v>
      </c>
      <c r="AB28" s="134">
        <v>0.05</v>
      </c>
      <c r="AC28" s="134">
        <v>0.9</v>
      </c>
      <c r="AD28" s="129">
        <f>(((Input!G28*Constants!$B$25*0.000000001*Input!U28*(Constants!$B$10/Constants!$B$9))-((AB28*0.000000000000001)+(Input!G28*AC28*0.000000000000001)))/Input!F28)*1000000000000</f>
        <v>12.349324545385677</v>
      </c>
      <c r="AE28" s="129">
        <f>AD28*Input!V28/100</f>
        <v>3.4095410489479921E-2</v>
      </c>
      <c r="AF28" s="129">
        <f>(AD28/Constants!$B$10)*602200000000*Constants!$B$16/(365.2425*24*60)</f>
        <v>0.5636931739576766</v>
      </c>
      <c r="AG28" s="129">
        <f>AF28*Input!V28/100</f>
        <v>1.5563078033596666E-3</v>
      </c>
      <c r="AH28" s="18">
        <f>AF28/Z28</f>
        <v>1083.3374893265423</v>
      </c>
      <c r="AI28" s="133">
        <f>AH28*SQRT((AG28/AF28)^2+(AA28/Z28)^2)</f>
        <v>3.7600964963985337</v>
      </c>
      <c r="AJ28" s="132">
        <f t="shared" si="92"/>
        <v>134.45351688400109</v>
      </c>
      <c r="AK28" s="133">
        <f>V28*1000</f>
        <v>0.57315705036492859</v>
      </c>
      <c r="AL28" s="133">
        <f>AF28/Q28</f>
        <v>0.19969996432031231</v>
      </c>
      <c r="AM28" s="133">
        <f>AL28*SQRT((R28/Q28)^2+(AG28/AF28)^2)</f>
        <v>5.5141529206604559E-4</v>
      </c>
      <c r="AN28" s="18">
        <f>AL28*1/((AN27+AN29)/2)</f>
        <v>0.20046893493168416</v>
      </c>
      <c r="AO28" s="129">
        <f>AN28*SQRT((R28/Q28)^2+(AG28/AF28)^2)</f>
        <v>5.5353858816027874E-4</v>
      </c>
      <c r="AP28" s="18">
        <f>ThU_Alter_Kombi(AN28,U28)</f>
        <v>21.122199999999999</v>
      </c>
      <c r="AQ28" s="18">
        <f t="shared" si="98"/>
        <v>6.8599999999999994E-2</v>
      </c>
      <c r="AR28" s="154">
        <f>(AQ28/AP28)</f>
        <v>3.2477677514652827E-3</v>
      </c>
      <c r="AS28" s="131">
        <f t="shared" si="99"/>
        <v>1.8433772142830207E-4</v>
      </c>
      <c r="AT28" s="131">
        <f t="shared" si="100"/>
        <v>3.8780262889400529E-7</v>
      </c>
      <c r="AU28" s="18">
        <v>8</v>
      </c>
      <c r="AV28" s="18">
        <f>AU28/2</f>
        <v>4</v>
      </c>
      <c r="AW28" s="18">
        <f t="shared" si="102"/>
        <v>20.981400000000001</v>
      </c>
      <c r="AX28" s="135">
        <f t="shared" si="103"/>
        <v>9.4863793000000002E-2</v>
      </c>
      <c r="AY28" s="135">
        <f t="shared" si="104"/>
        <v>9.6130312810769378E-2</v>
      </c>
      <c r="AZ28" s="154">
        <f t="shared" si="105"/>
        <v>4.5213280810622739E-3</v>
      </c>
      <c r="BA28" s="18" t="str">
        <f>Input!B28</f>
        <v>SO236_17_3</v>
      </c>
      <c r="BB28" s="136">
        <f>Input!E28</f>
        <v>0</v>
      </c>
      <c r="BC28" s="18">
        <f>((U28-1)*EXP(Constants!$B$17*AW28*1000))*1000</f>
        <v>142.6550259273022</v>
      </c>
      <c r="BD28" s="132">
        <f>SQRT((EXP(Constants!$B$17*AW28*1000)*V28)^2+((U28-1)*Constants!$B$17*EXP(Constants!$B$17*AW28*1000)*AY28*1000)^2)*1000</f>
        <v>0.60934915071198437</v>
      </c>
      <c r="BE28" s="18">
        <f t="shared" si="106"/>
        <v>20923.400000000001</v>
      </c>
      <c r="BF28" s="137">
        <f t="shared" si="107"/>
        <v>48.065156405384691</v>
      </c>
      <c r="BG28" s="20">
        <f t="shared" si="108"/>
        <v>0.45816920134390166</v>
      </c>
      <c r="BH28" s="18"/>
      <c r="BI28" s="18"/>
      <c r="BJ28" s="18"/>
      <c r="BK28" s="18"/>
      <c r="BL28" s="18"/>
      <c r="BM28" s="18"/>
      <c r="BN28" s="159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</row>
    <row r="29" spans="1:110" ht="15" customHeight="1" x14ac:dyDescent="0.2">
      <c r="A29" s="138">
        <f>Input!A29</f>
        <v>10815</v>
      </c>
      <c r="B29" s="138" t="str">
        <f>Input!B29</f>
        <v>Hu1-13</v>
      </c>
      <c r="C29" s="138">
        <f>Input!O29</f>
        <v>2.0847867505581501</v>
      </c>
      <c r="D29" s="138">
        <f>C29*Input!P29/100</f>
        <v>1.1434826692559553E-2</v>
      </c>
      <c r="E29" s="139">
        <f>Input!M29</f>
        <v>2.7324173200286799</v>
      </c>
      <c r="F29" s="140">
        <f>E29*Input!N29/100</f>
        <v>2.6985854505297383E-4</v>
      </c>
      <c r="G29" s="141">
        <f t="shared" ref="G29" si="127">E29*137.88</f>
        <v>376.74570008555435</v>
      </c>
      <c r="H29" s="140">
        <f>G29*Input!L29/100</f>
        <v>1.8399270086276863E-2</v>
      </c>
      <c r="I29" s="138">
        <v>0</v>
      </c>
      <c r="J29" s="142">
        <f>(((C29*Constants!$B$24*0.000000001*Input!G29*(Constants!$B$4/Constants!$B$3))-(I29*0.000000000000001))/Input!F29)*1000000000000</f>
        <v>752.68628545284241</v>
      </c>
      <c r="K29" s="138">
        <f>J29*Input!P29/100</f>
        <v>4.1284017301603608</v>
      </c>
      <c r="L29" s="143">
        <f>(J29/Constants!$B$4)*602200000000*Constants!$B$17/(365.2425*24*60)</f>
        <v>10.39166988942886</v>
      </c>
      <c r="M29" s="144">
        <f>L29*Input!P29/100</f>
        <v>5.6997169710568986E-2</v>
      </c>
      <c r="N29" s="138">
        <v>0</v>
      </c>
      <c r="O29" s="142">
        <f>(((G29*Constants!$B$23*0.000000001*Input!G29*(Constants!$B$7/Constants!$B$6))-(N29*0.000000001))/Input!F29)*1000000</f>
        <v>13.701943409683194</v>
      </c>
      <c r="P29" s="138">
        <f>O29*Input!N29/100</f>
        <v>1.353229056861812E-3</v>
      </c>
      <c r="Q29" s="145">
        <f>(O29/Constants!$B$7)*602200000000000000*Constants!$B$18/(365.2425*24*60)</f>
        <v>10.223304409297368</v>
      </c>
      <c r="R29" s="146">
        <f>Q29*Input!N29/100</f>
        <v>1.0096722902845905E-3</v>
      </c>
      <c r="S29" s="144">
        <f>Input!S29*Constants!$B$17/Constants!$B$18</f>
        <v>1.0002541237081886</v>
      </c>
      <c r="T29" s="138">
        <f>S29*Input!T29/100</f>
        <v>1.5393084103798292E-3</v>
      </c>
      <c r="U29" s="144">
        <f>S29</f>
        <v>1.0002541237081886</v>
      </c>
      <c r="V29" s="138">
        <f>U29*Input!T29/100</f>
        <v>1.5393084103798292E-3</v>
      </c>
      <c r="W29" s="147">
        <v>0</v>
      </c>
      <c r="X29" s="142">
        <f>(((Constants!$B$25*0.000000001*Input!G29/Input!W29*(Constants!$B$11/Constants!$B$9))-(W29*0.000000001))/Input!F29)*1000000000</f>
        <v>0.89289623879196056</v>
      </c>
      <c r="Y29" s="142">
        <f>X29*Input!X29/100</f>
        <v>3.2956125629927564E-3</v>
      </c>
      <c r="Z29" s="142">
        <f>(X29/Constants!$B$11)*6.022E+23*0.000000001*Constants!$B$19/(365.2425*24*60)</f>
        <v>2.1798483809122715E-4</v>
      </c>
      <c r="AA29" s="142">
        <f>Z29*Input!X29/100</f>
        <v>8.0456556959780359E-7</v>
      </c>
      <c r="AB29" s="143">
        <v>0</v>
      </c>
      <c r="AC29" s="143">
        <v>0.9</v>
      </c>
      <c r="AD29" s="142">
        <f>(((Input!G29*Constants!$B$25*0.000000001*Input!U29*(Constants!$B$10/Constants!$B$9))-((AB29*0.000000000000001)+(Input!G29*AC29*0.000000000000001)))/Input!F29)*1000000000000</f>
        <v>222.99841547680296</v>
      </c>
      <c r="AE29" s="142">
        <f>AD29*Input!V29/100</f>
        <v>0.61506185460650264</v>
      </c>
      <c r="AF29" s="142">
        <f>(AD29/Constants!$B$10)*602200000000*Constants!$B$16/(365.2425*24*60)</f>
        <v>10.178911740935703</v>
      </c>
      <c r="AG29" s="142">
        <f>AF29*Input!V29/100</f>
        <v>2.8074909500453708E-2</v>
      </c>
      <c r="AH29" s="138">
        <f t="shared" ref="AH29" si="128">AF29/Z29</f>
        <v>46695.503366503894</v>
      </c>
      <c r="AI29" s="147">
        <f t="shared" ref="AI29" si="129">AH29*SQRT((AG29/AF29)^2+(AA29/Z29)^2)</f>
        <v>215.1557553572741</v>
      </c>
      <c r="AJ29" s="144">
        <f t="shared" si="92"/>
        <v>0.25412370818855834</v>
      </c>
      <c r="AK29" s="147">
        <f t="shared" ref="AK29" si="130">V29*1000</f>
        <v>1.5393084103798291</v>
      </c>
      <c r="AL29" s="147">
        <f t="shared" ref="AL29" si="131">AF29/Q29</f>
        <v>0.99565769866724374</v>
      </c>
      <c r="AM29" s="147">
        <f t="shared" ref="AM29" si="132">AL29*SQRT((R29/Q29)^2+(AG29/AF29)^2)</f>
        <v>2.7479277694831658E-3</v>
      </c>
      <c r="AN29" s="138">
        <f>AF29/Q29</f>
        <v>0.99565769866724374</v>
      </c>
      <c r="AO29" s="142">
        <f t="shared" ref="AO29" si="133">AN29*SQRT((R29/Q29)^2+(AG29/AF29)^2)</f>
        <v>2.7479277694831658E-3</v>
      </c>
      <c r="AP29" s="138">
        <f t="shared" ref="AP29" si="134">ThU_Alter_Kombi(AN29,U29)</f>
        <v>584.49300000000005</v>
      </c>
      <c r="AQ29" s="138" t="e">
        <f t="shared" si="98"/>
        <v>#VALUE!</v>
      </c>
      <c r="AR29" s="138" t="e">
        <f>(AQ29/AP29)*100</f>
        <v>#VALUE!</v>
      </c>
      <c r="AS29" s="146">
        <f t="shared" si="99"/>
        <v>2.132234641208428E-5</v>
      </c>
      <c r="AT29" s="146">
        <f t="shared" si="100"/>
        <v>7.8727338731643074E-8</v>
      </c>
      <c r="AU29" s="138">
        <v>0.75</v>
      </c>
      <c r="AV29" s="138">
        <f t="shared" ref="AV29" si="135">AU29/2</f>
        <v>0.375</v>
      </c>
      <c r="AW29" s="138">
        <f t="shared" si="102"/>
        <v>584.49130000000002</v>
      </c>
      <c r="AX29" s="148">
        <f t="shared" si="103"/>
        <v>201.36958005880001</v>
      </c>
      <c r="AY29" s="148">
        <f t="shared" si="104"/>
        <v>80.649898740044591</v>
      </c>
      <c r="AZ29" s="149">
        <f t="shared" si="105"/>
        <v>0.34452109049150947</v>
      </c>
      <c r="BA29" s="138" t="str">
        <f>Input!B29</f>
        <v>Hu1-13</v>
      </c>
      <c r="BB29" s="150">
        <f>Input!E29</f>
        <v>0</v>
      </c>
      <c r="BC29" s="138">
        <f>((U29-1)*EXP(Constants!$B$17*AW29*1000))*1000</f>
        <v>1.3225152655878714</v>
      </c>
      <c r="BD29" s="144">
        <f>SQRT((EXP(Constants!$B$17*AW29*1000)*V29)^2+((U29-1)*Constants!$B$17*EXP(Constants!$B$17*AW29*1000)*AY29*1000)^2)*1000</f>
        <v>8.016550053615946</v>
      </c>
      <c r="BE29" s="138">
        <f t="shared" si="106"/>
        <v>584433.30000000005</v>
      </c>
      <c r="BF29" s="151">
        <f t="shared" si="107"/>
        <v>40324.949370022296</v>
      </c>
      <c r="BG29" s="160">
        <f t="shared" si="108"/>
        <v>13.798306106531369</v>
      </c>
      <c r="BH29" s="138"/>
      <c r="BI29" s="18"/>
      <c r="BJ29" s="18"/>
      <c r="BK29" s="18"/>
      <c r="BL29" s="18"/>
      <c r="BM29" s="18"/>
      <c r="BN29" s="159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</row>
    <row r="30" spans="1:110" ht="15" customHeight="1" x14ac:dyDescent="0.2">
      <c r="A30" s="18">
        <f>Input!A30</f>
        <v>10917</v>
      </c>
      <c r="B30" s="18" t="str">
        <f>Input!B30</f>
        <v>GeoB20582-1_3_163-166</v>
      </c>
      <c r="C30" s="18">
        <f>Input!O30</f>
        <v>2.0495720536377369</v>
      </c>
      <c r="D30" s="18">
        <f>C30*Input!P30/100</f>
        <v>3.6150562159541614E-3</v>
      </c>
      <c r="E30" s="152">
        <f>Input!M30</f>
        <v>2.3691465617332752</v>
      </c>
      <c r="F30" s="153">
        <f>E30*Input!N30/100</f>
        <v>1.0748516911025562E-4</v>
      </c>
      <c r="G30" s="21">
        <f>E30*137.88</f>
        <v>326.657927931784</v>
      </c>
      <c r="H30" s="153">
        <f>G30*Input!L30/100</f>
        <v>1.4147294141163492E-2</v>
      </c>
      <c r="I30" s="18">
        <v>0.3</v>
      </c>
      <c r="J30" s="129">
        <f>(((C30*Constants!$B$24*0.000000001*Input!G30*(Constants!$B$4/Constants!$B$3))-(I30*0.000000000000001))/Input!F30)*1000000000000</f>
        <v>225.61145093520969</v>
      </c>
      <c r="K30" s="18">
        <f>J30*Input!P30/100</f>
        <v>0.39793579183819439</v>
      </c>
      <c r="L30" s="134">
        <f>(J30/Constants!$B$4)*602200000000*Constants!$B$17/(365.2425*24*60)</f>
        <v>3.1148165799025471</v>
      </c>
      <c r="M30" s="132">
        <f>L30*Input!P30/100</f>
        <v>5.4939454403411959E-3</v>
      </c>
      <c r="N30" s="18">
        <v>5.0000000000000001E-3</v>
      </c>
      <c r="O30" s="129">
        <f>(((G30*Constants!$B$23*0.000000001*Input!G30*(Constants!$B$7/Constants!$B$6))-(N30*0.000000001))/Input!F30)*1000000</f>
        <v>3.6221993805900121</v>
      </c>
      <c r="P30" s="18">
        <f>O30*Input!N30/100</f>
        <v>1.643345832893274E-4</v>
      </c>
      <c r="Q30" s="130">
        <f>(O30/Constants!$B$7)*602200000000000000*Constants!$B$18/(365.2425*24*60)</f>
        <v>2.7025981491625695</v>
      </c>
      <c r="R30" s="131">
        <f>Q30*Input!N30/100</f>
        <v>1.2261344392610298E-4</v>
      </c>
      <c r="S30" s="132">
        <f>Input!S30*Constants!$B$17/Constants!$B$18</f>
        <v>1.1446792524438956</v>
      </c>
      <c r="T30" s="18">
        <f>S30*Input!T30/100</f>
        <v>5.6544517826111066E-4</v>
      </c>
      <c r="U30" s="18">
        <f>S30*1/((U29+U31)/2)</f>
        <v>1.1437575045906323</v>
      </c>
      <c r="V30" s="18">
        <f>U30*Input!T30/100</f>
        <v>5.6498985605789309E-4</v>
      </c>
      <c r="W30" s="133">
        <v>3.0000000000000001E-3</v>
      </c>
      <c r="X30" s="129">
        <f>IF((((Constants!$B$25*0.000000001*Input!G30/Input!W30*(Constants!$B$11/Constants!$B$9))-(W30*0.000000001))/Input!F30)*1000000000&lt;0, "n.d.", (((Constants!$B$25*0.000000001*Input!G30/Input!W30*(Constants!$B$11/Constants!$B$9))-(W30*0.000000001))/Input!F30)*1000000000)</f>
        <v>0.18544731426857522</v>
      </c>
      <c r="Y30" s="129">
        <f>X30*Input!X30/100</f>
        <v>4.0476520449484051E-4</v>
      </c>
      <c r="Z30" s="129">
        <f>(X30/Constants!$B$11)*6.022E+23*0.000000001*Constants!$B$19/(365.2425*24*60)</f>
        <v>4.527368468925426E-5</v>
      </c>
      <c r="AA30" s="129">
        <f>Z30*Input!X30/100</f>
        <v>9.8816271962511841E-8</v>
      </c>
      <c r="AB30" s="134">
        <v>0.05</v>
      </c>
      <c r="AC30" s="134">
        <v>0.9</v>
      </c>
      <c r="AD30" s="129">
        <f>(((Input!G30*Constants!$B$25*0.000000001*Input!U30*(Constants!$B$10/Constants!$B$9))-((AB30*0.000000000000001)+(Input!G30*AC30*0.000000000000001)))/Input!F30)*1000000000000</f>
        <v>3.8828808127214489</v>
      </c>
      <c r="AE30" s="129">
        <f>AD30*Input!V30/100</f>
        <v>1.5138441231290682E-2</v>
      </c>
      <c r="AF30" s="129">
        <f>(AD30/Constants!$B$10)*602200000000*Constants!$B$16/(365.2425*24*60)</f>
        <v>0.17723669026417674</v>
      </c>
      <c r="AG30" s="129">
        <f>AF30*Input!V30/100</f>
        <v>6.9100426951096037E-4</v>
      </c>
      <c r="AH30" s="18">
        <f>AF30/Z30</f>
        <v>3914.7838635330691</v>
      </c>
      <c r="AI30" s="133">
        <f>AH30*SQRT((AG30/AF30)^2+(AA30/Z30)^2)</f>
        <v>17.491813301527092</v>
      </c>
      <c r="AJ30" s="132">
        <f t="shared" si="92"/>
        <v>143.75750459063229</v>
      </c>
      <c r="AK30" s="133">
        <f>V30*1000</f>
        <v>0.56498985605789309</v>
      </c>
      <c r="AL30" s="133">
        <f>AF30/Q30</f>
        <v>6.5580112351921627E-2</v>
      </c>
      <c r="AM30" s="133">
        <f>AL30*SQRT((R30/Q30)^2+(AG30/AF30)^2)</f>
        <v>2.5569878136674513E-4</v>
      </c>
      <c r="AN30" s="18">
        <f>AL30*1/((AN29+AN31)/2)</f>
        <v>6.5777580166013302E-2</v>
      </c>
      <c r="AO30" s="129">
        <f>AN30*SQRT((R30/Q30)^2+(AG30/AF30)^2)</f>
        <v>2.5646871416514351E-4</v>
      </c>
      <c r="AP30" s="18">
        <f>ThU_Alter_Kombi(AN30,U30)</f>
        <v>6.4512</v>
      </c>
      <c r="AQ30" s="18">
        <f t="shared" si="98"/>
        <v>2.53E-2</v>
      </c>
      <c r="AR30" s="154">
        <f>(AQ30/AP30)</f>
        <v>3.921750992063492E-3</v>
      </c>
      <c r="AS30" s="131">
        <f t="shared" si="99"/>
        <v>1.6751911379530406E-5</v>
      </c>
      <c r="AT30" s="131">
        <f t="shared" si="100"/>
        <v>3.6571333092886084E-8</v>
      </c>
      <c r="AU30" s="18">
        <v>8</v>
      </c>
      <c r="AV30" s="18">
        <f>AU30/2</f>
        <v>4</v>
      </c>
      <c r="AW30" s="18">
        <f t="shared" si="102"/>
        <v>6.4383999999999997</v>
      </c>
      <c r="AX30" s="135">
        <f t="shared" si="103"/>
        <v>2.9062284099999999E-2</v>
      </c>
      <c r="AY30" s="135">
        <f t="shared" si="104"/>
        <v>2.6894086231263738E-2</v>
      </c>
      <c r="AZ30" s="154">
        <f t="shared" si="105"/>
        <v>4.5138984996272368E-3</v>
      </c>
      <c r="BA30" s="18" t="str">
        <f>Input!B30</f>
        <v>GeoB20582-1_3_163-166</v>
      </c>
      <c r="BB30" s="136">
        <f>Input!E30</f>
        <v>164.5</v>
      </c>
      <c r="BC30" s="18">
        <f>((U30-1)*EXP(Constants!$B$17*AW30*1000))*1000</f>
        <v>146.39338780878023</v>
      </c>
      <c r="BD30" s="132">
        <f>SQRT((EXP(Constants!$B$17*AW30*1000)*V30)^2+((U30-1)*Constants!$B$17*EXP(Constants!$B$17*AW30*1000)*AY30*1000)^2)*1000</f>
        <v>0.57545656844881465</v>
      </c>
      <c r="BE30" s="18">
        <f t="shared" si="106"/>
        <v>6380.4</v>
      </c>
      <c r="BF30" s="137">
        <f t="shared" si="107"/>
        <v>13.447043115631869</v>
      </c>
      <c r="BG30" s="20">
        <f t="shared" si="108"/>
        <v>0.41771381447663608</v>
      </c>
      <c r="BH30" s="18"/>
      <c r="BI30" s="18"/>
      <c r="BJ30" s="18"/>
      <c r="BK30" s="18"/>
      <c r="BL30" s="18"/>
      <c r="BM30" s="18"/>
      <c r="BN30" s="159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</row>
    <row r="31" spans="1:110" ht="15" customHeight="1" x14ac:dyDescent="0.2">
      <c r="A31" s="138">
        <f>Input!A31</f>
        <v>10815</v>
      </c>
      <c r="B31" s="138" t="str">
        <f>Input!B31</f>
        <v>Hu1-13</v>
      </c>
      <c r="C31" s="138">
        <f>Input!O31</f>
        <v>2.0819298347087547</v>
      </c>
      <c r="D31" s="138">
        <f>C31*Input!P31/100</f>
        <v>1.0447617445194114E-2</v>
      </c>
      <c r="E31" s="139">
        <f>Input!M31</f>
        <v>2.7319140450427679</v>
      </c>
      <c r="F31" s="140">
        <f>E31*Input!N31/100</f>
        <v>1.9901747915410532E-4</v>
      </c>
      <c r="G31" s="141">
        <f t="shared" ref="G31" si="136">E31*137.88</f>
        <v>376.67630853049684</v>
      </c>
      <c r="H31" s="140">
        <f>G31*Input!L31/100</f>
        <v>2.0638848001463775E-2</v>
      </c>
      <c r="I31" s="138">
        <v>0</v>
      </c>
      <c r="J31" s="142">
        <f>(((C31*Constants!$B$24*0.000000001*Input!G31*(Constants!$B$4/Constants!$B$3))-(I31*0.000000000000001))/Input!F31)*1000000000000</f>
        <v>751.65483157490655</v>
      </c>
      <c r="K31" s="138">
        <f>J31*Input!P31/100</f>
        <v>3.7719821293713336</v>
      </c>
      <c r="L31" s="143">
        <f>(J31/Constants!$B$4)*602200000000*Constants!$B$17/(365.2425*24*60)</f>
        <v>10.377429523405409</v>
      </c>
      <c r="M31" s="144">
        <f>L31*Input!P31/100</f>
        <v>5.2076401383704549E-2</v>
      </c>
      <c r="N31" s="138">
        <v>0</v>
      </c>
      <c r="O31" s="142">
        <f>(((G31*Constants!$B$23*0.000000001*Input!G31*(Constants!$B$7/Constants!$B$6))-(N31*0.000000001))/Input!F31)*1000000</f>
        <v>13.699419693658582</v>
      </c>
      <c r="P31" s="138">
        <f>O31*Input!N31/100</f>
        <v>9.9799039367776121E-4</v>
      </c>
      <c r="Q31" s="145">
        <f>(O31/Constants!$B$7)*602200000000000000*Constants!$B$18/(365.2425*24*60)</f>
        <v>10.221421412382931</v>
      </c>
      <c r="R31" s="146">
        <f>Q31*Input!N31/100</f>
        <v>7.4462134947309434E-4</v>
      </c>
      <c r="S31" s="144">
        <f>Input!S31*Constants!$B$17/Constants!$B$18</f>
        <v>1.0013576652410663</v>
      </c>
      <c r="T31" s="138">
        <f>S31*Input!T31/100</f>
        <v>1.3575304680934919E-3</v>
      </c>
      <c r="U31" s="144">
        <f>S31</f>
        <v>1.0013576652410663</v>
      </c>
      <c r="V31" s="138">
        <f>U31*Input!T31/100</f>
        <v>1.3575304680934919E-3</v>
      </c>
      <c r="W31" s="147">
        <v>0</v>
      </c>
      <c r="X31" s="142">
        <f>(((Constants!$B$25*0.000000001*Input!G31/Input!W31*(Constants!$B$11/Constants!$B$9))-(W31*0.000000001))/Input!F31)*1000000000</f>
        <v>0.90265222560497738</v>
      </c>
      <c r="Y31" s="142">
        <f>X31*Input!X31/100</f>
        <v>3.4493927116620638E-3</v>
      </c>
      <c r="Z31" s="142">
        <f>(X31/Constants!$B$11)*6.022E+23*0.000000001*Constants!$B$19/(365.2425*24*60)</f>
        <v>2.2036658987095568E-4</v>
      </c>
      <c r="AA31" s="142">
        <f>Z31*Input!X31/100</f>
        <v>8.4210827540500574E-7</v>
      </c>
      <c r="AB31" s="143">
        <v>0</v>
      </c>
      <c r="AC31" s="143">
        <v>0.9</v>
      </c>
      <c r="AD31" s="142">
        <f>(((Input!G31*Constants!$B$25*0.000000001*Input!U31*(Constants!$B$10/Constants!$B$9))-((AB31*0.000000000000001)+(Input!G31*AC31*0.000000000000001)))/Input!F31)*1000000000000</f>
        <v>223.55758475798299</v>
      </c>
      <c r="AE31" s="142">
        <f>AD31*Input!V31/100</f>
        <v>0.62924830863932957</v>
      </c>
      <c r="AF31" s="142">
        <f>(AD31/Constants!$B$10)*602200000000*Constants!$B$16/(365.2425*24*60)</f>
        <v>10.204435396559912</v>
      </c>
      <c r="AG31" s="142">
        <f>AF31*Input!V31/100</f>
        <v>2.872245967792126E-2</v>
      </c>
      <c r="AH31" s="138">
        <f t="shared" ref="AH31" si="137">AF31/Z31</f>
        <v>46306.635695254532</v>
      </c>
      <c r="AI31" s="147">
        <f t="shared" ref="AI31" si="138">AH31*SQRT((AG31/AF31)^2+(AA31/Z31)^2)</f>
        <v>219.77673912119809</v>
      </c>
      <c r="AJ31" s="144">
        <f t="shared" si="92"/>
        <v>1.3576652410662859</v>
      </c>
      <c r="AK31" s="147">
        <f t="shared" ref="AK31" si="139">V31*1000</f>
        <v>1.3575304680934919</v>
      </c>
      <c r="AL31" s="147">
        <f t="shared" ref="AL31" si="140">AF31/Q31</f>
        <v>0.99833819435304361</v>
      </c>
      <c r="AM31" s="147">
        <f t="shared" ref="AM31" si="141">AL31*SQRT((R31/Q31)^2+(AG31/AF31)^2)</f>
        <v>2.8109669781135028E-3</v>
      </c>
      <c r="AN31" s="138">
        <f>AF31/Q31</f>
        <v>0.99833819435304361</v>
      </c>
      <c r="AO31" s="142">
        <f t="shared" ref="AO31" si="142">AN31*SQRT((R31/Q31)^2+(AG31/AF31)^2)</f>
        <v>2.8109669781135028E-3</v>
      </c>
      <c r="AP31" s="138">
        <f t="shared" ref="AP31" si="143">ThU_Alter_Kombi(AN31,U31)</f>
        <v>614.08799999999997</v>
      </c>
      <c r="AQ31" s="138" t="e">
        <f t="shared" si="98"/>
        <v>#VALUE!</v>
      </c>
      <c r="AR31" s="138" t="e">
        <f>(AQ31/AP31)*100</f>
        <v>#VALUE!</v>
      </c>
      <c r="AS31" s="146">
        <f t="shared" si="99"/>
        <v>2.1559290139822285E-5</v>
      </c>
      <c r="AT31" s="146">
        <f t="shared" si="100"/>
        <v>8.2401580496829383E-8</v>
      </c>
      <c r="AU31" s="138">
        <v>0.75</v>
      </c>
      <c r="AV31" s="138">
        <f t="shared" ref="AV31" si="144">AU31/2</f>
        <v>0.375</v>
      </c>
      <c r="AW31" s="138">
        <f t="shared" si="102"/>
        <v>614.08630000000005</v>
      </c>
      <c r="AX31" s="148">
        <f t="shared" si="103"/>
        <v>257.71446804369998</v>
      </c>
      <c r="AY31" s="148">
        <f t="shared" si="104"/>
        <v>102.19642692546614</v>
      </c>
      <c r="AZ31" s="149">
        <f t="shared" si="105"/>
        <v>0.41967141759016602</v>
      </c>
      <c r="BA31" s="138" t="str">
        <f>Input!B31</f>
        <v>Hu1-13</v>
      </c>
      <c r="BB31" s="150">
        <f>Input!E31</f>
        <v>0</v>
      </c>
      <c r="BC31" s="138">
        <f>((U31-1)*EXP(Constants!$B$17*AW31*1000))*1000</f>
        <v>7.6810393784523265</v>
      </c>
      <c r="BD31" s="144">
        <f>SQRT((EXP(Constants!$B$17*AW31*1000)*V31)^2+((U31-1)*Constants!$B$17*EXP(Constants!$B$17*AW31*1000)*AY31*1000)^2)*1000</f>
        <v>7.9933702345706594</v>
      </c>
      <c r="BE31" s="138">
        <f t="shared" si="106"/>
        <v>614028.30000000005</v>
      </c>
      <c r="BF31" s="151">
        <f t="shared" si="107"/>
        <v>51098.213462733074</v>
      </c>
      <c r="BG31" s="160">
        <f t="shared" si="108"/>
        <v>16.642030106430667</v>
      </c>
      <c r="BH31" s="138"/>
      <c r="BI31" s="18"/>
      <c r="BJ31" s="18"/>
      <c r="BK31" s="18"/>
      <c r="BL31" s="18"/>
      <c r="BM31" s="18"/>
      <c r="BN31" s="159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</row>
    <row r="32" spans="1:110" ht="15" customHeight="1" x14ac:dyDescent="0.2">
      <c r="A32" s="18">
        <f>Input!A32</f>
        <v>10918</v>
      </c>
      <c r="B32" s="18" t="str">
        <f>Input!B32</f>
        <v>GeoB20582-1_3_184-186</v>
      </c>
      <c r="C32" s="18">
        <f>Input!O32</f>
        <v>1.7076228225622478</v>
      </c>
      <c r="D32" s="18">
        <f>C32*Input!P32/100</f>
        <v>2.9692146472031096E-3</v>
      </c>
      <c r="E32" s="152">
        <f>Input!M32</f>
        <v>1.9746864028837978</v>
      </c>
      <c r="F32" s="153">
        <f>E32*Input!N32/100</f>
        <v>8.7120910139327842E-5</v>
      </c>
      <c r="G32" s="21">
        <f>E32*137.88</f>
        <v>272.26976122961804</v>
      </c>
      <c r="H32" s="153">
        <f>G32*Input!L32/100</f>
        <v>1.2577461715363052E-2</v>
      </c>
      <c r="I32" s="18">
        <v>0.3</v>
      </c>
      <c r="J32" s="129">
        <f>(((C32*Constants!$B$24*0.000000001*Input!G32*(Constants!$B$4/Constants!$B$3))-(I32*0.000000000000001))/Input!F32)*1000000000000</f>
        <v>236.86221861337916</v>
      </c>
      <c r="K32" s="18">
        <f>J32*Input!P32/100</f>
        <v>0.41185603728380316</v>
      </c>
      <c r="L32" s="134">
        <f>(J32/Constants!$B$4)*602200000000*Constants!$B$17/(365.2425*24*60)</f>
        <v>3.2701459195939875</v>
      </c>
      <c r="M32" s="132">
        <f>L32*Input!P32/100</f>
        <v>5.6861298845729148E-3</v>
      </c>
      <c r="N32" s="18">
        <v>5.0000000000000001E-3</v>
      </c>
      <c r="O32" s="129">
        <f>(((G32*Constants!$B$23*0.000000001*Input!G32*(Constants!$B$7/Constants!$B$6))-(N32*0.000000001))/Input!F32)*1000000</f>
        <v>3.8043844169528795</v>
      </c>
      <c r="P32" s="18">
        <f>O32*Input!N32/100</f>
        <v>1.6784509805748373E-4</v>
      </c>
      <c r="Q32" s="130">
        <f>(O32/Constants!$B$7)*602200000000000000*Constants!$B$18/(365.2425*24*60)</f>
        <v>2.8385301866748724</v>
      </c>
      <c r="R32" s="131">
        <f>Q32*Input!N32/100</f>
        <v>1.2523271186752751E-4</v>
      </c>
      <c r="S32" s="132">
        <f>Input!S32*Constants!$B$17/Constants!$B$18</f>
        <v>1.1443969293803709</v>
      </c>
      <c r="T32" s="18">
        <f>S32*Input!T32/100</f>
        <v>7.4943879091187294E-4</v>
      </c>
      <c r="U32" s="18">
        <f>S32*1/((U31+U33)/2)</f>
        <v>1.1433279580506328</v>
      </c>
      <c r="V32" s="18">
        <f>U32*Input!T32/100</f>
        <v>7.4873874658257537E-4</v>
      </c>
      <c r="W32" s="133">
        <v>3.0000000000000001E-3</v>
      </c>
      <c r="X32" s="129">
        <f>IF((((Constants!$B$25*0.000000001*Input!G32/Input!W32*(Constants!$B$11/Constants!$B$9))-(W32*0.000000001))/Input!F32)*1000000000&lt;0, "n.d.", (((Constants!$B$25*0.000000001*Input!G32/Input!W32*(Constants!$B$11/Constants!$B$9))-(W32*0.000000001))/Input!F32)*1000000000)</f>
        <v>0.95307994635579685</v>
      </c>
      <c r="Y32" s="129">
        <f>X32*Input!X32/100</f>
        <v>2.041104812653842E-3</v>
      </c>
      <c r="Z32" s="129">
        <f>(X32/Constants!$B$11)*6.022E+23*0.000000001*Constants!$B$19/(365.2425*24*60)</f>
        <v>2.3267762677043818E-4</v>
      </c>
      <c r="AA32" s="129">
        <f>Z32*Input!X32/100</f>
        <v>4.9829967109676476E-7</v>
      </c>
      <c r="AB32" s="134">
        <v>0.05</v>
      </c>
      <c r="AC32" s="134">
        <v>0.9</v>
      </c>
      <c r="AD32" s="129">
        <f>(((Input!G32*Constants!$B$25*0.000000001*Input!U32*(Constants!$B$10/Constants!$B$9))-((AB32*0.000000000000001)+(Input!G32*AC32*0.000000000000001)))/Input!F32)*1000000000000</f>
        <v>4.1820745747971007</v>
      </c>
      <c r="AE32" s="129">
        <f>AD32*Input!V32/100</f>
        <v>1.7127844480250877E-2</v>
      </c>
      <c r="AF32" s="129">
        <f>(AD32/Constants!$B$10)*602200000000*Constants!$B$16/(365.2425*24*60)</f>
        <v>0.19089358953449184</v>
      </c>
      <c r="AG32" s="129">
        <f>AF32*Input!V32/100</f>
        <v>7.8181191065495312E-4</v>
      </c>
      <c r="AH32" s="18">
        <f>AF32/Z32</f>
        <v>820.42090674592089</v>
      </c>
      <c r="AI32" s="133">
        <f>AH32*SQRT((AG32/AF32)^2+(AA32/Z32)^2)</f>
        <v>3.7917143779980242</v>
      </c>
      <c r="AJ32" s="132">
        <f t="shared" si="92"/>
        <v>143.32795805063282</v>
      </c>
      <c r="AK32" s="133">
        <f>V32*1000</f>
        <v>0.74873874658257533</v>
      </c>
      <c r="AL32" s="133">
        <f>AF32/Q32</f>
        <v>6.7250857655352089E-2</v>
      </c>
      <c r="AM32" s="133">
        <f>AL32*SQRT((R32/Q32)^2+(AG32/AF32)^2)</f>
        <v>2.7544440982683194E-4</v>
      </c>
      <c r="AN32" s="18">
        <f>AL32*1/((AN31+AN33)/2)</f>
        <v>6.7341282309237388E-2</v>
      </c>
      <c r="AO32" s="129">
        <f>AN32*SQRT((R32/Q32)^2+(AG32/AF32)^2)</f>
        <v>2.7581476890166894E-4</v>
      </c>
      <c r="AP32" s="18">
        <f>ThU_Alter_Kombi(AN32,U32)</f>
        <v>6.6116999999999999</v>
      </c>
      <c r="AQ32" s="18">
        <f t="shared" si="98"/>
        <v>2.7099999999999999E-2</v>
      </c>
      <c r="AR32" s="154">
        <f>(AQ32/AP32)</f>
        <v>4.0987945611567376E-3</v>
      </c>
      <c r="AS32" s="131">
        <f t="shared" si="99"/>
        <v>8.197116516946497E-5</v>
      </c>
      <c r="AT32" s="131">
        <f t="shared" si="100"/>
        <v>1.7558573155390769E-7</v>
      </c>
      <c r="AU32" s="18">
        <v>8</v>
      </c>
      <c r="AV32" s="18">
        <f>AU32/2</f>
        <v>4</v>
      </c>
      <c r="AW32" s="18">
        <f t="shared" si="102"/>
        <v>6.5492999999999997</v>
      </c>
      <c r="AX32" s="135">
        <f t="shared" si="103"/>
        <v>4.0992663399999997E-2</v>
      </c>
      <c r="AY32" s="135">
        <f t="shared" si="104"/>
        <v>4.2151186201027001E-2</v>
      </c>
      <c r="AZ32" s="154">
        <f t="shared" si="105"/>
        <v>6.2590908035973312E-3</v>
      </c>
      <c r="BA32" s="18" t="str">
        <f>Input!B32</f>
        <v>GeoB20582-1_3_184-186</v>
      </c>
      <c r="BB32" s="136">
        <f>Input!E32</f>
        <v>185</v>
      </c>
      <c r="BC32" s="18">
        <f>((U32-1)*EXP(Constants!$B$17*AW32*1000))*1000</f>
        <v>146.00165173561115</v>
      </c>
      <c r="BD32" s="132">
        <f>SQRT((EXP(Constants!$B$17*AW32*1000)*V32)^2+((U32-1)*Constants!$B$17*EXP(Constants!$B$17*AW32*1000)*AY32*1000)^2)*1000</f>
        <v>0.76290370899462501</v>
      </c>
      <c r="BE32" s="18">
        <f t="shared" si="106"/>
        <v>6491.2999999999993</v>
      </c>
      <c r="BF32" s="137">
        <f t="shared" si="107"/>
        <v>21.075593100513501</v>
      </c>
      <c r="BG32" s="20">
        <f t="shared" si="108"/>
        <v>0.64359834182320252</v>
      </c>
      <c r="BH32" s="18"/>
      <c r="BI32" s="18"/>
      <c r="BJ32" s="18"/>
      <c r="BK32" s="18"/>
      <c r="BL32" s="18"/>
      <c r="BM32" s="18"/>
      <c r="BN32" s="159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</row>
    <row r="33" spans="1:110" ht="15" customHeight="1" x14ac:dyDescent="0.2">
      <c r="A33" s="138">
        <f>Input!A33</f>
        <v>10815</v>
      </c>
      <c r="B33" s="138" t="str">
        <f>Input!B33</f>
        <v>Hu1-13</v>
      </c>
      <c r="C33" s="138">
        <f>Input!O33</f>
        <v>2.1044089136988591</v>
      </c>
      <c r="D33" s="138">
        <f>C33*Input!P33/100</f>
        <v>1.6705121968804807E-2</v>
      </c>
      <c r="E33" s="139">
        <f>Input!M33</f>
        <v>2.7320738048912308</v>
      </c>
      <c r="F33" s="140">
        <f>E33*Input!N33/100</f>
        <v>2.7524227077971243E-4</v>
      </c>
      <c r="G33" s="141">
        <f t="shared" ref="G33" si="145">E33*137.88</f>
        <v>376.69833621840286</v>
      </c>
      <c r="H33" s="140">
        <f>G33*Input!L33/100</f>
        <v>2.1435727316890613E-2</v>
      </c>
      <c r="I33" s="138">
        <v>0</v>
      </c>
      <c r="J33" s="142">
        <f>(((C33*Constants!$B$24*0.000000001*Input!G33*(Constants!$B$4/Constants!$B$3))-(I33*0.000000000000001))/Input!F33)*1000000000000</f>
        <v>759.77062301541378</v>
      </c>
      <c r="K33" s="138">
        <f>J33*Input!P33/100</f>
        <v>6.0311761859432691</v>
      </c>
      <c r="L33" s="143">
        <f>(J33/Constants!$B$4)*602200000000*Constants!$B$17/(365.2425*24*60)</f>
        <v>10.489477035325281</v>
      </c>
      <c r="M33" s="144">
        <f>L33*Input!P33/100</f>
        <v>8.3267083751366863E-2</v>
      </c>
      <c r="N33" s="138">
        <v>0</v>
      </c>
      <c r="O33" s="142">
        <f>(((G33*Constants!$B$23*0.000000001*Input!G33*(Constants!$B$7/Constants!$B$6))-(N33*0.000000001))/Input!F33)*1000000</f>
        <v>13.700220823261565</v>
      </c>
      <c r="P33" s="138">
        <f>O33*Input!N33/100</f>
        <v>1.3802262160074188E-3</v>
      </c>
      <c r="Q33" s="145">
        <f>(O33/Constants!$B$7)*602200000000000000*Constants!$B$18/(365.2425*24*60)</f>
        <v>10.222019151809938</v>
      </c>
      <c r="R33" s="146">
        <f>Q33*Input!N33/100</f>
        <v>1.0298154311427505E-3</v>
      </c>
      <c r="S33" s="144">
        <f>Input!S33*Constants!$B$17/Constants!$B$18</f>
        <v>1.000512264243665</v>
      </c>
      <c r="T33" s="138">
        <f>S33*Input!T33/100</f>
        <v>9.5761687003003619E-4</v>
      </c>
      <c r="U33" s="144">
        <f>S33</f>
        <v>1.000512264243665</v>
      </c>
      <c r="V33" s="138">
        <f>U33*Input!T33/100</f>
        <v>9.5761687003003619E-4</v>
      </c>
      <c r="W33" s="147">
        <v>0</v>
      </c>
      <c r="X33" s="142">
        <f>(((Constants!$B$25*0.000000001*Input!G33/Input!W33*(Constants!$B$11/Constants!$B$9))-(W33*0.000000001))/Input!F33)*1000000000</f>
        <v>0.89404631683249858</v>
      </c>
      <c r="Y33" s="142">
        <f>X33*Input!X33/100</f>
        <v>3.2727161108091927E-3</v>
      </c>
      <c r="Z33" s="142">
        <f>(X33/Constants!$B$11)*6.022E+23*0.000000001*Constants!$B$19/(365.2425*24*60)</f>
        <v>2.1826560932148583E-4</v>
      </c>
      <c r="AA33" s="142">
        <f>Z33*Input!X33/100</f>
        <v>7.989758054065575E-7</v>
      </c>
      <c r="AB33" s="143">
        <v>0</v>
      </c>
      <c r="AC33" s="143">
        <v>0.9</v>
      </c>
      <c r="AD33" s="142">
        <f>(((Input!G33*Constants!$B$25*0.000000001*Input!U33*(Constants!$B$10/Constants!$B$9))-((AB33*0.000000000000001)+(Input!G33*AC33*0.000000000000001)))/Input!F33)*1000000000000</f>
        <v>223.71354435684569</v>
      </c>
      <c r="AE33" s="142">
        <f>AD33*Input!V33/100</f>
        <v>0.3809078088487825</v>
      </c>
      <c r="AF33" s="142">
        <f>(AD33/Constants!$B$10)*602200000000*Constants!$B$16/(365.2425*24*60)</f>
        <v>10.211554276703435</v>
      </c>
      <c r="AG33" s="142">
        <f>AF33*Input!V33/100</f>
        <v>1.7386791558204086E-2</v>
      </c>
      <c r="AH33" s="138">
        <f t="shared" ref="AH33" si="146">AF33/Z33</f>
        <v>46784.989666707974</v>
      </c>
      <c r="AI33" s="147">
        <f t="shared" ref="AI33" si="147">AH33*SQRT((AG33/AF33)^2+(AA33/Z33)^2)</f>
        <v>188.87926392625099</v>
      </c>
      <c r="AJ33" s="144">
        <f t="shared" si="92"/>
        <v>0.5122642436650171</v>
      </c>
      <c r="AK33" s="147">
        <f t="shared" ref="AK33" si="148">V33*1000</f>
        <v>0.95761687003003615</v>
      </c>
      <c r="AL33" s="147">
        <f t="shared" ref="AL33" si="149">AF33/Q33</f>
        <v>0.99897624188028933</v>
      </c>
      <c r="AM33" s="147">
        <f t="shared" ref="AM33" si="150">AL33*SQRT((R33/Q33)^2+(AG33/AF33)^2)</f>
        <v>1.7038904108179684E-3</v>
      </c>
      <c r="AN33" s="138">
        <f>AF33/Q33</f>
        <v>0.99897624188028933</v>
      </c>
      <c r="AO33" s="142">
        <f t="shared" ref="AO33" si="151">AN33*SQRT((R33/Q33)^2+(AG33/AF33)^2)</f>
        <v>1.7038904108179684E-3</v>
      </c>
      <c r="AP33" s="138">
        <f t="shared" ref="AP33" si="152">ThU_Alter_Kombi(AN33,U33)</f>
        <v>691.95060000000001</v>
      </c>
      <c r="AQ33" s="138" t="e">
        <f t="shared" si="98"/>
        <v>#VALUE!</v>
      </c>
      <c r="AR33" s="138" t="e">
        <f>(AQ33/AP33)*100</f>
        <v>#VALUE!</v>
      </c>
      <c r="AS33" s="146">
        <f t="shared" si="99"/>
        <v>2.135249465687404E-5</v>
      </c>
      <c r="AT33" s="146">
        <f t="shared" si="100"/>
        <v>7.8191825387329959E-8</v>
      </c>
      <c r="AU33" s="138">
        <v>0.75</v>
      </c>
      <c r="AV33" s="138">
        <f t="shared" ref="AV33" si="153">AU33/2</f>
        <v>0.375</v>
      </c>
      <c r="AW33" s="138">
        <f t="shared" si="102"/>
        <v>691.94889999999998</v>
      </c>
      <c r="AX33" s="148">
        <f t="shared" si="103"/>
        <v>314.33299623750003</v>
      </c>
      <c r="AY33" s="148">
        <f t="shared" si="104"/>
        <v>134.29787181918368</v>
      </c>
      <c r="AZ33" s="149">
        <f t="shared" si="105"/>
        <v>0.45427197909773398</v>
      </c>
      <c r="BA33" s="138" t="str">
        <f>Input!B33</f>
        <v>Hu1-13</v>
      </c>
      <c r="BB33" s="150">
        <f>Input!E33</f>
        <v>0</v>
      </c>
      <c r="BC33" s="138">
        <f>((U33-1)*EXP(Constants!$B$17*AW33*1000))*1000</f>
        <v>3.6103568813755067</v>
      </c>
      <c r="BD33" s="144">
        <f>SQRT((EXP(Constants!$B$17*AW33*1000)*V33)^2+((U33-1)*Constants!$B$17*EXP(Constants!$B$17*AW33*1000)*AY33*1000)^2)*1000</f>
        <v>6.8864399112346932</v>
      </c>
      <c r="BE33" s="138">
        <f t="shared" si="106"/>
        <v>691890.9</v>
      </c>
      <c r="BF33" s="151">
        <f t="shared" si="107"/>
        <v>67148.935909591848</v>
      </c>
      <c r="BG33" s="160">
        <f t="shared" si="108"/>
        <v>19.408640120561461</v>
      </c>
      <c r="BH33" s="138"/>
      <c r="BI33" s="18"/>
      <c r="BJ33" s="18"/>
      <c r="BK33" s="18"/>
      <c r="BL33" s="18"/>
      <c r="BM33" s="18"/>
      <c r="BN33" s="159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</row>
    <row r="35" spans="1:110" ht="15" customHeight="1" x14ac:dyDescent="0.2">
      <c r="A35" s="138">
        <f>Input!A35</f>
        <v>10815</v>
      </c>
      <c r="B35" s="138" t="str">
        <f>Input!B35</f>
        <v>Hu1-13</v>
      </c>
      <c r="C35" s="138">
        <f>Input!O35</f>
        <v>2.0782249533183141</v>
      </c>
      <c r="D35" s="138">
        <f>C35*Input!P35/100</f>
        <v>1.2300925623761647E-2</v>
      </c>
      <c r="E35" s="139">
        <f>Input!M35</f>
        <v>2.7322302981887687</v>
      </c>
      <c r="F35" s="140">
        <f>E35*Input!N35/100</f>
        <v>2.5285347256859047E-4</v>
      </c>
      <c r="G35" s="141">
        <f t="shared" ref="G35" si="154">E35*137.88</f>
        <v>376.71991351426743</v>
      </c>
      <c r="H35" s="140">
        <f>G35*Input!L35/100</f>
        <v>2.6682884800589685E-2</v>
      </c>
      <c r="I35" s="138">
        <v>0</v>
      </c>
      <c r="J35" s="142">
        <f>(((C35*Constants!$B$24*0.000000001*Input!G35*(Constants!$B$4/Constants!$B$3))-(I35*0.000000000000001))/Input!F35)*1000000000000</f>
        <v>750.31723030174635</v>
      </c>
      <c r="K35" s="138">
        <f>J35*Input!P35/100</f>
        <v>4.4410959600074422</v>
      </c>
      <c r="L35" s="143">
        <f>(J35/Constants!$B$4)*602200000000*Constants!$B$17/(365.2425*24*60)</f>
        <v>10.358962452670887</v>
      </c>
      <c r="M35" s="144">
        <f>L35*Input!P35/100</f>
        <v>6.131426074265163E-2</v>
      </c>
      <c r="N35" s="138">
        <v>0</v>
      </c>
      <c r="O35" s="142">
        <f>(((G35*Constants!$B$23*0.000000001*Input!G35*(Constants!$B$7/Constants!$B$6))-(N35*0.000000001))/Input!F35)*1000000</f>
        <v>13.701005572461899</v>
      </c>
      <c r="P35" s="138">
        <f>O35*Input!N35/100</f>
        <v>1.2679556474339518E-3</v>
      </c>
      <c r="Q35" s="145">
        <f>(O35/Constants!$B$7)*602200000000000000*Constants!$B$18/(365.2425*24*60)</f>
        <v>10.222604669478498</v>
      </c>
      <c r="R35" s="146">
        <f>Q35*Input!N35/100</f>
        <v>9.4604802936525437E-4</v>
      </c>
      <c r="S35" s="144">
        <f>Input!S35*Constants!$B$17/Constants!$B$18</f>
        <v>1.0005747993116294</v>
      </c>
      <c r="T35" s="138">
        <f>S35*Input!T35/100</f>
        <v>1.1940973290673589E-3</v>
      </c>
      <c r="U35" s="144">
        <f>S35</f>
        <v>1.0005747993116294</v>
      </c>
      <c r="V35" s="138">
        <f>U35*Input!T35/100</f>
        <v>1.1940973290673589E-3</v>
      </c>
      <c r="W35" s="147">
        <v>0</v>
      </c>
      <c r="X35" s="142">
        <f>(((Constants!$B$25*0.000000001*Input!G35/Input!W35*(Constants!$B$11/Constants!$B$9))-(W35*0.000000001))/Input!F35)*1000000000</f>
        <v>0.923992502149387</v>
      </c>
      <c r="Y35" s="142">
        <f>X35*Input!X35/100</f>
        <v>4.4315826103448778E-3</v>
      </c>
      <c r="Z35" s="142">
        <f>(X35/Constants!$B$11)*6.022E+23*0.000000001*Constants!$B$19/(365.2425*24*60)</f>
        <v>2.2557644127950107E-4</v>
      </c>
      <c r="AA35" s="142">
        <f>Z35*Input!X35/100</f>
        <v>1.0818925826262807E-6</v>
      </c>
      <c r="AB35" s="143">
        <v>0</v>
      </c>
      <c r="AC35" s="143">
        <v>0.9</v>
      </c>
      <c r="AD35" s="142">
        <f>(((Input!G35*Constants!$B$25*0.000000001*Input!U35*(Constants!$B$10/Constants!$B$9))-((AB35*0.000000000000001)+(Input!G35*AC35*0.000000000000001)))/Input!F35)*1000000000000</f>
        <v>223.21385398542697</v>
      </c>
      <c r="AE35" s="142">
        <f>AD35*Input!V35/100</f>
        <v>0.96083926590996793</v>
      </c>
      <c r="AF35" s="142">
        <f>(AD35/Constants!$B$10)*602200000000*Constants!$B$16/(365.2425*24*60)</f>
        <v>10.188745575674814</v>
      </c>
      <c r="AG35" s="142">
        <f>AF35*Input!V35/100</f>
        <v>4.3858150579282447E-2</v>
      </c>
      <c r="AH35" s="138">
        <f t="shared" ref="AH35" si="155">AF35/Z35</f>
        <v>45167.596039208824</v>
      </c>
      <c r="AI35" s="147">
        <f t="shared" ref="AI35" si="156">AH35*SQRT((AG35/AF35)^2+(AA35/Z35)^2)</f>
        <v>291.08443988416491</v>
      </c>
      <c r="AJ35" s="144">
        <f t="shared" ref="AJ35:AJ43" si="157">(U35-1)*1000</f>
        <v>0.57479931162940368</v>
      </c>
      <c r="AK35" s="147">
        <f t="shared" ref="AK35" si="158">V35*1000</f>
        <v>1.1940973290673589</v>
      </c>
      <c r="AL35" s="147">
        <f t="shared" ref="AL35" si="159">AF35/Q35</f>
        <v>0.99668782126488986</v>
      </c>
      <c r="AM35" s="147">
        <f t="shared" ref="AM35" si="160">AL35*SQRT((R35/Q35)^2+(AG35/AF35)^2)</f>
        <v>4.2913021460228157E-3</v>
      </c>
      <c r="AN35" s="138">
        <f>AF35/Q35</f>
        <v>0.99668782126488986</v>
      </c>
      <c r="AO35" s="142">
        <f t="shared" ref="AO35" si="161">AN35*SQRT((R35/Q35)^2+(AG35/AF35)^2)</f>
        <v>4.2913021460228157E-3</v>
      </c>
      <c r="AP35" s="138">
        <f t="shared" ref="AP35" si="162">ThU_Alter_Kombi(AN35,U35)</f>
        <v>598.76110000000006</v>
      </c>
      <c r="AQ35" s="138" t="e">
        <f t="shared" ref="AQ35:AQ43" si="163">Montealter(AN35,AO35,U35,V35)</f>
        <v>#VALUE!</v>
      </c>
      <c r="AR35" s="138" t="e">
        <f>(AQ35/AP35)*100</f>
        <v>#VALUE!</v>
      </c>
      <c r="AS35" s="146">
        <f t="shared" ref="AS35:AS43" si="164">Z35/Q35</f>
        <v>2.2066434981389997E-5</v>
      </c>
      <c r="AT35" s="146">
        <f t="shared" ref="AT35:AT43" si="165">AS35*SQRT((Y35/X35)^2+(P35/O35)^2)</f>
        <v>1.058530586681609E-7</v>
      </c>
      <c r="AU35" s="138">
        <v>0.75</v>
      </c>
      <c r="AV35" s="138">
        <f t="shared" ref="AV35" si="166">AU35/2</f>
        <v>0.375</v>
      </c>
      <c r="AW35" s="138">
        <f t="shared" ref="AW35:AW43" si="167">marincorr_age(AN35,U35,AS35,AU35)</f>
        <v>598.75930000000005</v>
      </c>
      <c r="AX35" s="148">
        <f t="shared" ref="AX35:AX43" si="168">marincorr_age_error(AN35, AO35, U35, V35, AS35, AT35, AU35, AV35)</f>
        <v>276.64760331100001</v>
      </c>
      <c r="AY35" s="148">
        <f t="shared" ref="AY35:AY43" si="169">SQRT(((AU35*EXP(-0.0000091577*AW35*1000))/(0.0000091577*(EXP(-0.0000091577*AW35*1000)+(AJ35/1000)*EXP(-(0.0000091577-0.0000028263)*AW35*1000)-AS35*AU35*EXP(-0.0000091577*AW35*1000))))^2*AT35^2+((AS35*EXP(-0.0000091577*AW35*1000))/(0.0000091577*(EXP(-0.0000091577*AW35*1000)+(AJ35/1000)*EXP(-(0.0000091577-0.0000028263)*AW35*1000)-AS35*AU35*EXP(-0.0000091577*AW35*1000))))^2*AV35^2+((0.0000091577/(0.0000091577-0.0000028263))*(EXP(-(0.0000091577-0.0000028263)*AW35*1000)-1)/(0.0000091577*(EXP(-0.0000091577*AW35*1000)+(AJ35/1000)*EXP(-(0.0000091577-0.0000028263)*AW35*1000)-AS35*AU35*EXP(-0.0000091577*AW35*1000))))^2*T35^2+(1/(0.0000091577*(EXP(-0.0000091577*AW35*1000)+(AJ35/1000)*EXP(-(0.0000091577-0.0000028263)*AW35*1000)-AS35*AU35*EXP(-0.0000091577*AW35*1000))))^2*AO35^2)/1000</f>
        <v>120.79515659858406</v>
      </c>
      <c r="AZ35" s="149">
        <f t="shared" ref="AZ35:AZ43" si="170">AX35/AW35</f>
        <v>0.46203474970827174</v>
      </c>
      <c r="BA35" s="138" t="str">
        <f>Input!B35</f>
        <v>Hu1-13</v>
      </c>
      <c r="BB35" s="150">
        <f>Input!E35</f>
        <v>0</v>
      </c>
      <c r="BC35" s="138">
        <f>((U35-1)*EXP(Constants!$B$17*AW35*1000))*1000</f>
        <v>3.1142873556937296</v>
      </c>
      <c r="BD35" s="144">
        <f>SQRT((EXP(Constants!$B$17*AW35*1000)*V35)^2+((U35-1)*Constants!$B$17*EXP(Constants!$B$17*AW35*1000)*AY35*1000)^2)*1000</f>
        <v>6.5561957434879927</v>
      </c>
      <c r="BE35" s="138">
        <f t="shared" ref="BE35:BE43" si="171">AW35*1000-58</f>
        <v>598701.30000000005</v>
      </c>
      <c r="BF35" s="151">
        <f t="shared" ref="BF35:BF43" si="172">AY35/2*1000</f>
        <v>60397.578299292029</v>
      </c>
      <c r="BG35" s="160">
        <f t="shared" ref="BG35:BG43" si="173">AY35/AW35*100</f>
        <v>20.174243072063188</v>
      </c>
      <c r="BH35" s="138"/>
      <c r="BI35" s="18"/>
      <c r="BJ35" s="18"/>
      <c r="BK35" s="18"/>
      <c r="BL35" s="18"/>
      <c r="BM35" s="18"/>
      <c r="BN35" s="159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</row>
    <row r="36" spans="1:110" ht="15" customHeight="1" x14ac:dyDescent="0.2">
      <c r="A36" s="18">
        <f>Input!A36</f>
        <v>10913</v>
      </c>
      <c r="B36" s="18" t="str">
        <f>Input!B36</f>
        <v>GeoB20582-1_2_17-21</v>
      </c>
      <c r="C36" s="18">
        <f>Input!O36</f>
        <v>1.7640054536799306</v>
      </c>
      <c r="D36" s="18">
        <f>C36*Input!P36/100</f>
        <v>3.0540594766341371E-3</v>
      </c>
      <c r="E36" s="152">
        <f>Input!M36</f>
        <v>2.0449561814104098</v>
      </c>
      <c r="F36" s="153">
        <f>E36*Input!N36/100</f>
        <v>9.46801613327539E-5</v>
      </c>
      <c r="G36" s="21">
        <f>E36*137.88</f>
        <v>281.95855829286728</v>
      </c>
      <c r="H36" s="153">
        <f>G36*Input!L36/100</f>
        <v>1.6391242835892467E-2</v>
      </c>
      <c r="I36" s="18">
        <v>0.3</v>
      </c>
      <c r="J36" s="129">
        <f>(((C36*Constants!$B$24*0.000000001*Input!G36*(Constants!$B$4/Constants!$B$3))-(I36*0.000000000000001))/Input!F36)*1000000000000</f>
        <v>183.30385540347768</v>
      </c>
      <c r="K36" s="18">
        <f>J36*Input!P36/100</f>
        <v>0.31735779247774432</v>
      </c>
      <c r="L36" s="134">
        <f>(J36/Constants!$B$4)*602200000000*Constants!$B$17/(365.2425*24*60)</f>
        <v>2.5307132488358364</v>
      </c>
      <c r="M36" s="132">
        <f>L36*Input!P36/100</f>
        <v>4.3814766922217396E-3</v>
      </c>
      <c r="N36" s="18">
        <v>5.0000000000000001E-3</v>
      </c>
      <c r="O36" s="129">
        <f>(((G36*Constants!$B$23*0.000000001*Input!G36*(Constants!$B$7/Constants!$B$6))-(N36*0.000000001))/Input!F36)*1000000</f>
        <v>2.9514683711748964</v>
      </c>
      <c r="P36" s="18">
        <f>O36*Input!N36/100</f>
        <v>1.3665109506582457E-4</v>
      </c>
      <c r="Q36" s="130">
        <f>(O36/Constants!$B$7)*602200000000000000*Constants!$B$18/(365.2425*24*60)</f>
        <v>2.2021518196907879</v>
      </c>
      <c r="R36" s="131">
        <f>Q36*Input!N36/100</f>
        <v>1.019582186957857E-4</v>
      </c>
      <c r="S36" s="132">
        <f>Input!S36*Constants!$B$17/Constants!$B$18</f>
        <v>1.1447674908293581</v>
      </c>
      <c r="T36" s="18">
        <f>S36*Input!T36/100</f>
        <v>6.6386081297785903E-4</v>
      </c>
      <c r="U36" s="18">
        <f>S36*1/((U35+U37)/2)</f>
        <v>1.144686438933302</v>
      </c>
      <c r="V36" s="18">
        <f>U36*Input!T36/100</f>
        <v>6.6381381026504611E-4</v>
      </c>
      <c r="W36" s="133">
        <v>3.0000000000000001E-3</v>
      </c>
      <c r="X36" s="129">
        <f>IF((((Constants!$B$25*0.000000001*Input!G36/Input!W36*(Constants!$B$11/Constants!$B$9))-(W36*0.000000001))/Input!F36)*1000000000&lt;0, "n.d.", (((Constants!$B$25*0.000000001*Input!G36/Input!W36*(Constants!$B$11/Constants!$B$9))-(W36*0.000000001))/Input!F36)*1000000000)</f>
        <v>0.33054518849619285</v>
      </c>
      <c r="Y36" s="129">
        <f>X36*Input!X36/100</f>
        <v>6.3420728199211176E-4</v>
      </c>
      <c r="Z36" s="129">
        <f>(X36/Constants!$B$11)*6.022E+23*0.000000001*Constants!$B$19/(365.2425*24*60)</f>
        <v>8.069676661832694E-5</v>
      </c>
      <c r="AA36" s="129">
        <f>Z36*Input!X36/100</f>
        <v>1.5483050065074649E-7</v>
      </c>
      <c r="AB36" s="134">
        <v>0.05</v>
      </c>
      <c r="AC36" s="134">
        <v>0.9</v>
      </c>
      <c r="AD36" s="129">
        <f>(((Input!G36*Constants!$B$25*0.000000001*Input!U36*(Constants!$B$10/Constants!$B$9))-((AB36*0.000000000000001)+(Input!G36*AC36*0.000000000000001)))/Input!F36)*1000000000000</f>
        <v>2.5556277929574973</v>
      </c>
      <c r="AE36" s="129">
        <f>AD36*Input!V36/100</f>
        <v>9.0364832474147914E-3</v>
      </c>
      <c r="AF36" s="129">
        <f>(AD36/Constants!$B$10)*602200000000*Constants!$B$16/(365.2425*24*60)</f>
        <v>0.11665333895568725</v>
      </c>
      <c r="AG36" s="129">
        <f>AF36*Input!V36/100</f>
        <v>4.1247631839539891E-4</v>
      </c>
      <c r="AH36" s="18">
        <f>AF36/Z36</f>
        <v>1445.5763699607048</v>
      </c>
      <c r="AI36" s="133">
        <f>AH36*SQRT((AG36/AF36)^2+(AA36/Z36)^2)</f>
        <v>5.8154573999985626</v>
      </c>
      <c r="AJ36" s="132">
        <f t="shared" si="157"/>
        <v>144.68643893330201</v>
      </c>
      <c r="AK36" s="133">
        <f>V36*1000</f>
        <v>0.66381381026504616</v>
      </c>
      <c r="AL36" s="133">
        <f>AF36/Q36</f>
        <v>5.2972432650927291E-2</v>
      </c>
      <c r="AM36" s="133">
        <f>AL36*SQRT((R36/Q36)^2+(AG36/AF36)^2)</f>
        <v>1.8732208807723986E-4</v>
      </c>
      <c r="AN36" s="18">
        <f>AL36*1/((AN35+AN37)/2)</f>
        <v>5.3171585152214665E-2</v>
      </c>
      <c r="AO36" s="129">
        <f>AN36*SQRT((R36/Q36)^2+(AG36/AF36)^2)</f>
        <v>1.8802633480558608E-4</v>
      </c>
      <c r="AP36" s="18">
        <f>ThU_Alter_Kombi(AN36,U36)</f>
        <v>5.1818</v>
      </c>
      <c r="AQ36" s="18">
        <f t="shared" si="163"/>
        <v>1.77E-2</v>
      </c>
      <c r="AR36" s="154">
        <f>(AQ36/AP36)</f>
        <v>3.4158014589524876E-3</v>
      </c>
      <c r="AS36" s="131">
        <f t="shared" si="164"/>
        <v>3.664450647624189E-5</v>
      </c>
      <c r="AT36" s="131">
        <f t="shared" si="165"/>
        <v>7.0329198856970547E-8</v>
      </c>
      <c r="AU36" s="18">
        <v>8</v>
      </c>
      <c r="AV36" s="18">
        <f>AU36/2</f>
        <v>4</v>
      </c>
      <c r="AW36" s="18">
        <f t="shared" si="167"/>
        <v>5.1539000000000001</v>
      </c>
      <c r="AX36" s="135">
        <f t="shared" si="168"/>
        <v>2.3335358600000002E-2</v>
      </c>
      <c r="AY36" s="135">
        <f t="shared" si="169"/>
        <v>2.3597143157142984E-2</v>
      </c>
      <c r="AZ36" s="154">
        <f t="shared" si="170"/>
        <v>4.5277088418479213E-3</v>
      </c>
      <c r="BA36" s="18" t="str">
        <f>Input!B36</f>
        <v>GeoB20582-1_2_17-21</v>
      </c>
      <c r="BB36" s="136">
        <f>Input!E36</f>
        <v>19</v>
      </c>
      <c r="BC36" s="18">
        <f>((U36-1)*EXP(Constants!$B$17*AW36*1000))*1000</f>
        <v>146.80622586143107</v>
      </c>
      <c r="BD36" s="132">
        <f>SQRT((EXP(Constants!$B$17*AW36*1000)*V36)^2+((U36-1)*Constants!$B$17*EXP(Constants!$B$17*AW36*1000)*AY36*1000)^2)*1000</f>
        <v>0.67361022720187291</v>
      </c>
      <c r="BE36" s="18">
        <f t="shared" si="171"/>
        <v>5095.9000000000005</v>
      </c>
      <c r="BF36" s="137">
        <f t="shared" si="172"/>
        <v>11.798571578571492</v>
      </c>
      <c r="BG36" s="20">
        <f t="shared" si="173"/>
        <v>0.45785023297198207</v>
      </c>
      <c r="BH36" s="18"/>
      <c r="BI36" s="18"/>
      <c r="BJ36" s="18"/>
      <c r="BK36" s="18"/>
      <c r="BL36" s="18"/>
      <c r="BM36" s="18"/>
      <c r="BN36" s="159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</row>
    <row r="37" spans="1:110" ht="15" customHeight="1" x14ac:dyDescent="0.2">
      <c r="A37" s="138">
        <f>Input!A37</f>
        <v>10815</v>
      </c>
      <c r="B37" s="138" t="str">
        <f>Input!B37</f>
        <v>Hu1-13</v>
      </c>
      <c r="C37" s="138">
        <f>Input!O37</f>
        <v>2.0666096721628802</v>
      </c>
      <c r="D37" s="138">
        <f>C37*Input!P37/100</f>
        <v>1.0745139051776492E-2</v>
      </c>
      <c r="E37" s="139">
        <f>Input!M37</f>
        <v>2.7318546235066457</v>
      </c>
      <c r="F37" s="140">
        <f>E37*Input!N37/100</f>
        <v>2.1748275410071147E-4</v>
      </c>
      <c r="G37" s="141">
        <f t="shared" ref="G37" si="174">E37*137.88</f>
        <v>376.66811548909629</v>
      </c>
      <c r="H37" s="140">
        <f>G37*Input!L37/100</f>
        <v>2.2853156505200905E-2</v>
      </c>
      <c r="I37" s="138">
        <v>0</v>
      </c>
      <c r="J37" s="142">
        <f>(((C37*Constants!$B$24*0.000000001*Input!G37*(Constants!$B$4/Constants!$B$3))-(I37*0.000000000000001))/Input!F37)*1000000000000</f>
        <v>746.12367773574249</v>
      </c>
      <c r="K37" s="138">
        <f>J37*Input!P37/100</f>
        <v>3.8793985991088249</v>
      </c>
      <c r="L37" s="143">
        <f>(J37/Constants!$B$4)*602200000000*Constants!$B$17/(365.2425*24*60)</f>
        <v>10.301065803333559</v>
      </c>
      <c r="M37" s="144">
        <f>L37*Input!P37/100</f>
        <v>5.3559405014530992E-2</v>
      </c>
      <c r="N37" s="138">
        <v>0</v>
      </c>
      <c r="O37" s="142">
        <f>(((G37*Constants!$B$23*0.000000001*Input!G37*(Constants!$B$7/Constants!$B$6))-(N37*0.000000001))/Input!F37)*1000000</f>
        <v>13.699121719216944</v>
      </c>
      <c r="P37" s="138">
        <f>O37*Input!N37/100</f>
        <v>1.0905861148760088E-3</v>
      </c>
      <c r="Q37" s="145">
        <f>(O37/Constants!$B$7)*602200000000000000*Constants!$B$18/(365.2425*24*60)</f>
        <v>10.221199087466532</v>
      </c>
      <c r="R37" s="146">
        <f>Q37*Input!N37/100</f>
        <v>8.1370893920428E-4</v>
      </c>
      <c r="S37" s="144">
        <f>Input!S37*Constants!$B$17/Constants!$B$18</f>
        <v>0.99956681483404297</v>
      </c>
      <c r="T37" s="138">
        <f>S37*Input!T37/100</f>
        <v>1.267566250175634E-3</v>
      </c>
      <c r="U37" s="144">
        <f>S37</f>
        <v>0.99956681483404297</v>
      </c>
      <c r="V37" s="138">
        <f>U37*Input!T37/100</f>
        <v>1.267566250175634E-3</v>
      </c>
      <c r="W37" s="147">
        <v>0</v>
      </c>
      <c r="X37" s="142">
        <f>(((Constants!$B$25*0.000000001*Input!G37/Input!W37*(Constants!$B$11/Constants!$B$9))-(W37*0.000000001))/Input!F37)*1000000000</f>
        <v>0.90665134518507651</v>
      </c>
      <c r="Y37" s="142">
        <f>X37*Input!X37/100</f>
        <v>3.4527118140236564E-3</v>
      </c>
      <c r="Z37" s="142">
        <f>(X37/Constants!$B$11)*6.022E+23*0.000000001*Constants!$B$19/(365.2425*24*60)</f>
        <v>2.2134290424691812E-4</v>
      </c>
      <c r="AA37" s="142">
        <f>Z37*Input!X37/100</f>
        <v>8.4291857559383717E-7</v>
      </c>
      <c r="AB37" s="143">
        <v>0</v>
      </c>
      <c r="AC37" s="143">
        <v>0.9</v>
      </c>
      <c r="AD37" s="142">
        <f>(((Input!G37*Constants!$B$25*0.000000001*Input!U37*(Constants!$B$10/Constants!$B$9))-((AB37*0.000000000000001)+(Input!G37*AC37*0.000000000000001)))/Input!F37)*1000000000000</f>
        <v>222.9891139332625</v>
      </c>
      <c r="AE37" s="142">
        <f>AD37*Input!V37/100</f>
        <v>0.59906680293913606</v>
      </c>
      <c r="AF37" s="142">
        <f>(AD37/Constants!$B$10)*602200000000*Constants!$B$16/(365.2425*24*60)</f>
        <v>10.17848716576305</v>
      </c>
      <c r="AG37" s="142">
        <f>AF37*Input!V37/100</f>
        <v>2.73448046749745E-2</v>
      </c>
      <c r="AH37" s="138">
        <f t="shared" ref="AH37" si="175">AF37/Z37</f>
        <v>45985.152315560488</v>
      </c>
      <c r="AI37" s="147">
        <f t="shared" ref="AI37" si="176">AH37*SQRT((AG37/AF37)^2+(AA37/Z37)^2)</f>
        <v>214.31175585188092</v>
      </c>
      <c r="AJ37" s="144">
        <f t="shared" si="157"/>
        <v>-0.4331851659570285</v>
      </c>
      <c r="AK37" s="147">
        <f t="shared" ref="AK37" si="177">V37*1000</f>
        <v>1.267566250175634</v>
      </c>
      <c r="AL37" s="147">
        <f t="shared" ref="AL37" si="178">AF37/Q37</f>
        <v>0.99582124158447749</v>
      </c>
      <c r="AM37" s="147">
        <f t="shared" ref="AM37" si="179">AL37*SQRT((R37/Q37)^2+(AG37/AF37)^2)</f>
        <v>2.6764773628969521E-3</v>
      </c>
      <c r="AN37" s="138">
        <f>AF37/Q37</f>
        <v>0.99582124158447749</v>
      </c>
      <c r="AO37" s="142">
        <f t="shared" ref="AO37" si="180">AN37*SQRT((R37/Q37)^2+(AG37/AF37)^2)</f>
        <v>2.6764773628969521E-3</v>
      </c>
      <c r="AP37" s="138">
        <f t="shared" ref="AP37" si="181">ThU_Alter_Kombi(AN37,U37)</f>
        <v>614.62469999999996</v>
      </c>
      <c r="AQ37" s="138" t="e">
        <f t="shared" si="163"/>
        <v>#VALUE!</v>
      </c>
      <c r="AR37" s="138" t="e">
        <f>(AQ37/AP37)*100</f>
        <v>#VALUE!</v>
      </c>
      <c r="AS37" s="146">
        <f t="shared" si="164"/>
        <v>2.1655277658991483E-5</v>
      </c>
      <c r="AT37" s="146">
        <f t="shared" si="165"/>
        <v>8.2485697762392784E-8</v>
      </c>
      <c r="AU37" s="138">
        <v>0.75</v>
      </c>
      <c r="AV37" s="138">
        <f t="shared" ref="AV37" si="182">AU37/2</f>
        <v>0.375</v>
      </c>
      <c r="AW37" s="138">
        <f t="shared" si="167"/>
        <v>614.62289999999996</v>
      </c>
      <c r="AX37" s="148">
        <f t="shared" si="168"/>
        <v>245.60493961029999</v>
      </c>
      <c r="AY37" s="148">
        <f t="shared" si="169"/>
        <v>98.179045541135991</v>
      </c>
      <c r="AZ37" s="149">
        <f t="shared" si="170"/>
        <v>0.39960265003191392</v>
      </c>
      <c r="BA37" s="138" t="str">
        <f>Input!B37</f>
        <v>Hu1-13</v>
      </c>
      <c r="BB37" s="150">
        <f>Input!E37</f>
        <v>0</v>
      </c>
      <c r="BC37" s="138">
        <f>((U37-1)*EXP(Constants!$B$17*AW37*1000))*1000</f>
        <v>-2.4544745206385072</v>
      </c>
      <c r="BD37" s="144">
        <f>SQRT((EXP(Constants!$B$17*AW37*1000)*V37)^2+((U37-1)*Constants!$B$17*EXP(Constants!$B$17*AW37*1000)*AY37*1000)^2)*1000</f>
        <v>7.2142931163983732</v>
      </c>
      <c r="BE37" s="138">
        <f t="shared" si="171"/>
        <v>614564.89999999991</v>
      </c>
      <c r="BF37" s="151">
        <f t="shared" si="172"/>
        <v>49089.522770567994</v>
      </c>
      <c r="BG37" s="160">
        <f t="shared" si="173"/>
        <v>15.973867153523894</v>
      </c>
      <c r="BH37" s="138"/>
      <c r="BI37" s="18"/>
      <c r="BJ37" s="18"/>
      <c r="BK37" s="18"/>
      <c r="BL37" s="18"/>
      <c r="BM37" s="18"/>
      <c r="BN37" s="159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</row>
    <row r="38" spans="1:110" ht="15" customHeight="1" x14ac:dyDescent="0.2">
      <c r="A38" s="18">
        <f>Input!A38</f>
        <v>10914</v>
      </c>
      <c r="B38" s="18" t="str">
        <f>Input!B38</f>
        <v>GeoB20582-1_2_62-63</v>
      </c>
      <c r="C38" s="18">
        <f>Input!O38</f>
        <v>2.358562707903884</v>
      </c>
      <c r="D38" s="18">
        <f>C38*Input!P38/100</f>
        <v>8.0007529932146996E-3</v>
      </c>
      <c r="E38" s="152">
        <f>Input!M38</f>
        <v>2.7303910997318228</v>
      </c>
      <c r="F38" s="153">
        <f>E38*Input!N38/100</f>
        <v>1.558762123006769E-4</v>
      </c>
      <c r="G38" s="21">
        <f>E38*137.88</f>
        <v>376.46632483102371</v>
      </c>
      <c r="H38" s="153">
        <f>G38*Input!L38/100</f>
        <v>2.1155446097617818E-2</v>
      </c>
      <c r="I38" s="18">
        <v>0.3</v>
      </c>
      <c r="J38" s="129">
        <f>(((C38*Constants!$B$24*0.000000001*Input!G38*(Constants!$B$4/Constants!$B$3))-(I38*0.000000000000001))/Input!F38)*1000000000000</f>
        <v>225.94815053251918</v>
      </c>
      <c r="K38" s="18">
        <f>J38*Input!P38/100</f>
        <v>0.76646482013233297</v>
      </c>
      <c r="L38" s="134">
        <f>(J38/Constants!$B$4)*602200000000*Constants!$B$17/(365.2425*24*60)</f>
        <v>3.1194650916859641</v>
      </c>
      <c r="M38" s="132">
        <f>L38*Input!P38/100</f>
        <v>1.058189785919075E-2</v>
      </c>
      <c r="N38" s="18">
        <v>5.0000000000000001E-3</v>
      </c>
      <c r="O38" s="129">
        <f>(((G38*Constants!$B$23*0.000000001*Input!G38*(Constants!$B$7/Constants!$B$6))-(N38*0.000000001))/Input!F38)*1000000</f>
        <v>3.6330279988626386</v>
      </c>
      <c r="P38" s="18">
        <f>O38*Input!N38/100</f>
        <v>2.0740715266052469E-4</v>
      </c>
      <c r="Q38" s="130">
        <f>(O38/Constants!$B$7)*602200000000000000*Constants!$B$18/(365.2425*24*60)</f>
        <v>2.710677606041286</v>
      </c>
      <c r="R38" s="131">
        <f>Q38*Input!N38/100</f>
        <v>1.5475078205444003E-4</v>
      </c>
      <c r="S38" s="132">
        <f>Input!S38*Constants!$B$17/Constants!$B$18</f>
        <v>1.1443977880637199</v>
      </c>
      <c r="T38" s="18">
        <f>S38*Input!T38/100</f>
        <v>6.7510647858741554E-4</v>
      </c>
      <c r="U38" s="18">
        <f>S38*1/((U37+U39)/2)</f>
        <v>1.1448511943808128</v>
      </c>
      <c r="V38" s="18">
        <f>U38*Input!T38/100</f>
        <v>6.7537395336348966E-4</v>
      </c>
      <c r="W38" s="133">
        <v>3.0000000000000001E-3</v>
      </c>
      <c r="X38" s="129">
        <f>IF((((Constants!$B$25*0.000000001*Input!G38/Input!W38*(Constants!$B$11/Constants!$B$9))-(W38*0.000000001))/Input!F38)*1000000000&lt;0, "n.d.", (((Constants!$B$25*0.000000001*Input!G38/Input!W38*(Constants!$B$11/Constants!$B$9))-(W38*0.000000001))/Input!F38)*1000000000)</f>
        <v>0.20566864091740897</v>
      </c>
      <c r="Y38" s="129">
        <f>X38*Input!X38/100</f>
        <v>6.2923918657789069E-4</v>
      </c>
      <c r="Z38" s="129">
        <f>(X38/Constants!$B$11)*6.022E+23*0.000000001*Constants!$B$19/(365.2425*24*60)</f>
        <v>5.0210364254059622E-5</v>
      </c>
      <c r="AA38" s="129">
        <f>Z38*Input!X38/100</f>
        <v>1.5361762794791607E-7</v>
      </c>
      <c r="AB38" s="134">
        <v>0.05</v>
      </c>
      <c r="AC38" s="134">
        <v>0.9</v>
      </c>
      <c r="AD38" s="129">
        <f>(((Input!G38*Constants!$B$25*0.000000001*Input!U38*(Constants!$B$10/Constants!$B$9))-((AB38*0.000000000000001)+(Input!G38*AC38*0.000000000000001)))/Input!F38)*1000000000000</f>
        <v>3.5941444124449107</v>
      </c>
      <c r="AE38" s="129">
        <f>AD38*Input!V38/100</f>
        <v>1.3584999903803362E-2</v>
      </c>
      <c r="AF38" s="129">
        <f>(AD38/Constants!$B$10)*602200000000*Constants!$B$16/(365.2425*24*60)</f>
        <v>0.16405712426355601</v>
      </c>
      <c r="AG38" s="129">
        <f>AF38*Input!V38/100</f>
        <v>6.2009640169761137E-4</v>
      </c>
      <c r="AH38" s="18">
        <f>AF38/Z38</f>
        <v>3267.3956204229612</v>
      </c>
      <c r="AI38" s="133">
        <f>AH38*SQRT((AG38/AF38)^2+(AA38/Z38)^2)</f>
        <v>15.888750331976093</v>
      </c>
      <c r="AJ38" s="132">
        <f t="shared" si="157"/>
        <v>144.85119438081284</v>
      </c>
      <c r="AK38" s="133">
        <f>V38*1000</f>
        <v>0.67537395336348971</v>
      </c>
      <c r="AL38" s="133">
        <f>AF38/Q38</f>
        <v>6.0522551224063664E-2</v>
      </c>
      <c r="AM38" s="133">
        <f>AL38*SQRT((R38/Q38)^2+(AG38/AF38)^2)</f>
        <v>2.2878675334526912E-4</v>
      </c>
      <c r="AN38" s="18">
        <f>AL38*1/((AN37+AN39)/2)</f>
        <v>6.0772157991844829E-2</v>
      </c>
      <c r="AO38" s="129">
        <f>AN38*SQRT((R38/Q38)^2+(AG38/AF38)^2)</f>
        <v>2.2973031439579787E-4</v>
      </c>
      <c r="AP38" s="18">
        <f>ThU_Alter_Kombi(AN38,U38)</f>
        <v>5.9413</v>
      </c>
      <c r="AQ38" s="18">
        <f t="shared" si="163"/>
        <v>2.2700000000000001E-2</v>
      </c>
      <c r="AR38" s="154">
        <f>(AQ38/AP38)</f>
        <v>3.8207126386481075E-3</v>
      </c>
      <c r="AS38" s="131">
        <f t="shared" si="164"/>
        <v>1.8523178168497722E-5</v>
      </c>
      <c r="AT38" s="131">
        <f t="shared" si="165"/>
        <v>5.6681166817752934E-8</v>
      </c>
      <c r="AU38" s="18">
        <v>8</v>
      </c>
      <c r="AV38" s="18">
        <f>AU38/2</f>
        <v>4</v>
      </c>
      <c r="AW38" s="18">
        <f t="shared" si="167"/>
        <v>5.9272</v>
      </c>
      <c r="AX38" s="135">
        <f t="shared" si="168"/>
        <v>2.3971742599999998E-2</v>
      </c>
      <c r="AY38" s="135">
        <f t="shared" si="169"/>
        <v>2.4410301076127842E-2</v>
      </c>
      <c r="AZ38" s="154">
        <f t="shared" si="170"/>
        <v>4.0443620259144279E-3</v>
      </c>
      <c r="BA38" s="18" t="str">
        <f>Input!B38</f>
        <v>GeoB20582-1_2_62-63</v>
      </c>
      <c r="BB38" s="136">
        <f>Input!E38</f>
        <v>62.5</v>
      </c>
      <c r="BC38" s="18">
        <f>((U38-1)*EXP(Constants!$B$17*AW38*1000))*1000</f>
        <v>147.29448524777024</v>
      </c>
      <c r="BD38" s="132">
        <f>SQRT((EXP(Constants!$B$17*AW38*1000)*V38)^2+((U38-1)*Constants!$B$17*EXP(Constants!$B$17*AW38*1000)*AY38*1000)^2)*1000</f>
        <v>0.68684083879927205</v>
      </c>
      <c r="BE38" s="18">
        <f t="shared" si="171"/>
        <v>5869.2</v>
      </c>
      <c r="BF38" s="137">
        <f t="shared" si="172"/>
        <v>12.205150538063922</v>
      </c>
      <c r="BG38" s="20">
        <f t="shared" si="173"/>
        <v>0.41183528607315162</v>
      </c>
      <c r="BH38" s="18"/>
      <c r="BI38" s="18"/>
      <c r="BJ38" s="18"/>
      <c r="BK38" s="18"/>
      <c r="BL38" s="18"/>
      <c r="BM38" s="18"/>
      <c r="BN38" s="159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</row>
    <row r="39" spans="1:110" ht="15" customHeight="1" x14ac:dyDescent="0.2">
      <c r="A39" s="138">
        <f>Input!A39</f>
        <v>10815</v>
      </c>
      <c r="B39" s="138" t="str">
        <f>Input!B39</f>
        <v>Hu1-13</v>
      </c>
      <c r="C39" s="138">
        <f>Input!O39</f>
        <v>2.0793383948053887</v>
      </c>
      <c r="D39" s="138">
        <f>C39*Input!P39/100</f>
        <v>1.1058015619113825E-2</v>
      </c>
      <c r="E39" s="139">
        <f>Input!M39</f>
        <v>2.7323002933949065</v>
      </c>
      <c r="F39" s="140">
        <f>E39*Input!N39/100</f>
        <v>2.4720019343259003E-4</v>
      </c>
      <c r="G39" s="141">
        <f t="shared" ref="G39" si="183">E39*137.88</f>
        <v>376.7295644532897</v>
      </c>
      <c r="H39" s="140">
        <f>G39*Input!L39/100</f>
        <v>1.5449762547765762E-2</v>
      </c>
      <c r="I39" s="138">
        <v>0</v>
      </c>
      <c r="J39" s="142">
        <f>(((C39*Constants!$B$24*0.000000001*Input!G39*(Constants!$B$4/Constants!$B$3))-(I39*0.000000000000001))/Input!F39)*1000000000000</f>
        <v>750.71922448016812</v>
      </c>
      <c r="K39" s="138">
        <f>J39*Input!P39/100</f>
        <v>3.9923587861453762</v>
      </c>
      <c r="L39" s="143">
        <f>(J39/Constants!$B$4)*602200000000*Constants!$B$17/(365.2425*24*60)</f>
        <v>10.364512428644103</v>
      </c>
      <c r="M39" s="144">
        <f>L39*Input!P39/100</f>
        <v>5.5118945817942543E-2</v>
      </c>
      <c r="N39" s="138">
        <v>0</v>
      </c>
      <c r="O39" s="142">
        <f>(((G39*Constants!$B$23*0.000000001*Input!G39*(Constants!$B$7/Constants!$B$6))-(N39*0.000000001))/Input!F39)*1000000</f>
        <v>13.701356569488018</v>
      </c>
      <c r="P39" s="138">
        <f>O39*Input!N39/100</f>
        <v>1.239606789361347E-3</v>
      </c>
      <c r="Q39" s="145">
        <f>(O39/Constants!$B$7)*602200000000000000*Constants!$B$18/(365.2425*24*60)</f>
        <v>10.222866555645847</v>
      </c>
      <c r="R39" s="146">
        <f>Q39*Input!N39/100</f>
        <v>9.2489635787846441E-4</v>
      </c>
      <c r="S39" s="144">
        <f>Input!S39*Constants!$B$17/Constants!$B$18</f>
        <v>0.9996411061266578</v>
      </c>
      <c r="T39" s="138">
        <f>S39*Input!T39/100</f>
        <v>1.2771945161313357E-3</v>
      </c>
      <c r="U39" s="144">
        <f>S39</f>
        <v>0.9996411061266578</v>
      </c>
      <c r="V39" s="138">
        <f>U39*Input!T39/100</f>
        <v>1.2771945161313357E-3</v>
      </c>
      <c r="W39" s="147">
        <v>0</v>
      </c>
      <c r="X39" s="142">
        <f>(((Constants!$B$25*0.000000001*Input!G39/Input!W39*(Constants!$B$11/Constants!$B$9))-(W39*0.000000001))/Input!F39)*1000000000</f>
        <v>0.90774838004753911</v>
      </c>
      <c r="Y39" s="142">
        <f>X39*Input!X39/100</f>
        <v>2.797105370354895E-3</v>
      </c>
      <c r="Z39" s="142">
        <f>(X39/Constants!$B$11)*6.022E+23*0.000000001*Constants!$B$19/(365.2425*24*60)</f>
        <v>2.2161072592258996E-4</v>
      </c>
      <c r="AA39" s="142">
        <f>Z39*Input!X39/100</f>
        <v>6.8286384777008392E-7</v>
      </c>
      <c r="AB39" s="143">
        <v>0</v>
      </c>
      <c r="AC39" s="143">
        <v>0.9</v>
      </c>
      <c r="AD39" s="142">
        <f>(((Input!G39*Constants!$B$25*0.000000001*Input!U39*(Constants!$B$10/Constants!$B$9))-((AB39*0.000000000000001)+(Input!G39*AC39*0.000000000000001)))/Input!F39)*1000000000000</f>
        <v>223.05751985280304</v>
      </c>
      <c r="AE39" s="142">
        <f>AD39*Input!V39/100</f>
        <v>0.56152224028396236</v>
      </c>
      <c r="AF39" s="142">
        <f>(AD39/Constants!$B$10)*602200000000*Constants!$B$16/(365.2425*24*60)</f>
        <v>10.181609599687397</v>
      </c>
      <c r="AG39" s="142">
        <f>AF39*Input!V39/100</f>
        <v>2.5631058015376386E-2</v>
      </c>
      <c r="AH39" s="138">
        <f t="shared" ref="AH39" si="184">AF39/Z39</f>
        <v>45943.667921758883</v>
      </c>
      <c r="AI39" s="147">
        <f t="shared" ref="AI39" si="185">AH39*SQRT((AG39/AF39)^2+(AA39/Z39)^2)</f>
        <v>182.80765175949335</v>
      </c>
      <c r="AJ39" s="144">
        <f t="shared" si="157"/>
        <v>-0.35889387334220313</v>
      </c>
      <c r="AK39" s="147">
        <f t="shared" ref="AK39" si="186">V39*1000</f>
        <v>1.2771945161313358</v>
      </c>
      <c r="AL39" s="147">
        <f t="shared" ref="AL39" si="187">AF39/Q39</f>
        <v>0.99596424782287063</v>
      </c>
      <c r="AM39" s="147">
        <f t="shared" ref="AM39" si="188">AL39*SQRT((R39/Q39)^2+(AG39/AF39)^2)</f>
        <v>2.5088467651444286E-3</v>
      </c>
      <c r="AN39" s="138">
        <f>AF39/Q39</f>
        <v>0.99596424782287063</v>
      </c>
      <c r="AO39" s="142">
        <f t="shared" ref="AO39" si="189">AN39*SQRT((R39/Q39)^2+(AG39/AF39)^2)</f>
        <v>2.5088467651444286E-3</v>
      </c>
      <c r="AP39" s="138">
        <f t="shared" ref="AP39" si="190">ThU_Alter_Kombi(AN39,U39)</f>
        <v>615.78909999999996</v>
      </c>
      <c r="AQ39" s="138" t="e">
        <f t="shared" si="163"/>
        <v>#VALUE!</v>
      </c>
      <c r="AR39" s="138" t="e">
        <f>(AQ39/AP39)*100</f>
        <v>#VALUE!</v>
      </c>
      <c r="AS39" s="146">
        <f t="shared" si="164"/>
        <v>2.1677943727065437E-5</v>
      </c>
      <c r="AT39" s="146">
        <f t="shared" si="165"/>
        <v>6.6826474421451121E-8</v>
      </c>
      <c r="AU39" s="138">
        <v>0.75</v>
      </c>
      <c r="AV39" s="138">
        <f t="shared" ref="AV39" si="191">AU39/2</f>
        <v>0.375</v>
      </c>
      <c r="AW39" s="138">
        <f t="shared" si="167"/>
        <v>615.78729999999996</v>
      </c>
      <c r="AX39" s="148">
        <f t="shared" si="168"/>
        <v>224.63962610639999</v>
      </c>
      <c r="AY39" s="148">
        <f t="shared" si="169"/>
        <v>95.200123418727912</v>
      </c>
      <c r="AZ39" s="149">
        <f t="shared" si="170"/>
        <v>0.36480068053758175</v>
      </c>
      <c r="BA39" s="138" t="str">
        <f>Input!B39</f>
        <v>Hu1-13</v>
      </c>
      <c r="BB39" s="150">
        <f>Input!E39</f>
        <v>0</v>
      </c>
      <c r="BC39" s="138">
        <f>((U39-1)*EXP(Constants!$B$17*AW39*1000))*1000</f>
        <v>-2.0402251230616493</v>
      </c>
      <c r="BD39" s="144">
        <f>SQRT((EXP(Constants!$B$17*AW39*1000)*V39)^2+((U39-1)*Constants!$B$17*EXP(Constants!$B$17*AW39*1000)*AY39*1000)^2)*1000</f>
        <v>7.2812036295482283</v>
      </c>
      <c r="BE39" s="138">
        <f t="shared" si="171"/>
        <v>615729.29999999993</v>
      </c>
      <c r="BF39" s="151">
        <f t="shared" si="172"/>
        <v>47600.061709363959</v>
      </c>
      <c r="BG39" s="160">
        <f t="shared" si="173"/>
        <v>15.459903674325195</v>
      </c>
      <c r="BH39" s="138"/>
      <c r="BI39" s="18"/>
      <c r="BJ39" s="18"/>
      <c r="BK39" s="18"/>
      <c r="BL39" s="18"/>
      <c r="BM39" s="18"/>
      <c r="BN39" s="159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</row>
    <row r="40" spans="1:110" ht="15" customHeight="1" x14ac:dyDescent="0.2">
      <c r="A40" s="18">
        <f>Input!A40</f>
        <v>10915</v>
      </c>
      <c r="B40" s="18" t="str">
        <f>Input!B40</f>
        <v>GeoB20582-1_2_83-86</v>
      </c>
      <c r="C40" s="18">
        <f>Input!O40</f>
        <v>1.919902515491597</v>
      </c>
      <c r="D40" s="18">
        <f>C40*Input!P40/100</f>
        <v>3.9663926155819812E-3</v>
      </c>
      <c r="E40" s="152">
        <f>Input!M40</f>
        <v>2.218210513584252</v>
      </c>
      <c r="F40" s="153">
        <f>E40*Input!N40/100</f>
        <v>8.8311705882533633E-5</v>
      </c>
      <c r="G40" s="21">
        <f>E40*137.88</f>
        <v>305.84686561299668</v>
      </c>
      <c r="H40" s="153">
        <f>G40*Input!L40/100</f>
        <v>1.0988985404459377E-2</v>
      </c>
      <c r="I40" s="18">
        <v>0.3</v>
      </c>
      <c r="J40" s="129">
        <f>(((C40*Constants!$B$24*0.000000001*Input!G40*(Constants!$B$4/Constants!$B$3))-(I40*0.000000000000001))/Input!F40)*1000000000000</f>
        <v>203.98426693012138</v>
      </c>
      <c r="K40" s="18">
        <f>J40*Input!P40/100</f>
        <v>0.42141811030408971</v>
      </c>
      <c r="L40" s="134">
        <f>(J40/Constants!$B$4)*602200000000*Constants!$B$17/(365.2425*24*60)</f>
        <v>2.8162292917289617</v>
      </c>
      <c r="M40" s="132">
        <f>L40*Input!P40/100</f>
        <v>5.8181449195295444E-3</v>
      </c>
      <c r="N40" s="18">
        <v>5.0000000000000001E-3</v>
      </c>
      <c r="O40" s="129">
        <f>(((G40*Constants!$B$23*0.000000001*Input!G40*(Constants!$B$7/Constants!$B$6))-(N40*0.000000001))/Input!F40)*1000000</f>
        <v>3.2734272863394054</v>
      </c>
      <c r="P40" s="18">
        <f>O40*Input!N40/100</f>
        <v>1.3032214299262264E-4</v>
      </c>
      <c r="Q40" s="130">
        <f>(O40/Constants!$B$7)*602200000000000000*Constants!$B$18/(365.2425*24*60)</f>
        <v>2.4423720496683705</v>
      </c>
      <c r="R40" s="131">
        <f>Q40*Input!N40/100</f>
        <v>9.7236056174630352E-5</v>
      </c>
      <c r="S40" s="132">
        <f>Input!S40*Constants!$B$17/Constants!$B$18</f>
        <v>1.144591300971773</v>
      </c>
      <c r="T40" s="18">
        <f>S40*Input!T40/100</f>
        <v>6.4824808844591295E-4</v>
      </c>
      <c r="U40" s="18">
        <f>S40*1/((U39+U41)/2)</f>
        <v>1.1445604137145702</v>
      </c>
      <c r="V40" s="18">
        <f>U40*Input!T40/100</f>
        <v>6.482305952101859E-4</v>
      </c>
      <c r="W40" s="133">
        <v>3.0000000000000001E-3</v>
      </c>
      <c r="X40" s="129">
        <f>IF((((Constants!$B$25*0.000000001*Input!G40/Input!W40*(Constants!$B$11/Constants!$B$9))-(W40*0.000000001))/Input!F40)*1000000000&lt;0, "n.d.", (((Constants!$B$25*0.000000001*Input!G40/Input!W40*(Constants!$B$11/Constants!$B$9))-(W40*0.000000001))/Input!F40)*1000000000)</f>
        <v>0.10157726791933541</v>
      </c>
      <c r="Y40" s="129">
        <f>X40*Input!X40/100</f>
        <v>3.6832804354381944E-4</v>
      </c>
      <c r="Z40" s="129">
        <f>(X40/Constants!$B$11)*6.022E+23*0.000000001*Constants!$B$19/(365.2425*24*60)</f>
        <v>2.4798294963256709E-5</v>
      </c>
      <c r="AA40" s="129">
        <f>Z40*Input!X40/100</f>
        <v>8.9920783007201165E-8</v>
      </c>
      <c r="AB40" s="134">
        <v>0.05</v>
      </c>
      <c r="AC40" s="134">
        <v>0.9</v>
      </c>
      <c r="AD40" s="129">
        <f>(((Input!G40*Constants!$B$25*0.000000001*Input!U40*(Constants!$B$10/Constants!$B$9))-((AB40*0.000000000000001)+(Input!G40*AC40*0.000000000000001)))/Input!F40)*1000000000000</f>
        <v>3.4188757045017413</v>
      </c>
      <c r="AE40" s="129">
        <f>AD40*Input!V40/100</f>
        <v>1.0862634976427468E-2</v>
      </c>
      <c r="AF40" s="129">
        <f>(AD40/Constants!$B$10)*602200000000*Constants!$B$16/(365.2425*24*60)</f>
        <v>0.15605686692860227</v>
      </c>
      <c r="AG40" s="129">
        <f>AF40*Input!V40/100</f>
        <v>4.958322347835616E-4</v>
      </c>
      <c r="AH40" s="18">
        <f>AF40/Z40</f>
        <v>6293.0482583512121</v>
      </c>
      <c r="AI40" s="133">
        <f>AH40*SQRT((AG40/AF40)^2+(AA40/Z40)^2)</f>
        <v>30.3397048679048</v>
      </c>
      <c r="AJ40" s="132">
        <f t="shared" si="157"/>
        <v>144.56041371457019</v>
      </c>
      <c r="AK40" s="133">
        <f>V40*1000</f>
        <v>0.64823059521018589</v>
      </c>
      <c r="AL40" s="133">
        <f>AF40/Q40</f>
        <v>6.3895616128505861E-2</v>
      </c>
      <c r="AM40" s="133">
        <f>AL40*SQRT((R40/Q40)^2+(AG40/AF40)^2)</f>
        <v>2.03028510185332E-4</v>
      </c>
      <c r="AN40" s="18">
        <f>AL40*1/((AN39+AN41)/2)</f>
        <v>6.4094301163011749E-2</v>
      </c>
      <c r="AO40" s="129">
        <f>AN40*SQRT((R40/Q40)^2+(AG40/AF40)^2)</f>
        <v>2.036598324730884E-4</v>
      </c>
      <c r="AP40" s="18">
        <f>ThU_Alter_Kombi(AN40,U40)</f>
        <v>6.2769000000000004</v>
      </c>
      <c r="AQ40" s="18">
        <f t="shared" si="163"/>
        <v>1.8499999999999999E-2</v>
      </c>
      <c r="AR40" s="154">
        <f>(AQ40/AP40)</f>
        <v>2.9473147572846464E-3</v>
      </c>
      <c r="AS40" s="131">
        <f t="shared" si="164"/>
        <v>1.0153365031598631E-5</v>
      </c>
      <c r="AT40" s="131">
        <f t="shared" si="165"/>
        <v>3.6819207242711246E-8</v>
      </c>
      <c r="AU40" s="18">
        <v>8</v>
      </c>
      <c r="AV40" s="18">
        <f>AU40/2</f>
        <v>4</v>
      </c>
      <c r="AW40" s="18">
        <f t="shared" si="167"/>
        <v>6.2691999999999997</v>
      </c>
      <c r="AX40" s="135">
        <f t="shared" si="168"/>
        <v>1.9988334999999999E-2</v>
      </c>
      <c r="AY40" s="135">
        <f t="shared" si="169"/>
        <v>2.1215828962480018E-2</v>
      </c>
      <c r="AZ40" s="154">
        <f t="shared" si="170"/>
        <v>3.1883390225228101E-3</v>
      </c>
      <c r="BA40" s="18" t="str">
        <f>Input!B40</f>
        <v>GeoB20582-1_2_83-86</v>
      </c>
      <c r="BB40" s="136">
        <f>Input!E40</f>
        <v>84.5</v>
      </c>
      <c r="BC40" s="18">
        <f>((U40-1)*EXP(Constants!$B$17*AW40*1000))*1000</f>
        <v>147.14074338494635</v>
      </c>
      <c r="BD40" s="132">
        <f>SQRT((EXP(Constants!$B$17*AW40*1000)*V40)^2+((U40-1)*Constants!$B$17*EXP(Constants!$B$17*AW40*1000)*AY40*1000)^2)*1000</f>
        <v>0.65985999143415475</v>
      </c>
      <c r="BE40" s="18">
        <f t="shared" si="171"/>
        <v>6211.2</v>
      </c>
      <c r="BF40" s="137">
        <f t="shared" si="172"/>
        <v>10.607914481240009</v>
      </c>
      <c r="BG40" s="20">
        <f t="shared" si="173"/>
        <v>0.33841365664646239</v>
      </c>
      <c r="BH40" s="18"/>
      <c r="BI40" s="18"/>
      <c r="BJ40" s="18"/>
      <c r="BK40" s="18"/>
      <c r="BL40" s="18"/>
      <c r="BM40" s="18"/>
      <c r="BN40" s="159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</row>
    <row r="41" spans="1:110" ht="15" customHeight="1" x14ac:dyDescent="0.2">
      <c r="A41" s="138">
        <f>Input!A41</f>
        <v>10815</v>
      </c>
      <c r="B41" s="138" t="str">
        <f>Input!B41</f>
        <v>Hu1-13</v>
      </c>
      <c r="C41" s="138">
        <f>Input!O41</f>
        <v>2.0703643181941107</v>
      </c>
      <c r="D41" s="138">
        <f>C41*Input!P41/100</f>
        <v>1.0107569451289664E-2</v>
      </c>
      <c r="E41" s="139">
        <f>Input!M41</f>
        <v>2.7322648709715209</v>
      </c>
      <c r="F41" s="140">
        <f>E41*Input!N41/100</f>
        <v>2.472139695823637E-4</v>
      </c>
      <c r="G41" s="141">
        <f t="shared" ref="G41" si="192">E41*137.88</f>
        <v>376.72468040955329</v>
      </c>
      <c r="H41" s="140">
        <f>G41*Input!L41/100</f>
        <v>2.1163598044904388E-2</v>
      </c>
      <c r="I41" s="138">
        <v>0</v>
      </c>
      <c r="J41" s="142">
        <f>(((C41*Constants!$B$24*0.000000001*Input!G41*(Constants!$B$4/Constants!$B$3))-(I41*0.000000000000001))/Input!F41)*1000000000000</f>
        <v>747.47924591252627</v>
      </c>
      <c r="K41" s="138">
        <f>J41*Input!P41/100</f>
        <v>3.6492120372556252</v>
      </c>
      <c r="L41" s="143">
        <f>(J41/Constants!$B$4)*602200000000*Constants!$B$17/(365.2425*24*60)</f>
        <v>10.319780927121522</v>
      </c>
      <c r="M41" s="144">
        <f>L41*Input!P41/100</f>
        <v>5.0381423948592047E-2</v>
      </c>
      <c r="N41" s="138">
        <v>0</v>
      </c>
      <c r="O41" s="142">
        <f>(((G41*Constants!$B$23*0.000000001*Input!G41*(Constants!$B$7/Constants!$B$6))-(N41*0.000000001))/Input!F41)*1000000</f>
        <v>13.70117894067667</v>
      </c>
      <c r="P41" s="138">
        <f>O41*Input!N41/100</f>
        <v>1.2396758710580622E-3</v>
      </c>
      <c r="Q41" s="145">
        <f>(O41/Constants!$B$7)*602200000000000000*Constants!$B$18/(365.2425*24*60)</f>
        <v>10.222734023102397</v>
      </c>
      <c r="R41" s="146">
        <f>Q41*Input!N41/100</f>
        <v>9.249479011664137E-4</v>
      </c>
      <c r="S41" s="144">
        <f>Input!S41*Constants!$B$17/Constants!$B$18</f>
        <v>1.0004128661352389</v>
      </c>
      <c r="T41" s="138">
        <f>S41*Input!T41/100</f>
        <v>1.2544549337094718E-3</v>
      </c>
      <c r="U41" s="144">
        <f>S41</f>
        <v>1.0004128661352389</v>
      </c>
      <c r="V41" s="138">
        <f>U41*Input!T41/100</f>
        <v>1.2544549337094718E-3</v>
      </c>
      <c r="W41" s="147">
        <v>0</v>
      </c>
      <c r="X41" s="142">
        <f>(((Constants!$B$25*0.000000001*Input!G41/Input!W41*(Constants!$B$11/Constants!$B$9))-(W41*0.000000001))/Input!F41)*1000000000</f>
        <v>0.90346338532373882</v>
      </c>
      <c r="Y41" s="142">
        <f>X41*Input!X41/100</f>
        <v>2.8342690585403825E-3</v>
      </c>
      <c r="Z41" s="142">
        <f>(X41/Constants!$B$11)*6.022E+23*0.000000001*Constants!$B$19/(365.2425*24*60)</f>
        <v>2.2056462018206954E-4</v>
      </c>
      <c r="AA41" s="142">
        <f>Z41*Input!X41/100</f>
        <v>6.9193670551103123E-7</v>
      </c>
      <c r="AB41" s="143">
        <v>0</v>
      </c>
      <c r="AC41" s="143">
        <v>0.9</v>
      </c>
      <c r="AD41" s="142">
        <f>(((Input!G41*Constants!$B$25*0.000000001*Input!U41*(Constants!$B$10/Constants!$B$9))-((AB41*0.000000000000001)+(Input!G41*AC41*0.000000000000001)))/Input!F41)*1000000000000</f>
        <v>223.47381832194137</v>
      </c>
      <c r="AE41" s="142">
        <f>AD41*Input!V41/100</f>
        <v>0.58989735009197541</v>
      </c>
      <c r="AF41" s="142">
        <f>(AD41/Constants!$B$10)*602200000000*Constants!$B$16/(365.2425*24*60)</f>
        <v>10.200611821591911</v>
      </c>
      <c r="AG41" s="142">
        <f>AF41*Input!V41/100</f>
        <v>2.6926258870313254E-2</v>
      </c>
      <c r="AH41" s="138">
        <f t="shared" ref="AH41" si="193">AF41/Z41</f>
        <v>46247.7246494547</v>
      </c>
      <c r="AI41" s="147">
        <f t="shared" ref="AI41" si="194">AH41*SQRT((AG41/AF41)^2+(AA41/Z41)^2)</f>
        <v>189.61204425593328</v>
      </c>
      <c r="AJ41" s="144">
        <f t="shared" si="157"/>
        <v>0.41286613523894289</v>
      </c>
      <c r="AK41" s="147">
        <f t="shared" ref="AK41" si="195">V41*1000</f>
        <v>1.2544549337094719</v>
      </c>
      <c r="AL41" s="147">
        <f t="shared" ref="AL41" si="196">AF41/Q41</f>
        <v>0.99783597993839102</v>
      </c>
      <c r="AM41" s="147">
        <f t="shared" ref="AM41" si="197">AL41*SQRT((R41/Q41)^2+(AG41/AF41)^2)</f>
        <v>2.6355055305248192E-3</v>
      </c>
      <c r="AN41" s="138">
        <f>AF41/Q41</f>
        <v>0.99783597993839102</v>
      </c>
      <c r="AO41" s="142">
        <f t="shared" ref="AO41" si="198">AN41*SQRT((R41/Q41)^2+(AG41/AF41)^2)</f>
        <v>2.6355055305248192E-3</v>
      </c>
      <c r="AP41" s="138">
        <f t="shared" ref="AP41" si="199">ThU_Alter_Kombi(AN41,U41)</f>
        <v>642.93719999999996</v>
      </c>
      <c r="AQ41" s="138" t="e">
        <f t="shared" si="163"/>
        <v>#VALUE!</v>
      </c>
      <c r="AR41" s="138" t="e">
        <f>(AQ41/AP41)*100</f>
        <v>#VALUE!</v>
      </c>
      <c r="AS41" s="146">
        <f t="shared" si="164"/>
        <v>2.1575893462904805E-5</v>
      </c>
      <c r="AT41" s="146">
        <f t="shared" si="165"/>
        <v>6.7714217562545761E-8</v>
      </c>
      <c r="AU41" s="138">
        <v>0.75</v>
      </c>
      <c r="AV41" s="138">
        <f t="shared" ref="AV41" si="200">AU41/2</f>
        <v>0.375</v>
      </c>
      <c r="AW41" s="138">
        <f t="shared" si="167"/>
        <v>642.93539999999996</v>
      </c>
      <c r="AX41" s="148">
        <f t="shared" si="168"/>
        <v>282.52734767520002</v>
      </c>
      <c r="AY41" s="148">
        <f t="shared" si="169"/>
        <v>124.99562810835289</v>
      </c>
      <c r="AZ41" s="149">
        <f t="shared" si="170"/>
        <v>0.43943349156882644</v>
      </c>
      <c r="BA41" s="138" t="str">
        <f>Input!B41</f>
        <v>Hu1-13</v>
      </c>
      <c r="BB41" s="150">
        <f>Input!E41</f>
        <v>0</v>
      </c>
      <c r="BC41" s="138">
        <f>((U41-1)*EXP(Constants!$B$17*AW41*1000))*1000</f>
        <v>2.5339273429310154</v>
      </c>
      <c r="BD41" s="144">
        <f>SQRT((EXP(Constants!$B$17*AW41*1000)*V41)^2+((U41-1)*Constants!$B$17*EXP(Constants!$B$17*AW41*1000)*AY41*1000)^2)*1000</f>
        <v>7.7508111699887214</v>
      </c>
      <c r="BE41" s="138">
        <f t="shared" si="171"/>
        <v>642877.39999999991</v>
      </c>
      <c r="BF41" s="151">
        <f t="shared" si="172"/>
        <v>62497.814054176444</v>
      </c>
      <c r="BG41" s="160">
        <f t="shared" si="173"/>
        <v>19.441397706263007</v>
      </c>
      <c r="BH41" s="138"/>
      <c r="BI41" s="18"/>
      <c r="BJ41" s="18"/>
      <c r="BK41" s="18"/>
      <c r="BL41" s="18"/>
      <c r="BM41" s="18"/>
      <c r="BN41" s="159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</row>
    <row r="42" spans="1:110" ht="15" customHeight="1" x14ac:dyDescent="0.2">
      <c r="A42" s="18">
        <f>Input!A42</f>
        <v>10916</v>
      </c>
      <c r="B42" s="18" t="str">
        <f>Input!B42</f>
        <v>GeoB20582-1_3_124-125</v>
      </c>
      <c r="C42" s="18">
        <f>Input!O42</f>
        <v>2.0751439932817144</v>
      </c>
      <c r="D42" s="18">
        <f>C42*Input!P42/100</f>
        <v>3.4830247436726386E-3</v>
      </c>
      <c r="E42" s="152">
        <f>Input!M42</f>
        <v>2.4000561595628578</v>
      </c>
      <c r="F42" s="153">
        <f>E42*Input!N42/100</f>
        <v>8.2872812574041245E-5</v>
      </c>
      <c r="G42" s="21">
        <f>E42*137.88</f>
        <v>330.9197432805268</v>
      </c>
      <c r="H42" s="153">
        <f>G42*Input!L42/100</f>
        <v>1.6428104687222788E-2</v>
      </c>
      <c r="I42" s="18">
        <v>0.3</v>
      </c>
      <c r="J42" s="129">
        <f>(((C42*Constants!$B$24*0.000000001*Input!G42*(Constants!$B$4/Constants!$B$3))-(I42*0.000000000000001))/Input!F42)*1000000000000</f>
        <v>219.32168277241419</v>
      </c>
      <c r="K42" s="18">
        <f>J42*Input!P42/100</f>
        <v>0.36812040532771589</v>
      </c>
      <c r="L42" s="134">
        <f>(J42/Constants!$B$4)*602200000000*Constants!$B$17/(365.2425*24*60)</f>
        <v>3.0279793467922262</v>
      </c>
      <c r="M42" s="132">
        <f>L42*Input!P42/100</f>
        <v>5.0823109250979466E-3</v>
      </c>
      <c r="N42" s="18">
        <v>5.0000000000000001E-3</v>
      </c>
      <c r="O42" s="129">
        <f>(((G42*Constants!$B$23*0.000000001*Input!G42*(Constants!$B$7/Constants!$B$6))-(N42*0.000000001))/Input!F42)*1000000</f>
        <v>3.5231993395208079</v>
      </c>
      <c r="P42" s="18">
        <f>O42*Input!N42/100</f>
        <v>1.2165441936086783E-4</v>
      </c>
      <c r="Q42" s="130">
        <f>(O42/Constants!$B$7)*602200000000000000*Constants!$B$18/(365.2425*24*60)</f>
        <v>2.6287321634318044</v>
      </c>
      <c r="R42" s="131">
        <f>Q42*Input!N42/100</f>
        <v>9.0768887644327787E-5</v>
      </c>
      <c r="S42" s="132">
        <f>Input!S42*Constants!$B$17/Constants!$B$18</f>
        <v>1.1452887675451369</v>
      </c>
      <c r="T42" s="18">
        <f>S42*Input!T42/100</f>
        <v>5.1760516596189774E-4</v>
      </c>
      <c r="U42" s="18">
        <f>S42*1/((U41+U43)/2)</f>
        <v>1.1450197462627887</v>
      </c>
      <c r="V42" s="18">
        <f>U42*Input!T42/100</f>
        <v>5.174835836942261E-4</v>
      </c>
      <c r="W42" s="133">
        <v>3.0000000000000001E-3</v>
      </c>
      <c r="X42" s="129">
        <f>IF((((Constants!$B$25*0.000000001*Input!G42/Input!W42*(Constants!$B$11/Constants!$B$9))-(W42*0.000000001))/Input!F42)*1000000000&lt;0, "n.d.", (((Constants!$B$25*0.000000001*Input!G42/Input!W42*(Constants!$B$11/Constants!$B$9))-(W42*0.000000001))/Input!F42)*1000000000)</f>
        <v>0.85364705447840628</v>
      </c>
      <c r="Y42" s="129">
        <f>X42*Input!X42/100</f>
        <v>1.6837529909736102E-3</v>
      </c>
      <c r="Z42" s="129">
        <f>(X42/Constants!$B$11)*6.022E+23*0.000000001*Constants!$B$19/(365.2425*24*60)</f>
        <v>2.0840284332397595E-4</v>
      </c>
      <c r="AA42" s="129">
        <f>Z42*Input!X42/100</f>
        <v>4.1105853869378687E-7</v>
      </c>
      <c r="AB42" s="134">
        <v>0.05</v>
      </c>
      <c r="AC42" s="134">
        <v>0.9</v>
      </c>
      <c r="AD42" s="129">
        <f>(((Input!G42*Constants!$B$25*0.000000001*Input!U42*(Constants!$B$10/Constants!$B$9))-((AB42*0.000000000000001)+(Input!G42*AC42*0.000000000000001)))/Input!F42)*1000000000000</f>
        <v>3.7295735374947707</v>
      </c>
      <c r="AE42" s="129">
        <f>AD42*Input!V42/100</f>
        <v>1.27265200889772E-2</v>
      </c>
      <c r="AF42" s="129">
        <f>(AD42/Constants!$B$10)*602200000000*Constants!$B$16/(365.2425*24*60)</f>
        <v>0.17023887720600267</v>
      </c>
      <c r="AG42" s="129">
        <f>AF42*Input!V42/100</f>
        <v>5.8091051668669594E-4</v>
      </c>
      <c r="AH42" s="18">
        <f>AF42/Z42</f>
        <v>816.87406222838865</v>
      </c>
      <c r="AI42" s="133">
        <f>AH42*SQRT((AG42/AF42)^2+(AA42/Z42)^2)</f>
        <v>3.2196052130907633</v>
      </c>
      <c r="AJ42" s="132">
        <f t="shared" si="157"/>
        <v>145.01974626278869</v>
      </c>
      <c r="AK42" s="133">
        <f>V42*1000</f>
        <v>0.51748358369422609</v>
      </c>
      <c r="AL42" s="133">
        <f>AF42/Q42</f>
        <v>6.4760830172883102E-2</v>
      </c>
      <c r="AM42" s="133">
        <f>AL42*SQRT((R42/Q42)^2+(AG42/AF42)^2)</f>
        <v>2.2099636672137112E-4</v>
      </c>
      <c r="AN42" s="18">
        <f>AL42*1/((AN41+AN43)/2)</f>
        <v>6.4829317452443247E-2</v>
      </c>
      <c r="AO42" s="129">
        <f>AN42*SQRT((R42/Q42)^2+(AG42/AF42)^2)</f>
        <v>2.2123007959856891E-4</v>
      </c>
      <c r="AP42" s="18">
        <f>ThU_Alter_Kombi(AN42,U42)</f>
        <v>6.3483000000000001</v>
      </c>
      <c r="AQ42" s="18">
        <f t="shared" si="163"/>
        <v>2.4E-2</v>
      </c>
      <c r="AR42" s="154">
        <f>(AQ42/AP42)</f>
        <v>3.7805396720381836E-3</v>
      </c>
      <c r="AS42" s="131">
        <f t="shared" si="164"/>
        <v>7.9278842562608762E-5</v>
      </c>
      <c r="AT42" s="131">
        <f t="shared" si="165"/>
        <v>1.563953631994012E-7</v>
      </c>
      <c r="AU42" s="18">
        <v>8</v>
      </c>
      <c r="AV42" s="18">
        <f>AU42/2</f>
        <v>4</v>
      </c>
      <c r="AW42" s="18">
        <f t="shared" si="167"/>
        <v>6.2880000000000003</v>
      </c>
      <c r="AX42" s="135">
        <f t="shared" si="168"/>
        <v>3.6130318000000002E-2</v>
      </c>
      <c r="AY42" s="135">
        <f t="shared" si="169"/>
        <v>3.765540917677003E-2</v>
      </c>
      <c r="AZ42" s="154">
        <f t="shared" si="170"/>
        <v>5.7459157124681937E-3</v>
      </c>
      <c r="BA42" s="18" t="str">
        <f>Input!B42</f>
        <v>GeoB20582-1_3_124-125</v>
      </c>
      <c r="BB42" s="136">
        <f>Input!E42</f>
        <v>124.5</v>
      </c>
      <c r="BC42" s="18">
        <f>((U42-1)*EXP(Constants!$B$17*AW42*1000))*1000</f>
        <v>147.61610630954425</v>
      </c>
      <c r="BD42" s="132">
        <f>SQRT((EXP(Constants!$B$17*AW42*1000)*V42)^2+((U42-1)*Constants!$B$17*EXP(Constants!$B$17*AW42*1000)*AY42*1000)^2)*1000</f>
        <v>0.52698186818378634</v>
      </c>
      <c r="BE42" s="18">
        <f t="shared" si="171"/>
        <v>6230</v>
      </c>
      <c r="BF42" s="137">
        <f t="shared" si="172"/>
        <v>18.827704588385014</v>
      </c>
      <c r="BG42" s="20">
        <f t="shared" si="173"/>
        <v>0.59884556578832737</v>
      </c>
      <c r="BH42" s="18"/>
      <c r="BI42" s="18"/>
      <c r="BJ42" s="18"/>
      <c r="BK42" s="18"/>
      <c r="BL42" s="18"/>
      <c r="BM42" s="18"/>
      <c r="BN42" s="159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</row>
    <row r="43" spans="1:110" ht="15" customHeight="1" x14ac:dyDescent="0.2">
      <c r="A43" s="138">
        <f>Input!A43</f>
        <v>10815</v>
      </c>
      <c r="B43" s="138" t="str">
        <f>Input!B43</f>
        <v>Hu1-13</v>
      </c>
      <c r="C43" s="138">
        <f>Input!O43</f>
        <v>2.0782289946360062</v>
      </c>
      <c r="D43" s="138">
        <f>C43*Input!P43/100</f>
        <v>1.369209006178547E-2</v>
      </c>
      <c r="E43" s="139">
        <f>Input!M43</f>
        <v>2.7320586745096671</v>
      </c>
      <c r="F43" s="140">
        <f>E43*Input!N43/100</f>
        <v>2.5690880466018535E-4</v>
      </c>
      <c r="G43" s="141">
        <f t="shared" ref="G43" si="201">E43*137.88</f>
        <v>376.69625004139289</v>
      </c>
      <c r="H43" s="140">
        <f>G43*Input!L43/100</f>
        <v>1.645192437249433E-2</v>
      </c>
      <c r="I43" s="138">
        <v>0</v>
      </c>
      <c r="J43" s="142">
        <f>(((C43*Constants!$B$24*0.000000001*Input!G43*(Constants!$B$4/Constants!$B$3))-(I43*0.000000000000001))/Input!F43)*1000000000000</f>
        <v>750.31868936915521</v>
      </c>
      <c r="K43" s="138">
        <f>J43*Input!P43/100</f>
        <v>4.9433585501883828</v>
      </c>
      <c r="L43" s="143">
        <f>(J43/Constants!$B$4)*602200000000*Constants!$B$17/(365.2425*24*60)</f>
        <v>10.358982596716492</v>
      </c>
      <c r="M43" s="144">
        <f>L43*Input!P43/100</f>
        <v>6.8248553469706819E-2</v>
      </c>
      <c r="N43" s="138">
        <v>0</v>
      </c>
      <c r="O43" s="142">
        <f>(((G43*Constants!$B$23*0.000000001*Input!G43*(Constants!$B$7/Constants!$B$6))-(N43*0.000000001))/Input!F43)*1000000</f>
        <v>13.700144950652199</v>
      </c>
      <c r="P43" s="138">
        <f>O43*Input!N43/100</f>
        <v>1.288291461593526E-3</v>
      </c>
      <c r="Q43" s="145">
        <f>(O43/Constants!$B$7)*602200000000000000*Constants!$B$18/(365.2425*24*60)</f>
        <v>10.221962541681091</v>
      </c>
      <c r="R43" s="146">
        <f>Q43*Input!N43/100</f>
        <v>9.6122100245002885E-4</v>
      </c>
      <c r="S43" s="144">
        <f>Input!S43*Constants!$B$17/Constants!$B$18</f>
        <v>1.0000570319311068</v>
      </c>
      <c r="T43" s="138">
        <f>S43*Input!T43/100</f>
        <v>1.1588482562016964E-3</v>
      </c>
      <c r="U43" s="144">
        <f>S43</f>
        <v>1.0000570319311068</v>
      </c>
      <c r="V43" s="138">
        <f>U43*Input!T43/100</f>
        <v>1.1588482562016964E-3</v>
      </c>
      <c r="W43" s="147">
        <v>0</v>
      </c>
      <c r="X43" s="142">
        <f>(((Constants!$B$25*0.000000001*Input!G43/Input!W43*(Constants!$B$11/Constants!$B$9))-(W43*0.000000001))/Input!F43)*1000000000</f>
        <v>0.89550613558157555</v>
      </c>
      <c r="Y43" s="142">
        <f>X43*Input!X43/100</f>
        <v>2.7387519987047528E-3</v>
      </c>
      <c r="Z43" s="142">
        <f>(X43/Constants!$B$11)*6.022E+23*0.000000001*Constants!$B$19/(365.2425*24*60)</f>
        <v>2.1862199827222287E-4</v>
      </c>
      <c r="AA43" s="142">
        <f>Z43*Input!X43/100</f>
        <v>6.6861790325984258E-7</v>
      </c>
      <c r="AB43" s="143">
        <v>0</v>
      </c>
      <c r="AC43" s="143">
        <v>0.9</v>
      </c>
      <c r="AD43" s="142">
        <f>(((Input!G43*Constants!$B$25*0.000000001*Input!U43*(Constants!$B$10/Constants!$B$9))-((AB43*0.000000000000001)+(Input!G43*AC43*0.000000000000001)))/Input!F43)*1000000000000</f>
        <v>223.95302674215156</v>
      </c>
      <c r="AE43" s="142">
        <f>AD43*Input!V43/100</f>
        <v>0.57445088935531075</v>
      </c>
      <c r="AF43" s="142">
        <f>(AD43/Constants!$B$10)*602200000000*Constants!$B$16/(365.2425*24*60)</f>
        <v>10.222485610266165</v>
      </c>
      <c r="AG43" s="142">
        <f>AF43*Input!V43/100</f>
        <v>2.6221194844579437E-2</v>
      </c>
      <c r="AH43" s="138">
        <f t="shared" ref="AH43" si="202">AF43/Z43</f>
        <v>46758.723692285399</v>
      </c>
      <c r="AI43" s="147">
        <f t="shared" ref="AI43" si="203">AH43*SQRT((AG43/AF43)^2+(AA43/Z43)^2)</f>
        <v>186.64205508265613</v>
      </c>
      <c r="AJ43" s="144">
        <f t="shared" si="157"/>
        <v>5.7031931106843459E-2</v>
      </c>
      <c r="AK43" s="147">
        <f t="shared" ref="AK43" si="204">V43*1000</f>
        <v>1.1588482562016964</v>
      </c>
      <c r="AL43" s="147">
        <f t="shared" ref="AL43" si="205">AF43/Q43</f>
        <v>1.0000511710528133</v>
      </c>
      <c r="AM43" s="147">
        <f t="shared" ref="AM43" si="206">AL43*SQRT((R43/Q43)^2+(AG43/AF43)^2)</f>
        <v>2.5669052225243197E-3</v>
      </c>
      <c r="AN43" s="138">
        <f>AF43/Q43</f>
        <v>1.0000511710528133</v>
      </c>
      <c r="AO43" s="142">
        <f t="shared" ref="AO43" si="207">AN43*SQRT((R43/Q43)^2+(AG43/AF43)^2)</f>
        <v>2.5669052225243197E-3</v>
      </c>
      <c r="AP43" s="138" t="str">
        <f t="shared" ref="AP43" si="208">ThU_Alter_Kombi(AN43,U43)</f>
        <v>Out of range</v>
      </c>
      <c r="AQ43" s="138" t="e">
        <f t="shared" si="163"/>
        <v>#VALUE!</v>
      </c>
      <c r="AR43" s="138" t="e">
        <f>(AQ43/AP43)*100</f>
        <v>#VALUE!</v>
      </c>
      <c r="AS43" s="146">
        <f t="shared" si="164"/>
        <v>2.138747793104988E-5</v>
      </c>
      <c r="AT43" s="146">
        <f t="shared" si="165"/>
        <v>6.5440846336841069E-8</v>
      </c>
      <c r="AU43" s="138">
        <v>0.75</v>
      </c>
      <c r="AV43" s="138">
        <f t="shared" ref="AV43" si="209">AU43/2</f>
        <v>0.375</v>
      </c>
      <c r="AW43" s="138" t="str">
        <f t="shared" si="167"/>
        <v>Out of range</v>
      </c>
      <c r="AX43" s="148">
        <f t="shared" si="168"/>
        <v>351.41048907779998</v>
      </c>
      <c r="AY43" s="148" t="e">
        <f t="shared" si="169"/>
        <v>#VALUE!</v>
      </c>
      <c r="AZ43" s="149" t="e">
        <f t="shared" si="170"/>
        <v>#VALUE!</v>
      </c>
      <c r="BA43" s="138" t="str">
        <f>Input!B43</f>
        <v>Hu1-13</v>
      </c>
      <c r="BB43" s="150">
        <f>Input!E43</f>
        <v>0</v>
      </c>
      <c r="BC43" s="138" t="e">
        <f>((U43-1)*EXP(Constants!$B$17*AW43*1000))*1000</f>
        <v>#VALUE!</v>
      </c>
      <c r="BD43" s="144" t="e">
        <f>SQRT((EXP(Constants!$B$17*AW43*1000)*V43)^2+((U43-1)*Constants!$B$17*EXP(Constants!$B$17*AW43*1000)*AY43*1000)^2)*1000</f>
        <v>#VALUE!</v>
      </c>
      <c r="BE43" s="138" t="e">
        <f t="shared" si="171"/>
        <v>#VALUE!</v>
      </c>
      <c r="BF43" s="151" t="e">
        <f t="shared" si="172"/>
        <v>#VALUE!</v>
      </c>
      <c r="BG43" s="160" t="e">
        <f t="shared" si="173"/>
        <v>#VALUE!</v>
      </c>
      <c r="BH43" s="138"/>
      <c r="BI43" s="18"/>
      <c r="BJ43" s="18"/>
      <c r="BK43" s="18"/>
      <c r="BL43" s="18"/>
      <c r="BM43" s="18"/>
      <c r="BN43" s="159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</row>
    <row r="45" spans="1:110" ht="15" customHeight="1" x14ac:dyDescent="0.2">
      <c r="A45" s="138">
        <f>Input!A45</f>
        <v>10815</v>
      </c>
      <c r="B45" s="138" t="str">
        <f>Input!B45</f>
        <v>Hu1-13</v>
      </c>
      <c r="C45" s="138">
        <f>Input!O45</f>
        <v>2.0690310735154949</v>
      </c>
      <c r="D45" s="138">
        <f>C45*Input!P45/100</f>
        <v>2.3243480658761334E-2</v>
      </c>
      <c r="E45" s="139">
        <f>Input!M45</f>
        <v>2.7320361719978283</v>
      </c>
      <c r="F45" s="140">
        <f>E45*Input!N45/100</f>
        <v>3.90945276244312E-4</v>
      </c>
      <c r="G45" s="141">
        <f t="shared" ref="G45" si="210">E45*137.88</f>
        <v>376.69314739506058</v>
      </c>
      <c r="H45" s="140">
        <f>G45*Input!L45/100</f>
        <v>5.1441613603761295E-2</v>
      </c>
      <c r="I45" s="138">
        <v>0</v>
      </c>
      <c r="J45" s="142">
        <f>(((C45*Constants!$B$24*0.000000001*Input!G45*(Constants!$B$4/Constants!$B$3))-(I45*0.000000000000001))/Input!F45)*1000000000000</f>
        <v>746.99789452995503</v>
      </c>
      <c r="K45" s="138">
        <f>J45*Input!P45/100</f>
        <v>8.3917691405867707</v>
      </c>
      <c r="L45" s="143">
        <f>(J45/Constants!$B$4)*602200000000*Constants!$B$17/(365.2425*24*60)</f>
        <v>10.313135336833545</v>
      </c>
      <c r="M45" s="144">
        <f>L45*Input!P45/100</f>
        <v>0.11585769049160845</v>
      </c>
      <c r="N45" s="138">
        <v>0</v>
      </c>
      <c r="O45" s="142">
        <f>(((G45*Constants!$B$23*0.000000001*Input!G45*(Constants!$B$7/Constants!$B$6))-(N45*0.000000001))/Input!F45)*1000000</f>
        <v>13.700032109856787</v>
      </c>
      <c r="P45" s="138">
        <f>O45*Input!N45/100</f>
        <v>1.9604289623395819E-3</v>
      </c>
      <c r="Q45" s="145">
        <f>(O45/Constants!$B$7)*602200000000000000*Constants!$B$18/(365.2425*24*60)</f>
        <v>10.221878348821235</v>
      </c>
      <c r="R45" s="146">
        <f>Q45*Input!N45/100</f>
        <v>1.4627167443004286E-3</v>
      </c>
      <c r="S45" s="144">
        <f>Input!S45*Constants!$B$17/Constants!$B$18</f>
        <v>1.0002888494681057</v>
      </c>
      <c r="T45" s="138">
        <f>S45*Input!T45/100</f>
        <v>2.3760174189235801E-3</v>
      </c>
      <c r="U45" s="144">
        <f>S45</f>
        <v>1.0002888494681057</v>
      </c>
      <c r="V45" s="138">
        <f>U45*Input!T45/100</f>
        <v>2.3760174189235801E-3</v>
      </c>
      <c r="W45" s="147">
        <v>0</v>
      </c>
      <c r="X45" s="142">
        <f>(((Constants!$B$25*0.000000001*Input!G45/Input!W45*(Constants!$B$11/Constants!$B$9))-(W45*0.000000001))/Input!F45)*1000000000</f>
        <v>0.96730852134492029</v>
      </c>
      <c r="Y45" s="142">
        <f>X45*Input!X45/100</f>
        <v>5.7651845563179973E-3</v>
      </c>
      <c r="Z45" s="142">
        <f>(X45/Constants!$B$11)*6.022E+23*0.000000001*Constants!$B$19/(365.2425*24*60)</f>
        <v>2.3615128191705335E-4</v>
      </c>
      <c r="AA45" s="142">
        <f>Z45*Input!X45/100</f>
        <v>1.4074679312965851E-6</v>
      </c>
      <c r="AB45" s="143">
        <v>0</v>
      </c>
      <c r="AC45" s="143">
        <v>0.9</v>
      </c>
      <c r="AD45" s="142">
        <f>(((Input!G45*Constants!$B$25*0.000000001*Input!U45*(Constants!$B$10/Constants!$B$9))-((AB45*0.000000000000001)+(Input!G45*AC45*0.000000000000001)))/Input!F45)*1000000000000</f>
        <v>224.09215516512597</v>
      </c>
      <c r="AE45" s="142">
        <f>AD45*Input!V45/100</f>
        <v>0.99689020847050769</v>
      </c>
      <c r="AF45" s="142">
        <f>(AD45/Constants!$B$10)*602200000000*Constants!$B$16/(365.2425*24*60)</f>
        <v>10.228836220135227</v>
      </c>
      <c r="AG45" s="142">
        <f>AF45*Input!V45/100</f>
        <v>4.5503719951229177E-2</v>
      </c>
      <c r="AH45" s="138">
        <f t="shared" ref="AH45" si="211">AF45/Z45</f>
        <v>43314.76050901998</v>
      </c>
      <c r="AI45" s="147">
        <f t="shared" ref="AI45" si="212">AH45*SQRT((AG45/AF45)^2+(AA45/Z45)^2)</f>
        <v>322.13987109599321</v>
      </c>
      <c r="AJ45" s="144">
        <f t="shared" ref="AJ45:AJ53" si="213">(U45-1)*1000</f>
        <v>0.28884946810570078</v>
      </c>
      <c r="AK45" s="147">
        <f t="shared" ref="AK45" si="214">V45*1000</f>
        <v>2.3760174189235799</v>
      </c>
      <c r="AL45" s="147">
        <f t="shared" ref="AL45" si="215">AF45/Q45</f>
        <v>1.0006806842222686</v>
      </c>
      <c r="AM45" s="147">
        <f t="shared" ref="AM45" si="216">AL45*SQRT((R45/Q45)^2+(AG45/AF45)^2)</f>
        <v>4.4539030730577295E-3</v>
      </c>
      <c r="AN45" s="138">
        <f>AF45/Q45</f>
        <v>1.0006806842222686</v>
      </c>
      <c r="AO45" s="142">
        <f t="shared" ref="AO45" si="217">AN45*SQRT((R45/Q45)^2+(AG45/AF45)^2)</f>
        <v>4.4539030730577295E-3</v>
      </c>
      <c r="AP45" s="138" t="str">
        <f t="shared" ref="AP45" si="218">ThU_Alter_Kombi(AN45,U45)</f>
        <v>Out of range</v>
      </c>
      <c r="AQ45" s="138" t="e">
        <f t="shared" ref="AQ45:AQ53" si="219">Montealter(AN45,AO45,U45,V45)</f>
        <v>#VALUE!</v>
      </c>
      <c r="AR45" s="138" t="e">
        <f>(AQ45/AP45)*100</f>
        <v>#VALUE!</v>
      </c>
      <c r="AS45" s="146">
        <f t="shared" ref="AS45:AS53" si="220">Z45/Q45</f>
        <v>2.3102533004052607E-5</v>
      </c>
      <c r="AT45" s="146">
        <f t="shared" ref="AT45:AT53" si="221">AS45*SQRT((Y45/X45)^2+(P45/O45)^2)</f>
        <v>1.3773139272356942E-7</v>
      </c>
      <c r="AU45" s="138">
        <v>0.75</v>
      </c>
      <c r="AV45" s="138">
        <f t="shared" ref="AV45" si="222">AU45/2</f>
        <v>0.375</v>
      </c>
      <c r="AW45" s="138" t="str">
        <f t="shared" ref="AW45:AW53" si="223">marincorr_age(AN45,U45,AS45,AU45)</f>
        <v>Out of range</v>
      </c>
      <c r="AX45" s="148">
        <f t="shared" ref="AX45:AX53" si="224">marincorr_age_error(AN45, AO45, U45, V45, AS45, AT45, AU45, AV45)</f>
        <v>330.63900313400001</v>
      </c>
      <c r="AY45" s="148" t="e">
        <f t="shared" ref="AY45:AY53" si="225">SQRT(((AU45*EXP(-0.0000091577*AW45*1000))/(0.0000091577*(EXP(-0.0000091577*AW45*1000)+(AJ45/1000)*EXP(-(0.0000091577-0.0000028263)*AW45*1000)-AS45*AU45*EXP(-0.0000091577*AW45*1000))))^2*AT45^2+((AS45*EXP(-0.0000091577*AW45*1000))/(0.0000091577*(EXP(-0.0000091577*AW45*1000)+(AJ45/1000)*EXP(-(0.0000091577-0.0000028263)*AW45*1000)-AS45*AU45*EXP(-0.0000091577*AW45*1000))))^2*AV45^2+((0.0000091577/(0.0000091577-0.0000028263))*(EXP(-(0.0000091577-0.0000028263)*AW45*1000)-1)/(0.0000091577*(EXP(-0.0000091577*AW45*1000)+(AJ45/1000)*EXP(-(0.0000091577-0.0000028263)*AW45*1000)-AS45*AU45*EXP(-0.0000091577*AW45*1000))))^2*T45^2+(1/(0.0000091577*(EXP(-0.0000091577*AW45*1000)+(AJ45/1000)*EXP(-(0.0000091577-0.0000028263)*AW45*1000)-AS45*AU45*EXP(-0.0000091577*AW45*1000))))^2*AO45^2)/1000</f>
        <v>#VALUE!</v>
      </c>
      <c r="AZ45" s="149" t="e">
        <f t="shared" ref="AZ45:AZ53" si="226">AX45/AW45</f>
        <v>#VALUE!</v>
      </c>
      <c r="BA45" s="138" t="str">
        <f>Input!B45</f>
        <v>Hu1-13</v>
      </c>
      <c r="BB45" s="150">
        <f>Input!E45</f>
        <v>0</v>
      </c>
      <c r="BC45" s="138" t="e">
        <f>((U45-1)*EXP(Constants!$B$17*AW45*1000))*1000</f>
        <v>#VALUE!</v>
      </c>
      <c r="BD45" s="144" t="e">
        <f>SQRT((EXP(Constants!$B$17*AW45*1000)*V45)^2+((U45-1)*Constants!$B$17*EXP(Constants!$B$17*AW45*1000)*AY45*1000)^2)*1000</f>
        <v>#VALUE!</v>
      </c>
      <c r="BE45" s="138" t="e">
        <f t="shared" ref="BE45:BE53" si="227">AW45*1000-58</f>
        <v>#VALUE!</v>
      </c>
      <c r="BF45" s="151" t="e">
        <f t="shared" ref="BF45:BF53" si="228">AY45/2*1000</f>
        <v>#VALUE!</v>
      </c>
      <c r="BG45" s="160" t="e">
        <f t="shared" ref="BG45:BG53" si="229">AY45/AW45*100</f>
        <v>#VALUE!</v>
      </c>
      <c r="BH45" s="138"/>
      <c r="BI45" s="18"/>
      <c r="BJ45" s="18"/>
      <c r="BK45" s="18"/>
      <c r="BL45" s="18"/>
      <c r="BM45" s="18"/>
      <c r="BN45" s="159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</row>
    <row r="46" spans="1:110" ht="15" customHeight="1" x14ac:dyDescent="0.2">
      <c r="A46" s="18">
        <f>Input!A46</f>
        <v>10929</v>
      </c>
      <c r="B46" s="18" t="str">
        <f>Input!B46</f>
        <v>CSM_1779</v>
      </c>
      <c r="C46" s="18">
        <f>Input!O46</f>
        <v>4.0721257717374604</v>
      </c>
      <c r="D46" s="18">
        <f>C46*Input!P46/100</f>
        <v>2.5281680667020873E-2</v>
      </c>
      <c r="E46" s="152">
        <f>Input!M46</f>
        <v>4.6038256223326295</v>
      </c>
      <c r="F46" s="153">
        <f>E46*Input!N46/100</f>
        <v>5.2820268925868796E-4</v>
      </c>
      <c r="G46" s="21">
        <f>E46*137.88</f>
        <v>634.77547680722296</v>
      </c>
      <c r="H46" s="153">
        <f>G46*Input!L46/100</f>
        <v>0.20354599362648026</v>
      </c>
      <c r="I46" s="18">
        <v>0.3</v>
      </c>
      <c r="J46" s="129">
        <f>(((C46*Constants!$B$24*0.000000001*Input!G46*(Constants!$B$4/Constants!$B$3))-(I46*0.000000000000001))/Input!F46)*1000000000000</f>
        <v>164.0770426730258</v>
      </c>
      <c r="K46" s="18">
        <f>J46*Input!P46/100</f>
        <v>1.0186677991231838</v>
      </c>
      <c r="L46" s="134">
        <f>(J46/Constants!$B$4)*602200000000*Constants!$B$17/(365.2425*24*60)</f>
        <v>2.2652657512764534</v>
      </c>
      <c r="M46" s="132">
        <f>L46*Input!P46/100</f>
        <v>1.4063840008869632E-2</v>
      </c>
      <c r="N46" s="18">
        <v>5.0000000000000001E-3</v>
      </c>
      <c r="O46" s="129">
        <f>(((G46*Constants!$B$23*0.000000001*Input!G46*(Constants!$B$7/Constants!$B$6))-(N46*0.000000001))/Input!F46)*1000000</f>
        <v>2.5764858698788724</v>
      </c>
      <c r="P46" s="18">
        <f>O46*Input!N46/100</f>
        <v>2.956034561138519E-4</v>
      </c>
      <c r="Q46" s="130">
        <f>(O46/Constants!$B$7)*602200000000000000*Constants!$B$18/(365.2425*24*60)</f>
        <v>1.922369591412147</v>
      </c>
      <c r="R46" s="131">
        <f>Q46*Input!N46/100</f>
        <v>2.2055587488097476E-4</v>
      </c>
      <c r="S46" s="132">
        <f>Input!S46*Constants!$B$17/Constants!$B$18</f>
        <v>1.1468932120552884</v>
      </c>
      <c r="T46" s="18">
        <f>S46*Input!T46/100</f>
        <v>9.6618661101723546E-4</v>
      </c>
      <c r="U46" s="18">
        <f>S46*1/((U45+U47)/2)</f>
        <v>1.1467064382841339</v>
      </c>
      <c r="V46" s="18">
        <f>U46*Input!T46/100</f>
        <v>9.6602926566451922E-4</v>
      </c>
      <c r="W46" s="133">
        <v>3.0000000000000001E-3</v>
      </c>
      <c r="X46" s="129">
        <f>IF((((Constants!$B$25*0.000000001*Input!G46/Input!W46*(Constants!$B$11/Constants!$B$9))-(W46*0.000000001))/Input!F46)*1000000000&lt;0, "n.d.", (((Constants!$B$25*0.000000001*Input!G46/Input!W46*(Constants!$B$11/Constants!$B$9))-(W46*0.000000001))/Input!F46)*1000000000)</f>
        <v>2.2835160186741321E-2</v>
      </c>
      <c r="Y46" s="129">
        <f>X46*Input!X46/100</f>
        <v>3.0993590292964203E-4</v>
      </c>
      <c r="Z46" s="129">
        <f>(X46/Constants!$B$11)*6.022E+23*0.000000001*Constants!$B$19/(365.2425*24*60)</f>
        <v>5.5748008333293268E-6</v>
      </c>
      <c r="AA46" s="129">
        <f>Z46*Input!X46/100</f>
        <v>7.5665373739487436E-8</v>
      </c>
      <c r="AB46" s="134">
        <v>0.05</v>
      </c>
      <c r="AC46" s="134">
        <v>0.9</v>
      </c>
      <c r="AD46" s="129">
        <f>(((Input!G46*Constants!$B$25*0.000000001*Input!U46*(Constants!$B$10/Constants!$B$9))-((AB46*0.000000000000001)+(Input!G46*AC46*0.000000000000001)))/Input!F46)*1000000000000</f>
        <v>0.14691564646213168</v>
      </c>
      <c r="AE46" s="129">
        <f>AD46*Input!V46/100</f>
        <v>3.6017459264898054E-3</v>
      </c>
      <c r="AF46" s="129">
        <f>(AD46/Constants!$B$10)*602200000000*Constants!$B$16/(365.2425*24*60)</f>
        <v>6.7060628906401897E-3</v>
      </c>
      <c r="AG46" s="129">
        <f>AF46*Input!V46/100</f>
        <v>1.6440410045347661E-4</v>
      </c>
      <c r="AH46" s="18">
        <f>AF46/Z46</f>
        <v>1202.9242104126008</v>
      </c>
      <c r="AI46" s="133">
        <f>AH46*SQRT((AG46/AF46)^2+(AA46/Z46)^2)</f>
        <v>33.708526617367205</v>
      </c>
      <c r="AJ46" s="132">
        <f t="shared" si="213"/>
        <v>146.70643828413387</v>
      </c>
      <c r="AK46" s="133">
        <f>V46*1000</f>
        <v>0.96602926566451919</v>
      </c>
      <c r="AL46" s="133">
        <f>AF46/Q46</f>
        <v>3.4884357933034123E-3</v>
      </c>
      <c r="AM46" s="133">
        <f>AL46*SQRT((R46/Q46)^2+(AG46/AF46)^2)</f>
        <v>8.5522524661505809E-5</v>
      </c>
      <c r="AN46" s="18">
        <f>AL46*1/((AN45+AN47)/2)</f>
        <v>3.486318685116088E-3</v>
      </c>
      <c r="AO46" s="129">
        <f>AN46*SQRT((R46/Q46)^2+(AG46/AF46)^2)</f>
        <v>8.5470621617307873E-5</v>
      </c>
      <c r="AP46" s="18">
        <f>ThU_Alter_Kombi(AN46,U46)</f>
        <v>0.33200000000000002</v>
      </c>
      <c r="AQ46" s="18">
        <f t="shared" si="219"/>
        <v>8.5000000000000006E-3</v>
      </c>
      <c r="AR46" s="154">
        <f>(AQ46/AP46)</f>
        <v>2.5602409638554216E-2</v>
      </c>
      <c r="AS46" s="131">
        <f t="shared" si="220"/>
        <v>2.8999630759005881E-6</v>
      </c>
      <c r="AT46" s="131">
        <f t="shared" si="221"/>
        <v>3.9361877827271638E-8</v>
      </c>
      <c r="AU46" s="18">
        <v>8</v>
      </c>
      <c r="AV46" s="18">
        <f>AU46/2</f>
        <v>4</v>
      </c>
      <c r="AW46" s="18">
        <f t="shared" si="223"/>
        <v>0.32979999999999998</v>
      </c>
      <c r="AX46" s="135">
        <f t="shared" si="224"/>
        <v>8.4745714999999999E-3</v>
      </c>
      <c r="AY46" s="135">
        <f t="shared" si="225"/>
        <v>8.2420880833175263E-3</v>
      </c>
      <c r="AZ46" s="154">
        <f t="shared" si="226"/>
        <v>2.5696093086719225E-2</v>
      </c>
      <c r="BA46" s="18" t="str">
        <f>Input!B46</f>
        <v>CSM_1779</v>
      </c>
      <c r="BB46" s="136">
        <f>Input!E46</f>
        <v>0</v>
      </c>
      <c r="BC46" s="18">
        <f>((U46-1)*EXP(Constants!$B$17*AW46*1000))*1000</f>
        <v>146.84304378432313</v>
      </c>
      <c r="BD46" s="132">
        <f>SQRT((EXP(Constants!$B$17*AW46*1000)*V46)^2+((U46-1)*Constants!$B$17*EXP(Constants!$B$17*AW46*1000)*AY46*1000)^2)*1000</f>
        <v>0.96693481486858213</v>
      </c>
      <c r="BE46" s="18">
        <f t="shared" si="227"/>
        <v>271.79999999999995</v>
      </c>
      <c r="BF46" s="137">
        <f t="shared" si="228"/>
        <v>4.121044041658763</v>
      </c>
      <c r="BG46" s="20">
        <f t="shared" si="229"/>
        <v>2.4991170658937314</v>
      </c>
      <c r="BH46" s="18"/>
      <c r="BI46" s="18"/>
      <c r="BJ46" s="18"/>
      <c r="BK46" s="18"/>
      <c r="BL46" s="18"/>
      <c r="BM46" s="18"/>
      <c r="BN46" s="159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</row>
    <row r="47" spans="1:110" ht="15" customHeight="1" x14ac:dyDescent="0.2">
      <c r="A47" s="138">
        <f>Input!A47</f>
        <v>10815</v>
      </c>
      <c r="B47" s="138" t="str">
        <f>Input!B47</f>
        <v>Hu1-13</v>
      </c>
      <c r="C47" s="138">
        <f>Input!O47</f>
        <v>2.0680654794813131</v>
      </c>
      <c r="D47" s="138">
        <f>C47*Input!P47/100</f>
        <v>1.8297200793961393E-2</v>
      </c>
      <c r="E47" s="139">
        <f>Input!M47</f>
        <v>2.7319804941197923</v>
      </c>
      <c r="F47" s="140">
        <f>E47*Input!N47/100</f>
        <v>3.624035198833759E-4</v>
      </c>
      <c r="G47" s="141">
        <f t="shared" ref="G47" si="230">E47*137.88</f>
        <v>376.68547052923697</v>
      </c>
      <c r="H47" s="140">
        <f>G47*Input!L47/100</f>
        <v>2.95049507909102E-2</v>
      </c>
      <c r="I47" s="138">
        <v>0</v>
      </c>
      <c r="J47" s="142">
        <f>(((C47*Constants!$B$24*0.000000001*Input!G47*(Constants!$B$4/Constants!$B$3))-(I47*0.000000000000001))/Input!F47)*1000000000000</f>
        <v>746.64927883261873</v>
      </c>
      <c r="K47" s="138">
        <f>J47*Input!P47/100</f>
        <v>6.6059764127455605</v>
      </c>
      <c r="L47" s="143">
        <f>(J47/Constants!$B$4)*602200000000*Constants!$B$17/(365.2425*24*60)</f>
        <v>10.308322310058633</v>
      </c>
      <c r="M47" s="144">
        <f>L47*Input!P47/100</f>
        <v>9.1202839091594171E-2</v>
      </c>
      <c r="N47" s="138">
        <v>0</v>
      </c>
      <c r="O47" s="142">
        <f>(((G47*Constants!$B$23*0.000000001*Input!G47*(Constants!$B$7/Constants!$B$6))-(N47*0.000000001))/Input!F47)*1000000</f>
        <v>13.699752908313</v>
      </c>
      <c r="P47" s="138">
        <f>O47*Input!N47/100</f>
        <v>1.8173038519825712E-3</v>
      </c>
      <c r="Q47" s="145">
        <f>(O47/Constants!$B$7)*602200000000000000*Constants!$B$18/(365.2425*24*60)</f>
        <v>10.22167003075362</v>
      </c>
      <c r="R47" s="146">
        <f>Q47*Input!N47/100</f>
        <v>1.3559281284052599E-3</v>
      </c>
      <c r="S47" s="144">
        <f>Input!S47*Constants!$B$17/Constants!$B$18</f>
        <v>1.0000369074386646</v>
      </c>
      <c r="T47" s="138">
        <f>S47*Input!T47/100</f>
        <v>1.5847350839424176E-3</v>
      </c>
      <c r="U47" s="144">
        <f>S47</f>
        <v>1.0000369074386646</v>
      </c>
      <c r="V47" s="138">
        <f>U47*Input!T47/100</f>
        <v>1.5847350839424176E-3</v>
      </c>
      <c r="W47" s="147">
        <v>0</v>
      </c>
      <c r="X47" s="142">
        <f>(((Constants!$B$25*0.000000001*Input!G47/Input!W47*(Constants!$B$11/Constants!$B$9))-(W47*0.000000001))/Input!F47)*1000000000</f>
        <v>0.96449011187312872</v>
      </c>
      <c r="Y47" s="142">
        <f>X47*Input!X47/100</f>
        <v>4.9870676926998033E-3</v>
      </c>
      <c r="Z47" s="142">
        <f>(X47/Constants!$B$11)*6.022E+23*0.000000001*Constants!$B$19/(365.2425*24*60)</f>
        <v>2.3546321704938792E-4</v>
      </c>
      <c r="AA47" s="142">
        <f>Z47*Input!X47/100</f>
        <v>1.2175044493567916E-6</v>
      </c>
      <c r="AB47" s="143">
        <v>0</v>
      </c>
      <c r="AC47" s="143">
        <v>0.9</v>
      </c>
      <c r="AD47" s="142">
        <f>(((Input!G47*Constants!$B$25*0.000000001*Input!U47*(Constants!$B$10/Constants!$B$9))-((AB47*0.000000000000001)+(Input!G47*AC47*0.000000000000001)))/Input!F47)*1000000000000</f>
        <v>224.0547045304684</v>
      </c>
      <c r="AE47" s="142">
        <f>AD47*Input!V47/100</f>
        <v>0.66916620384321035</v>
      </c>
      <c r="AF47" s="142">
        <f>(AD47/Constants!$B$10)*602200000000*Constants!$B$16/(365.2425*24*60)</f>
        <v>10.227126760881866</v>
      </c>
      <c r="AG47" s="142">
        <f>AF47*Input!V47/100</f>
        <v>3.054453868819337E-2</v>
      </c>
      <c r="AH47" s="138">
        <f t="shared" ref="AH47" si="231">AF47/Z47</f>
        <v>43434.073861042794</v>
      </c>
      <c r="AI47" s="147">
        <f t="shared" ref="AI47" si="232">AH47*SQRT((AG47/AF47)^2+(AA47/Z47)^2)</f>
        <v>259.3556434277329</v>
      </c>
      <c r="AJ47" s="144">
        <f t="shared" si="213"/>
        <v>3.6907438664579573E-2</v>
      </c>
      <c r="AK47" s="147">
        <f t="shared" ref="AK47" si="233">V47*1000</f>
        <v>1.5847350839424175</v>
      </c>
      <c r="AL47" s="147">
        <f t="shared" ref="AL47" si="234">AF47/Q47</f>
        <v>1.0005338393933505</v>
      </c>
      <c r="AM47" s="147">
        <f t="shared" ref="AM47" si="235">AL47*SQRT((R47/Q47)^2+(AG47/AF47)^2)</f>
        <v>2.9911601492320292E-3</v>
      </c>
      <c r="AN47" s="138">
        <f>AF47/Q47</f>
        <v>1.0005338393933505</v>
      </c>
      <c r="AO47" s="142">
        <f t="shared" ref="AO47" si="236">AN47*SQRT((R47/Q47)^2+(AG47/AF47)^2)</f>
        <v>2.9911601492320292E-3</v>
      </c>
      <c r="AP47" s="138" t="str">
        <f t="shared" ref="AP47" si="237">ThU_Alter_Kombi(AN47,U47)</f>
        <v>Out of range</v>
      </c>
      <c r="AQ47" s="138" t="e">
        <f t="shared" si="219"/>
        <v>#VALUE!</v>
      </c>
      <c r="AR47" s="138" t="e">
        <f>(AQ47/AP47)*100</f>
        <v>#VALUE!</v>
      </c>
      <c r="AS47" s="146">
        <f t="shared" si="220"/>
        <v>2.3035689504841879E-5</v>
      </c>
      <c r="AT47" s="146">
        <f t="shared" si="221"/>
        <v>1.1914932091153239E-7</v>
      </c>
      <c r="AU47" s="138">
        <v>0.75</v>
      </c>
      <c r="AV47" s="138">
        <f t="shared" ref="AV47" si="238">AU47/2</f>
        <v>0.375</v>
      </c>
      <c r="AW47" s="138" t="str">
        <f t="shared" si="223"/>
        <v>Out of range</v>
      </c>
      <c r="AX47" s="148">
        <f t="shared" si="224"/>
        <v>344.33247331780001</v>
      </c>
      <c r="AY47" s="148" t="e">
        <f t="shared" si="225"/>
        <v>#VALUE!</v>
      </c>
      <c r="AZ47" s="149" t="e">
        <f t="shared" si="226"/>
        <v>#VALUE!</v>
      </c>
      <c r="BA47" s="138" t="str">
        <f>Input!B47</f>
        <v>Hu1-13</v>
      </c>
      <c r="BB47" s="150">
        <f>Input!E47</f>
        <v>0</v>
      </c>
      <c r="BC47" s="138" t="e">
        <f>((U47-1)*EXP(Constants!$B$17*AW47*1000))*1000</f>
        <v>#VALUE!</v>
      </c>
      <c r="BD47" s="144" t="e">
        <f>SQRT((EXP(Constants!$B$17*AW47*1000)*V47)^2+((U47-1)*Constants!$B$17*EXP(Constants!$B$17*AW47*1000)*AY47*1000)^2)*1000</f>
        <v>#VALUE!</v>
      </c>
      <c r="BE47" s="138" t="e">
        <f t="shared" si="227"/>
        <v>#VALUE!</v>
      </c>
      <c r="BF47" s="151" t="e">
        <f t="shared" si="228"/>
        <v>#VALUE!</v>
      </c>
      <c r="BG47" s="160" t="e">
        <f t="shared" si="229"/>
        <v>#VALUE!</v>
      </c>
      <c r="BH47" s="138"/>
      <c r="BI47" s="18"/>
      <c r="BJ47" s="18"/>
      <c r="BK47" s="18"/>
      <c r="BL47" s="18"/>
      <c r="BM47" s="18"/>
      <c r="BN47" s="159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</row>
    <row r="48" spans="1:110" ht="15" customHeight="1" x14ac:dyDescent="0.2">
      <c r="A48" s="18">
        <f>Input!A48</f>
        <v>10930</v>
      </c>
      <c r="B48" s="18" t="str">
        <f>Input!B48</f>
        <v>CSM_1781</v>
      </c>
      <c r="C48" s="18">
        <f>Input!O48</f>
        <v>4.0362828166898845</v>
      </c>
      <c r="D48" s="18">
        <f>C48*Input!P48/100</f>
        <v>3.6324777908727533E-2</v>
      </c>
      <c r="E48" s="152">
        <f>Input!M48</f>
        <v>4.6035572726056984</v>
      </c>
      <c r="F48" s="153">
        <f>E48*Input!N48/100</f>
        <v>5.4401590917905595E-4</v>
      </c>
      <c r="G48" s="21">
        <f>E48*137.88</f>
        <v>634.73847674687363</v>
      </c>
      <c r="H48" s="153">
        <f>G48*Input!L48/100</f>
        <v>0.15434993410135969</v>
      </c>
      <c r="I48" s="18">
        <v>0.3</v>
      </c>
      <c r="J48" s="129">
        <f>(((C48*Constants!$B$24*0.000000001*Input!G48*(Constants!$B$4/Constants!$B$3))-(I48*0.000000000000001))/Input!F48)*1000000000000</f>
        <v>159.8843779404697</v>
      </c>
      <c r="K48" s="18">
        <f>J48*Input!P48/100</f>
        <v>1.4388893899475328</v>
      </c>
      <c r="L48" s="134">
        <f>(J48/Constants!$B$4)*602200000000*Constants!$B$17/(365.2425*24*60)</f>
        <v>2.2073813594656464</v>
      </c>
      <c r="M48" s="132">
        <f>L48*Input!P48/100</f>
        <v>1.9865465648468025E-2</v>
      </c>
      <c r="N48" s="18">
        <v>5.0000000000000001E-3</v>
      </c>
      <c r="O48" s="129">
        <f>(((G48*Constants!$B$23*0.000000001*Input!G48*(Constants!$B$7/Constants!$B$6))-(N48*0.000000001))/Input!F48)*1000000</f>
        <v>2.5327967269574465</v>
      </c>
      <c r="P48" s="18">
        <f>O48*Input!N48/100</f>
        <v>2.9930804214836799E-4</v>
      </c>
      <c r="Q48" s="130">
        <f>(O48/Constants!$B$7)*602200000000000000*Constants!$B$18/(365.2425*24*60)</f>
        <v>1.8897722149588629</v>
      </c>
      <c r="R48" s="131">
        <f>Q48*Input!N48/100</f>
        <v>2.2331994342285214E-4</v>
      </c>
      <c r="S48" s="132">
        <f>Input!S48*Constants!$B$17/Constants!$B$18</f>
        <v>1.1462736441053691</v>
      </c>
      <c r="T48" s="18">
        <f>S48*Input!T48/100</f>
        <v>1.0413677218977548E-3</v>
      </c>
      <c r="U48" s="18">
        <f>S48*1/((U47+U49)/2)</f>
        <v>1.1459340029633103</v>
      </c>
      <c r="V48" s="18">
        <f>U48*Input!T48/100</f>
        <v>1.0410591644043608E-3</v>
      </c>
      <c r="W48" s="133">
        <v>3.0000000000000001E-3</v>
      </c>
      <c r="X48" s="129">
        <f>IF((((Constants!$B$25*0.000000001*Input!G48/Input!W48*(Constants!$B$11/Constants!$B$9))-(W48*0.000000001))/Input!F48)*1000000000&lt;0, "n.d.", (((Constants!$B$25*0.000000001*Input!G48/Input!W48*(Constants!$B$11/Constants!$B$9))-(W48*0.000000001))/Input!F48)*1000000000)</f>
        <v>5.5013428300199514E-2</v>
      </c>
      <c r="Y48" s="129">
        <f>X48*Input!X48/100</f>
        <v>3.1714191246577032E-4</v>
      </c>
      <c r="Z48" s="129">
        <f>(X48/Constants!$B$11)*6.022E+23*0.000000001*Constants!$B$19/(365.2425*24*60)</f>
        <v>1.3430556362390966E-5</v>
      </c>
      <c r="AA48" s="129">
        <f>Z48*Input!X48/100</f>
        <v>7.7424593628398602E-8</v>
      </c>
      <c r="AB48" s="134">
        <v>0.05</v>
      </c>
      <c r="AC48" s="134">
        <v>0.9</v>
      </c>
      <c r="AD48" s="129">
        <f>(((Input!G48*Constants!$B$25*0.000000001*Input!U48*(Constants!$B$10/Constants!$B$9))-((AB48*0.000000000000001)+(Input!G48*AC48*0.000000000000001)))/Input!F48)*1000000000000</f>
        <v>0.14289697644544486</v>
      </c>
      <c r="AE48" s="129">
        <f>AD48*Input!V48/100</f>
        <v>3.0839966591513701E-3</v>
      </c>
      <c r="AF48" s="129">
        <f>(AD48/Constants!$B$10)*602200000000*Constants!$B$16/(365.2425*24*60)</f>
        <v>6.5226280113907676E-3</v>
      </c>
      <c r="AG48" s="129">
        <f>AF48*Input!V48/100</f>
        <v>1.4077108904887194E-4</v>
      </c>
      <c r="AH48" s="18">
        <f>AF48/Z48</f>
        <v>485.65583103137965</v>
      </c>
      <c r="AI48" s="133">
        <f>AH48*SQRT((AG48/AF48)^2+(AA48/Z48)^2)</f>
        <v>10.848881347599139</v>
      </c>
      <c r="AJ48" s="132">
        <f t="shared" si="213"/>
        <v>145.93400296331026</v>
      </c>
      <c r="AK48" s="133">
        <f>V48*1000</f>
        <v>1.0410591644043607</v>
      </c>
      <c r="AL48" s="133">
        <f>AF48/Q48</f>
        <v>3.4515419158772814E-3</v>
      </c>
      <c r="AM48" s="133">
        <f>AL48*SQRT((R48/Q48)^2+(AG48/AF48)^2)</f>
        <v>7.4492152116490849E-5</v>
      </c>
      <c r="AN48" s="18">
        <f>AL48*1/((AN47+AN49)/2)</f>
        <v>3.454968067591423E-3</v>
      </c>
      <c r="AO48" s="129">
        <f>AN48*SQRT((R48/Q48)^2+(AG48/AF48)^2)</f>
        <v>7.4566096290104963E-5</v>
      </c>
      <c r="AP48" s="18">
        <f>ThU_Alter_Kombi(AN48,U48)</f>
        <v>0.32919999999999999</v>
      </c>
      <c r="AQ48" s="18">
        <f t="shared" si="219"/>
        <v>7.3000000000000001E-3</v>
      </c>
      <c r="AR48" s="154">
        <f>(AQ48/AP48)</f>
        <v>2.2174969623329283E-2</v>
      </c>
      <c r="AS48" s="131">
        <f t="shared" si="220"/>
        <v>7.1069710180299828E-6</v>
      </c>
      <c r="AT48" s="131">
        <f t="shared" si="221"/>
        <v>4.0978938411538342E-8</v>
      </c>
      <c r="AU48" s="18">
        <v>8</v>
      </c>
      <c r="AV48" s="18">
        <f>AU48/2</f>
        <v>4</v>
      </c>
      <c r="AW48" s="18">
        <f t="shared" si="223"/>
        <v>0.32379999999999998</v>
      </c>
      <c r="AX48" s="135">
        <f t="shared" si="224"/>
        <v>8.0427828000000003E-3</v>
      </c>
      <c r="AY48" s="135">
        <f t="shared" si="225"/>
        <v>7.6293539359477015E-3</v>
      </c>
      <c r="AZ48" s="154">
        <f t="shared" si="226"/>
        <v>2.4838736256948737E-2</v>
      </c>
      <c r="BA48" s="18" t="str">
        <f>Input!B48</f>
        <v>CSM_1781</v>
      </c>
      <c r="BB48" s="136">
        <f>Input!E48</f>
        <v>0</v>
      </c>
      <c r="BC48" s="18">
        <f>((U48-1)*EXP(Constants!$B$17*AW48*1000))*1000</f>
        <v>146.06741592439275</v>
      </c>
      <c r="BD48" s="132">
        <f>SQRT((EXP(Constants!$B$17*AW48*1000)*V48)^2+((U48-1)*Constants!$B$17*EXP(Constants!$B$17*AW48*1000)*AY48*1000)^2)*1000</f>
        <v>1.042015647196388</v>
      </c>
      <c r="BE48" s="18">
        <f t="shared" si="227"/>
        <v>265.79999999999995</v>
      </c>
      <c r="BF48" s="137">
        <f t="shared" si="228"/>
        <v>3.8146769679738508</v>
      </c>
      <c r="BG48" s="20">
        <f t="shared" si="229"/>
        <v>2.356193309434127</v>
      </c>
      <c r="BH48" s="18"/>
      <c r="BI48" s="18"/>
      <c r="BJ48" s="18"/>
      <c r="BK48" s="18"/>
      <c r="BL48" s="18"/>
      <c r="BM48" s="18"/>
      <c r="BN48" s="159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</row>
    <row r="49" spans="1:110" ht="15" customHeight="1" x14ac:dyDescent="0.2">
      <c r="A49" s="138">
        <f>Input!A49</f>
        <v>10815</v>
      </c>
      <c r="B49" s="138" t="str">
        <f>Input!B49</f>
        <v>Hu1-13</v>
      </c>
      <c r="C49" s="138">
        <f>Input!O49</f>
        <v>2.060877777041259</v>
      </c>
      <c r="D49" s="138">
        <f>C49*Input!P49/100</f>
        <v>1.7876304052151418E-2</v>
      </c>
      <c r="E49" s="139">
        <f>Input!M49</f>
        <v>2.7318154189471153</v>
      </c>
      <c r="F49" s="140">
        <f>E49*Input!N49/100</f>
        <v>2.894951967179075E-4</v>
      </c>
      <c r="G49" s="141">
        <f t="shared" ref="G49" si="239">E49*137.88</f>
        <v>376.66270996442825</v>
      </c>
      <c r="H49" s="140">
        <f>G49*Input!L49/100</f>
        <v>2.6965783140450207E-2</v>
      </c>
      <c r="I49" s="138">
        <v>0</v>
      </c>
      <c r="J49" s="142">
        <f>(((C49*Constants!$B$24*0.000000001*Input!G49*(Constants!$B$4/Constants!$B$3))-(I49*0.000000000000001))/Input!F49)*1000000000000</f>
        <v>744.05424840607941</v>
      </c>
      <c r="K49" s="138">
        <f>J49*Input!P49/100</f>
        <v>6.4540168873565325</v>
      </c>
      <c r="L49" s="143">
        <f>(J49/Constants!$B$4)*602200000000*Constants!$B$17/(365.2425*24*60)</f>
        <v>10.272495033719466</v>
      </c>
      <c r="M49" s="144">
        <f>L49*Input!P49/100</f>
        <v>8.9104869120682564E-2</v>
      </c>
      <c r="N49" s="138">
        <v>0</v>
      </c>
      <c r="O49" s="142">
        <f>(((G49*Constants!$B$23*0.000000001*Input!G49*(Constants!$B$7/Constants!$B$6))-(N49*0.000000001))/Input!F49)*1000000</f>
        <v>13.698925124556183</v>
      </c>
      <c r="P49" s="138">
        <f>O49*Input!N49/100</f>
        <v>1.4516987481115213E-3</v>
      </c>
      <c r="Q49" s="145">
        <f>(O49/Constants!$B$7)*602200000000000000*Constants!$B$18/(365.2425*24*60)</f>
        <v>10.221052404109136</v>
      </c>
      <c r="R49" s="146">
        <f>Q49*Input!N49/100</f>
        <v>1.083142571005782E-3</v>
      </c>
      <c r="S49" s="144">
        <f>Input!S49*Constants!$B$17/Constants!$B$18</f>
        <v>1.000555868656958</v>
      </c>
      <c r="T49" s="138">
        <f>S49*Input!T49/100</f>
        <v>1.7065846514787201E-3</v>
      </c>
      <c r="U49" s="144">
        <f>S49</f>
        <v>1.000555868656958</v>
      </c>
      <c r="V49" s="138">
        <f>U49*Input!T49/100</f>
        <v>1.7065846514787201E-3</v>
      </c>
      <c r="W49" s="147">
        <v>0</v>
      </c>
      <c r="X49" s="142">
        <f>(((Constants!$B$25*0.000000001*Input!G49/Input!W49*(Constants!$B$11/Constants!$B$9))-(W49*0.000000001))/Input!F49)*1000000000</f>
        <v>0.95989985722327131</v>
      </c>
      <c r="Y49" s="142">
        <f>X49*Input!X49/100</f>
        <v>5.1873801485708979E-3</v>
      </c>
      <c r="Z49" s="142">
        <f>(X49/Constants!$B$11)*6.022E+23*0.000000001*Constants!$B$19/(365.2425*24*60)</f>
        <v>2.3434258749225104E-4</v>
      </c>
      <c r="AA49" s="142">
        <f>Z49*Input!X49/100</f>
        <v>1.266407195682382E-6</v>
      </c>
      <c r="AB49" s="143">
        <v>0</v>
      </c>
      <c r="AC49" s="143">
        <v>0.9</v>
      </c>
      <c r="AD49" s="142">
        <f>(((Input!G49*Constants!$B$25*0.000000001*Input!U49*(Constants!$B$10/Constants!$B$9))-((AB49*0.000000000000001)+(Input!G49*AC49*0.000000000000001)))/Input!F49)*1000000000000</f>
        <v>223.35798204720035</v>
      </c>
      <c r="AE49" s="142">
        <f>AD49*Input!V49/100</f>
        <v>0.93752550928486822</v>
      </c>
      <c r="AF49" s="142">
        <f>(AD49/Constants!$B$10)*602200000000*Constants!$B$16/(365.2425*24*60)</f>
        <v>10.195324397398938</v>
      </c>
      <c r="AG49" s="142">
        <f>AF49*Input!V49/100</f>
        <v>4.2793978573713976E-2</v>
      </c>
      <c r="AH49" s="138">
        <f t="shared" ref="AH49" si="240">AF49/Z49</f>
        <v>43506.067362749694</v>
      </c>
      <c r="AI49" s="147">
        <f t="shared" ref="AI49" si="241">AH49*SQRT((AG49/AF49)^2+(AA49/Z49)^2)</f>
        <v>297.6985130541359</v>
      </c>
      <c r="AJ49" s="144">
        <f t="shared" si="213"/>
        <v>0.55586865695800292</v>
      </c>
      <c r="AK49" s="147">
        <f t="shared" ref="AK49" si="242">V49*1000</f>
        <v>1.70658465147872</v>
      </c>
      <c r="AL49" s="147">
        <f t="shared" ref="AL49" si="243">AF49/Q49</f>
        <v>0.99748284171795709</v>
      </c>
      <c r="AM49" s="147">
        <f t="shared" ref="AM49" si="244">AL49*SQRT((R49/Q49)^2+(AG49/AF49)^2)</f>
        <v>4.1881807565490748E-3</v>
      </c>
      <c r="AN49" s="138">
        <f>AF49/Q49</f>
        <v>0.99748284171795709</v>
      </c>
      <c r="AO49" s="142">
        <f t="shared" ref="AO49" si="245">AN49*SQRT((R49/Q49)^2+(AG49/AF49)^2)</f>
        <v>4.1881807565490748E-3</v>
      </c>
      <c r="AP49" s="138">
        <f t="shared" ref="AP49" si="246">ThU_Alter_Kombi(AN49,U49)</f>
        <v>622.91</v>
      </c>
      <c r="AQ49" s="138" t="e">
        <f t="shared" si="219"/>
        <v>#VALUE!</v>
      </c>
      <c r="AR49" s="138" t="e">
        <f>(AQ49/AP49)*100</f>
        <v>#VALUE!</v>
      </c>
      <c r="AS49" s="146">
        <f t="shared" si="220"/>
        <v>2.2927442128957197E-5</v>
      </c>
      <c r="AT49" s="146">
        <f t="shared" si="221"/>
        <v>1.2392565961512274E-7</v>
      </c>
      <c r="AU49" s="138">
        <v>0.75</v>
      </c>
      <c r="AV49" s="138">
        <f t="shared" ref="AV49" si="247">AU49/2</f>
        <v>0.375</v>
      </c>
      <c r="AW49" s="138">
        <f t="shared" si="223"/>
        <v>622.90809999999999</v>
      </c>
      <c r="AX49" s="148">
        <f t="shared" si="224"/>
        <v>288.82743876019998</v>
      </c>
      <c r="AY49" s="148">
        <f t="shared" si="225"/>
        <v>158.05909201862568</v>
      </c>
      <c r="AZ49" s="149">
        <f t="shared" si="226"/>
        <v>0.46367584361192282</v>
      </c>
      <c r="BA49" s="138" t="str">
        <f>Input!B49</f>
        <v>Hu1-13</v>
      </c>
      <c r="BB49" s="150">
        <f>Input!E49</f>
        <v>0</v>
      </c>
      <c r="BC49" s="138">
        <f>((U49-1)*EXP(Constants!$B$17*AW49*1000))*1000</f>
        <v>3.2241224076445034</v>
      </c>
      <c r="BD49" s="144">
        <f>SQRT((EXP(Constants!$B$17*AW49*1000)*V49)^2+((U49-1)*Constants!$B$17*EXP(Constants!$B$17*AW49*1000)*AY49*1000)^2)*1000</f>
        <v>10.002375285025947</v>
      </c>
      <c r="BE49" s="138">
        <f t="shared" si="227"/>
        <v>622850.1</v>
      </c>
      <c r="BF49" s="151">
        <f t="shared" si="228"/>
        <v>79029.546009312835</v>
      </c>
      <c r="BG49" s="160">
        <f t="shared" si="229"/>
        <v>25.374383800535856</v>
      </c>
      <c r="BH49" s="138"/>
      <c r="BI49" s="18"/>
      <c r="BJ49" s="18"/>
      <c r="BK49" s="18"/>
      <c r="BL49" s="18"/>
      <c r="BM49" s="18"/>
      <c r="BN49" s="159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</row>
    <row r="50" spans="1:110" ht="15" customHeight="1" x14ac:dyDescent="0.2">
      <c r="A50" s="18">
        <f>Input!A50</f>
        <v>10931</v>
      </c>
      <c r="B50" s="18" t="str">
        <f>Input!B50</f>
        <v>CSM_1784</v>
      </c>
      <c r="C50" s="18">
        <f>Input!O50</f>
        <v>4.2671421629813331</v>
      </c>
      <c r="D50" s="18">
        <f>C50*Input!P50/100</f>
        <v>3.5660309299069298E-2</v>
      </c>
      <c r="E50" s="152">
        <f>Input!M50</f>
        <v>4.8983349545112675</v>
      </c>
      <c r="F50" s="153">
        <f>E50*Input!N50/100</f>
        <v>6.7184249964876905E-4</v>
      </c>
      <c r="G50" s="21">
        <f>E50*137.88</f>
        <v>675.38242352801353</v>
      </c>
      <c r="H50" s="153">
        <f>G50*Input!L50/100</f>
        <v>0.1153164128737353</v>
      </c>
      <c r="I50" s="18">
        <v>0.3</v>
      </c>
      <c r="J50" s="129">
        <f>(((C50*Constants!$B$24*0.000000001*Input!G50*(Constants!$B$4/Constants!$B$3))-(I50*0.000000000000001))/Input!F50)*1000000000000</f>
        <v>169.88713815825352</v>
      </c>
      <c r="K50" s="18">
        <f>J50*Input!P50/100</f>
        <v>1.4197389403179208</v>
      </c>
      <c r="L50" s="134">
        <f>(J50/Constants!$B$4)*602200000000*Constants!$B$17/(365.2425*24*60)</f>
        <v>2.3454805704852597</v>
      </c>
      <c r="M50" s="132">
        <f>L50*Input!P50/100</f>
        <v>1.9601072428302821E-2</v>
      </c>
      <c r="N50" s="18">
        <v>5.0000000000000001E-3</v>
      </c>
      <c r="O50" s="129">
        <f>(((G50*Constants!$B$23*0.000000001*Input!G50*(Constants!$B$7/Constants!$B$6))-(N50*0.000000001))/Input!F50)*1000000</f>
        <v>2.7086587530690109</v>
      </c>
      <c r="P50" s="18">
        <f>O50*Input!N50/100</f>
        <v>3.7151237803397061E-4</v>
      </c>
      <c r="Q50" s="130">
        <f>(O50/Constants!$B$7)*602200000000000000*Constants!$B$18/(365.2425*24*60)</f>
        <v>2.0209865232666719</v>
      </c>
      <c r="R50" s="131">
        <f>Q50*Input!N50/100</f>
        <v>2.7719309727838512E-4</v>
      </c>
      <c r="S50" s="132">
        <f>Input!S50*Constants!$B$17/Constants!$B$18</f>
        <v>1.1473880252913622</v>
      </c>
      <c r="T50" s="18">
        <f>S50*Input!T50/100</f>
        <v>1.127690395161875E-3</v>
      </c>
      <c r="U50" s="18">
        <f>S50*1/((U49+U51)/2)</f>
        <v>1.1473507182071552</v>
      </c>
      <c r="V50" s="18">
        <f>U50*Input!T50/100</f>
        <v>1.1276537285420355E-3</v>
      </c>
      <c r="W50" s="133">
        <v>3.0000000000000001E-3</v>
      </c>
      <c r="X50" s="129">
        <f>IF((((Constants!$B$25*0.000000001*Input!G50/Input!W50*(Constants!$B$11/Constants!$B$9))-(W50*0.000000001))/Input!F50)*1000000000&lt;0, "n.d.", (((Constants!$B$25*0.000000001*Input!G50/Input!W50*(Constants!$B$11/Constants!$B$9))-(W50*0.000000001))/Input!F50)*1000000000)</f>
        <v>4.1148005872277849E-2</v>
      </c>
      <c r="Y50" s="129">
        <f>X50*Input!X50/100</f>
        <v>1.0551369021389746E-3</v>
      </c>
      <c r="Z50" s="129">
        <f>(X50/Constants!$B$11)*6.022E+23*0.000000001*Constants!$B$19/(365.2425*24*60)</f>
        <v>1.0045558496226599E-5</v>
      </c>
      <c r="AA50" s="129">
        <f>Z50*Input!X50/100</f>
        <v>2.5759302904895866E-7</v>
      </c>
      <c r="AB50" s="134">
        <v>0.05</v>
      </c>
      <c r="AC50" s="134">
        <v>0.9</v>
      </c>
      <c r="AD50" s="129">
        <f>(((Input!G50*Constants!$B$25*0.000000001*Input!U50*(Constants!$B$10/Constants!$B$9))-((AB50*0.000000000000001)+(Input!G50*AC50*0.000000000000001)))/Input!F50)*1000000000000</f>
        <v>0.20928141080186713</v>
      </c>
      <c r="AE50" s="129">
        <f>AD50*Input!V50/100</f>
        <v>7.8170207898711503E-3</v>
      </c>
      <c r="AF50" s="129">
        <f>(AD50/Constants!$B$10)*602200000000*Constants!$B$16/(365.2425*24*60)</f>
        <v>9.5527898932192632E-3</v>
      </c>
      <c r="AG50" s="129">
        <f>AF50*Input!V50/100</f>
        <v>3.5681313935360649E-4</v>
      </c>
      <c r="AH50" s="18">
        <f>AF50/Z50</f>
        <v>950.94661952419722</v>
      </c>
      <c r="AI50" s="133">
        <f>AH50*SQRT((AG50/AF50)^2+(AA50/Z50)^2)</f>
        <v>43.084155928349936</v>
      </c>
      <c r="AJ50" s="132">
        <f t="shared" si="213"/>
        <v>147.35071820715518</v>
      </c>
      <c r="AK50" s="133">
        <f>V50*1000</f>
        <v>1.1276537285420354</v>
      </c>
      <c r="AL50" s="133">
        <f>AF50/Q50</f>
        <v>4.7267954453146842E-3</v>
      </c>
      <c r="AM50" s="133">
        <f>AL50*SQRT((R50/Q50)^2+(AG50/AF50)^2)</f>
        <v>1.7655513327815642E-4</v>
      </c>
      <c r="AN50" s="18">
        <f>AL50*1/((AN49+AN51)/2)</f>
        <v>4.7342813202689319E-3</v>
      </c>
      <c r="AO50" s="129">
        <f>AN50*SQRT((R50/Q50)^2+(AG50/AF50)^2)</f>
        <v>1.7683474547325594E-4</v>
      </c>
      <c r="AP50" s="18">
        <f>ThU_Alter_Kombi(AN50,U50)</f>
        <v>0.45079999999999998</v>
      </c>
      <c r="AQ50" s="18">
        <f t="shared" si="219"/>
        <v>1.6899999999999998E-2</v>
      </c>
      <c r="AR50" s="154">
        <f>(AQ50/AP50)</f>
        <v>3.7488908606921029E-2</v>
      </c>
      <c r="AS50" s="131">
        <f t="shared" si="220"/>
        <v>4.9706212191802303E-6</v>
      </c>
      <c r="AT50" s="131">
        <f t="shared" si="221"/>
        <v>1.2746087661944743E-7</v>
      </c>
      <c r="AU50" s="18">
        <v>8</v>
      </c>
      <c r="AV50" s="18">
        <f>AU50/2</f>
        <v>4</v>
      </c>
      <c r="AW50" s="18">
        <f t="shared" si="223"/>
        <v>0.4471</v>
      </c>
      <c r="AX50" s="135">
        <f t="shared" si="224"/>
        <v>1.72026895E-2</v>
      </c>
      <c r="AY50" s="135">
        <f t="shared" si="225"/>
        <v>1.7008511939731904E-2</v>
      </c>
      <c r="AZ50" s="154">
        <f t="shared" si="226"/>
        <v>3.8476156340863342E-2</v>
      </c>
      <c r="BA50" s="18" t="str">
        <f>Input!B50</f>
        <v>CSM_1784</v>
      </c>
      <c r="BB50" s="136">
        <f>Input!E50</f>
        <v>0</v>
      </c>
      <c r="BC50" s="18">
        <f>((U50-1)*EXP(Constants!$B$17*AW50*1000))*1000</f>
        <v>147.53675428841248</v>
      </c>
      <c r="BD50" s="132">
        <f>SQRT((EXP(Constants!$B$17*AW50*1000)*V50)^2+((U50-1)*Constants!$B$17*EXP(Constants!$B$17*AW50*1000)*AY50*1000)^2)*1000</f>
        <v>1.1290996436616356</v>
      </c>
      <c r="BE50" s="18">
        <f t="shared" si="227"/>
        <v>389.1</v>
      </c>
      <c r="BF50" s="137">
        <f t="shared" si="228"/>
        <v>8.5042559698659517</v>
      </c>
      <c r="BG50" s="20">
        <f t="shared" si="229"/>
        <v>3.8041851799892425</v>
      </c>
      <c r="BH50" s="18"/>
      <c r="BI50" s="18"/>
      <c r="BJ50" s="18"/>
      <c r="BK50" s="18"/>
      <c r="BL50" s="18"/>
      <c r="BM50" s="18"/>
      <c r="BN50" s="159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</row>
    <row r="51" spans="1:110" ht="15" customHeight="1" x14ac:dyDescent="0.2">
      <c r="A51" s="138">
        <f>Input!A51</f>
        <v>10815</v>
      </c>
      <c r="B51" s="138" t="str">
        <f>Input!B51</f>
        <v>Hu1-13</v>
      </c>
      <c r="C51" s="138">
        <f>Input!O51</f>
        <v>2.0747537192815639</v>
      </c>
      <c r="D51" s="138">
        <f>C51*Input!P51/100</f>
        <v>1.9888931372071525E-2</v>
      </c>
      <c r="E51" s="139">
        <f>Input!M51</f>
        <v>2.7328875108870085</v>
      </c>
      <c r="F51" s="140">
        <f>E51*Input!N51/100</f>
        <v>3.3151182561500935E-4</v>
      </c>
      <c r="G51" s="141">
        <f t="shared" ref="G51" si="248">E51*137.88</f>
        <v>376.81053000110074</v>
      </c>
      <c r="H51" s="140">
        <f>G51*Input!L51/100</f>
        <v>2.2836616421805064E-2</v>
      </c>
      <c r="I51" s="138">
        <v>0</v>
      </c>
      <c r="J51" s="142">
        <f>(((C51*Constants!$B$24*0.000000001*Input!G51*(Constants!$B$4/Constants!$B$3))-(I51*0.000000000000001))/Input!F51)*1000000000000</f>
        <v>749.06398449501842</v>
      </c>
      <c r="K51" s="138">
        <f>J51*Input!P51/100</f>
        <v>7.1806509092899509</v>
      </c>
      <c r="L51" s="143">
        <f>(J51/Constants!$B$4)*602200000000*Constants!$B$17/(365.2425*24*60)</f>
        <v>10.341660002811592</v>
      </c>
      <c r="M51" s="144">
        <f>L51*Input!P51/100</f>
        <v>9.9136858586011012E-2</v>
      </c>
      <c r="N51" s="138">
        <v>0</v>
      </c>
      <c r="O51" s="142">
        <f>(((G51*Constants!$B$23*0.000000001*Input!G51*(Constants!$B$7/Constants!$B$6))-(N51*0.000000001))/Input!F51)*1000000</f>
        <v>13.704301222483362</v>
      </c>
      <c r="P51" s="138">
        <f>O51*Input!N51/100</f>
        <v>1.6623947743714144E-3</v>
      </c>
      <c r="Q51" s="145">
        <f>(O51/Constants!$B$7)*602200000000000000*Constants!$B$18/(365.2425*24*60)</f>
        <v>10.225063622372152</v>
      </c>
      <c r="R51" s="146">
        <f>Q51*Input!N51/100</f>
        <v>1.2403472499246831E-3</v>
      </c>
      <c r="S51" s="144">
        <f>Input!S51*Constants!$B$17/Constants!$B$18</f>
        <v>0.99950916304366333</v>
      </c>
      <c r="T51" s="138">
        <f>S51*Input!T51/100</f>
        <v>1.2731968596531446E-3</v>
      </c>
      <c r="U51" s="144">
        <f>S51</f>
        <v>0.99950916304366333</v>
      </c>
      <c r="V51" s="138">
        <f>U51*Input!T51/100</f>
        <v>1.2731968596531446E-3</v>
      </c>
      <c r="W51" s="147">
        <v>0</v>
      </c>
      <c r="X51" s="142">
        <f>(((Constants!$B$25*0.000000001*Input!G51/Input!W51*(Constants!$B$11/Constants!$B$9))-(W51*0.000000001))/Input!F51)*1000000000</f>
        <v>0.95932086688495977</v>
      </c>
      <c r="Y51" s="142">
        <f>X51*Input!X51/100</f>
        <v>4.5982921017020013E-3</v>
      </c>
      <c r="Z51" s="142">
        <f>(X51/Constants!$B$11)*6.022E+23*0.000000001*Constants!$B$19/(365.2425*24*60)</f>
        <v>2.3420123723264644E-4</v>
      </c>
      <c r="AA51" s="142">
        <f>Z51*Input!X51/100</f>
        <v>1.1225917589728171E-6</v>
      </c>
      <c r="AB51" s="143">
        <v>0</v>
      </c>
      <c r="AC51" s="143">
        <v>0.9</v>
      </c>
      <c r="AD51" s="142">
        <f>(((Input!G51*Constants!$B$25*0.000000001*Input!U51*(Constants!$B$10/Constants!$B$9))-((AB51*0.000000000000001)+(Input!G51*AC51*0.000000000000001)))/Input!F51)*1000000000000</f>
        <v>223.86496247793258</v>
      </c>
      <c r="AE51" s="142">
        <f>AD51*Input!V51/100</f>
        <v>0.68449876470847404</v>
      </c>
      <c r="AF51" s="142">
        <f>(AD51/Constants!$B$10)*602200000000*Constants!$B$16/(365.2425*24*60)</f>
        <v>10.218465858058066</v>
      </c>
      <c r="AG51" s="142">
        <f>AF51*Input!V51/100</f>
        <v>3.1244403678159088E-2</v>
      </c>
      <c r="AH51" s="138">
        <f t="shared" ref="AH51" si="249">AF51/Z51</f>
        <v>43631.135252746069</v>
      </c>
      <c r="AI51" s="147">
        <f t="shared" ref="AI51" si="250">AH51*SQRT((AG51/AF51)^2+(AA51/Z51)^2)</f>
        <v>248.06397254282771</v>
      </c>
      <c r="AJ51" s="144">
        <f t="shared" si="213"/>
        <v>-0.49083695633667102</v>
      </c>
      <c r="AK51" s="147">
        <f t="shared" ref="AK51" si="251">V51*1000</f>
        <v>1.2731968596531447</v>
      </c>
      <c r="AL51" s="147">
        <f t="shared" ref="AL51" si="252">AF51/Q51</f>
        <v>0.9993547458912968</v>
      </c>
      <c r="AM51" s="147">
        <f t="shared" ref="AM51" si="253">AL51*SQRT((R51/Q51)^2+(AG51/AF51)^2)</f>
        <v>3.0580721248974459E-3</v>
      </c>
      <c r="AN51" s="138">
        <f>AF51/Q51</f>
        <v>0.9993547458912968</v>
      </c>
      <c r="AO51" s="142">
        <f t="shared" ref="AO51" si="254">AN51*SQRT((R51/Q51)^2+(AG51/AF51)^2)</f>
        <v>3.0580721248974459E-3</v>
      </c>
      <c r="AP51" s="138" t="str">
        <f t="shared" ref="AP51" si="255">ThU_Alter_Kombi(AN51,U51)</f>
        <v>Out of range</v>
      </c>
      <c r="AQ51" s="138" t="e">
        <f t="shared" si="219"/>
        <v>#VALUE!</v>
      </c>
      <c r="AR51" s="138" t="e">
        <f>(AQ51/AP51)*100</f>
        <v>#VALUE!</v>
      </c>
      <c r="AS51" s="146">
        <f t="shared" si="220"/>
        <v>2.2904623959524388E-5</v>
      </c>
      <c r="AT51" s="146">
        <f t="shared" si="221"/>
        <v>1.0982339358898026E-7</v>
      </c>
      <c r="AU51" s="138">
        <v>0.75</v>
      </c>
      <c r="AV51" s="138">
        <f t="shared" ref="AV51" si="256">AU51/2</f>
        <v>0.375</v>
      </c>
      <c r="AW51" s="138" t="str">
        <f t="shared" si="223"/>
        <v>Out of range</v>
      </c>
      <c r="AX51" s="148">
        <f t="shared" si="224"/>
        <v>332.29453099099999</v>
      </c>
      <c r="AY51" s="148" t="e">
        <f t="shared" si="225"/>
        <v>#VALUE!</v>
      </c>
      <c r="AZ51" s="149" t="e">
        <f t="shared" si="226"/>
        <v>#VALUE!</v>
      </c>
      <c r="BA51" s="138" t="str">
        <f>Input!B51</f>
        <v>Hu1-13</v>
      </c>
      <c r="BB51" s="150">
        <f>Input!E51</f>
        <v>0</v>
      </c>
      <c r="BC51" s="138" t="e">
        <f>((U51-1)*EXP(Constants!$B$17*AW51*1000))*1000</f>
        <v>#VALUE!</v>
      </c>
      <c r="BD51" s="144" t="e">
        <f>SQRT((EXP(Constants!$B$17*AW51*1000)*V51)^2+((U51-1)*Constants!$B$17*EXP(Constants!$B$17*AW51*1000)*AY51*1000)^2)*1000</f>
        <v>#VALUE!</v>
      </c>
      <c r="BE51" s="138" t="e">
        <f t="shared" si="227"/>
        <v>#VALUE!</v>
      </c>
      <c r="BF51" s="151" t="e">
        <f t="shared" si="228"/>
        <v>#VALUE!</v>
      </c>
      <c r="BG51" s="160" t="e">
        <f t="shared" si="229"/>
        <v>#VALUE!</v>
      </c>
      <c r="BH51" s="138"/>
      <c r="BI51" s="18"/>
      <c r="BJ51" s="18"/>
      <c r="BK51" s="18"/>
      <c r="BL51" s="18"/>
      <c r="BM51" s="18"/>
      <c r="BN51" s="159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</row>
    <row r="52" spans="1:110" ht="15" customHeight="1" x14ac:dyDescent="0.2">
      <c r="A52" s="18">
        <f>Input!A52</f>
        <v>10932</v>
      </c>
      <c r="B52" s="18" t="str">
        <f>Input!B52</f>
        <v>CSM_1788</v>
      </c>
      <c r="C52" s="18">
        <f>Input!O52</f>
        <v>3.8908215145866611</v>
      </c>
      <c r="D52" s="18">
        <f>C52*Input!P52/100</f>
        <v>3.5362887415181184E-2</v>
      </c>
      <c r="E52" s="152">
        <f>Input!M52</f>
        <v>4.5321334407217888</v>
      </c>
      <c r="F52" s="153">
        <f>E52*Input!N52/100</f>
        <v>4.8799560961052939E-4</v>
      </c>
      <c r="G52" s="21">
        <f>E52*137.88</f>
        <v>624.89055880672026</v>
      </c>
      <c r="H52" s="153">
        <f>G52*Input!L52/100</f>
        <v>0.11472522998141944</v>
      </c>
      <c r="I52" s="18">
        <v>0.3</v>
      </c>
      <c r="J52" s="129">
        <f>(((C52*Constants!$B$24*0.000000001*Input!G52*(Constants!$B$4/Constants!$B$3))-(I52*0.000000000000001))/Input!F52)*1000000000000</f>
        <v>168.81246675638525</v>
      </c>
      <c r="K52" s="18">
        <f>J52*Input!P52/100</f>
        <v>1.5343022633664178</v>
      </c>
      <c r="L52" s="134">
        <f>(J52/Constants!$B$4)*602200000000*Constants!$B$17/(365.2425*24*60)</f>
        <v>2.3306435385588626</v>
      </c>
      <c r="M52" s="132">
        <f>L52*Input!P52/100</f>
        <v>2.1182746304344982E-2</v>
      </c>
      <c r="N52" s="18">
        <v>5.0000000000000001E-3</v>
      </c>
      <c r="O52" s="129">
        <f>(((G52*Constants!$B$23*0.000000001*Input!G52*(Constants!$B$7/Constants!$B$6))-(N52*0.000000001))/Input!F52)*1000000</f>
        <v>2.7311680119456883</v>
      </c>
      <c r="P52" s="18">
        <f>O52*Input!N52/100</f>
        <v>2.9407739563951411E-4</v>
      </c>
      <c r="Q52" s="130">
        <f>(O52/Constants!$B$7)*602200000000000000*Constants!$B$18/(365.2425*24*60)</f>
        <v>2.0377811485722575</v>
      </c>
      <c r="R52" s="131">
        <f>Q52*Input!N52/100</f>
        <v>2.1941724948239621E-4</v>
      </c>
      <c r="S52" s="132">
        <f>Input!S52*Constants!$B$17/Constants!$B$18</f>
        <v>1.1469083128526272</v>
      </c>
      <c r="T52" s="18">
        <f>S52*Input!T52/100</f>
        <v>1.058676118091966E-3</v>
      </c>
      <c r="U52" s="18">
        <f>S52*1/((U51+U53)/2)</f>
        <v>1.1477867842616685</v>
      </c>
      <c r="V52" s="18">
        <f>U52*Input!T52/100</f>
        <v>1.0594870082832365E-3</v>
      </c>
      <c r="W52" s="133">
        <v>3.0000000000000001E-3</v>
      </c>
      <c r="X52" s="129">
        <f>IF((((Constants!$B$25*0.000000001*Input!G52/Input!W52*(Constants!$B$11/Constants!$B$9))-(W52*0.000000001))/Input!F52)*1000000000&lt;0, "n.d.", (((Constants!$B$25*0.000000001*Input!G52/Input!W52*(Constants!$B$11/Constants!$B$9))-(W52*0.000000001))/Input!F52)*1000000000)</f>
        <v>2.1529148062399032E-2</v>
      </c>
      <c r="Y52" s="129">
        <f>X52*Input!X52/100</f>
        <v>4.6599574614427313E-4</v>
      </c>
      <c r="Z52" s="129">
        <f>(X52/Constants!$B$11)*6.022E+23*0.000000001*Constants!$B$19/(365.2425*24*60)</f>
        <v>5.2559610520630251E-6</v>
      </c>
      <c r="AA52" s="129">
        <f>Z52*Input!X52/100</f>
        <v>1.1376462668483423E-7</v>
      </c>
      <c r="AB52" s="134">
        <v>0.05</v>
      </c>
      <c r="AC52" s="134">
        <v>0.9</v>
      </c>
      <c r="AD52" s="129">
        <f>(((Input!G52*Constants!$B$25*0.000000001*Input!U52*(Constants!$B$10/Constants!$B$9))-((AB52*0.000000000000001)+(Input!G52*AC52*0.000000000000001)))/Input!F52)*1000000000000</f>
        <v>0.36640641417103881</v>
      </c>
      <c r="AE52" s="129">
        <f>AD52*Input!V52/100</f>
        <v>1.0405499235021581E-2</v>
      </c>
      <c r="AF52" s="129">
        <f>(AD52/Constants!$B$10)*602200000000*Constants!$B$16/(365.2425*24*60)</f>
        <v>1.6724865704472708E-2</v>
      </c>
      <c r="AG52" s="129">
        <f>AF52*Input!V52/100</f>
        <v>4.7496596828813104E-4</v>
      </c>
      <c r="AH52" s="18">
        <f>AF52/Z52</f>
        <v>3182.0756544434448</v>
      </c>
      <c r="AI52" s="133">
        <f>AH52*SQRT((AG52/AF52)^2+(AA52/Z52)^2)</f>
        <v>113.62247160558435</v>
      </c>
      <c r="AJ52" s="132">
        <f t="shared" si="213"/>
        <v>147.78678426166846</v>
      </c>
      <c r="AK52" s="133">
        <f>V52*1000</f>
        <v>1.0594870082832366</v>
      </c>
      <c r="AL52" s="133">
        <f>AF52/Q52</f>
        <v>8.2073905317019691E-3</v>
      </c>
      <c r="AM52" s="133">
        <f>AL52*SQRT((R52/Q52)^2+(AG52/AF52)^2)</f>
        <v>2.3308164499168148E-4</v>
      </c>
      <c r="AN52" s="18">
        <f>AL52*1/((AN51+AN53)/2)</f>
        <v>8.218309560629692E-3</v>
      </c>
      <c r="AO52" s="129">
        <f>AN52*SQRT((R52/Q52)^2+(AG52/AF52)^2)</f>
        <v>2.3339173444268969E-4</v>
      </c>
      <c r="AP52" s="18">
        <f>ThU_Alter_Kombi(AN52,U52)</f>
        <v>0.78349999999999997</v>
      </c>
      <c r="AQ52" s="18">
        <f t="shared" si="219"/>
        <v>2.2499999999999999E-2</v>
      </c>
      <c r="AR52" s="154">
        <f>(AQ52/AP52)</f>
        <v>2.8717294192724951E-2</v>
      </c>
      <c r="AS52" s="131">
        <f t="shared" si="220"/>
        <v>2.5792568822935377E-6</v>
      </c>
      <c r="AT52" s="131">
        <f t="shared" si="221"/>
        <v>5.5828386871649378E-8</v>
      </c>
      <c r="AU52" s="18">
        <v>8</v>
      </c>
      <c r="AV52" s="18">
        <f>AU52/2</f>
        <v>4</v>
      </c>
      <c r="AW52" s="18">
        <f t="shared" si="223"/>
        <v>0.78149999999999997</v>
      </c>
      <c r="AX52" s="135">
        <f t="shared" si="224"/>
        <v>2.2193803599999999E-2</v>
      </c>
      <c r="AY52" s="135">
        <f t="shared" si="225"/>
        <v>2.239112813148679E-2</v>
      </c>
      <c r="AZ52" s="154">
        <f t="shared" si="226"/>
        <v>2.8398980934101089E-2</v>
      </c>
      <c r="BA52" s="18" t="str">
        <f>Input!B52</f>
        <v>CSM_1788</v>
      </c>
      <c r="BB52" s="136">
        <f>Input!E52</f>
        <v>0</v>
      </c>
      <c r="BC52" s="18">
        <f>((U52-1)*EXP(Constants!$B$17*AW52*1000))*1000</f>
        <v>148.11307881014343</v>
      </c>
      <c r="BD52" s="132">
        <f>SQRT((EXP(Constants!$B$17*AW52*1000)*V52)^2+((U52-1)*Constants!$B$17*EXP(Constants!$B$17*AW52*1000)*AY52*1000)^2)*1000</f>
        <v>1.0618674675099733</v>
      </c>
      <c r="BE52" s="18">
        <f t="shared" si="227"/>
        <v>723.5</v>
      </c>
      <c r="BF52" s="137">
        <f t="shared" si="228"/>
        <v>11.195564065743396</v>
      </c>
      <c r="BG52" s="20">
        <f t="shared" si="229"/>
        <v>2.865147553613153</v>
      </c>
      <c r="BH52" s="18"/>
      <c r="BI52" s="18"/>
      <c r="BJ52" s="18"/>
      <c r="BK52" s="18"/>
      <c r="BL52" s="18"/>
      <c r="BM52" s="18"/>
      <c r="BN52" s="159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</row>
    <row r="53" spans="1:110" ht="15" customHeight="1" x14ac:dyDescent="0.2">
      <c r="A53" s="138">
        <f>Input!A53</f>
        <v>10815</v>
      </c>
      <c r="B53" s="138" t="str">
        <f>Input!B53</f>
        <v>Hu1-13</v>
      </c>
      <c r="C53" s="138">
        <f>Input!O53</f>
        <v>2.0955659112401528</v>
      </c>
      <c r="D53" s="138">
        <f>C53*Input!P53/100</f>
        <v>1.5761273861753151E-2</v>
      </c>
      <c r="E53" s="139">
        <f>Input!M53</f>
        <v>2.7320200583565573</v>
      </c>
      <c r="F53" s="140">
        <f>E53*Input!N53/100</f>
        <v>3.0652786720735092E-4</v>
      </c>
      <c r="G53" s="141">
        <f t="shared" ref="G53" si="257">E53*137.88</f>
        <v>376.69092564620212</v>
      </c>
      <c r="H53" s="140">
        <f>G53*Input!L53/100</f>
        <v>2.0924391365645771E-2</v>
      </c>
      <c r="I53" s="138">
        <v>0</v>
      </c>
      <c r="J53" s="142">
        <f>(((C53*Constants!$B$24*0.000000001*Input!G53*(Constants!$B$4/Constants!$B$3))-(I53*0.000000000000001))/Input!F53)*1000000000000</f>
        <v>756.57796713772632</v>
      </c>
      <c r="K53" s="138">
        <f>J53*Input!P53/100</f>
        <v>5.6904115847013372</v>
      </c>
      <c r="L53" s="143">
        <f>(J53/Constants!$B$4)*602200000000*Constants!$B$17/(365.2425*24*60)</f>
        <v>10.445398876080606</v>
      </c>
      <c r="M53" s="144">
        <f>L53*Input!P53/100</f>
        <v>7.8562450075228385E-2</v>
      </c>
      <c r="N53" s="138">
        <v>0</v>
      </c>
      <c r="O53" s="142">
        <f>(((G53*Constants!$B$23*0.000000001*Input!G53*(Constants!$B$7/Constants!$B$6))-(N53*0.000000001))/Input!F53)*1000000</f>
        <v>13.699951306606421</v>
      </c>
      <c r="P53" s="138">
        <f>O53*Input!N53/100</f>
        <v>1.537110550127066E-3</v>
      </c>
      <c r="Q53" s="145">
        <f>(O53/Constants!$B$7)*602200000000000000*Constants!$B$18/(365.2425*24*60)</f>
        <v>10.221818059838784</v>
      </c>
      <c r="R53" s="146">
        <f>Q53*Input!N53/100</f>
        <v>1.1468700895076074E-3</v>
      </c>
      <c r="S53" s="144">
        <f>Input!S53*Constants!$B$17/Constants!$B$18</f>
        <v>0.99896011466350887</v>
      </c>
      <c r="T53" s="138">
        <f>S53*Input!T53/100</f>
        <v>1.6577745771463063E-3</v>
      </c>
      <c r="U53" s="144">
        <f>S53</f>
        <v>0.99896011466350887</v>
      </c>
      <c r="V53" s="138">
        <f>U53*Input!T53/100</f>
        <v>1.6577745771463063E-3</v>
      </c>
      <c r="W53" s="147">
        <v>0</v>
      </c>
      <c r="X53" s="142">
        <f>(((Constants!$B$25*0.000000001*Input!G53/Input!W53*(Constants!$B$11/Constants!$B$9))-(W53*0.000000001))/Input!F53)*1000000000</f>
        <v>0.95232152905175749</v>
      </c>
      <c r="Y53" s="142">
        <f>X53*Input!X53/100</f>
        <v>5.9525466094430979E-3</v>
      </c>
      <c r="Z53" s="142">
        <f>(X53/Constants!$B$11)*6.022E+23*0.000000001*Constants!$B$19/(365.2425*24*60)</f>
        <v>2.3249247258785334E-4</v>
      </c>
      <c r="AA53" s="142">
        <f>Z53*Input!X53/100</f>
        <v>1.4532090656417938E-6</v>
      </c>
      <c r="AB53" s="143">
        <v>0</v>
      </c>
      <c r="AC53" s="143">
        <v>0.9</v>
      </c>
      <c r="AD53" s="142">
        <f>(((Input!G53*Constants!$B$25*0.000000001*Input!U53*(Constants!$B$10/Constants!$B$9))-((AB53*0.000000000000001)+(Input!G53*AC53*0.000000000000001)))/Input!F53)*1000000000000</f>
        <v>223.4878402122996</v>
      </c>
      <c r="AE53" s="142">
        <f>AD53*Input!V53/100</f>
        <v>0.80830877085293029</v>
      </c>
      <c r="AF53" s="142">
        <f>(AD53/Constants!$B$10)*602200000000*Constants!$B$16/(365.2425*24*60)</f>
        <v>10.20125186015045</v>
      </c>
      <c r="AG53" s="142">
        <f>AF53*Input!V53/100</f>
        <v>3.6895794171201507E-2</v>
      </c>
      <c r="AH53" s="138">
        <f t="shared" ref="AH53" si="258">AF53/Z53</f>
        <v>43877.772671954532</v>
      </c>
      <c r="AI53" s="147">
        <f t="shared" ref="AI53" si="259">AH53*SQRT((AG53/AF53)^2+(AA53/Z53)^2)</f>
        <v>316.86535022453177</v>
      </c>
      <c r="AJ53" s="144">
        <f t="shared" si="213"/>
        <v>-1.0398853364911309</v>
      </c>
      <c r="AK53" s="147">
        <f t="shared" ref="AK53" si="260">V53*1000</f>
        <v>1.6577745771463064</v>
      </c>
      <c r="AL53" s="147">
        <f t="shared" ref="AL53" si="261">AF53/Q53</f>
        <v>0.9979880096116035</v>
      </c>
      <c r="AM53" s="147">
        <f t="shared" ref="AM53" si="262">AL53*SQRT((R53/Q53)^2+(AG53/AF53)^2)</f>
        <v>3.6112502400297902E-3</v>
      </c>
      <c r="AN53" s="138">
        <f>AF53/Q53</f>
        <v>0.9979880096116035</v>
      </c>
      <c r="AO53" s="142">
        <f t="shared" ref="AO53" si="263">AN53*SQRT((R53/Q53)^2+(AG53/AF53)^2)</f>
        <v>3.6112502400297902E-3</v>
      </c>
      <c r="AP53" s="138">
        <f t="shared" ref="AP53" si="264">ThU_Alter_Kombi(AN53,U53)</f>
        <v>825.0104</v>
      </c>
      <c r="AQ53" s="138" t="e">
        <f t="shared" si="219"/>
        <v>#VALUE!</v>
      </c>
      <c r="AR53" s="138" t="e">
        <f>(AQ53/AP53)*100</f>
        <v>#VALUE!</v>
      </c>
      <c r="AS53" s="146">
        <f t="shared" si="220"/>
        <v>2.2744728112634805E-5</v>
      </c>
      <c r="AT53" s="146">
        <f t="shared" si="221"/>
        <v>1.421902791351892E-7</v>
      </c>
      <c r="AU53" s="138">
        <v>0.75</v>
      </c>
      <c r="AV53" s="138">
        <f t="shared" ref="AV53" si="265">AU53/2</f>
        <v>0.375</v>
      </c>
      <c r="AW53" s="138">
        <f t="shared" si="223"/>
        <v>825.00850000000003</v>
      </c>
      <c r="AX53" s="148">
        <f t="shared" si="224"/>
        <v>331.2713865577</v>
      </c>
      <c r="AY53" s="148">
        <f t="shared" si="225"/>
        <v>912.69026290923432</v>
      </c>
      <c r="AZ53" s="149">
        <f t="shared" si="226"/>
        <v>0.40153693756815839</v>
      </c>
      <c r="BA53" s="138" t="str">
        <f>Input!B53</f>
        <v>Hu1-13</v>
      </c>
      <c r="BB53" s="150">
        <f>Input!E53</f>
        <v>0</v>
      </c>
      <c r="BC53" s="138">
        <f>((U53-1)*EXP(Constants!$B$17*AW53*1000))*1000</f>
        <v>-10.668910391463388</v>
      </c>
      <c r="BD53" s="144">
        <f>SQRT((EXP(Constants!$B$17*AW53*1000)*V53)^2+((U53-1)*Constants!$B$17*EXP(Constants!$B$17*AW53*1000)*AY53*1000)^2)*1000</f>
        <v>32.317290001376819</v>
      </c>
      <c r="BE53" s="138">
        <f t="shared" si="227"/>
        <v>824950.5</v>
      </c>
      <c r="BF53" s="151">
        <f t="shared" si="228"/>
        <v>456345.13145461713</v>
      </c>
      <c r="BG53" s="160">
        <f t="shared" si="229"/>
        <v>110.62798297341594</v>
      </c>
      <c r="BH53" s="138"/>
      <c r="BI53" s="18"/>
      <c r="BJ53" s="18"/>
      <c r="BK53" s="18"/>
      <c r="BL53" s="18"/>
      <c r="BM53" s="18"/>
      <c r="BN53" s="159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</row>
    <row r="54" spans="1:110" ht="15" customHeight="1" x14ac:dyDescent="0.2">
      <c r="A54" s="18">
        <f>Input!A54</f>
        <v>10933</v>
      </c>
      <c r="B54" s="18" t="str">
        <f>Input!B54</f>
        <v>CSM_1818</v>
      </c>
      <c r="C54" s="18">
        <f>Input!O54</f>
        <v>3.9940671564258485</v>
      </c>
      <c r="D54" s="18">
        <f>C54*Input!P54/100</f>
        <v>1.8709029419415636E-2</v>
      </c>
      <c r="E54" s="152">
        <f>Input!M54</f>
        <v>4.5376360347567797</v>
      </c>
      <c r="F54" s="153">
        <f>E54*Input!N54/100</f>
        <v>3.8874195198412349E-4</v>
      </c>
      <c r="G54" s="21">
        <f>E54*137.88</f>
        <v>625.64925647226471</v>
      </c>
      <c r="H54" s="153">
        <f>G54*Input!L54/100</f>
        <v>3.8814091837138923E-2</v>
      </c>
      <c r="I54" s="18">
        <v>0.3</v>
      </c>
      <c r="J54" s="129">
        <f>(((C54*Constants!$B$24*0.000000001*Input!G54*(Constants!$B$4/Constants!$B$3))-(I54*0.000000000000001))/Input!F54)*1000000000000</f>
        <v>176.12434303885962</v>
      </c>
      <c r="K54" s="18">
        <f>J54*Input!P54/100</f>
        <v>0.82500253158936876</v>
      </c>
      <c r="L54" s="134">
        <f>(J54/Constants!$B$4)*602200000000*Constants!$B$17/(365.2425*24*60)</f>
        <v>2.431592109123164</v>
      </c>
      <c r="M54" s="132">
        <f>L54*Input!P54/100</f>
        <v>1.1390075961144844E-2</v>
      </c>
      <c r="N54" s="18">
        <v>5.0000000000000001E-3</v>
      </c>
      <c r="O54" s="129">
        <f>(((G54*Constants!$B$23*0.000000001*Input!G54*(Constants!$B$7/Constants!$B$6))-(N54*0.000000001))/Input!F54)*1000000</f>
        <v>2.7791756778260579</v>
      </c>
      <c r="P54" s="18">
        <f>O54*Input!N54/100</f>
        <v>2.3809361738789402E-4</v>
      </c>
      <c r="Q54" s="130">
        <f>(O54/Constants!$B$7)*602200000000000000*Constants!$B$18/(365.2425*24*60)</f>
        <v>2.0736006646511225</v>
      </c>
      <c r="R54" s="131">
        <f>Q54*Input!N54/100</f>
        <v>1.7764659039147914E-4</v>
      </c>
      <c r="S54" s="132">
        <f>Input!S54*Constants!$B$17/Constants!$B$18</f>
        <v>1.1467208085556073</v>
      </c>
      <c r="T54" s="18">
        <f>S54*Input!T54/100</f>
        <v>8.1117592818494798E-4</v>
      </c>
      <c r="U54" s="18">
        <f>S54*1/((U53+U55)/2)</f>
        <v>1.1470707616553186</v>
      </c>
      <c r="V54" s="18">
        <f>U54*Input!T54/100</f>
        <v>8.1142348062174133E-4</v>
      </c>
      <c r="W54" s="133">
        <v>3.0000000000000001E-3</v>
      </c>
      <c r="X54" s="129">
        <f>IF((((Constants!$B$25*0.000000001*Input!G54/Input!W54*(Constants!$B$11/Constants!$B$9))-(W54*0.000000001))/Input!F54)*1000000000&lt;0, "n.d.", (((Constants!$B$25*0.000000001*Input!G54/Input!W54*(Constants!$B$11/Constants!$B$9))-(W54*0.000000001))/Input!F54)*1000000000)</f>
        <v>2.4663049485901176E-2</v>
      </c>
      <c r="Y54" s="129">
        <f>X54*Input!X54/100</f>
        <v>3.777824613378547E-4</v>
      </c>
      <c r="Z54" s="129">
        <f>(X54/Constants!$B$11)*6.022E+23*0.000000001*Constants!$B$19/(365.2425*24*60)</f>
        <v>6.0210477045952777E-6</v>
      </c>
      <c r="AA54" s="129">
        <f>Z54*Input!X54/100</f>
        <v>9.2228912040052611E-8</v>
      </c>
      <c r="AB54" s="134">
        <v>0.05</v>
      </c>
      <c r="AC54" s="134">
        <v>0.9</v>
      </c>
      <c r="AD54" s="129">
        <f>(((Input!G54*Constants!$B$25*0.000000001*Input!U54*(Constants!$B$10/Constants!$B$9))-((AB54*0.000000000000001)+(Input!G54*AC54*0.000000000000001)))/Input!F54)*1000000000000</f>
        <v>0.28765475276887409</v>
      </c>
      <c r="AE54" s="129">
        <f>AD54*Input!V54/100</f>
        <v>1.0881930753163505E-2</v>
      </c>
      <c r="AF54" s="129">
        <f>(AD54/Constants!$B$10)*602200000000*Constants!$B$16/(365.2425*24*60)</f>
        <v>1.3130193477090565E-2</v>
      </c>
      <c r="AG54" s="129">
        <f>AF54*Input!V54/100</f>
        <v>4.9671300341121746E-4</v>
      </c>
      <c r="AH54" s="18">
        <f>AF54/Z54</f>
        <v>2180.7157360785518</v>
      </c>
      <c r="AI54" s="133">
        <f>AH54*SQRT((AG54/AF54)^2+(AA54/Z54)^2)</f>
        <v>89.002317317325094</v>
      </c>
      <c r="AJ54" s="132">
        <f t="shared" ref="AJ54:AJ55" si="266">(U54-1)*1000</f>
        <v>147.07076165531862</v>
      </c>
      <c r="AK54" s="133">
        <f>V54*1000</f>
        <v>0.8114234806217413</v>
      </c>
      <c r="AL54" s="133">
        <f>AF54/Q54</f>
        <v>6.3320742999953099E-3</v>
      </c>
      <c r="AM54" s="133">
        <f>AL54*SQRT((R54/Q54)^2+(AG54/AF54)^2)</f>
        <v>2.3954191642883065E-4</v>
      </c>
      <c r="AN54" s="18">
        <f>AL54*1/((AN53+AN55)/2)</f>
        <v>6.3456774200649838E-3</v>
      </c>
      <c r="AO54" s="129">
        <f>AN54*SQRT((R54/Q54)^2+(AG54/AF54)^2)</f>
        <v>2.4005652148501318E-4</v>
      </c>
      <c r="AP54" s="18">
        <f>ThU_Alter_Kombi(AN54,U54)</f>
        <v>0.60489999999999999</v>
      </c>
      <c r="AQ54" s="18">
        <f t="shared" ref="AQ54:AQ55" si="267">Montealter(AN54,AO54,U54,V54)</f>
        <v>2.3699999999999999E-2</v>
      </c>
      <c r="AR54" s="154">
        <f>(AQ54/AP54)</f>
        <v>3.9180029756984626E-2</v>
      </c>
      <c r="AS54" s="131">
        <f t="shared" ref="AS54:AS55" si="268">Z54/Q54</f>
        <v>2.9036679083088073E-6</v>
      </c>
      <c r="AT54" s="131">
        <f t="shared" ref="AT54:AT55" si="269">AS54*SQRT((Y54/X54)^2+(P54/O54)^2)</f>
        <v>4.4478358868010993E-8</v>
      </c>
      <c r="AU54" s="18">
        <v>8</v>
      </c>
      <c r="AV54" s="18">
        <f>AU54/2</f>
        <v>4</v>
      </c>
      <c r="AW54" s="18">
        <f t="shared" ref="AW54:AW55" si="270">marincorr_age(AN54,U54,AS54,AU54)</f>
        <v>0.60260000000000002</v>
      </c>
      <c r="AX54" s="135">
        <f t="shared" ref="AX54:AX55" si="271">marincorr_age_error(AN54, AO54, U54, V54, AS54, AT54, AU54, AV54)</f>
        <v>2.2787572900000001E-2</v>
      </c>
      <c r="AY54" s="135">
        <f t="shared" ref="AY54:AY55" si="272">SQRT(((AU54*EXP(-0.0000091577*AW54*1000))/(0.0000091577*(EXP(-0.0000091577*AW54*1000)+(AJ54/1000)*EXP(-(0.0000091577-0.0000028263)*AW54*1000)-AS54*AU54*EXP(-0.0000091577*AW54*1000))))^2*AT54^2+((AS54*EXP(-0.0000091577*AW54*1000))/(0.0000091577*(EXP(-0.0000091577*AW54*1000)+(AJ54/1000)*EXP(-(0.0000091577-0.0000028263)*AW54*1000)-AS54*AU54*EXP(-0.0000091577*AW54*1000))))^2*AV54^2+((0.0000091577/(0.0000091577-0.0000028263))*(EXP(-(0.0000091577-0.0000028263)*AW54*1000)-1)/(0.0000091577*(EXP(-0.0000091577*AW54*1000)+(AJ54/1000)*EXP(-(0.0000091577-0.0000028263)*AW54*1000)-AS54*AU54*EXP(-0.0000091577*AW54*1000))))^2*T54^2+(1/(0.0000091577*(EXP(-0.0000091577*AW54*1000)+(AJ54/1000)*EXP(-(0.0000091577-0.0000028263)*AW54*1000)-AS54*AU54*EXP(-0.0000091577*AW54*1000))))^2*AO54^2)/1000</f>
        <v>2.3005149815235274E-2</v>
      </c>
      <c r="AZ54" s="154">
        <f t="shared" ref="AZ54:AZ55" si="273">AX54/AW54</f>
        <v>3.7815421340856289E-2</v>
      </c>
      <c r="BA54" s="18" t="str">
        <f>Input!B54</f>
        <v>CSM_1818</v>
      </c>
      <c r="BB54" s="136">
        <f>Input!E54</f>
        <v>0</v>
      </c>
      <c r="BC54" s="18">
        <f>((U54-1)*EXP(Constants!$B$17*AW54*1000))*1000</f>
        <v>147.32107905526127</v>
      </c>
      <c r="BD54" s="132">
        <f>SQRT((EXP(Constants!$B$17*AW54*1000)*V54)^2+((U54-1)*Constants!$B$17*EXP(Constants!$B$17*AW54*1000)*AY54*1000)^2)*1000</f>
        <v>0.81286081029845159</v>
      </c>
      <c r="BE54" s="18">
        <f t="shared" ref="BE54:BE55" si="274">AW54*1000-58</f>
        <v>544.6</v>
      </c>
      <c r="BF54" s="137">
        <f t="shared" ref="BF54:BF55" si="275">AY54/2*1000</f>
        <v>11.502574907617637</v>
      </c>
      <c r="BG54" s="20">
        <f t="shared" ref="BG54:BG55" si="276">AY54/AW54*100</f>
        <v>3.8176484924054552</v>
      </c>
      <c r="BH54" s="18"/>
      <c r="BI54" s="18"/>
      <c r="BJ54" s="18"/>
      <c r="BK54" s="18"/>
      <c r="BL54" s="18"/>
      <c r="BM54" s="18"/>
      <c r="BN54" s="159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</row>
    <row r="55" spans="1:110" ht="15" customHeight="1" x14ac:dyDescent="0.2">
      <c r="A55" s="138">
        <f>Input!A55</f>
        <v>10815</v>
      </c>
      <c r="B55" s="138" t="str">
        <f>Input!B55</f>
        <v>Hu1-13</v>
      </c>
      <c r="C55" s="138">
        <f>Input!O55</f>
        <v>2.0609471820448548</v>
      </c>
      <c r="D55" s="138">
        <f>C55*Input!P55/100</f>
        <v>2.2646922022542103E-2</v>
      </c>
      <c r="E55" s="139">
        <f>Input!M55</f>
        <v>2.7325378355104148</v>
      </c>
      <c r="F55" s="140">
        <f>E55*Input!N55/100</f>
        <v>3.3622385648418086E-4</v>
      </c>
      <c r="G55" s="141">
        <f t="shared" ref="G55" si="277">E55*137.88</f>
        <v>376.76231676017596</v>
      </c>
      <c r="H55" s="140">
        <f>G55*Input!L55/100</f>
        <v>2.6917641387437793E-2</v>
      </c>
      <c r="I55" s="138">
        <v>0</v>
      </c>
      <c r="J55" s="142">
        <f>(((C55*Constants!$B$24*0.000000001*Input!G55*(Constants!$B$4/Constants!$B$3))-(I55*0.000000000000001))/Input!F55)*1000000000000</f>
        <v>744.0793062180278</v>
      </c>
      <c r="K55" s="138">
        <f>J55*Input!P55/100</f>
        <v>8.1763890764960667</v>
      </c>
      <c r="L55" s="143">
        <f>(J55/Constants!$B$4)*602200000000*Constants!$B$17/(365.2425*24*60)</f>
        <v>10.272840984635474</v>
      </c>
      <c r="M55" s="144">
        <f>L55*Input!P55/100</f>
        <v>0.11288412956715493</v>
      </c>
      <c r="N55" s="138">
        <v>0</v>
      </c>
      <c r="O55" s="142">
        <f>(((G55*Constants!$B$23*0.000000001*Input!G55*(Constants!$B$7/Constants!$B$6))-(N55*0.000000001))/Input!F55)*1000000</f>
        <v>13.702547745008772</v>
      </c>
      <c r="P55" s="138">
        <f>O55*Input!N55/100</f>
        <v>1.6860236614527587E-3</v>
      </c>
      <c r="Q55" s="145">
        <f>(O55/Constants!$B$7)*602200000000000000*Constants!$B$18/(365.2425*24*60)</f>
        <v>10.223755316428857</v>
      </c>
      <c r="R55" s="146">
        <f>Q55*Input!N55/100</f>
        <v>1.257977253075534E-3</v>
      </c>
      <c r="S55" s="144">
        <f>Input!S55*Constants!$B$17/Constants!$B$18</f>
        <v>1.0004297170514824</v>
      </c>
      <c r="T55" s="138">
        <f>S55*Input!T55/100</f>
        <v>1.9492210332213412E-3</v>
      </c>
      <c r="U55" s="144">
        <f>S55</f>
        <v>1.0004297170514824</v>
      </c>
      <c r="V55" s="138">
        <f>U55*Input!T55/100</f>
        <v>1.9492210332213412E-3</v>
      </c>
      <c r="W55" s="147">
        <v>0</v>
      </c>
      <c r="X55" s="142">
        <f>(((Constants!$B$25*0.000000001*Input!G55/Input!W55*(Constants!$B$11/Constants!$B$9))-(W55*0.000000001))/Input!F55)*1000000000</f>
        <v>0.95161499199434807</v>
      </c>
      <c r="Y55" s="142">
        <f>X55*Input!X55/100</f>
        <v>6.9705582302425177E-3</v>
      </c>
      <c r="Z55" s="142">
        <f>(X55/Constants!$B$11)*6.022E+23*0.000000001*Constants!$B$19/(365.2425*24*60)</f>
        <v>2.3231998405069343E-4</v>
      </c>
      <c r="AA55" s="142">
        <f>Z55*Input!X55/100</f>
        <v>1.7017386133025421E-6</v>
      </c>
      <c r="AB55" s="143">
        <v>0</v>
      </c>
      <c r="AC55" s="143">
        <v>0.9</v>
      </c>
      <c r="AD55" s="142">
        <f>(((Input!G55*Constants!$B$25*0.000000001*Input!U55*(Constants!$B$10/Constants!$B$9))-((AB55*0.000000000000001)+(Input!G55*AC55*0.000000000000001)))/Input!F55)*1000000000000</f>
        <v>223.47120282103708</v>
      </c>
      <c r="AE55" s="142">
        <f>AD55*Input!V55/100</f>
        <v>0.58370342701323208</v>
      </c>
      <c r="AF55" s="142">
        <f>(AD55/Constants!$B$10)*602200000000*Constants!$B$16/(365.2425*24*60)</f>
        <v>10.200492435304769</v>
      </c>
      <c r="AG55" s="142">
        <f>AF55*Input!V55/100</f>
        <v>2.664353311096709E-2</v>
      </c>
      <c r="AH55" s="138">
        <f t="shared" ref="AH55" si="278">AF55/Z55</f>
        <v>43907.081334333117</v>
      </c>
      <c r="AI55" s="147">
        <f t="shared" ref="AI55" si="279">AH55*SQRT((AG55/AF55)^2+(AA55/Z55)^2)</f>
        <v>341.45416243538858</v>
      </c>
      <c r="AJ55" s="144">
        <f t="shared" si="266"/>
        <v>0.42971705148242556</v>
      </c>
      <c r="AK55" s="147">
        <f t="shared" ref="AK55" si="280">V55*1000</f>
        <v>1.9492210332213411</v>
      </c>
      <c r="AL55" s="147">
        <f t="shared" ref="AL55" si="281">AF55/Q55</f>
        <v>0.99772462462137501</v>
      </c>
      <c r="AM55" s="147">
        <f t="shared" ref="AM55" si="282">AL55*SQRT((R55/Q55)^2+(AG55/AF55)^2)</f>
        <v>2.6089317158205722E-3</v>
      </c>
      <c r="AN55" s="138">
        <f>AF55/Q55</f>
        <v>0.99772462462137501</v>
      </c>
      <c r="AO55" s="142">
        <f t="shared" ref="AO55" si="283">AN55*SQRT((R55/Q55)^2+(AG55/AF55)^2)</f>
        <v>2.6089317158205722E-3</v>
      </c>
      <c r="AP55" s="138">
        <f t="shared" ref="AP55" si="284">ThU_Alter_Kombi(AN55,U55)</f>
        <v>637.71069999999997</v>
      </c>
      <c r="AQ55" s="138" t="e">
        <f t="shared" si="267"/>
        <v>#VALUE!</v>
      </c>
      <c r="AR55" s="138" t="e">
        <f>(AQ55/AP55)*100</f>
        <v>#VALUE!</v>
      </c>
      <c r="AS55" s="146">
        <f t="shared" si="268"/>
        <v>2.272354696100478E-5</v>
      </c>
      <c r="AT55" s="146">
        <f t="shared" si="269"/>
        <v>1.6647294797156985E-7</v>
      </c>
      <c r="AU55" s="138">
        <v>0.75</v>
      </c>
      <c r="AV55" s="138">
        <f t="shared" ref="AV55" si="285">AU55/2</f>
        <v>0.375</v>
      </c>
      <c r="AW55" s="138">
        <f t="shared" si="270"/>
        <v>637.70889999999997</v>
      </c>
      <c r="AX55" s="148">
        <f t="shared" si="271"/>
        <v>290.32042679400001</v>
      </c>
      <c r="AY55" s="148">
        <f t="shared" si="272"/>
        <v>142.45923206380962</v>
      </c>
      <c r="AZ55" s="149">
        <f t="shared" si="273"/>
        <v>0.45525541010012566</v>
      </c>
      <c r="BA55" s="138" t="str">
        <f>Input!B55</f>
        <v>Hu1-13</v>
      </c>
      <c r="BB55" s="150">
        <f>Input!E55</f>
        <v>0</v>
      </c>
      <c r="BC55" s="138">
        <f>((U55-1)*EXP(Constants!$B$17*AW55*1000))*1000</f>
        <v>2.5987341774315054</v>
      </c>
      <c r="BD55" s="144">
        <f>SQRT((EXP(Constants!$B$17*AW55*1000)*V55)^2+((U55-1)*Constants!$B$17*EXP(Constants!$B$17*AW55*1000)*AY55*1000)^2)*1000</f>
        <v>11.834214266987704</v>
      </c>
      <c r="BE55" s="138">
        <f t="shared" si="274"/>
        <v>637650.9</v>
      </c>
      <c r="BF55" s="151">
        <f t="shared" si="275"/>
        <v>71229.616031904807</v>
      </c>
      <c r="BG55" s="160">
        <f t="shared" si="276"/>
        <v>22.339225948361332</v>
      </c>
      <c r="BH55" s="138"/>
      <c r="BI55" s="18"/>
      <c r="BJ55" s="18"/>
      <c r="BK55" s="18"/>
      <c r="BL55" s="18"/>
      <c r="BM55" s="18"/>
      <c r="BN55" s="159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</row>
    <row r="56" spans="1:110" ht="15" customHeight="1" x14ac:dyDescent="0.2">
      <c r="A56" s="18">
        <f>Input!A56</f>
        <v>10934</v>
      </c>
      <c r="B56" s="18" t="str">
        <f>Input!B56</f>
        <v>CSM_1820</v>
      </c>
      <c r="C56" s="18">
        <f>Input!O56</f>
        <v>4.1317915797858467</v>
      </c>
      <c r="D56" s="18">
        <f>C56*Input!P56/100</f>
        <v>2.4751635595910794E-2</v>
      </c>
      <c r="E56" s="152">
        <f>Input!M56</f>
        <v>4.7361177664266316</v>
      </c>
      <c r="F56" s="153">
        <f>E56*Input!N56/100</f>
        <v>4.1777368008448815E-4</v>
      </c>
      <c r="G56" s="21">
        <f>E56*137.88</f>
        <v>653.01591763490399</v>
      </c>
      <c r="H56" s="153">
        <f>G56*Input!L56/100</f>
        <v>3.2495964224748548E-2</v>
      </c>
      <c r="I56" s="18">
        <v>0.3</v>
      </c>
      <c r="J56" s="129">
        <f>(((C56*Constants!$B$24*0.000000001*Input!G56*(Constants!$B$4/Constants!$B$3))-(I56*0.000000000000001))/Input!F56)*1000000000000</f>
        <v>177.17219741084591</v>
      </c>
      <c r="K56" s="18">
        <f>J56*Input!P56/100</f>
        <v>1.0613559719455454</v>
      </c>
      <c r="L56" s="134">
        <f>(J56/Constants!$B$4)*602200000000*Constants!$B$17/(365.2425*24*60)</f>
        <v>2.4460589021766936</v>
      </c>
      <c r="M56" s="132">
        <f>L56*Input!P56/100</f>
        <v>1.4653197631994099E-2</v>
      </c>
      <c r="N56" s="18">
        <v>5.0000000000000001E-3</v>
      </c>
      <c r="O56" s="129">
        <f>(((G56*Constants!$B$23*0.000000001*Input!G56*(Constants!$B$7/Constants!$B$6))-(N56*0.000000001))/Input!F56)*1000000</f>
        <v>2.8207336388616575</v>
      </c>
      <c r="P56" s="18">
        <f>O56*Input!N56/100</f>
        <v>2.4881735019322807E-4</v>
      </c>
      <c r="Q56" s="130">
        <f>(O56/Constants!$B$7)*602200000000000000*Constants!$B$18/(365.2425*24*60)</f>
        <v>2.1046079220593241</v>
      </c>
      <c r="R56" s="131">
        <f>Q56*Input!N56/100</f>
        <v>1.8564779004578668E-4</v>
      </c>
      <c r="S56" s="132">
        <f>Input!S56*Constants!$B$17/Constants!$B$18</f>
        <v>1.1471045323540408</v>
      </c>
      <c r="T56" s="18">
        <f>S56*Input!T56/100</f>
        <v>5.8099005820028572E-4</v>
      </c>
      <c r="U56" s="18">
        <f>S56*1/((U55+U57)/2)</f>
        <v>1.1460614240730509</v>
      </c>
      <c r="V56" s="18">
        <f>U56*Input!T56/100</f>
        <v>5.8046174057640033E-4</v>
      </c>
      <c r="W56" s="133">
        <v>3.0000000000000001E-3</v>
      </c>
      <c r="X56" s="129">
        <f>IF((((Constants!$B$25*0.000000001*Input!G56/Input!W56*(Constants!$B$11/Constants!$B$9))-(W56*0.000000001))/Input!F56)*1000000000&lt;0, "n.d.", (((Constants!$B$25*0.000000001*Input!G56/Input!W56*(Constants!$B$11/Constants!$B$9))-(W56*0.000000001))/Input!F56)*1000000000)</f>
        <v>1.3391259792750928E-2</v>
      </c>
      <c r="Y56" s="129">
        <f>X56*Input!X56/100</f>
        <v>2.5671724718233303E-4</v>
      </c>
      <c r="Z56" s="129">
        <f>(X56/Constants!$B$11)*6.022E+23*0.000000001*Constants!$B$19/(365.2425*24*60)</f>
        <v>3.2692394378430148E-6</v>
      </c>
      <c r="AA56" s="129">
        <f>Z56*Input!X56/100</f>
        <v>6.2672979379975722E-8</v>
      </c>
      <c r="AB56" s="134">
        <v>0.05</v>
      </c>
      <c r="AC56" s="134">
        <v>0.9</v>
      </c>
      <c r="AD56" s="129">
        <f>(((Input!G56*Constants!$B$25*0.000000001*Input!U56*(Constants!$B$10/Constants!$B$9))-((AB56*0.000000000000001)+(Input!G56*AC56*0.000000000000001)))/Input!F56)*1000000000000</f>
        <v>0.23871431950237879</v>
      </c>
      <c r="AE56" s="129">
        <f>AD56*Input!V56/100</f>
        <v>6.1594079876513084E-3</v>
      </c>
      <c r="AF56" s="129">
        <f>(AD56/Constants!$B$10)*602200000000*Constants!$B$16/(365.2425*24*60)</f>
        <v>1.0896274685705115E-2</v>
      </c>
      <c r="AG56" s="129">
        <f>AF56*Input!V56/100</f>
        <v>2.8115029494117151E-4</v>
      </c>
      <c r="AH56" s="18">
        <f>AF56/Z56</f>
        <v>3332.9693015370817</v>
      </c>
      <c r="AI56" s="133">
        <f>AH56*SQRT((AG56/AF56)^2+(AA56/Z56)^2)</f>
        <v>107.13686723706712</v>
      </c>
      <c r="AJ56" s="132">
        <f t="shared" ref="AJ56:AJ57" si="286">(U56-1)*1000</f>
        <v>146.06142407305089</v>
      </c>
      <c r="AK56" s="133">
        <f>V56*1000</f>
        <v>0.58046174057640032</v>
      </c>
      <c r="AL56" s="133">
        <f>AF56/Q56</f>
        <v>5.1773418561701931E-3</v>
      </c>
      <c r="AM56" s="133">
        <f>AL56*SQRT((R56/Q56)^2+(AG56/AF56)^2)</f>
        <v>1.3358874826084111E-4</v>
      </c>
      <c r="AN56" s="18">
        <f>AL56*1/((AN55+AN57)/2)</f>
        <v>5.1847800814322281E-3</v>
      </c>
      <c r="AO56" s="129">
        <f>AN56*SQRT((R56/Q56)^2+(AG56/AF56)^2)</f>
        <v>1.3378067362131412E-4</v>
      </c>
      <c r="AP56" s="18">
        <f>ThU_Alter_Kombi(AN56,U56)</f>
        <v>0.49440000000000001</v>
      </c>
      <c r="AQ56" s="18">
        <f t="shared" ref="AQ56:AQ57" si="287">Montealter(AN56,AO56,U56,V56)</f>
        <v>1.32E-2</v>
      </c>
      <c r="AR56" s="154">
        <f>(AQ56/AP56)</f>
        <v>2.6699029126213591E-2</v>
      </c>
      <c r="AS56" s="131">
        <f t="shared" ref="AS56:AS57" si="288">Z56/Q56</f>
        <v>1.5533721999127124E-6</v>
      </c>
      <c r="AT56" s="131">
        <f t="shared" ref="AT56:AT57" si="289">AS56*SQRT((Y56/X56)^2+(P56/O56)^2)</f>
        <v>2.9779248756037933E-8</v>
      </c>
      <c r="AU56" s="18">
        <v>8</v>
      </c>
      <c r="AV56" s="18">
        <f>AU56/2</f>
        <v>4</v>
      </c>
      <c r="AW56" s="18">
        <f t="shared" ref="AW56:AW57" si="290">marincorr_age(AN56,U56,AS56,AU56)</f>
        <v>0.49320000000000003</v>
      </c>
      <c r="AX56" s="135">
        <f t="shared" ref="AX56:AX57" si="291">marincorr_age_error(AN56, AO56, U56, V56, AS56, AT56, AU56, AV56)</f>
        <v>1.26374852E-2</v>
      </c>
      <c r="AY56" s="135">
        <f t="shared" ref="AY56:AY57" si="292">SQRT(((AU56*EXP(-0.0000091577*AW56*1000))/(0.0000091577*(EXP(-0.0000091577*AW56*1000)+(AJ56/1000)*EXP(-(0.0000091577-0.0000028263)*AW56*1000)-AS56*AU56*EXP(-0.0000091577*AW56*1000))))^2*AT56^2+((AS56*EXP(-0.0000091577*AW56*1000))/(0.0000091577*(EXP(-0.0000091577*AW56*1000)+(AJ56/1000)*EXP(-(0.0000091577-0.0000028263)*AW56*1000)-AS56*AU56*EXP(-0.0000091577*AW56*1000))))^2*AV56^2+((0.0000091577/(0.0000091577-0.0000028263))*(EXP(-(0.0000091577-0.0000028263)*AW56*1000)-1)/(0.0000091577*(EXP(-0.0000091577*AW56*1000)+(AJ56/1000)*EXP(-(0.0000091577-0.0000028263)*AW56*1000)-AS56*AU56*EXP(-0.0000091577*AW56*1000))))^2*T56^2+(1/(0.0000091577*(EXP(-0.0000091577*AW56*1000)+(AJ56/1000)*EXP(-(0.0000091577-0.0000028263)*AW56*1000)-AS56*AU56*EXP(-0.0000091577*AW56*1000))))^2*AO56^2)/1000</f>
        <v>1.2818452330588105E-2</v>
      </c>
      <c r="AZ56" s="154">
        <f t="shared" ref="AZ56:AZ57" si="293">AX56/AW56</f>
        <v>2.5623449310624491E-2</v>
      </c>
      <c r="BA56" s="18" t="str">
        <f>Input!B56</f>
        <v>CSM_1820</v>
      </c>
      <c r="BB56" s="136">
        <f>Input!E56</f>
        <v>0</v>
      </c>
      <c r="BC56" s="18">
        <f>((U56-1)*EXP(Constants!$B$17*AW56*1000))*1000</f>
        <v>146.26485974647565</v>
      </c>
      <c r="BD56" s="132">
        <f>SQRT((EXP(Constants!$B$17*AW56*1000)*V56)^2+((U56-1)*Constants!$B$17*EXP(Constants!$B$17*AW56*1000)*AY56*1000)^2)*1000</f>
        <v>0.5812942935038613</v>
      </c>
      <c r="BE56" s="18">
        <f t="shared" ref="BE56:BE57" si="294">AW56*1000-58</f>
        <v>435.20000000000005</v>
      </c>
      <c r="BF56" s="137">
        <f t="shared" ref="BF56:BF57" si="295">AY56/2*1000</f>
        <v>6.4092261652940525</v>
      </c>
      <c r="BG56" s="20">
        <f t="shared" ref="BG56:BG57" si="296">AY56/AW56*100</f>
        <v>2.5990373744095914</v>
      </c>
      <c r="BH56" s="18"/>
      <c r="BI56" s="18"/>
      <c r="BJ56" s="18"/>
      <c r="BK56" s="18"/>
      <c r="BL56" s="18"/>
      <c r="BM56" s="18"/>
      <c r="BN56" s="159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</row>
    <row r="57" spans="1:110" ht="15" customHeight="1" x14ac:dyDescent="0.2">
      <c r="A57" s="138">
        <f>Input!A57</f>
        <v>10815</v>
      </c>
      <c r="B57" s="138" t="str">
        <f>Input!B57</f>
        <v>Hu1-13</v>
      </c>
      <c r="C57" s="138">
        <f>Input!O57</f>
        <v>2.0860116391228782</v>
      </c>
      <c r="D57" s="138">
        <f>C57*Input!P57/100</f>
        <v>2.0703471640581714E-2</v>
      </c>
      <c r="E57" s="139">
        <f>Input!M57</f>
        <v>2.7321687682977935</v>
      </c>
      <c r="F57" s="140">
        <f>E57*Input!N57/100</f>
        <v>3.937732213740533E-4</v>
      </c>
      <c r="G57" s="141">
        <f t="shared" ref="G57" si="297">E57*137.88</f>
        <v>376.71142977289975</v>
      </c>
      <c r="H57" s="140">
        <f>G57*Input!L57/100</f>
        <v>2.7865718316347446E-2</v>
      </c>
      <c r="I57" s="138">
        <v>0</v>
      </c>
      <c r="J57" s="142">
        <f>(((C57*Constants!$B$24*0.000000001*Input!G57*(Constants!$B$4/Constants!$B$3))-(I57*0.000000000000001))/Input!F57)*1000000000000</f>
        <v>753.12851621032007</v>
      </c>
      <c r="K57" s="138">
        <f>J57*Input!P57/100</f>
        <v>7.4747305262543957</v>
      </c>
      <c r="L57" s="143">
        <f>(J57/Constants!$B$4)*602200000000*Constants!$B$17/(365.2425*24*60)</f>
        <v>10.397775376051211</v>
      </c>
      <c r="M57" s="144">
        <f>L57*Input!P57/100</f>
        <v>0.10319695421916793</v>
      </c>
      <c r="N57" s="138">
        <v>0</v>
      </c>
      <c r="O57" s="142">
        <f>(((G57*Constants!$B$23*0.000000001*Input!G57*(Constants!$B$7/Constants!$B$6))-(N57*0.000000001))/Input!F57)*1000000</f>
        <v>13.700697025492161</v>
      </c>
      <c r="P57" s="138">
        <f>O57*Input!N57/100</f>
        <v>1.9746099382283592E-3</v>
      </c>
      <c r="Q57" s="145">
        <f>(O57/Constants!$B$7)*602200000000000000*Constants!$B$18/(365.2425*24*60)</f>
        <v>10.222374456179416</v>
      </c>
      <c r="R57" s="146">
        <f>Q57*Input!N57/100</f>
        <v>1.4732974647863578E-3</v>
      </c>
      <c r="S57" s="144">
        <f>Input!S57*Constants!$B$17/Constants!$B$18</f>
        <v>1.0013906186811048</v>
      </c>
      <c r="T57" s="138">
        <f>S57*Input!T57/100</f>
        <v>2.3475758660355664E-3</v>
      </c>
      <c r="U57" s="144">
        <f>S57</f>
        <v>1.0013906186811048</v>
      </c>
      <c r="V57" s="138">
        <f>U57*Input!T57/100</f>
        <v>2.3475758660355664E-3</v>
      </c>
      <c r="W57" s="147">
        <v>0</v>
      </c>
      <c r="X57" s="142">
        <f>(((Constants!$B$25*0.000000001*Input!G57/Input!W57*(Constants!$B$11/Constants!$B$9))-(W57*0.000000001))/Input!F57)*1000000000</f>
        <v>0.94427283537441153</v>
      </c>
      <c r="Y57" s="142">
        <f>X57*Input!X57/100</f>
        <v>5.4073244309255095E-3</v>
      </c>
      <c r="Z57" s="142">
        <f>(X57/Constants!$B$11)*6.022E+23*0.000000001*Constants!$B$19/(365.2425*24*60)</f>
        <v>2.3052752625716226E-4</v>
      </c>
      <c r="AA57" s="142">
        <f>Z57*Input!X57/100</f>
        <v>1.3201027055246311E-6</v>
      </c>
      <c r="AB57" s="143">
        <v>0</v>
      </c>
      <c r="AC57" s="143">
        <v>0.9</v>
      </c>
      <c r="AD57" s="142">
        <f>(((Input!G57*Constants!$B$25*0.000000001*Input!U57*(Constants!$B$10/Constants!$B$9))-((AB57*0.000000000000001)+(Input!G57*AC57*0.000000000000001)))/Input!F57)*1000000000000</f>
        <v>223.81759214277542</v>
      </c>
      <c r="AE57" s="142">
        <f>AD57*Input!V57/100</f>
        <v>0.62449178077290435</v>
      </c>
      <c r="AF57" s="142">
        <f>(AD57/Constants!$B$10)*602200000000*Constants!$B$16/(365.2425*24*60)</f>
        <v>10.21630360744444</v>
      </c>
      <c r="AG57" s="142">
        <f>AF57*Input!V57/100</f>
        <v>2.8505344783888845E-2</v>
      </c>
      <c r="AH57" s="138">
        <f t="shared" ref="AH57" si="298">AF57/Z57</f>
        <v>44317.066049838068</v>
      </c>
      <c r="AI57" s="147">
        <f t="shared" ref="AI57" si="299">AH57*SQRT((AG57/AF57)^2+(AA57/Z57)^2)</f>
        <v>282.30097157921745</v>
      </c>
      <c r="AJ57" s="144">
        <f t="shared" si="286"/>
        <v>1.3906186811047938</v>
      </c>
      <c r="AK57" s="147">
        <f t="shared" ref="AK57" si="300">V57*1000</f>
        <v>2.3475758660355663</v>
      </c>
      <c r="AL57" s="147">
        <f t="shared" ref="AL57" si="301">AF57/Q57</f>
        <v>0.99940612146805996</v>
      </c>
      <c r="AM57" s="147">
        <f t="shared" ref="AM57" si="302">AL57*SQRT((R57/Q57)^2+(AG57/AF57)^2)</f>
        <v>2.7922424502575074E-3</v>
      </c>
      <c r="AN57" s="138">
        <f>AF57/Q57</f>
        <v>0.99940612146805996</v>
      </c>
      <c r="AO57" s="142">
        <f t="shared" ref="AO57" si="303">AN57*SQRT((R57/Q57)^2+(AG57/AF57)^2)</f>
        <v>2.7922424502575074E-3</v>
      </c>
      <c r="AP57" s="138">
        <f t="shared" ref="AP57" si="304">ThU_Alter_Kombi(AN57,U57)</f>
        <v>650.31820000000005</v>
      </c>
      <c r="AQ57" s="138" t="e">
        <f t="shared" si="287"/>
        <v>#VALUE!</v>
      </c>
      <c r="AR57" s="138" t="e">
        <f>(AQ57/AP57)*100</f>
        <v>#VALUE!</v>
      </c>
      <c r="AS57" s="146">
        <f t="shared" si="288"/>
        <v>2.2551269985791666E-5</v>
      </c>
      <c r="AT57" s="146">
        <f t="shared" si="289"/>
        <v>1.2917945334675027E-7</v>
      </c>
      <c r="AU57" s="138">
        <v>0.75</v>
      </c>
      <c r="AV57" s="138">
        <f t="shared" ref="AV57" si="305">AU57/2</f>
        <v>0.375</v>
      </c>
      <c r="AW57" s="138">
        <f t="shared" si="290"/>
        <v>650.31640000000004</v>
      </c>
      <c r="AX57" s="148">
        <f t="shared" si="291"/>
        <v>278.26218976220002</v>
      </c>
      <c r="AY57" s="148">
        <f t="shared" si="292"/>
        <v>181.83918124039766</v>
      </c>
      <c r="AZ57" s="149">
        <f t="shared" si="293"/>
        <v>0.42788739413952964</v>
      </c>
      <c r="BA57" s="138" t="str">
        <f>Input!B57</f>
        <v>Hu1-13</v>
      </c>
      <c r="BB57" s="150">
        <f>Input!E57</f>
        <v>0</v>
      </c>
      <c r="BC57" s="138">
        <f>((U57-1)*EXP(Constants!$B$17*AW57*1000))*1000</f>
        <v>8.7144332231504062</v>
      </c>
      <c r="BD57" s="144">
        <f>SQRT((EXP(Constants!$B$17*AW57*1000)*V57)^2+((U57-1)*Constants!$B$17*EXP(Constants!$B$17*AW57*1000)*AY57*1000)^2)*1000</f>
        <v>15.375954635078386</v>
      </c>
      <c r="BE57" s="138">
        <f t="shared" si="294"/>
        <v>650258.4</v>
      </c>
      <c r="BF57" s="151">
        <f t="shared" si="295"/>
        <v>90919.590620198825</v>
      </c>
      <c r="BG57" s="160">
        <f t="shared" si="296"/>
        <v>27.961647782586702</v>
      </c>
      <c r="BH57" s="138"/>
      <c r="BI57" s="18"/>
      <c r="BJ57" s="18"/>
      <c r="BK57" s="18"/>
      <c r="BL57" s="18"/>
      <c r="BM57" s="18"/>
      <c r="BN57" s="159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</row>
    <row r="59" spans="1:110" ht="15" customHeight="1" x14ac:dyDescent="0.2">
      <c r="A59" s="138">
        <f>Input!A59</f>
        <v>10815</v>
      </c>
      <c r="B59" s="138" t="str">
        <f>Input!B59</f>
        <v>Hu1-13</v>
      </c>
      <c r="C59" s="138">
        <f>Input!O59</f>
        <v>2.0554608373811565</v>
      </c>
      <c r="D59" s="138">
        <f>C59*Input!P59/100</f>
        <v>1.9847840671978069E-2</v>
      </c>
      <c r="E59" s="139">
        <f>Input!M59</f>
        <v>2.7324387331469797</v>
      </c>
      <c r="F59" s="140">
        <f>E59*Input!N59/100</f>
        <v>3.6273747898346261E-4</v>
      </c>
      <c r="G59" s="141">
        <f t="shared" ref="G59" si="306">E59*137.88</f>
        <v>376.74865252630553</v>
      </c>
      <c r="H59" s="140">
        <f>G59*Input!L59/100</f>
        <v>3.4184731460238663E-2</v>
      </c>
      <c r="I59" s="138">
        <v>0</v>
      </c>
      <c r="J59" s="142">
        <f>(((C59*Constants!$B$24*0.000000001*Input!G59*(Constants!$B$4/Constants!$B$3))-(I59*0.000000000000001))/Input!F59)*1000000000000</f>
        <v>742.09852982229927</v>
      </c>
      <c r="K59" s="138">
        <f>J59*Input!P59/100</f>
        <v>7.1658156239008246</v>
      </c>
      <c r="L59" s="143">
        <f>(J59/Constants!$B$4)*602200000000*Constants!$B$17/(365.2425*24*60)</f>
        <v>10.245494167207017</v>
      </c>
      <c r="M59" s="144">
        <f>L59*Input!P59/100</f>
        <v>9.8932040999376594E-2</v>
      </c>
      <c r="N59" s="138">
        <v>0</v>
      </c>
      <c r="O59" s="142">
        <f>(((G59*Constants!$B$23*0.000000001*Input!G59*(Constants!$B$7/Constants!$B$6))-(N59*0.000000001))/Input!F59)*1000000</f>
        <v>13.702050787620308</v>
      </c>
      <c r="P59" s="138">
        <f>O59*Input!N59/100</f>
        <v>1.8189785188268319E-3</v>
      </c>
      <c r="Q59" s="145">
        <f>(O59/Constants!$B$7)*602200000000000000*Constants!$B$18/(365.2425*24*60)</f>
        <v>10.223384526205251</v>
      </c>
      <c r="R59" s="146">
        <f>Q59*Input!N59/100</f>
        <v>1.357177632101278E-3</v>
      </c>
      <c r="S59" s="144">
        <f>Input!S59*Constants!$B$17/Constants!$B$18</f>
        <v>0.99810051453959447</v>
      </c>
      <c r="T59" s="138">
        <f>S59*Input!T59/100</f>
        <v>1.7225892450143583E-3</v>
      </c>
      <c r="U59" s="144">
        <f>S59</f>
        <v>0.99810051453959447</v>
      </c>
      <c r="V59" s="138">
        <f>U59*Input!T59/100</f>
        <v>1.7225892450143583E-3</v>
      </c>
      <c r="W59" s="147">
        <v>0</v>
      </c>
      <c r="X59" s="142">
        <f>(((Constants!$B$25*0.000000001*Input!G59/Input!W59*(Constants!$B$11/Constants!$B$9))-(W59*0.000000001))/Input!F59)*1000000000</f>
        <v>0.96030000489508915</v>
      </c>
      <c r="Y59" s="142">
        <f>X59*Input!X59/100</f>
        <v>6.3453964300676166E-3</v>
      </c>
      <c r="Z59" s="142">
        <f>(X59/Constants!$B$11)*6.022E+23*0.000000001*Constants!$B$19/(365.2425*24*60)</f>
        <v>2.3444027647520811E-4</v>
      </c>
      <c r="AA59" s="142">
        <f>Z59*Input!X59/100</f>
        <v>1.5491164071923231E-6</v>
      </c>
      <c r="AB59" s="143">
        <v>0</v>
      </c>
      <c r="AC59" s="143">
        <v>0.9</v>
      </c>
      <c r="AD59" s="142">
        <f>(((Input!G59*Constants!$B$25*0.000000001*Input!U59*(Constants!$B$10/Constants!$B$9))-((AB59*0.000000000000001)+(Input!G59*AC59*0.000000000000001)))/Input!F59)*1000000000000</f>
        <v>223.91406970056892</v>
      </c>
      <c r="AE59" s="142">
        <f>AD59*Input!V59/100</f>
        <v>0.70808022417131511</v>
      </c>
      <c r="AF59" s="142">
        <f>(AD59/Constants!$B$10)*602200000000*Constants!$B$16/(365.2425*24*60)</f>
        <v>10.220707390061733</v>
      </c>
      <c r="AG59" s="142">
        <f>AF59*Input!V59/100</f>
        <v>3.2320795158706103E-2</v>
      </c>
      <c r="AH59" s="138">
        <f t="shared" ref="AH59" si="307">AF59/Z59</f>
        <v>43596.209421560568</v>
      </c>
      <c r="AI59" s="147">
        <f t="shared" ref="AI59" si="308">AH59*SQRT((AG59/AF59)^2+(AA59/Z59)^2)</f>
        <v>319.36136242801081</v>
      </c>
      <c r="AJ59" s="144">
        <f t="shared" ref="AJ59:AJ69" si="309">(U59-1)*1000</f>
        <v>-1.8994854604055256</v>
      </c>
      <c r="AK59" s="147">
        <f t="shared" ref="AK59" si="310">V59*1000</f>
        <v>1.7225892450143583</v>
      </c>
      <c r="AL59" s="147">
        <f t="shared" ref="AL59" si="311">AF59/Q59</f>
        <v>0.99973813602172001</v>
      </c>
      <c r="AM59" s="147">
        <f t="shared" ref="AM59" si="312">AL59*SQRT((R59/Q59)^2+(AG59/AF59)^2)</f>
        <v>3.1642419531928969E-3</v>
      </c>
      <c r="AN59" s="138">
        <f>AF59/Q59</f>
        <v>0.99973813602172001</v>
      </c>
      <c r="AO59" s="142">
        <f t="shared" ref="AO59" si="313">AN59*SQRT((R59/Q59)^2+(AG59/AF59)^2)</f>
        <v>3.1642419531928969E-3</v>
      </c>
      <c r="AP59" s="138" t="str">
        <f t="shared" ref="AP59" si="314">ThU_Alter_Kombi(AN59,U59)</f>
        <v>Out of range</v>
      </c>
      <c r="AQ59" s="138" t="e">
        <f t="shared" ref="AQ59:AQ69" si="315">Montealter(AN59,AO59,U59,V59)</f>
        <v>#VALUE!</v>
      </c>
      <c r="AR59" s="138" t="e">
        <f>(AQ59/AP59)*100</f>
        <v>#VALUE!</v>
      </c>
      <c r="AS59" s="146">
        <f t="shared" ref="AS59:AS69" si="316">Z59/Q59</f>
        <v>2.2931767446903263E-5</v>
      </c>
      <c r="AT59" s="146">
        <f t="shared" ref="AT59:AT69" si="317">AS59*SQRT((Y59/X59)^2+(P59/O59)^2)</f>
        <v>1.5155734428024764E-7</v>
      </c>
      <c r="AU59" s="138">
        <v>0.75</v>
      </c>
      <c r="AV59" s="138">
        <f t="shared" ref="AV59" si="318">AU59/2</f>
        <v>0.375</v>
      </c>
      <c r="AW59" s="138" t="str">
        <f t="shared" ref="AW59:AW69" si="319">marincorr_age(AN59,U59,AS59,AU59)</f>
        <v>Out of range</v>
      </c>
      <c r="AX59" s="148">
        <f t="shared" ref="AX59:AX69" si="320">marincorr_age_error(AN59, AO59, U59, V59, AS59, AT59, AU59, AV59)</f>
        <v>281.7549487631</v>
      </c>
      <c r="AY59" s="148" t="e">
        <f t="shared" ref="AY59:AY69" si="321">SQRT(((AU59*EXP(-0.0000091577*AW59*1000))/(0.0000091577*(EXP(-0.0000091577*AW59*1000)+(AJ59/1000)*EXP(-(0.0000091577-0.0000028263)*AW59*1000)-AS59*AU59*EXP(-0.0000091577*AW59*1000))))^2*AT59^2+((AS59*EXP(-0.0000091577*AW59*1000))/(0.0000091577*(EXP(-0.0000091577*AW59*1000)+(AJ59/1000)*EXP(-(0.0000091577-0.0000028263)*AW59*1000)-AS59*AU59*EXP(-0.0000091577*AW59*1000))))^2*AV59^2+((0.0000091577/(0.0000091577-0.0000028263))*(EXP(-(0.0000091577-0.0000028263)*AW59*1000)-1)/(0.0000091577*(EXP(-0.0000091577*AW59*1000)+(AJ59/1000)*EXP(-(0.0000091577-0.0000028263)*AW59*1000)-AS59*AU59*EXP(-0.0000091577*AW59*1000))))^2*T59^2+(1/(0.0000091577*(EXP(-0.0000091577*AW59*1000)+(AJ59/1000)*EXP(-(0.0000091577-0.0000028263)*AW59*1000)-AS59*AU59*EXP(-0.0000091577*AW59*1000))))^2*AO59^2)/1000</f>
        <v>#VALUE!</v>
      </c>
      <c r="AZ59" s="149" t="e">
        <f t="shared" ref="AZ59:AZ69" si="322">AX59/AW59</f>
        <v>#VALUE!</v>
      </c>
      <c r="BA59" s="138" t="str">
        <f>Input!B59</f>
        <v>Hu1-13</v>
      </c>
      <c r="BB59" s="150">
        <f>Input!E59</f>
        <v>0</v>
      </c>
      <c r="BC59" s="138" t="e">
        <f>((U59-1)*EXP(Constants!$B$17*AW59*1000))*1000</f>
        <v>#VALUE!</v>
      </c>
      <c r="BD59" s="144" t="e">
        <f>SQRT((EXP(Constants!$B$17*AW59*1000)*V59)^2+((U59-1)*Constants!$B$17*EXP(Constants!$B$17*AW59*1000)*AY59*1000)^2)*1000</f>
        <v>#VALUE!</v>
      </c>
      <c r="BE59" s="138" t="e">
        <f t="shared" ref="BE59:BE69" si="323">AW59*1000-58</f>
        <v>#VALUE!</v>
      </c>
      <c r="BF59" s="151" t="e">
        <f t="shared" ref="BF59:BF69" si="324">AY59/2*1000</f>
        <v>#VALUE!</v>
      </c>
      <c r="BG59" s="160" t="e">
        <f t="shared" ref="BG59:BG69" si="325">AY59/AW59*100</f>
        <v>#VALUE!</v>
      </c>
      <c r="BH59" s="138"/>
      <c r="BI59" s="18"/>
      <c r="BJ59" s="18"/>
      <c r="BK59" s="18"/>
      <c r="BL59" s="18"/>
      <c r="BM59" s="18"/>
      <c r="BN59" s="159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</row>
    <row r="60" spans="1:110" ht="15" customHeight="1" x14ac:dyDescent="0.2">
      <c r="A60" s="18">
        <f>Input!A60</f>
        <v>10935</v>
      </c>
      <c r="B60" s="18" t="str">
        <f>Input!B60</f>
        <v>CSM_1821</v>
      </c>
      <c r="C60" s="18">
        <f>Input!O60</f>
        <v>4.3332425309644949</v>
      </c>
      <c r="D60" s="18">
        <f>C60*Input!P60/100</f>
        <v>2.2511419325706338E-2</v>
      </c>
      <c r="E60" s="152">
        <f>Input!M60</f>
        <v>5.0009903602410359</v>
      </c>
      <c r="F60" s="153">
        <f>E60*Input!N60/100</f>
        <v>3.7028748408065535E-4</v>
      </c>
      <c r="G60" s="21">
        <f>E60*137.88</f>
        <v>689.53655087003403</v>
      </c>
      <c r="H60" s="153">
        <f>G60*Input!L60/100</f>
        <v>4.6144424859466938E-2</v>
      </c>
      <c r="I60" s="18">
        <v>0.3</v>
      </c>
      <c r="J60" s="129">
        <f>(((C60*Constants!$B$24*0.000000001*Input!G60*(Constants!$B$4/Constants!$B$3))-(I60*0.000000000000001))/Input!F60)*1000000000000</f>
        <v>174.1834015298524</v>
      </c>
      <c r="K60" s="18">
        <f>J60*Input!P60/100</f>
        <v>0.90489179024641908</v>
      </c>
      <c r="L60" s="134">
        <f>(J60/Constants!$B$4)*602200000000*Constants!$B$17/(365.2425*24*60)</f>
        <v>2.4047952565351585</v>
      </c>
      <c r="M60" s="132">
        <f>L60*Input!P60/100</f>
        <v>1.2493035879134839E-2</v>
      </c>
      <c r="N60" s="18">
        <v>5.0000000000000001E-3</v>
      </c>
      <c r="O60" s="129">
        <f>(((G60*Constants!$B$23*0.000000001*Input!G60*(Constants!$B$7/Constants!$B$6))-(N60*0.000000001))/Input!F60)*1000000</f>
        <v>2.7921082977802829</v>
      </c>
      <c r="P60" s="18">
        <f>O60*Input!N60/100</f>
        <v>2.0673560282886676E-4</v>
      </c>
      <c r="Q60" s="130">
        <f>(O60/Constants!$B$7)*602200000000000000*Constants!$B$18/(365.2425*24*60)</f>
        <v>2.0832499608603277</v>
      </c>
      <c r="R60" s="131">
        <f>Q60*Input!N60/100</f>
        <v>1.5424972478469539E-4</v>
      </c>
      <c r="S60" s="132">
        <f>Input!S60*Constants!$B$17/Constants!$B$18</f>
        <v>1.1456535544781461</v>
      </c>
      <c r="T60" s="18">
        <f>S60*Input!T60/100</f>
        <v>6.9843997319412069E-4</v>
      </c>
      <c r="U60" s="18">
        <f>S60*1/((U59+U61)/2)</f>
        <v>1.1454890601824261</v>
      </c>
      <c r="V60" s="18">
        <f>U60*Input!T60/100</f>
        <v>6.9833969035464961E-4</v>
      </c>
      <c r="W60" s="133">
        <v>3.0000000000000001E-3</v>
      </c>
      <c r="X60" s="129">
        <f>IF((((Constants!$B$25*0.000000001*Input!G60/Input!W60*(Constants!$B$11/Constants!$B$9))-(W60*0.000000001))/Input!F60)*1000000000&lt;0, "n.d.", (((Constants!$B$25*0.000000001*Input!G60/Input!W60*(Constants!$B$11/Constants!$B$9))-(W60*0.000000001))/Input!F60)*1000000000)</f>
        <v>1.3874262515132581E-2</v>
      </c>
      <c r="Y60" s="129">
        <f>X60*Input!X60/100</f>
        <v>1.4008206562291469E-4</v>
      </c>
      <c r="Z60" s="129">
        <f>(X60/Constants!$B$11)*6.022E+23*0.000000001*Constants!$B$19/(365.2425*24*60)</f>
        <v>3.3871560172413493E-6</v>
      </c>
      <c r="AA60" s="129">
        <f>Z60*Input!X60/100</f>
        <v>3.4198560893938726E-8</v>
      </c>
      <c r="AB60" s="134">
        <v>0.05</v>
      </c>
      <c r="AC60" s="134">
        <v>0.9</v>
      </c>
      <c r="AD60" s="129">
        <f>(((Input!G60*Constants!$B$25*0.000000001*Input!U60*(Constants!$B$10/Constants!$B$9))-((AB60*0.000000000000001)+(Input!G60*AC60*0.000000000000001)))/Input!F60)*1000000000000</f>
        <v>0.17712713458383403</v>
      </c>
      <c r="AE60" s="129">
        <f>AD60*Input!V60/100</f>
        <v>3.3560239736198511E-3</v>
      </c>
      <c r="AF60" s="129">
        <f>(AD60/Constants!$B$10)*602200000000*Constants!$B$16/(365.2425*24*60)</f>
        <v>8.0850864612588991E-3</v>
      </c>
      <c r="AG60" s="129">
        <f>AF60*Input!V60/100</f>
        <v>1.531879576583552E-4</v>
      </c>
      <c r="AH60" s="18">
        <f>AF60/Z60</f>
        <v>2386.9837763905998</v>
      </c>
      <c r="AI60" s="133">
        <f>AH60*SQRT((AG60/AF60)^2+(AA60/Z60)^2)</f>
        <v>51.246720235304032</v>
      </c>
      <c r="AJ60" s="132">
        <f t="shared" si="309"/>
        <v>145.48906018242613</v>
      </c>
      <c r="AK60" s="133">
        <f>V60*1000</f>
        <v>0.6983396903546496</v>
      </c>
      <c r="AL60" s="133">
        <f>AF60/Q60</f>
        <v>3.8809968141892922E-3</v>
      </c>
      <c r="AM60" s="133">
        <f>AL60*SQRT((R60/Q60)^2+(AG60/AF60)^2)</f>
        <v>7.3533723868391283E-5</v>
      </c>
      <c r="AN60" s="18">
        <f>AL60*1/((AN59+AN61)/2)</f>
        <v>3.8796584600791291E-3</v>
      </c>
      <c r="AO60" s="129">
        <f>AN60*SQRT((R60/Q60)^2+(AG60/AF60)^2)</f>
        <v>7.350836590849422E-5</v>
      </c>
      <c r="AP60" s="18">
        <f>ThU_Alter_Kombi(AN60,U60)</f>
        <v>0.36990000000000001</v>
      </c>
      <c r="AQ60" s="18">
        <f t="shared" si="315"/>
        <v>7.3000000000000001E-3</v>
      </c>
      <c r="AR60" s="154">
        <f>(AQ60/AP60)</f>
        <v>1.973506353068397E-2</v>
      </c>
      <c r="AS60" s="131">
        <f t="shared" si="316"/>
        <v>1.6258999548198923E-6</v>
      </c>
      <c r="AT60" s="131">
        <f t="shared" si="317"/>
        <v>1.6416407595514213E-8</v>
      </c>
      <c r="AU60" s="18">
        <v>8</v>
      </c>
      <c r="AV60" s="18">
        <f>AU60/2</f>
        <v>4</v>
      </c>
      <c r="AW60" s="18">
        <f t="shared" si="319"/>
        <v>0.36870000000000003</v>
      </c>
      <c r="AX60" s="135">
        <f t="shared" si="320"/>
        <v>6.8578603999999996E-3</v>
      </c>
      <c r="AY60" s="135">
        <f t="shared" si="321"/>
        <v>7.0611724614081193E-3</v>
      </c>
      <c r="AZ60" s="154">
        <f t="shared" si="322"/>
        <v>1.8600109574179548E-2</v>
      </c>
      <c r="BA60" s="18" t="str">
        <f>Input!B60</f>
        <v>CSM_1821</v>
      </c>
      <c r="BB60" s="136">
        <f>Input!E60</f>
        <v>0</v>
      </c>
      <c r="BC60" s="18">
        <f>((U60-1)*EXP(Constants!$B$17*AW60*1000))*1000</f>
        <v>145.64051938956527</v>
      </c>
      <c r="BD60" s="132">
        <f>SQRT((EXP(Constants!$B$17*AW60*1000)*V60)^2+((U60-1)*Constants!$B$17*EXP(Constants!$B$17*AW60*1000)*AY60*1000)^2)*1000</f>
        <v>0.69907271064018517</v>
      </c>
      <c r="BE60" s="18">
        <f t="shared" si="323"/>
        <v>310.70000000000005</v>
      </c>
      <c r="BF60" s="137">
        <f t="shared" si="324"/>
        <v>3.5305862307040599</v>
      </c>
      <c r="BG60" s="20">
        <f t="shared" si="325"/>
        <v>1.9151539087084672</v>
      </c>
      <c r="BH60" s="18"/>
      <c r="BI60" s="18"/>
      <c r="BJ60" s="18"/>
      <c r="BK60" s="18"/>
      <c r="BL60" s="18"/>
      <c r="BM60" s="18"/>
      <c r="BN60" s="159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</row>
    <row r="61" spans="1:110" ht="15" customHeight="1" x14ac:dyDescent="0.2">
      <c r="A61" s="138">
        <f>Input!A61</f>
        <v>10815</v>
      </c>
      <c r="B61" s="138" t="str">
        <f>Input!B61</f>
        <v>Hu1-13</v>
      </c>
      <c r="C61" s="138">
        <f>Input!O61</f>
        <v>2.0800181702262854</v>
      </c>
      <c r="D61" s="138">
        <f>C61*Input!P61/100</f>
        <v>1.8504418669297168E-2</v>
      </c>
      <c r="E61" s="139">
        <f>Input!M61</f>
        <v>2.7312849365327394</v>
      </c>
      <c r="F61" s="140">
        <f>E61*Input!N61/100</f>
        <v>3.7449656908560713E-4</v>
      </c>
      <c r="G61" s="141">
        <f t="shared" ref="G61" si="326">E61*137.88</f>
        <v>376.58956704913408</v>
      </c>
      <c r="H61" s="140">
        <f>G61*Input!L61/100</f>
        <v>2.4276886696448199E-2</v>
      </c>
      <c r="I61" s="138">
        <v>0</v>
      </c>
      <c r="J61" s="142">
        <f>(((C61*Constants!$B$24*0.000000001*Input!G61*(Constants!$B$4/Constants!$B$3))-(I61*0.000000000000001))/Input!F61)*1000000000000</f>
        <v>750.96464892770916</v>
      </c>
      <c r="K61" s="138">
        <f>J61*Input!P61/100</f>
        <v>6.6807898452580972</v>
      </c>
      <c r="L61" s="143">
        <f>(J61/Constants!$B$4)*602200000000*Constants!$B$17/(365.2425*24*60)</f>
        <v>10.367900785640813</v>
      </c>
      <c r="M61" s="144">
        <f>L61*Input!P61/100</f>
        <v>9.2235721593894079E-2</v>
      </c>
      <c r="N61" s="138">
        <v>0</v>
      </c>
      <c r="O61" s="142">
        <f>(((G61*Constants!$B$23*0.000000001*Input!G61*(Constants!$B$7/Constants!$B$6))-(N61*0.000000001))/Input!F61)*1000000</f>
        <v>13.696264974524073</v>
      </c>
      <c r="P61" s="138">
        <f>O61*Input!N61/100</f>
        <v>1.8779454950452596E-3</v>
      </c>
      <c r="Q61" s="145">
        <f>(O61/Constants!$B$7)*602200000000000000*Constants!$B$18/(365.2425*24*60)</f>
        <v>10.219067610949542</v>
      </c>
      <c r="R61" s="146">
        <f>Q61*Input!N61/100</f>
        <v>1.4011741171218448E-3</v>
      </c>
      <c r="S61" s="144">
        <f>Input!S61*Constants!$B$17/Constants!$B$18</f>
        <v>1.0021866890687816</v>
      </c>
      <c r="T61" s="138">
        <f>S61*Input!T61/100</f>
        <v>2.1064664945051551E-3</v>
      </c>
      <c r="U61" s="144">
        <f>S61</f>
        <v>1.0021866890687816</v>
      </c>
      <c r="V61" s="138">
        <f>U61*Input!T61/100</f>
        <v>2.1064664945051551E-3</v>
      </c>
      <c r="W61" s="147">
        <v>0</v>
      </c>
      <c r="X61" s="142">
        <f>(((Constants!$B$25*0.000000001*Input!G61/Input!W61*(Constants!$B$11/Constants!$B$9))-(W61*0.000000001))/Input!F61)*1000000000</f>
        <v>0.94485176304261109</v>
      </c>
      <c r="Y61" s="142">
        <f>X61*Input!X61/100</f>
        <v>4.8894026863692576E-3</v>
      </c>
      <c r="Z61" s="142">
        <f>(X61/Constants!$B$11)*6.022E+23*0.000000001*Constants!$B$19/(365.2425*24*60)</f>
        <v>2.3066886121696651E-4</v>
      </c>
      <c r="AA61" s="142">
        <f>Z61*Input!X61/100</f>
        <v>1.1936612639258105E-6</v>
      </c>
      <c r="AB61" s="143">
        <v>0</v>
      </c>
      <c r="AC61" s="143">
        <v>0.9</v>
      </c>
      <c r="AD61" s="142">
        <f>(((Input!G61*Constants!$B$25*0.000000001*Input!U61*(Constants!$B$10/Constants!$B$9))-((AB61*0.000000000000001)+(Input!G61*AC61*0.000000000000001)))/Input!F61)*1000000000000</f>
        <v>224.09123237327589</v>
      </c>
      <c r="AE61" s="142">
        <f>AD61*Input!V61/100</f>
        <v>0.54654969965829581</v>
      </c>
      <c r="AF61" s="142">
        <f>(AD61/Constants!$B$10)*602200000000*Constants!$B$16/(365.2425*24*60)</f>
        <v>10.228794098684379</v>
      </c>
      <c r="AG61" s="142">
        <f>AF61*Input!V61/100</f>
        <v>2.4947626389907787E-2</v>
      </c>
      <c r="AH61" s="138">
        <f t="shared" ref="AH61" si="327">AF61/Z61</f>
        <v>44344.06119976117</v>
      </c>
      <c r="AI61" s="147">
        <f t="shared" ref="AI61" si="328">AH61*SQRT((AG61/AF61)^2+(AA61/Z61)^2)</f>
        <v>253.68100105371786</v>
      </c>
      <c r="AJ61" s="144">
        <f t="shared" si="309"/>
        <v>2.186689068781611</v>
      </c>
      <c r="AK61" s="147">
        <f t="shared" ref="AK61" si="329">V61*1000</f>
        <v>2.1064664945051552</v>
      </c>
      <c r="AL61" s="147">
        <f t="shared" ref="AL61" si="330">AF61/Q61</f>
        <v>1.0009517979628997</v>
      </c>
      <c r="AM61" s="147">
        <f t="shared" ref="AM61" si="331">AL61*SQRT((R61/Q61)^2+(AG61/AF61)^2)</f>
        <v>2.4451368158572217E-3</v>
      </c>
      <c r="AN61" s="138">
        <f>AF61/Q61</f>
        <v>1.0009517979628997</v>
      </c>
      <c r="AO61" s="142">
        <f t="shared" ref="AO61" si="332">AN61*SQRT((R61/Q61)^2+(AG61/AF61)^2)</f>
        <v>2.4451368158572217E-3</v>
      </c>
      <c r="AP61" s="138">
        <f t="shared" ref="AP61" si="333">ThU_Alter_Kombi(AN61,U61)</f>
        <v>669.19150000000002</v>
      </c>
      <c r="AQ61" s="138" t="e">
        <f t="shared" si="315"/>
        <v>#VALUE!</v>
      </c>
      <c r="AR61" s="138" t="e">
        <f>(AQ61/AP61)*100</f>
        <v>#VALUE!</v>
      </c>
      <c r="AS61" s="146">
        <f t="shared" si="316"/>
        <v>2.2572397991555422E-5</v>
      </c>
      <c r="AT61" s="146">
        <f t="shared" si="317"/>
        <v>1.1684825366159513E-7</v>
      </c>
      <c r="AU61" s="138">
        <v>0.75</v>
      </c>
      <c r="AV61" s="138">
        <f t="shared" ref="AV61" si="334">AU61/2</f>
        <v>0.375</v>
      </c>
      <c r="AW61" s="138">
        <f t="shared" si="319"/>
        <v>669.18960000000004</v>
      </c>
      <c r="AX61" s="148">
        <f t="shared" si="320"/>
        <v>295.69018720290001</v>
      </c>
      <c r="AY61" s="148">
        <f t="shared" si="321"/>
        <v>191.16448485200362</v>
      </c>
      <c r="AZ61" s="149">
        <f t="shared" si="322"/>
        <v>0.44186309411099634</v>
      </c>
      <c r="BA61" s="138" t="str">
        <f>Input!B61</f>
        <v>Hu1-13</v>
      </c>
      <c r="BB61" s="150">
        <f>Input!E61</f>
        <v>0</v>
      </c>
      <c r="BC61" s="138">
        <f>((U61-1)*EXP(Constants!$B$17*AW61*1000))*1000</f>
        <v>14.452707419527391</v>
      </c>
      <c r="BD61" s="144">
        <f>SQRT((EXP(Constants!$B$17*AW61*1000)*V61)^2+((U61-1)*Constants!$B$17*EXP(Constants!$B$17*AW61*1000)*AY61*1000)^2)*1000</f>
        <v>15.957048946737096</v>
      </c>
      <c r="BE61" s="138">
        <f t="shared" si="323"/>
        <v>669131.60000000009</v>
      </c>
      <c r="BF61" s="151">
        <f t="shared" si="324"/>
        <v>95582.242426001816</v>
      </c>
      <c r="BG61" s="160">
        <f t="shared" si="325"/>
        <v>28.566565417634049</v>
      </c>
      <c r="BH61" s="138"/>
      <c r="BI61" s="18"/>
      <c r="BJ61" s="18"/>
      <c r="BK61" s="18"/>
      <c r="BL61" s="18"/>
      <c r="BM61" s="18"/>
      <c r="BN61" s="159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</row>
    <row r="62" spans="1:110" ht="15" customHeight="1" x14ac:dyDescent="0.2">
      <c r="A62" s="18">
        <f>Input!A62</f>
        <v>10936</v>
      </c>
      <c r="B62" s="18" t="str">
        <f>Input!B62</f>
        <v>CSM_1823</v>
      </c>
      <c r="C62" s="18">
        <f>Input!O62</f>
        <v>4.2741662577684716</v>
      </c>
      <c r="D62" s="18">
        <f>C62*Input!P62/100</f>
        <v>2.7918917170994099E-2</v>
      </c>
      <c r="E62" s="152">
        <f>Input!M62</f>
        <v>4.803025596609487</v>
      </c>
      <c r="F62" s="153">
        <f>E62*Input!N62/100</f>
        <v>4.7846525281899428E-4</v>
      </c>
      <c r="G62" s="21">
        <f>E62*137.88</f>
        <v>662.24116926051602</v>
      </c>
      <c r="H62" s="153">
        <f>G62*Input!L62/100</f>
        <v>5.7420804133121998E-2</v>
      </c>
      <c r="I62" s="18">
        <v>0.3</v>
      </c>
      <c r="J62" s="129">
        <f>(((C62*Constants!$B$24*0.000000001*Input!G62*(Constants!$B$4/Constants!$B$3))-(I62*0.000000000000001))/Input!F62)*1000000000000</f>
        <v>180.41984160895956</v>
      </c>
      <c r="K62" s="18">
        <f>J62*Input!P62/100</f>
        <v>1.1785050721247059</v>
      </c>
      <c r="L62" s="134">
        <f>(J62/Constants!$B$4)*602200000000*Constants!$B$17/(365.2425*24*60)</f>
        <v>2.4908962362392</v>
      </c>
      <c r="M62" s="132">
        <f>L62*Input!P62/100</f>
        <v>1.6270571032351796E-2</v>
      </c>
      <c r="N62" s="18">
        <v>5.0000000000000001E-3</v>
      </c>
      <c r="O62" s="129">
        <f>(((G62*Constants!$B$23*0.000000001*Input!G62*(Constants!$B$7/Constants!$B$6))-(N62*0.000000001))/Input!F62)*1000000</f>
        <v>2.8159830631302278</v>
      </c>
      <c r="P62" s="18">
        <f>O62*Input!N62/100</f>
        <v>2.8052110511043722E-4</v>
      </c>
      <c r="Q62" s="130">
        <f>(O62/Constants!$B$7)*602200000000000000*Constants!$B$18/(365.2425*24*60)</f>
        <v>2.1010634188914374</v>
      </c>
      <c r="R62" s="131">
        <f>Q62*Input!N62/100</f>
        <v>2.0930261971084961E-4</v>
      </c>
      <c r="S62" s="132">
        <f>Input!S62*Constants!$B$17/Constants!$B$18</f>
        <v>1.145242737141196</v>
      </c>
      <c r="T62" s="18">
        <f>S62*Input!T62/100</f>
        <v>7.2304278067876764E-4</v>
      </c>
      <c r="U62" s="18">
        <f>S62*1/((U61+U63)/2)</f>
        <v>1.1437588111095782</v>
      </c>
      <c r="V62" s="18">
        <f>U62*Input!T62/100</f>
        <v>7.2210591203998391E-4</v>
      </c>
      <c r="W62" s="133">
        <v>3.0000000000000001E-3</v>
      </c>
      <c r="X62" s="129">
        <f>IF((((Constants!$B$25*0.000000001*Input!G62/Input!W62*(Constants!$B$11/Constants!$B$9))-(W62*0.000000001))/Input!F62)*1000000000&lt;0, "n.d.", (((Constants!$B$25*0.000000001*Input!G62/Input!W62*(Constants!$B$11/Constants!$B$9))-(W62*0.000000001))/Input!F62)*1000000000)</f>
        <v>2.185897516488184E-2</v>
      </c>
      <c r="Y62" s="129">
        <f>X62*Input!X62/100</f>
        <v>2.8573195816357599E-4</v>
      </c>
      <c r="Z62" s="129">
        <f>(X62/Constants!$B$11)*6.022E+23*0.000000001*Constants!$B$19/(365.2425*24*60)</f>
        <v>5.3364825106706747E-6</v>
      </c>
      <c r="AA62" s="129">
        <f>Z62*Input!X62/100</f>
        <v>6.9756408339276801E-8</v>
      </c>
      <c r="AB62" s="134">
        <v>0.05</v>
      </c>
      <c r="AC62" s="134">
        <v>0.9</v>
      </c>
      <c r="AD62" s="129">
        <f>(((Input!G62*Constants!$B$25*0.000000001*Input!U62*(Constants!$B$10/Constants!$B$9))-((AB62*0.000000000000001)+(Input!G62*AC62*0.000000000000001)))/Input!F62)*1000000000000</f>
        <v>0.24133850812832391</v>
      </c>
      <c r="AE62" s="129">
        <f>AD62*Input!V62/100</f>
        <v>6.4912961263668212E-3</v>
      </c>
      <c r="AF62" s="129">
        <f>(AD62/Constants!$B$10)*602200000000*Constants!$B$16/(365.2425*24*60)</f>
        <v>1.1016057529713E-2</v>
      </c>
      <c r="AG62" s="129">
        <f>AF62*Input!V62/100</f>
        <v>2.9629955088823924E-4</v>
      </c>
      <c r="AH62" s="18">
        <f>AF62/Z62</f>
        <v>2064.2918828433549</v>
      </c>
      <c r="AI62" s="133">
        <f>AH62*SQRT((AG62/AF62)^2+(AA62/Z62)^2)</f>
        <v>61.732983729624699</v>
      </c>
      <c r="AJ62" s="132">
        <f t="shared" si="309"/>
        <v>143.75881110957823</v>
      </c>
      <c r="AK62" s="133">
        <f>V62*1000</f>
        <v>0.72210591203998387</v>
      </c>
      <c r="AL62" s="133">
        <f>AF62/Q62</f>
        <v>5.2430866344459464E-3</v>
      </c>
      <c r="AM62" s="133">
        <f>AL62*SQRT((R62/Q62)^2+(AG62/AF62)^2)</f>
        <v>1.4102457850544148E-4</v>
      </c>
      <c r="AN62" s="18">
        <f>AL62*1/((AN61+AN63)/2)</f>
        <v>5.2452970201426101E-3</v>
      </c>
      <c r="AO62" s="129">
        <f>AN62*SQRT((R62/Q62)^2+(AG62/AF62)^2)</f>
        <v>1.4108403178800954E-4</v>
      </c>
      <c r="AP62" s="18">
        <f>ThU_Alter_Kombi(AN62,U62)</f>
        <v>0.50119999999999998</v>
      </c>
      <c r="AQ62" s="18">
        <f t="shared" si="315"/>
        <v>1.29E-2</v>
      </c>
      <c r="AR62" s="154">
        <f>(AQ62/AP62)</f>
        <v>2.5738228252194732E-2</v>
      </c>
      <c r="AS62" s="131">
        <f t="shared" si="316"/>
        <v>2.5398959701493963E-6</v>
      </c>
      <c r="AT62" s="131">
        <f t="shared" si="317"/>
        <v>3.32014889912892E-8</v>
      </c>
      <c r="AU62" s="18">
        <v>8</v>
      </c>
      <c r="AV62" s="18">
        <f>AU62/2</f>
        <v>4</v>
      </c>
      <c r="AW62" s="18">
        <f t="shared" si="319"/>
        <v>0.49930000000000002</v>
      </c>
      <c r="AX62" s="135">
        <f t="shared" si="320"/>
        <v>1.4362860999999999E-2</v>
      </c>
      <c r="AY62" s="135">
        <f t="shared" si="321"/>
        <v>1.3567671641935822E-2</v>
      </c>
      <c r="AZ62" s="154">
        <f t="shared" si="322"/>
        <v>2.8765994392149007E-2</v>
      </c>
      <c r="BA62" s="18" t="str">
        <f>Input!B62</f>
        <v>CSM_1823</v>
      </c>
      <c r="BB62" s="136">
        <f>Input!E62</f>
        <v>0</v>
      </c>
      <c r="BC62" s="18">
        <f>((U62-1)*EXP(Constants!$B$17*AW62*1000))*1000</f>
        <v>143.96151789654749</v>
      </c>
      <c r="BD62" s="132">
        <f>SQRT((EXP(Constants!$B$17*AW62*1000)*V62)^2+((U62-1)*Constants!$B$17*EXP(Constants!$B$17*AW62*1000)*AY62*1000)^2)*1000</f>
        <v>0.72314512395271802</v>
      </c>
      <c r="BE62" s="18">
        <f t="shared" si="323"/>
        <v>441.3</v>
      </c>
      <c r="BF62" s="137">
        <f t="shared" si="324"/>
        <v>6.7838358209679113</v>
      </c>
      <c r="BG62" s="20">
        <f t="shared" si="325"/>
        <v>2.717338602430567</v>
      </c>
      <c r="BH62" s="18"/>
      <c r="BI62" s="18"/>
      <c r="BJ62" s="18"/>
      <c r="BK62" s="18"/>
      <c r="BL62" s="18"/>
      <c r="BM62" s="18"/>
      <c r="BN62" s="159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</row>
    <row r="63" spans="1:110" ht="15" customHeight="1" x14ac:dyDescent="0.2">
      <c r="A63" s="138">
        <f>Input!A63</f>
        <v>10815</v>
      </c>
      <c r="B63" s="138" t="str">
        <f>Input!B63</f>
        <v>Hu1-13</v>
      </c>
      <c r="C63" s="138">
        <f>Input!O63</f>
        <v>2.132480942700286</v>
      </c>
      <c r="D63" s="138">
        <f>C63*Input!P63/100</f>
        <v>2.0278660825296786E-2</v>
      </c>
      <c r="E63" s="139">
        <f>Input!M63</f>
        <v>2.7321779328364082</v>
      </c>
      <c r="F63" s="140">
        <f>E63*Input!N63/100</f>
        <v>4.195843008862632E-4</v>
      </c>
      <c r="G63" s="141">
        <f t="shared" ref="G63" si="335">E63*137.88</f>
        <v>376.71269337948394</v>
      </c>
      <c r="H63" s="140">
        <f>G63*Input!L63/100</f>
        <v>1.742299829874255E-2</v>
      </c>
      <c r="I63" s="138">
        <v>0</v>
      </c>
      <c r="J63" s="142">
        <f>(((C63*Constants!$B$24*0.000000001*Input!G63*(Constants!$B$4/Constants!$B$3))-(I63*0.000000000000001))/Input!F63)*1000000000000</f>
        <v>769.90567938439324</v>
      </c>
      <c r="K63" s="138">
        <f>J63*Input!P63/100</f>
        <v>7.3213578733960665</v>
      </c>
      <c r="L63" s="143">
        <f>(J63/Constants!$B$4)*602200000000*Constants!$B$17/(365.2425*24*60)</f>
        <v>10.629402741602531</v>
      </c>
      <c r="M63" s="144">
        <f>L63*Input!P63/100</f>
        <v>0.1010794744545262</v>
      </c>
      <c r="N63" s="138">
        <v>0</v>
      </c>
      <c r="O63" s="142">
        <f>(((G63*Constants!$B$23*0.000000001*Input!G63*(Constants!$B$7/Constants!$B$6))-(N63*0.000000001))/Input!F63)*1000000</f>
        <v>13.700742981865135</v>
      </c>
      <c r="P63" s="138">
        <f>O63*Input!N63/100</f>
        <v>2.1040418329198412E-3</v>
      </c>
      <c r="Q63" s="145">
        <f>(O63/Constants!$B$7)*602200000000000000*Constants!$B$18/(365.2425*24*60)</f>
        <v>10.222408745183275</v>
      </c>
      <c r="R63" s="146">
        <f>Q63*Input!N63/100</f>
        <v>1.5698692882233176E-3</v>
      </c>
      <c r="S63" s="144">
        <f>Input!S63*Constants!$B$17/Constants!$B$18</f>
        <v>1.0004081342754481</v>
      </c>
      <c r="T63" s="138">
        <f>S63*Input!T63/100</f>
        <v>1.89939084496097E-3</v>
      </c>
      <c r="U63" s="144">
        <f>S63</f>
        <v>1.0004081342754481</v>
      </c>
      <c r="V63" s="138">
        <f>U63*Input!T63/100</f>
        <v>1.89939084496097E-3</v>
      </c>
      <c r="W63" s="147">
        <v>0</v>
      </c>
      <c r="X63" s="142">
        <f>(((Constants!$B$25*0.000000001*Input!G63/Input!W63*(Constants!$B$11/Constants!$B$9))-(W63*0.000000001))/Input!F63)*1000000000</f>
        <v>0.95170300544458475</v>
      </c>
      <c r="Y63" s="142">
        <f>X63*Input!X63/100</f>
        <v>5.9082678220188697E-3</v>
      </c>
      <c r="Z63" s="142">
        <f>(X63/Constants!$B$11)*6.022E+23*0.000000001*Constants!$B$19/(365.2425*24*60)</f>
        <v>2.3234147097925934E-4</v>
      </c>
      <c r="AA63" s="142">
        <f>Z63*Input!X63/100</f>
        <v>1.4423991821545424E-6</v>
      </c>
      <c r="AB63" s="143">
        <v>0</v>
      </c>
      <c r="AC63" s="143">
        <v>0.9</v>
      </c>
      <c r="AD63" s="142">
        <f>(((Input!G63*Constants!$B$25*0.000000001*Input!U63*(Constants!$B$10/Constants!$B$9))-((AB63*0.000000000000001)+(Input!G63*AC63*0.000000000000001)))/Input!F63)*1000000000000</f>
        <v>223.54943867017514</v>
      </c>
      <c r="AE63" s="142">
        <f>AD63*Input!V63/100</f>
        <v>0.7682970798509503</v>
      </c>
      <c r="AF63" s="142">
        <f>(AD63/Constants!$B$10)*602200000000*Constants!$B$16/(365.2425*24*60)</f>
        <v>10.204063562936554</v>
      </c>
      <c r="AG63" s="142">
        <f>AF63*Input!V63/100</f>
        <v>3.5069433789026008E-2</v>
      </c>
      <c r="AH63" s="138">
        <f t="shared" ref="AH63" si="336">AF63/Z63</f>
        <v>43918.390978283212</v>
      </c>
      <c r="AI63" s="147">
        <f t="shared" ref="AI63" si="337">AH63*SQRT((AG63/AF63)^2+(AA63/Z63)^2)</f>
        <v>311.64168966064636</v>
      </c>
      <c r="AJ63" s="144">
        <f t="shared" si="309"/>
        <v>0.40813427544805769</v>
      </c>
      <c r="AK63" s="147">
        <f t="shared" ref="AK63" si="338">V63*1000</f>
        <v>1.89939084496097</v>
      </c>
      <c r="AL63" s="147">
        <f t="shared" ref="AL63" si="339">AF63/Q63</f>
        <v>0.99820539535211161</v>
      </c>
      <c r="AM63" s="147">
        <f t="shared" ref="AM63" si="340">AL63*SQRT((R63/Q63)^2+(AG63/AF63)^2)</f>
        <v>3.4340661277455658E-3</v>
      </c>
      <c r="AN63" s="138">
        <f>AF63/Q63</f>
        <v>0.99820539535211161</v>
      </c>
      <c r="AO63" s="142">
        <f t="shared" ref="AO63" si="341">AN63*SQRT((R63/Q63)^2+(AG63/AF63)^2)</f>
        <v>3.4340661277455658E-3</v>
      </c>
      <c r="AP63" s="138">
        <f t="shared" ref="AP63" si="342">ThU_Alter_Kombi(AN63,U63)</f>
        <v>658.92520000000002</v>
      </c>
      <c r="AQ63" s="138" t="e">
        <f t="shared" si="315"/>
        <v>#VALUE!</v>
      </c>
      <c r="AR63" s="138" t="e">
        <f>(AQ63/AP63)*100</f>
        <v>#VALUE!</v>
      </c>
      <c r="AS63" s="146">
        <f t="shared" si="316"/>
        <v>2.2728642218375092E-5</v>
      </c>
      <c r="AT63" s="146">
        <f t="shared" si="317"/>
        <v>1.4114485886877398E-7</v>
      </c>
      <c r="AU63" s="138">
        <v>0.75</v>
      </c>
      <c r="AV63" s="138">
        <f t="shared" ref="AV63" si="343">AU63/2</f>
        <v>0.375</v>
      </c>
      <c r="AW63" s="138">
        <f t="shared" si="319"/>
        <v>658.92330000000004</v>
      </c>
      <c r="AX63" s="148">
        <f t="shared" si="320"/>
        <v>277.56206426469998</v>
      </c>
      <c r="AY63" s="148">
        <f t="shared" si="321"/>
        <v>198.76167439023288</v>
      </c>
      <c r="AZ63" s="149">
        <f t="shared" si="322"/>
        <v>0.42123577093828668</v>
      </c>
      <c r="BA63" s="138" t="str">
        <f>Input!B63</f>
        <v>Hu1-13</v>
      </c>
      <c r="BB63" s="150">
        <f>Input!E63</f>
        <v>0</v>
      </c>
      <c r="BC63" s="138">
        <f>((U63-1)*EXP(Constants!$B$17*AW63*1000))*1000</f>
        <v>2.6204918673082078</v>
      </c>
      <c r="BD63" s="144">
        <f>SQRT((EXP(Constants!$B$17*AW63*1000)*V63)^2+((U63-1)*Constants!$B$17*EXP(Constants!$B$17*AW63*1000)*AY63*1000)^2)*1000</f>
        <v>12.283606276303226</v>
      </c>
      <c r="BE63" s="138">
        <f t="shared" si="323"/>
        <v>658865.30000000005</v>
      </c>
      <c r="BF63" s="151">
        <f t="shared" si="324"/>
        <v>99380.837195116444</v>
      </c>
      <c r="BG63" s="160">
        <f t="shared" si="325"/>
        <v>30.164614666112559</v>
      </c>
      <c r="BH63" s="138"/>
      <c r="BI63" s="18"/>
      <c r="BJ63" s="18"/>
      <c r="BK63" s="18"/>
      <c r="BL63" s="18"/>
      <c r="BM63" s="18"/>
      <c r="BN63" s="159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</row>
    <row r="64" spans="1:110" ht="15" customHeight="1" x14ac:dyDescent="0.2">
      <c r="A64" s="18">
        <f>Input!A64</f>
        <v>10937</v>
      </c>
      <c r="B64" s="18" t="str">
        <f>Input!B64</f>
        <v>CSM_1928</v>
      </c>
      <c r="C64" s="18">
        <f>Input!O64</f>
        <v>4.5386290768268056</v>
      </c>
      <c r="D64" s="18">
        <f>C64*Input!P64/100</f>
        <v>2.5945354144363608E-2</v>
      </c>
      <c r="E64" s="152">
        <f>Input!M64</f>
        <v>5.232711122392141</v>
      </c>
      <c r="F64" s="153">
        <f>E64*Input!N64/100</f>
        <v>3.9562473708540933E-4</v>
      </c>
      <c r="G64" s="21">
        <f>E64*137.88</f>
        <v>721.48620955542833</v>
      </c>
      <c r="H64" s="153">
        <f>G64*Input!L64/100</f>
        <v>3.0696165616823909E-2</v>
      </c>
      <c r="I64" s="18">
        <v>0.3</v>
      </c>
      <c r="J64" s="129">
        <f>(((C64*Constants!$B$24*0.000000001*Input!G64*(Constants!$B$4/Constants!$B$3))-(I64*0.000000000000001))/Input!F64)*1000000000000</f>
        <v>186.01769732900087</v>
      </c>
      <c r="K64" s="18">
        <f>J64*Input!P64/100</f>
        <v>1.0633816847827284</v>
      </c>
      <c r="L64" s="134">
        <f>(J64/Constants!$B$4)*602200000000*Constants!$B$17/(365.2425*24*60)</f>
        <v>2.5681808498366463</v>
      </c>
      <c r="M64" s="132">
        <f>L64*Input!P64/100</f>
        <v>1.4681164846890436E-2</v>
      </c>
      <c r="N64" s="18">
        <v>5.0000000000000001E-3</v>
      </c>
      <c r="O64" s="129">
        <f>(((G64*Constants!$B$23*0.000000001*Input!G64*(Constants!$B$7/Constants!$B$6))-(N64*0.000000001))/Input!F64)*1000000</f>
        <v>2.9787826482004895</v>
      </c>
      <c r="P64" s="18">
        <f>O64*Input!N64/100</f>
        <v>2.2521405719988499E-4</v>
      </c>
      <c r="Q64" s="130">
        <f>(O64/Constants!$B$7)*602200000000000000*Constants!$B$18/(365.2425*24*60)</f>
        <v>2.2225315687820864</v>
      </c>
      <c r="R64" s="131">
        <f>Q64*Input!N64/100</f>
        <v>1.6803688317528745E-4</v>
      </c>
      <c r="S64" s="132">
        <f>Input!S64*Constants!$B$17/Constants!$B$18</f>
        <v>1.1460693483783859</v>
      </c>
      <c r="T64" s="18">
        <f>S64*Input!T64/100</f>
        <v>5.6202070042867349E-4</v>
      </c>
      <c r="U64" s="18">
        <f>S64*1/((U63+U65)/2)</f>
        <v>1.1457425595280608</v>
      </c>
      <c r="V64" s="18">
        <f>U64*Input!T64/100</f>
        <v>5.6186044651488384E-4</v>
      </c>
      <c r="W64" s="133">
        <v>3.0000000000000001E-3</v>
      </c>
      <c r="X64" s="129">
        <f>IF((((Constants!$B$25*0.000000001*Input!G64/Input!W64*(Constants!$B$11/Constants!$B$9))-(W64*0.000000001))/Input!F64)*1000000000&lt;0, "n.d.", (((Constants!$B$25*0.000000001*Input!G64/Input!W64*(Constants!$B$11/Constants!$B$9))-(W64*0.000000001))/Input!F64)*1000000000)</f>
        <v>2.1350263213451081E-2</v>
      </c>
      <c r="Y64" s="129">
        <f>X64*Input!X64/100</f>
        <v>3.4391327309485874E-4</v>
      </c>
      <c r="Z64" s="129">
        <f>(X64/Constants!$B$11)*6.022E+23*0.000000001*Constants!$B$19/(365.2425*24*60)</f>
        <v>5.2122894773147099E-6</v>
      </c>
      <c r="AA64" s="129">
        <f>Z64*Input!X64/100</f>
        <v>8.3960348242069202E-8</v>
      </c>
      <c r="AB64" s="134">
        <v>0.05</v>
      </c>
      <c r="AC64" s="134">
        <v>0.9</v>
      </c>
      <c r="AD64" s="129">
        <f>(((Input!G64*Constants!$B$25*0.000000001*Input!U64*(Constants!$B$10/Constants!$B$9))-((AB64*0.000000000000001)+(Input!G64*AC64*0.000000000000001)))/Input!F64)*1000000000000</f>
        <v>0.26345546010776733</v>
      </c>
      <c r="AE64" s="129">
        <f>AD64*Input!V64/100</f>
        <v>5.726950555412111E-3</v>
      </c>
      <c r="AF64" s="129">
        <f>(AD64/Constants!$B$10)*602200000000*Constants!$B$16/(365.2425*24*60)</f>
        <v>1.2025600587209235E-2</v>
      </c>
      <c r="AG64" s="129">
        <f>AF64*Input!V64/100</f>
        <v>2.6141048636422505E-4</v>
      </c>
      <c r="AH64" s="18">
        <f>AF64/Z64</f>
        <v>2307.1628388154368</v>
      </c>
      <c r="AI64" s="133">
        <f>AH64*SQRT((AG64/AF64)^2+(AA64/Z64)^2)</f>
        <v>62.421691762619183</v>
      </c>
      <c r="AJ64" s="132">
        <f t="shared" si="309"/>
        <v>145.74255952806081</v>
      </c>
      <c r="AK64" s="133">
        <f>V64*1000</f>
        <v>0.56186044651488387</v>
      </c>
      <c r="AL64" s="133">
        <f>AF64/Q64</f>
        <v>5.4107670532657862E-3</v>
      </c>
      <c r="AM64" s="133">
        <f>AL64*SQRT((R64/Q64)^2+(AG64/AF64)^2)</f>
        <v>1.1761905710780746E-4</v>
      </c>
      <c r="AN64" s="18">
        <f>AL64*1/((AN63+AN65)/2)</f>
        <v>5.4206453261521062E-3</v>
      </c>
      <c r="AO64" s="129">
        <f>AN64*SQRT((R64/Q64)^2+(AG64/AF64)^2)</f>
        <v>1.1783379064397796E-4</v>
      </c>
      <c r="AP64" s="18">
        <f>ThU_Alter_Kombi(AN64,U64)</f>
        <v>0.5171</v>
      </c>
      <c r="AQ64" s="18">
        <f t="shared" si="315"/>
        <v>1.1900000000000001E-2</v>
      </c>
      <c r="AR64" s="154">
        <f>(AQ64/AP64)</f>
        <v>2.3012956874879135E-2</v>
      </c>
      <c r="AS64" s="131">
        <f t="shared" si="316"/>
        <v>2.3452037984643634E-6</v>
      </c>
      <c r="AT64" s="131">
        <f t="shared" si="317"/>
        <v>3.77773140572723E-8</v>
      </c>
      <c r="AU64" s="18">
        <v>8</v>
      </c>
      <c r="AV64" s="18">
        <f>AU64/2</f>
        <v>4</v>
      </c>
      <c r="AW64" s="18">
        <f t="shared" si="319"/>
        <v>0.51529999999999998</v>
      </c>
      <c r="AX64" s="135">
        <f t="shared" si="320"/>
        <v>1.1731706099999999E-2</v>
      </c>
      <c r="AY64" s="135">
        <f t="shared" si="321"/>
        <v>1.1319879643941161E-2</v>
      </c>
      <c r="AZ64" s="154">
        <f t="shared" si="322"/>
        <v>2.2766749660392004E-2</v>
      </c>
      <c r="BA64" s="18" t="str">
        <f>Input!B64</f>
        <v>CSM_1928</v>
      </c>
      <c r="BB64" s="136">
        <f>Input!E64</f>
        <v>0</v>
      </c>
      <c r="BC64" s="18">
        <f>((U64-1)*EXP(Constants!$B$17*AW64*1000))*1000</f>
        <v>145.95465363086188</v>
      </c>
      <c r="BD64" s="132">
        <f>SQRT((EXP(Constants!$B$17*AW64*1000)*V64)^2+((U64-1)*Constants!$B$17*EXP(Constants!$B$17*AW64*1000)*AY64*1000)^2)*1000</f>
        <v>0.56269742023765112</v>
      </c>
      <c r="BE64" s="18">
        <f t="shared" si="323"/>
        <v>457.29999999999995</v>
      </c>
      <c r="BF64" s="137">
        <f t="shared" si="324"/>
        <v>5.6599398219705801</v>
      </c>
      <c r="BG64" s="20">
        <f t="shared" si="325"/>
        <v>2.1967552190842543</v>
      </c>
      <c r="BH64" s="18"/>
      <c r="BI64" s="18"/>
      <c r="BJ64" s="18"/>
      <c r="BK64" s="18"/>
      <c r="BL64" s="18"/>
      <c r="BM64" s="18"/>
      <c r="BN64" s="159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</row>
    <row r="65" spans="1:110" ht="15" customHeight="1" x14ac:dyDescent="0.2">
      <c r="A65" s="138">
        <f>Input!A65</f>
        <v>10815</v>
      </c>
      <c r="B65" s="138" t="str">
        <f>Input!B65</f>
        <v>Hu1-13</v>
      </c>
      <c r="C65" s="138">
        <f>Input!O65</f>
        <v>2.0687929725555296</v>
      </c>
      <c r="D65" s="138">
        <f>C65*Input!P65/100</f>
        <v>2.1665988211711788E-2</v>
      </c>
      <c r="E65" s="139">
        <f>Input!M65</f>
        <v>2.7328189276249035</v>
      </c>
      <c r="F65" s="140">
        <f>E65*Input!N65/100</f>
        <v>5.0746678838833241E-4</v>
      </c>
      <c r="G65" s="141">
        <f t="shared" ref="G65" si="344">E65*137.88</f>
        <v>376.80107374092171</v>
      </c>
      <c r="H65" s="140">
        <f>G65*Input!L65/100</f>
        <v>2.2962966642412881E-2</v>
      </c>
      <c r="I65" s="138">
        <v>0</v>
      </c>
      <c r="J65" s="142">
        <f>(((C65*Constants!$B$24*0.000000001*Input!G65*(Constants!$B$4/Constants!$B$3))-(I65*0.000000000000001))/Input!F65)*1000000000000</f>
        <v>746.9119311444573</v>
      </c>
      <c r="K65" s="138">
        <f>J65*Input!P65/100</f>
        <v>7.8222351438929829</v>
      </c>
      <c r="L65" s="143">
        <f>(J65/Constants!$B$4)*602200000000*Constants!$B$17/(365.2425*24*60)</f>
        <v>10.311948516850325</v>
      </c>
      <c r="M65" s="144">
        <f>L65*Input!P65/100</f>
        <v>0.10799464130520246</v>
      </c>
      <c r="N65" s="138">
        <v>0</v>
      </c>
      <c r="O65" s="142">
        <f>(((G65*Constants!$B$23*0.000000001*Input!G65*(Constants!$B$7/Constants!$B$6))-(N65*0.000000001))/Input!F65)*1000000</f>
        <v>13.703957305772938</v>
      </c>
      <c r="P65" s="138">
        <f>O65*Input!N65/100</f>
        <v>2.5447361813376386E-3</v>
      </c>
      <c r="Q65" s="145">
        <f>(O65/Constants!$B$7)*602200000000000000*Constants!$B$18/(365.2425*24*60)</f>
        <v>10.224807018975323</v>
      </c>
      <c r="R65" s="146">
        <f>Q65*Input!N65/100</f>
        <v>1.898680489716688E-3</v>
      </c>
      <c r="S65" s="144">
        <f>Input!S65*Constants!$B$17/Constants!$B$18</f>
        <v>1.0001623059994769</v>
      </c>
      <c r="T65" s="138">
        <f>S65*Input!T65/100</f>
        <v>1.913711592495951E-3</v>
      </c>
      <c r="U65" s="144">
        <f>S65</f>
        <v>1.0001623059994769</v>
      </c>
      <c r="V65" s="138">
        <f>U65*Input!T65/100</f>
        <v>1.913711592495951E-3</v>
      </c>
      <c r="W65" s="147">
        <v>0</v>
      </c>
      <c r="X65" s="142">
        <f>(((Constants!$B$25*0.000000001*Input!G65/Input!W65*(Constants!$B$11/Constants!$B$9))-(W65*0.000000001))/Input!F65)*1000000000</f>
        <v>0.94054954777081556</v>
      </c>
      <c r="Y65" s="142">
        <f>X65*Input!X65/100</f>
        <v>5.3987633771604591E-3</v>
      </c>
      <c r="Z65" s="142">
        <f>(X65/Constants!$B$11)*6.022E+23*0.000000001*Constants!$B$19/(365.2425*24*60)</f>
        <v>2.2961855138396199E-4</v>
      </c>
      <c r="AA65" s="142">
        <f>Z65*Input!X65/100</f>
        <v>1.3180126755325803E-6</v>
      </c>
      <c r="AB65" s="143">
        <v>0</v>
      </c>
      <c r="AC65" s="143">
        <v>0.9</v>
      </c>
      <c r="AD65" s="142">
        <f>(((Input!G65*Constants!$B$25*0.000000001*Input!U65*(Constants!$B$10/Constants!$B$9))-((AB65*0.000000000000001)+(Input!G65*AC65*0.000000000000001)))/Input!F65)*1000000000000</f>
        <v>223.58945866608912</v>
      </c>
      <c r="AE65" s="142">
        <f>AD65*Input!V65/100</f>
        <v>0.59166652023842614</v>
      </c>
      <c r="AF65" s="142">
        <f>(AD65/Constants!$B$10)*602200000000*Constants!$B$16/(365.2425*24*60)</f>
        <v>10.205890302401988</v>
      </c>
      <c r="AG65" s="142">
        <f>AF65*Input!V65/100</f>
        <v>2.7007013824275224E-2</v>
      </c>
      <c r="AH65" s="138">
        <f t="shared" ref="AH65" si="345">AF65/Z65</f>
        <v>44447.150462751466</v>
      </c>
      <c r="AI65" s="147">
        <f t="shared" ref="AI65" si="346">AH65*SQRT((AG65/AF65)^2+(AA65/Z65)^2)</f>
        <v>280.93335020184378</v>
      </c>
      <c r="AJ65" s="144">
        <f t="shared" si="309"/>
        <v>0.16230599947686386</v>
      </c>
      <c r="AK65" s="147">
        <f t="shared" ref="AK65" si="347">V65*1000</f>
        <v>1.9137115924959509</v>
      </c>
      <c r="AL65" s="147">
        <f t="shared" ref="AL65" si="348">AF65/Q65</f>
        <v>0.99814991945195353</v>
      </c>
      <c r="AM65" s="147">
        <f t="shared" ref="AM65" si="349">AL65*SQRT((R65/Q65)^2+(AG65/AF65)^2)</f>
        <v>2.6478179080185586E-3</v>
      </c>
      <c r="AN65" s="138">
        <f>AF65/Q65</f>
        <v>0.99814991945195353</v>
      </c>
      <c r="AO65" s="142">
        <f t="shared" ref="AO65" si="350">AN65*SQRT((R65/Q65)^2+(AG65/AF65)^2)</f>
        <v>2.6478179080185586E-3</v>
      </c>
      <c r="AP65" s="138">
        <f t="shared" ref="AP65" si="351">ThU_Alter_Kombi(AN65,U65)</f>
        <v>673.32669999999996</v>
      </c>
      <c r="AQ65" s="138" t="e">
        <f t="shared" si="315"/>
        <v>#VALUE!</v>
      </c>
      <c r="AR65" s="138" t="e">
        <f>(AQ65/AP65)*100</f>
        <v>#VALUE!</v>
      </c>
      <c r="AS65" s="146">
        <f t="shared" si="316"/>
        <v>2.245700588361551E-5</v>
      </c>
      <c r="AT65" s="146">
        <f t="shared" si="317"/>
        <v>1.289708636093954E-7</v>
      </c>
      <c r="AU65" s="138">
        <v>0.75</v>
      </c>
      <c r="AV65" s="138">
        <f t="shared" ref="AV65" si="352">AU65/2</f>
        <v>0.375</v>
      </c>
      <c r="AW65" s="138">
        <f t="shared" si="319"/>
        <v>673.32489999999996</v>
      </c>
      <c r="AX65" s="148">
        <f t="shared" si="320"/>
        <v>297.38334286470001</v>
      </c>
      <c r="AY65" s="148">
        <f t="shared" si="321"/>
        <v>197.56757047014588</v>
      </c>
      <c r="AZ65" s="149">
        <f t="shared" si="322"/>
        <v>0.44166396172887712</v>
      </c>
      <c r="BA65" s="138" t="str">
        <f>Input!B65</f>
        <v>Hu1-13</v>
      </c>
      <c r="BB65" s="150">
        <f>Input!E65</f>
        <v>0</v>
      </c>
      <c r="BC65" s="138">
        <f>((U65-1)*EXP(Constants!$B$17*AW65*1000))*1000</f>
        <v>1.0853379655789503</v>
      </c>
      <c r="BD65" s="144">
        <f>SQRT((EXP(Constants!$B$17*AW65*1000)*V65)^2+((U65-1)*Constants!$B$17*EXP(Constants!$B$17*AW65*1000)*AY65*1000)^2)*1000</f>
        <v>12.811262140201647</v>
      </c>
      <c r="BE65" s="138">
        <f t="shared" si="323"/>
        <v>673266.89999999991</v>
      </c>
      <c r="BF65" s="151">
        <f t="shared" si="324"/>
        <v>98783.785235072937</v>
      </c>
      <c r="BG65" s="160">
        <f t="shared" si="325"/>
        <v>29.3420858890182</v>
      </c>
      <c r="BH65" s="138"/>
      <c r="BI65" s="18"/>
      <c r="BJ65" s="18"/>
      <c r="BK65" s="18"/>
      <c r="BL65" s="18"/>
      <c r="BM65" s="18"/>
      <c r="BN65" s="159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</row>
    <row r="66" spans="1:110" ht="15" customHeight="1" x14ac:dyDescent="0.2">
      <c r="A66" s="18">
        <f>Input!A66</f>
        <v>10938</v>
      </c>
      <c r="B66" s="18" t="str">
        <f>Input!B66</f>
        <v>CSM_1929</v>
      </c>
      <c r="C66" s="18">
        <f>Input!O66</f>
        <v>4.2199985497879311</v>
      </c>
      <c r="D66" s="18">
        <f>C66*Input!P66/100</f>
        <v>1.7436574459909267E-2</v>
      </c>
      <c r="E66" s="152">
        <f>Input!M66</f>
        <v>4.8551045510491164</v>
      </c>
      <c r="F66" s="153">
        <f>E66*Input!N66/100</f>
        <v>3.660249671721733E-4</v>
      </c>
      <c r="G66" s="21">
        <f>E66*137.88</f>
        <v>669.42181549865211</v>
      </c>
      <c r="H66" s="153">
        <f>G66*Input!L66/100</f>
        <v>2.3323392501648194E-2</v>
      </c>
      <c r="I66" s="18">
        <v>0.3</v>
      </c>
      <c r="J66" s="129">
        <f>(((C66*Constants!$B$24*0.000000001*Input!G66*(Constants!$B$4/Constants!$B$3))-(I66*0.000000000000001))/Input!F66)*1000000000000</f>
        <v>183.69271047026211</v>
      </c>
      <c r="K66" s="18">
        <f>J66*Input!P66/100</f>
        <v>0.75899827596344549</v>
      </c>
      <c r="L66" s="134">
        <f>(J66/Constants!$B$4)*602200000000*Constants!$B$17/(365.2425*24*60)</f>
        <v>2.5360818247843468</v>
      </c>
      <c r="M66" s="132">
        <f>L66*Input!P66/100</f>
        <v>1.0478813926724468E-2</v>
      </c>
      <c r="N66" s="18">
        <v>5.0000000000000001E-3</v>
      </c>
      <c r="O66" s="129">
        <f>(((G66*Constants!$B$23*0.000000001*Input!G66*(Constants!$B$7/Constants!$B$6))-(N66*0.000000001))/Input!F66)*1000000</f>
        <v>2.9353550986804344</v>
      </c>
      <c r="P66" s="18">
        <f>O66*Input!N66/100</f>
        <v>2.2129559566353988E-4</v>
      </c>
      <c r="Q66" s="130">
        <f>(O66/Constants!$B$7)*602200000000000000*Constants!$B$18/(365.2425*24*60)</f>
        <v>2.1901293725958433</v>
      </c>
      <c r="R66" s="131">
        <f>Q66*Input!N66/100</f>
        <v>1.6511323768176797E-4</v>
      </c>
      <c r="S66" s="132">
        <f>Input!S66*Constants!$B$17/Constants!$B$18</f>
        <v>1.146122153155829</v>
      </c>
      <c r="T66" s="18">
        <f>S66*Input!T66/100</f>
        <v>5.5748217151393097E-4</v>
      </c>
      <c r="U66" s="18">
        <f>S66*1/((U65+U67)/2)</f>
        <v>1.1455158019423834</v>
      </c>
      <c r="V66" s="18">
        <f>U66*Input!T66/100</f>
        <v>5.5718723786288781E-4</v>
      </c>
      <c r="W66" s="133">
        <v>3.0000000000000001E-3</v>
      </c>
      <c r="X66" s="129">
        <f>IF((((Constants!$B$25*0.000000001*Input!G66/Input!W66*(Constants!$B$11/Constants!$B$9))-(W66*0.000000001))/Input!F66)*1000000000&lt;0, "n.d.", (((Constants!$B$25*0.000000001*Input!G66/Input!W66*(Constants!$B$11/Constants!$B$9))-(W66*0.000000001))/Input!F66)*1000000000)</f>
        <v>1.4099633484867922E-2</v>
      </c>
      <c r="Y66" s="129">
        <f>X66*Input!X66/100</f>
        <v>9.0145434148465508E-5</v>
      </c>
      <c r="Z66" s="129">
        <f>(X66/Constants!$B$11)*6.022E+23*0.000000001*Constants!$B$19/(365.2425*24*60)</f>
        <v>3.4421763569111508E-6</v>
      </c>
      <c r="AA66" s="129">
        <f>Z66*Input!X66/100</f>
        <v>2.2007414763111182E-8</v>
      </c>
      <c r="AB66" s="134">
        <v>0.05</v>
      </c>
      <c r="AC66" s="134">
        <v>0.9</v>
      </c>
      <c r="AD66" s="129">
        <f>(((Input!G66*Constants!$B$25*0.000000001*Input!U66*(Constants!$B$10/Constants!$B$9))-((AB66*0.000000000000001)+(Input!G66*AC66*0.000000000000001)))/Input!F66)*1000000000000</f>
        <v>0.1588389903962972</v>
      </c>
      <c r="AE66" s="129">
        <f>AD66*Input!V66/100</f>
        <v>3.9721758374230446E-3</v>
      </c>
      <c r="AF66" s="129">
        <f>(AD66/Constants!$B$10)*602200000000*Constants!$B$16/(365.2425*24*60)</f>
        <v>7.2503118948458569E-3</v>
      </c>
      <c r="AG66" s="129">
        <f>AF66*Input!V66/100</f>
        <v>1.8131262135722418E-4</v>
      </c>
      <c r="AH66" s="18">
        <f>AF66/Z66</f>
        <v>2106.3162206343054</v>
      </c>
      <c r="AI66" s="133">
        <f>AH66*SQRT((AG66/AF66)^2+(AA66/Z66)^2)</f>
        <v>54.368035029747027</v>
      </c>
      <c r="AJ66" s="132">
        <f t="shared" si="309"/>
        <v>145.51580194238346</v>
      </c>
      <c r="AK66" s="133">
        <f>V66*1000</f>
        <v>0.55718723786288782</v>
      </c>
      <c r="AL66" s="133">
        <f>AF66/Q66</f>
        <v>3.3104491385604539E-3</v>
      </c>
      <c r="AM66" s="133">
        <f>AL66*SQRT((R66/Q66)^2+(AG66/AF66)^2)</f>
        <v>8.2786636960222024E-5</v>
      </c>
      <c r="AN66" s="18">
        <f>AL66*1/((AN65+AN67)/2)</f>
        <v>3.3136149610351359E-3</v>
      </c>
      <c r="AO66" s="129">
        <f>AN66*SQRT((R66/Q66)^2+(AG66/AF66)^2)</f>
        <v>8.286580682054073E-5</v>
      </c>
      <c r="AP66" s="18">
        <f>ThU_Alter_Kombi(AN66,U66)</f>
        <v>0.31590000000000001</v>
      </c>
      <c r="AQ66" s="18">
        <f t="shared" si="315"/>
        <v>8.6E-3</v>
      </c>
      <c r="AR66" s="154">
        <f>(AQ66/AP66)</f>
        <v>2.7223805001582779E-2</v>
      </c>
      <c r="AS66" s="131">
        <f t="shared" si="316"/>
        <v>1.5716771803445215E-6</v>
      </c>
      <c r="AT66" s="131">
        <f t="shared" si="317"/>
        <v>1.0049152796823254E-8</v>
      </c>
      <c r="AU66" s="18">
        <v>8</v>
      </c>
      <c r="AV66" s="18">
        <f>AU66/2</f>
        <v>4</v>
      </c>
      <c r="AW66" s="18">
        <f t="shared" si="319"/>
        <v>0.31469999999999998</v>
      </c>
      <c r="AX66" s="135">
        <f t="shared" si="320"/>
        <v>7.9698263999999994E-3</v>
      </c>
      <c r="AY66" s="135">
        <f t="shared" si="321"/>
        <v>7.9453940459586359E-3</v>
      </c>
      <c r="AZ66" s="154">
        <f t="shared" si="322"/>
        <v>2.5325155386081984E-2</v>
      </c>
      <c r="BA66" s="18" t="str">
        <f>Input!B66</f>
        <v>CSM_1929</v>
      </c>
      <c r="BB66" s="136">
        <f>Input!E66</f>
        <v>0</v>
      </c>
      <c r="BC66" s="18">
        <f>((U66-1)*EXP(Constants!$B$17*AW66*1000))*1000</f>
        <v>145.64509226117124</v>
      </c>
      <c r="BD66" s="132">
        <f>SQRT((EXP(Constants!$B$17*AW66*1000)*V66)^2+((U66-1)*Constants!$B$17*EXP(Constants!$B$17*AW66*1000)*AY66*1000)^2)*1000</f>
        <v>0.55769185860583059</v>
      </c>
      <c r="BE66" s="18">
        <f t="shared" si="323"/>
        <v>256.7</v>
      </c>
      <c r="BF66" s="137">
        <f t="shared" si="324"/>
        <v>3.9726970229793181</v>
      </c>
      <c r="BG66" s="20">
        <f t="shared" si="325"/>
        <v>2.5247518417409074</v>
      </c>
      <c r="BH66" s="18"/>
      <c r="BI66" s="18"/>
      <c r="BJ66" s="18"/>
      <c r="BK66" s="18"/>
      <c r="BL66" s="18"/>
      <c r="BM66" s="18"/>
      <c r="BN66" s="159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</row>
    <row r="67" spans="1:110" ht="15" customHeight="1" x14ac:dyDescent="0.2">
      <c r="A67" s="138">
        <f>Input!A67</f>
        <v>10815</v>
      </c>
      <c r="B67" s="138" t="str">
        <f>Input!B67</f>
        <v>Hu1-13</v>
      </c>
      <c r="C67" s="138">
        <f>Input!O67</f>
        <v>2.0867736044525875</v>
      </c>
      <c r="D67" s="138">
        <f>C67*Input!P67/100</f>
        <v>1.8365485413644592E-2</v>
      </c>
      <c r="E67" s="139">
        <f>Input!M67</f>
        <v>2.7322780007045457</v>
      </c>
      <c r="F67" s="140">
        <f>E67*Input!N67/100</f>
        <v>3.7350291885235342E-4</v>
      </c>
      <c r="G67" s="141">
        <f t="shared" ref="G67" si="353">E67*137.88</f>
        <v>376.72649073714274</v>
      </c>
      <c r="H67" s="140">
        <f>G67*Input!L67/100</f>
        <v>2.1347079160810582E-2</v>
      </c>
      <c r="I67" s="138">
        <v>0</v>
      </c>
      <c r="J67" s="142">
        <f>(((C67*Constants!$B$24*0.000000001*Input!G67*(Constants!$B$4/Constants!$B$3))-(I67*0.000000000000001))/Input!F67)*1000000000000</f>
        <v>753.40361430057294</v>
      </c>
      <c r="K67" s="138">
        <f>J67*Input!P67/100</f>
        <v>6.6306297240394585</v>
      </c>
      <c r="L67" s="143">
        <f>(J67/Constants!$B$4)*602200000000*Constants!$B$17/(365.2425*24*60)</f>
        <v>10.401573410632645</v>
      </c>
      <c r="M67" s="144">
        <f>L67*Input!P67/100</f>
        <v>9.1543205426943844E-2</v>
      </c>
      <c r="N67" s="138">
        <v>0</v>
      </c>
      <c r="O67" s="142">
        <f>(((G67*Constants!$B$23*0.000000001*Input!G67*(Constants!$B$7/Constants!$B$6))-(N67*0.000000001))/Input!F67)*1000000</f>
        <v>13.701244780860586</v>
      </c>
      <c r="P67" s="138">
        <f>O67*Input!N67/100</f>
        <v>1.8729627498528386E-3</v>
      </c>
      <c r="Q67" s="145">
        <f>(O67/Constants!$B$7)*602200000000000000*Constants!$B$18/(365.2425*24*60)</f>
        <v>10.222783147830359</v>
      </c>
      <c r="R67" s="146">
        <f>Q67*Input!N67/100</f>
        <v>1.397456387499631E-3</v>
      </c>
      <c r="S67" s="144">
        <f>Input!S67*Constants!$B$17/Constants!$B$18</f>
        <v>1.0008963458539806</v>
      </c>
      <c r="T67" s="138">
        <f>S67*Input!T67/100</f>
        <v>1.8275178670045609E-3</v>
      </c>
      <c r="U67" s="144">
        <f>S67</f>
        <v>1.0008963458539806</v>
      </c>
      <c r="V67" s="138">
        <f>U67*Input!T67/100</f>
        <v>1.8275178670045609E-3</v>
      </c>
      <c r="W67" s="147">
        <v>0</v>
      </c>
      <c r="X67" s="142">
        <f>(((Constants!$B$25*0.000000001*Input!G67/Input!W67*(Constants!$B$11/Constants!$B$9))-(W67*0.000000001))/Input!F67)*1000000000</f>
        <v>0.94020753803890922</v>
      </c>
      <c r="Y67" s="142">
        <f>X67*Input!X67/100</f>
        <v>5.9145711530300014E-3</v>
      </c>
      <c r="Z67" s="142">
        <f>(X67/Constants!$B$11)*6.022E+23*0.000000001*Constants!$B$19/(365.2425*24*60)</f>
        <v>2.2953505575166308E-4</v>
      </c>
      <c r="AA67" s="142">
        <f>Z67*Input!X67/100</f>
        <v>1.4439380290330508E-6</v>
      </c>
      <c r="AB67" s="143">
        <v>0</v>
      </c>
      <c r="AC67" s="143">
        <v>0.9</v>
      </c>
      <c r="AD67" s="142">
        <f>(((Input!G67*Constants!$B$25*0.000000001*Input!U67*(Constants!$B$10/Constants!$B$9))-((AB67*0.000000000000001)+(Input!G67*AC67*0.000000000000001)))/Input!F67)*1000000000000</f>
        <v>223.94594717058717</v>
      </c>
      <c r="AE67" s="142">
        <f>AD67*Input!V67/100</f>
        <v>0.69659376635083547</v>
      </c>
      <c r="AF67" s="142">
        <f>(AD67/Constants!$B$10)*602200000000*Constants!$B$16/(365.2425*24*60)</f>
        <v>10.222162458489667</v>
      </c>
      <c r="AG67" s="142">
        <f>AF67*Input!V67/100</f>
        <v>3.1796488113202424E-2</v>
      </c>
      <c r="AH67" s="138">
        <f t="shared" ref="AH67" si="354">AF67/Z67</f>
        <v>44534.210362835191</v>
      </c>
      <c r="AI67" s="147">
        <f t="shared" ref="AI67" si="355">AH67*SQRT((AG67/AF67)^2+(AA67/Z67)^2)</f>
        <v>312.52893383656033</v>
      </c>
      <c r="AJ67" s="144">
        <f t="shared" si="309"/>
        <v>0.89634585398057354</v>
      </c>
      <c r="AK67" s="147">
        <f t="shared" ref="AK67" si="356">V67*1000</f>
        <v>1.8275178670045609</v>
      </c>
      <c r="AL67" s="147">
        <f t="shared" ref="AL67" si="357">AF67/Q67</f>
        <v>0.99993928372227825</v>
      </c>
      <c r="AM67" s="147">
        <f t="shared" ref="AM67" si="358">AL67*SQRT((R67/Q67)^2+(AG67/AF67)^2)</f>
        <v>3.1133575106384753E-3</v>
      </c>
      <c r="AN67" s="138">
        <f>AF67/Q67</f>
        <v>0.99993928372227825</v>
      </c>
      <c r="AO67" s="142">
        <f t="shared" ref="AO67" si="359">AN67*SQRT((R67/Q67)^2+(AG67/AF67)^2)</f>
        <v>3.1133575106384753E-3</v>
      </c>
      <c r="AP67" s="138">
        <f t="shared" ref="AP67" si="360">ThU_Alter_Kombi(AN67,U67)</f>
        <v>721.16380000000004</v>
      </c>
      <c r="AQ67" s="138" t="e">
        <f t="shared" si="315"/>
        <v>#VALUE!</v>
      </c>
      <c r="AR67" s="138" t="e">
        <f>(AQ67/AP67)*100</f>
        <v>#VALUE!</v>
      </c>
      <c r="AS67" s="146">
        <f t="shared" si="316"/>
        <v>2.2453284240933806E-5</v>
      </c>
      <c r="AT67" s="146">
        <f t="shared" si="317"/>
        <v>1.412804020223013E-7</v>
      </c>
      <c r="AU67" s="138">
        <v>0.75</v>
      </c>
      <c r="AV67" s="138">
        <f t="shared" ref="AV67" si="361">AU67/2</f>
        <v>0.375</v>
      </c>
      <c r="AW67" s="138">
        <f t="shared" si="319"/>
        <v>721.16200000000003</v>
      </c>
      <c r="AX67" s="148">
        <f t="shared" si="320"/>
        <v>311.70969922699999</v>
      </c>
      <c r="AY67" s="148">
        <f t="shared" si="321"/>
        <v>325.54625438281238</v>
      </c>
      <c r="AZ67" s="149">
        <f t="shared" si="322"/>
        <v>0.43223256248526681</v>
      </c>
      <c r="BA67" s="138" t="str">
        <f>Input!B67</f>
        <v>Hu1-13</v>
      </c>
      <c r="BB67" s="150">
        <f>Input!E67</f>
        <v>0</v>
      </c>
      <c r="BC67" s="138">
        <f>((U67-1)*EXP(Constants!$B$17*AW67*1000))*1000</f>
        <v>6.860178700135914</v>
      </c>
      <c r="BD67" s="144">
        <f>SQRT((EXP(Constants!$B$17*AW67*1000)*V67)^2+((U67-1)*Constants!$B$17*EXP(Constants!$B$17*AW67*1000)*AY67*1000)^2)*1000</f>
        <v>15.341288562527227</v>
      </c>
      <c r="BE67" s="138">
        <f t="shared" si="323"/>
        <v>721104</v>
      </c>
      <c r="BF67" s="151">
        <f t="shared" si="324"/>
        <v>162773.12719140618</v>
      </c>
      <c r="BG67" s="160">
        <f t="shared" si="325"/>
        <v>45.141903536627325</v>
      </c>
      <c r="BH67" s="138"/>
      <c r="BI67" s="18"/>
      <c r="BJ67" s="18"/>
      <c r="BK67" s="18"/>
      <c r="BL67" s="18"/>
      <c r="BM67" s="18"/>
      <c r="BN67" s="159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</row>
    <row r="68" spans="1:110" ht="15" customHeight="1" x14ac:dyDescent="0.2">
      <c r="A68" s="18">
        <f>Input!A68</f>
        <v>10939</v>
      </c>
      <c r="B68" s="18" t="str">
        <f>Input!B68</f>
        <v>CSM_1936</v>
      </c>
      <c r="C68" s="18">
        <f>Input!O68</f>
        <v>4.4461917906392889</v>
      </c>
      <c r="D68" s="18">
        <f>C68*Input!P68/100</f>
        <v>1.5542500252875045E-2</v>
      </c>
      <c r="E68" s="152">
        <f>Input!M68</f>
        <v>5.098553734290344</v>
      </c>
      <c r="F68" s="153">
        <f>E68*Input!N68/100</f>
        <v>2.951437313737157E-4</v>
      </c>
      <c r="G68" s="21">
        <f>E68*137.88</f>
        <v>702.98858888395262</v>
      </c>
      <c r="H68" s="153">
        <f>G68*Input!L68/100</f>
        <v>2.1904941368971517E-2</v>
      </c>
      <c r="I68" s="18">
        <v>0.3</v>
      </c>
      <c r="J68" s="129">
        <f>(((C68*Constants!$B$24*0.000000001*Input!G68*(Constants!$B$4/Constants!$B$3))-(I68*0.000000000000001))/Input!F68)*1000000000000</f>
        <v>183.47639427329705</v>
      </c>
      <c r="K68" s="18">
        <f>J68*Input!P68/100</f>
        <v>0.64137626955118276</v>
      </c>
      <c r="L68" s="134">
        <f>(J68/Constants!$B$4)*602200000000*Constants!$B$17/(365.2425*24*60)</f>
        <v>2.5330953395061604</v>
      </c>
      <c r="M68" s="132">
        <f>L68*Input!P68/100</f>
        <v>8.854911530743987E-3</v>
      </c>
      <c r="N68" s="18">
        <v>5.0000000000000001E-3</v>
      </c>
      <c r="O68" s="129">
        <f>(((G68*Constants!$B$23*0.000000001*Input!G68*(Constants!$B$7/Constants!$B$6))-(N68*0.000000001))/Input!F68)*1000000</f>
        <v>2.9222773577135266</v>
      </c>
      <c r="P68" s="18">
        <f>O68*Input!N68/100</f>
        <v>1.6916401952651796E-4</v>
      </c>
      <c r="Q68" s="130">
        <f>(O68/Constants!$B$7)*602200000000000000*Constants!$B$18/(365.2425*24*60)</f>
        <v>2.1803717985865858</v>
      </c>
      <c r="R68" s="131">
        <f>Q68*Input!N68/100</f>
        <v>1.2621678655436102E-4</v>
      </c>
      <c r="S68" s="132">
        <f>Input!S68*Constants!$B$17/Constants!$B$18</f>
        <v>1.1457150826498361</v>
      </c>
      <c r="T68" s="18">
        <f>S68*Input!T68/100</f>
        <v>4.8312586274978084E-4</v>
      </c>
      <c r="U68" s="18">
        <f>S68*1/((U67+U69)/2)</f>
        <v>1.1460678038478946</v>
      </c>
      <c r="V68" s="18">
        <f>U68*Input!T68/100</f>
        <v>4.8327459844830031E-4</v>
      </c>
      <c r="W68" s="133">
        <v>3.0000000000000001E-3</v>
      </c>
      <c r="X68" s="129">
        <f>IF((((Constants!$B$25*0.000000001*Input!G68/Input!W68*(Constants!$B$11/Constants!$B$9))-(W68*0.000000001))/Input!F68)*1000000000&lt;0, "n.d.", (((Constants!$B$25*0.000000001*Input!G68/Input!W68*(Constants!$B$11/Constants!$B$9))-(W68*0.000000001))/Input!F68)*1000000000)</f>
        <v>3.4684323719746987E-2</v>
      </c>
      <c r="Y68" s="129">
        <f>X68*Input!X68/100</f>
        <v>2.0464767444165505E-4</v>
      </c>
      <c r="Z68" s="129">
        <f>(X68/Constants!$B$11)*6.022E+23*0.000000001*Constants!$B$19/(365.2425*24*60)</f>
        <v>8.4675647201537204E-6</v>
      </c>
      <c r="AA68" s="129">
        <f>Z68*Input!X68/100</f>
        <v>4.9961113330777761E-8</v>
      </c>
      <c r="AB68" s="134">
        <v>0.05</v>
      </c>
      <c r="AC68" s="134">
        <v>0.9</v>
      </c>
      <c r="AD68" s="129">
        <f>(((Input!G68*Constants!$B$25*0.000000001*Input!U68*(Constants!$B$10/Constants!$B$9))-((AB68*0.000000000000001)+(Input!G68*AC68*0.000000000000001)))/Input!F68)*1000000000000</f>
        <v>0.11697508704130068</v>
      </c>
      <c r="AE68" s="129">
        <f>AD68*Input!V68/100</f>
        <v>2.5942332706259154E-3</v>
      </c>
      <c r="AF68" s="129">
        <f>(AD68/Constants!$B$10)*602200000000*Constants!$B$16/(365.2425*24*60)</f>
        <v>5.3394060416789377E-3</v>
      </c>
      <c r="AG68" s="129">
        <f>AF68*Input!V68/100</f>
        <v>1.1841551179024884E-4</v>
      </c>
      <c r="AH68" s="18">
        <f>AF68/Z68</f>
        <v>630.5716245629128</v>
      </c>
      <c r="AI68" s="133">
        <f>AH68*SQRT((AG68/AF68)^2+(AA68/Z68)^2)</f>
        <v>14.471060944593653</v>
      </c>
      <c r="AJ68" s="132">
        <f t="shared" si="309"/>
        <v>146.06780384789465</v>
      </c>
      <c r="AK68" s="133">
        <f>V68*1000</f>
        <v>0.48327459844830029</v>
      </c>
      <c r="AL68" s="133">
        <f>AF68/Q68</f>
        <v>2.4488511753546706E-3</v>
      </c>
      <c r="AM68" s="133">
        <f>AL68*SQRT((R68/Q68)^2+(AG68/AF68)^2)</f>
        <v>5.4309964590425097E-5</v>
      </c>
      <c r="AN68" s="18">
        <f>AL68*1/((AN67+AN69)/2)</f>
        <v>2.4518987154067595E-3</v>
      </c>
      <c r="AO68" s="129">
        <f>AN68*SQRT((R68/Q68)^2+(AG68/AF68)^2)</f>
        <v>5.4377552116356667E-5</v>
      </c>
      <c r="AP68" s="18">
        <f>ThU_Alter_Kombi(AN68,U68)</f>
        <v>0.23350000000000001</v>
      </c>
      <c r="AQ68" s="18">
        <f t="shared" si="315"/>
        <v>6.1999999999999998E-3</v>
      </c>
      <c r="AR68" s="154">
        <f>(AQ68/AP68)</f>
        <v>2.6552462526766595E-2</v>
      </c>
      <c r="AS68" s="131">
        <f t="shared" si="316"/>
        <v>3.8835416627764005E-6</v>
      </c>
      <c r="AT68" s="131">
        <f t="shared" si="317"/>
        <v>2.2915136686103405E-8</v>
      </c>
      <c r="AU68" s="18">
        <v>8</v>
      </c>
      <c r="AV68" s="18">
        <f>AU68/2</f>
        <v>4</v>
      </c>
      <c r="AW68" s="18">
        <f t="shared" si="319"/>
        <v>0.2306</v>
      </c>
      <c r="AX68" s="135">
        <f t="shared" si="320"/>
        <v>5.6331690000000004E-3</v>
      </c>
      <c r="AY68" s="135">
        <f t="shared" si="321"/>
        <v>5.3995134317894686E-3</v>
      </c>
      <c r="AZ68" s="154">
        <f t="shared" si="322"/>
        <v>2.4428313096270599E-2</v>
      </c>
      <c r="BA68" s="18" t="str">
        <f>Input!B68</f>
        <v>CSM_1936</v>
      </c>
      <c r="BB68" s="136">
        <f>Input!E68</f>
        <v>0</v>
      </c>
      <c r="BC68" s="18">
        <f>((U68-1)*EXP(Constants!$B$17*AW68*1000))*1000</f>
        <v>146.16289089606224</v>
      </c>
      <c r="BD68" s="132">
        <f>SQRT((EXP(Constants!$B$17*AW68*1000)*V68)^2+((U68-1)*Constants!$B$17*EXP(Constants!$B$17*AW68*1000)*AY68*1000)^2)*1000</f>
        <v>0.48359432867897639</v>
      </c>
      <c r="BE68" s="18">
        <f t="shared" si="323"/>
        <v>172.6</v>
      </c>
      <c r="BF68" s="137">
        <f t="shared" si="324"/>
        <v>2.6997567158947344</v>
      </c>
      <c r="BG68" s="20">
        <f t="shared" si="325"/>
        <v>2.341506258364904</v>
      </c>
      <c r="BH68" s="18"/>
      <c r="BI68" s="18"/>
      <c r="BJ68" s="18"/>
      <c r="BK68" s="18"/>
      <c r="BL68" s="18"/>
      <c r="BM68" s="18"/>
      <c r="BN68" s="159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</row>
    <row r="69" spans="1:110" ht="15" customHeight="1" x14ac:dyDescent="0.2">
      <c r="A69" s="138">
        <f>Input!A69</f>
        <v>10815</v>
      </c>
      <c r="B69" s="138" t="str">
        <f>Input!B69</f>
        <v>Hu1-13</v>
      </c>
      <c r="C69" s="138">
        <f>Input!O69</f>
        <v>2.1014067150982934</v>
      </c>
      <c r="D69" s="138">
        <f>C69*Input!P69/100</f>
        <v>1.5450641111468455E-2</v>
      </c>
      <c r="E69" s="139">
        <f>Input!M69</f>
        <v>2.7314990989508323</v>
      </c>
      <c r="F69" s="140">
        <f>E69*Input!N69/100</f>
        <v>3.4424850575254614E-4</v>
      </c>
      <c r="G69" s="141">
        <f t="shared" ref="G69" si="362">E69*137.88</f>
        <v>376.61909576334074</v>
      </c>
      <c r="H69" s="140">
        <f>G69*Input!L69/100</f>
        <v>2.7730787074811372E-2</v>
      </c>
      <c r="I69" s="138">
        <v>0</v>
      </c>
      <c r="J69" s="142">
        <f>(((C69*Constants!$B$24*0.000000001*Input!G69*(Constants!$B$4/Constants!$B$3))-(I69*0.000000000000001))/Input!F69)*1000000000000</f>
        <v>758.68671660999996</v>
      </c>
      <c r="K69" s="138">
        <f>J69*Input!P69/100</f>
        <v>5.5782614998597149</v>
      </c>
      <c r="L69" s="143">
        <f>(J69/Constants!$B$4)*602200000000*Constants!$B$17/(365.2425*24*60)</f>
        <v>10.474512503921177</v>
      </c>
      <c r="M69" s="144">
        <f>L69*Input!P69/100</f>
        <v>7.7014093632086333E-2</v>
      </c>
      <c r="N69" s="138">
        <v>0</v>
      </c>
      <c r="O69" s="142">
        <f>(((G69*Constants!$B$23*0.000000001*Input!G69*(Constants!$B$7/Constants!$B$6))-(N69*0.000000001))/Input!F69)*1000000</f>
        <v>13.697338910526337</v>
      </c>
      <c r="P69" s="138">
        <f>O69*Input!N69/100</f>
        <v>1.7262639605285027E-3</v>
      </c>
      <c r="Q69" s="145">
        <f>(O69/Constants!$B$7)*602200000000000000*Constants!$B$18/(365.2425*24*60)</f>
        <v>10.219868896894095</v>
      </c>
      <c r="R69" s="146">
        <f>Q69*Input!N69/100</f>
        <v>1.2880013755428451E-3</v>
      </c>
      <c r="S69" s="144">
        <f>Input!S69*Constants!$B$17/Constants!$B$18</f>
        <v>0.99848812128334863</v>
      </c>
      <c r="T69" s="138">
        <f>S69*Input!T69/100</f>
        <v>1.1573076772538626E-3</v>
      </c>
      <c r="U69" s="144">
        <f>S69</f>
        <v>0.99848812128334863</v>
      </c>
      <c r="V69" s="138">
        <f>U69*Input!T69/100</f>
        <v>1.1573076772538626E-3</v>
      </c>
      <c r="W69" s="147">
        <v>0</v>
      </c>
      <c r="X69" s="142">
        <f>(((Constants!$B$25*0.000000001*Input!G69/Input!W69*(Constants!$B$11/Constants!$B$9))-(W69*0.000000001))/Input!F69)*1000000000</f>
        <v>0.94149948205893641</v>
      </c>
      <c r="Y69" s="142">
        <f>X69*Input!X69/100</f>
        <v>4.1400380405935515E-3</v>
      </c>
      <c r="Z69" s="142">
        <f>(X69/Constants!$B$11)*6.022E+23*0.000000001*Constants!$B$19/(365.2425*24*60)</f>
        <v>2.2985046105386208E-4</v>
      </c>
      <c r="AA69" s="142">
        <f>Z69*Input!X69/100</f>
        <v>1.0107171278840785E-6</v>
      </c>
      <c r="AB69" s="143">
        <v>0</v>
      </c>
      <c r="AC69" s="143">
        <v>0.9</v>
      </c>
      <c r="AD69" s="142">
        <f>(((Input!G69*Constants!$B$25*0.000000001*Input!U69*(Constants!$B$10/Constants!$B$9))-((AB69*0.000000000000001)+(Input!G69*AC69*0.000000000000001)))/Input!F69)*1000000000000</f>
        <v>223.35272054930491</v>
      </c>
      <c r="AE69" s="142">
        <f>AD69*Input!V69/100</f>
        <v>0.71938830311878976</v>
      </c>
      <c r="AF69" s="142">
        <f>(AD69/Constants!$B$10)*602200000000*Constants!$B$16/(365.2425*24*60)</f>
        <v>10.195084232810375</v>
      </c>
      <c r="AG69" s="142">
        <f>AF69*Input!V69/100</f>
        <v>3.2836959981311538E-2</v>
      </c>
      <c r="AH69" s="138">
        <f t="shared" ref="AH69" si="363">AF69/Z69</f>
        <v>44355.291636423157</v>
      </c>
      <c r="AI69" s="147">
        <f t="shared" ref="AI69" si="364">AH69*SQRT((AG69/AF69)^2+(AA69/Z69)^2)</f>
        <v>241.76699953583702</v>
      </c>
      <c r="AJ69" s="144">
        <f t="shared" si="309"/>
        <v>-1.5118787166513714</v>
      </c>
      <c r="AK69" s="147">
        <f t="shared" ref="AK69" si="365">V69*1000</f>
        <v>1.1573076772538626</v>
      </c>
      <c r="AL69" s="147">
        <f t="shared" ref="AL69" si="366">AF69/Q69</f>
        <v>0.99757485498749865</v>
      </c>
      <c r="AM69" s="147">
        <f t="shared" ref="AM69" si="367">AL69*SQRT((R69/Q69)^2+(AG69/AF69)^2)</f>
        <v>3.2155097777647077E-3</v>
      </c>
      <c r="AN69" s="138">
        <f>AF69/Q69</f>
        <v>0.99757485498749865</v>
      </c>
      <c r="AO69" s="142">
        <f t="shared" ref="AO69" si="368">AN69*SQRT((R69/Q69)^2+(AG69/AF69)^2)</f>
        <v>3.2155097777647077E-3</v>
      </c>
      <c r="AP69" s="138">
        <f t="shared" ref="AP69" si="369">ThU_Alter_Kombi(AN69,U69)</f>
        <v>905.23009999999999</v>
      </c>
      <c r="AQ69" s="138" t="e">
        <f t="shared" si="315"/>
        <v>#VALUE!</v>
      </c>
      <c r="AR69" s="138" t="e">
        <f>(AQ69/AP69)*100</f>
        <v>#VALUE!</v>
      </c>
      <c r="AS69" s="146">
        <f t="shared" si="316"/>
        <v>2.2490548887932955E-5</v>
      </c>
      <c r="AT69" s="146">
        <f t="shared" si="317"/>
        <v>9.8937879964861616E-8</v>
      </c>
      <c r="AU69" s="138">
        <v>0.75</v>
      </c>
      <c r="AV69" s="138">
        <f t="shared" ref="AV69" si="370">AU69/2</f>
        <v>0.375</v>
      </c>
      <c r="AW69" s="138">
        <f t="shared" si="319"/>
        <v>905.22820000000002</v>
      </c>
      <c r="AX69" s="148">
        <f t="shared" si="320"/>
        <v>336.76294537370001</v>
      </c>
      <c r="AY69" s="148">
        <f t="shared" si="321"/>
        <v>1607.0384378071167</v>
      </c>
      <c r="AZ69" s="149">
        <f t="shared" si="322"/>
        <v>0.37201994521790194</v>
      </c>
      <c r="BA69" s="138" t="str">
        <f>Input!B69</f>
        <v>Hu1-13</v>
      </c>
      <c r="BB69" s="150">
        <f>Input!E69</f>
        <v>0</v>
      </c>
      <c r="BC69" s="138">
        <f>((U69-1)*EXP(Constants!$B$17*AW69*1000))*1000</f>
        <v>-19.452222964684434</v>
      </c>
      <c r="BD69" s="144">
        <f>SQRT((EXP(Constants!$B$17*AW69*1000)*V69)^2+((U69-1)*Constants!$B$17*EXP(Constants!$B$17*AW69*1000)*AY69*1000)^2)*1000</f>
        <v>89.466736012646194</v>
      </c>
      <c r="BE69" s="138">
        <f t="shared" si="323"/>
        <v>905170.20000000007</v>
      </c>
      <c r="BF69" s="151">
        <f t="shared" si="324"/>
        <v>803519.21890355833</v>
      </c>
      <c r="BG69" s="160">
        <f t="shared" si="325"/>
        <v>177.52854338907213</v>
      </c>
      <c r="BH69" s="138"/>
      <c r="BI69" s="18"/>
      <c r="BJ69" s="18"/>
      <c r="BK69" s="18"/>
      <c r="BL69" s="18"/>
      <c r="BM69" s="18"/>
      <c r="BN69" s="159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</row>
    <row r="71" spans="1:110" ht="15" customHeight="1" x14ac:dyDescent="0.2">
      <c r="A71" s="138">
        <f>Input!A71</f>
        <v>10815</v>
      </c>
      <c r="B71" s="138" t="str">
        <f>Input!B71</f>
        <v>Hu1-13</v>
      </c>
      <c r="C71" s="138">
        <f>Input!O71</f>
        <v>2.0756606354015661</v>
      </c>
      <c r="D71" s="138">
        <f>C71*Input!P71/100</f>
        <v>1.7300635013641298E-2</v>
      </c>
      <c r="E71" s="139">
        <f>Input!M71</f>
        <v>2.7321837143847518</v>
      </c>
      <c r="F71" s="140">
        <f>E71*Input!N71/100</f>
        <v>2.8527747224339718E-4</v>
      </c>
      <c r="G71" s="141">
        <f t="shared" ref="G71" si="371">E71*137.88</f>
        <v>376.71349053936956</v>
      </c>
      <c r="H71" s="140">
        <f>G71*Input!L71/100</f>
        <v>2.9617021782907947E-2</v>
      </c>
      <c r="I71" s="138">
        <v>0</v>
      </c>
      <c r="J71" s="142">
        <f>(((C71*Constants!$B$24*0.000000001*Input!G71*(Constants!$B$4/Constants!$B$3))-(I71*0.000000000000001))/Input!F71)*1000000000000</f>
        <v>749.39141526240928</v>
      </c>
      <c r="K71" s="138">
        <f>J71*Input!P71/100</f>
        <v>6.2461787522904908</v>
      </c>
      <c r="L71" s="143">
        <f>(J71/Constants!$B$4)*602200000000*Constants!$B$17/(365.2425*24*60)</f>
        <v>10.346180548106663</v>
      </c>
      <c r="M71" s="144">
        <f>L71*Input!P71/100</f>
        <v>8.6235432900330269E-2</v>
      </c>
      <c r="N71" s="138">
        <v>0</v>
      </c>
      <c r="O71" s="142">
        <f>(((G71*Constants!$B$23*0.000000001*Input!G71*(Constants!$B$7/Constants!$B$6))-(N71*0.000000001))/Input!F71)*1000000</f>
        <v>13.700771973940263</v>
      </c>
      <c r="P71" s="138">
        <f>O71*Input!N71/100</f>
        <v>1.430548603276848E-3</v>
      </c>
      <c r="Q71" s="145">
        <f>(O71/Constants!$B$7)*602200000000000000*Constants!$B$18/(365.2425*24*60)</f>
        <v>10.22243037677236</v>
      </c>
      <c r="R71" s="146">
        <f>Q71*Input!N71/100</f>
        <v>1.0673620089000602E-3</v>
      </c>
      <c r="S71" s="144">
        <f>Input!S71*Constants!$B$17/Constants!$B$18</f>
        <v>0.9999112859905892</v>
      </c>
      <c r="T71" s="138">
        <f>S71*Input!T71/100</f>
        <v>1.4813968647374902E-3</v>
      </c>
      <c r="U71" s="144">
        <f>S71</f>
        <v>0.9999112859905892</v>
      </c>
      <c r="V71" s="138">
        <f>U71*Input!T71/100</f>
        <v>1.4813968647374902E-3</v>
      </c>
      <c r="W71" s="147">
        <v>0</v>
      </c>
      <c r="X71" s="142">
        <f>(((Constants!$B$25*0.000000001*Input!G71/Input!W71*(Constants!$B$11/Constants!$B$9))-(W71*0.000000001))/Input!F71)*1000000000</f>
        <v>0.95790087437193339</v>
      </c>
      <c r="Y71" s="142">
        <f>X71*Input!X71/100</f>
        <v>4.5873459349590187E-3</v>
      </c>
      <c r="Z71" s="142">
        <f>(X71/Constants!$B$11)*6.022E+23*0.000000001*Constants!$B$19/(365.2425*24*60)</f>
        <v>2.3385457115366102E-4</v>
      </c>
      <c r="AA71" s="142">
        <f>Z71*Input!X71/100</f>
        <v>1.1199194457951774E-6</v>
      </c>
      <c r="AB71" s="143">
        <v>0</v>
      </c>
      <c r="AC71" s="143">
        <v>0.9</v>
      </c>
      <c r="AD71" s="142">
        <f>(((Input!G71*Constants!$B$25*0.000000001*Input!U71*(Constants!$B$10/Constants!$B$9))-((AB71*0.000000000000001)+(Input!G71*AC71*0.000000000000001)))/Input!F71)*1000000000000</f>
        <v>222.90350944680353</v>
      </c>
      <c r="AE71" s="142">
        <f>AD71*Input!V71/100</f>
        <v>0.5933846039903643</v>
      </c>
      <c r="AF71" s="142">
        <f>(AD71/Constants!$B$10)*602200000000*Constants!$B$16/(365.2425*24*60)</f>
        <v>10.174579691755078</v>
      </c>
      <c r="AG71" s="142">
        <f>AF71*Input!V71/100</f>
        <v>2.7085436905610227E-2</v>
      </c>
      <c r="AH71" s="138">
        <f t="shared" ref="AH71" si="372">AF71/Z71</f>
        <v>43508.149708433841</v>
      </c>
      <c r="AI71" s="147">
        <f t="shared" ref="AI71" si="373">AH71*SQRT((AG71/AF71)^2+(AA71/Z71)^2)</f>
        <v>238.38623368965364</v>
      </c>
      <c r="AJ71" s="144">
        <f t="shared" ref="AJ71:AJ81" si="374">(U71-1)*1000</f>
        <v>-8.8714009410795214E-2</v>
      </c>
      <c r="AK71" s="147">
        <f t="shared" ref="AK71" si="375">V71*1000</f>
        <v>1.4813968647374902</v>
      </c>
      <c r="AL71" s="147">
        <f t="shared" ref="AL71" si="376">AF71/Q71</f>
        <v>0.99531905004449728</v>
      </c>
      <c r="AM71" s="147">
        <f t="shared" ref="AM71" si="377">AL71*SQRT((R71/Q71)^2+(AG71/AF71)^2)</f>
        <v>2.6516456811940467E-3</v>
      </c>
      <c r="AN71" s="138">
        <f>AF71/Q71</f>
        <v>0.99531905004449728</v>
      </c>
      <c r="AO71" s="142">
        <f t="shared" ref="AO71" si="378">AN71*SQRT((R71/Q71)^2+(AG71/AF71)^2)</f>
        <v>2.6516456811940467E-3</v>
      </c>
      <c r="AP71" s="138">
        <f t="shared" ref="AP71" si="379">ThU_Alter_Kombi(AN71,U71)</f>
        <v>587.9</v>
      </c>
      <c r="AQ71" s="138" t="e">
        <f t="shared" ref="AQ71:AQ81" si="380">Montealter(AN71,AO71,U71,V71)</f>
        <v>#VALUE!</v>
      </c>
      <c r="AR71" s="138" t="e">
        <f>(AQ71/AP71)*100</f>
        <v>#VALUE!</v>
      </c>
      <c r="AS71" s="146">
        <f t="shared" ref="AS71:AS81" si="381">Z71/Q71</f>
        <v>2.2876611777667932E-5</v>
      </c>
      <c r="AT71" s="146">
        <f t="shared" ref="AT71:AT81" si="382">AS71*SQRT((Y71/X71)^2+(P71/O71)^2)</f>
        <v>1.0958114282814276E-7</v>
      </c>
      <c r="AU71" s="138">
        <v>0.75</v>
      </c>
      <c r="AV71" s="138">
        <f t="shared" ref="AV71" si="383">AU71/2</f>
        <v>0.375</v>
      </c>
      <c r="AW71" s="138">
        <f t="shared" ref="AW71:AW81" si="384">marincorr_age(AN71,U71,AS71,AU71)</f>
        <v>587.8981</v>
      </c>
      <c r="AX71" s="148">
        <f t="shared" ref="AX71:AX81" si="385">marincorr_age_error(AN71, AO71, U71, V71, AS71, AT71, AU71, AV71)</f>
        <v>194.26105539860001</v>
      </c>
      <c r="AY71" s="148">
        <f t="shared" ref="AY71:AY81" si="386">SQRT(((AU71*EXP(-0.0000091577*AW71*1000))/(0.0000091577*(EXP(-0.0000091577*AW71*1000)+(AJ71/1000)*EXP(-(0.0000091577-0.0000028263)*AW71*1000)-AS71*AU71*EXP(-0.0000091577*AW71*1000))))^2*AT71^2+((AS71*EXP(-0.0000091577*AW71*1000))/(0.0000091577*(EXP(-0.0000091577*AW71*1000)+(AJ71/1000)*EXP(-(0.0000091577-0.0000028263)*AW71*1000)-AS71*AU71*EXP(-0.0000091577*AW71*1000))))^2*AV71^2+((0.0000091577/(0.0000091577-0.0000028263))*(EXP(-(0.0000091577-0.0000028263)*AW71*1000)-1)/(0.0000091577*(EXP(-0.0000091577*AW71*1000)+(AJ71/1000)*EXP(-(0.0000091577-0.0000028263)*AW71*1000)-AS71*AU71*EXP(-0.0000091577*AW71*1000))))^2*T71^2+(1/(0.0000091577*(EXP(-0.0000091577*AW71*1000)+(AJ71/1000)*EXP(-(0.0000091577-0.0000028263)*AW71*1000)-AS71*AU71*EXP(-0.0000091577*AW71*1000))))^2*AO71^2)/1000</f>
        <v>80.368403559196892</v>
      </c>
      <c r="AZ71" s="149">
        <f t="shared" ref="AZ71:AZ81" si="387">AX71/AW71</f>
        <v>0.33043320840567442</v>
      </c>
      <c r="BA71" s="138" t="str">
        <f>Input!B71</f>
        <v>Hu1-13</v>
      </c>
      <c r="BB71" s="150">
        <f>Input!E71</f>
        <v>0</v>
      </c>
      <c r="BC71" s="138">
        <f>((U71-1)*EXP(Constants!$B$17*AW71*1000))*1000</f>
        <v>-0.46614723093016058</v>
      </c>
      <c r="BD71" s="144">
        <f>SQRT((EXP(Constants!$B$17*AW71*1000)*V71)^2+((U71-1)*Constants!$B$17*EXP(Constants!$B$17*AW71*1000)*AY71*1000)^2)*1000</f>
        <v>7.7847089048558731</v>
      </c>
      <c r="BE71" s="138">
        <f t="shared" ref="BE71:BE81" si="388">AW71*1000-58</f>
        <v>587840.1</v>
      </c>
      <c r="BF71" s="151">
        <f t="shared" ref="BF71:BF81" si="389">AY71/2*1000</f>
        <v>40184.201779598443</v>
      </c>
      <c r="BG71" s="160">
        <f t="shared" ref="BG71:BG81" si="390">AY71/AW71*100</f>
        <v>13.670464925672816</v>
      </c>
      <c r="BH71" s="138"/>
      <c r="BI71" s="18"/>
      <c r="BJ71" s="18"/>
      <c r="BK71" s="18"/>
      <c r="BL71" s="18"/>
      <c r="BM71" s="18"/>
      <c r="BN71" s="159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</row>
    <row r="72" spans="1:110" ht="15" customHeight="1" x14ac:dyDescent="0.2">
      <c r="A72" s="18">
        <f>Input!A72</f>
        <v>10944</v>
      </c>
      <c r="B72" s="18" t="str">
        <f>Input!B72</f>
        <v>CSM_2012</v>
      </c>
      <c r="C72" s="18">
        <f>Input!O72</f>
        <v>4.0877162526476907</v>
      </c>
      <c r="D72" s="18">
        <f>C72*Input!P72/100</f>
        <v>1.4637855670166408E-2</v>
      </c>
      <c r="E72" s="152">
        <f>Input!M72</f>
        <v>4.6963179101454644</v>
      </c>
      <c r="F72" s="153">
        <f>E72*Input!N72/100</f>
        <v>2.5550907496148771E-4</v>
      </c>
      <c r="G72" s="21">
        <f>E72*137.88</f>
        <v>647.52831345085656</v>
      </c>
      <c r="H72" s="153">
        <f>G72*Input!L72/100</f>
        <v>5.1717326595210021E-2</v>
      </c>
      <c r="I72" s="18">
        <v>0.3</v>
      </c>
      <c r="J72" s="129">
        <f>(((C72*Constants!$B$24*0.000000001*Input!G72*(Constants!$B$4/Constants!$B$3))-(I72*0.000000000000001))/Input!F72)*1000000000000</f>
        <v>180.17234072647844</v>
      </c>
      <c r="K72" s="18">
        <f>J72*Input!P72/100</f>
        <v>0.64518585838779385</v>
      </c>
      <c r="L72" s="134">
        <f>(J72/Constants!$B$4)*602200000000*Constants!$B$17/(365.2425*24*60)</f>
        <v>2.4874792117526452</v>
      </c>
      <c r="M72" s="132">
        <f>L72*Input!P72/100</f>
        <v>8.9075071344764216E-3</v>
      </c>
      <c r="N72" s="18">
        <v>5.0000000000000001E-3</v>
      </c>
      <c r="O72" s="129">
        <f>(((G72*Constants!$B$23*0.000000001*Input!G72*(Constants!$B$7/Constants!$B$6))-(N72*0.000000001))/Input!F72)*1000000</f>
        <v>2.8750625059897379</v>
      </c>
      <c r="P72" s="18">
        <f>O72*Input!N72/100</f>
        <v>1.5642138701362762E-4</v>
      </c>
      <c r="Q72" s="130">
        <f>(O72/Constants!$B$7)*602200000000000000*Constants!$B$18/(365.2425*24*60)</f>
        <v>2.145143817607551</v>
      </c>
      <c r="R72" s="131">
        <f>Q72*Input!N72/100</f>
        <v>1.1670924391898388E-4</v>
      </c>
      <c r="S72" s="132">
        <f>Input!S72*Constants!$B$17/Constants!$B$18</f>
        <v>1.1450007410201366</v>
      </c>
      <c r="T72" s="18">
        <f>S72*Input!T72/100</f>
        <v>5.0794015329777987E-4</v>
      </c>
      <c r="U72" s="18">
        <f>S72*1/((U71+U73)/2)</f>
        <v>1.1443862944383651</v>
      </c>
      <c r="V72" s="18">
        <f>U72*Input!T72/100</f>
        <v>5.0766757522882578E-4</v>
      </c>
      <c r="W72" s="133">
        <v>3.0000000000000001E-3</v>
      </c>
      <c r="X72" s="129">
        <f>IF((((Constants!$B$25*0.000000001*Input!G72/Input!W72*(Constants!$B$11/Constants!$B$9))-(W72*0.000000001))/Input!F72)*1000000000&lt;0, "n.d.", (((Constants!$B$25*0.000000001*Input!G72/Input!W72*(Constants!$B$11/Constants!$B$9))-(W72*0.000000001))/Input!F72)*1000000000)</f>
        <v>2.8106733756751712E-2</v>
      </c>
      <c r="Y72" s="129">
        <f>X72*Input!X72/100</f>
        <v>1.3616356087338438E-4</v>
      </c>
      <c r="Z72" s="129">
        <f>(X72/Constants!$B$11)*6.022E+23*0.000000001*Constants!$B$19/(365.2425*24*60)</f>
        <v>6.8617623650515435E-6</v>
      </c>
      <c r="AA72" s="129">
        <f>Z72*Input!X72/100</f>
        <v>3.324192720429331E-8</v>
      </c>
      <c r="AB72" s="134">
        <v>0.05</v>
      </c>
      <c r="AC72" s="134">
        <v>0.9</v>
      </c>
      <c r="AD72" s="129">
        <f>(((Input!G72*Constants!$B$25*0.000000001*Input!U72*(Constants!$B$10/Constants!$B$9))-((AB72*0.000000000000001)+(Input!G72*AC72*0.000000000000001)))/Input!F72)*1000000000000</f>
        <v>3.8347031769164347E-2</v>
      </c>
      <c r="AE72" s="129">
        <f>AD72*Input!V72/100</f>
        <v>1.3049598538336536E-3</v>
      </c>
      <c r="AF72" s="129">
        <f>(AD72/Constants!$B$10)*602200000000*Constants!$B$16/(365.2425*24*60)</f>
        <v>1.7503758987282353E-3</v>
      </c>
      <c r="AG72" s="129">
        <f>AF72*Input!V72/100</f>
        <v>5.9565764847413739E-5</v>
      </c>
      <c r="AH72" s="18">
        <f>AF72/Z72</f>
        <v>255.09130243904721</v>
      </c>
      <c r="AI72" s="133">
        <f>AH72*SQRT((AG72/AF72)^2+(AA72/Z72)^2)</f>
        <v>8.768348004628308</v>
      </c>
      <c r="AJ72" s="132">
        <f t="shared" si="374"/>
        <v>144.38629443836516</v>
      </c>
      <c r="AK72" s="133">
        <f>V72*1000</f>
        <v>0.50766757522882577</v>
      </c>
      <c r="AL72" s="133">
        <f>AF72/Q72</f>
        <v>8.1597135090010191E-4</v>
      </c>
      <c r="AM72" s="133">
        <f>AL72*SQRT((R72/Q72)^2+(AG72/AF72)^2)</f>
        <v>2.7767761063173779E-5</v>
      </c>
      <c r="AN72" s="18">
        <f>AL72*1/((AN71+AN73)/2)</f>
        <v>8.1784588862790497E-4</v>
      </c>
      <c r="AO72" s="129">
        <f>AN72*SQRT((R72/Q72)^2+(AG72/AF72)^2)</f>
        <v>2.7831552170143554E-5</v>
      </c>
      <c r="AP72" s="18">
        <f>ThU_Alter_Kombi(AN72,U72)</f>
        <v>7.8E-2</v>
      </c>
      <c r="AQ72" s="18">
        <f t="shared" si="380"/>
        <v>3.3E-3</v>
      </c>
      <c r="AR72" s="154">
        <f>(AQ72/AP72)</f>
        <v>4.230769230769231E-2</v>
      </c>
      <c r="AS72" s="131">
        <f t="shared" si="381"/>
        <v>3.1987423447927007E-6</v>
      </c>
      <c r="AT72" s="131">
        <f t="shared" si="382"/>
        <v>1.5497340160814607E-8</v>
      </c>
      <c r="AU72" s="18">
        <v>8</v>
      </c>
      <c r="AV72" s="18">
        <f>AU72/2</f>
        <v>4</v>
      </c>
      <c r="AW72" s="18">
        <f t="shared" si="384"/>
        <v>7.5499999999999998E-2</v>
      </c>
      <c r="AX72" s="135">
        <f t="shared" si="385"/>
        <v>2.8708554E-3</v>
      </c>
      <c r="AY72" s="135">
        <f t="shared" si="386"/>
        <v>2.9247673729207871E-3</v>
      </c>
      <c r="AZ72" s="154">
        <f t="shared" si="387"/>
        <v>3.8024574834437087E-2</v>
      </c>
      <c r="BA72" s="18" t="str">
        <f>Input!B72</f>
        <v>CSM_2012</v>
      </c>
      <c r="BB72" s="136">
        <f>Input!E72</f>
        <v>0</v>
      </c>
      <c r="BC72" s="18">
        <f>((U72-1)*EXP(Constants!$B$17*AW72*1000))*1000</f>
        <v>144.41706145829369</v>
      </c>
      <c r="BD72" s="132">
        <f>SQRT((EXP(Constants!$B$17*AW72*1000)*V72)^2+((U72-1)*Constants!$B$17*EXP(Constants!$B$17*AW72*1000)*AY72*1000)^2)*1000</f>
        <v>0.50777715231661202</v>
      </c>
      <c r="BE72" s="18">
        <f t="shared" si="388"/>
        <v>17.5</v>
      </c>
      <c r="BF72" s="137">
        <f t="shared" si="389"/>
        <v>1.4623836864603936</v>
      </c>
      <c r="BG72" s="20">
        <f t="shared" si="390"/>
        <v>3.8738640700937577</v>
      </c>
      <c r="BH72" s="18"/>
      <c r="BI72" s="18"/>
      <c r="BJ72" s="18"/>
      <c r="BK72" s="18"/>
      <c r="BL72" s="18"/>
      <c r="BM72" s="18"/>
      <c r="BN72" s="159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</row>
    <row r="73" spans="1:110" ht="15" customHeight="1" x14ac:dyDescent="0.2">
      <c r="A73" s="138">
        <f>Input!A73</f>
        <v>10815</v>
      </c>
      <c r="B73" s="138" t="str">
        <f>Input!B73</f>
        <v>Hu1-13</v>
      </c>
      <c r="C73" s="138">
        <f>Input!O73</f>
        <v>2.075492874620477</v>
      </c>
      <c r="D73" s="138">
        <f>C73*Input!P73/100</f>
        <v>1.3280762788040574E-2</v>
      </c>
      <c r="E73" s="139">
        <f>Input!M73</f>
        <v>2.7321332660540341</v>
      </c>
      <c r="F73" s="140">
        <f>E73*Input!N73/100</f>
        <v>3.418394533780567E-4</v>
      </c>
      <c r="G73" s="141">
        <f t="shared" ref="G73" si="391">E73*137.88</f>
        <v>376.70653472353018</v>
      </c>
      <c r="H73" s="140">
        <f>G73*Input!L73/100</f>
        <v>2.5001916378056155E-2</v>
      </c>
      <c r="I73" s="138">
        <v>0</v>
      </c>
      <c r="J73" s="142">
        <f>(((C73*Constants!$B$24*0.000000001*Input!G73*(Constants!$B$4/Constants!$B$3))-(I73*0.000000000000001))/Input!F73)*1000000000000</f>
        <v>749.33084732224529</v>
      </c>
      <c r="K73" s="138">
        <f>J73*Input!P73/100</f>
        <v>4.7948539620344128</v>
      </c>
      <c r="L73" s="143">
        <f>(J73/Constants!$B$4)*602200000000*Constants!$B$17/(365.2425*24*60)</f>
        <v>10.345344340443216</v>
      </c>
      <c r="M73" s="144">
        <f>L73*Input!P73/100</f>
        <v>6.6198282743393261E-2</v>
      </c>
      <c r="N73" s="138">
        <v>0</v>
      </c>
      <c r="O73" s="142">
        <f>(((G73*Constants!$B$23*0.000000001*Input!G73*(Constants!$B$7/Constants!$B$6))-(N73*0.000000001))/Input!F73)*1000000</f>
        <v>13.700518996414631</v>
      </c>
      <c r="P73" s="138">
        <f>O73*Input!N73/100</f>
        <v>1.7141835586571405E-3</v>
      </c>
      <c r="Q73" s="145">
        <f>(O73/Constants!$B$7)*602200000000000000*Constants!$B$18/(365.2425*24*60)</f>
        <v>10.22224162498906</v>
      </c>
      <c r="R73" s="146">
        <f>Q73*Input!N73/100</f>
        <v>1.2789879369360052E-3</v>
      </c>
      <c r="S73" s="144">
        <f>Input!S73*Constants!$B$17/Constants!$B$18</f>
        <v>1.0011625587150974</v>
      </c>
      <c r="T73" s="138">
        <f>S73*Input!T73/100</f>
        <v>2.0373538662324057E-3</v>
      </c>
      <c r="U73" s="144">
        <f>S73</f>
        <v>1.0011625587150974</v>
      </c>
      <c r="V73" s="138">
        <f>U73*Input!T73/100</f>
        <v>2.0373538662324057E-3</v>
      </c>
      <c r="W73" s="147">
        <v>0</v>
      </c>
      <c r="X73" s="142">
        <f>(((Constants!$B$25*0.000000001*Input!G73/Input!W73*(Constants!$B$11/Constants!$B$9))-(W73*0.000000001))/Input!F73)*1000000000</f>
        <v>0.96082226549435135</v>
      </c>
      <c r="Y73" s="142">
        <f>X73*Input!X73/100</f>
        <v>4.2656856582973862E-3</v>
      </c>
      <c r="Z73" s="142">
        <f>(X73/Constants!$B$11)*6.022E+23*0.000000001*Constants!$B$19/(365.2425*24*60)</f>
        <v>2.3456777717151029E-4</v>
      </c>
      <c r="AA73" s="142">
        <f>Z73*Input!X73/100</f>
        <v>1.0413917733935891E-6</v>
      </c>
      <c r="AB73" s="143">
        <v>0</v>
      </c>
      <c r="AC73" s="143">
        <v>0.9</v>
      </c>
      <c r="AD73" s="142">
        <f>(((Input!G73*Constants!$B$25*0.000000001*Input!U73*(Constants!$B$10/Constants!$B$9))-((AB73*0.000000000000001)+(Input!G73*AC73*0.000000000000001)))/Input!F73)*1000000000000</f>
        <v>223.96937411777537</v>
      </c>
      <c r="AE73" s="142">
        <f>AD73*Input!V73/100</f>
        <v>0.73106301096539383</v>
      </c>
      <c r="AF73" s="142">
        <f>(AD73/Constants!$B$10)*602200000000*Constants!$B$16/(365.2425*24*60)</f>
        <v>10.223231797154153</v>
      </c>
      <c r="AG73" s="142">
        <f>AF73*Input!V73/100</f>
        <v>3.3369859825096097E-2</v>
      </c>
      <c r="AH73" s="138">
        <f t="shared" ref="AH73" si="392">AF73/Z73</f>
        <v>43583.274396973859</v>
      </c>
      <c r="AI73" s="147">
        <f t="shared" ref="AI73" si="393">AH73*SQRT((AG73/AF73)^2+(AA73/Z73)^2)</f>
        <v>240.16206216025125</v>
      </c>
      <c r="AJ73" s="144">
        <f t="shared" si="374"/>
        <v>1.1625587150974059</v>
      </c>
      <c r="AK73" s="147">
        <f t="shared" ref="AK73" si="394">V73*1000</f>
        <v>2.0373538662324058</v>
      </c>
      <c r="AL73" s="147">
        <f t="shared" ref="AL73" si="395">AF73/Q73</f>
        <v>1.0000968644844661</v>
      </c>
      <c r="AM73" s="147">
        <f t="shared" ref="AM73" si="396">AL73*SQRT((R73/Q73)^2+(AG73/AF73)^2)</f>
        <v>3.2668339386151112E-3</v>
      </c>
      <c r="AN73" s="138">
        <f>AF73/Q73</f>
        <v>1.0000968644844661</v>
      </c>
      <c r="AO73" s="142">
        <f t="shared" ref="AO73" si="397">AN73*SQRT((R73/Q73)^2+(AG73/AF73)^2)</f>
        <v>3.2668339386151112E-3</v>
      </c>
      <c r="AP73" s="138">
        <f t="shared" ref="AP73" si="398">ThU_Alter_Kombi(AN73,U73)</f>
        <v>704.54269999999997</v>
      </c>
      <c r="AQ73" s="138" t="e">
        <f t="shared" si="380"/>
        <v>#VALUE!</v>
      </c>
      <c r="AR73" s="138" t="e">
        <f>(AQ73/AP73)*100</f>
        <v>#VALUE!</v>
      </c>
      <c r="AS73" s="146">
        <f t="shared" si="381"/>
        <v>2.2946804211523547E-5</v>
      </c>
      <c r="AT73" s="146">
        <f t="shared" si="382"/>
        <v>1.0191553716279689E-7</v>
      </c>
      <c r="AU73" s="138">
        <v>0.75</v>
      </c>
      <c r="AV73" s="138">
        <f t="shared" ref="AV73" si="399">AU73/2</f>
        <v>0.375</v>
      </c>
      <c r="AW73" s="138">
        <f t="shared" si="384"/>
        <v>704.54089999999997</v>
      </c>
      <c r="AX73" s="148">
        <f t="shared" si="385"/>
        <v>320.36448822149998</v>
      </c>
      <c r="AY73" s="148">
        <f t="shared" si="386"/>
        <v>300.43641880591548</v>
      </c>
      <c r="AZ73" s="149">
        <f t="shared" si="387"/>
        <v>0.45471382601279786</v>
      </c>
      <c r="BA73" s="138" t="str">
        <f>Input!B73</f>
        <v>Hu1-13</v>
      </c>
      <c r="BB73" s="150">
        <f>Input!E73</f>
        <v>0</v>
      </c>
      <c r="BC73" s="138">
        <f>((U73-1)*EXP(Constants!$B$17*AW73*1000))*1000</f>
        <v>8.4899240721073177</v>
      </c>
      <c r="BD73" s="144">
        <f>SQRT((EXP(Constants!$B$17*AW73*1000)*V73)^2+((U73-1)*Constants!$B$17*EXP(Constants!$B$17*AW73*1000)*AY73*1000)^2)*1000</f>
        <v>16.528148549710711</v>
      </c>
      <c r="BE73" s="138">
        <f t="shared" si="388"/>
        <v>704482.89999999991</v>
      </c>
      <c r="BF73" s="151">
        <f t="shared" si="389"/>
        <v>150218.20940295773</v>
      </c>
      <c r="BG73" s="160">
        <f t="shared" si="390"/>
        <v>42.642864141161354</v>
      </c>
      <c r="BH73" s="138"/>
      <c r="BI73" s="18"/>
      <c r="BJ73" s="18"/>
      <c r="BK73" s="18"/>
      <c r="BL73" s="18"/>
      <c r="BM73" s="18"/>
      <c r="BN73" s="159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</row>
    <row r="74" spans="1:110" ht="15" customHeight="1" x14ac:dyDescent="0.2">
      <c r="A74" s="18">
        <f>Input!A74</f>
        <v>10943</v>
      </c>
      <c r="B74" s="18" t="str">
        <f>Input!B74</f>
        <v>CSM_1999</v>
      </c>
      <c r="C74" s="18">
        <f>Input!O74</f>
        <v>4.2162415507748161</v>
      </c>
      <c r="D74" s="18">
        <f>C74*Input!P74/100</f>
        <v>3.5552912941874251E-2</v>
      </c>
      <c r="E74" s="152">
        <f>Input!M74</f>
        <v>4.909977190802624</v>
      </c>
      <c r="F74" s="153">
        <f>E74*Input!N74/100</f>
        <v>5.4190339738329407E-4</v>
      </c>
      <c r="G74" s="21">
        <f>E74*137.88</f>
        <v>676.98765506786572</v>
      </c>
      <c r="H74" s="153">
        <f>G74*Input!L74/100</f>
        <v>0.11812029880743356</v>
      </c>
      <c r="I74" s="18">
        <v>0.3</v>
      </c>
      <c r="J74" s="129">
        <f>(((C74*Constants!$B$24*0.000000001*Input!G74*(Constants!$B$4/Constants!$B$3))-(I74*0.000000000000001))/Input!F74)*1000000000000</f>
        <v>177.24137020596334</v>
      </c>
      <c r="K74" s="18">
        <f>J74*Input!P74/100</f>
        <v>1.4945649884488015</v>
      </c>
      <c r="L74" s="134">
        <f>(J74/Constants!$B$4)*602200000000*Constants!$B$17/(365.2425*24*60)</f>
        <v>2.4470139094168708</v>
      </c>
      <c r="M74" s="132">
        <f>L74*Input!P74/100</f>
        <v>2.0634129103221262E-2</v>
      </c>
      <c r="N74" s="18">
        <v>5.0000000000000001E-3</v>
      </c>
      <c r="O74" s="129">
        <f>(((G74*Constants!$B$23*0.000000001*Input!G74*(Constants!$B$7/Constants!$B$6))-(N74*0.000000001))/Input!F74)*1000000</f>
        <v>2.8668279166290493</v>
      </c>
      <c r="P74" s="18">
        <f>O74*Input!N74/100</f>
        <v>3.1640549993687409E-4</v>
      </c>
      <c r="Q74" s="130">
        <f>(O74/Constants!$B$7)*602200000000000000*Constants!$B$18/(365.2425*24*60)</f>
        <v>2.1389998195480939</v>
      </c>
      <c r="R74" s="131">
        <f>Q74*Input!N74/100</f>
        <v>2.3607671159586063E-4</v>
      </c>
      <c r="S74" s="132">
        <f>Input!S74*Constants!$B$17/Constants!$B$18</f>
        <v>1.1444740720876125</v>
      </c>
      <c r="T74" s="18">
        <f>S74*Input!T74/100</f>
        <v>8.2055443571917952E-4</v>
      </c>
      <c r="U74" s="18">
        <f>S74*1/((U73+U75)/2)</f>
        <v>1.1445295253699292</v>
      </c>
      <c r="V74" s="18">
        <f>U74*Input!T74/100</f>
        <v>8.20594194100684E-4</v>
      </c>
      <c r="W74" s="133">
        <v>3.0000000000000001E-3</v>
      </c>
      <c r="X74" s="129">
        <f>IF((((Constants!$B$25*0.000000001*Input!G74/Input!W74*(Constants!$B$11/Constants!$B$9))-(W74*0.000000001))/Input!F74)*1000000000&lt;0, "n.d.", (((Constants!$B$25*0.000000001*Input!G74/Input!W74*(Constants!$B$11/Constants!$B$9))-(W74*0.000000001))/Input!F74)*1000000000)</f>
        <v>1.416003104818451E-2</v>
      </c>
      <c r="Y74" s="129">
        <f>X74*Input!X74/100</f>
        <v>5.7574885566146069E-4</v>
      </c>
      <c r="Z74" s="129">
        <f>(X74/Constants!$B$11)*6.022E+23*0.000000001*Constants!$B$19/(365.2425*24*60)</f>
        <v>3.4569213546932936E-6</v>
      </c>
      <c r="AA74" s="129">
        <f>Z74*Input!X74/100</f>
        <v>1.4055890889670848E-7</v>
      </c>
      <c r="AB74" s="134">
        <v>0.05</v>
      </c>
      <c r="AC74" s="134">
        <v>0.9</v>
      </c>
      <c r="AD74" s="129">
        <f>(((Input!G74*Constants!$B$25*0.000000001*Input!U74*(Constants!$B$10/Constants!$B$9))-((AB74*0.000000000000001)+(Input!G74*AC74*0.000000000000001)))/Input!F74)*1000000000000</f>
        <v>0.24516614331852579</v>
      </c>
      <c r="AE74" s="129">
        <f>AD74*Input!V74/100</f>
        <v>8.1426259322560802E-3</v>
      </c>
      <c r="AF74" s="129">
        <f>(AD74/Constants!$B$10)*602200000000*Constants!$B$16/(365.2425*24*60)</f>
        <v>1.119077249660754E-2</v>
      </c>
      <c r="AG74" s="129">
        <f>AF74*Input!V74/100</f>
        <v>3.7167560373320559E-4</v>
      </c>
      <c r="AH74" s="18">
        <f>AF74/Z74</f>
        <v>3237.2077199310229</v>
      </c>
      <c r="AI74" s="133">
        <f>AH74*SQRT((AG74/AF74)^2+(AA74/Z74)^2)</f>
        <v>169.95585640695316</v>
      </c>
      <c r="AJ74" s="132">
        <f t="shared" si="374"/>
        <v>144.52952536992925</v>
      </c>
      <c r="AK74" s="133">
        <f>V74*1000</f>
        <v>0.82059419410068402</v>
      </c>
      <c r="AL74" s="133">
        <f>AF74/Q74</f>
        <v>5.2317781396408964E-3</v>
      </c>
      <c r="AM74" s="133">
        <f>AL74*SQRT((R74/Q74)^2+(AG74/AF74)^2)</f>
        <v>1.7376235962678559E-4</v>
      </c>
      <c r="AN74" s="18">
        <f>AL74*1/((AN73+AN75)/2)</f>
        <v>5.2348321264552647E-3</v>
      </c>
      <c r="AO74" s="129">
        <f>AN74*SQRT((R74/Q74)^2+(AG74/AF74)^2)</f>
        <v>1.7386379128940006E-4</v>
      </c>
      <c r="AP74" s="18">
        <f>ThU_Alter_Kombi(AN74,U74)</f>
        <v>0.49980000000000002</v>
      </c>
      <c r="AQ74" s="18">
        <f t="shared" si="380"/>
        <v>1.6500000000000001E-2</v>
      </c>
      <c r="AR74" s="154">
        <f>(AQ74/AP74)</f>
        <v>3.3013205282112844E-2</v>
      </c>
      <c r="AS74" s="131">
        <f t="shared" si="381"/>
        <v>1.6161391520938214E-6</v>
      </c>
      <c r="AT74" s="131">
        <f t="shared" si="382"/>
        <v>6.5712687503359087E-8</v>
      </c>
      <c r="AU74" s="18">
        <v>8</v>
      </c>
      <c r="AV74" s="18">
        <f>AU74/2</f>
        <v>4</v>
      </c>
      <c r="AW74" s="18">
        <f t="shared" si="384"/>
        <v>0.49859999999999999</v>
      </c>
      <c r="AX74" s="135">
        <f t="shared" si="385"/>
        <v>1.5767378799999999E-2</v>
      </c>
      <c r="AY74" s="135">
        <f t="shared" si="386"/>
        <v>1.6676538176560458E-2</v>
      </c>
      <c r="AZ74" s="154">
        <f t="shared" si="387"/>
        <v>3.1623302847974329E-2</v>
      </c>
      <c r="BA74" s="18" t="str">
        <f>Input!B74</f>
        <v>CSM_1999</v>
      </c>
      <c r="BB74" s="136">
        <f>Input!E74</f>
        <v>0</v>
      </c>
      <c r="BC74" s="18">
        <f>((U74-1)*EXP(Constants!$B$17*AW74*1000))*1000</f>
        <v>144.73303298880631</v>
      </c>
      <c r="BD74" s="132">
        <f>SQRT((EXP(Constants!$B$17*AW74*1000)*V74)^2+((U74-1)*Constants!$B$17*EXP(Constants!$B$17*AW74*1000)*AY74*1000)^2)*1000</f>
        <v>0.82177787723480378</v>
      </c>
      <c r="BE74" s="18">
        <f t="shared" si="388"/>
        <v>440.59999999999997</v>
      </c>
      <c r="BF74" s="137">
        <f t="shared" si="389"/>
        <v>8.3382690882802297</v>
      </c>
      <c r="BG74" s="20">
        <f t="shared" si="390"/>
        <v>3.3446727189250818</v>
      </c>
      <c r="BH74" s="18"/>
      <c r="BI74" s="18"/>
      <c r="BJ74" s="18"/>
      <c r="BK74" s="18"/>
      <c r="BL74" s="18"/>
      <c r="BM74" s="18"/>
      <c r="BN74" s="159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</row>
    <row r="75" spans="1:110" ht="15" customHeight="1" x14ac:dyDescent="0.2">
      <c r="A75" s="138">
        <f>Input!A75</f>
        <v>10815</v>
      </c>
      <c r="B75" s="138" t="str">
        <f>Input!B75</f>
        <v>Hu1-13</v>
      </c>
      <c r="C75" s="138">
        <f>Input!O75</f>
        <v>2.1053797785841284</v>
      </c>
      <c r="D75" s="138">
        <f>C75*Input!P75/100</f>
        <v>1.5847994152513162E-2</v>
      </c>
      <c r="E75" s="139">
        <f>Input!M75</f>
        <v>2.7320560804578626</v>
      </c>
      <c r="F75" s="140">
        <f>E75*Input!N75/100</f>
        <v>3.3123337096935268E-4</v>
      </c>
      <c r="G75" s="141">
        <f t="shared" ref="G75" si="400">E75*137.88</f>
        <v>376.69589237353011</v>
      </c>
      <c r="H75" s="140">
        <f>G75*Input!L75/100</f>
        <v>1.8498491707161113E-2</v>
      </c>
      <c r="I75" s="138">
        <v>0</v>
      </c>
      <c r="J75" s="142">
        <f>(((C75*Constants!$B$24*0.000000001*Input!G75*(Constants!$B$4/Constants!$B$3))-(I75*0.000000000000001))/Input!F75)*1000000000000</f>
        <v>760.12114168787468</v>
      </c>
      <c r="K75" s="138">
        <f>J75*Input!P75/100</f>
        <v>5.7217208653786393</v>
      </c>
      <c r="L75" s="143">
        <f>(J75/Constants!$B$4)*602200000000*Constants!$B$17/(365.2425*24*60)</f>
        <v>10.494316334784688</v>
      </c>
      <c r="M75" s="144">
        <f>L75*Input!P75/100</f>
        <v>7.899470945813751E-2</v>
      </c>
      <c r="N75" s="138">
        <v>0</v>
      </c>
      <c r="O75" s="142">
        <f>(((G75*Constants!$B$23*0.000000001*Input!G75*(Constants!$B$7/Constants!$B$6))-(N75*0.000000001))/Input!F75)*1000000</f>
        <v>13.700131942554654</v>
      </c>
      <c r="P75" s="138">
        <f>O75*Input!N75/100</f>
        <v>1.6609984394232403E-3</v>
      </c>
      <c r="Q75" s="145">
        <f>(O75/Constants!$B$7)*602200000000000000*Constants!$B$18/(365.2425*24*60)</f>
        <v>10.221952836069486</v>
      </c>
      <c r="R75" s="146">
        <f>Q75*Input!N75/100</f>
        <v>1.2393054154340782E-3</v>
      </c>
      <c r="S75" s="144">
        <f>Input!S75*Constants!$B$17/Constants!$B$18</f>
        <v>0.99874053984009481</v>
      </c>
      <c r="T75" s="138">
        <f>S75*Input!T75/100</f>
        <v>1.4443702259575352E-3</v>
      </c>
      <c r="U75" s="144">
        <f>S75</f>
        <v>0.99874053984009481</v>
      </c>
      <c r="V75" s="138">
        <f>U75*Input!T75/100</f>
        <v>1.4443702259575352E-3</v>
      </c>
      <c r="W75" s="147">
        <v>0</v>
      </c>
      <c r="X75" s="142">
        <f>(((Constants!$B$25*0.000000001*Input!G75/Input!W75*(Constants!$B$11/Constants!$B$9))-(W75*0.000000001))/Input!F75)*1000000000</f>
        <v>0.94901322608509198</v>
      </c>
      <c r="Y75" s="142">
        <f>X75*Input!X75/100</f>
        <v>4.3621653404056528E-3</v>
      </c>
      <c r="Z75" s="142">
        <f>(X75/Constants!$B$11)*6.022E+23*0.000000001*Constants!$B$19/(365.2425*24*60)</f>
        <v>2.3168480888045444E-4</v>
      </c>
      <c r="AA75" s="142">
        <f>Z75*Input!X75/100</f>
        <v>1.064945582861885E-6</v>
      </c>
      <c r="AB75" s="143">
        <v>0</v>
      </c>
      <c r="AC75" s="143">
        <v>0.9</v>
      </c>
      <c r="AD75" s="142">
        <f>(((Input!G75*Constants!$B$25*0.000000001*Input!U75*(Constants!$B$10/Constants!$B$9))-((AB75*0.000000000000001)+(Input!G75*AC75*0.000000000000001)))/Input!F75)*1000000000000</f>
        <v>223.65836926937013</v>
      </c>
      <c r="AE75" s="142">
        <f>AD75*Input!V75/100</f>
        <v>0.79131755420085526</v>
      </c>
      <c r="AF75" s="142">
        <f>(AD75/Constants!$B$10)*602200000000*Constants!$B$16/(365.2425*24*60)</f>
        <v>10.209035772953033</v>
      </c>
      <c r="AG75" s="142">
        <f>AF75*Input!V75/100</f>
        <v>3.6120218729094482E-2</v>
      </c>
      <c r="AH75" s="138">
        <f t="shared" ref="AH75" si="401">AF75/Z75</f>
        <v>44064.329561722487</v>
      </c>
      <c r="AI75" s="147">
        <f t="shared" ref="AI75" si="402">AH75*SQRT((AG75/AF75)^2+(AA75/Z75)^2)</f>
        <v>255.59574737725677</v>
      </c>
      <c r="AJ75" s="144">
        <f t="shared" si="374"/>
        <v>-1.2594601599051902</v>
      </c>
      <c r="AK75" s="147">
        <f t="shared" ref="AK75" si="403">V75*1000</f>
        <v>1.4443702259575353</v>
      </c>
      <c r="AL75" s="147">
        <f t="shared" ref="AL75" si="404">AF75/Q75</f>
        <v>0.99873634095914898</v>
      </c>
      <c r="AM75" s="147">
        <f t="shared" ref="AM75" si="405">AL75*SQRT((R75/Q75)^2+(AG75/AF75)^2)</f>
        <v>3.5356668171026007E-3</v>
      </c>
      <c r="AN75" s="138">
        <f>AF75/Q75</f>
        <v>0.99873634095914898</v>
      </c>
      <c r="AO75" s="142">
        <f t="shared" ref="AO75" si="406">AN75*SQRT((R75/Q75)^2+(AG75/AF75)^2)</f>
        <v>3.5356668171026007E-3</v>
      </c>
      <c r="AP75" s="138" t="str">
        <f t="shared" ref="AP75" si="407">ThU_Alter_Kombi(AN75,U75)</f>
        <v>Out of range</v>
      </c>
      <c r="AQ75" s="138" t="e">
        <f t="shared" si="380"/>
        <v>#VALUE!</v>
      </c>
      <c r="AR75" s="138" t="e">
        <f>(AQ75/AP75)*100</f>
        <v>#VALUE!</v>
      </c>
      <c r="AS75" s="146">
        <f t="shared" si="381"/>
        <v>2.2665415561586682E-5</v>
      </c>
      <c r="AT75" s="146">
        <f t="shared" si="382"/>
        <v>1.0421843878819541E-7</v>
      </c>
      <c r="AU75" s="138">
        <v>0.75</v>
      </c>
      <c r="AV75" s="138">
        <f t="shared" ref="AV75" si="408">AU75/2</f>
        <v>0.375</v>
      </c>
      <c r="AW75" s="138" t="str">
        <f t="shared" si="384"/>
        <v>Out of range</v>
      </c>
      <c r="AX75" s="148">
        <f t="shared" si="385"/>
        <v>339.44348206230001</v>
      </c>
      <c r="AY75" s="148" t="e">
        <f t="shared" si="386"/>
        <v>#VALUE!</v>
      </c>
      <c r="AZ75" s="149" t="e">
        <f t="shared" si="387"/>
        <v>#VALUE!</v>
      </c>
      <c r="BA75" s="138" t="str">
        <f>Input!B75</f>
        <v>Hu1-13</v>
      </c>
      <c r="BB75" s="150">
        <f>Input!E75</f>
        <v>0</v>
      </c>
      <c r="BC75" s="138" t="e">
        <f>((U75-1)*EXP(Constants!$B$17*AW75*1000))*1000</f>
        <v>#VALUE!</v>
      </c>
      <c r="BD75" s="144" t="e">
        <f>SQRT((EXP(Constants!$B$17*AW75*1000)*V75)^2+((U75-1)*Constants!$B$17*EXP(Constants!$B$17*AW75*1000)*AY75*1000)^2)*1000</f>
        <v>#VALUE!</v>
      </c>
      <c r="BE75" s="138" t="e">
        <f t="shared" si="388"/>
        <v>#VALUE!</v>
      </c>
      <c r="BF75" s="151" t="e">
        <f t="shared" si="389"/>
        <v>#VALUE!</v>
      </c>
      <c r="BG75" s="160" t="e">
        <f t="shared" si="390"/>
        <v>#VALUE!</v>
      </c>
      <c r="BH75" s="138"/>
      <c r="BI75" s="18"/>
      <c r="BJ75" s="18"/>
      <c r="BK75" s="18"/>
      <c r="BL75" s="18"/>
      <c r="BM75" s="18"/>
      <c r="BN75" s="159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</row>
    <row r="76" spans="1:110" ht="15" customHeight="1" x14ac:dyDescent="0.2">
      <c r="A76" s="18">
        <f>Input!A76</f>
        <v>10942</v>
      </c>
      <c r="B76" s="18" t="str">
        <f>Input!B76</f>
        <v>CSM_1972</v>
      </c>
      <c r="C76" s="18">
        <f>Input!O76</f>
        <v>4.0515441677238409</v>
      </c>
      <c r="D76" s="18">
        <f>C76*Input!P76/100</f>
        <v>1.8794003952917658E-2</v>
      </c>
      <c r="E76" s="152">
        <f>Input!M76</f>
        <v>4.7117499196182786</v>
      </c>
      <c r="F76" s="153">
        <f>E76*Input!N76/100</f>
        <v>3.2351382560350618E-4</v>
      </c>
      <c r="G76" s="21">
        <f>E76*137.88</f>
        <v>649.65607891696823</v>
      </c>
      <c r="H76" s="153">
        <f>G76*Input!L76/100</f>
        <v>3.4976930368245299E-2</v>
      </c>
      <c r="I76" s="18">
        <v>0.3</v>
      </c>
      <c r="J76" s="129">
        <f>(((C76*Constants!$B$24*0.000000001*Input!G76*(Constants!$B$4/Constants!$B$3))-(I76*0.000000000000001))/Input!F76)*1000000000000</f>
        <v>175.20101123796519</v>
      </c>
      <c r="K76" s="18">
        <f>J76*Input!P76/100</f>
        <v>0.81270951554536419</v>
      </c>
      <c r="L76" s="134">
        <f>(J76/Constants!$B$4)*602200000000*Constants!$B$17/(365.2425*24*60)</f>
        <v>2.418844488422816</v>
      </c>
      <c r="M76" s="132">
        <f>L76*Input!P76/100</f>
        <v>1.1220357225539223E-2</v>
      </c>
      <c r="N76" s="18">
        <v>5.0000000000000001E-3</v>
      </c>
      <c r="O76" s="129">
        <f>(((G76*Constants!$B$23*0.000000001*Input!G76*(Constants!$B$7/Constants!$B$6))-(N76*0.000000001))/Input!F76)*1000000</f>
        <v>2.8299631196892241</v>
      </c>
      <c r="P76" s="18">
        <f>O76*Input!N76/100</f>
        <v>1.9430831660982248E-4</v>
      </c>
      <c r="Q76" s="130">
        <f>(O76/Constants!$B$7)*602200000000000000*Constants!$B$18/(365.2425*24*60)</f>
        <v>2.1114942292946397</v>
      </c>
      <c r="R76" s="131">
        <f>Q76*Input!N76/100</f>
        <v>1.4497746856526221E-4</v>
      </c>
      <c r="S76" s="132">
        <f>Input!S76*Constants!$B$17/Constants!$B$18</f>
        <v>1.1452523206491265</v>
      </c>
      <c r="T76" s="18">
        <f>S76*Input!T76/100</f>
        <v>4.7943918250932131E-4</v>
      </c>
      <c r="U76" s="18">
        <f>S76*1/((U75+U77)/2)</f>
        <v>1.1457266658086638</v>
      </c>
      <c r="V76" s="18">
        <f>U76*Input!T76/100</f>
        <v>4.7963775853611938E-4</v>
      </c>
      <c r="W76" s="133">
        <v>3.0000000000000001E-3</v>
      </c>
      <c r="X76" s="129">
        <f>IF((((Constants!$B$25*0.000000001*Input!G76/Input!W76*(Constants!$B$11/Constants!$B$9))-(W76*0.000000001))/Input!F76)*1000000000&lt;0, "n.d.", (((Constants!$B$25*0.000000001*Input!G76/Input!W76*(Constants!$B$11/Constants!$B$9))-(W76*0.000000001))/Input!F76)*1000000000)</f>
        <v>2.8040516691259704E-2</v>
      </c>
      <c r="Y76" s="129">
        <f>X76*Input!X76/100</f>
        <v>2.7300171577424146E-4</v>
      </c>
      <c r="Z76" s="129">
        <f>(X76/Constants!$B$11)*6.022E+23*0.000000001*Constants!$B$19/(365.2425*24*60)</f>
        <v>6.8455966386512633E-6</v>
      </c>
      <c r="AA76" s="129">
        <f>Z76*Input!X76/100</f>
        <v>6.6648544619461416E-8</v>
      </c>
      <c r="AB76" s="134">
        <v>0.05</v>
      </c>
      <c r="AC76" s="134">
        <v>0.9</v>
      </c>
      <c r="AD76" s="129">
        <f>(((Input!G76*Constants!$B$25*0.000000001*Input!U76*(Constants!$B$10/Constants!$B$9))-((AB76*0.000000000000001)+(Input!G76*AC76*0.000000000000001)))/Input!F76)*1000000000000</f>
        <v>0.13132456483449803</v>
      </c>
      <c r="AE76" s="129">
        <f>AD76*Input!V76/100</f>
        <v>3.0397607054106959E-3</v>
      </c>
      <c r="AF76" s="129">
        <f>(AD76/Constants!$B$10)*602200000000*Constants!$B$16/(365.2425*24*60)</f>
        <v>5.9943975476641738E-3</v>
      </c>
      <c r="AG76" s="129">
        <f>AF76*Input!V76/100</f>
        <v>1.3875190937021956E-4</v>
      </c>
      <c r="AH76" s="18">
        <f>AF76/Z76</f>
        <v>875.6574282830087</v>
      </c>
      <c r="AI76" s="133">
        <f>AH76*SQRT((AG76/AF76)^2+(AA76/Z76)^2)</f>
        <v>21.988760759531878</v>
      </c>
      <c r="AJ76" s="132">
        <f t="shared" si="374"/>
        <v>145.72666580866377</v>
      </c>
      <c r="AK76" s="133">
        <f>V76*1000</f>
        <v>0.4796377585361194</v>
      </c>
      <c r="AL76" s="133">
        <f>AF76/Q76</f>
        <v>2.8389362682116571E-3</v>
      </c>
      <c r="AM76" s="133">
        <f>AL76*SQRT((R76/Q76)^2+(AG76/AF76)^2)</f>
        <v>6.5712952412727498E-5</v>
      </c>
      <c r="AN76" s="18">
        <f>AL76*1/((AN75+AN77)/2)</f>
        <v>2.8419242165163227E-3</v>
      </c>
      <c r="AO76" s="129">
        <f>AN76*SQRT((R76/Q76)^2+(AG76/AF76)^2)</f>
        <v>6.5782114551714104E-5</v>
      </c>
      <c r="AP76" s="18">
        <f>ThU_Alter_Kombi(AN76,U76)</f>
        <v>0.27079999999999999</v>
      </c>
      <c r="AQ76" s="18">
        <f t="shared" si="380"/>
        <v>6.6E-3</v>
      </c>
      <c r="AR76" s="154">
        <f>(AQ76/AP76)</f>
        <v>2.4372230428360415E-2</v>
      </c>
      <c r="AS76" s="131">
        <f t="shared" si="381"/>
        <v>3.2420626794410353E-6</v>
      </c>
      <c r="AT76" s="131">
        <f t="shared" si="382"/>
        <v>3.1565419908931392E-8</v>
      </c>
      <c r="AU76" s="18">
        <v>8</v>
      </c>
      <c r="AV76" s="18">
        <f>AU76/2</f>
        <v>4</v>
      </c>
      <c r="AW76" s="18">
        <f t="shared" si="384"/>
        <v>0.26829999999999998</v>
      </c>
      <c r="AX76" s="135">
        <f t="shared" si="385"/>
        <v>6.6237348999999999E-3</v>
      </c>
      <c r="AY76" s="135">
        <f t="shared" si="386"/>
        <v>6.4059698570925507E-3</v>
      </c>
      <c r="AZ76" s="154">
        <f t="shared" si="387"/>
        <v>2.468779314200522E-2</v>
      </c>
      <c r="BA76" s="18" t="str">
        <f>Input!B76</f>
        <v>CSM_1972</v>
      </c>
      <c r="BB76" s="136">
        <f>Input!E76</f>
        <v>0</v>
      </c>
      <c r="BC76" s="18">
        <f>((U76-1)*EXP(Constants!$B$17*AW76*1000))*1000</f>
        <v>145.83704580352463</v>
      </c>
      <c r="BD76" s="132">
        <f>SQRT((EXP(Constants!$B$17*AW76*1000)*V76)^2+((U76-1)*Constants!$B$17*EXP(Constants!$B$17*AW76*1000)*AY76*1000)^2)*1000</f>
        <v>0.48000829835650133</v>
      </c>
      <c r="BE76" s="18">
        <f t="shared" si="388"/>
        <v>210.29999999999995</v>
      </c>
      <c r="BF76" s="137">
        <f t="shared" si="389"/>
        <v>3.2029849285462753</v>
      </c>
      <c r="BG76" s="20">
        <f t="shared" si="390"/>
        <v>2.3876145572465717</v>
      </c>
      <c r="BH76" s="18"/>
      <c r="BI76" s="18"/>
      <c r="BJ76" s="18"/>
      <c r="BK76" s="18"/>
      <c r="BL76" s="18"/>
      <c r="BM76" s="18"/>
      <c r="BN76" s="159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</row>
    <row r="77" spans="1:110" ht="15" customHeight="1" x14ac:dyDescent="0.2">
      <c r="A77" s="138">
        <f>Input!A77</f>
        <v>10815</v>
      </c>
      <c r="B77" s="138" t="str">
        <f>Input!B77</f>
        <v>Hu1-13</v>
      </c>
      <c r="C77" s="138">
        <f>Input!O77</f>
        <v>2.0750144901394041</v>
      </c>
      <c r="D77" s="138">
        <f>C77*Input!P77/100</f>
        <v>2.2219093907560886E-2</v>
      </c>
      <c r="E77" s="139">
        <f>Input!M77</f>
        <v>2.7320210221683192</v>
      </c>
      <c r="F77" s="140">
        <f>E77*Input!N77/100</f>
        <v>3.466948490444408E-4</v>
      </c>
      <c r="G77" s="141">
        <f t="shared" ref="G77" si="409">E77*137.88</f>
        <v>376.69105853656782</v>
      </c>
      <c r="H77" s="140">
        <f>G77*Input!L77/100</f>
        <v>2.7686907792290483E-2</v>
      </c>
      <c r="I77" s="138">
        <v>0</v>
      </c>
      <c r="J77" s="142">
        <f>(((C77*Constants!$B$24*0.000000001*Input!G77*(Constants!$B$4/Constants!$B$3))-(I77*0.000000000000001))/Input!F77)*1000000000000</f>
        <v>749.15813256473791</v>
      </c>
      <c r="K77" s="138">
        <f>J77*Input!P77/100</f>
        <v>8.0219270651698285</v>
      </c>
      <c r="L77" s="143">
        <f>(J77/Constants!$B$4)*602200000000*Constants!$B$17/(365.2425*24*60)</f>
        <v>10.342959821448067</v>
      </c>
      <c r="M77" s="144">
        <f>L77*Input!P77/100</f>
        <v>0.11075160999933285</v>
      </c>
      <c r="N77" s="138">
        <v>0</v>
      </c>
      <c r="O77" s="142">
        <f>(((G77*Constants!$B$23*0.000000001*Input!G77*(Constants!$B$7/Constants!$B$6))-(N77*0.000000001))/Input!F77)*1000000</f>
        <v>13.69995613972401</v>
      </c>
      <c r="P77" s="138">
        <f>O77*Input!N77/100</f>
        <v>1.7385313609363756E-3</v>
      </c>
      <c r="Q77" s="145">
        <f>(O77/Constants!$B$7)*602200000000000000*Constants!$B$18/(365.2425*24*60)</f>
        <v>10.221821665928145</v>
      </c>
      <c r="R77" s="146">
        <f>Q77*Input!N77/100</f>
        <v>1.2971543376395795E-3</v>
      </c>
      <c r="S77" s="144">
        <f>Input!S77*Constants!$B$17/Constants!$B$18</f>
        <v>1.0004314351628567</v>
      </c>
      <c r="T77" s="138">
        <f>S77*Input!T77/100</f>
        <v>1.8506086814348002E-3</v>
      </c>
      <c r="U77" s="144">
        <f>S77</f>
        <v>1.0004314351628567</v>
      </c>
      <c r="V77" s="138">
        <f>U77*Input!T77/100</f>
        <v>1.8506086814348002E-3</v>
      </c>
      <c r="W77" s="147">
        <v>0</v>
      </c>
      <c r="X77" s="142">
        <f>(((Constants!$B$25*0.000000001*Input!G77/Input!W77*(Constants!$B$11/Constants!$B$9))-(W77*0.000000001))/Input!F77)*1000000000</f>
        <v>0.94736665711519685</v>
      </c>
      <c r="Y77" s="142">
        <f>X77*Input!X77/100</f>
        <v>4.5139047123154913E-3</v>
      </c>
      <c r="Z77" s="142">
        <f>(X77/Constants!$B$11)*6.022E+23*0.000000001*Constants!$B$19/(365.2425*24*60)</f>
        <v>2.3128282816341805E-4</v>
      </c>
      <c r="AA77" s="142">
        <f>Z77*Input!X77/100</f>
        <v>1.101990069086378E-6</v>
      </c>
      <c r="AB77" s="143">
        <v>0</v>
      </c>
      <c r="AC77" s="143">
        <v>0.9</v>
      </c>
      <c r="AD77" s="142">
        <f>(((Input!G77*Constants!$B$25*0.000000001*Input!U77*(Constants!$B$10/Constants!$B$9))-((AB77*0.000000000000001)+(Input!G77*AC77*0.000000000000001)))/Input!F77)*1000000000000</f>
        <v>223.75057318342044</v>
      </c>
      <c r="AE77" s="142">
        <f>AD77*Input!V77/100</f>
        <v>0.62677836883048565</v>
      </c>
      <c r="AF77" s="142">
        <f>(AD77/Constants!$B$10)*602200000000*Constants!$B$16/(365.2425*24*60)</f>
        <v>10.213244482244891</v>
      </c>
      <c r="AG77" s="142">
        <f>AF77*Input!V77/100</f>
        <v>2.8609717624279801E-2</v>
      </c>
      <c r="AH77" s="138">
        <f t="shared" ref="AH77" si="410">AF77/Z77</f>
        <v>44159.112733732632</v>
      </c>
      <c r="AI77" s="147">
        <f t="shared" ref="AI77" si="411">AH77*SQRT((AG77/AF77)^2+(AA77/Z77)^2)</f>
        <v>244.07313930452426</v>
      </c>
      <c r="AJ77" s="144">
        <f t="shared" si="374"/>
        <v>0.43143516285670813</v>
      </c>
      <c r="AK77" s="147">
        <f t="shared" ref="AK77" si="412">V77*1000</f>
        <v>1.8506086814348002</v>
      </c>
      <c r="AL77" s="147">
        <f t="shared" ref="AL77" si="413">AF77/Q77</f>
        <v>0.99916089480294457</v>
      </c>
      <c r="AM77" s="147">
        <f t="shared" ref="AM77" si="414">AL77*SQRT((R77/Q77)^2+(AG77/AF77)^2)</f>
        <v>2.80175691192353E-3</v>
      </c>
      <c r="AN77" s="138">
        <f>AF77/Q77</f>
        <v>0.99916089480294457</v>
      </c>
      <c r="AO77" s="142">
        <f t="shared" ref="AO77" si="415">AN77*SQRT((R77/Q77)^2+(AG77/AF77)^2)</f>
        <v>2.80175691192353E-3</v>
      </c>
      <c r="AP77" s="138">
        <f t="shared" ref="AP77" si="416">ThU_Alter_Kombi(AN77,U77)</f>
        <v>712.32529999999997</v>
      </c>
      <c r="AQ77" s="138" t="e">
        <f t="shared" si="380"/>
        <v>#VALUE!</v>
      </c>
      <c r="AR77" s="138" t="e">
        <f>(AQ77/AP77)*100</f>
        <v>#VALUE!</v>
      </c>
      <c r="AS77" s="146">
        <f t="shared" si="381"/>
        <v>2.2626380670907302E-5</v>
      </c>
      <c r="AT77" s="146">
        <f t="shared" si="382"/>
        <v>1.0784583041553961E-7</v>
      </c>
      <c r="AU77" s="138">
        <v>0.75</v>
      </c>
      <c r="AV77" s="138">
        <f t="shared" ref="AV77" si="417">AU77/2</f>
        <v>0.375</v>
      </c>
      <c r="AW77" s="138">
        <f t="shared" si="384"/>
        <v>712.32349999999997</v>
      </c>
      <c r="AX77" s="148">
        <f t="shared" si="385"/>
        <v>326.02788790440002</v>
      </c>
      <c r="AY77" s="148">
        <f t="shared" si="386"/>
        <v>285.63272183345134</v>
      </c>
      <c r="AZ77" s="149">
        <f t="shared" si="387"/>
        <v>0.45769638079383879</v>
      </c>
      <c r="BA77" s="138" t="str">
        <f>Input!B77</f>
        <v>Hu1-13</v>
      </c>
      <c r="BB77" s="150">
        <f>Input!E77</f>
        <v>0</v>
      </c>
      <c r="BC77" s="138">
        <f>((U77-1)*EXP(Constants!$B$17*AW77*1000))*1000</f>
        <v>3.2206448927963276</v>
      </c>
      <c r="BD77" s="144">
        <f>SQRT((EXP(Constants!$B$17*AW77*1000)*V77)^2+((U77-1)*Constants!$B$17*EXP(Constants!$B$17*AW77*1000)*AY77*1000)^2)*1000</f>
        <v>14.056526002870438</v>
      </c>
      <c r="BE77" s="138">
        <f t="shared" si="388"/>
        <v>712265.5</v>
      </c>
      <c r="BF77" s="151">
        <f t="shared" si="389"/>
        <v>142816.36091672568</v>
      </c>
      <c r="BG77" s="160">
        <f t="shared" si="390"/>
        <v>40.098736295159618</v>
      </c>
      <c r="BH77" s="138"/>
      <c r="BI77" s="18"/>
      <c r="BJ77" s="18"/>
      <c r="BK77" s="18"/>
      <c r="BL77" s="18"/>
      <c r="BM77" s="18"/>
      <c r="BN77" s="159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</row>
    <row r="78" spans="1:110" ht="15" customHeight="1" x14ac:dyDescent="0.2">
      <c r="A78" s="18">
        <f>Input!A78</f>
        <v>10941</v>
      </c>
      <c r="B78" s="18" t="str">
        <f>Input!B78</f>
        <v>CSM_1968</v>
      </c>
      <c r="C78" s="18">
        <f>Input!O78</f>
        <v>4.0289551082121369</v>
      </c>
      <c r="D78" s="18">
        <f>C78*Input!P78/100</f>
        <v>1.1296839860284629E-2</v>
      </c>
      <c r="E78" s="152">
        <f>Input!M78</f>
        <v>4.6696315362209164</v>
      </c>
      <c r="F78" s="153">
        <f>E78*Input!N78/100</f>
        <v>2.5906222910716435E-4</v>
      </c>
      <c r="G78" s="21">
        <f>E78*137.88</f>
        <v>643.84879621413995</v>
      </c>
      <c r="H78" s="153">
        <f>G78*Input!L78/100</f>
        <v>2.4844779013074657E-2</v>
      </c>
      <c r="I78" s="18">
        <v>0.3</v>
      </c>
      <c r="J78" s="129">
        <f>(((C78*Constants!$B$24*0.000000001*Input!G78*(Constants!$B$4/Constants!$B$3))-(I78*0.000000000000001))/Input!F78)*1000000000000</f>
        <v>178.50063836037518</v>
      </c>
      <c r="K78" s="18">
        <f>J78*Input!P78/100</f>
        <v>0.50050027174677647</v>
      </c>
      <c r="L78" s="134">
        <f>(J78/Constants!$B$4)*602200000000*Constants!$B$17/(365.2425*24*60)</f>
        <v>2.4643995044726452</v>
      </c>
      <c r="M78" s="132">
        <f>L78*Input!P78/100</f>
        <v>6.9099619643432399E-3</v>
      </c>
      <c r="N78" s="18">
        <v>5.0000000000000001E-3</v>
      </c>
      <c r="O78" s="129">
        <f>(((G78*Constants!$B$23*0.000000001*Input!G78*(Constants!$B$7/Constants!$B$6))-(N78*0.000000001))/Input!F78)*1000000</f>
        <v>2.8735083808834632</v>
      </c>
      <c r="P78" s="18">
        <f>O78*Input!N78/100</f>
        <v>1.5941675070839481E-4</v>
      </c>
      <c r="Q78" s="130">
        <f>(O78/Constants!$B$7)*602200000000000000*Constants!$B$18/(365.2425*24*60)</f>
        <v>2.1439842526045054</v>
      </c>
      <c r="R78" s="131">
        <f>Q78*Input!N78/100</f>
        <v>1.189441469508065E-4</v>
      </c>
      <c r="S78" s="132">
        <f>Input!S78*Constants!$B$17/Constants!$B$18</f>
        <v>1.1453693837202474</v>
      </c>
      <c r="T78" s="18">
        <f>S78*Input!T78/100</f>
        <v>4.5252689559462469E-4</v>
      </c>
      <c r="U78" s="18">
        <f>S78*1/((U77+U79)/2)</f>
        <v>1.1449816390374947</v>
      </c>
      <c r="V78" s="18">
        <f>U78*Input!T78/100</f>
        <v>4.5237370056421493E-4</v>
      </c>
      <c r="W78" s="133">
        <v>3.0000000000000001E-3</v>
      </c>
      <c r="X78" s="129">
        <f>IF((((Constants!$B$25*0.000000001*Input!G78/Input!W78*(Constants!$B$11/Constants!$B$9))-(W78*0.000000001))/Input!F78)*1000000000&lt;0, "n.d.", (((Constants!$B$25*0.000000001*Input!G78/Input!W78*(Constants!$B$11/Constants!$B$9))-(W78*0.000000001))/Input!F78)*1000000000)</f>
        <v>8.5536899919259352E-3</v>
      </c>
      <c r="Y78" s="129">
        <f>X78*Input!X78/100</f>
        <v>6.3595520990063242E-5</v>
      </c>
      <c r="Z78" s="129">
        <f>(X78/Constants!$B$11)*6.022E+23*0.000000001*Constants!$B$19/(365.2425*24*60)</f>
        <v>2.0882322569699619E-6</v>
      </c>
      <c r="AA78" s="129">
        <f>Z78*Input!X78/100</f>
        <v>1.5525722636150718E-8</v>
      </c>
      <c r="AB78" s="134">
        <v>0.05</v>
      </c>
      <c r="AC78" s="134">
        <v>0.9</v>
      </c>
      <c r="AD78" s="129">
        <f>(((Input!G78*Constants!$B$25*0.000000001*Input!U78*(Constants!$B$10/Constants!$B$9))-((AB78*0.000000000000001)+(Input!G78*AC78*0.000000000000001)))/Input!F78)*1000000000000</f>
        <v>0.12438703545972657</v>
      </c>
      <c r="AE78" s="129">
        <f>AD78*Input!V78/100</f>
        <v>3.1838295634622309E-3</v>
      </c>
      <c r="AF78" s="129">
        <f>(AD78/Constants!$B$10)*602200000000*Constants!$B$16/(365.2425*24*60)</f>
        <v>5.6777293818614741E-3</v>
      </c>
      <c r="AG78" s="129">
        <f>AF78*Input!V78/100</f>
        <v>1.4532802870088142E-4</v>
      </c>
      <c r="AH78" s="18">
        <f>AF78/Z78</f>
        <v>2718.9166161525995</v>
      </c>
      <c r="AI78" s="133">
        <f>AH78*SQRT((AG78/AF78)^2+(AA78/Z78)^2)</f>
        <v>72.470234148782453</v>
      </c>
      <c r="AJ78" s="132">
        <f t="shared" si="374"/>
        <v>144.98163903749472</v>
      </c>
      <c r="AK78" s="133">
        <f>V78*1000</f>
        <v>0.45237370056421494</v>
      </c>
      <c r="AL78" s="133">
        <f>AF78/Q78</f>
        <v>2.6482141251570231E-3</v>
      </c>
      <c r="AM78" s="133">
        <f>AL78*SQRT((R78/Q78)^2+(AG78/AF78)^2)</f>
        <v>6.7784252558852846E-5</v>
      </c>
      <c r="AN78" s="18">
        <f>AL78*1/((AN77+AN79)/2)</f>
        <v>2.6511926598078942E-3</v>
      </c>
      <c r="AO78" s="129">
        <f>AN78*SQRT((R78/Q78)^2+(AG78/AF78)^2)</f>
        <v>6.7860491765913924E-5</v>
      </c>
      <c r="AP78" s="18">
        <f>ThU_Alter_Kombi(AN78,U78)</f>
        <v>0.25280000000000002</v>
      </c>
      <c r="AQ78" s="18">
        <f t="shared" si="380"/>
        <v>7.1000000000000004E-3</v>
      </c>
      <c r="AR78" s="154">
        <f>(AQ78/AP78)</f>
        <v>2.8085443037974684E-2</v>
      </c>
      <c r="AS78" s="131">
        <f t="shared" si="381"/>
        <v>9.7399607969749963E-7</v>
      </c>
      <c r="AT78" s="131">
        <f t="shared" si="382"/>
        <v>7.241729898481597E-9</v>
      </c>
      <c r="AU78" s="18">
        <v>8</v>
      </c>
      <c r="AV78" s="18">
        <f>AU78/2</f>
        <v>4</v>
      </c>
      <c r="AW78" s="18">
        <f t="shared" si="384"/>
        <v>0.252</v>
      </c>
      <c r="AX78" s="135">
        <f t="shared" si="385"/>
        <v>6.3059177999999997E-3</v>
      </c>
      <c r="AY78" s="135">
        <f t="shared" si="386"/>
        <v>6.4977154290589284E-3</v>
      </c>
      <c r="AZ78" s="154">
        <f t="shared" si="387"/>
        <v>2.5023483333333332E-2</v>
      </c>
      <c r="BA78" s="18" t="str">
        <f>Input!B78</f>
        <v>CSM_1968</v>
      </c>
      <c r="BB78" s="136">
        <f>Input!E78</f>
        <v>0</v>
      </c>
      <c r="BC78" s="18">
        <f>((U78-1)*EXP(Constants!$B$17*AW78*1000))*1000</f>
        <v>145.08478072305698</v>
      </c>
      <c r="BD78" s="132">
        <f>SQRT((EXP(Constants!$B$17*AW78*1000)*V78)^2+((U78-1)*Constants!$B$17*EXP(Constants!$B$17*AW78*1000)*AY78*1000)^2)*1000</f>
        <v>0.45270334198283951</v>
      </c>
      <c r="BE78" s="18">
        <f t="shared" si="388"/>
        <v>194</v>
      </c>
      <c r="BF78" s="137">
        <f t="shared" si="389"/>
        <v>3.2488577145294641</v>
      </c>
      <c r="BG78" s="20">
        <f t="shared" si="390"/>
        <v>2.5784585035948129</v>
      </c>
      <c r="BH78" s="18"/>
      <c r="BI78" s="18"/>
      <c r="BJ78" s="18"/>
      <c r="BK78" s="18"/>
      <c r="BL78" s="18"/>
      <c r="BM78" s="18"/>
      <c r="BN78" s="159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</row>
    <row r="79" spans="1:110" ht="15" customHeight="1" x14ac:dyDescent="0.2">
      <c r="A79" s="138">
        <f>Input!A79</f>
        <v>10815</v>
      </c>
      <c r="B79" s="138" t="str">
        <f>Input!B79</f>
        <v>Hu1-13</v>
      </c>
      <c r="C79" s="138">
        <f>Input!O79</f>
        <v>2.1051043733201888</v>
      </c>
      <c r="D79" s="138">
        <f>C79*Input!P79/100</f>
        <v>2.2771264002708791E-2</v>
      </c>
      <c r="E79" s="139">
        <f>Input!M79</f>
        <v>2.7317887502811251</v>
      </c>
      <c r="F79" s="140">
        <f>E79*Input!N79/100</f>
        <v>3.5387892610691724E-4</v>
      </c>
      <c r="G79" s="141">
        <f t="shared" ref="G79" si="418">E79*137.88</f>
        <v>376.65903288876154</v>
      </c>
      <c r="H79" s="140">
        <f>G79*Input!L79/100</f>
        <v>2.6149176239253297E-2</v>
      </c>
      <c r="I79" s="138">
        <v>0</v>
      </c>
      <c r="J79" s="142">
        <f>(((C79*Constants!$B$24*0.000000001*Input!G79*(Constants!$B$4/Constants!$B$3))-(I79*0.000000000000001))/Input!F79)*1000000000000</f>
        <v>760.02171004813829</v>
      </c>
      <c r="K79" s="138">
        <f>J79*Input!P79/100</f>
        <v>8.2212811994685779</v>
      </c>
      <c r="L79" s="143">
        <f>(J79/Constants!$B$4)*602200000000*Constants!$B$17/(365.2425*24*60)</f>
        <v>10.492943570597703</v>
      </c>
      <c r="M79" s="144">
        <f>L79*Input!P79/100</f>
        <v>0.11350391516918076</v>
      </c>
      <c r="N79" s="138">
        <v>0</v>
      </c>
      <c r="O79" s="142">
        <f>(((G79*Constants!$B$23*0.000000001*Input!G79*(Constants!$B$7/Constants!$B$6))-(N79*0.000000001))/Input!F79)*1000000</f>
        <v>13.698791392219791</v>
      </c>
      <c r="P79" s="138">
        <f>O79*Input!N79/100</f>
        <v>1.7745565378518191E-3</v>
      </c>
      <c r="Q79" s="145">
        <f>(O79/Constants!$B$7)*602200000000000000*Constants!$B$18/(365.2425*24*60)</f>
        <v>10.220952623636876</v>
      </c>
      <c r="R79" s="146">
        <f>Q79*Input!N79/100</f>
        <v>1.3240334699636189E-3</v>
      </c>
      <c r="S79" s="144">
        <f>Input!S79*Constants!$B$17/Constants!$B$18</f>
        <v>1.0002458589867314</v>
      </c>
      <c r="T79" s="138">
        <f>S79*Input!T79/100</f>
        <v>1.8835318043533341E-3</v>
      </c>
      <c r="U79" s="144">
        <f>S79</f>
        <v>1.0002458589867314</v>
      </c>
      <c r="V79" s="138">
        <f>U79*Input!T79/100</f>
        <v>1.8835318043533341E-3</v>
      </c>
      <c r="W79" s="147">
        <v>0</v>
      </c>
      <c r="X79" s="142">
        <f>(((Constants!$B$25*0.000000001*Input!G79/Input!W79*(Constants!$B$11/Constants!$B$9))-(W79*0.000000001))/Input!F79)*1000000000</f>
        <v>0.94620847779062667</v>
      </c>
      <c r="Y79" s="142">
        <f>X79*Input!X79/100</f>
        <v>3.6884475151890712E-3</v>
      </c>
      <c r="Z79" s="142">
        <f>(X79/Constants!$B$11)*6.022E+23*0.000000001*Constants!$B$19/(365.2425*24*60)</f>
        <v>2.3100007914782296E-4</v>
      </c>
      <c r="AA79" s="142">
        <f>Z79*Input!X79/100</f>
        <v>9.0046928128433091E-7</v>
      </c>
      <c r="AB79" s="143">
        <v>0</v>
      </c>
      <c r="AC79" s="143">
        <v>0.9</v>
      </c>
      <c r="AD79" s="142">
        <f>(((Input!G79*Constants!$B$25*0.000000001*Input!U79*(Constants!$B$10/Constants!$B$9))-((AB79*0.000000000000001)+(Input!G79*AC79*0.000000000000001)))/Input!F79)*1000000000000</f>
        <v>223.60420079488011</v>
      </c>
      <c r="AE79" s="142">
        <f>AD79*Input!V79/100</f>
        <v>0.61113491943227638</v>
      </c>
      <c r="AF79" s="142">
        <f>(AD79/Constants!$B$10)*602200000000*Constants!$B$16/(365.2425*24*60)</f>
        <v>10.206563216725241</v>
      </c>
      <c r="AG79" s="142">
        <f>AF79*Input!V79/100</f>
        <v>2.7895661919409877E-2</v>
      </c>
      <c r="AH79" s="138">
        <f t="shared" ref="AH79" si="419">AF79/Z79</f>
        <v>44184.241210557317</v>
      </c>
      <c r="AI79" s="147">
        <f t="shared" ref="AI79" si="420">AH79*SQRT((AG79/AF79)^2+(AA79/Z79)^2)</f>
        <v>210.3529108675441</v>
      </c>
      <c r="AJ79" s="144">
        <f t="shared" si="374"/>
        <v>0.24585898673135098</v>
      </c>
      <c r="AK79" s="147">
        <f t="shared" ref="AK79" si="421">V79*1000</f>
        <v>1.883531804353334</v>
      </c>
      <c r="AL79" s="147">
        <f t="shared" ref="AL79" si="422">AF79/Q79</f>
        <v>0.99859216577539378</v>
      </c>
      <c r="AM79" s="147">
        <f t="shared" ref="AM79" si="423">AL79*SQRT((R79/Q79)^2+(AG79/AF79)^2)</f>
        <v>2.732326307877972E-3</v>
      </c>
      <c r="AN79" s="138">
        <f>AF79/Q79</f>
        <v>0.99859216577539378</v>
      </c>
      <c r="AO79" s="142">
        <f t="shared" ref="AO79" si="424">AN79*SQRT((R79/Q79)^2+(AG79/AF79)^2)</f>
        <v>2.732326307877972E-3</v>
      </c>
      <c r="AP79" s="138">
        <f t="shared" ref="AP79" si="425">ThU_Alter_Kombi(AN79,U79)</f>
        <v>691.7038</v>
      </c>
      <c r="AQ79" s="138" t="e">
        <f t="shared" si="380"/>
        <v>#VALUE!</v>
      </c>
      <c r="AR79" s="138" t="e">
        <f>(AQ79/AP79)*100</f>
        <v>#VALUE!</v>
      </c>
      <c r="AS79" s="146">
        <f t="shared" si="381"/>
        <v>2.2600640826141237E-5</v>
      </c>
      <c r="AT79" s="146">
        <f t="shared" si="382"/>
        <v>8.814896106507125E-8</v>
      </c>
      <c r="AU79" s="138">
        <v>0.75</v>
      </c>
      <c r="AV79" s="138">
        <f t="shared" ref="AV79" si="426">AU79/2</f>
        <v>0.375</v>
      </c>
      <c r="AW79" s="138">
        <f t="shared" si="384"/>
        <v>691.702</v>
      </c>
      <c r="AX79" s="148">
        <f t="shared" si="385"/>
        <v>315.49638527180002</v>
      </c>
      <c r="AY79" s="148">
        <f t="shared" si="386"/>
        <v>235.59216010684619</v>
      </c>
      <c r="AZ79" s="149">
        <f t="shared" si="387"/>
        <v>0.45611605181393144</v>
      </c>
      <c r="BA79" s="138" t="str">
        <f>Input!B79</f>
        <v>Hu1-13</v>
      </c>
      <c r="BB79" s="150">
        <f>Input!E79</f>
        <v>0</v>
      </c>
      <c r="BC79" s="138">
        <f>((U79-1)*EXP(Constants!$B$17*AW79*1000))*1000</f>
        <v>1.7315680998221235</v>
      </c>
      <c r="BD79" s="144">
        <f>SQRT((EXP(Constants!$B$17*AW79*1000)*V79)^2+((U79-1)*Constants!$B$17*EXP(Constants!$B$17*AW79*1000)*AY79*1000)^2)*1000</f>
        <v>13.315447276766442</v>
      </c>
      <c r="BE79" s="138">
        <f t="shared" si="388"/>
        <v>691644</v>
      </c>
      <c r="BF79" s="151">
        <f t="shared" si="389"/>
        <v>117796.08005342309</v>
      </c>
      <c r="BG79" s="160">
        <f t="shared" si="390"/>
        <v>34.059777202732704</v>
      </c>
      <c r="BH79" s="138"/>
      <c r="BI79" s="18"/>
      <c r="BJ79" s="18"/>
      <c r="BK79" s="18"/>
      <c r="BL79" s="18"/>
      <c r="BM79" s="18"/>
      <c r="BN79" s="159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</row>
    <row r="80" spans="1:110" ht="15" customHeight="1" x14ac:dyDescent="0.2">
      <c r="A80" s="18">
        <f>Input!A80</f>
        <v>10940</v>
      </c>
      <c r="B80" s="18" t="str">
        <f>Input!B80</f>
        <v>CSM_1937</v>
      </c>
      <c r="C80" s="18">
        <f>Input!O80</f>
        <v>4.1432604645022444</v>
      </c>
      <c r="D80" s="18">
        <f>C80*Input!P80/100</f>
        <v>1.6345800084660588E-2</v>
      </c>
      <c r="E80" s="152">
        <f>Input!M80</f>
        <v>4.7696775802605851</v>
      </c>
      <c r="F80" s="153">
        <f>E80*Input!N80/100</f>
        <v>3.0713965930223591E-4</v>
      </c>
      <c r="G80" s="21">
        <f>E80*137.88</f>
        <v>657.64314476632944</v>
      </c>
      <c r="H80" s="153">
        <f>G80*Input!L80/100</f>
        <v>2.2724304901187452E-2</v>
      </c>
      <c r="I80" s="18">
        <v>0.3</v>
      </c>
      <c r="J80" s="129">
        <f>(((C80*Constants!$B$24*0.000000001*Input!G80*(Constants!$B$4/Constants!$B$3))-(I80*0.000000000000001))/Input!F80)*1000000000000</f>
        <v>182.14891569523127</v>
      </c>
      <c r="K80" s="18">
        <f>J80*Input!P80/100</f>
        <v>0.71860550093358311</v>
      </c>
      <c r="L80" s="134">
        <f>(J80/Constants!$B$4)*602200000000*Constants!$B$17/(365.2425*24*60)</f>
        <v>2.5147680238167975</v>
      </c>
      <c r="M80" s="132">
        <f>L80*Input!P80/100</f>
        <v>9.9211468187396842E-3</v>
      </c>
      <c r="N80" s="18">
        <v>5.0000000000000001E-3</v>
      </c>
      <c r="O80" s="129">
        <f>(((G80*Constants!$B$23*0.000000001*Input!G80*(Constants!$B$7/Constants!$B$6))-(N80*0.000000001))/Input!F80)*1000000</f>
        <v>2.9124322070815798</v>
      </c>
      <c r="P80" s="18">
        <f>O80*Input!N80/100</f>
        <v>1.8754379531352397E-4</v>
      </c>
      <c r="Q80" s="130">
        <f>(O80/Constants!$B$7)*602200000000000000*Constants!$B$18/(365.2425*24*60)</f>
        <v>2.1730261273298614</v>
      </c>
      <c r="R80" s="131">
        <f>Q80*Input!N80/100</f>
        <v>1.3993031880500548E-4</v>
      </c>
      <c r="S80" s="132">
        <f>Input!S80*Constants!$B$17/Constants!$B$18</f>
        <v>1.145202606635108</v>
      </c>
      <c r="T80" s="18">
        <f>S80*Input!T80/100</f>
        <v>4.5252883700616842E-4</v>
      </c>
      <c r="U80" s="18">
        <f>S80*1/((U79+U81)/2)</f>
        <v>1.1454056464597311</v>
      </c>
      <c r="V80" s="18">
        <f>U80*Input!T80/100</f>
        <v>4.5260906855224621E-4</v>
      </c>
      <c r="W80" s="133">
        <v>3.0000000000000001E-3</v>
      </c>
      <c r="X80" s="129">
        <f>IF((((Constants!$B$25*0.000000001*Input!G80/Input!W80*(Constants!$B$11/Constants!$B$9))-(W80*0.000000001))/Input!F80)*1000000000&lt;0, "n.d.", (((Constants!$B$25*0.000000001*Input!G80/Input!W80*(Constants!$B$11/Constants!$B$9))-(W80*0.000000001))/Input!F80)*1000000000)</f>
        <v>2.1762640054719579E-2</v>
      </c>
      <c r="Y80" s="129">
        <f>X80*Input!X80/100</f>
        <v>1.4291914869865273E-4</v>
      </c>
      <c r="Z80" s="129">
        <f>(X80/Constants!$B$11)*6.022E+23*0.000000001*Constants!$B$19/(365.2425*24*60)</f>
        <v>5.3129639958882264E-6</v>
      </c>
      <c r="AA80" s="129">
        <f>Z80*Input!X80/100</f>
        <v>3.4891184592021314E-8</v>
      </c>
      <c r="AB80" s="134">
        <v>0.05</v>
      </c>
      <c r="AC80" s="134">
        <v>0.9</v>
      </c>
      <c r="AD80" s="129">
        <f>(((Input!G80*Constants!$B$25*0.000000001*Input!U80*(Constants!$B$10/Constants!$B$9))-((AB80*0.000000000000001)+(Input!G80*AC80*0.000000000000001)))/Input!F80)*1000000000000</f>
        <v>0.12715268688663081</v>
      </c>
      <c r="AE80" s="129">
        <f>AD80*Input!V80/100</f>
        <v>2.400429181266866E-3</v>
      </c>
      <c r="AF80" s="129">
        <f>(AD80/Constants!$B$10)*602200000000*Constants!$B$16/(365.2425*24*60)</f>
        <v>5.8039693899819772E-3</v>
      </c>
      <c r="AG80" s="129">
        <f>AF80*Input!V80/100</f>
        <v>1.09569194580325E-4</v>
      </c>
      <c r="AH80" s="18">
        <f>AF80/Z80</f>
        <v>1092.4164730786331</v>
      </c>
      <c r="AI80" s="133">
        <f>AH80*SQRT((AG80/AF80)^2+(AA80/Z80)^2)</f>
        <v>21.835184397679001</v>
      </c>
      <c r="AJ80" s="132">
        <f t="shared" si="374"/>
        <v>145.40564645973109</v>
      </c>
      <c r="AK80" s="133">
        <f>V80*1000</f>
        <v>0.4526090685522462</v>
      </c>
      <c r="AL80" s="133">
        <f>AF80/Q80</f>
        <v>2.6709156033543381E-3</v>
      </c>
      <c r="AM80" s="133">
        <f>AL80*SQRT((R80/Q80)^2+(AG80/AF80)^2)</f>
        <v>5.0422694241993408E-5</v>
      </c>
      <c r="AN80" s="18">
        <f>AL80*1/((AN79+AN81)/2)</f>
        <v>2.6752785168803052E-3</v>
      </c>
      <c r="AO80" s="129">
        <f>AN80*SQRT((R80/Q80)^2+(AG80/AF80)^2)</f>
        <v>5.0505059201203583E-5</v>
      </c>
      <c r="AP80" s="18">
        <f>ThU_Alter_Kombi(AN80,U80)</f>
        <v>0.255</v>
      </c>
      <c r="AQ80" s="18">
        <f t="shared" si="380"/>
        <v>6.7999999999999996E-3</v>
      </c>
      <c r="AR80" s="154">
        <f>(AQ80/AP80)</f>
        <v>2.6666666666666665E-2</v>
      </c>
      <c r="AS80" s="131">
        <f t="shared" si="381"/>
        <v>2.4449609367636138E-6</v>
      </c>
      <c r="AT80" s="131">
        <f t="shared" si="382"/>
        <v>1.6057267538341804E-8</v>
      </c>
      <c r="AU80" s="18">
        <v>8</v>
      </c>
      <c r="AV80" s="18">
        <f>AU80/2</f>
        <v>4</v>
      </c>
      <c r="AW80" s="18">
        <f t="shared" si="384"/>
        <v>0.25309999999999999</v>
      </c>
      <c r="AX80" s="135">
        <f t="shared" si="385"/>
        <v>4.6191282000000002E-3</v>
      </c>
      <c r="AY80" s="135">
        <f t="shared" si="386"/>
        <v>4.9160046217124288E-3</v>
      </c>
      <c r="AZ80" s="154">
        <f t="shared" si="387"/>
        <v>1.8250210193599369E-2</v>
      </c>
      <c r="BA80" s="18" t="str">
        <f>Input!B80</f>
        <v>CSM_1937</v>
      </c>
      <c r="BB80" s="136">
        <f>Input!E80</f>
        <v>0</v>
      </c>
      <c r="BC80" s="18">
        <f>((U80-1)*EXP(Constants!$B$17*AW80*1000))*1000</f>
        <v>145.50954148890557</v>
      </c>
      <c r="BD80" s="132">
        <f>SQRT((EXP(Constants!$B$17*AW80*1000)*V80)^2+((U80-1)*Constants!$B$17*EXP(Constants!$B$17*AW80*1000)*AY80*1000)^2)*1000</f>
        <v>0.45293696468890959</v>
      </c>
      <c r="BE80" s="18">
        <f t="shared" si="388"/>
        <v>195.1</v>
      </c>
      <c r="BF80" s="137">
        <f t="shared" si="389"/>
        <v>2.4580023108562146</v>
      </c>
      <c r="BG80" s="20">
        <f t="shared" si="390"/>
        <v>1.9423171164411019</v>
      </c>
      <c r="BH80" s="18"/>
      <c r="BI80" s="18"/>
      <c r="BJ80" s="18"/>
      <c r="BK80" s="18"/>
      <c r="BL80" s="18"/>
      <c r="BM80" s="18"/>
      <c r="BN80" s="159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</row>
    <row r="81" spans="1:110" ht="15" customHeight="1" x14ac:dyDescent="0.2">
      <c r="A81" s="138">
        <f>Input!A81</f>
        <v>10815</v>
      </c>
      <c r="B81" s="138" t="str">
        <f>Input!B81</f>
        <v>Hu1-13</v>
      </c>
      <c r="C81" s="138">
        <f>Input!O81</f>
        <v>2.0805880854225749</v>
      </c>
      <c r="D81" s="138">
        <f>C81*Input!P81/100</f>
        <v>1.8357616802752816E-2</v>
      </c>
      <c r="E81" s="139">
        <f>Input!M81</f>
        <v>2.7321803048831277</v>
      </c>
      <c r="F81" s="140">
        <f>E81*Input!N81/100</f>
        <v>4.1073456446314891E-4</v>
      </c>
      <c r="G81" s="141">
        <f t="shared" ref="G81" si="427">E81*137.88</f>
        <v>376.71302043728565</v>
      </c>
      <c r="H81" s="140">
        <f>G81*Input!L81/100</f>
        <v>2.270987952552992E-2</v>
      </c>
      <c r="I81" s="138">
        <v>0</v>
      </c>
      <c r="J81" s="142">
        <f>(((C81*Constants!$B$24*0.000000001*Input!G81*(Constants!$B$4/Constants!$B$3))-(I81*0.000000000000001))/Input!F81)*1000000000000</f>
        <v>751.17040970971868</v>
      </c>
      <c r="K81" s="138">
        <f>J81*Input!P81/100</f>
        <v>6.6277888600987112</v>
      </c>
      <c r="L81" s="143">
        <f>(J81/Constants!$B$4)*602200000000*Constants!$B$17/(365.2425*24*60)</f>
        <v>10.370741541695704</v>
      </c>
      <c r="M81" s="144">
        <f>L81*Input!P81/100</f>
        <v>9.1503984145988426E-2</v>
      </c>
      <c r="N81" s="138">
        <v>0</v>
      </c>
      <c r="O81" s="142">
        <f>(((G81*Constants!$B$23*0.000000001*Input!G81*(Constants!$B$7/Constants!$B$6))-(N81*0.000000001))/Input!F81)*1000000</f>
        <v>13.700754876698941</v>
      </c>
      <c r="P81" s="138">
        <f>O81*Input!N81/100</f>
        <v>2.0596640628144855E-3</v>
      </c>
      <c r="Q81" s="145">
        <f>(O81/Constants!$B$7)*602200000000000000*Constants!$B$18/(365.2425*24*60)</f>
        <v>10.222417620165695</v>
      </c>
      <c r="R81" s="146">
        <f>Q81*Input!N81/100</f>
        <v>1.5367581127332588E-3</v>
      </c>
      <c r="S81" s="144">
        <f>Input!S81*Constants!$B$17/Constants!$B$18</f>
        <v>0.99939961189906223</v>
      </c>
      <c r="T81" s="138">
        <f>S81*Input!T81/100</f>
        <v>1.4190259765353571E-3</v>
      </c>
      <c r="U81" s="144">
        <f>S81</f>
        <v>0.99939961189906223</v>
      </c>
      <c r="V81" s="138">
        <f>U81*Input!T81/100</f>
        <v>1.4190259765353571E-3</v>
      </c>
      <c r="W81" s="147">
        <v>0</v>
      </c>
      <c r="X81" s="142">
        <f>(((Constants!$B$25*0.000000001*Input!G81/Input!W81*(Constants!$B$11/Constants!$B$9))-(W81*0.000000001))/Input!F81)*1000000000</f>
        <v>0.94031188624915174</v>
      </c>
      <c r="Y81" s="142">
        <f>X81*Input!X81/100</f>
        <v>4.6760901262300134E-3</v>
      </c>
      <c r="Z81" s="142">
        <f>(X81/Constants!$B$11)*6.022E+23*0.000000001*Constants!$B$19/(365.2425*24*60)</f>
        <v>2.295605305232285E-4</v>
      </c>
      <c r="AA81" s="142">
        <f>Z81*Input!X81/100</f>
        <v>1.1415847718714941E-6</v>
      </c>
      <c r="AB81" s="143">
        <v>0</v>
      </c>
      <c r="AC81" s="143">
        <v>0.9</v>
      </c>
      <c r="AD81" s="142">
        <f>(((Input!G81*Constants!$B$25*0.000000001*Input!U81*(Constants!$B$10/Constants!$B$9))-((AB81*0.000000000000001)+(Input!G81*AC81*0.000000000000001)))/Input!F81)*1000000000000</f>
        <v>223.53637192201401</v>
      </c>
      <c r="AE81" s="142">
        <f>AD81*Input!V81/100</f>
        <v>0.80044795345144504</v>
      </c>
      <c r="AF81" s="142">
        <f>(AD81/Constants!$B$10)*602200000000*Constants!$B$16/(365.2425*24*60)</f>
        <v>10.203467122482083</v>
      </c>
      <c r="AG81" s="142">
        <f>AF81*Input!V81/100</f>
        <v>3.6536981906234306E-2</v>
      </c>
      <c r="AH81" s="138">
        <f t="shared" ref="AH81" si="428">AF81/Z81</f>
        <v>44447.82863685544</v>
      </c>
      <c r="AI81" s="147">
        <f t="shared" ref="AI81" si="429">AH81*SQRT((AG81/AF81)^2+(AA81/Z81)^2)</f>
        <v>272.37594449326463</v>
      </c>
      <c r="AJ81" s="144">
        <f t="shared" si="374"/>
        <v>-0.6003881009377654</v>
      </c>
      <c r="AK81" s="147">
        <f t="shared" ref="AK81" si="430">V81*1000</f>
        <v>1.419025976535357</v>
      </c>
      <c r="AL81" s="147">
        <f t="shared" ref="AL81" si="431">AF81/Q81</f>
        <v>0.99814618240148711</v>
      </c>
      <c r="AM81" s="147">
        <f t="shared" ref="AM81" si="432">AL81*SQRT((R81/Q81)^2+(AG81/AF81)^2)</f>
        <v>3.5773500619646599E-3</v>
      </c>
      <c r="AN81" s="138">
        <f>AF81/Q81</f>
        <v>0.99814618240148711</v>
      </c>
      <c r="AO81" s="142">
        <f t="shared" ref="AO81" si="433">AN81*SQRT((R81/Q81)^2+(AG81/AF81)^2)</f>
        <v>3.5773500619646599E-3</v>
      </c>
      <c r="AP81" s="138">
        <f t="shared" ref="AP81" si="434">ThU_Alter_Kombi(AN81,U81)</f>
        <v>753.94</v>
      </c>
      <c r="AQ81" s="138" t="e">
        <f t="shared" si="380"/>
        <v>#VALUE!</v>
      </c>
      <c r="AR81" s="138" t="e">
        <f>(AQ81/AP81)*100</f>
        <v>#VALUE!</v>
      </c>
      <c r="AS81" s="146">
        <f t="shared" si="381"/>
        <v>2.2456579162875912E-5</v>
      </c>
      <c r="AT81" s="146">
        <f t="shared" si="382"/>
        <v>1.1172565259943366E-7</v>
      </c>
      <c r="AU81" s="138">
        <v>0.75</v>
      </c>
      <c r="AV81" s="138">
        <f t="shared" ref="AV81" si="435">AU81/2</f>
        <v>0.375</v>
      </c>
      <c r="AW81" s="138">
        <f t="shared" si="384"/>
        <v>753.93820000000005</v>
      </c>
      <c r="AX81" s="148">
        <f t="shared" si="385"/>
        <v>339.88743825479997</v>
      </c>
      <c r="AY81" s="148">
        <f t="shared" si="386"/>
        <v>450.17905883626366</v>
      </c>
      <c r="AZ81" s="149">
        <f t="shared" si="387"/>
        <v>0.45081604600323999</v>
      </c>
      <c r="BA81" s="138" t="str">
        <f>Input!B81</f>
        <v>Hu1-13</v>
      </c>
      <c r="BB81" s="150">
        <f>Input!E81</f>
        <v>0</v>
      </c>
      <c r="BC81" s="138">
        <f>((U81-1)*EXP(Constants!$B$17*AW81*1000))*1000</f>
        <v>-5.0403717471319167</v>
      </c>
      <c r="BD81" s="144">
        <f>SQRT((EXP(Constants!$B$17*AW81*1000)*V81)^2+((U81-1)*Constants!$B$17*EXP(Constants!$B$17*AW81*1000)*AY81*1000)^2)*1000</f>
        <v>13.524923545971186</v>
      </c>
      <c r="BE81" s="138">
        <f t="shared" si="388"/>
        <v>753880.20000000007</v>
      </c>
      <c r="BF81" s="151">
        <f t="shared" si="389"/>
        <v>225089.52941813183</v>
      </c>
      <c r="BG81" s="160">
        <f t="shared" si="390"/>
        <v>59.710339499479346</v>
      </c>
      <c r="BH81" s="138"/>
      <c r="BI81" s="18"/>
      <c r="BJ81" s="18"/>
      <c r="BK81" s="18"/>
      <c r="BL81" s="18"/>
      <c r="BM81" s="18"/>
      <c r="BN81" s="159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</row>
    <row r="83" spans="1:110" ht="15" customHeight="1" x14ac:dyDescent="0.2">
      <c r="A83" s="138">
        <f>Input!A83</f>
        <v>10815</v>
      </c>
      <c r="B83" s="138" t="str">
        <f>Input!B83</f>
        <v>Hu1-13</v>
      </c>
      <c r="C83" s="138">
        <f>Input!O83</f>
        <v>2.0699063195576399</v>
      </c>
      <c r="D83" s="138">
        <f>C83*Input!P83/100</f>
        <v>1.0521615542879443E-2</v>
      </c>
      <c r="E83" s="139">
        <f>Input!M83</f>
        <v>2.7320945721599981</v>
      </c>
      <c r="F83" s="140">
        <f>E83*Input!N83/100</f>
        <v>1.9119394671628903E-4</v>
      </c>
      <c r="G83" s="141">
        <f t="shared" ref="G83" si="436">E83*137.88</f>
        <v>376.70119960942054</v>
      </c>
      <c r="H83" s="140">
        <f>G83*Input!L83/100</f>
        <v>2.6350321381378897E-2</v>
      </c>
      <c r="I83" s="138">
        <v>0</v>
      </c>
      <c r="J83" s="142">
        <f>(((C83*Constants!$B$24*0.000000001*Input!G83*(Constants!$B$4/Constants!$B$3))-(I83*0.000000000000001))/Input!F83)*1000000000000</f>
        <v>747.31389121025973</v>
      </c>
      <c r="K83" s="138">
        <f>J83*Input!P83/100</f>
        <v>3.7986982207233315</v>
      </c>
      <c r="L83" s="143">
        <f>(J83/Constants!$B$4)*602200000000*Constants!$B$17/(365.2425*24*60)</f>
        <v>10.317498021860953</v>
      </c>
      <c r="M83" s="144">
        <f>L83*Input!P83/100</f>
        <v>5.2445246688091557E-2</v>
      </c>
      <c r="N83" s="138">
        <v>0</v>
      </c>
      <c r="O83" s="142">
        <f>(((G83*Constants!$B$23*0.000000001*Input!G83*(Constants!$B$7/Constants!$B$6))-(N83*0.000000001))/Input!F83)*1000000</f>
        <v>13.700324962530242</v>
      </c>
      <c r="P83" s="138">
        <f>O83*Input!N83/100</f>
        <v>9.5875861237516944E-4</v>
      </c>
      <c r="Q83" s="145">
        <f>(O83/Constants!$B$7)*602200000000000000*Constants!$B$18/(365.2425*24*60)</f>
        <v>10.222096852280071</v>
      </c>
      <c r="R83" s="146">
        <f>Q83*Input!N83/100</f>
        <v>7.1534970305161432E-4</v>
      </c>
      <c r="S83" s="144">
        <f>Input!S83*Constants!$B$17/Constants!$B$18</f>
        <v>0.99959178879191313</v>
      </c>
      <c r="T83" s="138">
        <f>S83*Input!T83/100</f>
        <v>1.0420481625277645E-3</v>
      </c>
      <c r="U83" s="144">
        <f>S83</f>
        <v>0.99959178879191313</v>
      </c>
      <c r="V83" s="138">
        <f>U83*Input!T83/100</f>
        <v>1.0420481625277645E-3</v>
      </c>
      <c r="W83" s="147">
        <v>0</v>
      </c>
      <c r="X83" s="142">
        <f>(((Constants!$B$25*0.000000001*Input!G83/Input!W83*(Constants!$B$11/Constants!$B$9))-(W83*0.000000001))/Input!F83)*1000000000</f>
        <v>0.96609093385655898</v>
      </c>
      <c r="Y83" s="142">
        <f>X83*Input!X83/100</f>
        <v>4.685310944168913E-3</v>
      </c>
      <c r="Z83" s="142">
        <f>(X83/Constants!$B$11)*6.022E+23*0.000000001*Constants!$B$19/(365.2425*24*60)</f>
        <v>2.3585402944808624E-4</v>
      </c>
      <c r="AA83" s="142">
        <f>Z83*Input!X83/100</f>
        <v>1.1438358716277204E-6</v>
      </c>
      <c r="AB83" s="143">
        <v>0</v>
      </c>
      <c r="AC83" s="143">
        <v>0.9</v>
      </c>
      <c r="AD83" s="142">
        <f>(((Input!G83*Constants!$B$25*0.000000001*Input!U83*(Constants!$B$10/Constants!$B$9))-((AB83*0.000000000000001)+(Input!G83*AC83*0.000000000000001)))/Input!F83)*1000000000000</f>
        <v>223.5125552369532</v>
      </c>
      <c r="AE83" s="142">
        <f>AD83*Input!V83/100</f>
        <v>0.78149774171903597</v>
      </c>
      <c r="AF83" s="142">
        <f>(AD83/Constants!$B$10)*602200000000*Constants!$B$16/(365.2425*24*60)</f>
        <v>10.202379993971878</v>
      </c>
      <c r="AG83" s="142">
        <f>AF83*Input!V83/100</f>
        <v>3.5671986824167008E-2</v>
      </c>
      <c r="AH83" s="138">
        <f t="shared" ref="AH83" si="437">AF83/Z83</f>
        <v>43257.179102880327</v>
      </c>
      <c r="AI83" s="147">
        <f t="shared" ref="AI83" si="438">AH83*SQRT((AG83/AF83)^2+(AA83/Z83)^2)</f>
        <v>258.6231919764769</v>
      </c>
      <c r="AJ83" s="144">
        <f t="shared" ref="AJ83:AJ93" si="439">(U83-1)*1000</f>
        <v>-0.40821120808687272</v>
      </c>
      <c r="AK83" s="147">
        <f t="shared" ref="AK83" si="440">V83*1000</f>
        <v>1.0420481625277644</v>
      </c>
      <c r="AL83" s="147">
        <f t="shared" ref="AL83" si="441">AF83/Q83</f>
        <v>0.99807115324838702</v>
      </c>
      <c r="AM83" s="147">
        <f t="shared" ref="AM83" si="442">AL83*SQRT((R83/Q83)^2+(AG83/AF83)^2)</f>
        <v>3.4903925905795056E-3</v>
      </c>
      <c r="AN83" s="138">
        <f>AF83/Q83</f>
        <v>0.99807115324838702</v>
      </c>
      <c r="AO83" s="142">
        <f t="shared" ref="AO83" si="443">AN83*SQRT((R83/Q83)^2+(AG83/AF83)^2)</f>
        <v>3.4903925905795056E-3</v>
      </c>
      <c r="AP83" s="138">
        <f t="shared" ref="AP83" si="444">ThU_Alter_Kombi(AN83,U83)</f>
        <v>720.91930000000002</v>
      </c>
      <c r="AQ83" s="138" t="e">
        <f t="shared" ref="AQ83:AQ93" si="445">Montealter(AN83,AO83,U83,V83)</f>
        <v>#VALUE!</v>
      </c>
      <c r="AR83" s="138" t="e">
        <f>(AQ83/AP83)*100</f>
        <v>#VALUE!</v>
      </c>
      <c r="AS83" s="146">
        <f t="shared" ref="AS83:AS93" si="446">Z83/Q83</f>
        <v>2.3072959771015889E-5</v>
      </c>
      <c r="AT83" s="146">
        <f t="shared" ref="AT83:AT93" si="447">AS83*SQRT((Y83/X83)^2+(P83/O83)^2)</f>
        <v>1.1191000877274869E-7</v>
      </c>
      <c r="AU83" s="138">
        <v>0.75</v>
      </c>
      <c r="AV83" s="138">
        <f t="shared" ref="AV83" si="448">AU83/2</f>
        <v>0.375</v>
      </c>
      <c r="AW83" s="138">
        <f t="shared" ref="AW83:AW93" si="449">marincorr_age(AN83,U83,AS83,AU83)</f>
        <v>720.91740000000004</v>
      </c>
      <c r="AX83" s="148">
        <f t="shared" ref="AX83:AX93" si="450">marincorr_age_error(AN83, AO83, U83, V83, AS83, AT83, AU83, AV83)</f>
        <v>323.67362463360001</v>
      </c>
      <c r="AY83" s="148">
        <f t="shared" ref="AY83:AY93" si="451">SQRT(((AU83*EXP(-0.0000091577*AW83*1000))/(0.0000091577*(EXP(-0.0000091577*AW83*1000)+(AJ83/1000)*EXP(-(0.0000091577-0.0000028263)*AW83*1000)-AS83*AU83*EXP(-0.0000091577*AW83*1000))))^2*AT83^2+((AS83*EXP(-0.0000091577*AW83*1000))/(0.0000091577*(EXP(-0.0000091577*AW83*1000)+(AJ83/1000)*EXP(-(0.0000091577-0.0000028263)*AW83*1000)-AS83*AU83*EXP(-0.0000091577*AW83*1000))))^2*AV83^2+((0.0000091577/(0.0000091577-0.0000028263))*(EXP(-(0.0000091577-0.0000028263)*AW83*1000)-1)/(0.0000091577*(EXP(-0.0000091577*AW83*1000)+(AJ83/1000)*EXP(-(0.0000091577-0.0000028263)*AW83*1000)-AS83*AU83*EXP(-0.0000091577*AW83*1000))))^2*T83^2+(1/(0.0000091577*(EXP(-0.0000091577*AW83*1000)+(AJ83/1000)*EXP(-(0.0000091577-0.0000028263)*AW83*1000)-AS83*AU83*EXP(-0.0000091577*AW83*1000))))^2*AO83^2)/1000</f>
        <v>306.24239756060871</v>
      </c>
      <c r="AZ83" s="149">
        <f t="shared" ref="AZ83:AZ93" si="452">AX83/AW83</f>
        <v>0.44897463236925617</v>
      </c>
      <c r="BA83" s="138" t="str">
        <f>Input!B83</f>
        <v>Hu1-13</v>
      </c>
      <c r="BB83" s="150">
        <f>Input!E83</f>
        <v>0</v>
      </c>
      <c r="BC83" s="138">
        <f>((U83-1)*EXP(Constants!$B$17*AW83*1000))*1000</f>
        <v>-3.1220866807519063</v>
      </c>
      <c r="BD83" s="144">
        <f>SQRT((EXP(Constants!$B$17*AW83*1000)*V83)^2+((U83-1)*Constants!$B$17*EXP(Constants!$B$17*AW83*1000)*AY83*1000)^2)*1000</f>
        <v>8.4141661649065416</v>
      </c>
      <c r="BE83" s="138">
        <f t="shared" ref="BE83:BE93" si="453">AW83*1000-58</f>
        <v>720859.4</v>
      </c>
      <c r="BF83" s="151">
        <f t="shared" ref="BF83:BF93" si="454">AY83/2*1000</f>
        <v>153121.19878030434</v>
      </c>
      <c r="BG83" s="160">
        <f t="shared" ref="BG83:BG93" si="455">AY83/AW83*100</f>
        <v>42.479540313579434</v>
      </c>
      <c r="BH83" s="138"/>
      <c r="BI83" s="18"/>
      <c r="BJ83" s="18"/>
      <c r="BK83" s="18"/>
      <c r="BL83" s="18"/>
      <c r="BM83" s="18"/>
      <c r="BN83" s="159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</row>
    <row r="84" spans="1:110" ht="15" customHeight="1" x14ac:dyDescent="0.2">
      <c r="A84" s="18">
        <f>Input!A84</f>
        <v>10945</v>
      </c>
      <c r="B84" s="18" t="str">
        <f>Input!B84</f>
        <v>GeoB20960-1_8-13</v>
      </c>
      <c r="C84" s="18">
        <f>Input!O84</f>
        <v>1.9465581409751644</v>
      </c>
      <c r="D84" s="18">
        <f>C84*Input!P84/100</f>
        <v>3.7785233690352522E-3</v>
      </c>
      <c r="E84" s="152">
        <f>Input!M84</f>
        <v>2.2870764103091585</v>
      </c>
      <c r="F84" s="153">
        <f>E84*Input!N84/100</f>
        <v>9.5203283915039512E-5</v>
      </c>
      <c r="G84" s="21">
        <f>E84*137.88</f>
        <v>315.34209545342679</v>
      </c>
      <c r="H84" s="153">
        <f>G84*Input!L84/100</f>
        <v>4.7070341055457689E-2</v>
      </c>
      <c r="I84" s="18">
        <v>0.3</v>
      </c>
      <c r="J84" s="129">
        <f>(((C84*Constants!$B$24*0.000000001*Input!G84*(Constants!$B$4/Constants!$B$3))-(I84*0.000000000000001))/Input!F84)*1000000000000</f>
        <v>209.8696166344169</v>
      </c>
      <c r="K84" s="18">
        <f>J84*Input!P84/100</f>
        <v>0.40738431296295474</v>
      </c>
      <c r="L84" s="134">
        <f>(J84/Constants!$B$4)*602200000000*Constants!$B$17/(365.2425*24*60)</f>
        <v>2.8974830789878747</v>
      </c>
      <c r="M84" s="132">
        <f>L84*Input!P84/100</f>
        <v>5.6243927653017297E-3</v>
      </c>
      <c r="N84" s="18">
        <v>5.0000000000000001E-3</v>
      </c>
      <c r="O84" s="129">
        <f>(((G84*Constants!$B$23*0.000000001*Input!G84*(Constants!$B$7/Constants!$B$6))-(N84*0.000000001))/Input!F84)*1000000</f>
        <v>3.4248808267348942</v>
      </c>
      <c r="P84" s="18">
        <f>O84*Input!N84/100</f>
        <v>1.4256624756963927E-4</v>
      </c>
      <c r="Q84" s="130">
        <f>(O84/Constants!$B$7)*602200000000000000*Constants!$B$18/(365.2425*24*60)</f>
        <v>2.5553746801006838</v>
      </c>
      <c r="R84" s="131">
        <f>Q84*Input!N84/100</f>
        <v>1.0637163676837669E-4</v>
      </c>
      <c r="S84" s="132">
        <f>Input!S84*Constants!$B$17/Constants!$B$18</f>
        <v>1.133539393481354</v>
      </c>
      <c r="T84" s="18">
        <f>S84*Input!T84/100</f>
        <v>5.62829776860465E-4</v>
      </c>
      <c r="U84" s="18">
        <f>S84*1/((U83+U85)/2)</f>
        <v>1.1343986595478235</v>
      </c>
      <c r="V84" s="18">
        <f>U84*Input!T84/100</f>
        <v>5.6325642328425578E-4</v>
      </c>
      <c r="W84" s="133">
        <v>3.0000000000000001E-3</v>
      </c>
      <c r="X84" s="129">
        <f>IF((((Constants!$B$25*0.000000001*Input!G84/Input!W84*(Constants!$B$11/Constants!$B$9))-(W84*0.000000001))/Input!F84)*1000000000&lt;0, "n.d.", (((Constants!$B$25*0.000000001*Input!G84/Input!W84*(Constants!$B$11/Constants!$B$9))-(W84*0.000000001))/Input!F84)*1000000000)</f>
        <v>0.63007448169456426</v>
      </c>
      <c r="Y84" s="129">
        <f>X84*Input!X84/100</f>
        <v>1.160546992566855E-3</v>
      </c>
      <c r="Z84" s="129">
        <f>(X84/Constants!$B$11)*6.022E+23*0.000000001*Constants!$B$19/(365.2425*24*60)</f>
        <v>1.53821550489927E-4</v>
      </c>
      <c r="AA84" s="129">
        <f>Z84*Input!X84/100</f>
        <v>2.8332703989683816E-7</v>
      </c>
      <c r="AB84" s="134">
        <v>0.05</v>
      </c>
      <c r="AC84" s="134">
        <v>0.9</v>
      </c>
      <c r="AD84" s="129">
        <f>(((Input!G84*Constants!$B$25*0.000000001*Input!U84*(Constants!$B$10/Constants!$B$9))-((AB84*0.000000000000001)+(Input!G84*AC84*0.000000000000001)))/Input!F84)*1000000000000</f>
        <v>10.936727816873711</v>
      </c>
      <c r="AE84" s="129">
        <f>AD84*Input!V84/100</f>
        <v>2.7129867449076084E-2</v>
      </c>
      <c r="AF84" s="129">
        <f>(AD84/Constants!$B$10)*602200000000*Constants!$B$16/(365.2425*24*60)</f>
        <v>0.49921425201415481</v>
      </c>
      <c r="AG84" s="129">
        <f>AF84*Input!V84/100</f>
        <v>1.2383609350630396E-3</v>
      </c>
      <c r="AH84" s="18">
        <f>AF84/Z84</f>
        <v>3245.4116502150709</v>
      </c>
      <c r="AI84" s="133">
        <f>AH84*SQRT((AG84/AF84)^2+(AA84/Z84)^2)</f>
        <v>10.027296242564301</v>
      </c>
      <c r="AJ84" s="132">
        <f t="shared" si="439"/>
        <v>134.39865954782348</v>
      </c>
      <c r="AK84" s="133">
        <f>V84*1000</f>
        <v>0.56325642328425574</v>
      </c>
      <c r="AL84" s="133">
        <f>AF84/Q84</f>
        <v>0.19535853426961458</v>
      </c>
      <c r="AM84" s="133">
        <f>AL84*SQRT((R84/Q84)^2+(AG84/AF84)^2)</f>
        <v>4.8467854415563439E-4</v>
      </c>
      <c r="AN84" s="18">
        <f>AL84*1/((AN83+AN85)/2)</f>
        <v>0.19569162494354675</v>
      </c>
      <c r="AO84" s="129">
        <f>AN84*SQRT((R84/Q84)^2+(AG84/AF84)^2)</f>
        <v>4.8550493192270501E-4</v>
      </c>
      <c r="AP84" s="18">
        <f>ThU_Alter_Kombi(AN84,U84)</f>
        <v>20.571300000000001</v>
      </c>
      <c r="AQ84" s="18">
        <f t="shared" si="445"/>
        <v>6.2700000000000006E-2</v>
      </c>
      <c r="AR84" s="154">
        <f>(AQ84/AP84)</f>
        <v>3.0479357162648936E-3</v>
      </c>
      <c r="AS84" s="131">
        <f t="shared" si="446"/>
        <v>6.0195301960128331E-5</v>
      </c>
      <c r="AT84" s="131">
        <f t="shared" si="447"/>
        <v>1.1090326058772597E-7</v>
      </c>
      <c r="AU84" s="18">
        <v>8</v>
      </c>
      <c r="AV84" s="18">
        <f>AU84/2</f>
        <v>4</v>
      </c>
      <c r="AW84" s="18">
        <f t="shared" si="449"/>
        <v>20.525400000000001</v>
      </c>
      <c r="AX84" s="135">
        <f t="shared" si="450"/>
        <v>5.6493545200000002E-2</v>
      </c>
      <c r="AY84" s="135">
        <f t="shared" si="451"/>
        <v>6.1645662844783448E-2</v>
      </c>
      <c r="AZ84" s="154">
        <f t="shared" si="452"/>
        <v>2.7523724361035594E-3</v>
      </c>
      <c r="BA84" s="18" t="str">
        <f>Input!B84</f>
        <v>GeoB20960-1_8-13</v>
      </c>
      <c r="BB84" s="136">
        <f>Input!E84</f>
        <v>10.5</v>
      </c>
      <c r="BC84" s="18">
        <f>((U84-1)*EXP(Constants!$B$17*AW84*1000))*1000</f>
        <v>142.41343832153856</v>
      </c>
      <c r="BD84" s="132">
        <f>SQRT((EXP(Constants!$B$17*AW84*1000)*V84)^2+((U84-1)*Constants!$B$17*EXP(Constants!$B$17*AW84*1000)*AY84*1000)^2)*1000</f>
        <v>0.59735985935397196</v>
      </c>
      <c r="BE84" s="18">
        <f t="shared" si="453"/>
        <v>20467.400000000001</v>
      </c>
      <c r="BF84" s="137">
        <f t="shared" si="454"/>
        <v>30.822831422391726</v>
      </c>
      <c r="BG84" s="20">
        <f t="shared" si="455"/>
        <v>0.30033842382990561</v>
      </c>
      <c r="BH84" s="18"/>
      <c r="BI84" s="18"/>
      <c r="BJ84" s="18"/>
      <c r="BK84" s="18"/>
      <c r="BL84" s="18"/>
      <c r="BM84" s="18"/>
      <c r="BN84" s="159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</row>
    <row r="85" spans="1:110" ht="15" customHeight="1" x14ac:dyDescent="0.2">
      <c r="A85" s="138">
        <f>Input!A85</f>
        <v>10815</v>
      </c>
      <c r="B85" s="138" t="str">
        <f>Input!B85</f>
        <v>Hu1-13</v>
      </c>
      <c r="C85" s="138">
        <f>Input!O85</f>
        <v>2.0692136267456989</v>
      </c>
      <c r="D85" s="138">
        <f>C85*Input!P85/100</f>
        <v>1.305742066331749E-2</v>
      </c>
      <c r="E85" s="139">
        <f>Input!M85</f>
        <v>2.7317497747210457</v>
      </c>
      <c r="F85" s="140">
        <f>E85*Input!N85/100</f>
        <v>1.8023751001157776E-4</v>
      </c>
      <c r="G85" s="141">
        <f t="shared" ref="G85" si="456">E85*137.88</f>
        <v>376.65365893853777</v>
      </c>
      <c r="H85" s="140">
        <f>G85*Input!L85/100</f>
        <v>1.9646363045137564E-2</v>
      </c>
      <c r="I85" s="138">
        <v>0</v>
      </c>
      <c r="J85" s="142">
        <f>(((C85*Constants!$B$24*0.000000001*Input!G85*(Constants!$B$4/Constants!$B$3))-(I85*0.000000000000001))/Input!F85)*1000000000000</f>
        <v>747.06380309959809</v>
      </c>
      <c r="K85" s="138">
        <f>J85*Input!P85/100</f>
        <v>4.7142190701453721</v>
      </c>
      <c r="L85" s="143">
        <f>(J85/Constants!$B$4)*602200000000*Constants!$B$17/(365.2425*24*60)</f>
        <v>10.314045277816728</v>
      </c>
      <c r="M85" s="144">
        <f>L85*Input!P85/100</f>
        <v>6.508502853074799E-2</v>
      </c>
      <c r="N85" s="138">
        <v>0</v>
      </c>
      <c r="O85" s="142">
        <f>(((G85*Constants!$B$23*0.000000001*Input!G85*(Constants!$B$7/Constants!$B$6))-(N85*0.000000001))/Input!F85)*1000000</f>
        <v>13.698595945896615</v>
      </c>
      <c r="P85" s="138">
        <f>O85*Input!N85/100</f>
        <v>9.0381661116645403E-4</v>
      </c>
      <c r="Q85" s="145">
        <f>(O85/Constants!$B$7)*602200000000000000*Constants!$B$18/(365.2425*24*60)</f>
        <v>10.220806797077987</v>
      </c>
      <c r="R85" s="146">
        <f>Q85*Input!N85/100</f>
        <v>6.743563354381023E-4</v>
      </c>
      <c r="S85" s="144">
        <f>Input!S85*Constants!$B$17/Constants!$B$18</f>
        <v>0.99889328334875394</v>
      </c>
      <c r="T85" s="138">
        <f>S85*Input!T85/100</f>
        <v>9.3489779134332623E-4</v>
      </c>
      <c r="U85" s="144">
        <f>S85</f>
        <v>0.99889328334875394</v>
      </c>
      <c r="V85" s="138">
        <f>U85*Input!T85/100</f>
        <v>9.3489779134332623E-4</v>
      </c>
      <c r="W85" s="147">
        <v>0</v>
      </c>
      <c r="X85" s="142">
        <f>(((Constants!$B$25*0.000000001*Input!G85/Input!W85*(Constants!$B$11/Constants!$B$9))-(W85*0.000000001))/Input!F85)*1000000000</f>
        <v>0.95721305147439195</v>
      </c>
      <c r="Y85" s="142">
        <f>X85*Input!X85/100</f>
        <v>3.2798933480418808E-3</v>
      </c>
      <c r="Z85" s="142">
        <f>(X85/Constants!$B$11)*6.022E+23*0.000000001*Constants!$B$19/(365.2425*24*60)</f>
        <v>2.3368665134792987E-4</v>
      </c>
      <c r="AA85" s="142">
        <f>Z85*Input!X85/100</f>
        <v>8.0072800104602666E-7</v>
      </c>
      <c r="AB85" s="143">
        <v>0</v>
      </c>
      <c r="AC85" s="143">
        <v>0.9</v>
      </c>
      <c r="AD85" s="142">
        <f>(((Input!G85*Constants!$B$25*0.000000001*Input!U85*(Constants!$B$10/Constants!$B$9))-((AB85*0.000000000000001)+(Input!G85*AC85*0.000000000000001)))/Input!F85)*1000000000000</f>
        <v>223.58588287453691</v>
      </c>
      <c r="AE85" s="142">
        <f>AD85*Input!V85/100</f>
        <v>0.5962046272969781</v>
      </c>
      <c r="AF85" s="142">
        <f>(AD85/Constants!$B$10)*602200000000*Constants!$B$16/(365.2425*24*60)</f>
        <v>10.2057270830063</v>
      </c>
      <c r="AG85" s="142">
        <f>AF85*Input!V85/100</f>
        <v>2.721415875452575E-2</v>
      </c>
      <c r="AH85" s="138">
        <f t="shared" ref="AH85" si="457">AF85/Z85</f>
        <v>43672.700276796138</v>
      </c>
      <c r="AI85" s="147">
        <f t="shared" ref="AI85" si="458">AH85*SQRT((AG85/AF85)^2+(AA85/Z85)^2)</f>
        <v>189.61925912041966</v>
      </c>
      <c r="AJ85" s="144">
        <f t="shared" si="439"/>
        <v>-1.1067166512460647</v>
      </c>
      <c r="AK85" s="147">
        <f t="shared" ref="AK85" si="459">V85*1000</f>
        <v>0.93489779134332618</v>
      </c>
      <c r="AL85" s="147">
        <f t="shared" ref="AL85" si="460">AF85/Q85</f>
        <v>0.9985246062888109</v>
      </c>
      <c r="AM85" s="147">
        <f t="shared" ref="AM85" si="461">AL85*SQRT((R85/Q85)^2+(AG85/AF85)^2)</f>
        <v>2.6634382714562851E-3</v>
      </c>
      <c r="AN85" s="138">
        <f>AF85/Q85</f>
        <v>0.9985246062888109</v>
      </c>
      <c r="AO85" s="142">
        <f t="shared" ref="AO85" si="462">AN85*SQRT((R85/Q85)^2+(AG85/AF85)^2)</f>
        <v>2.6634382714562851E-3</v>
      </c>
      <c r="AP85" s="138" t="str">
        <f t="shared" ref="AP85" si="463">ThU_Alter_Kombi(AN85,U85)</f>
        <v>Out of range</v>
      </c>
      <c r="AQ85" s="138" t="e">
        <f t="shared" si="445"/>
        <v>#VALUE!</v>
      </c>
      <c r="AR85" s="138" t="e">
        <f>(AQ85/AP85)*100</f>
        <v>#VALUE!</v>
      </c>
      <c r="AS85" s="146">
        <f t="shared" si="446"/>
        <v>2.2863816525202122E-5</v>
      </c>
      <c r="AT85" s="146">
        <f t="shared" si="447"/>
        <v>7.8357457169193807E-8</v>
      </c>
      <c r="AU85" s="138">
        <v>0.75</v>
      </c>
      <c r="AV85" s="138">
        <f t="shared" ref="AV85" si="464">AU85/2</f>
        <v>0.375</v>
      </c>
      <c r="AW85" s="138" t="str">
        <f t="shared" si="449"/>
        <v>Out of range</v>
      </c>
      <c r="AX85" s="148">
        <f t="shared" si="450"/>
        <v>338.70073982039997</v>
      </c>
      <c r="AY85" s="148" t="e">
        <f t="shared" si="451"/>
        <v>#VALUE!</v>
      </c>
      <c r="AZ85" s="149" t="e">
        <f t="shared" si="452"/>
        <v>#VALUE!</v>
      </c>
      <c r="BA85" s="138" t="str">
        <f>Input!B85</f>
        <v>Hu1-13</v>
      </c>
      <c r="BB85" s="150">
        <f>Input!E85</f>
        <v>0</v>
      </c>
      <c r="BC85" s="138" t="e">
        <f>((U85-1)*EXP(Constants!$B$17*AW85*1000))*1000</f>
        <v>#VALUE!</v>
      </c>
      <c r="BD85" s="144" t="e">
        <f>SQRT((EXP(Constants!$B$17*AW85*1000)*V85)^2+((U85-1)*Constants!$B$17*EXP(Constants!$B$17*AW85*1000)*AY85*1000)^2)*1000</f>
        <v>#VALUE!</v>
      </c>
      <c r="BE85" s="138" t="e">
        <f t="shared" si="453"/>
        <v>#VALUE!</v>
      </c>
      <c r="BF85" s="151" t="e">
        <f t="shared" si="454"/>
        <v>#VALUE!</v>
      </c>
      <c r="BG85" s="160" t="e">
        <f t="shared" si="455"/>
        <v>#VALUE!</v>
      </c>
      <c r="BH85" s="138"/>
      <c r="BI85" s="18"/>
      <c r="BJ85" s="18"/>
      <c r="BK85" s="18"/>
      <c r="BL85" s="18"/>
      <c r="BM85" s="18"/>
      <c r="BN85" s="159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</row>
    <row r="86" spans="1:110" ht="15" customHeight="1" x14ac:dyDescent="0.2">
      <c r="A86" s="18">
        <f>Input!A86</f>
        <v>10946</v>
      </c>
      <c r="B86" s="18" t="str">
        <f>Input!B86</f>
        <v>GeoB20960-1_68</v>
      </c>
      <c r="C86" s="18">
        <f>Input!O86</f>
        <v>1.5641947540089709</v>
      </c>
      <c r="D86" s="18">
        <f>C86*Input!P86/100</f>
        <v>2.3652000439997279E-3</v>
      </c>
      <c r="E86" s="152">
        <f>Input!M86</f>
        <v>1.8351523070088989</v>
      </c>
      <c r="F86" s="153">
        <f>E86*Input!N86/100</f>
        <v>7.3087584938645318E-5</v>
      </c>
      <c r="G86" s="21">
        <f>E86*137.88</f>
        <v>253.03080009038698</v>
      </c>
      <c r="H86" s="153">
        <f>G86*Input!L86/100</f>
        <v>1.2107508086417036E-2</v>
      </c>
      <c r="I86" s="18">
        <v>0.3</v>
      </c>
      <c r="J86" s="129">
        <f>(((C86*Constants!$B$24*0.000000001*Input!G86*(Constants!$B$4/Constants!$B$3))-(I86*0.000000000000001))/Input!F86)*1000000000000</f>
        <v>180.11151860964975</v>
      </c>
      <c r="K86" s="18">
        <f>J86*Input!P86/100</f>
        <v>0.27234445752268405</v>
      </c>
      <c r="L86" s="134">
        <f>(J86/Constants!$B$4)*602200000000*Constants!$B$17/(365.2425*24*60)</f>
        <v>2.4866394948981263</v>
      </c>
      <c r="M86" s="132">
        <f>L86*Input!P86/100</f>
        <v>3.7600176241933481E-3</v>
      </c>
      <c r="N86" s="18">
        <v>5.0000000000000001E-3</v>
      </c>
      <c r="O86" s="129">
        <f>(((G86*Constants!$B$23*0.000000001*Input!G86*(Constants!$B$7/Constants!$B$6))-(N86*0.000000001))/Input!F86)*1000000</f>
        <v>2.934981121732712</v>
      </c>
      <c r="P86" s="18">
        <f>O86*Input!N86/100</f>
        <v>1.168898522529661E-4</v>
      </c>
      <c r="Q86" s="130">
        <f>(O86/Constants!$B$7)*602200000000000000*Constants!$B$18/(365.2425*24*60)</f>
        <v>2.1898503406319589</v>
      </c>
      <c r="R86" s="131">
        <f>Q86*Input!N86/100</f>
        <v>8.7213945220015776E-5</v>
      </c>
      <c r="S86" s="132">
        <f>Input!S86*Constants!$B$17/Constants!$B$18</f>
        <v>1.1351102113728997</v>
      </c>
      <c r="T86" s="18">
        <f>S86*Input!T86/100</f>
        <v>6.2767764212192712E-4</v>
      </c>
      <c r="U86" s="18">
        <f>S86*1/((U85+U87)/2)</f>
        <v>1.1352024293920204</v>
      </c>
      <c r="V86" s="18">
        <f>U86*Input!T86/100</f>
        <v>6.2772863557456534E-4</v>
      </c>
      <c r="W86" s="133">
        <v>3.0000000000000001E-3</v>
      </c>
      <c r="X86" s="129">
        <f>IF((((Constants!$B$25*0.000000001*Input!G86/Input!W86*(Constants!$B$11/Constants!$B$9))-(W86*0.000000001))/Input!F86)*1000000000&lt;0, "n.d.", (((Constants!$B$25*0.000000001*Input!G86/Input!W86*(Constants!$B$11/Constants!$B$9))-(W86*0.000000001))/Input!F86)*1000000000)</f>
        <v>0.90494028166442153</v>
      </c>
      <c r="Y86" s="129">
        <f>X86*Input!X86/100</f>
        <v>1.5354796187717101E-3</v>
      </c>
      <c r="Z86" s="129">
        <f>(X86/Constants!$B$11)*6.022E+23*0.000000001*Constants!$B$19/(365.2425*24*60)</f>
        <v>2.2092517832501436E-4</v>
      </c>
      <c r="AA86" s="129">
        <f>Z86*Input!X86/100</f>
        <v>3.7486021504937291E-7</v>
      </c>
      <c r="AB86" s="134">
        <v>0.05</v>
      </c>
      <c r="AC86" s="134">
        <v>0.9</v>
      </c>
      <c r="AD86" s="129">
        <f>(((Input!G86*Constants!$B$25*0.000000001*Input!U86*(Constants!$B$10/Constants!$B$9))-((AB86*0.000000000000001)+(Input!G86*AC86*0.000000000000001)))/Input!F86)*1000000000000</f>
        <v>9.1318101255967772</v>
      </c>
      <c r="AE86" s="129">
        <f>AD86*Input!V86/100</f>
        <v>1.8689937638416823E-2</v>
      </c>
      <c r="AF86" s="129">
        <f>(AD86/Constants!$B$10)*602200000000*Constants!$B$16/(365.2425*24*60)</f>
        <v>0.41682757747263799</v>
      </c>
      <c r="AG86" s="129">
        <f>AF86*Input!V86/100</f>
        <v>8.5311469706306903E-4</v>
      </c>
      <c r="AH86" s="18">
        <f>AF86/Z86</f>
        <v>1886.7364083754255</v>
      </c>
      <c r="AI86" s="133">
        <f>AH86*SQRT((AG86/AF86)^2+(AA86/Z86)^2)</f>
        <v>5.0160095709596337</v>
      </c>
      <c r="AJ86" s="132">
        <f t="shared" si="439"/>
        <v>135.20242939202043</v>
      </c>
      <c r="AK86" s="133">
        <f>V86*1000</f>
        <v>0.62772863557456537</v>
      </c>
      <c r="AL86" s="133">
        <f>AF86/Q86</f>
        <v>0.19034523489506941</v>
      </c>
      <c r="AM86" s="133">
        <f>AL86*SQRT((R86/Q86)^2+(AG86/AF86)^2)</f>
        <v>3.8965046287756848E-4</v>
      </c>
      <c r="AN86" s="18">
        <f>AL86*1/((AN85+AN87)/2)</f>
        <v>0.19042595747417798</v>
      </c>
      <c r="AO86" s="129">
        <f>AN86*SQRT((R86/Q86)^2+(AG86/AF86)^2)</f>
        <v>3.8981570783540347E-4</v>
      </c>
      <c r="AP86" s="18">
        <f>ThU_Alter_Kombi(AN86,U86)</f>
        <v>19.950199999999999</v>
      </c>
      <c r="AQ86" s="18">
        <f t="shared" si="445"/>
        <v>5.0799999999999998E-2</v>
      </c>
      <c r="AR86" s="154">
        <f>(AQ86/AP86)</f>
        <v>2.5463403875650372E-3</v>
      </c>
      <c r="AS86" s="131">
        <f t="shared" si="446"/>
        <v>1.0088597116698786E-4</v>
      </c>
      <c r="AT86" s="131">
        <f t="shared" si="447"/>
        <v>1.7122789367795806E-7</v>
      </c>
      <c r="AU86" s="18">
        <v>8</v>
      </c>
      <c r="AV86" s="18">
        <f>AU86/2</f>
        <v>4</v>
      </c>
      <c r="AW86" s="18">
        <f t="shared" si="449"/>
        <v>19.873100000000001</v>
      </c>
      <c r="AX86" s="135">
        <f t="shared" si="450"/>
        <v>6.2640446799999999E-2</v>
      </c>
      <c r="AY86" s="135">
        <f t="shared" si="451"/>
        <v>6.0320680637376028E-2</v>
      </c>
      <c r="AZ86" s="154">
        <f t="shared" si="452"/>
        <v>3.1520219190765406E-3</v>
      </c>
      <c r="BA86" s="18" t="str">
        <f>Input!B86</f>
        <v>GeoB20960-1_68</v>
      </c>
      <c r="BB86" s="136">
        <f>Input!E86</f>
        <v>68</v>
      </c>
      <c r="BC86" s="18">
        <f>((U86-1)*EXP(Constants!$B$17*AW86*1000))*1000</f>
        <v>143.00165632845778</v>
      </c>
      <c r="BD86" s="132">
        <f>SQRT((EXP(Constants!$B$17*AW86*1000)*V86)^2+((U86-1)*Constants!$B$17*EXP(Constants!$B$17*AW86*1000)*AY86*1000)^2)*1000</f>
        <v>0.66438561995225875</v>
      </c>
      <c r="BE86" s="18">
        <f t="shared" si="453"/>
        <v>19815.100000000002</v>
      </c>
      <c r="BF86" s="137">
        <f t="shared" si="454"/>
        <v>30.160340318688014</v>
      </c>
      <c r="BG86" s="20">
        <f t="shared" si="455"/>
        <v>0.30352929657363986</v>
      </c>
      <c r="BH86" s="18"/>
      <c r="BI86" s="18"/>
      <c r="BJ86" s="18"/>
      <c r="BK86" s="18"/>
      <c r="BL86" s="18"/>
      <c r="BM86" s="18"/>
      <c r="BN86" s="159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</row>
    <row r="87" spans="1:110" ht="15" customHeight="1" x14ac:dyDescent="0.2">
      <c r="A87" s="138">
        <f>Input!A87</f>
        <v>10815</v>
      </c>
      <c r="B87" s="138" t="str">
        <f>Input!B87</f>
        <v>Hu1-13</v>
      </c>
      <c r="C87" s="138">
        <f>Input!O87</f>
        <v>2.0701550943676197</v>
      </c>
      <c r="D87" s="138">
        <f>C87*Input!P87/100</f>
        <v>9.458528221609714E-3</v>
      </c>
      <c r="E87" s="139">
        <f>Input!M87</f>
        <v>2.7317402101886974</v>
      </c>
      <c r="F87" s="140">
        <f>E87*Input!N87/100</f>
        <v>2.3952675498784112E-4</v>
      </c>
      <c r="G87" s="141">
        <f t="shared" ref="G87" si="465">E87*137.88</f>
        <v>376.65234018081759</v>
      </c>
      <c r="H87" s="140">
        <f>G87*Input!L87/100</f>
        <v>2.3591321118281758E-2</v>
      </c>
      <c r="I87" s="138">
        <v>0</v>
      </c>
      <c r="J87" s="142">
        <f>(((C87*Constants!$B$24*0.000000001*Input!G87*(Constants!$B$4/Constants!$B$3))-(I87*0.000000000000001))/Input!F87)*1000000000000</f>
        <v>747.40370825633795</v>
      </c>
      <c r="K87" s="138">
        <f>J87*Input!P87/100</f>
        <v>3.4148837865878985</v>
      </c>
      <c r="L87" s="143">
        <f>(J87/Constants!$B$4)*602200000000*Constants!$B$17/(365.2425*24*60)</f>
        <v>10.318738045907262</v>
      </c>
      <c r="M87" s="144">
        <f>L87*Input!P87/100</f>
        <v>4.7146262269989997E-2</v>
      </c>
      <c r="N87" s="138">
        <v>0</v>
      </c>
      <c r="O87" s="142">
        <f>(((G87*Constants!$B$23*0.000000001*Input!G87*(Constants!$B$7/Constants!$B$6))-(N87*0.000000001))/Input!F87)*1000000</f>
        <v>13.69854798372041</v>
      </c>
      <c r="P87" s="138">
        <f>O87*Input!N87/100</f>
        <v>1.20112766739233E-3</v>
      </c>
      <c r="Q87" s="145">
        <f>(O87/Constants!$B$7)*602200000000000000*Constants!$B$18/(365.2425*24*60)</f>
        <v>10.2207710115027</v>
      </c>
      <c r="R87" s="146">
        <f>Q87*Input!N87/100</f>
        <v>8.9618628620981799E-4</v>
      </c>
      <c r="S87" s="144">
        <f>Input!S87*Constants!$B$17/Constants!$B$18</f>
        <v>1.0009442469159231</v>
      </c>
      <c r="T87" s="138">
        <f>S87*Input!T87/100</f>
        <v>1.0007236992173381E-3</v>
      </c>
      <c r="U87" s="144">
        <f>S87</f>
        <v>1.0009442469159231</v>
      </c>
      <c r="V87" s="138">
        <f>U87*Input!T87/100</f>
        <v>1.0007236992173381E-3</v>
      </c>
      <c r="W87" s="147">
        <v>0</v>
      </c>
      <c r="X87" s="142">
        <f>(((Constants!$B$25*0.000000001*Input!G87/Input!W87*(Constants!$B$11/Constants!$B$9))-(W87*0.000000001))/Input!F87)*1000000000</f>
        <v>0.95906727924247681</v>
      </c>
      <c r="Y87" s="142">
        <f>X87*Input!X87/100</f>
        <v>3.5354026986304482E-3</v>
      </c>
      <c r="Z87" s="142">
        <f>(X87/Constants!$B$11)*6.022E+23*0.000000001*Constants!$B$19/(365.2425*24*60)</f>
        <v>2.341393282909497E-4</v>
      </c>
      <c r="AA87" s="142">
        <f>Z87*Input!X87/100</f>
        <v>8.6310609381770053E-7</v>
      </c>
      <c r="AB87" s="143">
        <v>0</v>
      </c>
      <c r="AC87" s="143">
        <v>0.9</v>
      </c>
      <c r="AD87" s="142">
        <f>(((Input!G87*Constants!$B$25*0.000000001*Input!U87*(Constants!$B$10/Constants!$B$9))-((AB87*0.000000000000001)+(Input!G87*AC87*0.000000000000001)))/Input!F87)*1000000000000</f>
        <v>224.0559890597041</v>
      </c>
      <c r="AE87" s="142">
        <f>AD87*Input!V87/100</f>
        <v>0.53483315709241641</v>
      </c>
      <c r="AF87" s="142">
        <f>(AD87/Constants!$B$10)*602200000000*Constants!$B$16/(365.2425*24*60)</f>
        <v>10.227185394077495</v>
      </c>
      <c r="AG87" s="142">
        <f>AF87*Input!V87/100</f>
        <v>2.4412816972396886E-2</v>
      </c>
      <c r="AH87" s="138">
        <f t="shared" ref="AH87" si="466">AF87/Z87</f>
        <v>43679.912591911248</v>
      </c>
      <c r="AI87" s="147">
        <f t="shared" ref="AI87" si="467">AH87*SQRT((AG87/AF87)^2+(AA87/Z87)^2)</f>
        <v>191.82777498839889</v>
      </c>
      <c r="AJ87" s="144">
        <f t="shared" si="439"/>
        <v>0.94424691592309706</v>
      </c>
      <c r="AK87" s="147">
        <f t="shared" ref="AK87" si="468">V87*1000</f>
        <v>1.0007236992173381</v>
      </c>
      <c r="AL87" s="147">
        <f t="shared" ref="AL87" si="469">AF87/Q87</f>
        <v>1.0006275830431555</v>
      </c>
      <c r="AM87" s="147">
        <f t="shared" ref="AM87" si="470">AL87*SQRT((R87/Q87)^2+(AG87/AF87)^2)</f>
        <v>2.3901603308010243E-3</v>
      </c>
      <c r="AN87" s="138">
        <f>AF87/Q87</f>
        <v>1.0006275830431555</v>
      </c>
      <c r="AO87" s="142">
        <f t="shared" ref="AO87" si="471">AN87*SQRT((R87/Q87)^2+(AG87/AF87)^2)</f>
        <v>2.3901603308010243E-3</v>
      </c>
      <c r="AP87" s="138">
        <f t="shared" ref="AP87" si="472">ThU_Alter_Kombi(AN87,U87)</f>
        <v>787.99490000000003</v>
      </c>
      <c r="AQ87" s="138" t="e">
        <f t="shared" si="445"/>
        <v>#VALUE!</v>
      </c>
      <c r="AR87" s="138" t="e">
        <f>(AQ87/AP87)*100</f>
        <v>#VALUE!</v>
      </c>
      <c r="AS87" s="146">
        <f t="shared" si="446"/>
        <v>2.2908186479028215E-5</v>
      </c>
      <c r="AT87" s="146">
        <f t="shared" si="447"/>
        <v>8.4470166052561513E-8</v>
      </c>
      <c r="AU87" s="138">
        <v>0.75</v>
      </c>
      <c r="AV87" s="138">
        <f t="shared" ref="AV87" si="473">AU87/2</f>
        <v>0.375</v>
      </c>
      <c r="AW87" s="138">
        <f t="shared" si="449"/>
        <v>787.99310000000003</v>
      </c>
      <c r="AX87" s="148">
        <f t="shared" si="450"/>
        <v>354.67167379839998</v>
      </c>
      <c r="AY87" s="148">
        <f t="shared" si="451"/>
        <v>411.02537483291405</v>
      </c>
      <c r="AZ87" s="149">
        <f t="shared" si="452"/>
        <v>0.45009489778324197</v>
      </c>
      <c r="BA87" s="138" t="str">
        <f>Input!B87</f>
        <v>Hu1-13</v>
      </c>
      <c r="BB87" s="150">
        <f>Input!E87</f>
        <v>0</v>
      </c>
      <c r="BC87" s="138">
        <f>((U87-1)*EXP(Constants!$B$17*AW87*1000))*1000</f>
        <v>8.7267779534233512</v>
      </c>
      <c r="BD87" s="144">
        <f>SQRT((EXP(Constants!$B$17*AW87*1000)*V87)^2+((U87-1)*Constants!$B$17*EXP(Constants!$B$17*AW87*1000)*AY87*1000)^2)*1000</f>
        <v>13.711479283717642</v>
      </c>
      <c r="BE87" s="138">
        <f t="shared" si="453"/>
        <v>787935.1</v>
      </c>
      <c r="BF87" s="151">
        <f t="shared" si="454"/>
        <v>205512.68741645702</v>
      </c>
      <c r="BG87" s="160">
        <f t="shared" si="455"/>
        <v>52.161037302599986</v>
      </c>
      <c r="BH87" s="138"/>
      <c r="BI87" s="18"/>
      <c r="BJ87" s="18"/>
      <c r="BK87" s="18"/>
      <c r="BL87" s="18"/>
      <c r="BM87" s="18"/>
      <c r="BN87" s="159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</row>
    <row r="88" spans="1:110" ht="15" customHeight="1" x14ac:dyDescent="0.2">
      <c r="A88" s="18">
        <f>Input!A88</f>
        <v>10947</v>
      </c>
      <c r="B88" s="18" t="str">
        <f>Input!B88</f>
        <v>GeoB20960-1_113-116</v>
      </c>
      <c r="C88" s="18">
        <f>Input!O88</f>
        <v>2.0789025361509381</v>
      </c>
      <c r="D88" s="18">
        <f>C88*Input!P88/100</f>
        <v>4.631679402497469E-3</v>
      </c>
      <c r="E88" s="152">
        <f>Input!M88</f>
        <v>2.4432626073399626</v>
      </c>
      <c r="F88" s="153">
        <f>E88*Input!N88/100</f>
        <v>9.0120443994930852E-5</v>
      </c>
      <c r="G88" s="21">
        <f>E88*137.88</f>
        <v>336.87704830003401</v>
      </c>
      <c r="H88" s="153">
        <f>G88*Input!L88/100</f>
        <v>3.7210841095872277E-2</v>
      </c>
      <c r="I88" s="18">
        <v>0.3</v>
      </c>
      <c r="J88" s="129">
        <f>(((C88*Constants!$B$24*0.000000001*Input!G88*(Constants!$B$4/Constants!$B$3))-(I88*0.000000000000001))/Input!F88)*1000000000000</f>
        <v>212.80765921268056</v>
      </c>
      <c r="K88" s="18">
        <f>J88*Input!P88/100</f>
        <v>0.47412364684205177</v>
      </c>
      <c r="L88" s="134">
        <f>(J88/Constants!$B$4)*602200000000*Constants!$B$17/(365.2425*24*60)</f>
        <v>2.9380460189330786</v>
      </c>
      <c r="M88" s="132">
        <f>L88*Input!P88/100</f>
        <v>6.5458033711754612E-3</v>
      </c>
      <c r="N88" s="18">
        <v>5.0000000000000001E-3</v>
      </c>
      <c r="O88" s="129">
        <f>(((G88*Constants!$B$23*0.000000001*Input!G88*(Constants!$B$7/Constants!$B$6))-(N88*0.000000001))/Input!F88)*1000000</f>
        <v>3.4738085950493418</v>
      </c>
      <c r="P88" s="18">
        <f>O88*Input!N88/100</f>
        <v>1.2813242915385615E-4</v>
      </c>
      <c r="Q88" s="130">
        <f>(O88/Constants!$B$7)*602200000000000000*Constants!$B$18/(365.2425*24*60)</f>
        <v>2.5918807037055305</v>
      </c>
      <c r="R88" s="131">
        <f>Q88*Input!N88/100</f>
        <v>9.5602265224425386E-5</v>
      </c>
      <c r="S88" s="132">
        <f>Input!S88*Constants!$B$17/Constants!$B$18</f>
        <v>1.130752586319385</v>
      </c>
      <c r="T88" s="18">
        <f>S88*Input!T88/100</f>
        <v>5.0185056428497517E-4</v>
      </c>
      <c r="U88" s="18">
        <f>S88*1/((U87+U89)/2)</f>
        <v>1.1299847596886574</v>
      </c>
      <c r="V88" s="18">
        <f>U88*Input!T88/100</f>
        <v>5.015097875027102E-4</v>
      </c>
      <c r="W88" s="133">
        <v>3.0000000000000001E-3</v>
      </c>
      <c r="X88" s="129">
        <f>IF((((Constants!$B$25*0.000000001*Input!G88/Input!W88*(Constants!$B$11/Constants!$B$9))-(W88*0.000000001))/Input!F88)*1000000000&lt;0, "n.d.", (((Constants!$B$25*0.000000001*Input!G88/Input!W88*(Constants!$B$11/Constants!$B$9))-(W88*0.000000001))/Input!F88)*1000000000)</f>
        <v>0.59711704134494425</v>
      </c>
      <c r="Y88" s="129">
        <f>X88*Input!X88/100</f>
        <v>8.1379575518146345E-4</v>
      </c>
      <c r="Z88" s="129">
        <f>(X88/Constants!$B$11)*6.022E+23*0.000000001*Constants!$B$19/(365.2425*24*60)</f>
        <v>1.4577557382836881E-4</v>
      </c>
      <c r="AA88" s="129">
        <f>Z88*Input!X88/100</f>
        <v>1.9867385282366639E-7</v>
      </c>
      <c r="AB88" s="134">
        <v>0.05</v>
      </c>
      <c r="AC88" s="134">
        <v>0.9</v>
      </c>
      <c r="AD88" s="129">
        <f>(((Input!G88*Constants!$B$25*0.000000001*Input!U88*(Constants!$B$10/Constants!$B$9))-((AB88*0.000000000000001)+(Input!G88*AC88*0.000000000000001)))/Input!F88)*1000000000000</f>
        <v>13.813209212447411</v>
      </c>
      <c r="AE88" s="129">
        <f>AD88*Input!V88/100</f>
        <v>2.7599585430583547E-2</v>
      </c>
      <c r="AF88" s="129">
        <f>(AD88/Constants!$B$10)*602200000000*Constants!$B$16/(365.2425*24*60)</f>
        <v>0.63051316814046254</v>
      </c>
      <c r="AG88" s="129">
        <f>AF88*Input!V88/100</f>
        <v>1.2598015263186862E-3</v>
      </c>
      <c r="AH88" s="18">
        <f>AF88/Z88</f>
        <v>4325.2319410027312</v>
      </c>
      <c r="AI88" s="133">
        <f>AH88*SQRT((AG88/AF88)^2+(AA88/Z88)^2)</f>
        <v>10.461037475708672</v>
      </c>
      <c r="AJ88" s="132">
        <f t="shared" si="439"/>
        <v>129.98475968865742</v>
      </c>
      <c r="AK88" s="133">
        <f>V88*1000</f>
        <v>0.50150978750271025</v>
      </c>
      <c r="AL88" s="133">
        <f>AF88/Q88</f>
        <v>0.243264733303133</v>
      </c>
      <c r="AM88" s="133">
        <f>AL88*SQRT((R88/Q88)^2+(AG88/AF88)^2)</f>
        <v>4.8613972544180864E-4</v>
      </c>
      <c r="AN88" s="18">
        <f>AL88*1/((AN87+AN89)/2)</f>
        <v>0.24336050716937649</v>
      </c>
      <c r="AO88" s="129">
        <f>AN88*SQRT((R88/Q88)^2+(AG88/AF88)^2)</f>
        <v>4.8633111973233283E-4</v>
      </c>
      <c r="AP88" s="18">
        <f>ThU_Alter_Kombi(AN88,U88)</f>
        <v>26.322500000000002</v>
      </c>
      <c r="AQ88" s="18">
        <f t="shared" si="445"/>
        <v>6.83E-2</v>
      </c>
      <c r="AR88" s="154">
        <f>(AQ88/AP88)</f>
        <v>2.5947383417228606E-3</v>
      </c>
      <c r="AS88" s="131">
        <f t="shared" si="446"/>
        <v>5.624316490336845E-5</v>
      </c>
      <c r="AT88" s="131">
        <f t="shared" si="447"/>
        <v>7.6680458830176108E-8</v>
      </c>
      <c r="AU88" s="18">
        <v>8</v>
      </c>
      <c r="AV88" s="18">
        <f>AU88/2</f>
        <v>4</v>
      </c>
      <c r="AW88" s="18">
        <f t="shared" si="449"/>
        <v>26.279399999999999</v>
      </c>
      <c r="AX88" s="135">
        <f t="shared" si="450"/>
        <v>7.1237236800000006E-2</v>
      </c>
      <c r="AY88" s="135">
        <f t="shared" si="451"/>
        <v>6.4522132662262449E-2</v>
      </c>
      <c r="AZ88" s="154">
        <f t="shared" si="452"/>
        <v>2.7107634420877194E-3</v>
      </c>
      <c r="BA88" s="18" t="str">
        <f>Input!B88</f>
        <v>GeoB20960-1_113-116</v>
      </c>
      <c r="BB88" s="136">
        <f>Input!E88</f>
        <v>114.5</v>
      </c>
      <c r="BC88" s="18">
        <f>((U88-1)*EXP(Constants!$B$17*AW88*1000))*1000</f>
        <v>139.99115667163977</v>
      </c>
      <c r="BD88" s="132">
        <f>SQRT((EXP(Constants!$B$17*AW88*1000)*V88)^2+((U88-1)*Constants!$B$17*EXP(Constants!$B$17*AW88*1000)*AY88*1000)^2)*1000</f>
        <v>0.54071783009711105</v>
      </c>
      <c r="BE88" s="18">
        <f t="shared" si="453"/>
        <v>26221.399999999998</v>
      </c>
      <c r="BF88" s="137">
        <f t="shared" si="454"/>
        <v>32.261066331131225</v>
      </c>
      <c r="BG88" s="20">
        <f t="shared" si="455"/>
        <v>0.24552361417027199</v>
      </c>
      <c r="BH88" s="18"/>
      <c r="BI88" s="18"/>
      <c r="BJ88" s="18"/>
      <c r="BK88" s="18"/>
      <c r="BL88" s="18"/>
      <c r="BM88" s="18"/>
      <c r="BN88" s="159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</row>
    <row r="89" spans="1:110" ht="15" customHeight="1" x14ac:dyDescent="0.2">
      <c r="A89" s="138">
        <f>Input!A89</f>
        <v>10815</v>
      </c>
      <c r="B89" s="138" t="str">
        <f>Input!B89</f>
        <v>Hu1-13</v>
      </c>
      <c r="C89" s="138">
        <f>Input!O89</f>
        <v>2.0885710685317918</v>
      </c>
      <c r="D89" s="138">
        <f>C89*Input!P89/100</f>
        <v>8.0248413387834158E-3</v>
      </c>
      <c r="E89" s="139">
        <f>Input!M89</f>
        <v>2.7317971794303992</v>
      </c>
      <c r="F89" s="140">
        <f>E89*Input!N89/100</f>
        <v>1.9669255415750444E-4</v>
      </c>
      <c r="G89" s="141">
        <f t="shared" ref="G89" si="474">E89*137.88</f>
        <v>376.66019509986342</v>
      </c>
      <c r="H89" s="140">
        <f>G89*Input!L89/100</f>
        <v>1.921373180641987E-2</v>
      </c>
      <c r="I89" s="138">
        <v>0</v>
      </c>
      <c r="J89" s="142">
        <f>(((C89*Constants!$B$24*0.000000001*Input!G89*(Constants!$B$4/Constants!$B$3))-(I89*0.000000000000001))/Input!F89)*1000000000000</f>
        <v>754.05256631480131</v>
      </c>
      <c r="K89" s="138">
        <f>J89*Input!P89/100</f>
        <v>2.897268997426329</v>
      </c>
      <c r="L89" s="143">
        <f>(J89/Constants!$B$4)*602200000000*Constants!$B$17/(365.2425*24*60)</f>
        <v>10.410532913730117</v>
      </c>
      <c r="M89" s="144">
        <f>L89*Input!P89/100</f>
        <v>4.0000015390232881E-2</v>
      </c>
      <c r="N89" s="138">
        <v>0</v>
      </c>
      <c r="O89" s="142">
        <f>(((G89*Constants!$B$23*0.000000001*Input!G89*(Constants!$B$7/Constants!$B$6))-(N89*0.000000001))/Input!F89)*1000000</f>
        <v>13.698833660919192</v>
      </c>
      <c r="P89" s="138">
        <f>O89*Input!N89/100</f>
        <v>9.86331855832287E-4</v>
      </c>
      <c r="Q89" s="145">
        <f>(O89/Constants!$B$7)*602200000000000000*Constants!$B$18/(365.2425*24*60)</f>
        <v>10.220984161190932</v>
      </c>
      <c r="R89" s="146">
        <f>Q89*Input!N89/100</f>
        <v>7.3592267237321946E-4</v>
      </c>
      <c r="S89" s="144">
        <f>Input!S89*Constants!$B$17/Constants!$B$18</f>
        <v>1.0004147566000874</v>
      </c>
      <c r="T89" s="138">
        <f>S89*Input!T89/100</f>
        <v>9.7488457660778861E-4</v>
      </c>
      <c r="U89" s="144">
        <f>S89</f>
        <v>1.0004147566000874</v>
      </c>
      <c r="V89" s="138">
        <f>U89*Input!T89/100</f>
        <v>9.7488457660778861E-4</v>
      </c>
      <c r="W89" s="147">
        <v>0</v>
      </c>
      <c r="X89" s="142">
        <f>(((Constants!$B$25*0.000000001*Input!G89/Input!W89*(Constants!$B$11/Constants!$B$9))-(W89*0.000000001))/Input!F89)*1000000000</f>
        <v>0.9600529852041978</v>
      </c>
      <c r="Y89" s="142">
        <f>X89*Input!X89/100</f>
        <v>4.1231380606195156E-3</v>
      </c>
      <c r="Z89" s="142">
        <f>(X89/Constants!$B$11)*6.022E+23*0.000000001*Constants!$B$19/(365.2425*24*60)</f>
        <v>2.3437997098282846E-4</v>
      </c>
      <c r="AA89" s="142">
        <f>Z89*Input!X89/100</f>
        <v>1.0065912964175138E-6</v>
      </c>
      <c r="AB89" s="143">
        <v>0</v>
      </c>
      <c r="AC89" s="143">
        <v>0.9</v>
      </c>
      <c r="AD89" s="142">
        <f>(((Input!G89*Constants!$B$25*0.000000001*Input!U89*(Constants!$B$10/Constants!$B$9))-((AB89*0.000000000000001)+(Input!G89*AC89*0.000000000000001)))/Input!F89)*1000000000000</f>
        <v>223.60335837192955</v>
      </c>
      <c r="AE89" s="142">
        <f>AD89*Input!V89/100</f>
        <v>0.69957755154842449</v>
      </c>
      <c r="AF89" s="142">
        <f>(AD89/Constants!$B$10)*602200000000*Constants!$B$16/(365.2425*24*60)</f>
        <v>10.206524763766533</v>
      </c>
      <c r="AG89" s="142">
        <f>AF89*Input!V89/100</f>
        <v>3.1932684983100493E-2</v>
      </c>
      <c r="AH89" s="138">
        <f t="shared" ref="AH89" si="475">AF89/Z89</f>
        <v>43546.915382604515</v>
      </c>
      <c r="AI89" s="147">
        <f t="shared" ref="AI89" si="476">AH89*SQRT((AG89/AF89)^2+(AA89/Z89)^2)</f>
        <v>231.38501295396313</v>
      </c>
      <c r="AJ89" s="144">
        <f t="shared" si="439"/>
        <v>0.4147566000873848</v>
      </c>
      <c r="AK89" s="147">
        <f t="shared" ref="AK89" si="477">V89*1000</f>
        <v>0.9748845766077886</v>
      </c>
      <c r="AL89" s="147">
        <f t="shared" ref="AL89" si="478">AF89/Q89</f>
        <v>0.9985853223920157</v>
      </c>
      <c r="AM89" s="147">
        <f t="shared" ref="AM89" si="479">AL89*SQRT((R89/Q89)^2+(AG89/AF89)^2)</f>
        <v>3.125055224044253E-3</v>
      </c>
      <c r="AN89" s="138">
        <f>AF89/Q89</f>
        <v>0.9985853223920157</v>
      </c>
      <c r="AO89" s="142">
        <f t="shared" ref="AO89" si="480">AN89*SQRT((R89/Q89)^2+(AG89/AF89)^2)</f>
        <v>3.125055224044253E-3</v>
      </c>
      <c r="AP89" s="138">
        <f t="shared" ref="AP89" si="481">ThU_Alter_Kombi(AN89,U89)</f>
        <v>677.36800000000005</v>
      </c>
      <c r="AQ89" s="138" t="e">
        <f t="shared" si="445"/>
        <v>#VALUE!</v>
      </c>
      <c r="AR89" s="138" t="e">
        <f>(AQ89/AP89)*100</f>
        <v>#VALUE!</v>
      </c>
      <c r="AS89" s="146">
        <f t="shared" si="446"/>
        <v>2.2931252733251364E-5</v>
      </c>
      <c r="AT89" s="146">
        <f t="shared" si="447"/>
        <v>9.8496654687470178E-8</v>
      </c>
      <c r="AU89" s="138">
        <v>0.75</v>
      </c>
      <c r="AV89" s="138">
        <f t="shared" ref="AV89" si="482">AU89/2</f>
        <v>0.375</v>
      </c>
      <c r="AW89" s="138">
        <f t="shared" si="449"/>
        <v>677.36620000000005</v>
      </c>
      <c r="AX89" s="148">
        <f t="shared" si="450"/>
        <v>308.86617588130002</v>
      </c>
      <c r="AY89" s="148">
        <f t="shared" si="451"/>
        <v>184.10868880818705</v>
      </c>
      <c r="AZ89" s="149">
        <f t="shared" si="452"/>
        <v>0.45598108656927377</v>
      </c>
      <c r="BA89" s="138" t="str">
        <f>Input!B89</f>
        <v>Hu1-13</v>
      </c>
      <c r="BB89" s="150">
        <f>Input!E89</f>
        <v>0</v>
      </c>
      <c r="BC89" s="138">
        <f>((U89-1)*EXP(Constants!$B$17*AW89*1000))*1000</f>
        <v>2.8052835515022538</v>
      </c>
      <c r="BD89" s="144">
        <f>SQRT((EXP(Constants!$B$17*AW89*1000)*V89)^2+((U89-1)*Constants!$B$17*EXP(Constants!$B$17*AW89*1000)*AY89*1000)^2)*1000</f>
        <v>6.7529821620019508</v>
      </c>
      <c r="BE89" s="138">
        <f t="shared" si="453"/>
        <v>677308.20000000007</v>
      </c>
      <c r="BF89" s="151">
        <f t="shared" si="454"/>
        <v>92054.344404093528</v>
      </c>
      <c r="BG89" s="160">
        <f t="shared" si="455"/>
        <v>27.180082030692859</v>
      </c>
      <c r="BH89" s="138"/>
      <c r="BI89" s="18"/>
      <c r="BJ89" s="18"/>
      <c r="BK89" s="18"/>
      <c r="BL89" s="18"/>
      <c r="BM89" s="18"/>
      <c r="BN89" s="159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</row>
    <row r="90" spans="1:110" ht="15" customHeight="1" x14ac:dyDescent="0.2">
      <c r="A90" s="18">
        <f>Input!A90</f>
        <v>10948</v>
      </c>
      <c r="B90" s="18" t="str">
        <f>Input!B90</f>
        <v>GeoB20960-1_181-185</v>
      </c>
      <c r="C90" s="18">
        <f>Input!O90</f>
        <v>2.2259449113509149</v>
      </c>
      <c r="D90" s="18">
        <f>C90*Input!P90/100</f>
        <v>3.5000317458268302E-3</v>
      </c>
      <c r="E90" s="152">
        <f>Input!M90</f>
        <v>2.6113804820358038</v>
      </c>
      <c r="F90" s="153">
        <f>E90*Input!N90/100</f>
        <v>1.0261173404228552E-4</v>
      </c>
      <c r="G90" s="21">
        <f>E90*137.88</f>
        <v>360.05714086309661</v>
      </c>
      <c r="H90" s="153">
        <f>G90*Input!L90/100</f>
        <v>3.1014727121738313E-2</v>
      </c>
      <c r="I90" s="18">
        <v>0.3</v>
      </c>
      <c r="J90" s="129">
        <f>(((C90*Constants!$B$24*0.000000001*Input!G90*(Constants!$B$4/Constants!$B$3))-(I90*0.000000000000001))/Input!F90)*1000000000000</f>
        <v>207.5642923707783</v>
      </c>
      <c r="K90" s="18">
        <f>J90*Input!P90/100</f>
        <v>0.32636998736725603</v>
      </c>
      <c r="L90" s="134">
        <f>(J90/Constants!$B$4)*602200000000*Constants!$B$17/(365.2425*24*60)</f>
        <v>2.8656555178926033</v>
      </c>
      <c r="M90" s="132">
        <f>L90*Input!P90/100</f>
        <v>4.5059000490451726E-3</v>
      </c>
      <c r="N90" s="18">
        <v>5.0000000000000001E-3</v>
      </c>
      <c r="O90" s="129">
        <f>(((G90*Constants!$B$23*0.000000001*Input!G90*(Constants!$B$7/Constants!$B$6))-(N90*0.000000001))/Input!F90)*1000000</f>
        <v>3.3821354294771298</v>
      </c>
      <c r="P90" s="18">
        <f>O90*Input!N90/100</f>
        <v>1.3289782303724061E-4</v>
      </c>
      <c r="Q90" s="130">
        <f>(O90/Constants!$B$7)*602200000000000000*Constants!$B$18/(365.2425*24*60)</f>
        <v>2.5234814518777702</v>
      </c>
      <c r="R90" s="131">
        <f>Q90*Input!N90/100</f>
        <v>9.915782452308765E-5</v>
      </c>
      <c r="S90" s="132">
        <f>Input!S90*Constants!$B$17/Constants!$B$18</f>
        <v>1.1280123267012481</v>
      </c>
      <c r="T90" s="18">
        <f>S90*Input!T90/100</f>
        <v>5.6022715383449609E-4</v>
      </c>
      <c r="U90" s="18">
        <f>S90*1/((U89+U91)/2)</f>
        <v>1.1274430419752728</v>
      </c>
      <c r="V90" s="18">
        <f>U90*Input!T90/100</f>
        <v>5.5994441866023847E-4</v>
      </c>
      <c r="W90" s="133">
        <v>3.0000000000000001E-3</v>
      </c>
      <c r="X90" s="129">
        <f>IF((((Constants!$B$25*0.000000001*Input!G90/Input!W90*(Constants!$B$11/Constants!$B$9))-(W90*0.000000001))/Input!F90)*1000000000&lt;0, "n.d.", (((Constants!$B$25*0.000000001*Input!G90/Input!W90*(Constants!$B$11/Constants!$B$9))-(W90*0.000000001))/Input!F90)*1000000000)</f>
        <v>0.88981979468804173</v>
      </c>
      <c r="Y90" s="129">
        <f>X90*Input!X90/100</f>
        <v>1.4838149460734073E-3</v>
      </c>
      <c r="Z90" s="129">
        <f>(X90/Constants!$B$11)*6.022E+23*0.000000001*Constants!$B$19/(365.2425*24*60)</f>
        <v>2.172337786279274E-4</v>
      </c>
      <c r="AA90" s="129">
        <f>Z90*Input!X90/100</f>
        <v>3.6224719819042302E-7</v>
      </c>
      <c r="AB90" s="134">
        <v>0.05</v>
      </c>
      <c r="AC90" s="134">
        <v>0.9</v>
      </c>
      <c r="AD90" s="129">
        <f>(((Input!G90*Constants!$B$25*0.000000001*Input!U90*(Constants!$B$10/Constants!$B$9))-((AB90*0.000000000000001)+(Input!G90*AC90*0.000000000000001)))/Input!F90)*1000000000000</f>
        <v>15.41169791586618</v>
      </c>
      <c r="AE90" s="129">
        <f>AD90*Input!V90/100</f>
        <v>2.629093539520105E-2</v>
      </c>
      <c r="AF90" s="129">
        <f>(AD90/Constants!$B$10)*602200000000*Constants!$B$16/(365.2425*24*60)</f>
        <v>0.70347725354076862</v>
      </c>
      <c r="AG90" s="129">
        <f>AF90*Input!V90/100</f>
        <v>1.2000673206677204E-3</v>
      </c>
      <c r="AH90" s="18">
        <f>AF90/Z90</f>
        <v>3238.3419281476795</v>
      </c>
      <c r="AI90" s="133">
        <f>AH90*SQRT((AG90/AF90)^2+(AA90/Z90)^2)</f>
        <v>7.725213261988201</v>
      </c>
      <c r="AJ90" s="132">
        <f t="shared" si="439"/>
        <v>127.44304197527279</v>
      </c>
      <c r="AK90" s="133">
        <f>V90*1000</f>
        <v>0.55994441866023847</v>
      </c>
      <c r="AL90" s="133">
        <f>AF90/Q90</f>
        <v>0.2787725081225772</v>
      </c>
      <c r="AM90" s="133">
        <f>AL90*SQRT((R90/Q90)^2+(AG90/AF90)^2)</f>
        <v>4.7568633301599825E-4</v>
      </c>
      <c r="AN90" s="18">
        <f>AL90*1/((AN89+AN91)/2)</f>
        <v>0.27911194143119966</v>
      </c>
      <c r="AO90" s="129">
        <f>AN90*SQRT((R90/Q90)^2+(AG90/AF90)^2)</f>
        <v>4.7626552852910494E-4</v>
      </c>
      <c r="AP90" s="18">
        <f>ThU_Alter_Kombi(AN90,U90)</f>
        <v>30.8444</v>
      </c>
      <c r="AQ90" s="18">
        <f t="shared" si="445"/>
        <v>6.6400000000000001E-2</v>
      </c>
      <c r="AR90" s="154">
        <f>(AQ90/AP90)</f>
        <v>2.1527408540934498E-3</v>
      </c>
      <c r="AS90" s="131">
        <f t="shared" si="446"/>
        <v>8.6084951591888916E-5</v>
      </c>
      <c r="AT90" s="131">
        <f t="shared" si="447"/>
        <v>1.4359041756246811E-7</v>
      </c>
      <c r="AU90" s="18">
        <v>8</v>
      </c>
      <c r="AV90" s="18">
        <f>AU90/2</f>
        <v>4</v>
      </c>
      <c r="AW90" s="18">
        <f t="shared" si="449"/>
        <v>30.778400000000001</v>
      </c>
      <c r="AX90" s="135">
        <f t="shared" si="450"/>
        <v>7.1420732200000003E-2</v>
      </c>
      <c r="AY90" s="135">
        <f t="shared" si="451"/>
        <v>7.1356350150784884E-2</v>
      </c>
      <c r="AZ90" s="154">
        <f t="shared" si="452"/>
        <v>2.3204822927767525E-3</v>
      </c>
      <c r="BA90" s="18" t="str">
        <f>Input!B90</f>
        <v>GeoB20960-1_181-185</v>
      </c>
      <c r="BB90" s="136">
        <f>Input!E90</f>
        <v>183</v>
      </c>
      <c r="BC90" s="18">
        <f>((U90-1)*EXP(Constants!$B$17*AW90*1000))*1000</f>
        <v>139.00751920719208</v>
      </c>
      <c r="BD90" s="132">
        <f>SQRT((EXP(Constants!$B$17*AW90*1000)*V90)^2+((U90-1)*Constants!$B$17*EXP(Constants!$B$17*AW90*1000)*AY90*1000)^2)*1000</f>
        <v>0.61139620880947032</v>
      </c>
      <c r="BE90" s="18">
        <f t="shared" si="453"/>
        <v>30720.400000000001</v>
      </c>
      <c r="BF90" s="137">
        <f t="shared" si="454"/>
        <v>35.678175075392438</v>
      </c>
      <c r="BG90" s="20">
        <f t="shared" si="455"/>
        <v>0.23183904995316482</v>
      </c>
      <c r="BH90" s="18"/>
      <c r="BI90" s="18"/>
      <c r="BJ90" s="18"/>
      <c r="BK90" s="18"/>
      <c r="BL90" s="18"/>
      <c r="BM90" s="18"/>
      <c r="BN90" s="159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</row>
    <row r="91" spans="1:110" ht="15" customHeight="1" x14ac:dyDescent="0.2">
      <c r="A91" s="138">
        <f>Input!A91</f>
        <v>10815</v>
      </c>
      <c r="B91" s="138" t="str">
        <f>Input!B91</f>
        <v>Hu1-13</v>
      </c>
      <c r="C91" s="138">
        <f>Input!O91</f>
        <v>2.0755701097027477</v>
      </c>
      <c r="D91" s="138">
        <f>C91*Input!P91/100</f>
        <v>7.28043715885882E-3</v>
      </c>
      <c r="E91" s="139">
        <f>Input!M91</f>
        <v>2.7319173028768335</v>
      </c>
      <c r="F91" s="140">
        <f>E91*Input!N91/100</f>
        <v>1.9751441046578702E-4</v>
      </c>
      <c r="G91" s="141">
        <f t="shared" ref="G91" si="483">E91*137.88</f>
        <v>376.6767577206578</v>
      </c>
      <c r="H91" s="140">
        <f>G91*Input!L91/100</f>
        <v>1.4971610551830472E-2</v>
      </c>
      <c r="I91" s="138">
        <v>0</v>
      </c>
      <c r="J91" s="142">
        <f>(((C91*Constants!$B$24*0.000000001*Input!G91*(Constants!$B$4/Constants!$B$3))-(I91*0.000000000000001))/Input!F91)*1000000000000</f>
        <v>749.35873208655778</v>
      </c>
      <c r="K91" s="138">
        <f>J91*Input!P91/100</f>
        <v>2.6285111415386671</v>
      </c>
      <c r="L91" s="143">
        <f>(J91/Constants!$B$4)*602200000000*Constants!$B$17/(365.2425*24*60)</f>
        <v>10.345729320575417</v>
      </c>
      <c r="M91" s="144">
        <f>L91*Input!P91/100</f>
        <v>3.6289514783868042E-2</v>
      </c>
      <c r="N91" s="138">
        <v>0</v>
      </c>
      <c r="O91" s="142">
        <f>(((G91*Constants!$B$23*0.000000001*Input!G91*(Constants!$B$7/Constants!$B$6))-(N91*0.000000001))/Input!F91)*1000000</f>
        <v>13.699436030349791</v>
      </c>
      <c r="P91" s="138">
        <f>O91*Input!N91/100</f>
        <v>9.9045312550234644E-4</v>
      </c>
      <c r="Q91" s="145">
        <f>(O91/Constants!$B$7)*602200000000000000*Constants!$B$18/(365.2425*24*60)</f>
        <v>10.221433601527368</v>
      </c>
      <c r="R91" s="146">
        <f>Q91*Input!N91/100</f>
        <v>7.3899763722528895E-4</v>
      </c>
      <c r="S91" s="144">
        <f>Input!S91*Constants!$B$17/Constants!$B$18</f>
        <v>1.0005951121112895</v>
      </c>
      <c r="T91" s="138">
        <f>S91*Input!T91/100</f>
        <v>8.8475267295347391E-4</v>
      </c>
      <c r="U91" s="144">
        <f>S91</f>
        <v>1.0005951121112895</v>
      </c>
      <c r="V91" s="138">
        <f>U91*Input!T91/100</f>
        <v>8.8475267295347391E-4</v>
      </c>
      <c r="W91" s="147">
        <v>0</v>
      </c>
      <c r="X91" s="142">
        <f>(((Constants!$B$25*0.000000001*Input!G91/Input!W91*(Constants!$B$11/Constants!$B$9))-(W91*0.000000001))/Input!F91)*1000000000</f>
        <v>0.95719268976694316</v>
      </c>
      <c r="Y91" s="142">
        <f>X91*Input!X91/100</f>
        <v>2.8987259027446729E-3</v>
      </c>
      <c r="Z91" s="142">
        <f>(X91/Constants!$B$11)*6.022E+23*0.000000001*Constants!$B$19/(365.2425*24*60)</f>
        <v>2.3368168039687351E-4</v>
      </c>
      <c r="AA91" s="142">
        <f>Z91*Input!X91/100</f>
        <v>7.0767270498926111E-7</v>
      </c>
      <c r="AB91" s="143">
        <v>0</v>
      </c>
      <c r="AC91" s="143">
        <v>0.9</v>
      </c>
      <c r="AD91" s="142">
        <f>(((Input!G91*Constants!$B$25*0.000000001*Input!U91*(Constants!$B$10/Constants!$B$9))-((AB91*0.000000000000001)+(Input!G91*AC91*0.000000000000001)))/Input!F91)*1000000000000</f>
        <v>223.70211722176879</v>
      </c>
      <c r="AE91" s="142">
        <f>AD91*Input!V91/100</f>
        <v>0.58491216903473586</v>
      </c>
      <c r="AF91" s="142">
        <f>(AD91/Constants!$B$10)*602200000000*Constants!$B$16/(365.2425*24*60)</f>
        <v>10.211032677484219</v>
      </c>
      <c r="AG91" s="142">
        <f>AF91*Input!V91/100</f>
        <v>2.6698706948539611E-2</v>
      </c>
      <c r="AH91" s="138">
        <f t="shared" ref="AH91" si="484">AF91/Z91</f>
        <v>43696.33366270861</v>
      </c>
      <c r="AI91" s="147">
        <f t="shared" ref="AI91" si="485">AH91*SQRT((AG91/AF91)^2+(AA91/Z91)^2)</f>
        <v>174.82679213808967</v>
      </c>
      <c r="AJ91" s="144">
        <f t="shared" si="439"/>
        <v>0.59511211128948638</v>
      </c>
      <c r="AK91" s="147">
        <f t="shared" ref="AK91" si="486">V91*1000</f>
        <v>0.88475267295347393</v>
      </c>
      <c r="AL91" s="147">
        <f t="shared" ref="AL91" si="487">AF91/Q91</f>
        <v>0.99898243979772128</v>
      </c>
      <c r="AM91" s="147">
        <f t="shared" ref="AM91" si="488">AL91*SQRT((R91/Q91)^2+(AG91/AF91)^2)</f>
        <v>2.6130298988443169E-3</v>
      </c>
      <c r="AN91" s="138">
        <f>AF91/Q91</f>
        <v>0.99898243979772128</v>
      </c>
      <c r="AO91" s="142">
        <f t="shared" ref="AO91" si="489">AN91*SQRT((R91/Q91)^2+(AG91/AF91)^2)</f>
        <v>2.6130298988443169E-3</v>
      </c>
      <c r="AP91" s="138">
        <f t="shared" ref="AP91" si="490">ThU_Alter_Kombi(AN91,U91)</f>
        <v>685.23</v>
      </c>
      <c r="AQ91" s="138" t="e">
        <f t="shared" si="445"/>
        <v>#VALUE!</v>
      </c>
      <c r="AR91" s="138" t="e">
        <f>(AQ91/AP91)*100</f>
        <v>#VALUE!</v>
      </c>
      <c r="AS91" s="146">
        <f t="shared" si="446"/>
        <v>2.2861928131290207E-5</v>
      </c>
      <c r="AT91" s="146">
        <f t="shared" si="447"/>
        <v>6.9253920497304393E-8</v>
      </c>
      <c r="AU91" s="138">
        <v>0.75</v>
      </c>
      <c r="AV91" s="138">
        <f t="shared" ref="AV91" si="491">AU91/2</f>
        <v>0.375</v>
      </c>
      <c r="AW91" s="138">
        <f t="shared" si="449"/>
        <v>685.22820000000002</v>
      </c>
      <c r="AX91" s="148">
        <f t="shared" si="450"/>
        <v>310.11225084009999</v>
      </c>
      <c r="AY91" s="148">
        <f t="shared" si="451"/>
        <v>167.65442404483071</v>
      </c>
      <c r="AZ91" s="149">
        <f t="shared" si="452"/>
        <v>0.45256784650733872</v>
      </c>
      <c r="BA91" s="138" t="str">
        <f>Input!B91</f>
        <v>Hu1-13</v>
      </c>
      <c r="BB91" s="150">
        <f>Input!E91</f>
        <v>0</v>
      </c>
      <c r="BC91" s="138">
        <f>((U91-1)*EXP(Constants!$B$17*AW91*1000))*1000</f>
        <v>4.1154559306838898</v>
      </c>
      <c r="BD91" s="144">
        <f>SQRT((EXP(Constants!$B$17*AW91*1000)*V91)^2+((U91-1)*Constants!$B$17*EXP(Constants!$B$17*AW91*1000)*AY91*1000)^2)*1000</f>
        <v>6.4208065848514222</v>
      </c>
      <c r="BE91" s="138">
        <f t="shared" si="453"/>
        <v>685170.20000000007</v>
      </c>
      <c r="BF91" s="151">
        <f t="shared" si="454"/>
        <v>83827.212022415348</v>
      </c>
      <c r="BG91" s="160">
        <f t="shared" si="455"/>
        <v>24.466947513956764</v>
      </c>
      <c r="BH91" s="138"/>
      <c r="BI91" s="18"/>
      <c r="BJ91" s="18"/>
      <c r="BK91" s="18"/>
      <c r="BL91" s="18"/>
      <c r="BM91" s="18"/>
      <c r="BN91" s="159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</row>
    <row r="92" spans="1:110" ht="15" customHeight="1" x14ac:dyDescent="0.2">
      <c r="A92" s="18">
        <f>Input!A92</f>
        <v>10949</v>
      </c>
      <c r="B92" s="18" t="str">
        <f>Input!B92</f>
        <v>GeoB20960-1_338-340</v>
      </c>
      <c r="C92" s="18">
        <f>Input!O92</f>
        <v>2.1958644897258091</v>
      </c>
      <c r="D92" s="18">
        <f>C92*Input!P92/100</f>
        <v>4.0012969704728042E-3</v>
      </c>
      <c r="E92" s="152">
        <f>Input!M92</f>
        <v>2.5900194488162924</v>
      </c>
      <c r="F92" s="153">
        <f>E92*Input!N92/100</f>
        <v>8.598823768211328E-5</v>
      </c>
      <c r="G92" s="21">
        <f>E92*137.88</f>
        <v>357.11188160279039</v>
      </c>
      <c r="H92" s="153">
        <f>G92*Input!L92/100</f>
        <v>2.0037894903462049E-2</v>
      </c>
      <c r="I92" s="18">
        <v>0.3</v>
      </c>
      <c r="J92" s="129">
        <f>(((C92*Constants!$B$24*0.000000001*Input!G92*(Constants!$B$4/Constants!$B$3))-(I92*0.000000000000001))/Input!F92)*1000000000000</f>
        <v>231.71023203017171</v>
      </c>
      <c r="K92" s="18">
        <f>J92*Input!P92/100</f>
        <v>0.4222216142152041</v>
      </c>
      <c r="L92" s="134">
        <f>(J92/Constants!$B$4)*602200000000*Constants!$B$17/(365.2425*24*60)</f>
        <v>3.1990170244856513</v>
      </c>
      <c r="M92" s="132">
        <f>L92*Input!P92/100</f>
        <v>5.8292381831647928E-3</v>
      </c>
      <c r="N92" s="18">
        <v>5.0000000000000001E-3</v>
      </c>
      <c r="O92" s="129">
        <f>(((G92*Constants!$B$23*0.000000001*Input!G92*(Constants!$B$7/Constants!$B$6))-(N92*0.000000001))/Input!F92)*1000000</f>
        <v>3.7959925390228837</v>
      </c>
      <c r="P92" s="18">
        <f>O92*Input!N92/100</f>
        <v>1.2602635429406013E-4</v>
      </c>
      <c r="Q92" s="130">
        <f>(O92/Constants!$B$7)*602200000000000000*Constants!$B$18/(365.2425*24*60)</f>
        <v>2.8322688323487859</v>
      </c>
      <c r="R92" s="131">
        <f>Q92*Input!N92/100</f>
        <v>9.4030879052647249E-5</v>
      </c>
      <c r="S92" s="132">
        <f>Input!S92*Constants!$B$17/Constants!$B$18</f>
        <v>1.1267643576501791</v>
      </c>
      <c r="T92" s="18">
        <f>S92*Input!T92/100</f>
        <v>5.5451707901002902E-4</v>
      </c>
      <c r="U92" s="18">
        <f>S92*1/((U91+U93)/2)</f>
        <v>1.1266568044770726</v>
      </c>
      <c r="V92" s="18">
        <f>U92*Input!T92/100</f>
        <v>5.5446414862490954E-4</v>
      </c>
      <c r="W92" s="133">
        <v>3.0000000000000001E-3</v>
      </c>
      <c r="X92" s="129">
        <f>IF((((Constants!$B$25*0.000000001*Input!G92/Input!W92*(Constants!$B$11/Constants!$B$9))-(W92*0.000000001))/Input!F92)*1000000000&lt;0, "n.d.", (((Constants!$B$25*0.000000001*Input!G92/Input!W92*(Constants!$B$11/Constants!$B$9))-(W92*0.000000001))/Input!F92)*1000000000)</f>
        <v>0.68702245161512177</v>
      </c>
      <c r="Y92" s="129">
        <f>X92*Input!X92/100</f>
        <v>8.3838517051435413E-4</v>
      </c>
      <c r="Z92" s="129">
        <f>(X92/Constants!$B$11)*6.022E+23*0.000000001*Constants!$B$19/(365.2425*24*60)</f>
        <v>1.6772439100312255E-4</v>
      </c>
      <c r="AA92" s="129">
        <f>Z92*Input!X92/100</f>
        <v>2.0467692405101313E-7</v>
      </c>
      <c r="AB92" s="134">
        <v>0.05</v>
      </c>
      <c r="AC92" s="134">
        <v>0.9</v>
      </c>
      <c r="AD92" s="129">
        <f>(((Input!G92*Constants!$B$25*0.000000001*Input!U92*(Constants!$B$10/Constants!$B$9))-((AB92*0.000000000000001)+(Input!G92*AC92*0.000000000000001)))/Input!F92)*1000000000000</f>
        <v>18.449884122456893</v>
      </c>
      <c r="AE92" s="129">
        <f>AD92*Input!V92/100</f>
        <v>2.8924714270625106E-2</v>
      </c>
      <c r="AF92" s="129">
        <f>(AD92/Constants!$B$10)*602200000000*Constants!$B$16/(365.2425*24*60)</f>
        <v>0.84215729385985372</v>
      </c>
      <c r="AG92" s="129">
        <f>AF92*Input!V92/100</f>
        <v>1.3202879180238087E-3</v>
      </c>
      <c r="AH92" s="18">
        <f>AF92/Z92</f>
        <v>5021.0782631142492</v>
      </c>
      <c r="AI92" s="133">
        <f>AH92*SQRT((AG92/AF92)^2+(AA92/Z92)^2)</f>
        <v>9.9754029358940386</v>
      </c>
      <c r="AJ92" s="132">
        <f t="shared" si="439"/>
        <v>126.65680447707261</v>
      </c>
      <c r="AK92" s="133">
        <f>V92*1000</f>
        <v>0.55446414862490956</v>
      </c>
      <c r="AL92" s="133">
        <f>AF92/Q92</f>
        <v>0.29734369994865811</v>
      </c>
      <c r="AM92" s="133">
        <f>AL92*SQRT((R92/Q92)^2+(AG92/AF92)^2)</f>
        <v>4.662636244795189E-4</v>
      </c>
      <c r="AN92" s="18">
        <f>AL92*1/((AN91+AN93)/2)</f>
        <v>0.29738217663892813</v>
      </c>
      <c r="AO92" s="129">
        <f>AN92*SQRT((R92/Q92)^2+(AG92/AF92)^2)</f>
        <v>4.6632395964406543E-4</v>
      </c>
      <c r="AP92" s="18">
        <f>ThU_Alter_Kombi(AN92,U92)</f>
        <v>33.217399999999998</v>
      </c>
      <c r="AQ92" s="18">
        <f t="shared" si="445"/>
        <v>6.0100000000000001E-2</v>
      </c>
      <c r="AR92" s="154">
        <f>(AQ92/AP92)</f>
        <v>1.8092927200804398E-3</v>
      </c>
      <c r="AS92" s="131">
        <f t="shared" si="446"/>
        <v>5.9219092865570102E-5</v>
      </c>
      <c r="AT92" s="131">
        <f t="shared" si="447"/>
        <v>7.2292804529197613E-8</v>
      </c>
      <c r="AU92" s="18">
        <v>8</v>
      </c>
      <c r="AV92" s="18">
        <f>AU92/2</f>
        <v>4</v>
      </c>
      <c r="AW92" s="18">
        <f t="shared" si="449"/>
        <v>33.171999999999997</v>
      </c>
      <c r="AX92" s="135">
        <f t="shared" si="450"/>
        <v>7.0330070600000003E-2</v>
      </c>
      <c r="AY92" s="135">
        <f t="shared" si="451"/>
        <v>6.7659509811010779E-2</v>
      </c>
      <c r="AZ92" s="154">
        <f t="shared" si="452"/>
        <v>2.1201637103581334E-3</v>
      </c>
      <c r="BA92" s="18" t="str">
        <f>Input!B92</f>
        <v>GeoB20960-1_338-340</v>
      </c>
      <c r="BB92" s="136">
        <f>Input!E92</f>
        <v>339</v>
      </c>
      <c r="BC92" s="18">
        <f>((U92-1)*EXP(Constants!$B$17*AW92*1000))*1000</f>
        <v>139.08628221996412</v>
      </c>
      <c r="BD92" s="132">
        <f>SQRT((EXP(Constants!$B$17*AW92*1000)*V92)^2+((U92-1)*Constants!$B$17*EXP(Constants!$B$17*AW92*1000)*AY92*1000)^2)*1000</f>
        <v>0.60945542753434245</v>
      </c>
      <c r="BE92" s="18">
        <f t="shared" si="453"/>
        <v>33114</v>
      </c>
      <c r="BF92" s="137">
        <f t="shared" si="454"/>
        <v>33.829754905505389</v>
      </c>
      <c r="BG92" s="20">
        <f t="shared" si="455"/>
        <v>0.20396572353494147</v>
      </c>
      <c r="BH92" s="18"/>
      <c r="BI92" s="18"/>
      <c r="BJ92" s="18"/>
      <c r="BK92" s="18"/>
      <c r="BL92" s="18"/>
      <c r="BM92" s="18"/>
      <c r="BN92" s="159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</row>
    <row r="93" spans="1:110" ht="15" customHeight="1" x14ac:dyDescent="0.2">
      <c r="A93" s="138">
        <f>Input!A93</f>
        <v>10815</v>
      </c>
      <c r="B93" s="138" t="str">
        <f>Input!B93</f>
        <v>Hu1-13</v>
      </c>
      <c r="C93" s="138">
        <f>Input!O93</f>
        <v>2.0804701332792428</v>
      </c>
      <c r="D93" s="138">
        <f>C93*Input!P93/100</f>
        <v>7.4699408888501328E-3</v>
      </c>
      <c r="E93" s="139">
        <f>Input!M93</f>
        <v>2.7319714600707594</v>
      </c>
      <c r="F93" s="140">
        <f>E93*Input!N93/100</f>
        <v>1.8287353562876371E-4</v>
      </c>
      <c r="G93" s="141">
        <f t="shared" ref="G93" si="492">E93*137.88</f>
        <v>376.6842249145563</v>
      </c>
      <c r="H93" s="140">
        <f>G93*Input!L93/100</f>
        <v>1.9134595799591182E-2</v>
      </c>
      <c r="I93" s="138">
        <v>0</v>
      </c>
      <c r="J93" s="142">
        <f>(((C93*Constants!$B$24*0.000000001*Input!G93*(Constants!$B$4/Constants!$B$3))-(I93*0.000000000000001))/Input!F93)*1000000000000</f>
        <v>751.12782455773549</v>
      </c>
      <c r="K93" s="138">
        <f>J93*Input!P93/100</f>
        <v>2.696929102545198</v>
      </c>
      <c r="L93" s="143">
        <f>(J93/Constants!$B$4)*602200000000*Constants!$B$17/(365.2425*24*60)</f>
        <v>10.37015360638965</v>
      </c>
      <c r="M93" s="144">
        <f>L93*Input!P93/100</f>
        <v>3.7234100701040614E-2</v>
      </c>
      <c r="N93" s="138">
        <v>0</v>
      </c>
      <c r="O93" s="142">
        <f>(((G93*Constants!$B$23*0.000000001*Input!G93*(Constants!$B$7/Constants!$B$6))-(N93*0.000000001))/Input!F93)*1000000</f>
        <v>13.699707606291343</v>
      </c>
      <c r="P93" s="138">
        <f>O93*Input!N93/100</f>
        <v>9.1703519003008755E-4</v>
      </c>
      <c r="Q93" s="145">
        <f>(O93/Constants!$B$7)*602200000000000000*Constants!$B$18/(365.2425*24*60)</f>
        <v>10.221636229974859</v>
      </c>
      <c r="R93" s="146">
        <f>Q93*Input!N93/100</f>
        <v>6.8421899152568534E-4</v>
      </c>
      <c r="S93" s="144">
        <f>Input!S93*Constants!$B$17/Constants!$B$18</f>
        <v>0.99959581235244999</v>
      </c>
      <c r="T93" s="138">
        <f>S93*Input!T93/100</f>
        <v>6.1322118491652356E-4</v>
      </c>
      <c r="U93" s="144">
        <f>S93</f>
        <v>0.99959581235244999</v>
      </c>
      <c r="V93" s="138">
        <f>U93*Input!T93/100</f>
        <v>6.1322118491652356E-4</v>
      </c>
      <c r="W93" s="147">
        <v>0</v>
      </c>
      <c r="X93" s="142">
        <f>(((Constants!$B$25*0.000000001*Input!G93/Input!W93*(Constants!$B$11/Constants!$B$9))-(W93*0.000000001))/Input!F93)*1000000000</f>
        <v>0.95519716922709064</v>
      </c>
      <c r="Y93" s="142">
        <f>X93*Input!X93/100</f>
        <v>2.8778667259537994E-3</v>
      </c>
      <c r="Z93" s="142">
        <f>(X93/Constants!$B$11)*6.022E+23*0.000000001*Constants!$B$19/(365.2425*24*60)</f>
        <v>2.3319450932044922E-4</v>
      </c>
      <c r="AA93" s="142">
        <f>Z93*Input!X93/100</f>
        <v>7.0258030558389833E-7</v>
      </c>
      <c r="AB93" s="143">
        <v>0</v>
      </c>
      <c r="AC93" s="143">
        <v>0.9</v>
      </c>
      <c r="AD93" s="142">
        <f>(((Input!G93*Constants!$B$25*0.000000001*Input!U93*(Constants!$B$10/Constants!$B$9))-((AB93*0.000000000000001)+(Input!G93*AC93*0.000000000000001)))/Input!F93)*1000000000000</f>
        <v>224.10433801484169</v>
      </c>
      <c r="AE93" s="142">
        <f>AD93*Input!V93/100</f>
        <v>0.50905871107134004</v>
      </c>
      <c r="AF93" s="142">
        <f>(AD93/Constants!$B$10)*602200000000*Constants!$B$16/(365.2425*24*60)</f>
        <v>10.229392314454305</v>
      </c>
      <c r="AG93" s="142">
        <f>AF93*Input!V93/100</f>
        <v>2.3236325154465835E-2</v>
      </c>
      <c r="AH93" s="138">
        <f t="shared" ref="AH93" si="493">AF93/Z93</f>
        <v>43866.351503145241</v>
      </c>
      <c r="AI93" s="147">
        <f t="shared" ref="AI93" si="494">AH93*SQRT((AG93/AF93)^2+(AA93/Z93)^2)</f>
        <v>165.51687048399037</v>
      </c>
      <c r="AJ93" s="144">
        <f t="shared" si="439"/>
        <v>-0.40418764755001391</v>
      </c>
      <c r="AK93" s="147">
        <f t="shared" ref="AK93" si="495">V93*1000</f>
        <v>0.61322118491652355</v>
      </c>
      <c r="AL93" s="147">
        <f t="shared" ref="AL93" si="496">AF93/Q93</f>
        <v>1.0007587908926656</v>
      </c>
      <c r="AM93" s="147">
        <f t="shared" ref="AM93" si="497">AL93*SQRT((R93/Q93)^2+(AG93/AF93)^2)</f>
        <v>2.2742358976307222E-3</v>
      </c>
      <c r="AN93" s="138">
        <f>AF93/Q93</f>
        <v>1.0007587908926656</v>
      </c>
      <c r="AO93" s="142">
        <f t="shared" ref="AO93" si="498">AN93*SQRT((R93/Q93)^2+(AG93/AF93)^2)</f>
        <v>2.2742358976307222E-3</v>
      </c>
      <c r="AP93" s="138" t="str">
        <f t="shared" ref="AP93" si="499">ThU_Alter_Kombi(AN93,U93)</f>
        <v>Out of range</v>
      </c>
      <c r="AQ93" s="138" t="e">
        <f t="shared" si="445"/>
        <v>#VALUE!</v>
      </c>
      <c r="AR93" s="138" t="e">
        <f>(AQ93/AP93)*100</f>
        <v>#VALUE!</v>
      </c>
      <c r="AS93" s="146">
        <f t="shared" si="446"/>
        <v>2.2813814155957573E-5</v>
      </c>
      <c r="AT93" s="146">
        <f t="shared" si="447"/>
        <v>6.8751584654938599E-8</v>
      </c>
      <c r="AU93" s="138">
        <v>0.75</v>
      </c>
      <c r="AV93" s="138">
        <f t="shared" ref="AV93" si="500">AU93/2</f>
        <v>0.375</v>
      </c>
      <c r="AW93" s="138" t="str">
        <f t="shared" si="449"/>
        <v>Out of range</v>
      </c>
      <c r="AX93" s="148">
        <f t="shared" si="450"/>
        <v>347.38844567870001</v>
      </c>
      <c r="AY93" s="148" t="e">
        <f t="shared" si="451"/>
        <v>#VALUE!</v>
      </c>
      <c r="AZ93" s="149" t="e">
        <f t="shared" si="452"/>
        <v>#VALUE!</v>
      </c>
      <c r="BA93" s="138" t="str">
        <f>Input!B93</f>
        <v>Hu1-13</v>
      </c>
      <c r="BB93" s="150">
        <f>Input!E93</f>
        <v>0</v>
      </c>
      <c r="BC93" s="138" t="e">
        <f>((U93-1)*EXP(Constants!$B$17*AW93*1000))*1000</f>
        <v>#VALUE!</v>
      </c>
      <c r="BD93" s="144" t="e">
        <f>SQRT((EXP(Constants!$B$17*AW93*1000)*V93)^2+((U93-1)*Constants!$B$17*EXP(Constants!$B$17*AW93*1000)*AY93*1000)^2)*1000</f>
        <v>#VALUE!</v>
      </c>
      <c r="BE93" s="138" t="e">
        <f t="shared" si="453"/>
        <v>#VALUE!</v>
      </c>
      <c r="BF93" s="151" t="e">
        <f t="shared" si="454"/>
        <v>#VALUE!</v>
      </c>
      <c r="BG93" s="160" t="e">
        <f t="shared" si="455"/>
        <v>#VALUE!</v>
      </c>
      <c r="BH93" s="138"/>
      <c r="BI93" s="18"/>
      <c r="BJ93" s="18"/>
      <c r="BK93" s="18"/>
      <c r="BL93" s="18"/>
      <c r="BM93" s="18"/>
      <c r="BN93" s="159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</row>
    <row r="94" spans="1:110" ht="15" customHeight="1" x14ac:dyDescent="0.2">
      <c r="A94" s="18">
        <f>Input!A94</f>
        <v>10950</v>
      </c>
      <c r="B94" s="18" t="str">
        <f>Input!B94</f>
        <v>GeoB20960-1_381-386</v>
      </c>
      <c r="C94" s="18">
        <f>Input!O94</f>
        <v>2.210614168244569</v>
      </c>
      <c r="D94" s="18">
        <f>C94*Input!P94/100</f>
        <v>2.6929372423698766E-3</v>
      </c>
      <c r="E94" s="152">
        <f>Input!M94</f>
        <v>2.609867813896241</v>
      </c>
      <c r="F94" s="153">
        <f>E94*Input!N94/100</f>
        <v>8.0178632773330496E-5</v>
      </c>
      <c r="G94" s="21">
        <f>E94*137.88</f>
        <v>359.84857418001371</v>
      </c>
      <c r="H94" s="153">
        <f>G94*Input!L94/100</f>
        <v>2.2196309478743639E-2</v>
      </c>
      <c r="I94" s="18">
        <v>0.3</v>
      </c>
      <c r="J94" s="129">
        <f>(((C94*Constants!$B$24*0.000000001*Input!G94*(Constants!$B$4/Constants!$B$3))-(I94*0.000000000000001))/Input!F94)*1000000000000</f>
        <v>222.84977737308634</v>
      </c>
      <c r="K94" s="18">
        <f>J94*Input!P94/100</f>
        <v>0.27147227841137511</v>
      </c>
      <c r="L94" s="134">
        <f>(J94/Constants!$B$4)*602200000000*Constants!$B$17/(365.2425*24*60)</f>
        <v>3.0766886100502959</v>
      </c>
      <c r="M94" s="132">
        <f>L94*Input!P94/100</f>
        <v>3.7479762231683177E-3</v>
      </c>
      <c r="N94" s="18">
        <v>5.0000000000000001E-3</v>
      </c>
      <c r="O94" s="129">
        <f>(((G94*Constants!$B$23*0.000000001*Input!G94*(Constants!$B$7/Constants!$B$6))-(N94*0.000000001))/Input!F94)*1000000</f>
        <v>3.6542682264295916</v>
      </c>
      <c r="P94" s="18">
        <f>O94*Input!N94/100</f>
        <v>1.1226401146529344E-4</v>
      </c>
      <c r="Q94" s="130">
        <f>(O94/Constants!$B$7)*602200000000000000*Constants!$B$18/(365.2425*24*60)</f>
        <v>2.7265253807435403</v>
      </c>
      <c r="R94" s="131">
        <f>Q94*Input!N94/100</f>
        <v>8.3762509382972355E-5</v>
      </c>
      <c r="S94" s="132">
        <f>Input!S94*Constants!$B$17/Constants!$B$18</f>
        <v>1.1272579122510495</v>
      </c>
      <c r="T94" s="18">
        <f>S94*Input!T94/100</f>
        <v>4.0436227259796792E-4</v>
      </c>
      <c r="U94" s="18">
        <f>S94*1/((U93+U95)/2)</f>
        <v>1.1271894112712579</v>
      </c>
      <c r="V94" s="18">
        <f>U94*Input!T94/100</f>
        <v>4.0433770039353923E-4</v>
      </c>
      <c r="W94" s="133">
        <v>3.0000000000000001E-3</v>
      </c>
      <c r="X94" s="129">
        <f>IF((((Constants!$B$25*0.000000001*Input!G94/Input!W94*(Constants!$B$11/Constants!$B$9))-(W94*0.000000001))/Input!F94)*1000000000&lt;0, "n.d.", (((Constants!$B$25*0.000000001*Input!G94/Input!W94*(Constants!$B$11/Constants!$B$9))-(W94*0.000000001))/Input!F94)*1000000000)</f>
        <v>1.4912280853166084</v>
      </c>
      <c r="Y94" s="129">
        <f>X94*Input!X94/100</f>
        <v>2.8196542019011529E-3</v>
      </c>
      <c r="Z94" s="129">
        <f>(X94/Constants!$B$11)*6.022E+23*0.000000001*Constants!$B$19/(365.2425*24*60)</f>
        <v>3.6405698513707128E-4</v>
      </c>
      <c r="AA94" s="129">
        <f>Z94*Input!X94/100</f>
        <v>6.8836874652562976E-7</v>
      </c>
      <c r="AB94" s="134">
        <v>0.05</v>
      </c>
      <c r="AC94" s="134">
        <v>0.9</v>
      </c>
      <c r="AD94" s="129">
        <f>(((Input!G94*Constants!$B$25*0.000000001*Input!U94*(Constants!$B$10/Constants!$B$9))-((AB94*0.000000000000001)+(Input!G94*AC94*0.000000000000001)))/Input!F94)*1000000000000</f>
        <v>17.5629826866343</v>
      </c>
      <c r="AE94" s="129">
        <f>AD94*Input!V94/100</f>
        <v>3.4198974010409604E-2</v>
      </c>
      <c r="AF94" s="129">
        <f>(AD94/Constants!$B$10)*602200000000*Constants!$B$16/(365.2425*24*60)</f>
        <v>0.80167408495971493</v>
      </c>
      <c r="AG94" s="129">
        <f>AF94*Input!V94/100</f>
        <v>1.5610350295010263E-3</v>
      </c>
      <c r="AH94" s="18">
        <f>AF94/Z94</f>
        <v>2202.0565946781003</v>
      </c>
      <c r="AI94" s="133">
        <f>AH94*SQRT((AG94/AF94)^2+(AA94/Z94)^2)</f>
        <v>5.9768247334490008</v>
      </c>
      <c r="AJ94" s="132">
        <f t="shared" ref="AJ94:AJ95" si="501">(U94-1)*1000</f>
        <v>127.18941127125794</v>
      </c>
      <c r="AK94" s="133">
        <f>V94*1000</f>
        <v>0.40433770039353922</v>
      </c>
      <c r="AL94" s="133">
        <f>AF94/Q94</f>
        <v>0.29402773604150106</v>
      </c>
      <c r="AM94" s="133">
        <f>AL94*SQRT((R94/Q94)^2+(AG94/AF94)^2)</f>
        <v>5.7260765323297828E-4</v>
      </c>
      <c r="AN94" s="18">
        <f>AL94*1/((AN93+AN95)/2)</f>
        <v>0.29358453113904437</v>
      </c>
      <c r="AO94" s="129">
        <f>AN94*SQRT((R94/Q94)^2+(AG94/AF94)^2)</f>
        <v>5.7174452881310637E-4</v>
      </c>
      <c r="AP94" s="18">
        <f>ThU_Alter_Kombi(AN94,U94)</f>
        <v>32.706800000000001</v>
      </c>
      <c r="AQ94" s="18">
        <f t="shared" ref="AQ94:AQ95" si="502">Montealter(AN94,AO94,U94,V94)</f>
        <v>7.5300000000000006E-2</v>
      </c>
      <c r="AR94" s="154">
        <f>(AQ94/AP94)</f>
        <v>2.302273533332518E-3</v>
      </c>
      <c r="AS94" s="131">
        <f t="shared" ref="AS94:AS95" si="503">Z94/Q94</f>
        <v>1.3352415044740596E-4</v>
      </c>
      <c r="AT94" s="131">
        <f t="shared" ref="AT94:AT95" si="504">AS94*SQRT((Y94/X94)^2+(P94/O94)^2)</f>
        <v>2.5250437952067753E-7</v>
      </c>
      <c r="AU94" s="18">
        <v>8</v>
      </c>
      <c r="AV94" s="18">
        <f>AU94/2</f>
        <v>4</v>
      </c>
      <c r="AW94" s="18">
        <f t="shared" ref="AW94:AW95" si="505">marincorr_age(AN94,U94,AS94,AU94)</f>
        <v>32.604500000000002</v>
      </c>
      <c r="AX94" s="135">
        <f t="shared" ref="AX94:AX95" si="506">marincorr_age_error(AN94, AO94, U94, V94, AS94, AT94, AU94, AV94)</f>
        <v>8.6473617099999997E-2</v>
      </c>
      <c r="AY94" s="135">
        <f t="shared" ref="AY94:AY95" si="507">SQRT(((AU94*EXP(-0.0000091577*AW94*1000))/(0.0000091577*(EXP(-0.0000091577*AW94*1000)+(AJ94/1000)*EXP(-(0.0000091577-0.0000028263)*AW94*1000)-AS94*AU94*EXP(-0.0000091577*AW94*1000))))^2*AT94^2+((AS94*EXP(-0.0000091577*AW94*1000))/(0.0000091577*(EXP(-0.0000091577*AW94*1000)+(AJ94/1000)*EXP(-(0.0000091577-0.0000028263)*AW94*1000)-AS94*AU94*EXP(-0.0000091577*AW94*1000))))^2*AV94^2+((0.0000091577/(0.0000091577-0.0000028263))*(EXP(-(0.0000091577-0.0000028263)*AW94*1000)-1)/(0.0000091577*(EXP(-0.0000091577*AW94*1000)+(AJ94/1000)*EXP(-(0.0000091577-0.0000028263)*AW94*1000)-AS94*AU94*EXP(-0.0000091577*AW94*1000))))^2*T94^2+(1/(0.0000091577*(EXP(-0.0000091577*AW94*1000)+(AJ94/1000)*EXP(-(0.0000091577-0.0000028263)*AW94*1000)-AS94*AU94*EXP(-0.0000091577*AW94*1000))))^2*AO94^2)/1000</f>
        <v>9.104199409505391E-2</v>
      </c>
      <c r="AZ94" s="154">
        <f t="shared" ref="AZ94:AZ95" si="508">AX94/AW94</f>
        <v>2.6521988406508303E-3</v>
      </c>
      <c r="BA94" s="18" t="str">
        <f>Input!B94</f>
        <v>GeoB20960-1_381-386</v>
      </c>
      <c r="BB94" s="136">
        <f>Input!E94</f>
        <v>383.5</v>
      </c>
      <c r="BC94" s="18">
        <f>((U94-1)*EXP(Constants!$B$17*AW94*1000))*1000</f>
        <v>139.44764943871206</v>
      </c>
      <c r="BD94" s="132">
        <f>SQRT((EXP(Constants!$B$17*AW94*1000)*V94)^2+((U94-1)*Constants!$B$17*EXP(Constants!$B$17*AW94*1000)*AY94*1000)^2)*1000</f>
        <v>0.44475231452332298</v>
      </c>
      <c r="BE94" s="18">
        <f t="shared" ref="BE94:BE95" si="509">AW94*1000-58</f>
        <v>32546.5</v>
      </c>
      <c r="BF94" s="137">
        <f t="shared" ref="BF94:BF95" si="510">AY94/2*1000</f>
        <v>45.520997047526954</v>
      </c>
      <c r="BG94" s="20">
        <f t="shared" ref="BG94:BG95" si="511">AY94/AW94*100</f>
        <v>0.2792313763285863</v>
      </c>
      <c r="BH94" s="18"/>
      <c r="BI94" s="18"/>
      <c r="BJ94" s="18"/>
      <c r="BK94" s="18"/>
      <c r="BL94" s="18"/>
      <c r="BM94" s="18"/>
      <c r="BN94" s="159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</row>
    <row r="95" spans="1:110" ht="15" customHeight="1" x14ac:dyDescent="0.2">
      <c r="A95" s="138">
        <f>Input!A95</f>
        <v>10815</v>
      </c>
      <c r="B95" s="138" t="str">
        <f>Input!B95</f>
        <v>Hu1-13</v>
      </c>
      <c r="C95" s="138">
        <f>Input!O95</f>
        <v>2.0870527854944512</v>
      </c>
      <c r="D95" s="138">
        <f>C95*Input!P95/100</f>
        <v>7.4909714837954541E-3</v>
      </c>
      <c r="E95" s="139">
        <f>Input!M95</f>
        <v>2.7317900581588321</v>
      </c>
      <c r="F95" s="140">
        <f>E95*Input!N95/100</f>
        <v>2.1443183370561239E-4</v>
      </c>
      <c r="G95" s="141">
        <f t="shared" ref="G95" si="512">E95*137.88</f>
        <v>376.65921321893978</v>
      </c>
      <c r="H95" s="140">
        <f>G95*Input!L95/100</f>
        <v>1.8619210033656925E-2</v>
      </c>
      <c r="I95" s="138">
        <v>0</v>
      </c>
      <c r="J95" s="142">
        <f>(((C95*Constants!$B$24*0.000000001*Input!G95*(Constants!$B$4/Constants!$B$3))-(I95*0.000000000000001))/Input!F95)*1000000000000</f>
        <v>753.50440913789282</v>
      </c>
      <c r="K95" s="138">
        <f>J95*Input!P95/100</f>
        <v>2.704521936865552</v>
      </c>
      <c r="L95" s="143">
        <f>(J95/Constants!$B$4)*602200000000*Constants!$B$17/(365.2425*24*60)</f>
        <v>10.402964995275848</v>
      </c>
      <c r="M95" s="144">
        <f>L95*Input!P95/100</f>
        <v>3.7338928209269713E-2</v>
      </c>
      <c r="N95" s="138">
        <v>0</v>
      </c>
      <c r="O95" s="142">
        <f>(((G95*Constants!$B$23*0.000000001*Input!G95*(Constants!$B$7/Constants!$B$6))-(N95*0.000000001))/Input!F95)*1000000</f>
        <v>13.698797950685877</v>
      </c>
      <c r="P95" s="138">
        <f>O95*Input!N95/100</f>
        <v>1.0752870101987419E-3</v>
      </c>
      <c r="Q95" s="145">
        <f>(O95/Constants!$B$7)*602200000000000000*Constants!$B$18/(365.2425*24*60)</f>
        <v>10.220957517044566</v>
      </c>
      <c r="R95" s="146">
        <f>Q95*Input!N95/100</f>
        <v>8.0229395961861985E-4</v>
      </c>
      <c r="S95" s="144">
        <f>Input!S95*Constants!$B$17/Constants!$B$18</f>
        <v>1.0005257306271178</v>
      </c>
      <c r="T95" s="138">
        <f>S95*Input!T95/100</f>
        <v>9.2288298021948477E-4</v>
      </c>
      <c r="U95" s="144">
        <f>S95</f>
        <v>1.0005257306271178</v>
      </c>
      <c r="V95" s="138">
        <f>U95*Input!T95/100</f>
        <v>9.2288298021948477E-4</v>
      </c>
      <c r="W95" s="147">
        <v>0</v>
      </c>
      <c r="X95" s="142">
        <f>(((Constants!$B$25*0.000000001*Input!G95/Input!W95*(Constants!$B$11/Constants!$B$9))-(W95*0.000000001))/Input!F95)*1000000000</f>
        <v>0.95804880266212489</v>
      </c>
      <c r="Y95" s="142">
        <f>X95*Input!X95/100</f>
        <v>2.9328296611444925E-3</v>
      </c>
      <c r="Z95" s="142">
        <f>(X95/Constants!$B$11)*6.022E+23*0.000000001*Constants!$B$19/(365.2425*24*60)</f>
        <v>2.3389068523163066E-4</v>
      </c>
      <c r="AA95" s="142">
        <f>Z95*Input!X95/100</f>
        <v>7.1599853494588062E-7</v>
      </c>
      <c r="AB95" s="143">
        <v>0</v>
      </c>
      <c r="AC95" s="143">
        <v>0.9</v>
      </c>
      <c r="AD95" s="142">
        <f>(((Input!G95*Constants!$B$25*0.000000001*Input!U95*(Constants!$B$10/Constants!$B$9))-((AB95*0.000000000000001)+(Input!G95*AC95*0.000000000000001)))/Input!F95)*1000000000000</f>
        <v>224.42571403011624</v>
      </c>
      <c r="AE95" s="142">
        <f>AD95*Input!V95/100</f>
        <v>0.56874687273093716</v>
      </c>
      <c r="AF95" s="142">
        <f>(AD95/Constants!$B$10)*602200000000*Constants!$B$16/(365.2425*24*60)</f>
        <v>10.24406173749993</v>
      </c>
      <c r="AG95" s="142">
        <f>AF95*Input!V95/100</f>
        <v>2.5960831192827993E-2</v>
      </c>
      <c r="AH95" s="138">
        <f t="shared" ref="AH95" si="513">AF95/Z95</f>
        <v>43798.502395915653</v>
      </c>
      <c r="AI95" s="147">
        <f t="shared" ref="AI95" si="514">AH95*SQRT((AG95/AF95)^2+(AA95/Z95)^2)</f>
        <v>174.06035189023109</v>
      </c>
      <c r="AJ95" s="144">
        <f t="shared" si="501"/>
        <v>0.52573062711780416</v>
      </c>
      <c r="AK95" s="147">
        <f t="shared" ref="AK95" si="515">V95*1000</f>
        <v>0.92288298021948478</v>
      </c>
      <c r="AL95" s="147">
        <f t="shared" ref="AL95" si="516">AF95/Q95</f>
        <v>1.0022604751479336</v>
      </c>
      <c r="AM95" s="147">
        <f t="shared" ref="AM95" si="517">AL95*SQRT((R95/Q95)^2+(AG95/AF95)^2)</f>
        <v>2.5411788794608542E-3</v>
      </c>
      <c r="AN95" s="138">
        <f>AF95/Q95</f>
        <v>1.0022604751479336</v>
      </c>
      <c r="AO95" s="142">
        <f t="shared" ref="AO95" si="518">AN95*SQRT((R95/Q95)^2+(AG95/AF95)^2)</f>
        <v>2.5411788794608542E-3</v>
      </c>
      <c r="AP95" s="138" t="str">
        <f t="shared" ref="AP95" si="519">ThU_Alter_Kombi(AN95,U95)</f>
        <v>Out of range</v>
      </c>
      <c r="AQ95" s="138" t="e">
        <f t="shared" si="502"/>
        <v>#VALUE!</v>
      </c>
      <c r="AR95" s="138" t="e">
        <f>(AQ95/AP95)*100</f>
        <v>#VALUE!</v>
      </c>
      <c r="AS95" s="146">
        <f t="shared" si="503"/>
        <v>2.2883441677708995E-5</v>
      </c>
      <c r="AT95" s="146">
        <f t="shared" si="504"/>
        <v>7.007502712090976E-8</v>
      </c>
      <c r="AU95" s="138">
        <v>0.75</v>
      </c>
      <c r="AV95" s="138">
        <f t="shared" ref="AV95" si="520">AU95/2</f>
        <v>0.375</v>
      </c>
      <c r="AW95" s="138" t="str">
        <f t="shared" si="505"/>
        <v>Out of range</v>
      </c>
      <c r="AX95" s="148">
        <f t="shared" si="506"/>
        <v>334.88747391269999</v>
      </c>
      <c r="AY95" s="148" t="e">
        <f t="shared" si="507"/>
        <v>#VALUE!</v>
      </c>
      <c r="AZ95" s="149" t="e">
        <f t="shared" si="508"/>
        <v>#VALUE!</v>
      </c>
      <c r="BA95" s="138" t="str">
        <f>Input!B95</f>
        <v>Hu1-13</v>
      </c>
      <c r="BB95" s="150">
        <f>Input!E95</f>
        <v>0</v>
      </c>
      <c r="BC95" s="138" t="e">
        <f>((U95-1)*EXP(Constants!$B$17*AW95*1000))*1000</f>
        <v>#VALUE!</v>
      </c>
      <c r="BD95" s="144" t="e">
        <f>SQRT((EXP(Constants!$B$17*AW95*1000)*V95)^2+((U95-1)*Constants!$B$17*EXP(Constants!$B$17*AW95*1000)*AY95*1000)^2)*1000</f>
        <v>#VALUE!</v>
      </c>
      <c r="BE95" s="138" t="e">
        <f t="shared" si="509"/>
        <v>#VALUE!</v>
      </c>
      <c r="BF95" s="151" t="e">
        <f t="shared" si="510"/>
        <v>#VALUE!</v>
      </c>
      <c r="BG95" s="160" t="e">
        <f t="shared" si="511"/>
        <v>#VALUE!</v>
      </c>
      <c r="BH95" s="138"/>
      <c r="BI95" s="18"/>
      <c r="BJ95" s="18"/>
      <c r="BK95" s="18"/>
      <c r="BL95" s="18"/>
      <c r="BM95" s="18"/>
      <c r="BN95" s="159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</row>
    <row r="96" spans="1:110" ht="15" customHeight="1" x14ac:dyDescent="0.2">
      <c r="A96" s="18"/>
      <c r="B96" s="18"/>
      <c r="C96" s="18"/>
      <c r="D96" s="18"/>
      <c r="E96" s="152"/>
      <c r="F96" s="153"/>
      <c r="G96" s="21"/>
      <c r="H96" s="153"/>
      <c r="I96" s="18"/>
      <c r="J96" s="129"/>
      <c r="K96" s="18"/>
      <c r="L96" s="134"/>
      <c r="M96" s="132"/>
      <c r="N96" s="18"/>
      <c r="O96" s="129"/>
      <c r="P96" s="18"/>
      <c r="Q96" s="130"/>
      <c r="R96" s="131"/>
      <c r="S96" s="132"/>
      <c r="T96" s="18"/>
      <c r="U96" s="18"/>
      <c r="V96" s="18"/>
      <c r="W96" s="133"/>
      <c r="X96" s="129"/>
      <c r="Y96" s="129"/>
      <c r="Z96" s="129"/>
      <c r="AA96" s="129"/>
      <c r="AB96" s="134"/>
      <c r="AC96" s="134"/>
      <c r="AD96" s="129"/>
      <c r="AE96" s="129"/>
      <c r="AF96" s="129"/>
      <c r="AG96" s="129"/>
      <c r="AH96" s="18"/>
      <c r="AI96" s="133"/>
      <c r="AJ96" s="132"/>
      <c r="AK96" s="133"/>
      <c r="AL96" s="133"/>
      <c r="AM96" s="133"/>
      <c r="AN96" s="18"/>
      <c r="AO96" s="129"/>
      <c r="AP96" s="18"/>
      <c r="AQ96" s="18"/>
      <c r="AR96" s="154"/>
      <c r="AS96" s="131"/>
      <c r="AT96" s="131"/>
      <c r="AU96" s="18"/>
      <c r="AV96" s="18"/>
      <c r="AW96" s="18"/>
      <c r="AX96" s="135"/>
      <c r="AY96" s="135"/>
      <c r="AZ96" s="154"/>
      <c r="BA96" s="18"/>
      <c r="BB96" s="136"/>
      <c r="BC96" s="18"/>
      <c r="BD96" s="132"/>
      <c r="BE96" s="18"/>
      <c r="BF96" s="137"/>
      <c r="BG96" s="20"/>
      <c r="BH96" s="18"/>
      <c r="BI96" s="18"/>
      <c r="BJ96" s="18"/>
      <c r="BK96" s="18"/>
      <c r="BL96" s="18"/>
      <c r="BM96" s="18"/>
      <c r="BN96" s="159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</row>
    <row r="97" spans="1:110" ht="15" customHeight="1" x14ac:dyDescent="0.2">
      <c r="A97" s="138">
        <f>Input!A97</f>
        <v>10815</v>
      </c>
      <c r="B97" s="138" t="str">
        <f>Input!B97</f>
        <v>Hu1-13</v>
      </c>
      <c r="C97" s="138">
        <f>Input!O97</f>
        <v>2.066170236249055</v>
      </c>
      <c r="D97" s="138">
        <f>C97*Input!P97/100</f>
        <v>1.0468543424688203E-2</v>
      </c>
      <c r="E97" s="139">
        <f>Input!M97</f>
        <v>2.7320201853273742</v>
      </c>
      <c r="F97" s="140">
        <f>E97*Input!N97/100</f>
        <v>1.904831460525878E-4</v>
      </c>
      <c r="G97" s="141">
        <f t="shared" ref="G97" si="521">E97*137.88</f>
        <v>376.69094315293836</v>
      </c>
      <c r="H97" s="140">
        <f>G97*Input!L97/100</f>
        <v>2.4548528070936073E-2</v>
      </c>
      <c r="I97" s="138">
        <v>0</v>
      </c>
      <c r="J97" s="142">
        <f>(((C97*Constants!$B$24*0.000000001*Input!G97*(Constants!$B$4/Constants!$B$3))-(I97*0.000000000000001))/Input!F97)*1000000000000</f>
        <v>745.96502487324551</v>
      </c>
      <c r="K97" s="138">
        <f>J97*Input!P97/100</f>
        <v>3.7795371935862478</v>
      </c>
      <c r="L97" s="143">
        <f>(J97/Constants!$B$4)*602200000000*Constants!$B$17/(365.2425*24*60)</f>
        <v>10.298875424412163</v>
      </c>
      <c r="M97" s="144">
        <f>L97*Input!P97/100</f>
        <v>5.2180707433691353E-2</v>
      </c>
      <c r="N97" s="138">
        <v>0</v>
      </c>
      <c r="O97" s="142">
        <f>(((G97*Constants!$B$23*0.000000001*Input!G97*(Constants!$B$7/Constants!$B$6))-(N97*0.000000001))/Input!F97)*1000000</f>
        <v>13.699951943312584</v>
      </c>
      <c r="P97" s="138">
        <f>O97*Input!N97/100</f>
        <v>9.5519424085760874E-4</v>
      </c>
      <c r="Q97" s="145">
        <f>(O97/Constants!$B$7)*602200000000000000*Constants!$B$18/(365.2425*24*60)</f>
        <v>10.221818534898469</v>
      </c>
      <c r="R97" s="146">
        <f>Q97*Input!N97/100</f>
        <v>7.1269025147147568E-4</v>
      </c>
      <c r="S97" s="144">
        <f>Input!S97*Constants!$B$17/Constants!$B$18</f>
        <v>0.99999234196808084</v>
      </c>
      <c r="T97" s="138">
        <f>S97*Input!T97/100</f>
        <v>9.8228282937639819E-4</v>
      </c>
      <c r="U97" s="144">
        <f>S97</f>
        <v>0.99999234196808084</v>
      </c>
      <c r="V97" s="138">
        <f>U97*Input!T97/100</f>
        <v>9.8228282937639819E-4</v>
      </c>
      <c r="W97" s="147">
        <v>0</v>
      </c>
      <c r="X97" s="142">
        <f>(((Constants!$B$25*0.000000001*Input!G97/Input!W97*(Constants!$B$11/Constants!$B$9))-(W97*0.000000001))/Input!F97)*1000000000</f>
        <v>0.96529158525730485</v>
      </c>
      <c r="Y97" s="142">
        <f>X97*Input!X97/100</f>
        <v>3.629257203130406E-3</v>
      </c>
      <c r="Z97" s="142">
        <f>(X97/Constants!$B$11)*6.022E+23*0.000000001*Constants!$B$19/(365.2425*24*60)</f>
        <v>2.3565888261308261E-4</v>
      </c>
      <c r="AA97" s="142">
        <f>Z97*Input!X97/100</f>
        <v>8.8601901256314774E-7</v>
      </c>
      <c r="AB97" s="143">
        <v>0</v>
      </c>
      <c r="AC97" s="143">
        <v>0.9</v>
      </c>
      <c r="AD97" s="142">
        <f>(((Input!G97*Constants!$B$25*0.000000001*Input!U97*(Constants!$B$10/Constants!$B$9))-((AB97*0.000000000000001)+(Input!G97*AC97*0.000000000000001)))/Input!F97)*1000000000000</f>
        <v>223.56904531891314</v>
      </c>
      <c r="AE97" s="142">
        <f>AD97*Input!V97/100</f>
        <v>0.7007589304832732</v>
      </c>
      <c r="AF97" s="142">
        <f>(AD97/Constants!$B$10)*602200000000*Constants!$B$16/(365.2425*24*60)</f>
        <v>10.204958521524546</v>
      </c>
      <c r="AG97" s="142">
        <f>AF97*Input!V97/100</f>
        <v>3.1986609814291397E-2</v>
      </c>
      <c r="AH97" s="138">
        <f t="shared" ref="AH97" si="522">AF97/Z97</f>
        <v>43303.941732930958</v>
      </c>
      <c r="AI97" s="147">
        <f t="shared" ref="AI97" si="523">AH97*SQRT((AG97/AF97)^2+(AA97/Z97)^2)</f>
        <v>211.96965719246737</v>
      </c>
      <c r="AJ97" s="144">
        <f t="shared" ref="AJ97:AJ105" si="524">(U97-1)*1000</f>
        <v>-7.6580319191554835E-3</v>
      </c>
      <c r="AK97" s="147">
        <f t="shared" ref="AK97" si="525">V97*1000</f>
        <v>0.98228282937639821</v>
      </c>
      <c r="AL97" s="147">
        <f t="shared" ref="AL97" si="526">AF97/Q97</f>
        <v>0.99835058572832602</v>
      </c>
      <c r="AM97" s="147">
        <f t="shared" ref="AM97" si="527">AL97*SQRT((R97/Q97)^2+(AG97/AF97)^2)</f>
        <v>3.1300225340701441E-3</v>
      </c>
      <c r="AN97" s="138">
        <f>AF97/Q97</f>
        <v>0.99835058572832602</v>
      </c>
      <c r="AO97" s="142">
        <f t="shared" ref="AO97" si="528">AN97*SQRT((R97/Q97)^2+(AG97/AF97)^2)</f>
        <v>3.1300225340701441E-3</v>
      </c>
      <c r="AP97" s="138">
        <f t="shared" ref="AP97" si="529">ThU_Alter_Kombi(AN97,U97)</f>
        <v>699.41060000000004</v>
      </c>
      <c r="AQ97" s="138" t="e">
        <f t="shared" ref="AQ97:AQ105" si="530">Montealter(AN97,AO97,U97,V97)</f>
        <v>#VALUE!</v>
      </c>
      <c r="AR97" s="138" t="e">
        <f>(AQ97/AP97)*100</f>
        <v>#VALUE!</v>
      </c>
      <c r="AS97" s="146">
        <f t="shared" ref="AS97:AS105" si="531">Z97/Q97</f>
        <v>2.3054496791203637E-5</v>
      </c>
      <c r="AT97" s="146">
        <f t="shared" ref="AT97:AT105" si="532">AS97*SQRT((Y97/X97)^2+(P97/O97)^2)</f>
        <v>8.66940990531551E-8</v>
      </c>
      <c r="AU97" s="138">
        <v>0.75</v>
      </c>
      <c r="AV97" s="138">
        <f t="shared" ref="AV97" si="533">AU97/2</f>
        <v>0.375</v>
      </c>
      <c r="AW97" s="138">
        <f t="shared" ref="AW97:AW105" si="534">marincorr_age(AN97,U97,AS97,AU97)</f>
        <v>699.40869999999995</v>
      </c>
      <c r="AX97" s="148">
        <f t="shared" ref="AX97:AX105" si="535">marincorr_age_error(AN97, AO97, U97, V97, AS97, AT97, AU97, AV97)</f>
        <v>321.2608625913</v>
      </c>
      <c r="AY97" s="148">
        <f t="shared" ref="AY97:AY105" si="536">SQRT(((AU97*EXP(-0.0000091577*AW97*1000))/(0.0000091577*(EXP(-0.0000091577*AW97*1000)+(AJ97/1000)*EXP(-(0.0000091577-0.0000028263)*AW97*1000)-AS97*AU97*EXP(-0.0000091577*AW97*1000))))^2*AT97^2+((AS97*EXP(-0.0000091577*AW97*1000))/(0.0000091577*(EXP(-0.0000091577*AW97*1000)+(AJ97/1000)*EXP(-(0.0000091577-0.0000028263)*AW97*1000)-AS97*AU97*EXP(-0.0000091577*AW97*1000))))^2*AV97^2+((0.0000091577/(0.0000091577-0.0000028263))*(EXP(-(0.0000091577-0.0000028263)*AW97*1000)-1)/(0.0000091577*(EXP(-0.0000091577*AW97*1000)+(AJ97/1000)*EXP(-(0.0000091577-0.0000028263)*AW97*1000)-AS97*AU97*EXP(-0.0000091577*AW97*1000))))^2*T97^2+(1/(0.0000091577*(EXP(-0.0000091577*AW97*1000)+(AJ97/1000)*EXP(-(0.0000091577-0.0000028263)*AW97*1000)-AS97*AU97*EXP(-0.0000091577*AW97*1000))))^2*AO97^2)/1000</f>
        <v>226.58788569823179</v>
      </c>
      <c r="AZ97" s="149">
        <f t="shared" ref="AZ97:AZ105" si="537">AX97/AW97</f>
        <v>0.45933209379766082</v>
      </c>
      <c r="BA97" s="138" t="str">
        <f>Input!B97</f>
        <v>Hu1-13</v>
      </c>
      <c r="BB97" s="150">
        <f>Input!E97</f>
        <v>0</v>
      </c>
      <c r="BC97" s="138">
        <f>((U97-1)*EXP(Constants!$B$17*AW97*1000))*1000</f>
        <v>-5.5120865960900801E-2</v>
      </c>
      <c r="BD97" s="144">
        <f>SQRT((EXP(Constants!$B$17*AW97*1000)*V97)^2+((U97-1)*Constants!$B$17*EXP(Constants!$B$17*AW97*1000)*AY97*1000)^2)*1000</f>
        <v>7.0703483018757227</v>
      </c>
      <c r="BE97" s="138">
        <f t="shared" ref="BE97:BE105" si="538">AW97*1000-58</f>
        <v>699350.7</v>
      </c>
      <c r="BF97" s="151">
        <f t="shared" ref="BF97:BF105" si="539">AY97/2*1000</f>
        <v>113293.94284911589</v>
      </c>
      <c r="BG97" s="160">
        <f t="shared" ref="BG97:BG105" si="540">AY97/AW97*100</f>
        <v>32.39706421985197</v>
      </c>
      <c r="BH97" s="138"/>
      <c r="BI97" s="18"/>
      <c r="BJ97" s="18"/>
      <c r="BK97" s="18"/>
      <c r="BL97" s="18"/>
      <c r="BM97" s="18"/>
      <c r="BN97" s="159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</row>
    <row r="98" spans="1:110" ht="15" customHeight="1" x14ac:dyDescent="0.2">
      <c r="A98" s="18">
        <f>Input!A98</f>
        <v>10951</v>
      </c>
      <c r="B98" s="18" t="str">
        <f>Input!B98</f>
        <v>GeoB20960-1_499-502</v>
      </c>
      <c r="C98" s="18">
        <f>Input!O98</f>
        <v>1.1995435881415315</v>
      </c>
      <c r="D98" s="18">
        <f>C98*Input!P98/100</f>
        <v>1.5419131641608206E-3</v>
      </c>
      <c r="E98" s="152">
        <f>Input!M98</f>
        <v>1.413961541961575</v>
      </c>
      <c r="F98" s="153">
        <f>E98*Input!N98/100</f>
        <v>4.5594594833875004E-5</v>
      </c>
      <c r="G98" s="21">
        <f>E98*137.88</f>
        <v>194.95701740566196</v>
      </c>
      <c r="H98" s="153">
        <f>G98*Input!L98/100</f>
        <v>1.1633937436522787E-2</v>
      </c>
      <c r="I98" s="18">
        <v>0.3</v>
      </c>
      <c r="J98" s="129">
        <f>(((C98*Constants!$B$24*0.000000001*Input!G98*(Constants!$B$4/Constants!$B$3))-(I98*0.000000000000001))/Input!F98)*1000000000000</f>
        <v>173.52644502084163</v>
      </c>
      <c r="K98" s="18">
        <f>J98*Input!P98/100</f>
        <v>0.22305376190806289</v>
      </c>
      <c r="L98" s="134">
        <f>(J98/Constants!$B$4)*602200000000*Constants!$B$17/(365.2425*24*60)</f>
        <v>2.3957252424997035</v>
      </c>
      <c r="M98" s="132">
        <f>L98*Input!P98/100</f>
        <v>3.0795048430427023E-3</v>
      </c>
      <c r="N98" s="18">
        <v>5.0000000000000001E-3</v>
      </c>
      <c r="O98" s="129">
        <f>(((G98*Constants!$B$23*0.000000001*Input!G98*(Constants!$B$7/Constants!$B$6))-(N98*0.000000001))/Input!F98)*1000000</f>
        <v>2.8409903816618907</v>
      </c>
      <c r="P98" s="18">
        <f>O98*Input!N98/100</f>
        <v>9.1610557667013234E-5</v>
      </c>
      <c r="Q98" s="130">
        <f>(O98/Constants!$B$7)*602200000000000000*Constants!$B$18/(365.2425*24*60)</f>
        <v>2.1197218983614938</v>
      </c>
      <c r="R98" s="131">
        <f>Q98*Input!N98/100</f>
        <v>6.8352538770047482E-5</v>
      </c>
      <c r="S98" s="132">
        <f>Input!S98*Constants!$B$17/Constants!$B$18</f>
        <v>1.1254521045676622</v>
      </c>
      <c r="T98" s="18">
        <f>S98*Input!T98/100</f>
        <v>4.3182837230070696E-4</v>
      </c>
      <c r="U98" s="18">
        <f>S98*1/((U97+U99)/2)</f>
        <v>1.1256551999552533</v>
      </c>
      <c r="V98" s="18">
        <f>U98*Input!T98/100</f>
        <v>4.3190629862941462E-4</v>
      </c>
      <c r="W98" s="133">
        <v>3.0000000000000001E-3</v>
      </c>
      <c r="X98" s="129">
        <f>IF((((Constants!$B$25*0.000000001*Input!G98/Input!W98*(Constants!$B$11/Constants!$B$9))-(W98*0.000000001))/Input!F98)*1000000000&lt;0, "n.d.", (((Constants!$B$25*0.000000001*Input!G98/Input!W98*(Constants!$B$11/Constants!$B$9))-(W98*0.000000001))/Input!F98)*1000000000)</f>
        <v>0.31628095551568619</v>
      </c>
      <c r="Y98" s="129">
        <f>X98*Input!X98/100</f>
        <v>5.9777053982014276E-4</v>
      </c>
      <c r="Z98" s="129">
        <f>(X98/Constants!$B$11)*6.022E+23*0.000000001*Constants!$B$19/(365.2425*24*60)</f>
        <v>7.7214406203237601E-5</v>
      </c>
      <c r="AA98" s="129">
        <f>Z98*Input!X98/100</f>
        <v>1.4593511393294102E-7</v>
      </c>
      <c r="AB98" s="134">
        <v>0.05</v>
      </c>
      <c r="AC98" s="134">
        <v>0.9</v>
      </c>
      <c r="AD98" s="129">
        <f>(((Input!G98*Constants!$B$25*0.000000001*Input!U98*(Constants!$B$10/Constants!$B$9))-((AB98*0.000000000000001)+(Input!G98*AC98*0.000000000000001)))/Input!F98)*1000000000000</f>
        <v>14.13149314665722</v>
      </c>
      <c r="AE98" s="129">
        <f>AD98*Input!V98/100</f>
        <v>2.794299229024404E-2</v>
      </c>
      <c r="AF98" s="129">
        <f>(AD98/Constants!$B$10)*602200000000*Constants!$B$16/(365.2425*24*60)</f>
        <v>0.6450414510789414</v>
      </c>
      <c r="AG98" s="129">
        <f>AF98*Input!V98/100</f>
        <v>1.2754765619831423E-3</v>
      </c>
      <c r="AH98" s="18">
        <f>AF98/Z98</f>
        <v>8353.9002991373745</v>
      </c>
      <c r="AI98" s="133">
        <f>AH98*SQRT((AG98/AF98)^2+(AA98/Z98)^2)</f>
        <v>22.850675386538587</v>
      </c>
      <c r="AJ98" s="132">
        <f t="shared" si="524"/>
        <v>125.65519995525332</v>
      </c>
      <c r="AK98" s="133">
        <f>V98*1000</f>
        <v>0.4319062986294146</v>
      </c>
      <c r="AL98" s="133">
        <f>AF98/Q98</f>
        <v>0.30430475411776736</v>
      </c>
      <c r="AM98" s="133">
        <f>AL98*SQRT((R98/Q98)^2+(AG98/AF98)^2)</f>
        <v>6.0179882610497475E-4</v>
      </c>
      <c r="AN98" s="18">
        <f>AL98*1/((AN97+AN99)/2)</f>
        <v>0.3048503029496365</v>
      </c>
      <c r="AO98" s="129">
        <f>AN98*SQRT((R98/Q98)^2+(AG98/AF98)^2)</f>
        <v>6.0287771377320594E-4</v>
      </c>
      <c r="AP98" s="18">
        <f>ThU_Alter_Kombi(AN98,U98)</f>
        <v>34.228099999999998</v>
      </c>
      <c r="AQ98" s="18">
        <f t="shared" si="530"/>
        <v>8.0500000000000002E-2</v>
      </c>
      <c r="AR98" s="154">
        <f>(AQ98/AP98)</f>
        <v>2.3518687861727645E-3</v>
      </c>
      <c r="AS98" s="131">
        <f t="shared" si="531"/>
        <v>3.6426668169500407E-5</v>
      </c>
      <c r="AT98" s="131">
        <f t="shared" si="532"/>
        <v>6.8856368701240872E-8</v>
      </c>
      <c r="AU98" s="18">
        <v>8</v>
      </c>
      <c r="AV98" s="18">
        <f>AU98/2</f>
        <v>4</v>
      </c>
      <c r="AW98" s="18">
        <f t="shared" si="534"/>
        <v>34.200200000000002</v>
      </c>
      <c r="AX98" s="135">
        <f t="shared" si="535"/>
        <v>8.2324963299999998E-2</v>
      </c>
      <c r="AY98" s="135">
        <f t="shared" si="536"/>
        <v>8.1913256657628206E-2</v>
      </c>
      <c r="AZ98" s="154">
        <f t="shared" si="537"/>
        <v>2.407148592698288E-3</v>
      </c>
      <c r="BA98" s="18" t="str">
        <f>Input!B98</f>
        <v>GeoB20960-1_499-502</v>
      </c>
      <c r="BB98" s="136">
        <f>Input!E98</f>
        <v>500.5</v>
      </c>
      <c r="BC98" s="18">
        <f>((U98-1)*EXP(Constants!$B$17*AW98*1000))*1000</f>
        <v>138.38735369717585</v>
      </c>
      <c r="BD98" s="132">
        <f>SQRT((EXP(Constants!$B$17*AW98*1000)*V98)^2+((U98-1)*Constants!$B$17*EXP(Constants!$B$17*AW98*1000)*AY98*1000)^2)*1000</f>
        <v>0.4767441914589331</v>
      </c>
      <c r="BE98" s="18">
        <f t="shared" si="538"/>
        <v>34142.200000000004</v>
      </c>
      <c r="BF98" s="137">
        <f t="shared" si="539"/>
        <v>40.956628328814105</v>
      </c>
      <c r="BG98" s="20">
        <f t="shared" si="540"/>
        <v>0.23951104571794377</v>
      </c>
      <c r="BH98" s="18"/>
      <c r="BI98" s="18"/>
      <c r="BJ98" s="18"/>
      <c r="BK98" s="18"/>
      <c r="BL98" s="18"/>
      <c r="BM98" s="18"/>
      <c r="BN98" s="159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</row>
    <row r="99" spans="1:110" ht="15" customHeight="1" x14ac:dyDescent="0.2">
      <c r="A99" s="138">
        <f>Input!A99</f>
        <v>10815</v>
      </c>
      <c r="B99" s="138" t="str">
        <f>Input!B99</f>
        <v>Hu1-13</v>
      </c>
      <c r="C99" s="138">
        <f>Input!O99</f>
        <v>2.0790955622017706</v>
      </c>
      <c r="D99" s="138">
        <f>C99*Input!P99/100</f>
        <v>7.2987838190710615E-3</v>
      </c>
      <c r="E99" s="139">
        <f>Input!M99</f>
        <v>2.7319295448687235</v>
      </c>
      <c r="F99" s="140">
        <f>E99*Input!N99/100</f>
        <v>2.2453204667299259E-4</v>
      </c>
      <c r="G99" s="141">
        <f t="shared" ref="G99" si="541">E99*137.88</f>
        <v>376.6784456464996</v>
      </c>
      <c r="H99" s="140">
        <f>G99*Input!L99/100</f>
        <v>2.2495298924012551E-2</v>
      </c>
      <c r="I99" s="138">
        <v>0</v>
      </c>
      <c r="J99" s="142">
        <f>(((C99*Constants!$B$24*0.000000001*Input!G99*(Constants!$B$4/Constants!$B$3))-(I99*0.000000000000001))/Input!F99)*1000000000000</f>
        <v>750.63155279367288</v>
      </c>
      <c r="K99" s="138">
        <f>J99*Input!P99/100</f>
        <v>2.6351349746582513</v>
      </c>
      <c r="L99" s="143">
        <f>(J99/Constants!$B$4)*602200000000*Constants!$B$17/(365.2425*24*60)</f>
        <v>10.363302023668862</v>
      </c>
      <c r="M99" s="144">
        <f>L99*Input!P99/100</f>
        <v>3.6380964154624114E-2</v>
      </c>
      <c r="N99" s="138">
        <v>0</v>
      </c>
      <c r="O99" s="142">
        <f>(((G99*Constants!$B$23*0.000000001*Input!G99*(Constants!$B$7/Constants!$B$6))-(N99*0.000000001))/Input!F99)*1000000</f>
        <v>13.699497418878869</v>
      </c>
      <c r="P99" s="138">
        <f>O99*Input!N99/100</f>
        <v>1.1259354032865663E-3</v>
      </c>
      <c r="Q99" s="145">
        <f>(O99/Constants!$B$7)*602200000000000000*Constants!$B$18/(365.2425*24*60)</f>
        <v>10.221479404783246</v>
      </c>
      <c r="R99" s="146">
        <f>Q99*Input!N99/100</f>
        <v>8.4008377708441509E-4</v>
      </c>
      <c r="S99" s="144">
        <f>Input!S99*Constants!$B$17/Constants!$B$18</f>
        <v>0.99964680972313114</v>
      </c>
      <c r="T99" s="138">
        <f>S99*Input!T99/100</f>
        <v>1.1659656197858803E-3</v>
      </c>
      <c r="U99" s="144">
        <f>S99</f>
        <v>0.99964680972313114</v>
      </c>
      <c r="V99" s="138">
        <f>U99*Input!T99/100</f>
        <v>1.1659656197858803E-3</v>
      </c>
      <c r="W99" s="147">
        <v>0</v>
      </c>
      <c r="X99" s="142">
        <f>(((Constants!$B$25*0.000000001*Input!G99/Input!W99*(Constants!$B$11/Constants!$B$9))-(W99*0.000000001))/Input!F99)*1000000000</f>
        <v>0.96151456973256544</v>
      </c>
      <c r="Y99" s="142">
        <f>X99*Input!X99/100</f>
        <v>3.6195817723673278E-3</v>
      </c>
      <c r="Z99" s="142">
        <f>(X99/Constants!$B$11)*6.022E+23*0.000000001*Constants!$B$19/(365.2425*24*60)</f>
        <v>2.3473679101737572E-4</v>
      </c>
      <c r="AA99" s="142">
        <f>Z99*Input!X99/100</f>
        <v>8.836569271194842E-7</v>
      </c>
      <c r="AB99" s="143">
        <v>0</v>
      </c>
      <c r="AC99" s="143">
        <v>0.9</v>
      </c>
      <c r="AD99" s="142">
        <f>(((Input!G99*Constants!$B$25*0.000000001*Input!U99*(Constants!$B$10/Constants!$B$9))-((AB99*0.000000000000001)+(Input!G99*AC99*0.000000000000001)))/Input!F99)*1000000000000</f>
        <v>223.49886065183799</v>
      </c>
      <c r="AE99" s="142">
        <f>AD99*Input!V99/100</f>
        <v>0.52986146021371061</v>
      </c>
      <c r="AF99" s="142">
        <f>(AD99/Constants!$B$10)*602200000000*Constants!$B$16/(365.2425*24*60)</f>
        <v>10.201754895479949</v>
      </c>
      <c r="AG99" s="142">
        <f>AF99*Input!V99/100</f>
        <v>2.4185880544966093E-2</v>
      </c>
      <c r="AH99" s="138">
        <f t="shared" ref="AH99" si="542">AF99/Z99</f>
        <v>43460.400269017875</v>
      </c>
      <c r="AI99" s="147">
        <f t="shared" ref="AI99" si="543">AH99*SQRT((AG99/AF99)^2+(AA99/Z99)^2)</f>
        <v>193.34572566797598</v>
      </c>
      <c r="AJ99" s="144">
        <f t="shared" si="524"/>
        <v>-0.35319027686886439</v>
      </c>
      <c r="AK99" s="147">
        <f t="shared" ref="AK99" si="544">V99*1000</f>
        <v>1.1659656197858803</v>
      </c>
      <c r="AL99" s="147">
        <f t="shared" ref="AL99" si="545">AF99/Q99</f>
        <v>0.99807028821150234</v>
      </c>
      <c r="AM99" s="147">
        <f t="shared" ref="AM99" si="546">AL99*SQRT((R99/Q99)^2+(AG99/AF99)^2)</f>
        <v>2.3676034457482706E-3</v>
      </c>
      <c r="AN99" s="138">
        <f>AF99/Q99</f>
        <v>0.99807028821150234</v>
      </c>
      <c r="AO99" s="142">
        <f t="shared" ref="AO99" si="547">AN99*SQRT((R99/Q99)^2+(AG99/AF99)^2)</f>
        <v>2.3676034457482706E-3</v>
      </c>
      <c r="AP99" s="138">
        <f t="shared" ref="AP99" si="548">ThU_Alter_Kombi(AN99,U99)</f>
        <v>714.64279999999997</v>
      </c>
      <c r="AQ99" s="138" t="e">
        <f t="shared" si="530"/>
        <v>#VALUE!</v>
      </c>
      <c r="AR99" s="138" t="e">
        <f>(AQ99/AP99)*100</f>
        <v>#VALUE!</v>
      </c>
      <c r="AS99" s="146">
        <f t="shared" si="531"/>
        <v>2.2965050529527873E-5</v>
      </c>
      <c r="AT99" s="146">
        <f t="shared" si="532"/>
        <v>8.6471583112919144E-8</v>
      </c>
      <c r="AU99" s="138">
        <v>0.75</v>
      </c>
      <c r="AV99" s="138">
        <f t="shared" ref="AV99" si="549">AU99/2</f>
        <v>0.375</v>
      </c>
      <c r="AW99" s="138">
        <f t="shared" si="534"/>
        <v>714.64089999999999</v>
      </c>
      <c r="AX99" s="148">
        <f t="shared" si="535"/>
        <v>311.32692890660002</v>
      </c>
      <c r="AY99" s="148">
        <f t="shared" si="536"/>
        <v>220.51712557629202</v>
      </c>
      <c r="AZ99" s="149">
        <f t="shared" si="537"/>
        <v>0.43564107358898718</v>
      </c>
      <c r="BA99" s="138" t="str">
        <f>Input!B99</f>
        <v>Hu1-13</v>
      </c>
      <c r="BB99" s="150">
        <f>Input!E99</f>
        <v>0</v>
      </c>
      <c r="BC99" s="138">
        <f>((U99-1)*EXP(Constants!$B$17*AW99*1000))*1000</f>
        <v>-2.6538493181963196</v>
      </c>
      <c r="BD99" s="144">
        <f>SQRT((EXP(Constants!$B$17*AW99*1000)*V99)^2+((U99-1)*Constants!$B$17*EXP(Constants!$B$17*AW99*1000)*AY99*1000)^2)*1000</f>
        <v>8.9152961452009087</v>
      </c>
      <c r="BE99" s="138">
        <f t="shared" si="538"/>
        <v>714582.9</v>
      </c>
      <c r="BF99" s="151">
        <f t="shared" si="539"/>
        <v>110258.56278814601</v>
      </c>
      <c r="BG99" s="160">
        <f t="shared" si="540"/>
        <v>30.857053602206651</v>
      </c>
      <c r="BH99" s="138"/>
      <c r="BI99" s="18"/>
      <c r="BJ99" s="18"/>
      <c r="BK99" s="18"/>
      <c r="BL99" s="18"/>
      <c r="BM99" s="18"/>
      <c r="BN99" s="159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</row>
    <row r="100" spans="1:110" ht="15" customHeight="1" x14ac:dyDescent="0.2">
      <c r="A100" s="18">
        <f>Input!A100</f>
        <v>10952</v>
      </c>
      <c r="B100" s="18" t="str">
        <f>Input!B100</f>
        <v>GeoB20960-1_531-534</v>
      </c>
      <c r="C100" s="18">
        <f>Input!O100</f>
        <v>2.0281956142189541</v>
      </c>
      <c r="D100" s="18">
        <f>C100*Input!P100/100</f>
        <v>2.5745257218432933E-3</v>
      </c>
      <c r="E100" s="152">
        <f>Input!M100</f>
        <v>2.3897311141641993</v>
      </c>
      <c r="F100" s="153">
        <f>E100*Input!N100/100</f>
        <v>8.189078095145768E-5</v>
      </c>
      <c r="G100" s="21">
        <f>E100*137.88</f>
        <v>329.49612602095976</v>
      </c>
      <c r="H100" s="153">
        <f>G100*Input!L100/100</f>
        <v>1.8725282211168873E-2</v>
      </c>
      <c r="I100" s="18">
        <v>0.3</v>
      </c>
      <c r="J100" s="129">
        <f>(((C100*Constants!$B$24*0.000000001*Input!G100*(Constants!$B$4/Constants!$B$3))-(I100*0.000000000000001))/Input!F100)*1000000000000</f>
        <v>200.97840456228411</v>
      </c>
      <c r="K100" s="18">
        <f>J100*Input!P100/100</f>
        <v>0.25511546739039997</v>
      </c>
      <c r="L100" s="134">
        <f>(J100/Constants!$B$4)*602200000000*Constants!$B$17/(365.2425*24*60)</f>
        <v>2.7747300242873751</v>
      </c>
      <c r="M100" s="132">
        <f>L100*Input!P100/100</f>
        <v>3.5221522858137505E-3</v>
      </c>
      <c r="N100" s="18">
        <v>5.0000000000000001E-3</v>
      </c>
      <c r="O100" s="129">
        <f>(((G100*Constants!$B$23*0.000000001*Input!G100*(Constants!$B$7/Constants!$B$6))-(N100*0.000000001))/Input!F100)*1000000</f>
        <v>3.2890556407738512</v>
      </c>
      <c r="P100" s="18">
        <f>O100*Input!N100/100</f>
        <v>1.1270863630612672E-4</v>
      </c>
      <c r="Q100" s="130">
        <f>(O100/Constants!$B$7)*602200000000000000*Constants!$B$18/(365.2425*24*60)</f>
        <v>2.4540326893325819</v>
      </c>
      <c r="R100" s="131">
        <f>Q100*Input!N100/100</f>
        <v>8.4094253206447913E-5</v>
      </c>
      <c r="S100" s="132">
        <f>Input!S100*Constants!$B$17/Constants!$B$18</f>
        <v>1.1258595078619202</v>
      </c>
      <c r="T100" s="18">
        <f>S100*Input!T100/100</f>
        <v>5.0531612517457438E-4</v>
      </c>
      <c r="U100" s="18">
        <f>S100*1/((U99+U101)/2)</f>
        <v>1.1262934970256602</v>
      </c>
      <c r="V100" s="18">
        <f>U100*Input!T100/100</f>
        <v>5.0551091122119694E-4</v>
      </c>
      <c r="W100" s="133">
        <v>3.0000000000000001E-3</v>
      </c>
      <c r="X100" s="129">
        <f>IF((((Constants!$B$25*0.000000001*Input!G100/Input!W100*(Constants!$B$11/Constants!$B$9))-(W100*0.000000001))/Input!F100)*1000000000&lt;0, "n.d.", (((Constants!$B$25*0.000000001*Input!G100/Input!W100*(Constants!$B$11/Constants!$B$9))-(W100*0.000000001))/Input!F100)*1000000000)</f>
        <v>1.0292453742265968</v>
      </c>
      <c r="Y100" s="129">
        <f>X100*Input!X100/100</f>
        <v>1.6646952331850744E-3</v>
      </c>
      <c r="Z100" s="129">
        <f>(X100/Constants!$B$11)*6.022E+23*0.000000001*Constants!$B$19/(365.2425*24*60)</f>
        <v>2.5127207004531214E-4</v>
      </c>
      <c r="AA100" s="129">
        <f>Z100*Input!X100/100</f>
        <v>4.0640592390448479E-7</v>
      </c>
      <c r="AB100" s="134">
        <v>0.05</v>
      </c>
      <c r="AC100" s="134">
        <v>0.9</v>
      </c>
      <c r="AD100" s="129">
        <f>(((Input!G100*Constants!$B$25*0.000000001*Input!U100*(Constants!$B$10/Constants!$B$9))-((AB100*0.000000000000001)+(Input!G100*AC100*0.000000000000001)))/Input!F100)*1000000000000</f>
        <v>16.436063974425096</v>
      </c>
      <c r="AE100" s="129">
        <f>AD100*Input!V100/100</f>
        <v>2.885839341906048E-2</v>
      </c>
      <c r="AF100" s="129">
        <f>(AD100/Constants!$B$10)*602200000000*Constants!$B$16/(365.2425*24*60)</f>
        <v>0.75023512703591022</v>
      </c>
      <c r="AG100" s="129">
        <f>AF100*Input!V100/100</f>
        <v>1.3172606584210145E-3</v>
      </c>
      <c r="AH100" s="18">
        <f>AF100/Z100</f>
        <v>2985.7481848285788</v>
      </c>
      <c r="AI100" s="133">
        <f>AH100*SQRT((AG100/AF100)^2+(AA100/Z100)^2)</f>
        <v>7.1276173216515026</v>
      </c>
      <c r="AJ100" s="132">
        <f t="shared" si="524"/>
        <v>126.29349702566017</v>
      </c>
      <c r="AK100" s="133">
        <f>V100*1000</f>
        <v>0.50551091122119696</v>
      </c>
      <c r="AL100" s="133">
        <f>AF100/Q100</f>
        <v>0.30571521328835682</v>
      </c>
      <c r="AM100" s="133">
        <f>AL100*SQRT((R100/Q100)^2+(AG100/AF100)^2)</f>
        <v>5.3687610587790696E-4</v>
      </c>
      <c r="AN100" s="18">
        <f>AL100*1/((AN99+AN101)/2)</f>
        <v>0.30603338224685228</v>
      </c>
      <c r="AO100" s="129">
        <f>AN100*SQRT((R100/Q100)^2+(AG100/AF100)^2)</f>
        <v>5.374348523976202E-4</v>
      </c>
      <c r="AP100" s="18">
        <f>ThU_Alter_Kombi(AN100,U100)</f>
        <v>34.3596</v>
      </c>
      <c r="AQ100" s="18">
        <f t="shared" si="530"/>
        <v>7.2300000000000003E-2</v>
      </c>
      <c r="AR100" s="154">
        <f>(AQ100/AP100)</f>
        <v>2.1042154157789963E-3</v>
      </c>
      <c r="AS100" s="131">
        <f t="shared" si="531"/>
        <v>1.0239149263885726E-4</v>
      </c>
      <c r="AT100" s="131">
        <f t="shared" si="532"/>
        <v>1.6564454552611926E-7</v>
      </c>
      <c r="AU100" s="18">
        <v>8</v>
      </c>
      <c r="AV100" s="18">
        <f>AU100/2</f>
        <v>4</v>
      </c>
      <c r="AW100" s="18">
        <f t="shared" si="534"/>
        <v>34.281100000000002</v>
      </c>
      <c r="AX100" s="135">
        <f t="shared" si="535"/>
        <v>8.03836936E-2</v>
      </c>
      <c r="AY100" s="135">
        <f t="shared" si="536"/>
        <v>8.2911142180660063E-2</v>
      </c>
      <c r="AZ100" s="154">
        <f t="shared" si="537"/>
        <v>2.3448399730463722E-3</v>
      </c>
      <c r="BA100" s="18" t="str">
        <f>Input!B100</f>
        <v>GeoB20960-1_531-534</v>
      </c>
      <c r="BB100" s="136">
        <f>Input!E100</f>
        <v>532.5</v>
      </c>
      <c r="BC100" s="18">
        <f>((U100-1)*EXP(Constants!$B$17*AW100*1000))*1000</f>
        <v>139.12208552663196</v>
      </c>
      <c r="BD100" s="132">
        <f>SQRT((EXP(Constants!$B$17*AW100*1000)*V100)^2+((U100-1)*Constants!$B$17*EXP(Constants!$B$17*AW100*1000)*AY100*1000)^2)*1000</f>
        <v>0.55781010323934788</v>
      </c>
      <c r="BE100" s="18">
        <f t="shared" si="538"/>
        <v>34223.1</v>
      </c>
      <c r="BF100" s="137">
        <f t="shared" si="539"/>
        <v>41.455571090330032</v>
      </c>
      <c r="BG100" s="20">
        <f t="shared" si="540"/>
        <v>0.2418567145764286</v>
      </c>
      <c r="BH100" s="18"/>
      <c r="BI100" s="18"/>
      <c r="BJ100" s="18"/>
      <c r="BK100" s="18"/>
      <c r="BL100" s="18"/>
      <c r="BM100" s="18"/>
      <c r="BN100" s="159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</row>
    <row r="101" spans="1:110" ht="15" customHeight="1" x14ac:dyDescent="0.2">
      <c r="A101" s="138">
        <f>Input!A101</f>
        <v>10815</v>
      </c>
      <c r="B101" s="138" t="str">
        <f>Input!B101</f>
        <v>Hu1-13</v>
      </c>
      <c r="C101" s="138">
        <f>Input!O101</f>
        <v>2.0791211426159557</v>
      </c>
      <c r="D101" s="138">
        <f>C101*Input!P101/100</f>
        <v>8.2376657303626956E-3</v>
      </c>
      <c r="E101" s="139">
        <f>Input!M101</f>
        <v>2.732447767204059</v>
      </c>
      <c r="F101" s="140">
        <f>E101*Input!N101/100</f>
        <v>1.964058294336575E-4</v>
      </c>
      <c r="G101" s="141">
        <f t="shared" ref="G101" si="550">E101*137.88</f>
        <v>376.74989814209562</v>
      </c>
      <c r="H101" s="140">
        <f>G101*Input!L101/100</f>
        <v>2.3825139110607824E-2</v>
      </c>
      <c r="I101" s="138">
        <v>0</v>
      </c>
      <c r="J101" s="142">
        <f>(((C101*Constants!$B$24*0.000000001*Input!G101*(Constants!$B$4/Constants!$B$3))-(I101*0.000000000000001))/Input!F101)*1000000000000</f>
        <v>750.64078828355139</v>
      </c>
      <c r="K101" s="138">
        <f>J101*Input!P101/100</f>
        <v>2.9741065927864696</v>
      </c>
      <c r="L101" s="143">
        <f>(J101/Constants!$B$4)*602200000000*Constants!$B$17/(365.2425*24*60)</f>
        <v>10.363429529860934</v>
      </c>
      <c r="M101" s="144">
        <f>L101*Input!P101/100</f>
        <v>4.1060843708101993E-2</v>
      </c>
      <c r="N101" s="138">
        <v>0</v>
      </c>
      <c r="O101" s="142">
        <f>(((G101*Constants!$B$23*0.000000001*Input!G101*(Constants!$B$7/Constants!$B$6))-(N101*0.000000001))/Input!F101)*1000000</f>
        <v>13.702096089682316</v>
      </c>
      <c r="P101" s="138">
        <f>O101*Input!N101/100</f>
        <v>9.8489404986044286E-4</v>
      </c>
      <c r="Q101" s="145">
        <f>(O101/Constants!$B$7)*602200000000000000*Constants!$B$18/(365.2425*24*60)</f>
        <v>10.223418327014116</v>
      </c>
      <c r="R101" s="146">
        <f>Q101*Input!N101/100</f>
        <v>7.3484989549097931E-4</v>
      </c>
      <c r="S101" s="144">
        <f>Input!S101*Constants!$B$17/Constants!$B$18</f>
        <v>0.99958254006023173</v>
      </c>
      <c r="T101" s="138">
        <f>S101*Input!T101/100</f>
        <v>1.1709513541314099E-3</v>
      </c>
      <c r="U101" s="144">
        <f>S101</f>
        <v>0.99958254006023173</v>
      </c>
      <c r="V101" s="138">
        <f>U101*Input!T101/100</f>
        <v>1.1709513541314099E-3</v>
      </c>
      <c r="W101" s="147">
        <v>0</v>
      </c>
      <c r="X101" s="142">
        <f>(((Constants!$B$25*0.000000001*Input!G101/Input!W101*(Constants!$B$11/Constants!$B$9))-(W101*0.000000001))/Input!F101)*1000000000</f>
        <v>0.95896674672194238</v>
      </c>
      <c r="Y101" s="142">
        <f>X101*Input!X101/100</f>
        <v>2.6584591207182689E-3</v>
      </c>
      <c r="Z101" s="142">
        <f>(X101/Constants!$B$11)*6.022E+23*0.000000001*Constants!$B$19/(365.2425*24*60)</f>
        <v>2.3411478505259845E-4</v>
      </c>
      <c r="AA101" s="142">
        <f>Z101*Input!X101/100</f>
        <v>6.4901581597650663E-7</v>
      </c>
      <c r="AB101" s="143">
        <v>0</v>
      </c>
      <c r="AC101" s="143">
        <v>0.9</v>
      </c>
      <c r="AD101" s="142">
        <f>(((Input!G101*Constants!$B$25*0.000000001*Input!U101*(Constants!$B$10/Constants!$B$9))-((AB101*0.000000000000001)+(Input!G101*AC101*0.000000000000001)))/Input!F101)*1000000000000</f>
        <v>223.93995482298703</v>
      </c>
      <c r="AE101" s="142">
        <f>AD101*Input!V101/100</f>
        <v>0.44644319412241523</v>
      </c>
      <c r="AF101" s="142">
        <f>(AD101/Constants!$B$10)*602200000000*Constants!$B$16/(365.2425*24*60)</f>
        <v>10.221888933777791</v>
      </c>
      <c r="AG101" s="142">
        <f>AF101*Input!V101/100</f>
        <v>2.0378198027089591E-2</v>
      </c>
      <c r="AH101" s="138">
        <f t="shared" ref="AH101" si="551">AF101/Z101</f>
        <v>43661.868392811004</v>
      </c>
      <c r="AI101" s="147">
        <f t="shared" ref="AI101" si="552">AH101*SQRT((AG101/AF101)^2+(AA101/Z101)^2)</f>
        <v>149.08810254168435</v>
      </c>
      <c r="AJ101" s="144">
        <f t="shared" si="524"/>
        <v>-0.41745993976827211</v>
      </c>
      <c r="AK101" s="147">
        <f t="shared" ref="AK101" si="553">V101*1000</f>
        <v>1.1709513541314098</v>
      </c>
      <c r="AL101" s="147">
        <f t="shared" ref="AL101" si="554">AF101/Q101</f>
        <v>0.99985040294866112</v>
      </c>
      <c r="AM101" s="147">
        <f t="shared" ref="AM101" si="555">AL101*SQRT((R101/Q101)^2+(AG101/AF101)^2)</f>
        <v>1.9945813298757756E-3</v>
      </c>
      <c r="AN101" s="138">
        <f>AF101/Q101</f>
        <v>0.99985040294866112</v>
      </c>
      <c r="AO101" s="142">
        <f t="shared" ref="AO101" si="556">AN101*SQRT((R101/Q101)^2+(AG101/AF101)^2)</f>
        <v>1.9945813298757756E-3</v>
      </c>
      <c r="AP101" s="138" t="str">
        <f t="shared" ref="AP101" si="557">ThU_Alter_Kombi(AN101,U101)</f>
        <v>Out of range</v>
      </c>
      <c r="AQ101" s="138" t="e">
        <f t="shared" si="530"/>
        <v>#VALUE!</v>
      </c>
      <c r="AR101" s="138" t="e">
        <f>(AQ101/AP101)*100</f>
        <v>#VALUE!</v>
      </c>
      <c r="AS101" s="146">
        <f t="shared" si="531"/>
        <v>2.2899853802712852E-5</v>
      </c>
      <c r="AT101" s="146">
        <f t="shared" si="532"/>
        <v>6.3504585228421786E-8</v>
      </c>
      <c r="AU101" s="138">
        <v>0.75</v>
      </c>
      <c r="AV101" s="138">
        <f t="shared" ref="AV101" si="558">AU101/2</f>
        <v>0.375</v>
      </c>
      <c r="AW101" s="138" t="str">
        <f t="shared" si="534"/>
        <v>Out of range</v>
      </c>
      <c r="AX101" s="148">
        <f t="shared" si="535"/>
        <v>355.11982093210003</v>
      </c>
      <c r="AY101" s="148" t="e">
        <f t="shared" si="536"/>
        <v>#VALUE!</v>
      </c>
      <c r="AZ101" s="149" t="e">
        <f t="shared" si="537"/>
        <v>#VALUE!</v>
      </c>
      <c r="BA101" s="138" t="str">
        <f>Input!B101</f>
        <v>Hu1-13</v>
      </c>
      <c r="BB101" s="150">
        <f>Input!E101</f>
        <v>0</v>
      </c>
      <c r="BC101" s="138" t="e">
        <f>((U101-1)*EXP(Constants!$B$17*AW101*1000))*1000</f>
        <v>#VALUE!</v>
      </c>
      <c r="BD101" s="144" t="e">
        <f>SQRT((EXP(Constants!$B$17*AW101*1000)*V101)^2+((U101-1)*Constants!$B$17*EXP(Constants!$B$17*AW101*1000)*AY101*1000)^2)*1000</f>
        <v>#VALUE!</v>
      </c>
      <c r="BE101" s="138" t="e">
        <f t="shared" si="538"/>
        <v>#VALUE!</v>
      </c>
      <c r="BF101" s="151" t="e">
        <f t="shared" si="539"/>
        <v>#VALUE!</v>
      </c>
      <c r="BG101" s="160" t="e">
        <f t="shared" si="540"/>
        <v>#VALUE!</v>
      </c>
      <c r="BH101" s="138"/>
      <c r="BI101" s="18"/>
      <c r="BJ101" s="18"/>
      <c r="BK101" s="18"/>
      <c r="BL101" s="18"/>
      <c r="BM101" s="18"/>
      <c r="BN101" s="159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</row>
    <row r="102" spans="1:110" ht="15" customHeight="1" x14ac:dyDescent="0.2">
      <c r="A102" s="18">
        <f>Input!A102</f>
        <v>10953</v>
      </c>
      <c r="B102" s="18" t="str">
        <f>Input!B102</f>
        <v>GeoB20960-1_641-643</v>
      </c>
      <c r="C102" s="18">
        <f>Input!O102</f>
        <v>2.52582391418952</v>
      </c>
      <c r="D102" s="18">
        <f>C102*Input!P102/100</f>
        <v>4.2667315279321834E-3</v>
      </c>
      <c r="E102" s="152">
        <f>Input!M102</f>
        <v>2.9833825800282177</v>
      </c>
      <c r="F102" s="153">
        <f>E102*Input!N102/100</f>
        <v>9.4222721773979594E-5</v>
      </c>
      <c r="G102" s="21">
        <f>E102*137.88</f>
        <v>411.34879013429065</v>
      </c>
      <c r="H102" s="153">
        <f>G102*Input!L102/100</f>
        <v>2.1146128911680745E-2</v>
      </c>
      <c r="I102" s="18">
        <v>0.3</v>
      </c>
      <c r="J102" s="129">
        <f>(((C102*Constants!$B$24*0.000000001*Input!G102*(Constants!$B$4/Constants!$B$3))-(I102*0.000000000000001))/Input!F102)*1000000000000</f>
        <v>250.27877348064692</v>
      </c>
      <c r="K102" s="18">
        <f>J102*Input!P102/100</f>
        <v>0.42278178125680216</v>
      </c>
      <c r="L102" s="134">
        <f>(J102/Constants!$B$4)*602200000000*Constants!$B$17/(365.2425*24*60)</f>
        <v>3.4553763561365858</v>
      </c>
      <c r="M102" s="132">
        <f>L102*Input!P102/100</f>
        <v>5.8369719111358333E-3</v>
      </c>
      <c r="N102" s="18">
        <v>5.0000000000000001E-3</v>
      </c>
      <c r="O102" s="129">
        <f>(((G102*Constants!$B$23*0.000000001*Input!G102*(Constants!$B$7/Constants!$B$6))-(N102*0.000000001))/Input!F102)*1000000</f>
        <v>4.1059397363873398</v>
      </c>
      <c r="P102" s="18">
        <f>O102*Input!N102/100</f>
        <v>1.2967589875740722E-4</v>
      </c>
      <c r="Q102" s="130">
        <f>(O102/Constants!$B$7)*602200000000000000*Constants!$B$18/(365.2425*24*60)</f>
        <v>3.0635268703309082</v>
      </c>
      <c r="R102" s="131">
        <f>Q102*Input!N102/100</f>
        <v>9.675387993569683E-5</v>
      </c>
      <c r="S102" s="132">
        <f>Input!S102*Constants!$B$17/Constants!$B$18</f>
        <v>1.1258336633801702</v>
      </c>
      <c r="T102" s="18">
        <f>S102*Input!T102/100</f>
        <v>4.091694145931373E-4</v>
      </c>
      <c r="U102" s="18">
        <f>S102*1/((U101+U103)/2)</f>
        <v>1.125793765451335</v>
      </c>
      <c r="V102" s="18">
        <f>U102*Input!T102/100</f>
        <v>4.0915491421646892E-4</v>
      </c>
      <c r="W102" s="133">
        <v>3.0000000000000001E-3</v>
      </c>
      <c r="X102" s="129">
        <f>IF((((Constants!$B$25*0.000000001*Input!G102/Input!W102*(Constants!$B$11/Constants!$B$9))-(W102*0.000000001))/Input!F102)*1000000000&lt;0, "n.d.", (((Constants!$B$25*0.000000001*Input!G102/Input!W102*(Constants!$B$11/Constants!$B$9))-(W102*0.000000001))/Input!F102)*1000000000)</f>
        <v>0.69157785918811643</v>
      </c>
      <c r="Y102" s="129">
        <f>X102*Input!X102/100</f>
        <v>1.127874866161665E-3</v>
      </c>
      <c r="Z102" s="129">
        <f>(X102/Constants!$B$11)*6.022E+23*0.000000001*Constants!$B$19/(365.2425*24*60)</f>
        <v>1.6883651326223554E-4</v>
      </c>
      <c r="AA102" s="129">
        <f>Z102*Input!X102/100</f>
        <v>2.7535071759295302E-7</v>
      </c>
      <c r="AB102" s="134">
        <v>0.05</v>
      </c>
      <c r="AC102" s="134">
        <v>0.9</v>
      </c>
      <c r="AD102" s="129">
        <f>(((Input!G102*Constants!$B$25*0.000000001*Input!U102*(Constants!$B$10/Constants!$B$9))-((AB102*0.000000000000001)+(Input!G102*AC102*0.000000000000001)))/Input!F102)*1000000000000</f>
        <v>21.649702801246328</v>
      </c>
      <c r="AE102" s="129">
        <f>AD102*Input!V102/100</f>
        <v>3.9652899571065922E-2</v>
      </c>
      <c r="AF102" s="129">
        <f>(AD102/Constants!$B$10)*602200000000*Constants!$B$16/(365.2425*24*60)</f>
        <v>0.9882151564179994</v>
      </c>
      <c r="AG102" s="129">
        <f>AF102*Input!V102/100</f>
        <v>1.8099831074721406E-3</v>
      </c>
      <c r="AH102" s="18">
        <f>AF102/Z102</f>
        <v>5853.0891056907303</v>
      </c>
      <c r="AI102" s="133">
        <f>AH102*SQRT((AG102/AF102)^2+(AA102/Z102)^2)</f>
        <v>14.354256571731602</v>
      </c>
      <c r="AJ102" s="132">
        <f t="shared" si="524"/>
        <v>125.79376545133502</v>
      </c>
      <c r="AK102" s="133">
        <f>V102*1000</f>
        <v>0.40915491421646893</v>
      </c>
      <c r="AL102" s="133">
        <f>AF102/Q102</f>
        <v>0.3225743393957099</v>
      </c>
      <c r="AM102" s="133">
        <f>AL102*SQRT((R102/Q102)^2+(AG102/AF102)^2)</f>
        <v>5.909046176468659E-4</v>
      </c>
      <c r="AN102" s="18">
        <f>AL102*1/((AN101+AN103)/2)</f>
        <v>0.32254989704451331</v>
      </c>
      <c r="AO102" s="129">
        <f>AN102*SQRT((R102/Q102)^2+(AG102/AF102)^2)</f>
        <v>5.9085984316723655E-4</v>
      </c>
      <c r="AP102" s="18">
        <f>ThU_Alter_Kombi(AN102,U102)</f>
        <v>36.5672</v>
      </c>
      <c r="AQ102" s="18">
        <f t="shared" si="530"/>
        <v>8.2699999999999996E-2</v>
      </c>
      <c r="AR102" s="154">
        <f>(AQ102/AP102)</f>
        <v>2.2615896212999629E-3</v>
      </c>
      <c r="AS102" s="131">
        <f t="shared" si="531"/>
        <v>5.5111810801254236E-5</v>
      </c>
      <c r="AT102" s="131">
        <f t="shared" si="532"/>
        <v>8.9897152967250715E-8</v>
      </c>
      <c r="AU102" s="18">
        <v>8</v>
      </c>
      <c r="AV102" s="18">
        <f>AU102/2</f>
        <v>4</v>
      </c>
      <c r="AW102" s="18">
        <f t="shared" si="534"/>
        <v>36.524999999999999</v>
      </c>
      <c r="AX102" s="135">
        <f t="shared" si="535"/>
        <v>8.6077811399999996E-2</v>
      </c>
      <c r="AY102" s="135">
        <f t="shared" si="536"/>
        <v>8.3537806690897512E-2</v>
      </c>
      <c r="AZ102" s="154">
        <f t="shared" si="537"/>
        <v>2.3566820369609856E-3</v>
      </c>
      <c r="BA102" s="18" t="str">
        <f>Input!B102</f>
        <v>GeoB20960-1_641-643</v>
      </c>
      <c r="BB102" s="136">
        <f>Input!E102</f>
        <v>642</v>
      </c>
      <c r="BC102" s="18">
        <f>((U102-1)*EXP(Constants!$B$17*AW102*1000))*1000</f>
        <v>139.4518702119629</v>
      </c>
      <c r="BD102" s="132">
        <f>SQRT((EXP(Constants!$B$17*AW102*1000)*V102)^2+((U102-1)*Constants!$B$17*EXP(Constants!$B$17*AW102*1000)*AY102*1000)^2)*1000</f>
        <v>0.45476891862823249</v>
      </c>
      <c r="BE102" s="18">
        <f t="shared" si="538"/>
        <v>36467</v>
      </c>
      <c r="BF102" s="137">
        <f t="shared" si="539"/>
        <v>41.768903345448756</v>
      </c>
      <c r="BG102" s="20">
        <f t="shared" si="540"/>
        <v>0.22871404980396309</v>
      </c>
      <c r="BH102" s="18"/>
      <c r="BI102" s="18"/>
      <c r="BJ102" s="18"/>
      <c r="BK102" s="18"/>
      <c r="BL102" s="18"/>
      <c r="BM102" s="18"/>
      <c r="BN102" s="159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</row>
    <row r="103" spans="1:110" ht="15" customHeight="1" x14ac:dyDescent="0.2">
      <c r="A103" s="138">
        <f>Input!A103</f>
        <v>10815</v>
      </c>
      <c r="B103" s="138" t="str">
        <f>Input!B103</f>
        <v>Hu1-13</v>
      </c>
      <c r="C103" s="138">
        <f>Input!O103</f>
        <v>2.082700152057062</v>
      </c>
      <c r="D103" s="138">
        <f>C103*Input!P103/100</f>
        <v>8.5209899490199109E-3</v>
      </c>
      <c r="E103" s="139">
        <f>Input!M103</f>
        <v>2.7318303828942248</v>
      </c>
      <c r="F103" s="140">
        <f>E103*Input!N103/100</f>
        <v>2.1676774196817357E-4</v>
      </c>
      <c r="G103" s="141">
        <f t="shared" ref="G103" si="559">E103*137.88</f>
        <v>376.66477319345569</v>
      </c>
      <c r="H103" s="140">
        <f>G103*Input!L103/100</f>
        <v>1.6185830773331533E-2</v>
      </c>
      <c r="I103" s="138">
        <v>0</v>
      </c>
      <c r="J103" s="142">
        <f>(((C103*Constants!$B$24*0.000000001*Input!G103*(Constants!$B$4/Constants!$B$3))-(I103*0.000000000000001))/Input!F103)*1000000000000</f>
        <v>751.93294505743029</v>
      </c>
      <c r="K103" s="138">
        <f>J103*Input!P103/100</f>
        <v>3.0763972724748516</v>
      </c>
      <c r="L103" s="143">
        <f>(J103/Constants!$B$4)*602200000000*Constants!$B$17/(365.2425*24*60)</f>
        <v>10.381269188825174</v>
      </c>
      <c r="M103" s="144">
        <f>L103*Input!P103/100</f>
        <v>4.2473080116059735E-2</v>
      </c>
      <c r="N103" s="138">
        <v>0</v>
      </c>
      <c r="O103" s="142">
        <f>(((G103*Constants!$B$23*0.000000001*Input!G103*(Constants!$B$7/Constants!$B$6))-(N103*0.000000001))/Input!F103)*1000000</f>
        <v>13.699000162565559</v>
      </c>
      <c r="P103" s="138">
        <f>O103*Input!N103/100</f>
        <v>1.0870006245830514E-3</v>
      </c>
      <c r="Q103" s="145">
        <f>(O103/Constants!$B$7)*602200000000000000*Constants!$B$18/(365.2425*24*60)</f>
        <v>10.221108391525604</v>
      </c>
      <c r="R103" s="146">
        <f>Q103*Input!N103/100</f>
        <v>8.1103373046742446E-4</v>
      </c>
      <c r="S103" s="144">
        <f>Input!S103*Constants!$B$17/Constants!$B$18</f>
        <v>1.0004883395805328</v>
      </c>
      <c r="T103" s="138">
        <f>S103*Input!T103/100</f>
        <v>7.8335982175228402E-4</v>
      </c>
      <c r="U103" s="144">
        <f>S103</f>
        <v>1.0004883395805328</v>
      </c>
      <c r="V103" s="138">
        <f>U103*Input!T103/100</f>
        <v>7.8335982175228402E-4</v>
      </c>
      <c r="W103" s="147">
        <v>0</v>
      </c>
      <c r="X103" s="142">
        <f>(((Constants!$B$25*0.000000001*Input!G103/Input!W103*(Constants!$B$11/Constants!$B$9))-(W103*0.000000001))/Input!F103)*1000000000</f>
        <v>0.95937361229761542</v>
      </c>
      <c r="Y103" s="142">
        <f>X103*Input!X103/100</f>
        <v>3.1524773961355322E-3</v>
      </c>
      <c r="Z103" s="142">
        <f>(X103/Constants!$B$11)*6.022E+23*0.000000001*Constants!$B$19/(365.2425*24*60)</f>
        <v>2.3421411409306798E-4</v>
      </c>
      <c r="AA103" s="142">
        <f>Z103*Input!X103/100</f>
        <v>7.6962164798968237E-7</v>
      </c>
      <c r="AB103" s="143">
        <v>0</v>
      </c>
      <c r="AC103" s="143">
        <v>0.9</v>
      </c>
      <c r="AD103" s="142">
        <f>(((Input!G103*Constants!$B$25*0.000000001*Input!U103*(Constants!$B$10/Constants!$B$9))-((AB103*0.000000000000001)+(Input!G103*AC103*0.000000000000001)))/Input!F103)*1000000000000</f>
        <v>223.99029007425426</v>
      </c>
      <c r="AE103" s="142">
        <f>AD103*Input!V103/100</f>
        <v>0.49093346599480792</v>
      </c>
      <c r="AF103" s="142">
        <f>(AD103/Constants!$B$10)*602200000000*Constants!$B$16/(365.2425*24*60)</f>
        <v>10.224186519969203</v>
      </c>
      <c r="AG103" s="142">
        <f>AF103*Input!V103/100</f>
        <v>2.240898622686685E-2</v>
      </c>
      <c r="AH103" s="138">
        <f t="shared" ref="AH103" si="560">AF103/Z103</f>
        <v>43653.161379960613</v>
      </c>
      <c r="AI103" s="147">
        <f t="shared" ref="AI103" si="561">AH103*SQRT((AG103/AF103)^2+(AA103/Z103)^2)</f>
        <v>172.42419317534217</v>
      </c>
      <c r="AJ103" s="144">
        <f t="shared" si="524"/>
        <v>0.48833958053284832</v>
      </c>
      <c r="AK103" s="147">
        <f t="shared" ref="AK103" si="562">V103*1000</f>
        <v>0.78335982175228402</v>
      </c>
      <c r="AL103" s="147">
        <f t="shared" ref="AL103" si="563">AF103/Q103</f>
        <v>1.0003011540750464</v>
      </c>
      <c r="AM103" s="147">
        <f t="shared" ref="AM103" si="564">AL103*SQRT((R103/Q103)^2+(AG103/AF103)^2)</f>
        <v>2.1938586311796176E-3</v>
      </c>
      <c r="AN103" s="138">
        <f>AF103/Q103</f>
        <v>1.0003011540750464</v>
      </c>
      <c r="AO103" s="142">
        <f t="shared" ref="AO103" si="565">AN103*SQRT((R103/Q103)^2+(AG103/AF103)^2)</f>
        <v>2.1938586311796176E-3</v>
      </c>
      <c r="AP103" s="138">
        <f t="shared" ref="AP103" si="566">ThU_Alter_Kombi(AN103,U103)</f>
        <v>852.88329999999996</v>
      </c>
      <c r="AQ103" s="138" t="e">
        <f t="shared" si="530"/>
        <v>#VALUE!</v>
      </c>
      <c r="AR103" s="138" t="e">
        <f>(AQ103/AP103)*100</f>
        <v>#VALUE!</v>
      </c>
      <c r="AS103" s="146">
        <f t="shared" si="531"/>
        <v>2.291474712148211E-5</v>
      </c>
      <c r="AT103" s="146">
        <f t="shared" si="532"/>
        <v>7.5319229026152061E-8</v>
      </c>
      <c r="AU103" s="138">
        <v>0.75</v>
      </c>
      <c r="AV103" s="138">
        <f t="shared" ref="AV103" si="567">AU103/2</f>
        <v>0.375</v>
      </c>
      <c r="AW103" s="138">
        <f t="shared" si="534"/>
        <v>852.88139999999999</v>
      </c>
      <c r="AX103" s="148">
        <f t="shared" si="535"/>
        <v>354.89626544980001</v>
      </c>
      <c r="AY103" s="148">
        <f t="shared" si="536"/>
        <v>660.74104361114189</v>
      </c>
      <c r="AZ103" s="149">
        <f t="shared" si="537"/>
        <v>0.4161144391820481</v>
      </c>
      <c r="BA103" s="138" t="str">
        <f>Input!B103</f>
        <v>Hu1-13</v>
      </c>
      <c r="BB103" s="150">
        <f>Input!E103</f>
        <v>0</v>
      </c>
      <c r="BC103" s="138">
        <f>((U103-1)*EXP(Constants!$B$17*AW103*1000))*1000</f>
        <v>5.4202298933709123</v>
      </c>
      <c r="BD103" s="144">
        <f>SQRT((EXP(Constants!$B$17*AW103*1000)*V103)^2+((U103-1)*Constants!$B$17*EXP(Constants!$B$17*AW103*1000)*AY103*1000)^2)*1000</f>
        <v>13.332172011201722</v>
      </c>
      <c r="BE103" s="138">
        <f t="shared" si="538"/>
        <v>852823.4</v>
      </c>
      <c r="BF103" s="151">
        <f t="shared" si="539"/>
        <v>330370.52180557093</v>
      </c>
      <c r="BG103" s="160">
        <f t="shared" si="540"/>
        <v>77.471620744823596</v>
      </c>
      <c r="BH103" s="138"/>
      <c r="BI103" s="18"/>
      <c r="BJ103" s="18"/>
      <c r="BK103" s="18"/>
      <c r="BL103" s="18"/>
      <c r="BM103" s="18"/>
      <c r="BN103" s="159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</row>
    <row r="104" spans="1:110" ht="15" customHeight="1" x14ac:dyDescent="0.2">
      <c r="A104" s="18">
        <f>Input!A104</f>
        <v>10954</v>
      </c>
      <c r="B104" s="18" t="str">
        <f>Input!B104</f>
        <v>GeoB20960-1_686</v>
      </c>
      <c r="C104" s="18">
        <f>Input!O104</f>
        <v>1.5817105213169589</v>
      </c>
      <c r="D104" s="18">
        <f>C104*Input!P104/100</f>
        <v>2.1033244559513936E-3</v>
      </c>
      <c r="E104" s="152">
        <f>Input!M104</f>
        <v>1.868949342417122</v>
      </c>
      <c r="F104" s="153">
        <f>E104*Input!N104/100</f>
        <v>7.048816430497969E-5</v>
      </c>
      <c r="G104" s="21">
        <f>E104*137.88</f>
        <v>257.69073533247274</v>
      </c>
      <c r="H104" s="153">
        <f>G104*Input!L104/100</f>
        <v>7.5653979292757568E-3</v>
      </c>
      <c r="I104" s="18">
        <v>0.3</v>
      </c>
      <c r="J104" s="129">
        <f>(((C104*Constants!$B$24*0.000000001*Input!G104*(Constants!$B$4/Constants!$B$3))-(I104*0.000000000000001))/Input!F104)*1000000000000</f>
        <v>181.16955392209366</v>
      </c>
      <c r="K104" s="18">
        <f>J104*Input!P104/100</f>
        <v>0.24091535606709416</v>
      </c>
      <c r="L104" s="134">
        <f>(J104/Constants!$B$4)*602200000000*Constants!$B$17/(365.2425*24*60)</f>
        <v>2.5012468471387224</v>
      </c>
      <c r="M104" s="132">
        <f>L104*Input!P104/100</f>
        <v>3.3261039824011851E-3</v>
      </c>
      <c r="N104" s="18">
        <v>5.0000000000000001E-3</v>
      </c>
      <c r="O104" s="129">
        <f>(((G104*Constants!$B$23*0.000000001*Input!G104*(Constants!$B$7/Constants!$B$6))-(N104*0.000000001))/Input!F104)*1000000</f>
        <v>2.9732974342291669</v>
      </c>
      <c r="P104" s="18">
        <f>O104*Input!N104/100</f>
        <v>1.1213908976284301E-4</v>
      </c>
      <c r="Q104" s="130">
        <f>(O104/Constants!$B$7)*602200000000000000*Constants!$B$18/(365.2425*24*60)</f>
        <v>2.2184389367734525</v>
      </c>
      <c r="R104" s="131">
        <f>Q104*Input!N104/100</f>
        <v>8.3669302707591132E-5</v>
      </c>
      <c r="S104" s="132">
        <f>Input!S104*Constants!$B$17/Constants!$B$18</f>
        <v>1.1253645664370044</v>
      </c>
      <c r="T104" s="18">
        <f>S104*Input!T104/100</f>
        <v>5.2893577403166083E-4</v>
      </c>
      <c r="U104" s="18">
        <f>S104*1/((U103+U105)/2)</f>
        <v>1.1250091418018737</v>
      </c>
      <c r="V104" s="18">
        <f>U104*Input!T104/100</f>
        <v>5.2876871989640572E-4</v>
      </c>
      <c r="W104" s="133">
        <v>3.0000000000000001E-3</v>
      </c>
      <c r="X104" s="129">
        <f>IF((((Constants!$B$25*0.000000001*Input!G104/Input!W104*(Constants!$B$11/Constants!$B$9))-(W104*0.000000001))/Input!F104)*1000000000&lt;0, "n.d.", (((Constants!$B$25*0.000000001*Input!G104/Input!W104*(Constants!$B$11/Constants!$B$9))-(W104*0.000000001))/Input!F104)*1000000000)</f>
        <v>2.3092682857567541</v>
      </c>
      <c r="Y104" s="129">
        <f>X104*Input!X104/100</f>
        <v>3.1017695006825708E-3</v>
      </c>
      <c r="Z104" s="129">
        <f>(X104/Constants!$B$11)*6.022E+23*0.000000001*Constants!$B$19/(365.2425*24*60)</f>
        <v>5.6376704426591023E-4</v>
      </c>
      <c r="AA104" s="129">
        <f>Z104*Input!X104/100</f>
        <v>7.5724221138771445E-7</v>
      </c>
      <c r="AB104" s="134">
        <v>0.05</v>
      </c>
      <c r="AC104" s="134">
        <v>0.9</v>
      </c>
      <c r="AD104" s="129">
        <f>(((Input!G104*Constants!$B$25*0.000000001*Input!U104*(Constants!$B$10/Constants!$B$9))-((AB104*0.000000000000001)+(Input!G104*AC104*0.000000000000001)))/Input!F104)*1000000000000</f>
        <v>15.702602353690908</v>
      </c>
      <c r="AE104" s="129">
        <f>AD104*Input!V104/100</f>
        <v>2.7418960935944398E-2</v>
      </c>
      <c r="AF104" s="129">
        <f>(AD104/Constants!$B$10)*602200000000*Constants!$B$16/(365.2425*24*60)</f>
        <v>0.71675578106453242</v>
      </c>
      <c r="AG104" s="129">
        <f>AF104*Input!V104/100</f>
        <v>1.2515568005198418E-3</v>
      </c>
      <c r="AH104" s="18">
        <f>AF104/Z104</f>
        <v>1271.3687122272838</v>
      </c>
      <c r="AI104" s="133">
        <f>AH104*SQRT((AG104/AF104)^2+(AA104/Z104)^2)</f>
        <v>2.8008080165962688</v>
      </c>
      <c r="AJ104" s="132">
        <f t="shared" si="524"/>
        <v>125.00914180187372</v>
      </c>
      <c r="AK104" s="133">
        <f>V104*1000</f>
        <v>0.52876871989640573</v>
      </c>
      <c r="AL104" s="133">
        <f>AF104/Q104</f>
        <v>0.32309015550682596</v>
      </c>
      <c r="AM104" s="133">
        <f>AL104*SQRT((R104/Q104)^2+(AG104/AF104)^2)</f>
        <v>5.642926156235055E-4</v>
      </c>
      <c r="AN104" s="18">
        <f>AL104*1/((AN103+AN105)/2)</f>
        <v>0.32317023704932035</v>
      </c>
      <c r="AO104" s="129">
        <f>AN104*SQRT((R104/Q104)^2+(AG104/AF104)^2)</f>
        <v>5.6443248191873953E-4</v>
      </c>
      <c r="AP104" s="18">
        <f>ThU_Alter_Kombi(AN104,U104)</f>
        <v>36.681800000000003</v>
      </c>
      <c r="AQ104" s="18">
        <f t="shared" si="530"/>
        <v>8.3299999999999999E-2</v>
      </c>
      <c r="AR104" s="154">
        <f>(AQ104/AP104)</f>
        <v>2.2708809273263579E-3</v>
      </c>
      <c r="AS104" s="131">
        <f t="shared" si="531"/>
        <v>2.541278170522312E-4</v>
      </c>
      <c r="AT104" s="131">
        <f t="shared" si="532"/>
        <v>3.4147465542519878E-7</v>
      </c>
      <c r="AU104" s="18">
        <v>8</v>
      </c>
      <c r="AV104" s="18">
        <f>AU104/2</f>
        <v>4</v>
      </c>
      <c r="AW104" s="18">
        <f t="shared" si="534"/>
        <v>36.486899999999999</v>
      </c>
      <c r="AX104" s="135">
        <f t="shared" si="535"/>
        <v>0.12685785190000001</v>
      </c>
      <c r="AY104" s="135">
        <f t="shared" si="536"/>
        <v>0.12539527056232322</v>
      </c>
      <c r="AZ104" s="154">
        <f t="shared" si="537"/>
        <v>3.4768054260570238E-3</v>
      </c>
      <c r="BA104" s="18" t="str">
        <f>Input!B104</f>
        <v>GeoB20960-1_686</v>
      </c>
      <c r="BB104" s="136">
        <f>Input!E104</f>
        <v>686</v>
      </c>
      <c r="BC104" s="18">
        <f>((U104-1)*EXP(Constants!$B$17*AW104*1000))*1000</f>
        <v>138.56715614965557</v>
      </c>
      <c r="BD104" s="132">
        <f>SQRT((EXP(Constants!$B$17*AW104*1000)*V104)^2+((U104-1)*Constants!$B$17*EXP(Constants!$B$17*AW104*1000)*AY104*1000)^2)*1000</f>
        <v>0.58816454777717597</v>
      </c>
      <c r="BE104" s="18">
        <f t="shared" si="538"/>
        <v>36428.9</v>
      </c>
      <c r="BF104" s="137">
        <f t="shared" si="539"/>
        <v>62.69763528116161</v>
      </c>
      <c r="BG104" s="20">
        <f t="shared" si="540"/>
        <v>0.34367203177667388</v>
      </c>
      <c r="BH104" s="18"/>
      <c r="BI104" s="18"/>
      <c r="BJ104" s="18"/>
      <c r="BK104" s="18"/>
      <c r="BL104" s="18"/>
      <c r="BM104" s="18"/>
      <c r="BN104" s="159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</row>
    <row r="105" spans="1:110" ht="15" customHeight="1" x14ac:dyDescent="0.2">
      <c r="A105" s="138">
        <f>Input!A105</f>
        <v>10815</v>
      </c>
      <c r="B105" s="138" t="str">
        <f>Input!B105</f>
        <v>Hu1-13</v>
      </c>
      <c r="C105" s="138">
        <f>Input!O105</f>
        <v>2.0827688397332254</v>
      </c>
      <c r="D105" s="138">
        <f>C105*Input!P105/100</f>
        <v>6.9976915235866587E-3</v>
      </c>
      <c r="E105" s="139">
        <f>Input!M105</f>
        <v>2.7317268908520789</v>
      </c>
      <c r="F105" s="140">
        <f>E105*Input!N105/100</f>
        <v>1.9858373385010596E-4</v>
      </c>
      <c r="G105" s="141">
        <f t="shared" ref="G105" si="568">E105*137.88</f>
        <v>376.65050371068463</v>
      </c>
      <c r="H105" s="140">
        <f>G105*Input!L105/100</f>
        <v>1.6597156754667705E-2</v>
      </c>
      <c r="I105" s="138">
        <v>0</v>
      </c>
      <c r="J105" s="142">
        <f>(((C105*Constants!$B$24*0.000000001*Input!G105*(Constants!$B$4/Constants!$B$3))-(I105*0.000000000000001))/Input!F105)*1000000000000</f>
        <v>751.95774388724544</v>
      </c>
      <c r="K105" s="138">
        <f>J105*Input!P105/100</f>
        <v>2.526429352173865</v>
      </c>
      <c r="L105" s="143">
        <f>(J105/Constants!$B$4)*602200000000*Constants!$B$17/(365.2425*24*60)</f>
        <v>10.381611564205283</v>
      </c>
      <c r="M105" s="144">
        <f>L105*Input!P105/100</f>
        <v>3.4880162338761365E-2</v>
      </c>
      <c r="N105" s="138">
        <v>0</v>
      </c>
      <c r="O105" s="142">
        <f>(((G105*Constants!$B$23*0.000000001*Input!G105*(Constants!$B$7/Constants!$B$6))-(N105*0.000000001))/Input!F105)*1000000</f>
        <v>13.698481192752844</v>
      </c>
      <c r="P105" s="138">
        <f>O105*Input!N105/100</f>
        <v>9.958153402677087E-4</v>
      </c>
      <c r="Q105" s="145">
        <f>(O105/Constants!$B$7)*602200000000000000*Constants!$B$18/(365.2425*24*60)</f>
        <v>10.220721177375321</v>
      </c>
      <c r="R105" s="146">
        <f>Q105*Input!N105/100</f>
        <v>7.4299849697308099E-4</v>
      </c>
      <c r="S105" s="144">
        <f>Input!S105*Constants!$B$17/Constants!$B$18</f>
        <v>1.0001435213029468</v>
      </c>
      <c r="T105" s="138">
        <f>S105*Input!T105/100</f>
        <v>1.1269604167295168E-3</v>
      </c>
      <c r="U105" s="144">
        <f>S105</f>
        <v>1.0001435213029468</v>
      </c>
      <c r="V105" s="138">
        <f>U105*Input!T105/100</f>
        <v>1.1269604167295168E-3</v>
      </c>
      <c r="W105" s="147">
        <v>0</v>
      </c>
      <c r="X105" s="142">
        <f>(((Constants!$B$25*0.000000001*Input!G105/Input!W105*(Constants!$B$11/Constants!$B$9))-(W105*0.000000001))/Input!F105)*1000000000</f>
        <v>0.95990392210006847</v>
      </c>
      <c r="Y105" s="142">
        <f>X105*Input!X105/100</f>
        <v>2.5646006309878516E-3</v>
      </c>
      <c r="Z105" s="142">
        <f>(X105/Constants!$B$11)*6.022E+23*0.000000001*Constants!$B$19/(365.2425*24*60)</f>
        <v>2.3434357986008953E-4</v>
      </c>
      <c r="AA105" s="142">
        <f>Z105*Input!X105/100</f>
        <v>6.2610192430746684E-7</v>
      </c>
      <c r="AB105" s="143">
        <v>0</v>
      </c>
      <c r="AC105" s="143">
        <v>0.9</v>
      </c>
      <c r="AD105" s="142">
        <f>(((Input!G105*Constants!$B$25*0.000000001*Input!U105*(Constants!$B$10/Constants!$B$9))-((AB105*0.000000000000001)+(Input!G105*AC105*0.000000000000001)))/Input!F105)*1000000000000</f>
        <v>223.73596712182078</v>
      </c>
      <c r="AE105" s="142">
        <f>AD105*Input!V105/100</f>
        <v>0.50280174894501295</v>
      </c>
      <c r="AF105" s="142">
        <f>(AD105/Constants!$B$10)*602200000000*Constants!$B$16/(365.2425*24*60)</f>
        <v>10.212577778799544</v>
      </c>
      <c r="AG105" s="142">
        <f>AF105*Input!V105/100</f>
        <v>2.2950721935653336E-2</v>
      </c>
      <c r="AH105" s="138">
        <f t="shared" ref="AH105" si="569">AF105/Z105</f>
        <v>43579.507426219112</v>
      </c>
      <c r="AI105" s="147">
        <f t="shared" ref="AI105" si="570">AH105*SQRT((AG105/AF105)^2+(AA105/Z105)^2)</f>
        <v>152.1447756554837</v>
      </c>
      <c r="AJ105" s="144">
        <f t="shared" si="524"/>
        <v>0.14352130294681409</v>
      </c>
      <c r="AK105" s="147">
        <f t="shared" ref="AK105" si="571">V105*1000</f>
        <v>1.1269604167295169</v>
      </c>
      <c r="AL105" s="147">
        <f t="shared" ref="AL105" si="572">AF105/Q105</f>
        <v>0.99920324618640377</v>
      </c>
      <c r="AM105" s="147">
        <f t="shared" ref="AM105" si="573">AL105*SQRT((R105/Q105)^2+(AG105/AF105)^2)</f>
        <v>2.246683577885546E-3</v>
      </c>
      <c r="AN105" s="138">
        <f>AF105/Q105</f>
        <v>0.99920324618640377</v>
      </c>
      <c r="AO105" s="142">
        <f t="shared" ref="AO105" si="574">AN105*SQRT((R105/Q105)^2+(AG105/AF105)^2)</f>
        <v>2.246683577885546E-3</v>
      </c>
      <c r="AP105" s="138">
        <f t="shared" ref="AP105" si="575">ThU_Alter_Kombi(AN105,U105)</f>
        <v>753.005</v>
      </c>
      <c r="AQ105" s="138" t="e">
        <f t="shared" si="530"/>
        <v>#VALUE!</v>
      </c>
      <c r="AR105" s="138" t="e">
        <f>(AQ105/AP105)*100</f>
        <v>#VALUE!</v>
      </c>
      <c r="AS105" s="146">
        <f t="shared" si="531"/>
        <v>2.2928282240869122E-5</v>
      </c>
      <c r="AT105" s="146">
        <f t="shared" si="532"/>
        <v>6.1280768101939975E-8</v>
      </c>
      <c r="AU105" s="138">
        <v>0.75</v>
      </c>
      <c r="AV105" s="138">
        <f t="shared" ref="AV105" si="576">AU105/2</f>
        <v>0.375</v>
      </c>
      <c r="AW105" s="138">
        <f t="shared" si="534"/>
        <v>753.00319999999999</v>
      </c>
      <c r="AX105" s="148">
        <f t="shared" si="535"/>
        <v>339.17704781240002</v>
      </c>
      <c r="AY105" s="148">
        <f t="shared" si="536"/>
        <v>298.26266124634009</v>
      </c>
      <c r="AZ105" s="149">
        <f t="shared" si="537"/>
        <v>0.45043241225588421</v>
      </c>
      <c r="BA105" s="138" t="str">
        <f>Input!B105</f>
        <v>Hu1-13</v>
      </c>
      <c r="BB105" s="150">
        <f>Input!E105</f>
        <v>0</v>
      </c>
      <c r="BC105" s="138">
        <f>((U105-1)*EXP(Constants!$B$17*AW105*1000))*1000</f>
        <v>1.201713444030821</v>
      </c>
      <c r="BD105" s="144">
        <f>SQRT((EXP(Constants!$B$17*AW105*1000)*V105)^2+((U105-1)*Constants!$B$17*EXP(Constants!$B$17*AW105*1000)*AY105*1000)^2)*1000</f>
        <v>9.4901735810910672</v>
      </c>
      <c r="BE105" s="138">
        <f t="shared" si="538"/>
        <v>752945.2</v>
      </c>
      <c r="BF105" s="151">
        <f t="shared" si="539"/>
        <v>149131.33062317004</v>
      </c>
      <c r="BG105" s="160">
        <f t="shared" si="540"/>
        <v>39.609746843883272</v>
      </c>
      <c r="BH105" s="138"/>
      <c r="BI105" s="18"/>
      <c r="BJ105" s="18"/>
      <c r="BK105" s="18"/>
      <c r="BL105" s="18"/>
      <c r="BM105" s="18"/>
      <c r="BN105" s="159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</row>
    <row r="107" spans="1:110" ht="15" customHeight="1" x14ac:dyDescent="0.2">
      <c r="A107" s="138">
        <f>Input!A107</f>
        <v>10815</v>
      </c>
      <c r="B107" s="138" t="str">
        <f>Input!B107</f>
        <v>Hu1-13</v>
      </c>
      <c r="C107" s="138">
        <f>Input!O107</f>
        <v>2.0768049069547092</v>
      </c>
      <c r="D107" s="138">
        <f>C107*Input!P107/100</f>
        <v>1.090307563340006E-2</v>
      </c>
      <c r="E107" s="139">
        <f>Input!M107</f>
        <v>2.7323465068130224</v>
      </c>
      <c r="F107" s="140">
        <f>E107*Input!N107/100</f>
        <v>1.9349021246876247E-4</v>
      </c>
      <c r="G107" s="141">
        <f t="shared" ref="G107" si="577">E107*137.88</f>
        <v>376.73593635937954</v>
      </c>
      <c r="H107" s="140">
        <f>G107*Input!L107/100</f>
        <v>2.2236744936114633E-2</v>
      </c>
      <c r="I107" s="138">
        <v>0</v>
      </c>
      <c r="J107" s="142">
        <f>(((C107*Constants!$B$24*0.000000001*Input!G107*(Constants!$B$4/Constants!$B$3))-(I107*0.000000000000001))/Input!F107)*1000000000000</f>
        <v>749.80454025212555</v>
      </c>
      <c r="K107" s="138">
        <f>J107*Input!P107/100</f>
        <v>3.9364196344389546</v>
      </c>
      <c r="L107" s="143">
        <f>(J107/Constants!$B$4)*602200000000*Constants!$B$17/(365.2425*24*60)</f>
        <v>10.3518841972885</v>
      </c>
      <c r="M107" s="144">
        <f>L107*Input!P107/100</f>
        <v>5.4346643718565124E-2</v>
      </c>
      <c r="N107" s="138">
        <v>0</v>
      </c>
      <c r="O107" s="142">
        <f>(((G107*Constants!$B$23*0.000000001*Input!G107*(Constants!$B$7/Constants!$B$6))-(N107*0.000000001))/Input!F107)*1000000</f>
        <v>13.701588310677458</v>
      </c>
      <c r="P107" s="138">
        <f>O107*Input!N107/100</f>
        <v>9.7027343595770105E-4</v>
      </c>
      <c r="Q107" s="145">
        <f>(O107/Constants!$B$7)*602200000000000000*Constants!$B$18/(365.2425*24*60)</f>
        <v>10.223039462557878</v>
      </c>
      <c r="R107" s="146">
        <f>Q107*Input!N107/100</f>
        <v>7.2394115195662033E-4</v>
      </c>
      <c r="S107" s="144">
        <f>Input!S107*Constants!$B$17/Constants!$B$18</f>
        <v>0.99971021527255532</v>
      </c>
      <c r="T107" s="138">
        <f>S107*Input!T107/100</f>
        <v>9.6039751485799379E-4</v>
      </c>
      <c r="U107" s="144">
        <f>S107</f>
        <v>0.99971021527255532</v>
      </c>
      <c r="V107" s="138">
        <f>U107*Input!T107/100</f>
        <v>9.6039751485799379E-4</v>
      </c>
      <c r="W107" s="147">
        <v>0</v>
      </c>
      <c r="X107" s="142">
        <f>(((Constants!$B$25*0.000000001*Input!G107/Input!W107*(Constants!$B$11/Constants!$B$9))-(W107*0.000000001))/Input!F107)*1000000000</f>
        <v>0.95888657103633468</v>
      </c>
      <c r="Y107" s="142">
        <f>X107*Input!X107/100</f>
        <v>2.6066547053543733E-3</v>
      </c>
      <c r="Z107" s="142">
        <f>(X107/Constants!$B$11)*6.022E+23*0.000000001*Constants!$B$19/(365.2425*24*60)</f>
        <v>2.3409521157576342E-4</v>
      </c>
      <c r="AA107" s="142">
        <f>Z107*Input!X107/100</f>
        <v>6.3636868341518248E-7</v>
      </c>
      <c r="AB107" s="143">
        <v>0</v>
      </c>
      <c r="AC107" s="143">
        <v>0.9</v>
      </c>
      <c r="AD107" s="142">
        <f>(((Input!G107*Constants!$B$25*0.000000001*Input!U107*(Constants!$B$10/Constants!$B$9))-((AB107*0.000000000000001)+(Input!G107*AC107*0.000000000000001)))/Input!F107)*1000000000000</f>
        <v>223.57549645581702</v>
      </c>
      <c r="AE107" s="142">
        <f>AD107*Input!V107/100</f>
        <v>0.53724166675175167</v>
      </c>
      <c r="AF107" s="142">
        <f>(AD107/Constants!$B$10)*602200000000*Constants!$B$16/(365.2425*24*60)</f>
        <v>10.205252987980879</v>
      </c>
      <c r="AG107" s="142">
        <f>AF107*Input!V107/100</f>
        <v>2.4522755005800149E-2</v>
      </c>
      <c r="AH107" s="138">
        <f t="shared" ref="AH107" si="578">AF107/Z107</f>
        <v>43594.454236318343</v>
      </c>
      <c r="AI107" s="147">
        <f t="shared" ref="AI107" si="579">AH107*SQRT((AG107/AF107)^2+(AA107/Z107)^2)</f>
        <v>158.17030545086618</v>
      </c>
      <c r="AJ107" s="144">
        <f t="shared" ref="AJ107:AJ115" si="580">(U107-1)*1000</f>
        <v>-0.28978472744467521</v>
      </c>
      <c r="AK107" s="147">
        <f t="shared" ref="AK107" si="581">V107*1000</f>
        <v>0.96039751485799374</v>
      </c>
      <c r="AL107" s="147">
        <f t="shared" ref="AL107" si="582">AF107/Q107</f>
        <v>0.99826015788727585</v>
      </c>
      <c r="AM107" s="147">
        <f t="shared" ref="AM107" si="583">AL107*SQRT((R107/Q107)^2+(AG107/AF107)^2)</f>
        <v>2.3998147947568078E-3</v>
      </c>
      <c r="AN107" s="138">
        <f>AF107/Q107</f>
        <v>0.99826015788727585</v>
      </c>
      <c r="AO107" s="142">
        <f t="shared" ref="AO107" si="584">AN107*SQRT((R107/Q107)^2+(AG107/AF107)^2)</f>
        <v>2.3998147947568078E-3</v>
      </c>
      <c r="AP107" s="138">
        <f t="shared" ref="AP107" si="585">ThU_Alter_Kombi(AN107,U107)</f>
        <v>722.53030000000001</v>
      </c>
      <c r="AQ107" s="138" t="e">
        <f t="shared" ref="AQ107:AQ115" si="586">Montealter(AN107,AO107,U107,V107)</f>
        <v>#VALUE!</v>
      </c>
      <c r="AR107" s="138" t="e">
        <f>(AQ107/AP107)*100</f>
        <v>#VALUE!</v>
      </c>
      <c r="AS107" s="146">
        <f t="shared" ref="AS107:AS115" si="587">Z107/Q107</f>
        <v>2.2898787824613475E-5</v>
      </c>
      <c r="AT107" s="146">
        <f t="shared" ref="AT107:AT115" si="588">AS107*SQRT((Y107/X107)^2+(P107/O107)^2)</f>
        <v>6.2269598885246493E-8</v>
      </c>
      <c r="AU107" s="138">
        <v>0.75</v>
      </c>
      <c r="AV107" s="138">
        <f t="shared" ref="AV107" si="589">AU107/2</f>
        <v>0.375</v>
      </c>
      <c r="AW107" s="138">
        <f t="shared" ref="AW107:AW115" si="590">marincorr_age(AN107,U107,AS107,AU107)</f>
        <v>722.52850000000001</v>
      </c>
      <c r="AX107" s="148">
        <f t="shared" ref="AX107:AX115" si="591">marincorr_age_error(AN107, AO107, U107, V107, AS107, AT107, AU107, AV107)</f>
        <v>318.3741105268</v>
      </c>
      <c r="AY107" s="148">
        <f t="shared" ref="AY107:AY115" si="592">SQRT(((AU107*EXP(-0.0000091577*AW107*1000))/(0.0000091577*(EXP(-0.0000091577*AW107*1000)+(AJ107/1000)*EXP(-(0.0000091577-0.0000028263)*AW107*1000)-AS107*AU107*EXP(-0.0000091577*AW107*1000))))^2*AT107^2+((AS107*EXP(-0.0000091577*AW107*1000))/(0.0000091577*(EXP(-0.0000091577*AW107*1000)+(AJ107/1000)*EXP(-(0.0000091577-0.0000028263)*AW107*1000)-AS107*AU107*EXP(-0.0000091577*AW107*1000))))^2*AV107^2+((0.0000091577/(0.0000091577-0.0000028263))*(EXP(-(0.0000091577-0.0000028263)*AW107*1000)-1)/(0.0000091577*(EXP(-0.0000091577*AW107*1000)+(AJ107/1000)*EXP(-(0.0000091577-0.0000028263)*AW107*1000)-AS107*AU107*EXP(-0.0000091577*AW107*1000))))^2*T107^2+(1/(0.0000091577*(EXP(-0.0000091577*AW107*1000)+(AJ107/1000)*EXP(-(0.0000091577-0.0000028263)*AW107*1000)-AS107*AU107*EXP(-0.0000091577*AW107*1000))))^2*AO107^2)/1000</f>
        <v>226.25331139611083</v>
      </c>
      <c r="AZ107" s="149">
        <f t="shared" ref="AZ107:AZ115" si="593">AX107/AW107</f>
        <v>0.44063882674081367</v>
      </c>
      <c r="BA107" s="138" t="str">
        <f>Input!B107</f>
        <v>Hu1-13</v>
      </c>
      <c r="BB107" s="150">
        <f>Input!E107</f>
        <v>0</v>
      </c>
      <c r="BC107" s="138">
        <f>((U107-1)*EXP(Constants!$B$17*AW107*1000))*1000</f>
        <v>-2.2264353926212914</v>
      </c>
      <c r="BD107" s="144">
        <f>SQRT((EXP(Constants!$B$17*AW107*1000)*V107)^2+((U107-1)*Constants!$B$17*EXP(Constants!$B$17*AW107*1000)*AY107*1000)^2)*1000</f>
        <v>7.5144894714540715</v>
      </c>
      <c r="BE107" s="138">
        <f t="shared" ref="BE107:BE115" si="594">AW107*1000-58</f>
        <v>722470.5</v>
      </c>
      <c r="BF107" s="151">
        <f t="shared" ref="BF107:BF115" si="595">AY107/2*1000</f>
        <v>113126.65569805542</v>
      </c>
      <c r="BG107" s="160">
        <f t="shared" ref="BG107:BG115" si="596">AY107/AW107*100</f>
        <v>31.314101989902245</v>
      </c>
      <c r="BH107" s="138"/>
      <c r="BI107" s="18"/>
      <c r="BJ107" s="18"/>
      <c r="BK107" s="18"/>
      <c r="BL107" s="18"/>
      <c r="BM107" s="18"/>
      <c r="BN107" s="159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</row>
    <row r="108" spans="1:110" ht="15" customHeight="1" x14ac:dyDescent="0.2">
      <c r="A108" s="18">
        <f>Input!A108</f>
        <v>10955</v>
      </c>
      <c r="B108" s="18" t="str">
        <f>Input!B108</f>
        <v>GeoB20960-1_901</v>
      </c>
      <c r="C108" s="18">
        <f>Input!O108</f>
        <v>1.7960110700691283</v>
      </c>
      <c r="D108" s="18">
        <f>C108*Input!P108/100</f>
        <v>2.4688962146051014E-3</v>
      </c>
      <c r="E108" s="152">
        <f>Input!M108</f>
        <v>2.1311017502948233</v>
      </c>
      <c r="F108" s="153">
        <f>E108*Input!N108/100</f>
        <v>8.616038916200247E-5</v>
      </c>
      <c r="G108" s="21">
        <f>E108*137.88</f>
        <v>293.83630933065024</v>
      </c>
      <c r="H108" s="153">
        <f>G108*Input!L108/100</f>
        <v>2.2120651452169932E-2</v>
      </c>
      <c r="I108" s="18">
        <v>0.3</v>
      </c>
      <c r="J108" s="129">
        <f>(((C108*Constants!$B$24*0.000000001*Input!G108*(Constants!$B$4/Constants!$B$3))-(I108*0.000000000000001))/Input!F108)*1000000000000</f>
        <v>220.67547157478532</v>
      </c>
      <c r="K108" s="18">
        <f>J108*Input!P108/100</f>
        <v>0.30335271619802034</v>
      </c>
      <c r="L108" s="134">
        <f>(J108/Constants!$B$4)*602200000000*Constants!$B$17/(365.2425*24*60)</f>
        <v>3.0466699043407566</v>
      </c>
      <c r="M108" s="132">
        <f>L108*Input!P108/100</f>
        <v>4.1881210641361265E-3</v>
      </c>
      <c r="N108" s="18">
        <v>5.0000000000000001E-3</v>
      </c>
      <c r="O108" s="129">
        <f>(((G108*Constants!$B$23*0.000000001*Input!G108*(Constants!$B$7/Constants!$B$6))-(N108*0.000000001))/Input!F108)*1000000</f>
        <v>3.6369046251220261</v>
      </c>
      <c r="P108" s="18">
        <f>O108*Input!N108/100</f>
        <v>1.4703996081005973E-4</v>
      </c>
      <c r="Q108" s="130">
        <f>(O108/Constants!$B$7)*602200000000000000*Constants!$B$18/(365.2425*24*60)</f>
        <v>2.7135700373662308</v>
      </c>
      <c r="R108" s="131">
        <f>Q108*Input!N108/100</f>
        <v>1.0970956708448064E-4</v>
      </c>
      <c r="S108" s="132">
        <f>Input!S108*Constants!$B$17/Constants!$B$18</f>
        <v>1.1208007686714576</v>
      </c>
      <c r="T108" s="18">
        <f>S108*Input!T108/100</f>
        <v>5.3368974350210684E-4</v>
      </c>
      <c r="U108" s="18">
        <f>S108*1/((U107+U109)/2)</f>
        <v>1.1208822841763455</v>
      </c>
      <c r="V108" s="18">
        <f>U108*Input!T108/100</f>
        <v>5.3372855859762694E-4</v>
      </c>
      <c r="W108" s="133">
        <v>3.0000000000000001E-3</v>
      </c>
      <c r="X108" s="129">
        <f>IF((((Constants!$B$25*0.000000001*Input!G108/Input!W108*(Constants!$B$11/Constants!$B$9))-(W108*0.000000001))/Input!F108)*1000000000&lt;0, "n.d.", (((Constants!$B$25*0.000000001*Input!G108/Input!W108*(Constants!$B$11/Constants!$B$9))-(W108*0.000000001))/Input!F108)*1000000000)</f>
        <v>3.6298484844665992</v>
      </c>
      <c r="Y108" s="129">
        <f>X108*Input!X108/100</f>
        <v>3.5463199995405203E-3</v>
      </c>
      <c r="Z108" s="129">
        <f>(X108/Constants!$B$11)*6.022E+23*0.000000001*Constants!$B$19/(365.2425*24*60)</f>
        <v>8.8616336345268779E-4</v>
      </c>
      <c r="AA108" s="129">
        <f>Z108*Input!X108/100</f>
        <v>8.6577135991233126E-7</v>
      </c>
      <c r="AB108" s="134">
        <v>0.05</v>
      </c>
      <c r="AC108" s="134">
        <v>0.9</v>
      </c>
      <c r="AD108" s="129">
        <f>(((Input!G108*Constants!$B$25*0.000000001*Input!U108*(Constants!$B$10/Constants!$B$9))-((AB108*0.000000000000001)+(Input!G108*AC108*0.000000000000001)))/Input!F108)*1000000000000</f>
        <v>25.394321802860929</v>
      </c>
      <c r="AE108" s="129">
        <f>AD108*Input!V108/100</f>
        <v>3.0569218124814404E-2</v>
      </c>
      <c r="AF108" s="129">
        <f>(AD108/Constants!$B$10)*602200000000*Constants!$B$16/(365.2425*24*60)</f>
        <v>1.1591407938911085</v>
      </c>
      <c r="AG108" s="129">
        <f>AF108*Input!V108/100</f>
        <v>1.3953523957405242E-3</v>
      </c>
      <c r="AH108" s="18">
        <f>AF108/Z108</f>
        <v>1308.0441391470308</v>
      </c>
      <c r="AI108" s="133">
        <f>AH108*SQRT((AG108/AF108)^2+(AA108/Z108)^2)</f>
        <v>2.0279310826462194</v>
      </c>
      <c r="AJ108" s="132">
        <f t="shared" si="580"/>
        <v>120.88228417634551</v>
      </c>
      <c r="AK108" s="133">
        <f>V108*1000</f>
        <v>0.53372855859762691</v>
      </c>
      <c r="AL108" s="133">
        <f>AF108/Q108</f>
        <v>0.42716450208750134</v>
      </c>
      <c r="AM108" s="133">
        <f>AL108*SQRT((R108/Q108)^2+(AG108/AF108)^2)</f>
        <v>5.1450271702061954E-4</v>
      </c>
      <c r="AN108" s="18">
        <f>AL108*1/((AN107+AN109)/2)</f>
        <v>0.4279218070660738</v>
      </c>
      <c r="AO108" s="129">
        <f>AN108*SQRT((R108/Q108)^2+(AG108/AF108)^2)</f>
        <v>5.1541486086025196E-4</v>
      </c>
      <c r="AP108" s="18">
        <f>ThU_Alter_Kombi(AN108,U108)</f>
        <v>51.930900000000001</v>
      </c>
      <c r="AQ108" s="18">
        <f t="shared" si="586"/>
        <v>9.2200000000000004E-2</v>
      </c>
      <c r="AR108" s="154">
        <f>(AQ108/AP108)</f>
        <v>1.7754362046488699E-3</v>
      </c>
      <c r="AS108" s="131">
        <f t="shared" si="587"/>
        <v>3.2656734532372371E-4</v>
      </c>
      <c r="AT108" s="131">
        <f t="shared" si="588"/>
        <v>3.1932559077000407E-7</v>
      </c>
      <c r="AU108" s="18">
        <v>8</v>
      </c>
      <c r="AV108" s="18">
        <f>AU108/2</f>
        <v>4</v>
      </c>
      <c r="AW108" s="18">
        <f t="shared" si="590"/>
        <v>51.680700000000002</v>
      </c>
      <c r="AX108" s="135">
        <f t="shared" si="591"/>
        <v>0.15960230659999999</v>
      </c>
      <c r="AY108" s="135">
        <f t="shared" si="592"/>
        <v>0.15213269643831703</v>
      </c>
      <c r="AZ108" s="154">
        <f t="shared" si="593"/>
        <v>3.088238096620208E-3</v>
      </c>
      <c r="BA108" s="18" t="str">
        <f>Input!B108</f>
        <v>GeoB20960-1_901</v>
      </c>
      <c r="BB108" s="136">
        <f>Input!E108</f>
        <v>901</v>
      </c>
      <c r="BC108" s="18">
        <f>((U108-1)*EXP(Constants!$B$17*AW108*1000))*1000</f>
        <v>139.86298296347815</v>
      </c>
      <c r="BD108" s="132">
        <f>SQRT((EXP(Constants!$B$17*AW108*1000)*V108)^2+((U108-1)*Constants!$B$17*EXP(Constants!$B$17*AW108*1000)*AY108*1000)^2)*1000</f>
        <v>0.62044609344299129</v>
      </c>
      <c r="BE108" s="18">
        <f t="shared" si="594"/>
        <v>51622.700000000004</v>
      </c>
      <c r="BF108" s="137">
        <f t="shared" si="595"/>
        <v>76.066348219158513</v>
      </c>
      <c r="BG108" s="20">
        <f t="shared" si="596"/>
        <v>0.29437042539732827</v>
      </c>
      <c r="BH108" s="18"/>
      <c r="BI108" s="18"/>
      <c r="BJ108" s="18"/>
      <c r="BK108" s="18"/>
      <c r="BL108" s="18"/>
      <c r="BM108" s="18"/>
      <c r="BN108" s="159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</row>
    <row r="109" spans="1:110" ht="15" customHeight="1" x14ac:dyDescent="0.2">
      <c r="A109" s="138">
        <f>Input!A109</f>
        <v>10815</v>
      </c>
      <c r="B109" s="138" t="str">
        <f>Input!B109</f>
        <v>Hu1-13</v>
      </c>
      <c r="C109" s="138">
        <f>Input!O109</f>
        <v>2.081487170756799</v>
      </c>
      <c r="D109" s="138">
        <f>C109*Input!P109/100</f>
        <v>1.0013041622701677E-2</v>
      </c>
      <c r="E109" s="139">
        <f>Input!M109</f>
        <v>2.7321888217398125</v>
      </c>
      <c r="F109" s="140">
        <f>E109*Input!N109/100</f>
        <v>1.7308195293082396E-4</v>
      </c>
      <c r="G109" s="141">
        <f t="shared" ref="G109" si="597">E109*137.88</f>
        <v>376.71419474148536</v>
      </c>
      <c r="H109" s="140">
        <f>G109*Input!L109/100</f>
        <v>2.0987895050134257E-2</v>
      </c>
      <c r="I109" s="138">
        <v>0</v>
      </c>
      <c r="J109" s="142">
        <f>(((C109*Constants!$B$24*0.000000001*Input!G109*(Constants!$B$4/Constants!$B$3))-(I109*0.000000000000001))/Input!F109)*1000000000000</f>
        <v>751.49501326945517</v>
      </c>
      <c r="K109" s="138">
        <f>J109*Input!P109/100</f>
        <v>3.6150839423064576</v>
      </c>
      <c r="L109" s="143">
        <f>(J109/Constants!$B$4)*602200000000*Constants!$B$17/(365.2425*24*60)</f>
        <v>10.375223054250014</v>
      </c>
      <c r="M109" s="144">
        <f>L109*Input!P109/100</f>
        <v>4.991024770488852E-2</v>
      </c>
      <c r="N109" s="138">
        <v>0</v>
      </c>
      <c r="O109" s="142">
        <f>(((G109*Constants!$B$23*0.000000001*Input!G109*(Constants!$B$7/Constants!$B$6))-(N109*0.000000001))/Input!F109)*1000000</f>
        <v>13.700797585214756</v>
      </c>
      <c r="P109" s="138">
        <f>O109*Input!N109/100</f>
        <v>8.6793445017055741E-4</v>
      </c>
      <c r="Q109" s="145">
        <f>(O109/Constants!$B$7)*602200000000000000*Constants!$B$18/(365.2425*24*60)</f>
        <v>10.222449485875908</v>
      </c>
      <c r="R109" s="146">
        <f>Q109*Input!N109/100</f>
        <v>6.475839102604282E-4</v>
      </c>
      <c r="S109" s="144">
        <f>Input!S109*Constants!$B$17/Constants!$B$18</f>
        <v>1.0001443359037125</v>
      </c>
      <c r="T109" s="138">
        <f>S109*Input!T109/100</f>
        <v>9.582619778920839E-4</v>
      </c>
      <c r="U109" s="144">
        <f>S109</f>
        <v>1.0001443359037125</v>
      </c>
      <c r="V109" s="138">
        <f>U109*Input!T109/100</f>
        <v>9.582619778920839E-4</v>
      </c>
      <c r="W109" s="147">
        <v>0</v>
      </c>
      <c r="X109" s="142">
        <f>(((Constants!$B$25*0.000000001*Input!G109/Input!W109*(Constants!$B$11/Constants!$B$9))-(W109*0.000000001))/Input!F109)*1000000000</f>
        <v>0.95425959137500749</v>
      </c>
      <c r="Y109" s="142">
        <f>X109*Input!X109/100</f>
        <v>3.4101545067279633E-3</v>
      </c>
      <c r="Z109" s="142">
        <f>(X109/Constants!$B$11)*6.022E+23*0.000000001*Constants!$B$19/(365.2425*24*60)</f>
        <v>2.329656162560538E-4</v>
      </c>
      <c r="AA109" s="142">
        <f>Z109*Input!X109/100</f>
        <v>8.3252896105922856E-7</v>
      </c>
      <c r="AB109" s="143">
        <v>0</v>
      </c>
      <c r="AC109" s="143">
        <v>0.9</v>
      </c>
      <c r="AD109" s="142">
        <f>(((Input!G109*Constants!$B$25*0.000000001*Input!U109*(Constants!$B$10/Constants!$B$9))-((AB109*0.000000000000001)+(Input!G109*AC109*0.000000000000001)))/Input!F109)*1000000000000</f>
        <v>223.54920801613511</v>
      </c>
      <c r="AE109" s="142">
        <f>AD109*Input!V109/100</f>
        <v>0.49785958939759695</v>
      </c>
      <c r="AF109" s="142">
        <f>(AD109/Constants!$B$10)*602200000000*Constants!$B$16/(365.2425*24*60)</f>
        <v>10.204053034578711</v>
      </c>
      <c r="AG109" s="142">
        <f>AF109*Input!V109/100</f>
        <v>2.2725133759453925E-2</v>
      </c>
      <c r="AH109" s="138">
        <f t="shared" ref="AH109" si="598">AF109/Z109</f>
        <v>43800.682686853586</v>
      </c>
      <c r="AI109" s="147">
        <f t="shared" ref="AI109" si="599">AH109*SQRT((AG109/AF109)^2+(AA109/Z109)^2)</f>
        <v>184.43441320560183</v>
      </c>
      <c r="AJ109" s="144">
        <f t="shared" si="580"/>
        <v>0.14433590371254468</v>
      </c>
      <c r="AK109" s="147">
        <f t="shared" ref="AK109" si="600">V109*1000</f>
        <v>0.95826197789208389</v>
      </c>
      <c r="AL109" s="147">
        <f t="shared" ref="AL109" si="601">AF109/Q109</f>
        <v>0.9982003871652666</v>
      </c>
      <c r="AM109" s="147">
        <f t="shared" ref="AM109" si="602">AL109*SQRT((R109/Q109)^2+(AG109/AF109)^2)</f>
        <v>2.223960670947571E-3</v>
      </c>
      <c r="AN109" s="138">
        <f>AF109/Q109</f>
        <v>0.9982003871652666</v>
      </c>
      <c r="AO109" s="142">
        <f t="shared" ref="AO109" si="603">AN109*SQRT((R109/Q109)^2+(AG109/AF109)^2)</f>
        <v>2.223960670947571E-3</v>
      </c>
      <c r="AP109" s="138">
        <f t="shared" ref="AP109" si="604">ThU_Alter_Kombi(AN109,U109)</f>
        <v>677.38580000000002</v>
      </c>
      <c r="AQ109" s="138" t="e">
        <f t="shared" si="586"/>
        <v>#VALUE!</v>
      </c>
      <c r="AR109" s="138" t="e">
        <f>(AQ109/AP109)*100</f>
        <v>#VALUE!</v>
      </c>
      <c r="AS109" s="146">
        <f t="shared" si="587"/>
        <v>2.2789607968025307E-5</v>
      </c>
      <c r="AT109" s="146">
        <f t="shared" si="588"/>
        <v>8.145403511991512E-8</v>
      </c>
      <c r="AU109" s="138">
        <v>0.75</v>
      </c>
      <c r="AV109" s="138">
        <f t="shared" ref="AV109" si="605">AU109/2</f>
        <v>0.375</v>
      </c>
      <c r="AW109" s="138">
        <f t="shared" si="590"/>
        <v>677.38390000000004</v>
      </c>
      <c r="AX109" s="148">
        <f t="shared" si="591"/>
        <v>280.06431226709998</v>
      </c>
      <c r="AY109" s="148">
        <f t="shared" si="592"/>
        <v>140.78916184789233</v>
      </c>
      <c r="AZ109" s="149">
        <f t="shared" si="593"/>
        <v>0.413449909670277</v>
      </c>
      <c r="BA109" s="138" t="str">
        <f>Input!B109</f>
        <v>Hu1-13</v>
      </c>
      <c r="BB109" s="150">
        <f>Input!E109</f>
        <v>0</v>
      </c>
      <c r="BC109" s="138">
        <f>((U109-1)*EXP(Constants!$B$17*AW109*1000))*1000</f>
        <v>0.97629154567901721</v>
      </c>
      <c r="BD109" s="144">
        <f>SQRT((EXP(Constants!$B$17*AW109*1000)*V109)^2+((U109-1)*Constants!$B$17*EXP(Constants!$B$17*AW109*1000)*AY109*1000)^2)*1000</f>
        <v>6.4933035839607509</v>
      </c>
      <c r="BE109" s="138">
        <f t="shared" si="594"/>
        <v>677325.9</v>
      </c>
      <c r="BF109" s="151">
        <f t="shared" si="595"/>
        <v>70394.580923946167</v>
      </c>
      <c r="BG109" s="160">
        <f t="shared" si="596"/>
        <v>20.784249795115048</v>
      </c>
      <c r="BH109" s="138"/>
      <c r="BI109" s="18"/>
      <c r="BJ109" s="18"/>
      <c r="BK109" s="18"/>
      <c r="BL109" s="18"/>
      <c r="BM109" s="18"/>
      <c r="BN109" s="159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</row>
    <row r="110" spans="1:110" ht="15" customHeight="1" x14ac:dyDescent="0.2">
      <c r="A110" s="18">
        <f>Input!A110</f>
        <v>10956</v>
      </c>
      <c r="B110" s="18" t="str">
        <f>Input!B110</f>
        <v>GeoB20960-1_924</v>
      </c>
      <c r="C110" s="18">
        <f>Input!O110</f>
        <v>2.01372613904091</v>
      </c>
      <c r="D110" s="18">
        <f>C110*Input!P110/100</f>
        <v>2.9981124939164562E-3</v>
      </c>
      <c r="E110" s="152">
        <f>Input!M110</f>
        <v>2.3905834472347101</v>
      </c>
      <c r="F110" s="153">
        <f>E110*Input!N110/100</f>
        <v>1.1890623323054976E-3</v>
      </c>
      <c r="G110" s="21">
        <f>E110*137.88</f>
        <v>329.61364570472182</v>
      </c>
      <c r="H110" s="153">
        <f>G110*Input!L110/100</f>
        <v>0.1303874094810791</v>
      </c>
      <c r="I110" s="18">
        <v>0.3</v>
      </c>
      <c r="J110" s="129">
        <f>(((C110*Constants!$B$24*0.000000001*Input!G110*(Constants!$B$4/Constants!$B$3))-(I110*0.000000000000001))/Input!F110)*1000000000000</f>
        <v>188.7007123015058</v>
      </c>
      <c r="K110" s="18">
        <f>J110*Input!P110/100</f>
        <v>0.28094483762897898</v>
      </c>
      <c r="L110" s="134">
        <f>(J110/Constants!$B$4)*602200000000*Constants!$B$17/(365.2425*24*60)</f>
        <v>2.6052228505234161</v>
      </c>
      <c r="M110" s="132">
        <f>L110*Input!P110/100</f>
        <v>3.8787554206904089E-3</v>
      </c>
      <c r="N110" s="18">
        <v>5.0000000000000001E-3</v>
      </c>
      <c r="O110" s="129">
        <f>(((G110*Constants!$B$23*0.000000001*Input!G110*(Constants!$B$7/Constants!$B$6))-(N110*0.000000001))/Input!F110)*1000000</f>
        <v>3.1114277957118275</v>
      </c>
      <c r="P110" s="18">
        <f>O110*Input!N110/100</f>
        <v>1.5476061276375179E-3</v>
      </c>
      <c r="Q110" s="130">
        <f>(O110/Constants!$B$7)*602200000000000000*Constants!$B$18/(365.2425*24*60)</f>
        <v>2.3215008668501413</v>
      </c>
      <c r="R110" s="131">
        <f>Q110*Input!N110/100</f>
        <v>1.1547010577602497E-3</v>
      </c>
      <c r="S110" s="132">
        <f>Input!S110*Constants!$B$17/Constants!$B$18</f>
        <v>1.1222399555689238</v>
      </c>
      <c r="T110" s="18">
        <f>S110*Input!T110/100</f>
        <v>9.1505375674426782E-4</v>
      </c>
      <c r="U110" s="18">
        <f>S110*1/((U109+U111)/2)</f>
        <v>1.1211328197282677</v>
      </c>
      <c r="V110" s="18">
        <f>U110*Input!T110/100</f>
        <v>9.141510186041835E-4</v>
      </c>
      <c r="W110" s="133">
        <v>3.0000000000000001E-3</v>
      </c>
      <c r="X110" s="129">
        <f>IF((((Constants!$B$25*0.000000001*Input!G110/Input!W110*(Constants!$B$11/Constants!$B$9))-(W110*0.000000001))/Input!F110)*1000000000&lt;0, "n.d.", (((Constants!$B$25*0.000000001*Input!G110/Input!W110*(Constants!$B$11/Constants!$B$9))-(W110*0.000000001))/Input!F110)*1000000000)</f>
        <v>1.4752052830483731</v>
      </c>
      <c r="Y110" s="129">
        <f>X110*Input!X110/100</f>
        <v>2.3645816762687516E-3</v>
      </c>
      <c r="Z110" s="129">
        <f>(X110/Constants!$B$11)*6.022E+23*0.000000001*Constants!$B$19/(365.2425*24*60)</f>
        <v>3.6014530110653432E-4</v>
      </c>
      <c r="AA110" s="129">
        <f>Z110*Input!X110/100</f>
        <v>5.7727083110159856E-7</v>
      </c>
      <c r="AB110" s="134">
        <v>0.05</v>
      </c>
      <c r="AC110" s="134">
        <v>0.9</v>
      </c>
      <c r="AD110" s="129">
        <f>(((Input!G110*Constants!$B$25*0.000000001*Input!U110*(Constants!$B$10/Constants!$B$9))-((AB110*0.000000000000001)+(Input!G110*AC110*0.000000000000001)))/Input!F110)*1000000000000</f>
        <v>22.024880622446641</v>
      </c>
      <c r="AE110" s="129">
        <f>AD110*Input!V110/100</f>
        <v>3.8908748338699228E-2</v>
      </c>
      <c r="AF110" s="129">
        <f>(AD110/Constants!$B$10)*602200000000*Constants!$B$16/(365.2425*24*60)</f>
        <v>1.0053403988596965</v>
      </c>
      <c r="AG110" s="129">
        <f>AF110*Input!V110/100</f>
        <v>1.7760158270321721E-3</v>
      </c>
      <c r="AH110" s="18">
        <f>AF110/Z110</f>
        <v>2791.485535895712</v>
      </c>
      <c r="AI110" s="133">
        <f>AH110*SQRT((AG110/AF110)^2+(AA110/Z110)^2)</f>
        <v>6.6587579124160738</v>
      </c>
      <c r="AJ110" s="132">
        <f t="shared" si="580"/>
        <v>121.13281972826772</v>
      </c>
      <c r="AK110" s="133">
        <f>V110*1000</f>
        <v>0.91415101860418346</v>
      </c>
      <c r="AL110" s="133">
        <f>AF110/Q110</f>
        <v>0.43305622376258784</v>
      </c>
      <c r="AM110" s="133">
        <f>AL110*SQRT((R110/Q110)^2+(AG110/AF110)^2)</f>
        <v>7.9477456262930094E-4</v>
      </c>
      <c r="AN110" s="18">
        <f>AL110*1/((AN109+AN111)/2)</f>
        <v>0.4335892830124064</v>
      </c>
      <c r="AO110" s="129">
        <f>AN110*SQRT((R110/Q110)^2+(AG110/AF110)^2)</f>
        <v>7.957528696224417E-4</v>
      </c>
      <c r="AP110" s="18">
        <f>ThU_Alter_Kombi(AN110,U110)</f>
        <v>52.7911</v>
      </c>
      <c r="AQ110" s="18">
        <f t="shared" si="586"/>
        <v>0.14610000000000001</v>
      </c>
      <c r="AR110" s="154">
        <f>(AQ110/AP110)</f>
        <v>2.7675119480366959E-3</v>
      </c>
      <c r="AS110" s="131">
        <f t="shared" si="587"/>
        <v>1.5513468301874323E-4</v>
      </c>
      <c r="AT110" s="131">
        <f t="shared" si="588"/>
        <v>2.6035997142346987E-7</v>
      </c>
      <c r="AU110" s="18">
        <v>8</v>
      </c>
      <c r="AV110" s="18">
        <f>AU110/2</f>
        <v>4</v>
      </c>
      <c r="AW110" s="18">
        <f t="shared" si="590"/>
        <v>52.672400000000003</v>
      </c>
      <c r="AX110" s="135">
        <f t="shared" si="591"/>
        <v>0.15759848230000001</v>
      </c>
      <c r="AY110" s="135">
        <f t="shared" si="592"/>
        <v>0.14898398604369373</v>
      </c>
      <c r="AZ110" s="154">
        <f t="shared" si="593"/>
        <v>2.9920505293094674E-3</v>
      </c>
      <c r="BA110" s="18" t="str">
        <f>Input!B110</f>
        <v>GeoB20960-1_924</v>
      </c>
      <c r="BB110" s="136">
        <f>Input!E110</f>
        <v>924</v>
      </c>
      <c r="BC110" s="18">
        <f>((U110-1)*EXP(Constants!$B$17*AW110*1000))*1000</f>
        <v>140.54564345022325</v>
      </c>
      <c r="BD110" s="132">
        <f>SQRT((EXP(Constants!$B$17*AW110*1000)*V110)^2+((U110-1)*Constants!$B$17*EXP(Constants!$B$17*AW110*1000)*AY110*1000)^2)*1000</f>
        <v>1.0622982241143013</v>
      </c>
      <c r="BE110" s="18">
        <f t="shared" si="594"/>
        <v>52614.400000000001</v>
      </c>
      <c r="BF110" s="137">
        <f t="shared" si="595"/>
        <v>74.491993021846866</v>
      </c>
      <c r="BG110" s="20">
        <f t="shared" si="596"/>
        <v>0.28285019487187546</v>
      </c>
      <c r="BH110" s="18"/>
      <c r="BI110" s="18"/>
      <c r="BJ110" s="18"/>
      <c r="BK110" s="18"/>
      <c r="BL110" s="18"/>
      <c r="BM110" s="18"/>
      <c r="BN110" s="159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</row>
    <row r="111" spans="1:110" ht="15" customHeight="1" x14ac:dyDescent="0.2">
      <c r="A111" s="138">
        <f>Input!A111</f>
        <v>10815</v>
      </c>
      <c r="B111" s="138" t="str">
        <f>Input!B111</f>
        <v>Hu1-13</v>
      </c>
      <c r="C111" s="138">
        <f>Input!O111</f>
        <v>2.0884449268289145</v>
      </c>
      <c r="D111" s="138">
        <f>C111*Input!P111/100</f>
        <v>9.1975819945510316E-3</v>
      </c>
      <c r="E111" s="139">
        <f>Input!M111</f>
        <v>2.7309320971627025</v>
      </c>
      <c r="F111" s="140">
        <f>E111*Input!N111/100</f>
        <v>1.5841260622780269E-3</v>
      </c>
      <c r="G111" s="141">
        <f t="shared" ref="G111" si="606">E111*137.88</f>
        <v>376.54091755679343</v>
      </c>
      <c r="H111" s="140">
        <f>G111*Input!L111/100</f>
        <v>9.2647048113633904E-2</v>
      </c>
      <c r="I111" s="138">
        <v>0</v>
      </c>
      <c r="J111" s="142">
        <f>(((C111*Constants!$B$24*0.000000001*Input!G111*(Constants!$B$4/Constants!$B$3))-(I111*0.000000000000001))/Input!F111)*1000000000000</f>
        <v>754.00702442436386</v>
      </c>
      <c r="K111" s="138">
        <f>J111*Input!P111/100</f>
        <v>3.320672401996573</v>
      </c>
      <c r="L111" s="143">
        <f>(J111/Constants!$B$4)*602200000000*Constants!$B$17/(365.2425*24*60)</f>
        <v>10.409904157366793</v>
      </c>
      <c r="M111" s="144">
        <f>L111*Input!P111/100</f>
        <v>4.5845569501408383E-2</v>
      </c>
      <c r="N111" s="138">
        <v>0</v>
      </c>
      <c r="O111" s="142">
        <f>(((G111*Constants!$B$23*0.000000001*Input!G111*(Constants!$B$7/Constants!$B$6))-(N111*0.000000001))/Input!F111)*1000000</f>
        <v>13.694495630930213</v>
      </c>
      <c r="P111" s="138">
        <f>O111*Input!N111/100</f>
        <v>7.9437374005922254E-3</v>
      </c>
      <c r="Q111" s="145">
        <f>(O111/Constants!$B$7)*602200000000000000*Constants!$B$18/(365.2425*24*60)</f>
        <v>10.217747466965305</v>
      </c>
      <c r="R111" s="146">
        <f>Q111*Input!N111/100</f>
        <v>5.9269873743882737E-3</v>
      </c>
      <c r="S111" s="144">
        <f>Input!S111*Constants!$B$17/Constants!$B$18</f>
        <v>1.0018306947459554</v>
      </c>
      <c r="T111" s="138">
        <f>S111*Input!T111/100</f>
        <v>1.3739224555798365E-3</v>
      </c>
      <c r="U111" s="144">
        <f>S111</f>
        <v>1.0018306947459554</v>
      </c>
      <c r="V111" s="138">
        <f>U111*Input!T111/100</f>
        <v>1.3739224555798365E-3</v>
      </c>
      <c r="W111" s="147">
        <v>0</v>
      </c>
      <c r="X111" s="142">
        <f>(((Constants!$B$25*0.000000001*Input!G111/Input!W111*(Constants!$B$11/Constants!$B$9))-(W111*0.000000001))/Input!F111)*1000000000</f>
        <v>0.95009755594198064</v>
      </c>
      <c r="Y111" s="142">
        <f>X111*Input!X111/100</f>
        <v>3.7816602073014716E-3</v>
      </c>
      <c r="Z111" s="142">
        <f>(X111/Constants!$B$11)*6.022E+23*0.000000001*Constants!$B$19/(365.2425*24*60)</f>
        <v>2.3194952885352901E-4</v>
      </c>
      <c r="AA111" s="142">
        <f>Z111*Input!X111/100</f>
        <v>9.2322551287699559E-7</v>
      </c>
      <c r="AB111" s="143">
        <v>0</v>
      </c>
      <c r="AC111" s="143">
        <v>0.9</v>
      </c>
      <c r="AD111" s="142">
        <f>(((Input!G111*Constants!$B$25*0.000000001*Input!U111*(Constants!$B$10/Constants!$B$9))-((AB111*0.000000000000001)+(Input!G111*AC111*0.000000000000001)))/Input!F111)*1000000000000</f>
        <v>223.7016607794221</v>
      </c>
      <c r="AE111" s="142">
        <f>AD111*Input!V111/100</f>
        <v>0.45542021774852143</v>
      </c>
      <c r="AF111" s="142">
        <f>(AD111/Constants!$B$10)*602200000000*Constants!$B$16/(365.2425*24*60)</f>
        <v>10.211011842868185</v>
      </c>
      <c r="AG111" s="142">
        <f>AF111*Input!V111/100</f>
        <v>2.0787960271323711E-2</v>
      </c>
      <c r="AH111" s="138">
        <f t="shared" ref="AH111" si="607">AF111/Z111</f>
        <v>44022.559103003019</v>
      </c>
      <c r="AI111" s="147">
        <f t="shared" ref="AI111" si="608">AH111*SQRT((AG111/AF111)^2+(AA111/Z111)^2)</f>
        <v>196.8124131460641</v>
      </c>
      <c r="AJ111" s="144">
        <f t="shared" si="580"/>
        <v>1.8306947459554301</v>
      </c>
      <c r="AK111" s="147">
        <f t="shared" ref="AK111" si="609">V111*1000</f>
        <v>1.3739224555798366</v>
      </c>
      <c r="AL111" s="147">
        <f t="shared" ref="AL111" si="610">AF111/Q111</f>
        <v>0.99934079168438084</v>
      </c>
      <c r="AM111" s="147">
        <f t="shared" ref="AM111" si="611">AL111*SQRT((R111/Q111)^2+(AG111/AF111)^2)</f>
        <v>2.115468471841621E-3</v>
      </c>
      <c r="AN111" s="138">
        <f>AF111/Q111</f>
        <v>0.99934079168438084</v>
      </c>
      <c r="AO111" s="142">
        <f t="shared" ref="AO111" si="612">AN111*SQRT((R111/Q111)^2+(AG111/AF111)^2)</f>
        <v>2.115468471841621E-3</v>
      </c>
      <c r="AP111" s="138">
        <f t="shared" ref="AP111" si="613">ThU_Alter_Kombi(AN111,U111)</f>
        <v>624.61159999999995</v>
      </c>
      <c r="AQ111" s="138" t="e">
        <f t="shared" si="586"/>
        <v>#VALUE!</v>
      </c>
      <c r="AR111" s="138" t="e">
        <f>(AQ111/AP111)*100</f>
        <v>#VALUE!</v>
      </c>
      <c r="AS111" s="146">
        <f t="shared" si="587"/>
        <v>2.270065193952367E-5</v>
      </c>
      <c r="AT111" s="146">
        <f t="shared" si="588"/>
        <v>9.1309565577435858E-8</v>
      </c>
      <c r="AU111" s="138">
        <v>0.75</v>
      </c>
      <c r="AV111" s="138">
        <f t="shared" ref="AV111" si="614">AU111/2</f>
        <v>0.375</v>
      </c>
      <c r="AW111" s="138">
        <f t="shared" si="590"/>
        <v>624.60979999999995</v>
      </c>
      <c r="AX111" s="148">
        <f t="shared" si="591"/>
        <v>223.08849100559999</v>
      </c>
      <c r="AY111" s="148">
        <f t="shared" si="592"/>
        <v>94.760459427397578</v>
      </c>
      <c r="AZ111" s="149">
        <f t="shared" si="593"/>
        <v>0.35716457059367307</v>
      </c>
      <c r="BA111" s="138" t="str">
        <f>Input!B111</f>
        <v>Hu1-13</v>
      </c>
      <c r="BB111" s="150">
        <f>Input!E111</f>
        <v>0</v>
      </c>
      <c r="BC111" s="138">
        <f>((U111-1)*EXP(Constants!$B$17*AW111*1000))*1000</f>
        <v>10.669421747339772</v>
      </c>
      <c r="BD111" s="144">
        <f>SQRT((EXP(Constants!$B$17*AW111*1000)*V111)^2+((U111-1)*Constants!$B$17*EXP(Constants!$B$17*AW111*1000)*AY111*1000)^2)*1000</f>
        <v>8.5004703835724253</v>
      </c>
      <c r="BE111" s="138">
        <f t="shared" si="594"/>
        <v>624551.79999999993</v>
      </c>
      <c r="BF111" s="151">
        <f t="shared" si="595"/>
        <v>47380.229713698791</v>
      </c>
      <c r="BG111" s="160">
        <f t="shared" si="596"/>
        <v>15.171145157728485</v>
      </c>
      <c r="BH111" s="138"/>
      <c r="BI111" s="18"/>
      <c r="BJ111" s="18"/>
      <c r="BK111" s="18"/>
      <c r="BL111" s="18"/>
      <c r="BM111" s="18"/>
      <c r="BN111" s="159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</row>
    <row r="112" spans="1:110" ht="15" customHeight="1" x14ac:dyDescent="0.2">
      <c r="A112" s="18">
        <f>Input!A112</f>
        <v>10957</v>
      </c>
      <c r="B112" s="18" t="str">
        <f>Input!B112</f>
        <v>GeoB20960-1_1003</v>
      </c>
      <c r="C112" s="18">
        <f>Input!O112</f>
        <v>2.2780725221391296</v>
      </c>
      <c r="D112" s="18">
        <f>C112*Input!P112/100</f>
        <v>3.3712251239196357E-3</v>
      </c>
      <c r="E112" s="152">
        <f>Input!M112</f>
        <v>2.7086266305562141</v>
      </c>
      <c r="F112" s="153">
        <f>E112*Input!N112/100</f>
        <v>1.2179267367924366E-3</v>
      </c>
      <c r="G112" s="21">
        <f>E112*137.88</f>
        <v>373.4654398210908</v>
      </c>
      <c r="H112" s="153">
        <f>G112*Input!L112/100</f>
        <v>0.28226828445188296</v>
      </c>
      <c r="I112" s="18">
        <v>0.3</v>
      </c>
      <c r="J112" s="129">
        <f>(((C112*Constants!$B$24*0.000000001*Input!G112*(Constants!$B$4/Constants!$B$3))-(I112*0.000000000000001))/Input!F112)*1000000000000</f>
        <v>224.16446752188875</v>
      </c>
      <c r="K112" s="18">
        <f>J112*Input!P112/100</f>
        <v>0.33173170628046622</v>
      </c>
      <c r="L112" s="134">
        <f>(J112/Constants!$B$4)*602200000000*Constants!$B$17/(365.2425*24*60)</f>
        <v>3.0948393672744947</v>
      </c>
      <c r="M112" s="132">
        <f>L112*Input!P112/100</f>
        <v>4.5799245318381135E-3</v>
      </c>
      <c r="N112" s="18">
        <v>5.0000000000000001E-3</v>
      </c>
      <c r="O112" s="129">
        <f>(((G112*Constants!$B$23*0.000000001*Input!G112*(Constants!$B$7/Constants!$B$6))-(N112*0.000000001))/Input!F112)*1000000</f>
        <v>3.7019545413470274</v>
      </c>
      <c r="P112" s="18">
        <f>O112*Input!N112/100</f>
        <v>1.6645739813061159E-3</v>
      </c>
      <c r="Q112" s="130">
        <f>(O112/Constants!$B$7)*602200000000000000*Constants!$B$18/(365.2425*24*60)</f>
        <v>2.7621051301982087</v>
      </c>
      <c r="R112" s="131">
        <f>Q112*Input!N112/100</f>
        <v>1.2419732014556579E-3</v>
      </c>
      <c r="S112" s="132">
        <f>Input!S112*Constants!$B$17/Constants!$B$18</f>
        <v>1.1215912745870029</v>
      </c>
      <c r="T112" s="18">
        <f>S112*Input!T112/100</f>
        <v>1.0718529514222627E-3</v>
      </c>
      <c r="U112" s="18">
        <f>S112*1/((U111+U113)/2)</f>
        <v>1.1206425465515955</v>
      </c>
      <c r="V112" s="18">
        <f>U112*Input!T112/100</f>
        <v>1.0709462958803648E-3</v>
      </c>
      <c r="W112" s="133">
        <v>3.0000000000000001E-3</v>
      </c>
      <c r="X112" s="129">
        <f>IF((((Constants!$B$25*0.000000001*Input!G112/Input!W112*(Constants!$B$11/Constants!$B$9))-(W112*0.000000001))/Input!F112)*1000000000&lt;0, "n.d.", (((Constants!$B$25*0.000000001*Input!G112/Input!W112*(Constants!$B$11/Constants!$B$9))-(W112*0.000000001))/Input!F112)*1000000000)</f>
        <v>4.3624012228859845</v>
      </c>
      <c r="Y112" s="129">
        <f>X112*Input!X112/100</f>
        <v>6.0461934180509394E-3</v>
      </c>
      <c r="Z112" s="129">
        <f>(X112/Constants!$B$11)*6.022E+23*0.000000001*Constants!$B$19/(365.2425*24*60)</f>
        <v>1.065003169401115E-3</v>
      </c>
      <c r="AA112" s="129">
        <f>Z112*Input!X112/100</f>
        <v>1.4760712791054307E-6</v>
      </c>
      <c r="AB112" s="134">
        <v>0.05</v>
      </c>
      <c r="AC112" s="134">
        <v>0.9</v>
      </c>
      <c r="AD112" s="129">
        <f>(((Input!G112*Constants!$B$25*0.000000001*Input!U112*(Constants!$B$10/Constants!$B$9))-((AB112*0.000000000000001)+(Input!G112*AC112*0.000000000000001)))/Input!F112)*1000000000000</f>
        <v>26.444248106332829</v>
      </c>
      <c r="AE112" s="129">
        <f>AD112*Input!V112/100</f>
        <v>4.8014612715617473E-2</v>
      </c>
      <c r="AF112" s="129">
        <f>(AD112/Constants!$B$10)*602200000000*Constants!$B$16/(365.2425*24*60)</f>
        <v>1.2070653818514163</v>
      </c>
      <c r="AG112" s="129">
        <f>AF112*Input!V112/100</f>
        <v>2.1916590934625692E-3</v>
      </c>
      <c r="AH112" s="18">
        <f>AF112/Z112</f>
        <v>1133.3913518118329</v>
      </c>
      <c r="AI112" s="133">
        <f>AH112*SQRT((AG112/AF112)^2+(AA112/Z112)^2)</f>
        <v>2.5889183394465949</v>
      </c>
      <c r="AJ112" s="132">
        <f t="shared" si="580"/>
        <v>120.64254655159546</v>
      </c>
      <c r="AK112" s="133">
        <f>V112*1000</f>
        <v>1.0709462958803648</v>
      </c>
      <c r="AL112" s="133">
        <f>AF112/Q112</f>
        <v>0.4370092103499324</v>
      </c>
      <c r="AM112" s="133">
        <f>AL112*SQRT((R112/Q112)^2+(AG112/AF112)^2)</f>
        <v>8.1744328772886759E-4</v>
      </c>
      <c r="AN112" s="18">
        <f>AL112*1/((AN111+AN113)/2)</f>
        <v>0.43776356476200612</v>
      </c>
      <c r="AO112" s="129">
        <f>AN112*SQRT((R112/Q112)^2+(AG112/AF112)^2)</f>
        <v>8.1885433796788788E-4</v>
      </c>
      <c r="AP112" s="18">
        <f>ThU_Alter_Kombi(AN112,U112)</f>
        <v>53.4724</v>
      </c>
      <c r="AQ112" s="18">
        <f t="shared" si="586"/>
        <v>0.14380000000000001</v>
      </c>
      <c r="AR112" s="154">
        <f>(AQ112/AP112)</f>
        <v>2.6892378124041562E-3</v>
      </c>
      <c r="AS112" s="131">
        <f t="shared" si="587"/>
        <v>3.8557662333608945E-4</v>
      </c>
      <c r="AT112" s="131">
        <f t="shared" si="588"/>
        <v>5.6182080726098372E-7</v>
      </c>
      <c r="AU112" s="18">
        <v>8</v>
      </c>
      <c r="AV112" s="18">
        <f>AU112/2</f>
        <v>4</v>
      </c>
      <c r="AW112" s="18">
        <f t="shared" si="590"/>
        <v>53.177</v>
      </c>
      <c r="AX112" s="135">
        <f t="shared" si="591"/>
        <v>0.2159918254</v>
      </c>
      <c r="AY112" s="135">
        <f t="shared" si="592"/>
        <v>0.2076271276765278</v>
      </c>
      <c r="AZ112" s="154">
        <f t="shared" si="593"/>
        <v>4.0617527389660941E-3</v>
      </c>
      <c r="BA112" s="18" t="str">
        <f>Input!B112</f>
        <v>GeoB20960-1_1003</v>
      </c>
      <c r="BB112" s="136">
        <f>Input!E112</f>
        <v>1003</v>
      </c>
      <c r="BC112" s="18">
        <f>((U112-1)*EXP(Constants!$B$17*AW112*1000))*1000</f>
        <v>140.17626933673836</v>
      </c>
      <c r="BD112" s="132">
        <f>SQRT((EXP(Constants!$B$17*AW112*1000)*V112)^2+((U112-1)*Constants!$B$17*EXP(Constants!$B$17*AW112*1000)*AY112*1000)^2)*1000</f>
        <v>1.2470552755541813</v>
      </c>
      <c r="BE112" s="18">
        <f t="shared" si="594"/>
        <v>53119</v>
      </c>
      <c r="BF112" s="137">
        <f t="shared" si="595"/>
        <v>103.8135638382639</v>
      </c>
      <c r="BG112" s="20">
        <f t="shared" si="596"/>
        <v>0.39044535734721364</v>
      </c>
      <c r="BH112" s="18"/>
      <c r="BI112" s="18"/>
      <c r="BJ112" s="18"/>
      <c r="BK112" s="18"/>
      <c r="BL112" s="18"/>
      <c r="BM112" s="18"/>
      <c r="BN112" s="159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</row>
    <row r="113" spans="1:110" ht="15" customHeight="1" x14ac:dyDescent="0.2">
      <c r="A113" s="138">
        <f>Input!A113</f>
        <v>10815</v>
      </c>
      <c r="B113" s="138" t="str">
        <f>Input!B113</f>
        <v>Hu1-13</v>
      </c>
      <c r="C113" s="138">
        <f>Input!O113</f>
        <v>2.0697263337704559</v>
      </c>
      <c r="D113" s="138">
        <f>C113*Input!P113/100</f>
        <v>1.0399282005983057E-2</v>
      </c>
      <c r="E113" s="139">
        <f>Input!M113</f>
        <v>2.7296855972274385</v>
      </c>
      <c r="F113" s="140">
        <f>E113*Input!N113/100</f>
        <v>1.9114769270960885E-3</v>
      </c>
      <c r="G113" s="141">
        <f t="shared" ref="G113" si="615">E113*137.88</f>
        <v>376.3690501457192</v>
      </c>
      <c r="H113" s="140">
        <f>G113*Input!L113/100</f>
        <v>0.10488351560370848</v>
      </c>
      <c r="I113" s="138">
        <v>0</v>
      </c>
      <c r="J113" s="142">
        <f>(((C113*Constants!$B$24*0.000000001*Input!G113*(Constants!$B$4/Constants!$B$3))-(I113*0.000000000000001))/Input!F113)*1000000000000</f>
        <v>747.24890958393576</v>
      </c>
      <c r="K113" s="138">
        <f>J113*Input!P113/100</f>
        <v>3.754531221173762</v>
      </c>
      <c r="L113" s="143">
        <f>(J113/Constants!$B$4)*602200000000*Constants!$B$17/(365.2425*24*60)</f>
        <v>10.316600878359486</v>
      </c>
      <c r="M113" s="144">
        <f>L113*Input!P113/100</f>
        <v>5.1835472220034734E-2</v>
      </c>
      <c r="N113" s="138">
        <v>0</v>
      </c>
      <c r="O113" s="142">
        <f>(((G113*Constants!$B$23*0.000000001*Input!G113*(Constants!$B$7/Constants!$B$6))-(N113*0.000000001))/Input!F113)*1000000</f>
        <v>13.688244948998147</v>
      </c>
      <c r="P113" s="138">
        <f>O113*Input!N113/100</f>
        <v>9.5852666765085595E-3</v>
      </c>
      <c r="Q113" s="145">
        <f>(O113/Constants!$B$7)*602200000000000000*Constants!$B$18/(365.2425*24*60)</f>
        <v>10.213083703421219</v>
      </c>
      <c r="R113" s="146">
        <f>Q113*Input!N113/100</f>
        <v>7.151766442779873E-3</v>
      </c>
      <c r="S113" s="144">
        <f>Input!S113*Constants!$B$17/Constants!$B$18</f>
        <v>0.99986249107556624</v>
      </c>
      <c r="T113" s="138">
        <f>S113*Input!T113/100</f>
        <v>1.4143432624743504E-3</v>
      </c>
      <c r="U113" s="144">
        <f>S113</f>
        <v>0.99986249107556624</v>
      </c>
      <c r="V113" s="138">
        <f>U113*Input!T113/100</f>
        <v>1.4143432624743504E-3</v>
      </c>
      <c r="W113" s="147">
        <v>0</v>
      </c>
      <c r="X113" s="142">
        <f>(((Constants!$B$25*0.000000001*Input!G113/Input!W113*(Constants!$B$11/Constants!$B$9))-(W113*0.000000001))/Input!F113)*1000000000</f>
        <v>0.94973913428556267</v>
      </c>
      <c r="Y113" s="142">
        <f>X113*Input!X113/100</f>
        <v>3.7674301401793781E-3</v>
      </c>
      <c r="Z113" s="142">
        <f>(X113/Constants!$B$11)*6.022E+23*0.000000001*Constants!$B$19/(365.2425*24*60)</f>
        <v>2.318620265398801E-4</v>
      </c>
      <c r="AA113" s="142">
        <f>Z113*Input!X113/100</f>
        <v>9.1975149345248349E-7</v>
      </c>
      <c r="AB113" s="143">
        <v>0</v>
      </c>
      <c r="AC113" s="143">
        <v>0.9</v>
      </c>
      <c r="AD113" s="142">
        <f>(((Input!G113*Constants!$B$25*0.000000001*Input!U113*(Constants!$B$10/Constants!$B$9))-((AB113*0.000000000000001)+(Input!G113*AC113*0.000000000000001)))/Input!F113)*1000000000000</f>
        <v>223.12342469752568</v>
      </c>
      <c r="AE113" s="142">
        <f>AD113*Input!V113/100</f>
        <v>0.49033121532205798</v>
      </c>
      <c r="AF113" s="142">
        <f>(AD113/Constants!$B$10)*602200000000*Constants!$B$16/(365.2425*24*60)</f>
        <v>10.184617870379803</v>
      </c>
      <c r="AG113" s="142">
        <f>AF113*Input!V113/100</f>
        <v>2.2381496092326061E-2</v>
      </c>
      <c r="AH113" s="138">
        <f t="shared" ref="AH113" si="616">AF113/Z113</f>
        <v>43925.337936387165</v>
      </c>
      <c r="AI113" s="147">
        <f t="shared" ref="AI113" si="617">AH113*SQRT((AG113/AF113)^2+(AA113/Z113)^2)</f>
        <v>199.19496287759432</v>
      </c>
      <c r="AJ113" s="144">
        <f t="shared" si="580"/>
        <v>-0.13750892443376017</v>
      </c>
      <c r="AK113" s="147">
        <f t="shared" ref="AK113" si="618">V113*1000</f>
        <v>1.4143432624743504</v>
      </c>
      <c r="AL113" s="147">
        <f t="shared" ref="AL113" si="619">AF113/Q113</f>
        <v>0.99721280723158268</v>
      </c>
      <c r="AM113" s="147">
        <f t="shared" ref="AM113" si="620">AL113*SQRT((R113/Q113)^2+(AG113/AF113)^2)</f>
        <v>2.3000207664980931E-3</v>
      </c>
      <c r="AN113" s="138">
        <f>AF113/Q113</f>
        <v>0.99721280723158268</v>
      </c>
      <c r="AO113" s="142">
        <f t="shared" ref="AO113" si="621">AN113*SQRT((R113/Q113)^2+(AG113/AF113)^2)</f>
        <v>2.3000207664980931E-3</v>
      </c>
      <c r="AP113" s="138">
        <f t="shared" ref="AP113" si="622">ThU_Alter_Kombi(AN113,U113)</f>
        <v>649.41060000000004</v>
      </c>
      <c r="AQ113" s="138" t="e">
        <f t="shared" si="586"/>
        <v>#VALUE!</v>
      </c>
      <c r="AR113" s="138" t="e">
        <f>(AQ113/AP113)*100</f>
        <v>#VALUE!</v>
      </c>
      <c r="AS113" s="146">
        <f t="shared" si="587"/>
        <v>2.2702450432498663E-5</v>
      </c>
      <c r="AT113" s="146">
        <f t="shared" si="588"/>
        <v>9.1448618286336819E-8</v>
      </c>
      <c r="AU113" s="138">
        <v>0.75</v>
      </c>
      <c r="AV113" s="138">
        <f t="shared" ref="AV113" si="623">AU113/2</f>
        <v>0.375</v>
      </c>
      <c r="AW113" s="138">
        <f t="shared" si="590"/>
        <v>649.40869999999995</v>
      </c>
      <c r="AX113" s="148">
        <f t="shared" si="591"/>
        <v>254.72410664860001</v>
      </c>
      <c r="AY113" s="148">
        <f t="shared" si="592"/>
        <v>127.80092077408175</v>
      </c>
      <c r="AZ113" s="149">
        <f t="shared" si="593"/>
        <v>0.39224005876207085</v>
      </c>
      <c r="BA113" s="138" t="str">
        <f>Input!B113</f>
        <v>Hu1-13</v>
      </c>
      <c r="BB113" s="150">
        <f>Input!E113</f>
        <v>0</v>
      </c>
      <c r="BC113" s="138">
        <f>((U113-1)*EXP(Constants!$B$17*AW113*1000))*1000</f>
        <v>-0.85950714339631473</v>
      </c>
      <c r="BD113" s="144">
        <f>SQRT((EXP(Constants!$B$17*AW113*1000)*V113)^2+((U113-1)*Constants!$B$17*EXP(Constants!$B$17*AW113*1000)*AY113*1000)^2)*1000</f>
        <v>8.8458641330965637</v>
      </c>
      <c r="BE113" s="138">
        <f t="shared" si="594"/>
        <v>649350.69999999995</v>
      </c>
      <c r="BF113" s="151">
        <f t="shared" si="595"/>
        <v>63900.460387040876</v>
      </c>
      <c r="BG113" s="160">
        <f t="shared" si="596"/>
        <v>19.679582483893697</v>
      </c>
      <c r="BH113" s="138"/>
      <c r="BI113" s="18"/>
      <c r="BJ113" s="18"/>
      <c r="BK113" s="18"/>
      <c r="BL113" s="18"/>
      <c r="BM113" s="18"/>
      <c r="BN113" s="159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</row>
    <row r="114" spans="1:110" ht="15" customHeight="1" x14ac:dyDescent="0.2">
      <c r="A114" s="18">
        <f>Input!A114</f>
        <v>10958</v>
      </c>
      <c r="B114" s="18" t="str">
        <f>Input!B114</f>
        <v>GeoB20960-1_1037-1039</v>
      </c>
      <c r="C114" s="18">
        <f>Input!O114</f>
        <v>1.6135218623056335</v>
      </c>
      <c r="D114" s="18">
        <f>C114*Input!P114/100</f>
        <v>2.7453108573858797E-3</v>
      </c>
      <c r="E114" s="152">
        <f>Input!M114</f>
        <v>1.9454321613037255</v>
      </c>
      <c r="F114" s="153">
        <f>E114*Input!N114/100</f>
        <v>8.5140605576415065E-5</v>
      </c>
      <c r="G114" s="21">
        <f>E114*137.88</f>
        <v>268.23618640055764</v>
      </c>
      <c r="H114" s="153">
        <f>G114*Input!L114/100</f>
        <v>8.5913659939696775E-3</v>
      </c>
      <c r="I114" s="18">
        <v>0.3</v>
      </c>
      <c r="J114" s="129">
        <f>(((C114*Constants!$B$24*0.000000001*Input!G114*(Constants!$B$4/Constants!$B$3))-(I114*0.000000000000001))/Input!F114)*1000000000000</f>
        <v>165.9807214738623</v>
      </c>
      <c r="K114" s="18">
        <f>J114*Input!P114/100</f>
        <v>0.28240626137399244</v>
      </c>
      <c r="L114" s="134">
        <f>(J114/Constants!$B$4)*602200000000*Constants!$B$17/(365.2425*24*60)</f>
        <v>2.2915481508048239</v>
      </c>
      <c r="M114" s="132">
        <f>L114*Input!P114/100</f>
        <v>3.8989319981307907E-3</v>
      </c>
      <c r="N114" s="18">
        <v>5.0000000000000001E-3</v>
      </c>
      <c r="O114" s="129">
        <f>(((G114*Constants!$B$23*0.000000001*Input!G114*(Constants!$B$7/Constants!$B$6))-(N114*0.000000001))/Input!F114)*1000000</f>
        <v>2.7795961963630527</v>
      </c>
      <c r="P114" s="18">
        <f>O114*Input!N114/100</f>
        <v>1.2164726589985825E-4</v>
      </c>
      <c r="Q114" s="130">
        <f>(O114/Constants!$B$7)*602200000000000000*Constants!$B$18/(365.2425*24*60)</f>
        <v>2.0739144222608945</v>
      </c>
      <c r="R114" s="131">
        <f>Q114*Input!N114/100</f>
        <v>9.0763550298573648E-5</v>
      </c>
      <c r="S114" s="132">
        <f>Input!S114*Constants!$B$17/Constants!$B$18</f>
        <v>1.1130479056129523</v>
      </c>
      <c r="T114" s="18">
        <f>S114*Input!T114/100</f>
        <v>5.8616417800212554E-4</v>
      </c>
      <c r="U114" s="18">
        <f>S114*1/((U113+U115)/2)</f>
        <v>1.1134070276993393</v>
      </c>
      <c r="V114" s="18">
        <f>U114*Input!T114/100</f>
        <v>5.863533023888728E-4</v>
      </c>
      <c r="W114" s="133">
        <v>3.0000000000000001E-3</v>
      </c>
      <c r="X114" s="129">
        <f>IF((((Constants!$B$25*0.000000001*Input!G114/Input!W114*(Constants!$B$11/Constants!$B$9))-(W114*0.000000001))/Input!F114)*1000000000&lt;0, "n.d.", (((Constants!$B$25*0.000000001*Input!G114/Input!W114*(Constants!$B$11/Constants!$B$9))-(W114*0.000000001))/Input!F114)*1000000000)</f>
        <v>0.83402184867395479</v>
      </c>
      <c r="Y114" s="129">
        <f>X114*Input!X114/100</f>
        <v>1.1044240014099502E-3</v>
      </c>
      <c r="Z114" s="129">
        <f>(X114/Constants!$B$11)*6.022E+23*0.000000001*Constants!$B$19/(365.2425*24*60)</f>
        <v>2.0361169612911464E-4</v>
      </c>
      <c r="AA114" s="129">
        <f>Z114*Input!X114/100</f>
        <v>2.6962560337036658E-7</v>
      </c>
      <c r="AB114" s="134">
        <v>0.05</v>
      </c>
      <c r="AC114" s="134">
        <v>0.9</v>
      </c>
      <c r="AD114" s="129">
        <f>(((Input!G114*Constants!$B$25*0.000000001*Input!U114*(Constants!$B$10/Constants!$B$9))-((AB114*0.000000000000001)+(Input!G114*AC114*0.000000000000001)))/Input!F114)*1000000000000</f>
        <v>27.127301640824271</v>
      </c>
      <c r="AE114" s="129">
        <f>AD114*Input!V114/100</f>
        <v>4.9665709148106953E-2</v>
      </c>
      <c r="AF114" s="129">
        <f>(AD114/Constants!$B$10)*602200000000*Constants!$B$16/(365.2425*24*60)</f>
        <v>1.2382438170302341</v>
      </c>
      <c r="AG114" s="129">
        <f>AF114*Input!V114/100</f>
        <v>2.2670244938227009E-3</v>
      </c>
      <c r="AH114" s="18">
        <f>AF114/Z114</f>
        <v>6081.3982721554294</v>
      </c>
      <c r="AI114" s="133">
        <f>AH114*SQRT((AG114/AF114)^2+(AA114/Z114)^2)</f>
        <v>13.741153668555521</v>
      </c>
      <c r="AJ114" s="132">
        <f t="shared" si="580"/>
        <v>113.4070276993393</v>
      </c>
      <c r="AK114" s="133">
        <f>V114*1000</f>
        <v>0.58635330238887284</v>
      </c>
      <c r="AL114" s="133">
        <f>AF114/Q114</f>
        <v>0.59705637018539692</v>
      </c>
      <c r="AM114" s="133">
        <f>AL114*SQRT((R114/Q114)^2+(AG114/AF114)^2)</f>
        <v>1.093426067787073E-3</v>
      </c>
      <c r="AN114" s="18">
        <f>AL114*1/((AN113+AN115)/2)</f>
        <v>0.59883171113999056</v>
      </c>
      <c r="AO114" s="129">
        <f>AN114*SQRT((R114/Q114)^2+(AG114/AF114)^2)</f>
        <v>1.0966773589145085E-3</v>
      </c>
      <c r="AP114" s="18">
        <f>ThU_Alter_Kombi(AN114,U114)</f>
        <v>82.768000000000001</v>
      </c>
      <c r="AQ114" s="18">
        <f t="shared" si="586"/>
        <v>0.2374</v>
      </c>
      <c r="AR114" s="154">
        <f>(AQ114/AP114)</f>
        <v>2.868258264063406E-3</v>
      </c>
      <c r="AS114" s="131">
        <f t="shared" si="587"/>
        <v>9.8177482129250876E-5</v>
      </c>
      <c r="AT114" s="131">
        <f t="shared" si="588"/>
        <v>1.300790478093795E-7</v>
      </c>
      <c r="AU114" s="18">
        <v>8</v>
      </c>
      <c r="AV114" s="18">
        <f>AU114/2</f>
        <v>4</v>
      </c>
      <c r="AW114" s="18">
        <f t="shared" si="590"/>
        <v>82.693100000000001</v>
      </c>
      <c r="AX114" s="135">
        <f t="shared" si="591"/>
        <v>0.23178340559999999</v>
      </c>
      <c r="AY114" s="135">
        <f t="shared" si="592"/>
        <v>0.23734605596898412</v>
      </c>
      <c r="AZ114" s="154">
        <f t="shared" si="593"/>
        <v>2.8029352582017121E-3</v>
      </c>
      <c r="BA114" s="18" t="str">
        <f>Input!B114</f>
        <v>GeoB20960-1_1037-1039</v>
      </c>
      <c r="BB114" s="136">
        <f>Input!E114</f>
        <v>1038</v>
      </c>
      <c r="BC114" s="18">
        <f>((U114-1)*EXP(Constants!$B$17*AW114*1000))*1000</f>
        <v>143.21517961644062</v>
      </c>
      <c r="BD114" s="132">
        <f>SQRT((EXP(Constants!$B$17*AW114*1000)*V114)^2+((U114-1)*Constants!$B$17*EXP(Constants!$B$17*AW114*1000)*AY114*1000)^2)*1000</f>
        <v>0.74665933561996656</v>
      </c>
      <c r="BE114" s="18">
        <f t="shared" si="594"/>
        <v>82635.100000000006</v>
      </c>
      <c r="BF114" s="137">
        <f t="shared" si="595"/>
        <v>118.67302798449205</v>
      </c>
      <c r="BG114" s="20">
        <f t="shared" si="596"/>
        <v>0.2870203873950597</v>
      </c>
      <c r="BH114" s="18"/>
      <c r="BI114" s="18"/>
      <c r="BJ114" s="18"/>
      <c r="BK114" s="18"/>
      <c r="BL114" s="18"/>
      <c r="BM114" s="18"/>
      <c r="BN114" s="159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</row>
    <row r="115" spans="1:110" ht="15" customHeight="1" x14ac:dyDescent="0.2">
      <c r="A115" s="138">
        <f>Input!A115</f>
        <v>10815</v>
      </c>
      <c r="B115" s="138" t="str">
        <f>Input!B115</f>
        <v>Hu1-13</v>
      </c>
      <c r="C115" s="138">
        <f>Input!O115</f>
        <v>2.0724359635448346</v>
      </c>
      <c r="D115" s="138">
        <f>C115*Input!P115/100</f>
        <v>1.2071450207550221E-2</v>
      </c>
      <c r="E115" s="139">
        <f>Input!M115</f>
        <v>2.7322034177955947</v>
      </c>
      <c r="F115" s="140">
        <f>E115*Input!N115/100</f>
        <v>2.7689869273375537E-4</v>
      </c>
      <c r="G115" s="141">
        <f t="shared" ref="G115" si="624">E115*137.88</f>
        <v>376.71620724565656</v>
      </c>
      <c r="H115" s="140">
        <f>G115*Input!L115/100</f>
        <v>2.1378703867103558E-2</v>
      </c>
      <c r="I115" s="138">
        <v>0</v>
      </c>
      <c r="J115" s="142">
        <f>(((C115*Constants!$B$24*0.000000001*Input!G115*(Constants!$B$4/Constants!$B$3))-(I115*0.000000000000001))/Input!F115)*1000000000000</f>
        <v>748.22718765927539</v>
      </c>
      <c r="K115" s="138">
        <f>J115*Input!P115/100</f>
        <v>4.3582467196308512</v>
      </c>
      <c r="L115" s="143">
        <f>(J115/Constants!$B$4)*602200000000*Constants!$B$17/(365.2425*24*60)</f>
        <v>10.330107093386216</v>
      </c>
      <c r="M115" s="144">
        <f>L115*Input!P115/100</f>
        <v>6.0170434990511751E-2</v>
      </c>
      <c r="N115" s="138">
        <v>0</v>
      </c>
      <c r="O115" s="142">
        <f>(((G115*Constants!$B$23*0.000000001*Input!G115*(Constants!$B$7/Constants!$B$6))-(N115*0.000000001))/Input!F115)*1000000</f>
        <v>13.700870778401196</v>
      </c>
      <c r="P115" s="138">
        <f>O115*Input!N115/100</f>
        <v>1.3885324874215585E-3</v>
      </c>
      <c r="Q115" s="145">
        <f>(O115/Constants!$B$7)*602200000000000000*Constants!$B$18/(365.2425*24*60)</f>
        <v>10.22250409683169</v>
      </c>
      <c r="R115" s="146">
        <f>Q115*Input!N115/100</f>
        <v>1.0360129126702968E-3</v>
      </c>
      <c r="S115" s="144">
        <f>Input!S115*Constants!$B$17/Constants!$B$18</f>
        <v>0.99949242212786671</v>
      </c>
      <c r="T115" s="138">
        <f>S115*Input!T115/100</f>
        <v>1.2740628908944674E-3</v>
      </c>
      <c r="U115" s="144">
        <f>S115</f>
        <v>0.99949242212786671</v>
      </c>
      <c r="V115" s="138">
        <f>U115*Input!T115/100</f>
        <v>1.2740628908944674E-3</v>
      </c>
      <c r="W115" s="147">
        <v>0</v>
      </c>
      <c r="X115" s="142">
        <f>(((Constants!$B$25*0.000000001*Input!G115/Input!W115*(Constants!$B$11/Constants!$B$9))-(W115*0.000000001))/Input!F115)*1000000000</f>
        <v>0.94899859628661154</v>
      </c>
      <c r="Y115" s="142">
        <f>X115*Input!X115/100</f>
        <v>3.6937940660433273E-3</v>
      </c>
      <c r="Z115" s="142">
        <f>(X115/Constants!$B$11)*6.022E+23*0.000000001*Constants!$B$19/(365.2425*24*60)</f>
        <v>2.3168123727368255E-4</v>
      </c>
      <c r="AA115" s="142">
        <f>Z115*Input!X115/100</f>
        <v>9.0177454719505801E-7</v>
      </c>
      <c r="AB115" s="143">
        <v>0</v>
      </c>
      <c r="AC115" s="143">
        <v>0.9</v>
      </c>
      <c r="AD115" s="142">
        <f>(((Input!G115*Constants!$B$25*0.000000001*Input!U115*(Constants!$B$10/Constants!$B$9))-((AB115*0.000000000000001)+(Input!G115*AC115*0.000000000000001)))/Input!F115)*1000000000000</f>
        <v>223.24973518415047</v>
      </c>
      <c r="AE115" s="142">
        <f>AD115*Input!V115/100</f>
        <v>0.51257661776473773</v>
      </c>
      <c r="AF115" s="142">
        <f>(AD115/Constants!$B$10)*602200000000*Constants!$B$16/(365.2425*24*60)</f>
        <v>10.190383396975854</v>
      </c>
      <c r="AG115" s="142">
        <f>AF115*Input!V115/100</f>
        <v>2.3396902357081282E-2</v>
      </c>
      <c r="AH115" s="138">
        <f t="shared" ref="AH115" si="625">AF115/Z115</f>
        <v>43984.500069541944</v>
      </c>
      <c r="AI115" s="147">
        <f t="shared" ref="AI115" si="626">AH115*SQRT((AG115/AF115)^2+(AA115/Z115)^2)</f>
        <v>198.76698808973623</v>
      </c>
      <c r="AJ115" s="144">
        <f t="shared" si="580"/>
        <v>-0.50757787213329131</v>
      </c>
      <c r="AK115" s="147">
        <f t="shared" ref="AK115" si="627">V115*1000</f>
        <v>1.2740628908944673</v>
      </c>
      <c r="AL115" s="147">
        <f t="shared" ref="AL115" si="628">AF115/Q115</f>
        <v>0.99685784426676904</v>
      </c>
      <c r="AM115" s="147">
        <f t="shared" ref="AM115" si="629">AL115*SQRT((R115/Q115)^2+(AG115/AF115)^2)</f>
        <v>2.2909929316801774E-3</v>
      </c>
      <c r="AN115" s="138">
        <f>AF115/Q115</f>
        <v>0.99685784426676904</v>
      </c>
      <c r="AO115" s="142">
        <f t="shared" ref="AO115" si="630">AN115*SQRT((R115/Q115)^2+(AG115/AF115)^2)</f>
        <v>2.2909929316801774E-3</v>
      </c>
      <c r="AP115" s="138">
        <f t="shared" ref="AP115" si="631">ThU_Alter_Kombi(AN115,U115)</f>
        <v>656.87530000000004</v>
      </c>
      <c r="AQ115" s="138" t="e">
        <f t="shared" si="586"/>
        <v>#VALUE!</v>
      </c>
      <c r="AR115" s="138" t="e">
        <f>(AQ115/AP115)*100</f>
        <v>#VALUE!</v>
      </c>
      <c r="AS115" s="146">
        <f t="shared" si="587"/>
        <v>2.266384391525836E-5</v>
      </c>
      <c r="AT115" s="146">
        <f t="shared" si="588"/>
        <v>8.8244540535937895E-8</v>
      </c>
      <c r="AU115" s="138">
        <v>0.75</v>
      </c>
      <c r="AV115" s="138">
        <f t="shared" ref="AV115" si="632">AU115/2</f>
        <v>0.375</v>
      </c>
      <c r="AW115" s="138">
        <f t="shared" si="590"/>
        <v>656.87339999999995</v>
      </c>
      <c r="AX115" s="148">
        <f t="shared" si="591"/>
        <v>271.71634517989997</v>
      </c>
      <c r="AY115" s="148">
        <f t="shared" si="592"/>
        <v>131.16595140753424</v>
      </c>
      <c r="AZ115" s="149">
        <f t="shared" si="593"/>
        <v>0.41365100973779728</v>
      </c>
      <c r="BA115" s="138" t="str">
        <f>Input!B115</f>
        <v>Hu1-13</v>
      </c>
      <c r="BB115" s="150">
        <f>Input!E115</f>
        <v>0</v>
      </c>
      <c r="BC115" s="138">
        <f>((U115-1)*EXP(Constants!$B$17*AW115*1000))*1000</f>
        <v>-3.2401868892042396</v>
      </c>
      <c r="BD115" s="144">
        <f>SQRT((EXP(Constants!$B$17*AW115*1000)*V115)^2+((U115-1)*Constants!$B$17*EXP(Constants!$B$17*AW115*1000)*AY115*1000)^2)*1000</f>
        <v>8.2210998095818759</v>
      </c>
      <c r="BE115" s="138">
        <f t="shared" si="594"/>
        <v>656815.39999999991</v>
      </c>
      <c r="BF115" s="151">
        <f t="shared" si="595"/>
        <v>65582.975703767122</v>
      </c>
      <c r="BG115" s="160">
        <f t="shared" si="596"/>
        <v>19.968223923747598</v>
      </c>
      <c r="BH115" s="138"/>
      <c r="BI115" s="18"/>
      <c r="BJ115" s="18"/>
      <c r="BK115" s="18"/>
      <c r="BL115" s="18"/>
      <c r="BM115" s="18"/>
      <c r="BN115" s="159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</row>
    <row r="117" spans="1:110" ht="15" customHeight="1" x14ac:dyDescent="0.2">
      <c r="A117" s="138">
        <f>Input!A117</f>
        <v>10815</v>
      </c>
      <c r="B117" s="138" t="str">
        <f>Input!B117</f>
        <v>Hu1-13</v>
      </c>
      <c r="C117" s="138">
        <f>Input!O117</f>
        <v>2.0835227479526437</v>
      </c>
      <c r="D117" s="138">
        <f>C117*Input!P117/100</f>
        <v>8.46413432322074E-3</v>
      </c>
      <c r="E117" s="139">
        <f>Input!M117</f>
        <v>2.7318119041595614</v>
      </c>
      <c r="F117" s="140">
        <f>E117*Input!N117/100</f>
        <v>2.2182057953142116E-4</v>
      </c>
      <c r="G117" s="141">
        <f t="shared" ref="G117" si="633">E117*137.88</f>
        <v>376.66222534552031</v>
      </c>
      <c r="H117" s="140">
        <f>G117*Input!L117/100</f>
        <v>2.2679522293572955E-2</v>
      </c>
      <c r="I117" s="138">
        <v>0</v>
      </c>
      <c r="J117" s="142">
        <f>(((C117*Constants!$B$24*0.000000001*Input!G117*(Constants!$B$4/Constants!$B$3))-(I117*0.000000000000001))/Input!F117)*1000000000000</f>
        <v>752.2299330581975</v>
      </c>
      <c r="K117" s="138">
        <f>J117*Input!P117/100</f>
        <v>3.0558702570482539</v>
      </c>
      <c r="L117" s="143">
        <f>(J117/Constants!$B$4)*602200000000*Constants!$B$17/(365.2425*24*60)</f>
        <v>10.38536943792595</v>
      </c>
      <c r="M117" s="144">
        <f>L117*Input!P117/100</f>
        <v>4.2189681876645714E-2</v>
      </c>
      <c r="N117" s="138">
        <v>0</v>
      </c>
      <c r="O117" s="142">
        <f>(((G117*Constants!$B$23*0.000000001*Input!G117*(Constants!$B$7/Constants!$B$6))-(N117*0.000000001))/Input!F117)*1000000</f>
        <v>13.698907499349446</v>
      </c>
      <c r="P117" s="138">
        <f>O117*Input!N117/100</f>
        <v>1.1123385163620471E-3</v>
      </c>
      <c r="Q117" s="145">
        <f>(O117/Constants!$B$7)*602200000000000000*Constants!$B$18/(365.2425*24*60)</f>
        <v>10.221039253576516</v>
      </c>
      <c r="R117" s="146">
        <f>Q117*Input!N117/100</f>
        <v>8.2993885749950978E-4</v>
      </c>
      <c r="S117" s="144">
        <f>Input!S117*Constants!$B$17/Constants!$B$18</f>
        <v>1.0004747739461819</v>
      </c>
      <c r="T117" s="138">
        <f>S117*Input!T117/100</f>
        <v>1.4463370355337238E-3</v>
      </c>
      <c r="U117" s="144">
        <f>S117</f>
        <v>1.0004747739461819</v>
      </c>
      <c r="V117" s="138">
        <f>U117*Input!T117/100</f>
        <v>1.4463370355337238E-3</v>
      </c>
      <c r="W117" s="147">
        <v>0</v>
      </c>
      <c r="X117" s="142">
        <f>(((Constants!$B$25*0.000000001*Input!G117/Input!W117*(Constants!$B$11/Constants!$B$9))-(W117*0.000000001))/Input!F117)*1000000000</f>
        <v>0.94716474267423079</v>
      </c>
      <c r="Y117" s="142">
        <f>X117*Input!X117/100</f>
        <v>3.7460996444684414E-3</v>
      </c>
      <c r="Z117" s="142">
        <f>(X117/Constants!$B$11)*6.022E+23*0.000000001*Constants!$B$19/(365.2425*24*60)</f>
        <v>2.3123353432074066E-4</v>
      </c>
      <c r="AA117" s="142">
        <f>Z117*Input!X117/100</f>
        <v>9.1454402986159084E-7</v>
      </c>
      <c r="AB117" s="143">
        <v>0</v>
      </c>
      <c r="AC117" s="143">
        <v>0.9</v>
      </c>
      <c r="AD117" s="142">
        <f>(((Input!G117*Constants!$B$25*0.000000001*Input!U117*(Constants!$B$10/Constants!$B$9))-((AB117*0.000000000000001)+(Input!G117*AC117*0.000000000000001)))/Input!F117)*1000000000000</f>
        <v>223.80694166219791</v>
      </c>
      <c r="AE117" s="142">
        <f>AD117*Input!V117/100</f>
        <v>0.58064184376886951</v>
      </c>
      <c r="AF117" s="142">
        <f>(AD117/Constants!$B$10)*602200000000*Constants!$B$16/(365.2425*24*60)</f>
        <v>10.215817459139011</v>
      </c>
      <c r="AG117" s="142">
        <f>AF117*Input!V117/100</f>
        <v>2.6503785097218818E-2</v>
      </c>
      <c r="AH117" s="138">
        <f t="shared" ref="AH117" si="634">AF117/Z117</f>
        <v>44179.65365252256</v>
      </c>
      <c r="AI117" s="147">
        <f t="shared" ref="AI117" si="635">AH117*SQRT((AG117/AF117)^2+(AA117/Z117)^2)</f>
        <v>208.97207964728833</v>
      </c>
      <c r="AJ117" s="144">
        <f t="shared" ref="AJ117:AJ125" si="636">(U117-1)*1000</f>
        <v>0.4747739461818945</v>
      </c>
      <c r="AK117" s="147">
        <f t="shared" ref="AK117" si="637">V117*1000</f>
        <v>1.4463370355337237</v>
      </c>
      <c r="AL117" s="147">
        <f t="shared" ref="AL117" si="638">AF117/Q117</f>
        <v>0.99948911316080924</v>
      </c>
      <c r="AM117" s="147">
        <f t="shared" ref="AM117" si="639">AL117*SQRT((R117/Q117)^2+(AG117/AF117)^2)</f>
        <v>2.5943313913879182E-3</v>
      </c>
      <c r="AN117" s="138">
        <f>AF117/Q117</f>
        <v>0.99948911316080924</v>
      </c>
      <c r="AO117" s="142">
        <f t="shared" ref="AO117" si="640">AN117*SQRT((R117/Q117)^2+(AG117/AF117)^2)</f>
        <v>2.5943313913879182E-3</v>
      </c>
      <c r="AP117" s="138">
        <f t="shared" ref="AP117" si="641">ThU_Alter_Kombi(AN117,U117)</f>
        <v>734.26520000000005</v>
      </c>
      <c r="AQ117" s="138" t="e">
        <f t="shared" ref="AQ117:AQ125" si="642">Montealter(AN117,AO117,U117,V117)</f>
        <v>#VALUE!</v>
      </c>
      <c r="AR117" s="138" t="e">
        <f>(AQ117/AP117)*100</f>
        <v>#VALUE!</v>
      </c>
      <c r="AS117" s="146">
        <f t="shared" ref="AS117:AS125" si="643">Z117/Q117</f>
        <v>2.2623289920330568E-5</v>
      </c>
      <c r="AT117" s="146">
        <f t="shared" ref="AT117:AT125" si="644">AS117*SQRT((Y117/X117)^2+(P117/O117)^2)</f>
        <v>8.9495473566023127E-8</v>
      </c>
      <c r="AU117" s="138">
        <v>0.75</v>
      </c>
      <c r="AV117" s="138">
        <f t="shared" ref="AV117" si="645">AU117/2</f>
        <v>0.375</v>
      </c>
      <c r="AW117" s="138">
        <f t="shared" ref="AW117:AW125" si="646">marincorr_age(AN117,U117,AS117,AU117)</f>
        <v>734.26340000000005</v>
      </c>
      <c r="AX117" s="148">
        <f t="shared" ref="AX117:AX125" si="647">marincorr_age_error(AN117, AO117, U117, V117, AS117, AT117, AU117, AV117)</f>
        <v>330.80505159159998</v>
      </c>
      <c r="AY117" s="148">
        <f t="shared" ref="AY117:AY125" si="648">SQRT(((AU117*EXP(-0.0000091577*AW117*1000))/(0.0000091577*(EXP(-0.0000091577*AW117*1000)+(AJ117/1000)*EXP(-(0.0000091577-0.0000028263)*AW117*1000)-AS117*AU117*EXP(-0.0000091577*AW117*1000))))^2*AT117^2+((AS117*EXP(-0.0000091577*AW117*1000))/(0.0000091577*(EXP(-0.0000091577*AW117*1000)+(AJ117/1000)*EXP(-(0.0000091577-0.0000028263)*AW117*1000)-AS117*AU117*EXP(-0.0000091577*AW117*1000))))^2*AV117^2+((0.0000091577/(0.0000091577-0.0000028263))*(EXP(-(0.0000091577-0.0000028263)*AW117*1000)-1)/(0.0000091577*(EXP(-0.0000091577*AW117*1000)+(AJ117/1000)*EXP(-(0.0000091577-0.0000028263)*AW117*1000)-AS117*AU117*EXP(-0.0000091577*AW117*1000))))^2*T117^2+(1/(0.0000091577*(EXP(-0.0000091577*AW117*1000)+(AJ117/1000)*EXP(-(0.0000091577-0.0000028263)*AW117*1000)-AS117*AU117*EXP(-0.0000091577*AW117*1000))))^2*AO117^2)/1000</f>
        <v>300.61386306790905</v>
      </c>
      <c r="AZ117" s="149">
        <f t="shared" ref="AZ117:AZ125" si="649">AX117/AW117</f>
        <v>0.45052640726965276</v>
      </c>
      <c r="BA117" s="138" t="str">
        <f>Input!B117</f>
        <v>Hu1-13</v>
      </c>
      <c r="BB117" s="150">
        <f>Input!E117</f>
        <v>0</v>
      </c>
      <c r="BC117" s="138">
        <f>((U117-1)*EXP(Constants!$B$17*AW117*1000))*1000</f>
        <v>3.7705424596258323</v>
      </c>
      <c r="BD117" s="144">
        <f>SQRT((EXP(Constants!$B$17*AW117*1000)*V117)^2+((U117-1)*Constants!$B$17*EXP(Constants!$B$17*AW117*1000)*AY117*1000)^2)*1000</f>
        <v>11.92354248679206</v>
      </c>
      <c r="BE117" s="138">
        <f t="shared" ref="BE117:BE125" si="650">AW117*1000-58</f>
        <v>734205.4</v>
      </c>
      <c r="BF117" s="151">
        <f t="shared" ref="BF117:BF125" si="651">AY117/2*1000</f>
        <v>150306.93153395451</v>
      </c>
      <c r="BG117" s="160">
        <f t="shared" ref="BG117:BG125" si="652">AY117/AW117*100</f>
        <v>40.940875313669324</v>
      </c>
      <c r="BH117" s="138"/>
      <c r="BI117" s="18"/>
      <c r="BJ117" s="18"/>
      <c r="BK117" s="18"/>
      <c r="BL117" s="18"/>
      <c r="BM117" s="18"/>
      <c r="BN117" s="159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</row>
    <row r="118" spans="1:110" ht="15" customHeight="1" x14ac:dyDescent="0.2">
      <c r="A118" s="18">
        <f>Input!A118</f>
        <v>10959</v>
      </c>
      <c r="B118" s="18" t="str">
        <f>Input!B118</f>
        <v>GeoB20571-2_7-14</v>
      </c>
      <c r="C118" s="18">
        <f>Input!O118</f>
        <v>2.518306798710646</v>
      </c>
      <c r="D118" s="18">
        <f>C118*Input!P118/100</f>
        <v>6.0626861330882109E-3</v>
      </c>
      <c r="E118" s="152">
        <f>Input!M118</f>
        <v>2.9234739895383117</v>
      </c>
      <c r="F118" s="153">
        <f>E118*Input!N118/100</f>
        <v>1.1516952912934657E-4</v>
      </c>
      <c r="G118" s="21">
        <f>E118*137.88</f>
        <v>403.08859367754241</v>
      </c>
      <c r="H118" s="153">
        <f>G118*Input!L118/100</f>
        <v>1.923576095590495E-2</v>
      </c>
      <c r="I118" s="18">
        <v>0.3</v>
      </c>
      <c r="J118" s="129">
        <f>(((C118*Constants!$B$24*0.000000001*Input!G118*(Constants!$B$4/Constants!$B$3))-(I118*0.000000000000001))/Input!F118)*1000000000000</f>
        <v>242.35201226397669</v>
      </c>
      <c r="K118" s="18">
        <f>J118*Input!P118/100</f>
        <v>0.58344923852451502</v>
      </c>
      <c r="L118" s="134">
        <f>(J118/Constants!$B$4)*602200000000*Constants!$B$17/(365.2425*24*60)</f>
        <v>3.3459386163398439</v>
      </c>
      <c r="M118" s="132">
        <f>L118*Input!P118/100</f>
        <v>8.0551645501786701E-3</v>
      </c>
      <c r="N118" s="18">
        <v>5.0000000000000001E-3</v>
      </c>
      <c r="O118" s="129">
        <f>(((G118*Constants!$B$23*0.000000001*Input!G118*(Constants!$B$7/Constants!$B$6))-(N118*0.000000001))/Input!F118)*1000000</f>
        <v>3.9076871390983277</v>
      </c>
      <c r="P118" s="18">
        <f>O118*Input!N118/100</f>
        <v>1.5394236083688613E-4</v>
      </c>
      <c r="Q118" s="130">
        <f>(O118/Constants!$B$7)*602200000000000000*Constants!$B$18/(365.2425*24*60)</f>
        <v>2.9156064920736839</v>
      </c>
      <c r="R118" s="131">
        <f>Q118*Input!N118/100</f>
        <v>1.1485959102773528E-4</v>
      </c>
      <c r="S118" s="132">
        <f>Input!S118*Constants!$B$17/Constants!$B$18</f>
        <v>1.1439696065451683</v>
      </c>
      <c r="T118" s="18">
        <f>S118*Input!T118/100</f>
        <v>5.4244493630740032E-4</v>
      </c>
      <c r="U118" s="18">
        <f>S118*1/((U117+U119)/2)</f>
        <v>1.14404976752148</v>
      </c>
      <c r="V118" s="18">
        <f>U118*Input!T118/100</f>
        <v>5.4248294685894027E-4</v>
      </c>
      <c r="W118" s="133">
        <v>3.0000000000000001E-3</v>
      </c>
      <c r="X118" s="129">
        <f>IF((((Constants!$B$25*0.000000001*Input!G118/Input!W118*(Constants!$B$11/Constants!$B$9))-(W118*0.000000001))/Input!F118)*1000000000&lt;0, "n.d.", (((Constants!$B$25*0.000000001*Input!G118/Input!W118*(Constants!$B$11/Constants!$B$9))-(W118*0.000000001))/Input!F118)*1000000000)</f>
        <v>0.18673835420840768</v>
      </c>
      <c r="Y118" s="129">
        <f>X118*Input!X118/100</f>
        <v>5.343750113915301E-4</v>
      </c>
      <c r="Z118" s="129">
        <f>(X118/Constants!$B$11)*6.022E+23*0.000000001*Constants!$B$19/(365.2425*24*60)</f>
        <v>4.5588869276249985E-5</v>
      </c>
      <c r="AA118" s="129">
        <f>Z118*Input!X118/100</f>
        <v>1.3045821594654609E-7</v>
      </c>
      <c r="AB118" s="134">
        <v>0.05</v>
      </c>
      <c r="AC118" s="134">
        <v>0.9</v>
      </c>
      <c r="AD118" s="129">
        <f>(((Input!G118*Constants!$B$25*0.000000001*Input!U118*(Constants!$B$10/Constants!$B$9))-((AB118*0.000000000000001)+(Input!G118*AC118*0.000000000000001)))/Input!F118)*1000000000000</f>
        <v>3.5952832881082992</v>
      </c>
      <c r="AE118" s="129">
        <f>AD118*Input!V118/100</f>
        <v>1.4935362230235803E-2</v>
      </c>
      <c r="AF118" s="129">
        <f>(AD118/Constants!$B$10)*602200000000*Constants!$B$16/(365.2425*24*60)</f>
        <v>0.1641091090045092</v>
      </c>
      <c r="AG118" s="129">
        <f>AF118*Input!V118/100</f>
        <v>6.817345927567324E-4</v>
      </c>
      <c r="AH118" s="18">
        <f>AF118/Z118</f>
        <v>3599.7626528105975</v>
      </c>
      <c r="AI118" s="133">
        <f>AH118*SQRT((AG118/AF118)^2+(AA118/Z118)^2)</f>
        <v>18.158614828904671</v>
      </c>
      <c r="AJ118" s="132">
        <f t="shared" si="636"/>
        <v>144.04976752148002</v>
      </c>
      <c r="AK118" s="133">
        <f>V118*1000</f>
        <v>0.54248294685894027</v>
      </c>
      <c r="AL118" s="133">
        <f>AF118/Q118</f>
        <v>5.6286439699820022E-2</v>
      </c>
      <c r="AM118" s="133">
        <f>AL118*SQRT((R118/Q118)^2+(AG118/AF118)^2)</f>
        <v>2.3383308021820577E-4</v>
      </c>
      <c r="AN118" s="18">
        <f>AL118*1/((AN117+AN119)/2)</f>
        <v>5.6327101413972333E-2</v>
      </c>
      <c r="AO118" s="129">
        <f>AN118*SQRT((R118/Q118)^2+(AG118/AF118)^2)</f>
        <v>2.3400200285601862E-4</v>
      </c>
      <c r="AP118" s="18">
        <f>ThU_Alter_Kombi(AN118,U118)</f>
        <v>5.5</v>
      </c>
      <c r="AQ118" s="18">
        <f t="shared" si="642"/>
        <v>2.3800000000000002E-2</v>
      </c>
      <c r="AR118" s="154">
        <f>(AQ118/AP118)</f>
        <v>4.3272727272727273E-3</v>
      </c>
      <c r="AS118" s="131">
        <f t="shared" si="643"/>
        <v>1.5636153026887227E-5</v>
      </c>
      <c r="AT118" s="131">
        <f t="shared" si="644"/>
        <v>4.4749035178347493E-8</v>
      </c>
      <c r="AU118" s="18">
        <v>8</v>
      </c>
      <c r="AV118" s="18">
        <f>AU118/2</f>
        <v>4</v>
      </c>
      <c r="AW118" s="18">
        <f t="shared" si="646"/>
        <v>5.4881000000000002</v>
      </c>
      <c r="AX118" s="135">
        <f t="shared" si="647"/>
        <v>2.3557400900000001E-2</v>
      </c>
      <c r="AY118" s="135">
        <f t="shared" si="648"/>
        <v>2.4336709779346433E-2</v>
      </c>
      <c r="AZ118" s="154">
        <f t="shared" si="649"/>
        <v>4.2924511032962223E-3</v>
      </c>
      <c r="BA118" s="18" t="str">
        <f>Input!B118</f>
        <v>GeoB20571-2_7-14</v>
      </c>
      <c r="BB118" s="136">
        <f>Input!E118</f>
        <v>10.5</v>
      </c>
      <c r="BC118" s="18">
        <f>((U118-1)*EXP(Constants!$B$17*AW118*1000))*1000</f>
        <v>146.29814011679983</v>
      </c>
      <c r="BD118" s="132">
        <f>SQRT((EXP(Constants!$B$17*AW118*1000)*V118)^2+((U118-1)*Constants!$B$17*EXP(Constants!$B$17*AW118*1000)*AY118*1000)^2)*1000</f>
        <v>0.55104179836909772</v>
      </c>
      <c r="BE118" s="18">
        <f t="shared" si="650"/>
        <v>5430.1</v>
      </c>
      <c r="BF118" s="137">
        <f t="shared" si="651"/>
        <v>12.168354889673216</v>
      </c>
      <c r="BG118" s="20">
        <f t="shared" si="652"/>
        <v>0.44344508626567353</v>
      </c>
      <c r="BH118" s="18"/>
      <c r="BI118" s="18"/>
      <c r="BJ118" s="18"/>
      <c r="BK118" s="18"/>
      <c r="BL118" s="18"/>
      <c r="BM118" s="18"/>
      <c r="BN118" s="159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</row>
    <row r="119" spans="1:110" ht="15" customHeight="1" x14ac:dyDescent="0.2">
      <c r="A119" s="138">
        <f>Input!A119</f>
        <v>10815</v>
      </c>
      <c r="B119" s="138" t="str">
        <f>Input!B119</f>
        <v>Hu1-13</v>
      </c>
      <c r="C119" s="138">
        <f>Input!O119</f>
        <v>2.0839725393109103</v>
      </c>
      <c r="D119" s="138">
        <f>C119*Input!P119/100</f>
        <v>1.0504370812339979E-2</v>
      </c>
      <c r="E119" s="139">
        <f>Input!M119</f>
        <v>2.7320841763771333</v>
      </c>
      <c r="F119" s="140">
        <f>E119*Input!N119/100</f>
        <v>2.577698502328097E-4</v>
      </c>
      <c r="G119" s="141">
        <f t="shared" ref="G119" si="653">E119*137.88</f>
        <v>376.69976623887914</v>
      </c>
      <c r="H119" s="140">
        <f>G119*Input!L119/100</f>
        <v>1.8537166070329302E-2</v>
      </c>
      <c r="I119" s="138">
        <v>0</v>
      </c>
      <c r="J119" s="142">
        <f>(((C119*Constants!$B$24*0.000000001*Input!G119*(Constants!$B$4/Constants!$B$3))-(I119*0.000000000000001))/Input!F119)*1000000000000</f>
        <v>752.39232462490884</v>
      </c>
      <c r="K119" s="138">
        <f>J119*Input!P119/100</f>
        <v>3.7924722255850223</v>
      </c>
      <c r="L119" s="143">
        <f>(J119/Constants!$B$4)*602200000000*Constants!$B$17/(365.2425*24*60)</f>
        <v>10.387611433810166</v>
      </c>
      <c r="M119" s="144">
        <f>L119*Input!P119/100</f>
        <v>5.2359289912392415E-2</v>
      </c>
      <c r="N119" s="138">
        <v>0</v>
      </c>
      <c r="O119" s="142">
        <f>(((G119*Constants!$B$23*0.000000001*Input!G119*(Constants!$B$7/Constants!$B$6))-(N119*0.000000001))/Input!F119)*1000000</f>
        <v>13.700272831976292</v>
      </c>
      <c r="P119" s="138">
        <f>O119*Input!N119/100</f>
        <v>1.292609249225297E-3</v>
      </c>
      <c r="Q119" s="145">
        <f>(O119/Constants!$B$7)*602200000000000000*Constants!$B$18/(365.2425*24*60)</f>
        <v>10.222057956591618</v>
      </c>
      <c r="R119" s="146">
        <f>Q119*Input!N119/100</f>
        <v>9.6444259343274287E-4</v>
      </c>
      <c r="S119" s="144">
        <f>Input!S119*Constants!$B$17/Constants!$B$18</f>
        <v>0.99938509058316405</v>
      </c>
      <c r="T119" s="138">
        <f>S119*Input!T119/100</f>
        <v>1.1537513665350926E-3</v>
      </c>
      <c r="U119" s="144">
        <f>S119</f>
        <v>0.99938509058316405</v>
      </c>
      <c r="V119" s="138">
        <f>U119*Input!T119/100</f>
        <v>1.1537513665350926E-3</v>
      </c>
      <c r="W119" s="147">
        <v>0</v>
      </c>
      <c r="X119" s="142">
        <f>(((Constants!$B$25*0.000000001*Input!G119/Input!W119*(Constants!$B$11/Constants!$B$9))-(W119*0.000000001))/Input!F119)*1000000000</f>
        <v>0.94187529277663828</v>
      </c>
      <c r="Y119" s="142">
        <f>X119*Input!X119/100</f>
        <v>3.7323779041736689E-3</v>
      </c>
      <c r="Z119" s="142">
        <f>(X119/Constants!$B$11)*6.022E+23*0.000000001*Constants!$B$19/(365.2425*24*60)</f>
        <v>2.2994220859953664E-4</v>
      </c>
      <c r="AA119" s="142">
        <f>Z119*Input!X119/100</f>
        <v>9.1119410944918906E-7</v>
      </c>
      <c r="AB119" s="143">
        <v>0</v>
      </c>
      <c r="AC119" s="143">
        <v>0.9</v>
      </c>
      <c r="AD119" s="142">
        <f>(((Input!G119*Constants!$B$25*0.000000001*Input!U119*(Constants!$B$10/Constants!$B$9))-((AB119*0.000000000000001)+(Input!G119*AC119*0.000000000000001)))/Input!F119)*1000000000000</f>
        <v>223.73474429266446</v>
      </c>
      <c r="AE119" s="142">
        <f>AD119*Input!V119/100</f>
        <v>0.55200203820912508</v>
      </c>
      <c r="AF119" s="142">
        <f>(AD119/Constants!$B$10)*602200000000*Constants!$B$16/(365.2425*24*60)</f>
        <v>10.212521961945285</v>
      </c>
      <c r="AG119" s="142">
        <f>AF119*Input!V119/100</f>
        <v>2.5196502027754485E-2</v>
      </c>
      <c r="AH119" s="138">
        <f t="shared" ref="AH119" si="654">AF119/Z119</f>
        <v>44413.429026991893</v>
      </c>
      <c r="AI119" s="147">
        <f t="shared" ref="AI119" si="655">AH119*SQRT((AG119/AF119)^2+(AA119/Z119)^2)</f>
        <v>207.32187374752075</v>
      </c>
      <c r="AJ119" s="144">
        <f t="shared" si="636"/>
        <v>-0.61490941683595146</v>
      </c>
      <c r="AK119" s="147">
        <f t="shared" ref="AK119" si="656">V119*1000</f>
        <v>1.1537513665350927</v>
      </c>
      <c r="AL119" s="147">
        <f t="shared" ref="AL119" si="657">AF119/Q119</f>
        <v>0.9990671159675647</v>
      </c>
      <c r="AM119" s="147">
        <f t="shared" ref="AM119" si="658">AL119*SQRT((R119/Q119)^2+(AG119/AF119)^2)</f>
        <v>2.466716476440838E-3</v>
      </c>
      <c r="AN119" s="138">
        <f>AF119/Q119</f>
        <v>0.9990671159675647</v>
      </c>
      <c r="AO119" s="142">
        <f t="shared" ref="AO119" si="659">AN119*SQRT((R119/Q119)^2+(AG119/AF119)^2)</f>
        <v>2.466716476440838E-3</v>
      </c>
      <c r="AP119" s="138" t="str">
        <f t="shared" ref="AP119" si="660">ThU_Alter_Kombi(AN119,U119)</f>
        <v>Out of range</v>
      </c>
      <c r="AQ119" s="138" t="e">
        <f t="shared" si="642"/>
        <v>#VALUE!</v>
      </c>
      <c r="AR119" s="138" t="e">
        <f>(AQ119/AP119)*100</f>
        <v>#VALUE!</v>
      </c>
      <c r="AS119" s="146">
        <f t="shared" si="643"/>
        <v>2.2494707971329797E-5</v>
      </c>
      <c r="AT119" s="146">
        <f t="shared" si="644"/>
        <v>8.9165248906673415E-8</v>
      </c>
      <c r="AU119" s="138">
        <v>0.75</v>
      </c>
      <c r="AV119" s="138">
        <f t="shared" ref="AV119" si="661">AU119/2</f>
        <v>0.375</v>
      </c>
      <c r="AW119" s="138" t="str">
        <f t="shared" si="646"/>
        <v>Out of range</v>
      </c>
      <c r="AX119" s="148">
        <f t="shared" si="647"/>
        <v>360.3442109755</v>
      </c>
      <c r="AY119" s="148" t="e">
        <f t="shared" si="648"/>
        <v>#VALUE!</v>
      </c>
      <c r="AZ119" s="149" t="e">
        <f t="shared" si="649"/>
        <v>#VALUE!</v>
      </c>
      <c r="BA119" s="138" t="str">
        <f>Input!B119</f>
        <v>Hu1-13</v>
      </c>
      <c r="BB119" s="150">
        <f>Input!E119</f>
        <v>0</v>
      </c>
      <c r="BC119" s="138" t="e">
        <f>((U119-1)*EXP(Constants!$B$17*AW119*1000))*1000</f>
        <v>#VALUE!</v>
      </c>
      <c r="BD119" s="144" t="e">
        <f>SQRT((EXP(Constants!$B$17*AW119*1000)*V119)^2+((U119-1)*Constants!$B$17*EXP(Constants!$B$17*AW119*1000)*AY119*1000)^2)*1000</f>
        <v>#VALUE!</v>
      </c>
      <c r="BE119" s="138" t="e">
        <f t="shared" si="650"/>
        <v>#VALUE!</v>
      </c>
      <c r="BF119" s="151" t="e">
        <f t="shared" si="651"/>
        <v>#VALUE!</v>
      </c>
      <c r="BG119" s="160" t="e">
        <f t="shared" si="652"/>
        <v>#VALUE!</v>
      </c>
      <c r="BH119" s="138"/>
      <c r="BI119" s="18"/>
      <c r="BJ119" s="18"/>
      <c r="BK119" s="18"/>
      <c r="BL119" s="18"/>
      <c r="BM119" s="18"/>
      <c r="BN119" s="159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</row>
    <row r="120" spans="1:110" ht="15" customHeight="1" x14ac:dyDescent="0.2">
      <c r="A120" s="18">
        <f>Input!A120</f>
        <v>10960</v>
      </c>
      <c r="B120" s="18" t="str">
        <f>Input!B120</f>
        <v>GeoB20571-2_99-103</v>
      </c>
      <c r="C120" s="18">
        <f>Input!O120</f>
        <v>1.6838337510914818</v>
      </c>
      <c r="D120" s="18">
        <f>C120*Input!P120/100</f>
        <v>2.5104119659230036E-3</v>
      </c>
      <c r="E120" s="152">
        <f>Input!M120</f>
        <v>1.9522735750237397</v>
      </c>
      <c r="F120" s="153">
        <f>E120*Input!N120/100</f>
        <v>7.1709712099507982E-5</v>
      </c>
      <c r="G120" s="21">
        <f>E120*137.88</f>
        <v>269.17948052427323</v>
      </c>
      <c r="H120" s="153">
        <f>G120*Input!L120/100</f>
        <v>7.6633811352774008E-3</v>
      </c>
      <c r="I120" s="18">
        <v>0.3</v>
      </c>
      <c r="J120" s="129">
        <f>(((C120*Constants!$B$24*0.000000001*Input!G120*(Constants!$B$4/Constants!$B$3))-(I120*0.000000000000001))/Input!F120)*1000000000000</f>
        <v>214.12200998732527</v>
      </c>
      <c r="K120" s="18">
        <f>J120*Input!P120/100</f>
        <v>0.31923249886826993</v>
      </c>
      <c r="L120" s="134">
        <f>(J120/Constants!$B$4)*602200000000*Constants!$B$17/(365.2425*24*60)</f>
        <v>2.9561920907202182</v>
      </c>
      <c r="M120" s="132">
        <f>L120*Input!P120/100</f>
        <v>4.4073590954572701E-3</v>
      </c>
      <c r="N120" s="18">
        <v>5.0000000000000001E-3</v>
      </c>
      <c r="O120" s="129">
        <f>(((G120*Constants!$B$23*0.000000001*Input!G120*(Constants!$B$7/Constants!$B$6))-(N120*0.000000001))/Input!F120)*1000000</f>
        <v>3.4481425469560087</v>
      </c>
      <c r="P120" s="18">
        <f>O120*Input!N120/100</f>
        <v>1.2665505105618859E-4</v>
      </c>
      <c r="Q120" s="130">
        <f>(O120/Constants!$B$7)*602200000000000000*Constants!$B$18/(365.2425*24*60)</f>
        <v>2.5727307324352959</v>
      </c>
      <c r="R120" s="131">
        <f>Q120*Input!N120/100</f>
        <v>9.4499962757651926E-5</v>
      </c>
      <c r="S120" s="132">
        <f>Input!S120*Constants!$B$17/Constants!$B$18</f>
        <v>1.14358910437715</v>
      </c>
      <c r="T120" s="18">
        <f>S120*Input!T120/100</f>
        <v>5.9952010905631853E-4</v>
      </c>
      <c r="U120" s="18">
        <f>S120*1/((U119+U121)/2)</f>
        <v>1.1439519468520933</v>
      </c>
      <c r="V120" s="18">
        <f>U120*Input!T120/100</f>
        <v>5.9971032716815231E-4</v>
      </c>
      <c r="W120" s="133">
        <v>3.0000000000000001E-3</v>
      </c>
      <c r="X120" s="129">
        <f>IF((((Constants!$B$25*0.000000001*Input!G120/Input!W120*(Constants!$B$11/Constants!$B$9))-(W120*0.000000001))/Input!F120)*1000000000&lt;0, "n.d.", (((Constants!$B$25*0.000000001*Input!G120/Input!W120*(Constants!$B$11/Constants!$B$9))-(W120*0.000000001))/Input!F120)*1000000000)</f>
        <v>0.57919879675221353</v>
      </c>
      <c r="Y120" s="129">
        <f>X120*Input!X120/100</f>
        <v>7.4348572624597579E-4</v>
      </c>
      <c r="Z120" s="129">
        <f>(X120/Constants!$B$11)*6.022E+23*0.000000001*Constants!$B$19/(365.2425*24*60)</f>
        <v>1.4140115104917795E-4</v>
      </c>
      <c r="AA120" s="129">
        <f>Z120*Input!X120/100</f>
        <v>1.8150890172651803E-7</v>
      </c>
      <c r="AB120" s="134">
        <v>0.05</v>
      </c>
      <c r="AC120" s="134">
        <v>0.9</v>
      </c>
      <c r="AD120" s="129">
        <f>(((Input!G120*Constants!$B$25*0.000000001*Input!U120*(Constants!$B$10/Constants!$B$9))-((AB120*0.000000000000001)+(Input!G120*AC120*0.000000000000001)))/Input!F120)*1000000000000</f>
        <v>3.8487035265878364</v>
      </c>
      <c r="AE120" s="129">
        <f>AD120*Input!V120/100</f>
        <v>1.1444945588387928E-2</v>
      </c>
      <c r="AF120" s="129">
        <f>(AD120/Constants!$B$10)*602200000000*Constants!$B$16/(365.2425*24*60)</f>
        <v>0.17567664519230969</v>
      </c>
      <c r="AG120" s="129">
        <f>AF120*Input!V120/100</f>
        <v>5.2241219192039774E-4</v>
      </c>
      <c r="AH120" s="18">
        <f>AF120/Z120</f>
        <v>1242.3989754596203</v>
      </c>
      <c r="AI120" s="133">
        <f>AH120*SQRT((AG120/AF120)^2+(AA120/Z120)^2)</f>
        <v>4.0240539418645769</v>
      </c>
      <c r="AJ120" s="132">
        <f t="shared" si="636"/>
        <v>143.95194685209333</v>
      </c>
      <c r="AK120" s="133">
        <f>V120*1000</f>
        <v>0.59971032716815231</v>
      </c>
      <c r="AL120" s="133">
        <f>AF120/Q120</f>
        <v>6.8284116552694049E-2</v>
      </c>
      <c r="AM120" s="133">
        <f>AL120*SQRT((R120/Q120)^2+(AG120/AF120)^2)</f>
        <v>2.0307295927315114E-4</v>
      </c>
      <c r="AN120" s="18">
        <f>AL120*1/((AN119+AN121)/2)</f>
        <v>6.8339134313570304E-2</v>
      </c>
      <c r="AO120" s="129">
        <f>AN120*SQRT((R120/Q120)^2+(AG120/AF120)^2)</f>
        <v>2.0323657886842116E-4</v>
      </c>
      <c r="AP120" s="18">
        <f>ThU_Alter_Kombi(AN120,U120)</f>
        <v>6.7088000000000001</v>
      </c>
      <c r="AQ120" s="18">
        <f t="shared" si="642"/>
        <v>2.06E-2</v>
      </c>
      <c r="AR120" s="154">
        <f>(AQ120/AP120)</f>
        <v>3.0705938468876697E-3</v>
      </c>
      <c r="AS120" s="131">
        <f t="shared" si="643"/>
        <v>5.4961504236135286E-5</v>
      </c>
      <c r="AT120" s="131">
        <f t="shared" si="644"/>
        <v>7.0579946490424867E-8</v>
      </c>
      <c r="AU120" s="18">
        <v>8</v>
      </c>
      <c r="AV120" s="18">
        <f>AU120/2</f>
        <v>4</v>
      </c>
      <c r="AW120" s="18">
        <f t="shared" si="646"/>
        <v>6.6669999999999998</v>
      </c>
      <c r="AX120" s="135">
        <f t="shared" si="647"/>
        <v>3.2956371499999998E-2</v>
      </c>
      <c r="AY120" s="135">
        <f t="shared" si="648"/>
        <v>2.9586500663565687E-2</v>
      </c>
      <c r="AZ120" s="154">
        <f t="shared" si="649"/>
        <v>4.9432085645717714E-3</v>
      </c>
      <c r="BA120" s="18" t="str">
        <f>Input!B120</f>
        <v>GeoB20571-2_99-103</v>
      </c>
      <c r="BB120" s="136">
        <f>Input!E120</f>
        <v>101</v>
      </c>
      <c r="BC120" s="18">
        <f>((U120-1)*EXP(Constants!$B$17*AW120*1000))*1000</f>
        <v>146.68599526940281</v>
      </c>
      <c r="BD120" s="132">
        <f>SQRT((EXP(Constants!$B$17*AW120*1000)*V120)^2+((U120-1)*Constants!$B$17*EXP(Constants!$B$17*AW120*1000)*AY120*1000)^2)*1000</f>
        <v>0.61122321534593982</v>
      </c>
      <c r="BE120" s="18">
        <f t="shared" si="650"/>
        <v>6609</v>
      </c>
      <c r="BF120" s="137">
        <f t="shared" si="651"/>
        <v>14.793250331782843</v>
      </c>
      <c r="BG120" s="20">
        <f t="shared" si="652"/>
        <v>0.44377532118742596</v>
      </c>
      <c r="BH120" s="18"/>
      <c r="BI120" s="18"/>
      <c r="BJ120" s="18"/>
      <c r="BK120" s="18"/>
      <c r="BL120" s="18"/>
      <c r="BM120" s="18"/>
      <c r="BN120" s="159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</row>
    <row r="121" spans="1:110" ht="15" customHeight="1" x14ac:dyDescent="0.2">
      <c r="A121" s="138">
        <f>Input!A121</f>
        <v>10815</v>
      </c>
      <c r="B121" s="138" t="str">
        <f>Input!B121</f>
        <v>Hu1-13</v>
      </c>
      <c r="C121" s="138">
        <f>Input!O121</f>
        <v>2.0708028015781124</v>
      </c>
      <c r="D121" s="138">
        <f>C121*Input!P121/100</f>
        <v>1.0720573507980972E-2</v>
      </c>
      <c r="E121" s="139">
        <f>Input!M121</f>
        <v>2.73206060496859</v>
      </c>
      <c r="F121" s="140">
        <f>E121*Input!N121/100</f>
        <v>2.1937344958851719E-4</v>
      </c>
      <c r="G121" s="141">
        <f t="shared" ref="G121" si="662">E121*137.88</f>
        <v>376.69651621306917</v>
      </c>
      <c r="H121" s="140">
        <f>G121*Input!L121/100</f>
        <v>1.3627734702814965E-2</v>
      </c>
      <c r="I121" s="138">
        <v>0</v>
      </c>
      <c r="J121" s="142">
        <f>(((C121*Constants!$B$24*0.000000001*Input!G121*(Constants!$B$4/Constants!$B$3))-(I121*0.000000000000001))/Input!F121)*1000000000000</f>
        <v>747.63755487599633</v>
      </c>
      <c r="K121" s="138">
        <f>J121*Input!P121/100</f>
        <v>3.8705295155420627</v>
      </c>
      <c r="L121" s="143">
        <f>(J121/Constants!$B$4)*602200000000*Constants!$B$17/(365.2425*24*60)</f>
        <v>10.321966558135019</v>
      </c>
      <c r="M121" s="144">
        <f>L121*Input!P121/100</f>
        <v>5.343695746841675E-2</v>
      </c>
      <c r="N121" s="138">
        <v>0</v>
      </c>
      <c r="O121" s="142">
        <f>(((G121*Constants!$B$23*0.000000001*Input!G121*(Constants!$B$7/Constants!$B$6))-(N121*0.000000001))/Input!F121)*1000000</f>
        <v>13.700154631105738</v>
      </c>
      <c r="P121" s="138">
        <f>O121*Input!N121/100</f>
        <v>1.1000671712245262E-3</v>
      </c>
      <c r="Q121" s="145">
        <f>(O121/Constants!$B$7)*602200000000000000*Constants!$B$18/(365.2425*24*60)</f>
        <v>10.221969764468428</v>
      </c>
      <c r="R121" s="146">
        <f>Q121*Input!N121/100</f>
        <v>8.2078295215809905E-4</v>
      </c>
      <c r="S121" s="144">
        <f>Input!S121*Constants!$B$17/Constants!$B$18</f>
        <v>0.99998054277942294</v>
      </c>
      <c r="T121" s="138">
        <f>S121*Input!T121/100</f>
        <v>1.3458237075167437E-3</v>
      </c>
      <c r="U121" s="144">
        <f>S121</f>
        <v>0.99998054277942294</v>
      </c>
      <c r="V121" s="138">
        <f>U121*Input!T121/100</f>
        <v>1.3458237075167437E-3</v>
      </c>
      <c r="W121" s="147">
        <v>0</v>
      </c>
      <c r="X121" s="142">
        <f>(((Constants!$B$25*0.000000001*Input!G121/Input!W121*(Constants!$B$11/Constants!$B$9))-(W121*0.000000001))/Input!F121)*1000000000</f>
        <v>0.94148152490860582</v>
      </c>
      <c r="Y121" s="142">
        <f>X121*Input!X121/100</f>
        <v>1.4434969956493805E-3</v>
      </c>
      <c r="Z121" s="142">
        <f>(X121/Constants!$B$11)*6.022E+23*0.000000001*Constants!$B$19/(365.2425*24*60)</f>
        <v>2.2984607713293456E-4</v>
      </c>
      <c r="AA121" s="142">
        <f>Z121*Input!X121/100</f>
        <v>3.5240428306375366E-7</v>
      </c>
      <c r="AB121" s="143">
        <v>0</v>
      </c>
      <c r="AC121" s="143">
        <v>0.9</v>
      </c>
      <c r="AD121" s="142">
        <f>(((Input!G121*Constants!$B$25*0.000000001*Input!U121*(Constants!$B$10/Constants!$B$9))-((AB121*0.000000000000001)+(Input!G121*AC121*0.000000000000001)))/Input!F121)*1000000000000</f>
        <v>223.79005995258419</v>
      </c>
      <c r="AE121" s="142">
        <f>AD121*Input!V121/100</f>
        <v>0.48963189504545762</v>
      </c>
      <c r="AF121" s="142">
        <f>(AD121/Constants!$B$10)*602200000000*Constants!$B$16/(365.2425*24*60)</f>
        <v>10.21504688221887</v>
      </c>
      <c r="AG121" s="142">
        <f>AF121*Input!V121/100</f>
        <v>2.2349575150829942E-2</v>
      </c>
      <c r="AH121" s="138">
        <f t="shared" ref="AH121" si="663">AF121/Z121</f>
        <v>44442.989889755052</v>
      </c>
      <c r="AI121" s="147">
        <f t="shared" ref="AI121" si="664">AH121*SQRT((AG121/AF121)^2+(AA121/Z121)^2)</f>
        <v>118.73597859759869</v>
      </c>
      <c r="AJ121" s="144">
        <f t="shared" si="636"/>
        <v>-1.9457220577057122E-2</v>
      </c>
      <c r="AK121" s="147">
        <f t="shared" ref="AK121" si="665">V121*1000</f>
        <v>1.3458237075167436</v>
      </c>
      <c r="AL121" s="147">
        <f t="shared" ref="AL121" si="666">AF121/Q121</f>
        <v>0.99932274479292416</v>
      </c>
      <c r="AM121" s="147">
        <f t="shared" ref="AM121" si="667">AL121*SQRT((R121/Q121)^2+(AG121/AF121)^2)</f>
        <v>2.1878974136554869E-3</v>
      </c>
      <c r="AN121" s="138">
        <f>AF121/Q121</f>
        <v>0.99932274479292416</v>
      </c>
      <c r="AO121" s="142">
        <f t="shared" ref="AO121" si="668">AN121*SQRT((R121/Q121)^2+(AG121/AF121)^2)</f>
        <v>2.1878974136554869E-3</v>
      </c>
      <c r="AP121" s="138">
        <f t="shared" ref="AP121" si="669">ThU_Alter_Kombi(AN121,U121)</f>
        <v>800.34500000000003</v>
      </c>
      <c r="AQ121" s="138" t="e">
        <f t="shared" si="642"/>
        <v>#VALUE!</v>
      </c>
      <c r="AR121" s="138" t="e">
        <f>(AQ121/AP121)*100</f>
        <v>#VALUE!</v>
      </c>
      <c r="AS121" s="146">
        <f t="shared" si="643"/>
        <v>2.2485497651526974E-5</v>
      </c>
      <c r="AT121" s="146">
        <f t="shared" si="644"/>
        <v>3.4522428749776817E-8</v>
      </c>
      <c r="AU121" s="138">
        <v>0.75</v>
      </c>
      <c r="AV121" s="138">
        <f t="shared" ref="AV121" si="670">AU121/2</f>
        <v>0.375</v>
      </c>
      <c r="AW121" s="138">
        <f t="shared" si="646"/>
        <v>800.34320000000002</v>
      </c>
      <c r="AX121" s="148">
        <f t="shared" si="647"/>
        <v>359.7271844782</v>
      </c>
      <c r="AY121" s="148">
        <f t="shared" si="648"/>
        <v>486.19984908151338</v>
      </c>
      <c r="AZ121" s="149">
        <f t="shared" si="649"/>
        <v>0.44946615961527503</v>
      </c>
      <c r="BA121" s="138" t="str">
        <f>Input!B121</f>
        <v>Hu1-13</v>
      </c>
      <c r="BB121" s="150">
        <f>Input!E121</f>
        <v>0</v>
      </c>
      <c r="BC121" s="138">
        <f>((U121-1)*EXP(Constants!$B$17*AW121*1000))*1000</f>
        <v>-0.18620249606808315</v>
      </c>
      <c r="BD121" s="144">
        <f>SQRT((EXP(Constants!$B$17*AW121*1000)*V121)^2+((U121-1)*Constants!$B$17*EXP(Constants!$B$17*AW121*1000)*AY121*1000)^2)*1000</f>
        <v>12.881851895339336</v>
      </c>
      <c r="BE121" s="138">
        <f t="shared" si="650"/>
        <v>800285.20000000007</v>
      </c>
      <c r="BF121" s="151">
        <f t="shared" si="651"/>
        <v>243099.92454075668</v>
      </c>
      <c r="BG121" s="160">
        <f t="shared" si="652"/>
        <v>60.748919848574133</v>
      </c>
      <c r="BH121" s="138"/>
      <c r="BI121" s="18"/>
      <c r="BJ121" s="18"/>
      <c r="BK121" s="18"/>
      <c r="BL121" s="18"/>
      <c r="BM121" s="18"/>
      <c r="BN121" s="159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</row>
    <row r="122" spans="1:110" ht="15" customHeight="1" x14ac:dyDescent="0.2">
      <c r="A122" s="18">
        <f>Input!A122</f>
        <v>10961</v>
      </c>
      <c r="B122" s="18" t="str">
        <f>Input!B122</f>
        <v>GeoB20571-2_193-197</v>
      </c>
      <c r="C122" s="18">
        <f>Input!O122</f>
        <v>2.3620710494263433</v>
      </c>
      <c r="D122" s="18">
        <f>C122*Input!P122/100</f>
        <v>3.720392962316835E-3</v>
      </c>
      <c r="E122" s="152">
        <f>Input!M122</f>
        <v>2.7434565880359432</v>
      </c>
      <c r="F122" s="153">
        <f>E122*Input!N122/100</f>
        <v>8.987207736916428E-5</v>
      </c>
      <c r="G122" s="21">
        <f>E122*137.88</f>
        <v>378.2677943583958</v>
      </c>
      <c r="H122" s="153">
        <f>G122*Input!L122/100</f>
        <v>1.0301580879624911E-2</v>
      </c>
      <c r="I122" s="18">
        <v>0.3</v>
      </c>
      <c r="J122" s="129">
        <f>(((C122*Constants!$B$24*0.000000001*Input!G122*(Constants!$B$4/Constants!$B$3))-(I122*0.000000000000001))/Input!F122)*1000000000000</f>
        <v>220.07832200449297</v>
      </c>
      <c r="K122" s="18">
        <f>J122*Input!P122/100</f>
        <v>0.34663556819887525</v>
      </c>
      <c r="L122" s="134">
        <f>(J122/Constants!$B$4)*602200000000*Constants!$B$17/(365.2425*24*60)</f>
        <v>3.0384255914988412</v>
      </c>
      <c r="M122" s="132">
        <f>L122*Input!P122/100</f>
        <v>4.7856888936008077E-3</v>
      </c>
      <c r="N122" s="18">
        <v>5.0000000000000001E-3</v>
      </c>
      <c r="O122" s="129">
        <f>(((G122*Constants!$B$23*0.000000001*Input!G122*(Constants!$B$7/Constants!$B$6))-(N122*0.000000001))/Input!F122)*1000000</f>
        <v>3.5502990969083714</v>
      </c>
      <c r="P122" s="18">
        <f>O122*Input!N122/100</f>
        <v>1.1630319084051893E-4</v>
      </c>
      <c r="Q122" s="130">
        <f>(O122/Constants!$B$7)*602200000000000000*Constants!$B$18/(365.2425*24*60)</f>
        <v>2.64895185496807</v>
      </c>
      <c r="R122" s="131">
        <f>Q122*Input!N122/100</f>
        <v>8.6776224961997677E-5</v>
      </c>
      <c r="S122" s="132">
        <f>Input!S122*Constants!$B$17/Constants!$B$18</f>
        <v>1.1430991895733458</v>
      </c>
      <c r="T122" s="18">
        <f>S122*Input!T122/100</f>
        <v>3.5474673751152057E-4</v>
      </c>
      <c r="U122" s="18">
        <f>S122*1/((U121+U123)/2)</f>
        <v>1.1429141084951084</v>
      </c>
      <c r="V122" s="18">
        <f>U122*Input!T122/100</f>
        <v>3.5468929988119181E-4</v>
      </c>
      <c r="W122" s="133">
        <v>3.0000000000000001E-3</v>
      </c>
      <c r="X122" s="129">
        <f>IF((((Constants!$B$25*0.000000001*Input!G122/Input!W122*(Constants!$B$11/Constants!$B$9))-(W122*0.000000001))/Input!F122)*1000000000&lt;0, "n.d.", (((Constants!$B$25*0.000000001*Input!G122/Input!W122*(Constants!$B$11/Constants!$B$9))-(W122*0.000000001))/Input!F122)*1000000000)</f>
        <v>0.22790550621803185</v>
      </c>
      <c r="Y122" s="129">
        <f>X122*Input!X122/100</f>
        <v>3.0529523238928026E-4</v>
      </c>
      <c r="Z122" s="129">
        <f>(X122/Constants!$B$11)*6.022E+23*0.000000001*Constants!$B$19/(365.2425*24*60)</f>
        <v>5.5639101963573151E-5</v>
      </c>
      <c r="AA122" s="129">
        <f>Z122*Input!X122/100</f>
        <v>7.4532436033596651E-8</v>
      </c>
      <c r="AB122" s="134">
        <v>0.05</v>
      </c>
      <c r="AC122" s="134">
        <v>0.9</v>
      </c>
      <c r="AD122" s="129">
        <f>(((Input!G122*Constants!$B$25*0.000000001*Input!U122*(Constants!$B$10/Constants!$B$9))-((AB122*0.000000000000001)+(Input!G122*AC122*0.000000000000001)))/Input!F122)*1000000000000</f>
        <v>4.3179618511189357</v>
      </c>
      <c r="AE122" s="129">
        <f>AD122*Input!V122/100</f>
        <v>1.0410130554514759E-2</v>
      </c>
      <c r="AF122" s="129">
        <f>(AD122/Constants!$B$10)*602200000000*Constants!$B$16/(365.2425*24*60)</f>
        <v>0.1970962550980056</v>
      </c>
      <c r="AG122" s="129">
        <f>AF122*Input!V122/100</f>
        <v>4.7517736796226907E-4</v>
      </c>
      <c r="AH122" s="18">
        <f>AF122/Z122</f>
        <v>3542.4053973237073</v>
      </c>
      <c r="AI122" s="133">
        <f>AH122*SQRT((AG122/AF122)^2+(AA122/Z122)^2)</f>
        <v>9.7701288307525775</v>
      </c>
      <c r="AJ122" s="132">
        <f t="shared" si="636"/>
        <v>142.91410849510845</v>
      </c>
      <c r="AK122" s="133">
        <f>V122*1000</f>
        <v>0.3546892998811918</v>
      </c>
      <c r="AL122" s="133">
        <f>AF122/Q122</f>
        <v>7.4405374611982655E-2</v>
      </c>
      <c r="AM122" s="133">
        <f>AL122*SQRT((R122/Q122)^2+(AG122/AF122)^2)</f>
        <v>1.7939972396144825E-4</v>
      </c>
      <c r="AN122" s="18">
        <f>AL122*1/((AN121+AN123)/2)</f>
        <v>7.4511177116103458E-2</v>
      </c>
      <c r="AO122" s="129">
        <f>AN122*SQRT((R122/Q122)^2+(AG122/AF122)^2)</f>
        <v>1.7965482569479326E-4</v>
      </c>
      <c r="AP122" s="18">
        <f>ThU_Alter_Kombi(AN122,U122)</f>
        <v>7.3415999999999997</v>
      </c>
      <c r="AQ122" s="18">
        <f t="shared" si="642"/>
        <v>1.84E-2</v>
      </c>
      <c r="AR122" s="154">
        <f>(AQ122/AP122)</f>
        <v>2.5062656641604009E-3</v>
      </c>
      <c r="AS122" s="131">
        <f t="shared" si="643"/>
        <v>2.1004195247725185E-5</v>
      </c>
      <c r="AT122" s="131">
        <f t="shared" si="644"/>
        <v>2.8144988320184017E-8</v>
      </c>
      <c r="AU122" s="18">
        <v>8</v>
      </c>
      <c r="AV122" s="18">
        <f>AU122/2</f>
        <v>4</v>
      </c>
      <c r="AW122" s="18">
        <f t="shared" si="646"/>
        <v>7.3255999999999997</v>
      </c>
      <c r="AX122" s="135">
        <f t="shared" si="647"/>
        <v>1.9463370599999998E-2</v>
      </c>
      <c r="AY122" s="135">
        <f t="shared" si="648"/>
        <v>2.012501540266138E-2</v>
      </c>
      <c r="AZ122" s="154">
        <f t="shared" si="649"/>
        <v>2.6568978104182591E-3</v>
      </c>
      <c r="BA122" s="18" t="str">
        <f>Input!B122</f>
        <v>GeoB20571-2_193-197</v>
      </c>
      <c r="BB122" s="136">
        <f>Input!E122</f>
        <v>195</v>
      </c>
      <c r="BC122" s="18">
        <f>((U122-1)*EXP(Constants!$B$17*AW122*1000))*1000</f>
        <v>145.89936345667371</v>
      </c>
      <c r="BD122" s="132">
        <f>SQRT((EXP(Constants!$B$17*AW122*1000)*V122)^2+((U122-1)*Constants!$B$17*EXP(Constants!$B$17*AW122*1000)*AY122*1000)^2)*1000</f>
        <v>0.3621930093067145</v>
      </c>
      <c r="BE122" s="18">
        <f t="shared" si="650"/>
        <v>7267.5999999999995</v>
      </c>
      <c r="BF122" s="137">
        <f t="shared" si="651"/>
        <v>10.06250770133069</v>
      </c>
      <c r="BG122" s="20">
        <f t="shared" si="652"/>
        <v>0.27472173477478135</v>
      </c>
      <c r="BH122" s="18"/>
      <c r="BI122" s="18"/>
      <c r="BJ122" s="18"/>
      <c r="BK122" s="18"/>
      <c r="BL122" s="18"/>
      <c r="BM122" s="18"/>
      <c r="BN122" s="159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</row>
    <row r="123" spans="1:110" ht="15" customHeight="1" x14ac:dyDescent="0.2">
      <c r="A123" s="138">
        <f>Input!A123</f>
        <v>10815</v>
      </c>
      <c r="B123" s="138" t="str">
        <f>Input!B123</f>
        <v>Hu1-13</v>
      </c>
      <c r="C123" s="138">
        <f>Input!O123</f>
        <v>2.0618843789933492</v>
      </c>
      <c r="D123" s="138">
        <f>C123*Input!P123/100</f>
        <v>1.124698528484255E-2</v>
      </c>
      <c r="E123" s="139">
        <f>Input!M123</f>
        <v>2.7321237150030271</v>
      </c>
      <c r="F123" s="140">
        <f>E123*Input!N123/100</f>
        <v>2.7401341951993499E-4</v>
      </c>
      <c r="G123" s="141">
        <f t="shared" ref="G123" si="671">E123*137.88</f>
        <v>376.70521782461736</v>
      </c>
      <c r="H123" s="140">
        <f>G123*Input!L123/100</f>
        <v>2.1453378388028872E-2</v>
      </c>
      <c r="I123" s="138">
        <v>0</v>
      </c>
      <c r="J123" s="142">
        <f>(((C123*Constants!$B$24*0.000000001*Input!G123*(Constants!$B$4/Constants!$B$3))-(I123*0.000000000000001))/Input!F123)*1000000000000</f>
        <v>744.41766950132819</v>
      </c>
      <c r="K123" s="138">
        <f>J123*Input!P123/100</f>
        <v>4.0605839299029043</v>
      </c>
      <c r="L123" s="143">
        <f>(J123/Constants!$B$4)*602200000000*Constants!$B$17/(365.2425*24*60)</f>
        <v>10.27751246545121</v>
      </c>
      <c r="M123" s="144">
        <f>L123*Input!P123/100</f>
        <v>5.6060869678904765E-2</v>
      </c>
      <c r="N123" s="138">
        <v>0</v>
      </c>
      <c r="O123" s="142">
        <f>(((G123*Constants!$B$23*0.000000001*Input!G123*(Constants!$B$7/Constants!$B$6))-(N123*0.000000001))/Input!F123)*1000000</f>
        <v>13.70047110184178</v>
      </c>
      <c r="P123" s="138">
        <f>O123*Input!N123/100</f>
        <v>1.3740640348878044E-3</v>
      </c>
      <c r="Q123" s="145">
        <f>(O123/Constants!$B$7)*602200000000000000*Constants!$B$18/(365.2425*24*60)</f>
        <v>10.222205889854036</v>
      </c>
      <c r="R123" s="146">
        <f>Q123*Input!N123/100</f>
        <v>1.0252176998919763E-3</v>
      </c>
      <c r="S123" s="144">
        <f>Input!S123*Constants!$B$17/Constants!$B$18</f>
        <v>1.0003433329639275</v>
      </c>
      <c r="T123" s="138">
        <f>S123*Input!T123/100</f>
        <v>1.0285075543394842E-3</v>
      </c>
      <c r="U123" s="144">
        <f>S123</f>
        <v>1.0003433329639275</v>
      </c>
      <c r="V123" s="138">
        <f>U123*Input!T123/100</f>
        <v>1.0285075543394842E-3</v>
      </c>
      <c r="W123" s="147">
        <v>0</v>
      </c>
      <c r="X123" s="142">
        <f>(((Constants!$B$25*0.000000001*Input!G123/Input!W123*(Constants!$B$11/Constants!$B$9))-(W123*0.000000001))/Input!F123)*1000000000</f>
        <v>0.9433951100201694</v>
      </c>
      <c r="Y123" s="142">
        <f>X123*Input!X123/100</f>
        <v>3.2371711558052164E-3</v>
      </c>
      <c r="Z123" s="142">
        <f>(X123/Constants!$B$11)*6.022E+23*0.000000001*Constants!$B$19/(365.2425*24*60)</f>
        <v>2.3031324512244505E-4</v>
      </c>
      <c r="AA123" s="142">
        <f>Z123*Input!X123/100</f>
        <v>7.902981327668062E-7</v>
      </c>
      <c r="AB123" s="143">
        <v>0</v>
      </c>
      <c r="AC123" s="143">
        <v>0.9</v>
      </c>
      <c r="AD123" s="142">
        <f>(((Input!G123*Constants!$B$25*0.000000001*Input!U123*(Constants!$B$10/Constants!$B$9))-((AB123*0.000000000000001)+(Input!G123*AC123*0.000000000000001)))/Input!F123)*1000000000000</f>
        <v>223.46257891256926</v>
      </c>
      <c r="AE123" s="142">
        <f>AD123*Input!V123/100</f>
        <v>0.6018632684765346</v>
      </c>
      <c r="AF123" s="142">
        <f>(AD123/Constants!$B$10)*602200000000*Constants!$B$16/(365.2425*24*60)</f>
        <v>10.200098791237979</v>
      </c>
      <c r="AG123" s="142">
        <f>AF123*Input!V123/100</f>
        <v>2.7472451213766652E-2</v>
      </c>
      <c r="AH123" s="138">
        <f t="shared" ref="AH123" si="672">AF123/Z123</f>
        <v>44287.938306870456</v>
      </c>
      <c r="AI123" s="147">
        <f t="shared" ref="AI123" si="673">AH123*SQRT((AG123/AF123)^2+(AA123/Z123)^2)</f>
        <v>193.19232153332067</v>
      </c>
      <c r="AJ123" s="144">
        <f t="shared" si="636"/>
        <v>0.34333296392752288</v>
      </c>
      <c r="AK123" s="147">
        <f t="shared" ref="AK123" si="674">V123*1000</f>
        <v>1.0285075543394842</v>
      </c>
      <c r="AL123" s="147">
        <f t="shared" ref="AL123" si="675">AF123/Q123</f>
        <v>0.99783734559308768</v>
      </c>
      <c r="AM123" s="147">
        <f t="shared" ref="AM123" si="676">AL123*SQRT((R123/Q123)^2+(AG123/AF123)^2)</f>
        <v>2.6893893364573788E-3</v>
      </c>
      <c r="AN123" s="138">
        <f>AF123/Q123</f>
        <v>0.99783734559308768</v>
      </c>
      <c r="AO123" s="142">
        <f t="shared" ref="AO123" si="677">AN123*SQRT((R123/Q123)^2+(AG123/AF123)^2)</f>
        <v>2.6893893364573788E-3</v>
      </c>
      <c r="AP123" s="138">
        <f t="shared" ref="AP123" si="678">ThU_Alter_Kombi(AN123,U123)</f>
        <v>646.9701</v>
      </c>
      <c r="AQ123" s="138" t="e">
        <f t="shared" si="642"/>
        <v>#VALUE!</v>
      </c>
      <c r="AR123" s="138" t="e">
        <f>(AQ123/AP123)*100</f>
        <v>#VALUE!</v>
      </c>
      <c r="AS123" s="146">
        <f t="shared" si="643"/>
        <v>2.2530679542567276E-5</v>
      </c>
      <c r="AT123" s="146">
        <f t="shared" si="644"/>
        <v>7.7344913230644965E-8</v>
      </c>
      <c r="AU123" s="138">
        <v>0.75</v>
      </c>
      <c r="AV123" s="138">
        <f t="shared" ref="AV123" si="679">AU123/2</f>
        <v>0.375</v>
      </c>
      <c r="AW123" s="138">
        <f t="shared" si="646"/>
        <v>646.9683</v>
      </c>
      <c r="AX123" s="148">
        <f t="shared" si="647"/>
        <v>273.3894752544</v>
      </c>
      <c r="AY123" s="148">
        <f t="shared" si="648"/>
        <v>124.82792811155107</v>
      </c>
      <c r="AZ123" s="149">
        <f t="shared" si="649"/>
        <v>0.422570124771801</v>
      </c>
      <c r="BA123" s="138" t="str">
        <f>Input!B123</f>
        <v>Hu1-13</v>
      </c>
      <c r="BB123" s="150">
        <f>Input!E123</f>
        <v>0</v>
      </c>
      <c r="BC123" s="138">
        <f>((U123-1)*EXP(Constants!$B$17*AW123*1000))*1000</f>
        <v>2.1312929158829066</v>
      </c>
      <c r="BD123" s="144">
        <f>SQRT((EXP(Constants!$B$17*AW123*1000)*V123)^2+((U123-1)*Constants!$B$17*EXP(Constants!$B$17*AW123*1000)*AY123*1000)^2)*1000</f>
        <v>6.4286140298947752</v>
      </c>
      <c r="BE123" s="138">
        <f t="shared" si="650"/>
        <v>646910.30000000005</v>
      </c>
      <c r="BF123" s="151">
        <f t="shared" si="651"/>
        <v>62413.964055775534</v>
      </c>
      <c r="BG123" s="160">
        <f t="shared" si="652"/>
        <v>19.29428816088069</v>
      </c>
      <c r="BH123" s="138"/>
      <c r="BI123" s="18"/>
      <c r="BJ123" s="18"/>
      <c r="BK123" s="18"/>
      <c r="BL123" s="18"/>
      <c r="BM123" s="18"/>
      <c r="BN123" s="159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</row>
    <row r="124" spans="1:110" ht="15" customHeight="1" x14ac:dyDescent="0.2">
      <c r="A124" s="18">
        <f>Input!A124</f>
        <v>10962</v>
      </c>
      <c r="B124" s="18" t="str">
        <f>Input!B124</f>
        <v>GeoB20571-2_242-246</v>
      </c>
      <c r="C124" s="18">
        <f>Input!O124</f>
        <v>2.2967078112045338</v>
      </c>
      <c r="D124" s="18">
        <f>C124*Input!P124/100</f>
        <v>4.8176974531005121E-3</v>
      </c>
      <c r="E124" s="152">
        <f>Input!M124</f>
        <v>2.6614993241474525</v>
      </c>
      <c r="F124" s="153">
        <f>E124*Input!N124/100</f>
        <v>9.8470031950291978E-5</v>
      </c>
      <c r="G124" s="21">
        <f>E124*137.88</f>
        <v>366.96752681345072</v>
      </c>
      <c r="H124" s="153">
        <f>G124*Input!L124/100</f>
        <v>9.7935059625319631E-3</v>
      </c>
      <c r="I124" s="18">
        <v>0.3</v>
      </c>
      <c r="J124" s="129">
        <f>(((C124*Constants!$B$24*0.000000001*Input!G124*(Constants!$B$4/Constants!$B$3))-(I124*0.000000000000001))/Input!F124)*1000000000000</f>
        <v>264.66839952350267</v>
      </c>
      <c r="K124" s="18">
        <f>J124*Input!P124/100</f>
        <v>0.55518262622698666</v>
      </c>
      <c r="L124" s="134">
        <f>(J124/Constants!$B$4)*602200000000*Constants!$B$17/(365.2425*24*60)</f>
        <v>3.6540411206735426</v>
      </c>
      <c r="M124" s="132">
        <f>L124*Input!P124/100</f>
        <v>7.6649125825721896E-3</v>
      </c>
      <c r="N124" s="18">
        <v>5.0000000000000001E-3</v>
      </c>
      <c r="O124" s="129">
        <f>(((G124*Constants!$B$23*0.000000001*Input!G124*(Constants!$B$7/Constants!$B$6))-(N124*0.000000001))/Input!F124)*1000000</f>
        <v>4.2599570777373668</v>
      </c>
      <c r="P124" s="18">
        <f>O124*Input!N124/100</f>
        <v>1.5760969982062299E-4</v>
      </c>
      <c r="Q124" s="130">
        <f>(O124/Constants!$B$7)*602200000000000000*Constants!$B$18/(365.2425*24*60)</f>
        <v>3.1784424058759781</v>
      </c>
      <c r="R124" s="131">
        <f>Q124*Input!N124/100</f>
        <v>1.1759586877183467E-4</v>
      </c>
      <c r="S124" s="132">
        <f>Input!S124*Constants!$B$17/Constants!$B$18</f>
        <v>1.1438340765326318</v>
      </c>
      <c r="T124" s="18">
        <f>S124*Input!T124/100</f>
        <v>4.5389034046476172E-4</v>
      </c>
      <c r="U124" s="18">
        <f>S124*1/((U123+U125)/2)</f>
        <v>1.1437358181350605</v>
      </c>
      <c r="V124" s="18">
        <f>U124*Input!T124/100</f>
        <v>4.5385135007407299E-4</v>
      </c>
      <c r="W124" s="133">
        <v>3.0000000000000001E-3</v>
      </c>
      <c r="X124" s="129">
        <f>IF((((Constants!$B$25*0.000000001*Input!G124/Input!W124*(Constants!$B$11/Constants!$B$9))-(W124*0.000000001))/Input!F124)*1000000000&lt;0, "n.d.", (((Constants!$B$25*0.000000001*Input!G124/Input!W124*(Constants!$B$11/Constants!$B$9))-(W124*0.000000001))/Input!F124)*1000000000)</f>
        <v>0.18430875977236172</v>
      </c>
      <c r="Y124" s="129">
        <f>X124*Input!X124/100</f>
        <v>4.4775037024382465E-4</v>
      </c>
      <c r="Z124" s="129">
        <f>(X124/Constants!$B$11)*6.022E+23*0.000000001*Constants!$B$19/(365.2425*24*60)</f>
        <v>4.4995726728706759E-5</v>
      </c>
      <c r="AA124" s="129">
        <f>Z124*Input!X124/100</f>
        <v>1.0931034057768945E-7</v>
      </c>
      <c r="AB124" s="134">
        <v>0.05</v>
      </c>
      <c r="AC124" s="134">
        <v>0.9</v>
      </c>
      <c r="AD124" s="129">
        <f>(((Input!G124*Constants!$B$25*0.000000001*Input!U124*(Constants!$B$10/Constants!$B$9))-((AB124*0.000000000000001)+(Input!G124*AC124*0.000000000000001)))/Input!F124)*1000000000000</f>
        <v>5.3593317887780989</v>
      </c>
      <c r="AE124" s="129">
        <f>AD124*Input!V124/100</f>
        <v>1.3826904617014626E-2</v>
      </c>
      <c r="AF124" s="129">
        <f>(AD124/Constants!$B$10)*602200000000*Constants!$B$16/(365.2425*24*60)</f>
        <v>0.24463028202116546</v>
      </c>
      <c r="AG124" s="129">
        <f>AF124*Input!V124/100</f>
        <v>6.3113830403682301E-4</v>
      </c>
      <c r="AH124" s="18">
        <f>AF124/Z124</f>
        <v>5436.7447712561143</v>
      </c>
      <c r="AI124" s="133">
        <f>AH124*SQRT((AG124/AF124)^2+(AA124/Z124)^2)</f>
        <v>19.266317997226139</v>
      </c>
      <c r="AJ124" s="132">
        <f t="shared" si="636"/>
        <v>143.73581813506053</v>
      </c>
      <c r="AK124" s="133">
        <f>V124*1000</f>
        <v>0.45385135007407301</v>
      </c>
      <c r="AL124" s="133">
        <f>AF124/Q124</f>
        <v>7.6965460053300988E-2</v>
      </c>
      <c r="AM124" s="133">
        <f>AL124*SQRT((R124/Q124)^2+(AG124/AF124)^2)</f>
        <v>1.9858884214568482E-4</v>
      </c>
      <c r="AN124" s="18">
        <f>AL124*1/((AN123+AN125)/2)</f>
        <v>7.7189200927291354E-2</v>
      </c>
      <c r="AO124" s="129">
        <f>AN124*SQRT((R124/Q124)^2+(AG124/AF124)^2)</f>
        <v>1.9916614579690238E-4</v>
      </c>
      <c r="AP124" s="18">
        <f>ThU_Alter_Kombi(AN124,U124)</f>
        <v>7.6087999999999996</v>
      </c>
      <c r="AQ124" s="18">
        <f t="shared" si="642"/>
        <v>2.0400000000000001E-2</v>
      </c>
      <c r="AR124" s="154">
        <f>(AQ124/AP124)</f>
        <v>2.6811060876879406E-3</v>
      </c>
      <c r="AS124" s="131">
        <f t="shared" si="643"/>
        <v>1.4156533604486045E-5</v>
      </c>
      <c r="AT124" s="131">
        <f t="shared" si="644"/>
        <v>3.439515416603485E-8</v>
      </c>
      <c r="AU124" s="18">
        <v>8</v>
      </c>
      <c r="AV124" s="18">
        <f>AU124/2</f>
        <v>4</v>
      </c>
      <c r="AW124" s="18">
        <f t="shared" si="646"/>
        <v>7.5980999999999996</v>
      </c>
      <c r="AX124" s="135">
        <f t="shared" si="647"/>
        <v>2.2224294200000001E-2</v>
      </c>
      <c r="AY124" s="135">
        <f t="shared" si="648"/>
        <v>2.1269188946807453E-2</v>
      </c>
      <c r="AZ124" s="154">
        <f t="shared" si="649"/>
        <v>2.9249804819625963E-3</v>
      </c>
      <c r="BA124" s="18" t="str">
        <f>Input!B124</f>
        <v>GeoB20571-2_242-246</v>
      </c>
      <c r="BB124" s="136">
        <f>Input!E124</f>
        <v>244</v>
      </c>
      <c r="BC124" s="18">
        <f>((U124-1)*EXP(Constants!$B$17*AW124*1000))*1000</f>
        <v>146.85112411171329</v>
      </c>
      <c r="BD124" s="132">
        <f>SQRT((EXP(Constants!$B$17*AW124*1000)*V124)^2+((U124-1)*Constants!$B$17*EXP(Constants!$B$17*AW124*1000)*AY124*1000)^2)*1000</f>
        <v>0.46377181900836045</v>
      </c>
      <c r="BE124" s="18">
        <f t="shared" si="650"/>
        <v>7540.0999999999995</v>
      </c>
      <c r="BF124" s="137">
        <f t="shared" si="651"/>
        <v>10.634594473403727</v>
      </c>
      <c r="BG124" s="20">
        <f t="shared" si="652"/>
        <v>0.27992773123290632</v>
      </c>
      <c r="BH124" s="18"/>
      <c r="BI124" s="18"/>
      <c r="BJ124" s="18"/>
      <c r="BK124" s="18"/>
      <c r="BL124" s="18"/>
      <c r="BM124" s="18"/>
      <c r="BN124" s="159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</row>
    <row r="125" spans="1:110" ht="15" customHeight="1" x14ac:dyDescent="0.2">
      <c r="A125" s="138">
        <f>Input!A125</f>
        <v>10815</v>
      </c>
      <c r="B125" s="138" t="str">
        <f>Input!B125</f>
        <v>Hu1-13</v>
      </c>
      <c r="C125" s="138">
        <f>Input!O125</f>
        <v>2.0783376393739315</v>
      </c>
      <c r="D125" s="138">
        <f>C125*Input!P125/100</f>
        <v>1.3230425405987572E-2</v>
      </c>
      <c r="E125" s="139">
        <f>Input!M125</f>
        <v>2.7318427717309355</v>
      </c>
      <c r="F125" s="140">
        <f>E125*Input!N125/100</f>
        <v>2.546859483350272E-4</v>
      </c>
      <c r="G125" s="141">
        <f t="shared" ref="G125" si="680">E125*137.88</f>
        <v>376.66648136626139</v>
      </c>
      <c r="H125" s="140">
        <f>G125*Input!L125/100</f>
        <v>1.8858041398112181E-2</v>
      </c>
      <c r="I125" s="138">
        <v>0</v>
      </c>
      <c r="J125" s="142">
        <f>(((C125*Constants!$B$24*0.000000001*Input!G125*(Constants!$B$4/Constants!$B$3))-(I125*0.000000000000001))/Input!F125)*1000000000000</f>
        <v>750.35791419836175</v>
      </c>
      <c r="K125" s="138">
        <f>J125*Input!P125/100</f>
        <v>4.7766802773125816</v>
      </c>
      <c r="L125" s="143">
        <f>(J125/Constants!$B$4)*602200000000*Constants!$B$17/(365.2425*24*60)</f>
        <v>10.359524139035598</v>
      </c>
      <c r="M125" s="144">
        <f>L125*Input!P125/100</f>
        <v>6.5947374847296555E-2</v>
      </c>
      <c r="N125" s="138">
        <v>0</v>
      </c>
      <c r="O125" s="142">
        <f>(((G125*Constants!$B$23*0.000000001*Input!G125*(Constants!$B$7/Constants!$B$6))-(N125*0.000000001))/Input!F125)*1000000</f>
        <v>13.699062287460714</v>
      </c>
      <c r="P125" s="138">
        <f>O125*Input!N125/100</f>
        <v>1.2771447559450442E-3</v>
      </c>
      <c r="Q125" s="145">
        <f>(O125/Constants!$B$7)*602200000000000000*Constants!$B$18/(365.2425*24*60)</f>
        <v>10.221154744199497</v>
      </c>
      <c r="R125" s="146">
        <f>Q125*Input!N125/100</f>
        <v>9.5290421397718121E-4</v>
      </c>
      <c r="S125" s="144">
        <f>Input!S125*Constants!$B$17/Constants!$B$18</f>
        <v>0.99982848712951211</v>
      </c>
      <c r="T125" s="138">
        <f>S125*Input!T125/100</f>
        <v>9.7180665501285133E-4</v>
      </c>
      <c r="U125" s="144">
        <f>S125</f>
        <v>0.99982848712951211</v>
      </c>
      <c r="V125" s="138">
        <f>U125*Input!T125/100</f>
        <v>9.7180665501285133E-4</v>
      </c>
      <c r="W125" s="147">
        <v>0</v>
      </c>
      <c r="X125" s="142">
        <f>(((Constants!$B$25*0.000000001*Input!G125/Input!W125*(Constants!$B$11/Constants!$B$9))-(W125*0.000000001))/Input!F125)*1000000000</f>
        <v>0.93914907251907598</v>
      </c>
      <c r="Y125" s="142">
        <f>X125*Input!X125/100</f>
        <v>4.3173026037298789E-3</v>
      </c>
      <c r="Z125" s="142">
        <f>(X125/Constants!$B$11)*6.022E+23*0.000000001*Constants!$B$19/(365.2425*24*60)</f>
        <v>2.2927665009942499E-4</v>
      </c>
      <c r="AA125" s="142">
        <f>Z125*Input!X125/100</f>
        <v>1.053993138483993E-6</v>
      </c>
      <c r="AB125" s="143">
        <v>0</v>
      </c>
      <c r="AC125" s="143">
        <v>0.9</v>
      </c>
      <c r="AD125" s="142">
        <f>(((Input!G125*Constants!$B$25*0.000000001*Input!U125*(Constants!$B$10/Constants!$B$9))-((AB125*0.000000000000001)+(Input!G125*AC125*0.000000000000001)))/Input!F125)*1000000000000</f>
        <v>223.11000728074777</v>
      </c>
      <c r="AE125" s="142">
        <f>AD125*Input!V125/100</f>
        <v>0.62926955555220987</v>
      </c>
      <c r="AF125" s="142">
        <f>(AD125/Constants!$B$10)*602200000000*Constants!$B$16/(365.2425*24*60)</f>
        <v>10.18400542342191</v>
      </c>
      <c r="AG125" s="142">
        <f>AF125*Input!V125/100</f>
        <v>2.8723429507462487E-2</v>
      </c>
      <c r="AH125" s="138">
        <f t="shared" ref="AH125" si="681">AF125/Z125</f>
        <v>44417.978974333637</v>
      </c>
      <c r="AI125" s="147">
        <f t="shared" ref="AI125" si="682">AH125*SQRT((AG125/AF125)^2+(AA125/Z125)^2)</f>
        <v>239.5593680561347</v>
      </c>
      <c r="AJ125" s="144">
        <f t="shared" si="636"/>
        <v>-0.17151287048788877</v>
      </c>
      <c r="AK125" s="147">
        <f t="shared" ref="AK125" si="683">V125*1000</f>
        <v>0.97180665501285135</v>
      </c>
      <c r="AL125" s="147">
        <f t="shared" ref="AL125" si="684">AF125/Q125</f>
        <v>0.99636544776913105</v>
      </c>
      <c r="AM125" s="147">
        <f t="shared" ref="AM125" si="685">AL125*SQRT((R125/Q125)^2+(AG125/AF125)^2)</f>
        <v>2.8117289705293091E-3</v>
      </c>
      <c r="AN125" s="138">
        <f>AF125/Q125</f>
        <v>0.99636544776913105</v>
      </c>
      <c r="AO125" s="142">
        <f t="shared" ref="AO125" si="686">AN125*SQRT((R125/Q125)^2+(AG125/AF125)^2)</f>
        <v>2.8117289705293091E-3</v>
      </c>
      <c r="AP125" s="138">
        <f t="shared" ref="AP125" si="687">ThU_Alter_Kombi(AN125,U125)</f>
        <v>620.08079999999995</v>
      </c>
      <c r="AQ125" s="138" t="e">
        <f t="shared" si="642"/>
        <v>#VALUE!</v>
      </c>
      <c r="AR125" s="138" t="e">
        <f>(AQ125/AP125)*100</f>
        <v>#VALUE!</v>
      </c>
      <c r="AS125" s="146">
        <f t="shared" si="643"/>
        <v>2.2431579976767247E-5</v>
      </c>
      <c r="AT125" s="146">
        <f t="shared" si="644"/>
        <v>1.0313999623945646E-7</v>
      </c>
      <c r="AU125" s="138">
        <v>0.75</v>
      </c>
      <c r="AV125" s="138">
        <f t="shared" ref="AV125" si="688">AU125/2</f>
        <v>0.375</v>
      </c>
      <c r="AW125" s="138">
        <f t="shared" si="646"/>
        <v>620.07889999999998</v>
      </c>
      <c r="AX125" s="148">
        <f t="shared" si="647"/>
        <v>265.67189650040001</v>
      </c>
      <c r="AY125" s="148">
        <f t="shared" si="648"/>
        <v>100.11547962930031</v>
      </c>
      <c r="AZ125" s="149">
        <f t="shared" si="649"/>
        <v>0.42844853534026078</v>
      </c>
      <c r="BA125" s="138" t="str">
        <f>Input!B125</f>
        <v>Hu1-13</v>
      </c>
      <c r="BB125" s="150">
        <f>Input!E125</f>
        <v>0</v>
      </c>
      <c r="BC125" s="138">
        <f>((U125-1)*EXP(Constants!$B$17*AW125*1000))*1000</f>
        <v>-0.98688959193390502</v>
      </c>
      <c r="BD125" s="144">
        <f>SQRT((EXP(Constants!$B$17*AW125*1000)*V125)^2+((U125-1)*Constants!$B$17*EXP(Constants!$B$17*AW125*1000)*AY125*1000)^2)*1000</f>
        <v>5.5987485632644738</v>
      </c>
      <c r="BE125" s="138">
        <f t="shared" si="650"/>
        <v>620020.9</v>
      </c>
      <c r="BF125" s="151">
        <f t="shared" si="651"/>
        <v>50057.739814650158</v>
      </c>
      <c r="BG125" s="160">
        <f t="shared" si="652"/>
        <v>16.145603346493537</v>
      </c>
      <c r="BH125" s="138"/>
      <c r="BI125" s="18"/>
      <c r="BJ125" s="18"/>
      <c r="BK125" s="18"/>
      <c r="BL125" s="18"/>
      <c r="BM125" s="18"/>
      <c r="BN125" s="159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</row>
    <row r="127" spans="1:110" ht="15" customHeight="1" x14ac:dyDescent="0.2">
      <c r="A127" s="138">
        <f>Input!A127</f>
        <v>10815</v>
      </c>
      <c r="B127" s="138" t="str">
        <f>Input!B127</f>
        <v>Hu1-13</v>
      </c>
      <c r="C127" s="138">
        <f>Input!O127</f>
        <v>2.0825888931444925</v>
      </c>
      <c r="D127" s="138">
        <f>C127*Input!P127/100</f>
        <v>1.2548468705196197E-2</v>
      </c>
      <c r="E127" s="139">
        <f>Input!M127</f>
        <v>2.7323632910194218</v>
      </c>
      <c r="F127" s="140">
        <f>E127*Input!N127/100</f>
        <v>2.1269129024161645E-4</v>
      </c>
      <c r="G127" s="141">
        <f t="shared" ref="G127" si="689">E127*137.88</f>
        <v>376.73825056575788</v>
      </c>
      <c r="H127" s="140">
        <f>G127*Input!L127/100</f>
        <v>1.9481748069883294E-2</v>
      </c>
      <c r="I127" s="138">
        <v>0</v>
      </c>
      <c r="J127" s="142">
        <f>(((C127*Constants!$B$24*0.000000001*Input!G127*(Constants!$B$4/Constants!$B$3))-(I127*0.000000000000001))/Input!F127)*1000000000000</f>
        <v>751.89277641303374</v>
      </c>
      <c r="K127" s="138">
        <f>J127*Input!P127/100</f>
        <v>4.5304683058383217</v>
      </c>
      <c r="L127" s="143">
        <f>(J127/Constants!$B$4)*602200000000*Constants!$B$17/(365.2425*24*60)</f>
        <v>10.380714616089438</v>
      </c>
      <c r="M127" s="144">
        <f>L127*Input!P127/100</f>
        <v>6.2548145208288761E-2</v>
      </c>
      <c r="N127" s="138">
        <v>0</v>
      </c>
      <c r="O127" s="142">
        <f>(((G127*Constants!$B$23*0.000000001*Input!G127*(Constants!$B$7/Constants!$B$6))-(N127*0.000000001))/Input!F127)*1000000</f>
        <v>13.701672476534766</v>
      </c>
      <c r="P127" s="138">
        <f>O127*Input!N127/100</f>
        <v>1.0665589041839859E-3</v>
      </c>
      <c r="Q127" s="145">
        <f>(O127/Constants!$B$7)*602200000000000000*Constants!$B$18/(365.2425*24*60)</f>
        <v>10.223102260451171</v>
      </c>
      <c r="R127" s="146">
        <f>Q127*Input!N127/100</f>
        <v>7.9578173853891445E-4</v>
      </c>
      <c r="S127" s="144">
        <f>Input!S127*Constants!$B$17/Constants!$B$18</f>
        <v>0.99928807725319702</v>
      </c>
      <c r="T127" s="138">
        <f>S127*Input!T127/100</f>
        <v>1.0479010203712988E-3</v>
      </c>
      <c r="U127" s="144">
        <f>S127</f>
        <v>0.99928807725319702</v>
      </c>
      <c r="V127" s="138">
        <f>U127*Input!T127/100</f>
        <v>1.0479010203712988E-3</v>
      </c>
      <c r="W127" s="147">
        <v>0</v>
      </c>
      <c r="X127" s="142">
        <f>(((Constants!$B$25*0.000000001*Input!G127/Input!W127*(Constants!$B$11/Constants!$B$9))-(W127*0.000000001))/Input!F127)*1000000000</f>
        <v>0.93376276270256431</v>
      </c>
      <c r="Y127" s="142">
        <f>X127*Input!X127/100</f>
        <v>3.2127213851380126E-3</v>
      </c>
      <c r="Z127" s="142">
        <f>(X127/Constants!$B$11)*6.022E+23*0.000000001*Constants!$B$19/(365.2425*24*60)</f>
        <v>2.2796167774065455E-4</v>
      </c>
      <c r="AA127" s="142">
        <f>Z127*Input!X127/100</f>
        <v>7.8432915331688851E-7</v>
      </c>
      <c r="AB127" s="143">
        <v>0</v>
      </c>
      <c r="AC127" s="143">
        <v>0.9</v>
      </c>
      <c r="AD127" s="142">
        <f>(((Input!G127*Constants!$B$25*0.000000001*Input!U127*(Constants!$B$10/Constants!$B$9))-((AB127*0.000000000000001)+(Input!G127*AC127*0.000000000000001)))/Input!F127)*1000000000000</f>
        <v>224.12254310913889</v>
      </c>
      <c r="AE127" s="142">
        <f>AD127*Input!V127/100</f>
        <v>0.51785588547390038</v>
      </c>
      <c r="AF127" s="142">
        <f>(AD127/Constants!$B$10)*602200000000*Constants!$B$16/(365.2425*24*60)</f>
        <v>10.230223298152957</v>
      </c>
      <c r="AG127" s="142">
        <f>AF127*Input!V127/100</f>
        <v>2.3637878060668412E-2</v>
      </c>
      <c r="AH127" s="138">
        <f t="shared" ref="AH127" si="690">AF127/Z127</f>
        <v>44876.94335094159</v>
      </c>
      <c r="AI127" s="147">
        <f t="shared" ref="AI127" si="691">AH127*SQRT((AG127/AF127)^2+(AA127/Z127)^2)</f>
        <v>185.99147991881841</v>
      </c>
      <c r="AJ127" s="144">
        <f t="shared" ref="AJ127:AJ135" si="692">(U127-1)*1000</f>
        <v>-0.71192274680298429</v>
      </c>
      <c r="AK127" s="147">
        <f t="shared" ref="AK127" si="693">V127*1000</f>
        <v>1.0479010203712988</v>
      </c>
      <c r="AL127" s="147">
        <f t="shared" ref="AL127" si="694">AF127/Q127</f>
        <v>1.0006965632858174</v>
      </c>
      <c r="AM127" s="147">
        <f t="shared" ref="AM127" si="695">AL127*SQRT((R127/Q127)^2+(AG127/AF127)^2)</f>
        <v>2.3135137974501529E-3</v>
      </c>
      <c r="AN127" s="138">
        <f>AF127/Q127</f>
        <v>1.0006965632858174</v>
      </c>
      <c r="AO127" s="142">
        <f t="shared" ref="AO127" si="696">AN127*SQRT((R127/Q127)^2+(AG127/AF127)^2)</f>
        <v>2.3135137974501529E-3</v>
      </c>
      <c r="AP127" s="138" t="str">
        <f t="shared" ref="AP127" si="697">ThU_Alter_Kombi(AN127,U127)</f>
        <v>Out of range</v>
      </c>
      <c r="AQ127" s="138" t="e">
        <f t="shared" ref="AQ127:AQ135" si="698">Montealter(AN127,AO127,U127,V127)</f>
        <v>#VALUE!</v>
      </c>
      <c r="AR127" s="138" t="e">
        <f>(AQ127/AP127)*100</f>
        <v>#VALUE!</v>
      </c>
      <c r="AS127" s="146">
        <f t="shared" ref="AS127:AS135" si="699">Z127/Q127</f>
        <v>2.2298679200592682E-5</v>
      </c>
      <c r="AT127" s="146">
        <f t="shared" ref="AT127:AT135" si="700">AS127*SQRT((Y127/X127)^2+(P127/O127)^2)</f>
        <v>7.6740879649641828E-8</v>
      </c>
      <c r="AU127" s="138">
        <v>0.75</v>
      </c>
      <c r="AV127" s="138">
        <f t="shared" ref="AV127" si="701">AU127/2</f>
        <v>0.375</v>
      </c>
      <c r="AW127" s="138" t="str">
        <f t="shared" ref="AW127:AW135" si="702">marincorr_age(AN127,U127,AS127,AU127)</f>
        <v>Out of range</v>
      </c>
      <c r="AX127" s="148">
        <f t="shared" ref="AX127:AX135" si="703">marincorr_age_error(AN127, AO127, U127, V127, AS127, AT127, AU127, AV127)</f>
        <v>306.65027405580003</v>
      </c>
      <c r="AY127" s="148" t="e">
        <f t="shared" ref="AY127:AY135" si="704">SQRT(((AU127*EXP(-0.0000091577*AW127*1000))/(0.0000091577*(EXP(-0.0000091577*AW127*1000)+(AJ127/1000)*EXP(-(0.0000091577-0.0000028263)*AW127*1000)-AS127*AU127*EXP(-0.0000091577*AW127*1000))))^2*AT127^2+((AS127*EXP(-0.0000091577*AW127*1000))/(0.0000091577*(EXP(-0.0000091577*AW127*1000)+(AJ127/1000)*EXP(-(0.0000091577-0.0000028263)*AW127*1000)-AS127*AU127*EXP(-0.0000091577*AW127*1000))))^2*AV127^2+((0.0000091577/(0.0000091577-0.0000028263))*(EXP(-(0.0000091577-0.0000028263)*AW127*1000)-1)/(0.0000091577*(EXP(-0.0000091577*AW127*1000)+(AJ127/1000)*EXP(-(0.0000091577-0.0000028263)*AW127*1000)-AS127*AU127*EXP(-0.0000091577*AW127*1000))))^2*T127^2+(1/(0.0000091577*(EXP(-0.0000091577*AW127*1000)+(AJ127/1000)*EXP(-(0.0000091577-0.0000028263)*AW127*1000)-AS127*AU127*EXP(-0.0000091577*AW127*1000))))^2*AO127^2)/1000</f>
        <v>#VALUE!</v>
      </c>
      <c r="AZ127" s="149" t="e">
        <f t="shared" ref="AZ127:AZ135" si="705">AX127/AW127</f>
        <v>#VALUE!</v>
      </c>
      <c r="BA127" s="138" t="str">
        <f>Input!B127</f>
        <v>Hu1-13</v>
      </c>
      <c r="BB127" s="150">
        <f>Input!E127</f>
        <v>0</v>
      </c>
      <c r="BC127" s="138" t="e">
        <f>((U127-1)*EXP(Constants!$B$17*AW127*1000))*1000</f>
        <v>#VALUE!</v>
      </c>
      <c r="BD127" s="144" t="e">
        <f>SQRT((EXP(Constants!$B$17*AW127*1000)*V127)^2+((U127-1)*Constants!$B$17*EXP(Constants!$B$17*AW127*1000)*AY127*1000)^2)*1000</f>
        <v>#VALUE!</v>
      </c>
      <c r="BE127" s="138" t="e">
        <f t="shared" ref="BE127:BE135" si="706">AW127*1000-58</f>
        <v>#VALUE!</v>
      </c>
      <c r="BF127" s="151" t="e">
        <f t="shared" ref="BF127:BF135" si="707">AY127/2*1000</f>
        <v>#VALUE!</v>
      </c>
      <c r="BG127" s="160" t="e">
        <f t="shared" ref="BG127:BG135" si="708">AY127/AW127*100</f>
        <v>#VALUE!</v>
      </c>
      <c r="BH127" s="138"/>
      <c r="BI127" s="18"/>
      <c r="BJ127" s="18"/>
      <c r="BK127" s="18"/>
      <c r="BL127" s="18"/>
      <c r="BM127" s="18"/>
      <c r="BN127" s="159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</row>
    <row r="128" spans="1:110" ht="15" customHeight="1" x14ac:dyDescent="0.2">
      <c r="A128" s="18">
        <f>Input!A128</f>
        <v>10963</v>
      </c>
      <c r="B128" s="18" t="str">
        <f>Input!B128</f>
        <v>GeoB20571-2_293-297</v>
      </c>
      <c r="C128" s="18">
        <f>Input!O128</f>
        <v>2.2352757706306239</v>
      </c>
      <c r="D128" s="18">
        <f>C128*Input!P128/100</f>
        <v>4.0933787667230583E-3</v>
      </c>
      <c r="E128" s="152">
        <f>Input!M128</f>
        <v>2.5859693527004914</v>
      </c>
      <c r="F128" s="153">
        <f>E128*Input!N128/100</f>
        <v>1.1845305309037168E-4</v>
      </c>
      <c r="G128" s="21">
        <f>E128*137.88</f>
        <v>356.55345435034377</v>
      </c>
      <c r="H128" s="153">
        <f>G128*Input!L128/100</f>
        <v>1.1066954817422023E-2</v>
      </c>
      <c r="I128" s="18">
        <v>0.3</v>
      </c>
      <c r="J128" s="129">
        <f>(((C128*Constants!$B$24*0.000000001*Input!G128*(Constants!$B$4/Constants!$B$3))-(I128*0.000000000000001))/Input!F128)*1000000000000</f>
        <v>194.24960991314455</v>
      </c>
      <c r="K128" s="18">
        <f>J128*Input!P128/100</f>
        <v>0.35572220623067724</v>
      </c>
      <c r="L128" s="134">
        <f>(J128/Constants!$B$4)*602200000000*Constants!$B$17/(365.2425*24*60)</f>
        <v>2.6818315430754516</v>
      </c>
      <c r="M128" s="132">
        <f>L128*Input!P128/100</f>
        <v>4.9111400206588848E-3</v>
      </c>
      <c r="N128" s="18">
        <v>5.0000000000000001E-3</v>
      </c>
      <c r="O128" s="129">
        <f>(((G128*Constants!$B$23*0.000000001*Input!G128*(Constants!$B$7/Constants!$B$6))-(N128*0.000000001))/Input!F128)*1000000</f>
        <v>3.1212957637761334</v>
      </c>
      <c r="P128" s="18">
        <f>O128*Input!N128/100</f>
        <v>1.4297424384833712E-4</v>
      </c>
      <c r="Q128" s="130">
        <f>(O128/Constants!$B$7)*602200000000000000*Constants!$B$18/(365.2425*24*60)</f>
        <v>2.3288635626668044</v>
      </c>
      <c r="R128" s="131">
        <f>Q128*Input!N128/100</f>
        <v>1.0667605126129021E-4</v>
      </c>
      <c r="S128" s="132">
        <f>Input!S128*Constants!$B$17/Constants!$B$18</f>
        <v>1.1430810153329216</v>
      </c>
      <c r="T128" s="18">
        <f>S128*Input!T128/100</f>
        <v>4.786596272939783E-4</v>
      </c>
      <c r="U128" s="18">
        <f>S128*1/((U127+U129)/2)</f>
        <v>1.1431880914967014</v>
      </c>
      <c r="V128" s="18">
        <f>U128*Input!T128/100</f>
        <v>4.7870446491787323E-4</v>
      </c>
      <c r="W128" s="133">
        <v>3.0000000000000001E-3</v>
      </c>
      <c r="X128" s="129">
        <f>IF((((Constants!$B$25*0.000000001*Input!G128/Input!W128*(Constants!$B$11/Constants!$B$9))-(W128*0.000000001))/Input!F128)*1000000000&lt;0, "n.d.", (((Constants!$B$25*0.000000001*Input!G128/Input!W128*(Constants!$B$11/Constants!$B$9))-(W128*0.000000001))/Input!F128)*1000000000)</f>
        <v>0.12508424230483181</v>
      </c>
      <c r="Y128" s="129">
        <f>X128*Input!X128/100</f>
        <v>2.3133994606341519E-4</v>
      </c>
      <c r="Z128" s="129">
        <f>(X128/Constants!$B$11)*6.022E+23*0.000000001*Constants!$B$19/(365.2425*24*60)</f>
        <v>3.0537107361402513E-5</v>
      </c>
      <c r="AA128" s="129">
        <f>Z128*Input!X128/100</f>
        <v>5.6477559760912328E-8</v>
      </c>
      <c r="AB128" s="134">
        <v>0.05</v>
      </c>
      <c r="AC128" s="134">
        <v>0.9</v>
      </c>
      <c r="AD128" s="129">
        <f>(((Input!G128*Constants!$B$25*0.000000001*Input!U128*(Constants!$B$10/Constants!$B$9))-((AB128*0.000000000000001)+(Input!G128*AC128*0.000000000000001)))/Input!F128)*1000000000000</f>
        <v>4.0840350238476661</v>
      </c>
      <c r="AE128" s="129">
        <f>AD128*Input!V128/100</f>
        <v>8.4498080915509227E-3</v>
      </c>
      <c r="AF128" s="129">
        <f>(AD128/Constants!$B$10)*602200000000*Constants!$B$16/(365.2425*24*60)</f>
        <v>0.18641850869545748</v>
      </c>
      <c r="AG128" s="129">
        <f>AF128*Input!V128/100</f>
        <v>3.8569713873454951E-4</v>
      </c>
      <c r="AH128" s="18">
        <f>AF128/Z128</f>
        <v>6104.6551164529037</v>
      </c>
      <c r="AI128" s="133">
        <f>AH128*SQRT((AG128/AF128)^2+(AA128/Z128)^2)</f>
        <v>16.941106182786566</v>
      </c>
      <c r="AJ128" s="132">
        <f t="shared" si="692"/>
        <v>143.18809149670142</v>
      </c>
      <c r="AK128" s="133">
        <f>V128*1000</f>
        <v>0.47870446491787322</v>
      </c>
      <c r="AL128" s="133">
        <f>AF128/Q128</f>
        <v>8.004698587064836E-2</v>
      </c>
      <c r="AM128" s="133">
        <f>AL128*SQRT((R128/Q128)^2+(AG128/AF128)^2)</f>
        <v>1.6565661402325908E-4</v>
      </c>
      <c r="AN128" s="18">
        <f>AL128*1/((AN127+AN129)/2)</f>
        <v>8.0031019086183347E-2</v>
      </c>
      <c r="AO128" s="129">
        <f>AN128*SQRT((R128/Q128)^2+(AG128/AF128)^2)</f>
        <v>1.6562357088712416E-4</v>
      </c>
      <c r="AP128" s="18">
        <f>ThU_Alter_Kombi(AN128,U128)</f>
        <v>7.9028999999999998</v>
      </c>
      <c r="AQ128" s="18">
        <f t="shared" si="698"/>
        <v>1.8700000000000001E-2</v>
      </c>
      <c r="AR128" s="154">
        <f>(AQ128/AP128)</f>
        <v>2.3662199951916389E-3</v>
      </c>
      <c r="AS128" s="131">
        <f t="shared" si="699"/>
        <v>1.3112450145612726E-5</v>
      </c>
      <c r="AT128" s="131">
        <f t="shared" si="700"/>
        <v>2.4258561092054748E-8</v>
      </c>
      <c r="AU128" s="18">
        <v>8</v>
      </c>
      <c r="AV128" s="18">
        <f>AU128/2</f>
        <v>4</v>
      </c>
      <c r="AW128" s="18">
        <f t="shared" si="702"/>
        <v>7.8929</v>
      </c>
      <c r="AX128" s="135">
        <f t="shared" si="703"/>
        <v>1.7629392099999999E-2</v>
      </c>
      <c r="AY128" s="135">
        <f t="shared" si="704"/>
        <v>1.8015130396081498E-2</v>
      </c>
      <c r="AZ128" s="154">
        <f t="shared" si="705"/>
        <v>2.2335760113519742E-3</v>
      </c>
      <c r="BA128" s="18" t="str">
        <f>Input!B128</f>
        <v>GeoB20571-2_293-297</v>
      </c>
      <c r="BB128" s="136">
        <f>Input!E128</f>
        <v>295</v>
      </c>
      <c r="BC128" s="18">
        <f>((U128-1)*EXP(Constants!$B$17*AW128*1000))*1000</f>
        <v>146.41328303185932</v>
      </c>
      <c r="BD128" s="132">
        <f>SQRT((EXP(Constants!$B$17*AW128*1000)*V128)^2+((U128-1)*Constants!$B$17*EXP(Constants!$B$17*AW128*1000)*AY128*1000)^2)*1000</f>
        <v>0.48954347527643882</v>
      </c>
      <c r="BE128" s="18">
        <f t="shared" si="706"/>
        <v>7834.9</v>
      </c>
      <c r="BF128" s="137">
        <f t="shared" si="707"/>
        <v>9.0075651980407496</v>
      </c>
      <c r="BG128" s="20">
        <f t="shared" si="708"/>
        <v>0.2282447566304083</v>
      </c>
      <c r="BH128" s="18"/>
      <c r="BI128" s="18"/>
      <c r="BJ128" s="18"/>
      <c r="BK128" s="18"/>
      <c r="BL128" s="18"/>
      <c r="BM128" s="18"/>
      <c r="BN128" s="159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</row>
    <row r="129" spans="1:110" ht="15" customHeight="1" x14ac:dyDescent="0.2">
      <c r="A129" s="138">
        <f>Input!A129</f>
        <v>10815</v>
      </c>
      <c r="B129" s="138" t="str">
        <f>Input!B129</f>
        <v>Hu1-13</v>
      </c>
      <c r="C129" s="138">
        <f>Input!O129</f>
        <v>2.0946051268278212</v>
      </c>
      <c r="D129" s="138">
        <f>C129*Input!P129/100</f>
        <v>1.0692404579528303E-2</v>
      </c>
      <c r="E129" s="139">
        <f>Input!M129</f>
        <v>2.7322803039703252</v>
      </c>
      <c r="F129" s="140">
        <f>E129*Input!N129/100</f>
        <v>2.1507523476196655E-4</v>
      </c>
      <c r="G129" s="141">
        <f t="shared" ref="G129" si="709">E129*137.88</f>
        <v>376.72680831142844</v>
      </c>
      <c r="H129" s="140">
        <f>G129*Input!L129/100</f>
        <v>1.6394672199149342E-2</v>
      </c>
      <c r="I129" s="138">
        <v>0</v>
      </c>
      <c r="J129" s="142">
        <f>(((C129*Constants!$B$24*0.000000001*Input!G129*(Constants!$B$4/Constants!$B$3))-(I129*0.000000000000001))/Input!F129)*1000000000000</f>
        <v>756.23108789444404</v>
      </c>
      <c r="K129" s="138">
        <f>J129*Input!P129/100</f>
        <v>3.8603594748333183</v>
      </c>
      <c r="L129" s="143">
        <f>(J129/Constants!$B$4)*602200000000*Constants!$B$17/(365.2425*24*60)</f>
        <v>10.440609822981925</v>
      </c>
      <c r="M129" s="144">
        <f>L129*Input!P129/100</f>
        <v>5.3296548764485412E-2</v>
      </c>
      <c r="N129" s="138">
        <v>0</v>
      </c>
      <c r="O129" s="142">
        <f>(((G129*Constants!$B$23*0.000000001*Input!G129*(Constants!$B$7/Constants!$B$6))-(N129*0.000000001))/Input!F129)*1000000</f>
        <v>13.701256330786412</v>
      </c>
      <c r="P129" s="138">
        <f>O129*Input!N129/100</f>
        <v>1.0785134005452219E-3</v>
      </c>
      <c r="Q129" s="145">
        <f>(O129/Constants!$B$7)*602200000000000000*Constants!$B$18/(365.2425*24*60)</f>
        <v>10.222791765469777</v>
      </c>
      <c r="R129" s="146">
        <f>Q129*Input!N129/100</f>
        <v>8.0470123643104467E-4</v>
      </c>
      <c r="S129" s="144">
        <f>Input!S129*Constants!$B$17/Constants!$B$18</f>
        <v>1.0005245937069429</v>
      </c>
      <c r="T129" s="138">
        <f>S129*Input!T129/100</f>
        <v>1.1616986302898631E-3</v>
      </c>
      <c r="U129" s="144">
        <f>S129</f>
        <v>1.0005245937069429</v>
      </c>
      <c r="V129" s="138">
        <f>U129*Input!T129/100</f>
        <v>1.1616986302898631E-3</v>
      </c>
      <c r="W129" s="147">
        <v>0</v>
      </c>
      <c r="X129" s="142">
        <f>(((Constants!$B$25*0.000000001*Input!G129/Input!W129*(Constants!$B$11/Constants!$B$9))-(W129*0.000000001))/Input!F129)*1000000000</f>
        <v>0.9347522754272175</v>
      </c>
      <c r="Y129" s="142">
        <f>X129*Input!X129/100</f>
        <v>3.7530971865550188E-3</v>
      </c>
      <c r="Z129" s="142">
        <f>(X129/Constants!$B$11)*6.022E+23*0.000000001*Constants!$B$19/(365.2425*24*60)</f>
        <v>2.2820324978643289E-4</v>
      </c>
      <c r="AA129" s="142">
        <f>Z129*Input!X129/100</f>
        <v>9.1625235610657844E-7</v>
      </c>
      <c r="AB129" s="143">
        <v>0</v>
      </c>
      <c r="AC129" s="143">
        <v>0.9</v>
      </c>
      <c r="AD129" s="142">
        <f>(((Input!G129*Constants!$B$25*0.000000001*Input!U129*(Constants!$B$10/Constants!$B$9))-((AB129*0.000000000000001)+(Input!G129*AC129*0.000000000000001)))/Input!F129)*1000000000000</f>
        <v>223.89309509703318</v>
      </c>
      <c r="AE129" s="142">
        <f>AD129*Input!V129/100</f>
        <v>0.59204072518945738</v>
      </c>
      <c r="AF129" s="142">
        <f>(AD129/Constants!$B$10)*602200000000*Constants!$B$16/(365.2425*24*60)</f>
        <v>10.219749990262567</v>
      </c>
      <c r="AG129" s="142">
        <f>AF129*Input!V129/100</f>
        <v>2.7024094659407725E-2</v>
      </c>
      <c r="AH129" s="138">
        <f t="shared" ref="AH129" si="710">AF129/Z129</f>
        <v>44783.542740196994</v>
      </c>
      <c r="AI129" s="147">
        <f t="shared" ref="AI129" si="711">AH129*SQRT((AG129/AF129)^2+(AA129/Z129)^2)</f>
        <v>215.30186606791116</v>
      </c>
      <c r="AJ129" s="144">
        <f t="shared" si="692"/>
        <v>0.52459370694291074</v>
      </c>
      <c r="AK129" s="147">
        <f t="shared" ref="AK129" si="712">V129*1000</f>
        <v>1.1616986302898631</v>
      </c>
      <c r="AL129" s="147">
        <f t="shared" ref="AL129" si="713">AF129/Q129</f>
        <v>0.99970245161233895</v>
      </c>
      <c r="AM129" s="147">
        <f t="shared" ref="AM129" si="714">AL129*SQRT((R129/Q129)^2+(AG129/AF129)^2)</f>
        <v>2.6446851667197469E-3</v>
      </c>
      <c r="AN129" s="138">
        <f>AF129/Q129</f>
        <v>0.99970245161233895</v>
      </c>
      <c r="AO129" s="142">
        <f t="shared" ref="AO129" si="715">AN129*SQRT((R129/Q129)^2+(AG129/AF129)^2)</f>
        <v>2.6446851667197469E-3</v>
      </c>
      <c r="AP129" s="138">
        <f t="shared" ref="AP129" si="716">ThU_Alter_Kombi(AN129,U129)</f>
        <v>748.05849999999998</v>
      </c>
      <c r="AQ129" s="138" t="e">
        <f t="shared" si="698"/>
        <v>#VALUE!</v>
      </c>
      <c r="AR129" s="138" t="e">
        <f>(AQ129/AP129)*100</f>
        <v>#VALUE!</v>
      </c>
      <c r="AS129" s="146">
        <f t="shared" si="699"/>
        <v>2.2322987205633064E-5</v>
      </c>
      <c r="AT129" s="146">
        <f t="shared" si="700"/>
        <v>8.9645612260119837E-8</v>
      </c>
      <c r="AU129" s="138">
        <v>0.75</v>
      </c>
      <c r="AV129" s="138">
        <f t="shared" ref="AV129" si="717">AU129/2</f>
        <v>0.375</v>
      </c>
      <c r="AW129" s="138">
        <f t="shared" si="702"/>
        <v>748.05669999999998</v>
      </c>
      <c r="AX129" s="148">
        <f t="shared" si="703"/>
        <v>340.20454194889999</v>
      </c>
      <c r="AY129" s="148">
        <f t="shared" si="704"/>
        <v>320.90311830727649</v>
      </c>
      <c r="AZ129" s="149">
        <f t="shared" si="705"/>
        <v>0.454784432715996</v>
      </c>
      <c r="BA129" s="138" t="str">
        <f>Input!B129</f>
        <v>Hu1-13</v>
      </c>
      <c r="BB129" s="150">
        <f>Input!E129</f>
        <v>0</v>
      </c>
      <c r="BC129" s="138">
        <f>((U129-1)*EXP(Constants!$B$17*AW129*1000))*1000</f>
        <v>4.3315683555833928</v>
      </c>
      <c r="BD129" s="144">
        <f>SQRT((EXP(Constants!$B$17*AW129*1000)*V129)^2+((U129-1)*Constants!$B$17*EXP(Constants!$B$17*AW129*1000)*AY129*1000)^2)*1000</f>
        <v>10.363241315402073</v>
      </c>
      <c r="BE129" s="138">
        <f t="shared" si="706"/>
        <v>747998.7</v>
      </c>
      <c r="BF129" s="151">
        <f t="shared" si="707"/>
        <v>160451.55915363826</v>
      </c>
      <c r="BG129" s="160">
        <f t="shared" si="708"/>
        <v>42.898234626770474</v>
      </c>
      <c r="BH129" s="138"/>
      <c r="BI129" s="18"/>
      <c r="BJ129" s="18"/>
      <c r="BK129" s="18"/>
      <c r="BL129" s="18"/>
      <c r="BM129" s="18"/>
      <c r="BN129" s="159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</row>
    <row r="130" spans="1:110" ht="15" customHeight="1" x14ac:dyDescent="0.2">
      <c r="A130" s="18">
        <f>Input!A130</f>
        <v>10964</v>
      </c>
      <c r="B130" s="18" t="str">
        <f>Input!B130</f>
        <v>GeoB20571-2_344-346</v>
      </c>
      <c r="C130" s="18">
        <f>Input!O130</f>
        <v>2.1974443063543072</v>
      </c>
      <c r="D130" s="18">
        <f>C130*Input!P130/100</f>
        <v>3.9736429607867673E-3</v>
      </c>
      <c r="E130" s="152">
        <f>Input!M130</f>
        <v>2.5410679995877556</v>
      </c>
      <c r="F130" s="153">
        <f>E130*Input!N130/100</f>
        <v>8.6786117189840194E-5</v>
      </c>
      <c r="G130" s="21">
        <f>E130*137.88</f>
        <v>350.36245578315976</v>
      </c>
      <c r="H130" s="153">
        <f>G130*Input!L130/100</f>
        <v>1.1216239486019144E-2</v>
      </c>
      <c r="I130" s="18">
        <v>0.3</v>
      </c>
      <c r="J130" s="129">
        <f>(((C130*Constants!$B$24*0.000000001*Input!G130*(Constants!$B$4/Constants!$B$3))-(I130*0.000000000000001))/Input!F130)*1000000000000</f>
        <v>214.68663917223179</v>
      </c>
      <c r="K130" s="18">
        <f>J130*Input!P130/100</f>
        <v>0.38821828159869598</v>
      </c>
      <c r="L130" s="134">
        <f>(J130/Constants!$B$4)*602200000000*Constants!$B$17/(365.2425*24*60)</f>
        <v>2.9639874235340167</v>
      </c>
      <c r="M130" s="132">
        <f>L130*Input!P130/100</f>
        <v>5.3597844219890967E-3</v>
      </c>
      <c r="N130" s="18">
        <v>5.0000000000000001E-3</v>
      </c>
      <c r="O130" s="129">
        <f>(((G130*Constants!$B$23*0.000000001*Input!G130*(Constants!$B$7/Constants!$B$6))-(N130*0.000000001))/Input!F130)*1000000</f>
        <v>3.4481482026969976</v>
      </c>
      <c r="P130" s="18">
        <f>O130*Input!N130/100</f>
        <v>1.1776599211660089E-4</v>
      </c>
      <c r="Q130" s="130">
        <f>(O130/Constants!$B$7)*602200000000000000*Constants!$B$18/(365.2425*24*60)</f>
        <v>2.5727349523010528</v>
      </c>
      <c r="R130" s="131">
        <f>Q130*Input!N130/100</f>
        <v>8.7867651359593694E-5</v>
      </c>
      <c r="S130" s="132">
        <f>Input!S130*Constants!$B$17/Constants!$B$18</f>
        <v>1.1434766658143627</v>
      </c>
      <c r="T130" s="18">
        <f>S130*Input!T130/100</f>
        <v>4.5582520088982814E-4</v>
      </c>
      <c r="U130" s="18">
        <f>S130*1/((U129+U131)/2)</f>
        <v>1.1431480791135826</v>
      </c>
      <c r="V130" s="18">
        <f>U130*Input!T130/100</f>
        <v>4.5569421605789361E-4</v>
      </c>
      <c r="W130" s="133">
        <v>3.0000000000000001E-3</v>
      </c>
      <c r="X130" s="129">
        <f>IF((((Constants!$B$25*0.000000001*Input!G130/Input!W130*(Constants!$B$11/Constants!$B$9))-(W130*0.000000001))/Input!F130)*1000000000&lt;0, "n.d.", (((Constants!$B$25*0.000000001*Input!G130/Input!W130*(Constants!$B$11/Constants!$B$9))-(W130*0.000000001))/Input!F130)*1000000000)</f>
        <v>0.10818050920284533</v>
      </c>
      <c r="Y130" s="129">
        <f>X130*Input!X130/100</f>
        <v>2.5428521891715712E-4</v>
      </c>
      <c r="Z130" s="129">
        <f>(X130/Constants!$B$11)*6.022E+23*0.000000001*Constants!$B$19/(365.2425*24*60)</f>
        <v>2.6410359634971149E-5</v>
      </c>
      <c r="AA130" s="129">
        <f>Z130*Input!X130/100</f>
        <v>6.2079242656059272E-8</v>
      </c>
      <c r="AB130" s="134">
        <v>0.05</v>
      </c>
      <c r="AC130" s="134">
        <v>0.9</v>
      </c>
      <c r="AD130" s="129">
        <f>(((Input!G130*Constants!$B$25*0.000000001*Input!U130*(Constants!$B$10/Constants!$B$9))-((AB130*0.000000000000001)+(Input!G130*AC130*0.000000000000001)))/Input!F130)*1000000000000</f>
        <v>4.6077557774558278</v>
      </c>
      <c r="AE130" s="129">
        <f>AD130*Input!V130/100</f>
        <v>1.2251076273276153E-2</v>
      </c>
      <c r="AF130" s="129">
        <f>(AD130/Constants!$B$10)*602200000000*Constants!$B$16/(365.2425*24*60)</f>
        <v>0.2103240925825697</v>
      </c>
      <c r="AG130" s="129">
        <f>AF130*Input!V130/100</f>
        <v>5.5920856590176745E-4</v>
      </c>
      <c r="AH130" s="18">
        <f>AF130/Z130</f>
        <v>7963.6966512212912</v>
      </c>
      <c r="AI130" s="133">
        <f>AH130*SQRT((AG130/AF130)^2+(AA130/Z130)^2)</f>
        <v>28.26196934624458</v>
      </c>
      <c r="AJ130" s="132">
        <f t="shared" si="692"/>
        <v>143.14807911358264</v>
      </c>
      <c r="AK130" s="133">
        <f>V130*1000</f>
        <v>0.45569421605789362</v>
      </c>
      <c r="AL130" s="133">
        <f>AF130/Q130</f>
        <v>8.1751170051332325E-2</v>
      </c>
      <c r="AM130" s="133">
        <f>AL130*SQRT((R130/Q130)^2+(AG130/AF130)^2)</f>
        <v>2.1737750316512162E-4</v>
      </c>
      <c r="AN130" s="18">
        <f>AL130*1/((AN129+AN131)/2)</f>
        <v>8.1772371044017009E-2</v>
      </c>
      <c r="AO130" s="129">
        <f>AN130*SQRT((R130/Q130)^2+(AG130/AF130)^2)</f>
        <v>2.1743387690083114E-4</v>
      </c>
      <c r="AP130" s="18">
        <f>ThU_Alter_Kombi(AN130,U130)</f>
        <v>8.0814000000000004</v>
      </c>
      <c r="AQ130" s="18">
        <f t="shared" si="698"/>
        <v>2.1600000000000001E-2</v>
      </c>
      <c r="AR130" s="154">
        <f>(AQ130/AP130)</f>
        <v>2.6728042170910981E-3</v>
      </c>
      <c r="AS130" s="131">
        <f t="shared" si="699"/>
        <v>1.0265480169789639E-5</v>
      </c>
      <c r="AT130" s="131">
        <f t="shared" si="700"/>
        <v>2.4132215895265508E-8</v>
      </c>
      <c r="AU130" s="18">
        <v>8</v>
      </c>
      <c r="AV130" s="18">
        <f>AU130/2</f>
        <v>4</v>
      </c>
      <c r="AW130" s="18">
        <f t="shared" si="702"/>
        <v>8.0736000000000008</v>
      </c>
      <c r="AX130" s="135">
        <f t="shared" si="703"/>
        <v>2.1598300599999998E-2</v>
      </c>
      <c r="AY130" s="135">
        <f t="shared" si="704"/>
        <v>2.2890879572595689E-2</v>
      </c>
      <c r="AZ130" s="154">
        <f t="shared" si="705"/>
        <v>2.6751759562029325E-3</v>
      </c>
      <c r="BA130" s="18" t="str">
        <f>Input!B130</f>
        <v>GeoB20571-2_344-346</v>
      </c>
      <c r="BB130" s="136">
        <f>Input!E130</f>
        <v>345</v>
      </c>
      <c r="BC130" s="18">
        <f>((U130-1)*EXP(Constants!$B$17*AW130*1000))*1000</f>
        <v>146.44703047806578</v>
      </c>
      <c r="BD130" s="132">
        <f>SQRT((EXP(Constants!$B$17*AW130*1000)*V130)^2+((U130-1)*Constants!$B$17*EXP(Constants!$B$17*AW130*1000)*AY130*1000)^2)*1000</f>
        <v>0.46629199876267469</v>
      </c>
      <c r="BE130" s="18">
        <f t="shared" si="706"/>
        <v>8015.6</v>
      </c>
      <c r="BF130" s="137">
        <f t="shared" si="707"/>
        <v>11.445439786297845</v>
      </c>
      <c r="BG130" s="20">
        <f t="shared" si="708"/>
        <v>0.28352754127769131</v>
      </c>
      <c r="BH130" s="18"/>
      <c r="BI130" s="18"/>
      <c r="BJ130" s="18"/>
      <c r="BK130" s="18"/>
      <c r="BL130" s="18"/>
      <c r="BM130" s="18"/>
      <c r="BN130" s="159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  <c r="CY130" s="18"/>
      <c r="CZ130" s="18"/>
      <c r="DA130" s="18"/>
      <c r="DB130" s="18"/>
      <c r="DC130" s="18"/>
      <c r="DD130" s="18"/>
      <c r="DE130" s="18"/>
      <c r="DF130" s="18"/>
    </row>
    <row r="131" spans="1:110" ht="15" customHeight="1" x14ac:dyDescent="0.2">
      <c r="A131" s="138">
        <f>Input!A131</f>
        <v>10815</v>
      </c>
      <c r="B131" s="138" t="str">
        <f>Input!B131</f>
        <v>Hu1-13</v>
      </c>
      <c r="C131" s="138">
        <f>Input!O131</f>
        <v>2.0913976724303294</v>
      </c>
      <c r="D131" s="138">
        <f>C131*Input!P131/100</f>
        <v>1.279011641348362E-2</v>
      </c>
      <c r="E131" s="139">
        <f>Input!M131</f>
        <v>2.7320833807136289</v>
      </c>
      <c r="F131" s="140">
        <f>E131*Input!N131/100</f>
        <v>2.3545306763965944E-4</v>
      </c>
      <c r="G131" s="141">
        <f t="shared" ref="G131" si="718">E131*137.88</f>
        <v>376.69965653279513</v>
      </c>
      <c r="H131" s="140">
        <f>G131*Input!L131/100</f>
        <v>2.3503989131109834E-2</v>
      </c>
      <c r="I131" s="138">
        <v>0</v>
      </c>
      <c r="J131" s="142">
        <f>(((C131*Constants!$B$24*0.000000001*Input!G131*(Constants!$B$4/Constants!$B$3))-(I131*0.000000000000001))/Input!F131)*1000000000000</f>
        <v>755.07307644048547</v>
      </c>
      <c r="K131" s="138">
        <f>J131*Input!P131/100</f>
        <v>4.6177122006349292</v>
      </c>
      <c r="L131" s="143">
        <f>(J131/Constants!$B$4)*602200000000*Constants!$B$17/(365.2425*24*60)</f>
        <v>10.424622189102726</v>
      </c>
      <c r="M131" s="144">
        <f>L131*Input!P131/100</f>
        <v>6.3752644044146989E-2</v>
      </c>
      <c r="N131" s="138">
        <v>0</v>
      </c>
      <c r="O131" s="142">
        <f>(((G131*Constants!$B$23*0.000000001*Input!G131*(Constants!$B$7/Constants!$B$6))-(N131*0.000000001))/Input!F131)*1000000</f>
        <v>13.700268842052708</v>
      </c>
      <c r="P131" s="138">
        <f>O131*Input!N131/100</f>
        <v>1.1806998092081559E-3</v>
      </c>
      <c r="Q131" s="145">
        <f>(O131/Constants!$B$7)*602200000000000000*Constants!$B$18/(365.2425*24*60)</f>
        <v>10.222054979626808</v>
      </c>
      <c r="R131" s="146">
        <f>Q131*Input!N131/100</f>
        <v>8.8094463716759661E-4</v>
      </c>
      <c r="S131" s="144">
        <f>Input!S131*Constants!$B$17/Constants!$B$18</f>
        <v>1.0000502866725696</v>
      </c>
      <c r="T131" s="138">
        <f>S131*Input!T131/100</f>
        <v>9.6147184343593674E-4</v>
      </c>
      <c r="U131" s="144">
        <f>S131</f>
        <v>1.0000502866725696</v>
      </c>
      <c r="V131" s="138">
        <f>U131*Input!T131/100</f>
        <v>9.6147184343593674E-4</v>
      </c>
      <c r="W131" s="147">
        <v>0</v>
      </c>
      <c r="X131" s="142">
        <f>(((Constants!$B$25*0.000000001*Input!G131/Input!W131*(Constants!$B$11/Constants!$B$9))-(W131*0.000000001))/Input!F131)*1000000000</f>
        <v>0.93657736899154642</v>
      </c>
      <c r="Y131" s="142">
        <f>X131*Input!X131/100</f>
        <v>3.0181754053453685E-3</v>
      </c>
      <c r="Z131" s="142">
        <f>(X131/Constants!$B$11)*6.022E+23*0.000000001*Constants!$B$19/(365.2425*24*60)</f>
        <v>2.2864881412844405E-4</v>
      </c>
      <c r="AA131" s="142">
        <f>Z131*Input!X131/100</f>
        <v>7.3683419022490093E-7</v>
      </c>
      <c r="AB131" s="143">
        <v>0</v>
      </c>
      <c r="AC131" s="143">
        <v>0.9</v>
      </c>
      <c r="AD131" s="142">
        <f>(((Input!G131*Constants!$B$25*0.000000001*Input!U131*(Constants!$B$10/Constants!$B$9))-((AB131*0.000000000000001)+(Input!G131*AC131*0.000000000000001)))/Input!F131)*1000000000000</f>
        <v>223.89410359236282</v>
      </c>
      <c r="AE131" s="142">
        <f>AD131*Input!V131/100</f>
        <v>0.60880628743500242</v>
      </c>
      <c r="AF131" s="142">
        <f>(AD131/Constants!$B$10)*602200000000*Constants!$B$16/(365.2425*24*60)</f>
        <v>10.219796023706033</v>
      </c>
      <c r="AG131" s="142">
        <f>AF131*Input!V131/100</f>
        <v>2.7789369955286768E-2</v>
      </c>
      <c r="AH131" s="138">
        <f t="shared" ref="AH131" si="719">AF131/Z131</f>
        <v>44696.475084121965</v>
      </c>
      <c r="AI131" s="147">
        <f t="shared" ref="AI131" si="720">AH131*SQRT((AG131/AF131)^2+(AA131/Z131)^2)</f>
        <v>188.46216066966048</v>
      </c>
      <c r="AJ131" s="144">
        <f t="shared" si="692"/>
        <v>5.0286672569566093E-2</v>
      </c>
      <c r="AK131" s="147">
        <f t="shared" ref="AK131" si="721">V131*1000</f>
        <v>0.96147184343593672</v>
      </c>
      <c r="AL131" s="147">
        <f t="shared" ref="AL131" si="722">AF131/Q131</f>
        <v>0.99977901156614035</v>
      </c>
      <c r="AM131" s="147">
        <f t="shared" ref="AM131" si="723">AL131*SQRT((R131/Q131)^2+(AG131/AF131)^2)</f>
        <v>2.719934851820678E-3</v>
      </c>
      <c r="AN131" s="138">
        <f>AF131/Q131</f>
        <v>0.99977901156614035</v>
      </c>
      <c r="AO131" s="142">
        <f t="shared" ref="AO131" si="724">AN131*SQRT((R131/Q131)^2+(AG131/AF131)^2)</f>
        <v>2.719934851820678E-3</v>
      </c>
      <c r="AP131" s="138">
        <f t="shared" ref="AP131" si="725">ThU_Alter_Kombi(AN131,U131)</f>
        <v>886.96339999999998</v>
      </c>
      <c r="AQ131" s="138" t="e">
        <f t="shared" si="698"/>
        <v>#VALUE!</v>
      </c>
      <c r="AR131" s="138" t="e">
        <f>(AQ131/AP131)*100</f>
        <v>#VALUE!</v>
      </c>
      <c r="AS131" s="146">
        <f t="shared" si="699"/>
        <v>2.2368184732341528E-5</v>
      </c>
      <c r="AT131" s="146">
        <f t="shared" si="700"/>
        <v>7.2108556591813163E-8</v>
      </c>
      <c r="AU131" s="138">
        <v>0.75</v>
      </c>
      <c r="AV131" s="138">
        <f t="shared" ref="AV131" si="726">AU131/2</f>
        <v>0.375</v>
      </c>
      <c r="AW131" s="138">
        <f t="shared" si="702"/>
        <v>886.96159999999998</v>
      </c>
      <c r="AX131" s="148">
        <f t="shared" si="703"/>
        <v>346.64321999169999</v>
      </c>
      <c r="AY131" s="148">
        <f t="shared" si="704"/>
        <v>1122.4897361403159</v>
      </c>
      <c r="AZ131" s="149">
        <f t="shared" si="705"/>
        <v>0.390821000584129</v>
      </c>
      <c r="BA131" s="138" t="str">
        <f>Input!B131</f>
        <v>Hu1-13</v>
      </c>
      <c r="BB131" s="150">
        <f>Input!E131</f>
        <v>0</v>
      </c>
      <c r="BC131" s="138">
        <f>((U131-1)*EXP(Constants!$B$17*AW131*1000))*1000</f>
        <v>0.6144938593520054</v>
      </c>
      <c r="BD131" s="144">
        <f>SQRT((EXP(Constants!$B$17*AW131*1000)*V131)^2+((U131-1)*Constants!$B$17*EXP(Constants!$B$17*AW131*1000)*AY131*1000)^2)*1000</f>
        <v>11.909167406915671</v>
      </c>
      <c r="BE131" s="138">
        <f t="shared" si="706"/>
        <v>886903.6</v>
      </c>
      <c r="BF131" s="151">
        <f t="shared" si="707"/>
        <v>561244.86807015794</v>
      </c>
      <c r="BG131" s="160">
        <f t="shared" si="708"/>
        <v>126.55449076265714</v>
      </c>
      <c r="BH131" s="138"/>
      <c r="BI131" s="18"/>
      <c r="BJ131" s="18"/>
      <c r="BK131" s="18"/>
      <c r="BL131" s="18"/>
      <c r="BM131" s="18"/>
      <c r="BN131" s="159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</row>
    <row r="132" spans="1:110" ht="15" customHeight="1" x14ac:dyDescent="0.2">
      <c r="A132" s="18">
        <f>Input!A132</f>
        <v>10965</v>
      </c>
      <c r="B132" s="18" t="str">
        <f>Input!B132</f>
        <v>GeoB20571-2_409-411</v>
      </c>
      <c r="C132" s="18">
        <f>Input!O132</f>
        <v>2.0279451519602811</v>
      </c>
      <c r="D132" s="18">
        <f>C132*Input!P132/100</f>
        <v>3.9681923604271531E-3</v>
      </c>
      <c r="E132" s="152">
        <f>Input!M132</f>
        <v>2.3482377044794376</v>
      </c>
      <c r="F132" s="153">
        <f>E132*Input!N132/100</f>
        <v>9.7087114177423905E-5</v>
      </c>
      <c r="G132" s="21">
        <f>E132*137.88</f>
        <v>323.77501469362483</v>
      </c>
      <c r="H132" s="153">
        <f>G132*Input!L132/100</f>
        <v>8.8449924760945989E-3</v>
      </c>
      <c r="I132" s="18">
        <v>0.3</v>
      </c>
      <c r="J132" s="129">
        <f>(((C132*Constants!$B$24*0.000000001*Input!G132*(Constants!$B$4/Constants!$B$3))-(I132*0.000000000000001))/Input!F132)*1000000000000</f>
        <v>274.02365341597653</v>
      </c>
      <c r="K132" s="18">
        <f>J132*Input!P132/100</f>
        <v>0.53619722752882093</v>
      </c>
      <c r="L132" s="134">
        <f>(J132/Constants!$B$4)*602200000000*Constants!$B$17/(365.2425*24*60)</f>
        <v>3.7832007879363703</v>
      </c>
      <c r="M132" s="132">
        <f>L132*Input!P132/100</f>
        <v>7.4027980737740992E-3</v>
      </c>
      <c r="N132" s="18">
        <v>5.0000000000000001E-3</v>
      </c>
      <c r="O132" s="129">
        <f>(((G132*Constants!$B$23*0.000000001*Input!G132*(Constants!$B$7/Constants!$B$6))-(N132*0.000000001))/Input!F132)*1000000</f>
        <v>4.4071353437512757</v>
      </c>
      <c r="P132" s="18">
        <f>O132*Input!N132/100</f>
        <v>1.8221155869268906E-4</v>
      </c>
      <c r="Q132" s="130">
        <f>(O132/Constants!$B$7)*602200000000000000*Constants!$B$18/(365.2425*24*60)</f>
        <v>3.2882551653440553</v>
      </c>
      <c r="R132" s="131">
        <f>Q132*Input!N132/100</f>
        <v>1.3595182637314549E-4</v>
      </c>
      <c r="S132" s="132">
        <f>Input!S132*Constants!$B$17/Constants!$B$18</f>
        <v>1.143501925962032</v>
      </c>
      <c r="T132" s="18">
        <f>S132*Input!T132/100</f>
        <v>5.6371750695771684E-4</v>
      </c>
      <c r="U132" s="18">
        <f>S132*1/((U131+U133)/2)</f>
        <v>1.1435738116768015</v>
      </c>
      <c r="V132" s="18">
        <f>U132*Input!T132/100</f>
        <v>5.6375294479563891E-4</v>
      </c>
      <c r="W132" s="133">
        <v>3.0000000000000001E-3</v>
      </c>
      <c r="X132" s="129">
        <f>IF((((Constants!$B$25*0.000000001*Input!G132/Input!W132*(Constants!$B$11/Constants!$B$9))-(W132*0.000000001))/Input!F132)*1000000000&lt;0, "n.d.", (((Constants!$B$25*0.000000001*Input!G132/Input!W132*(Constants!$B$11/Constants!$B$9))-(W132*0.000000001))/Input!F132)*1000000000)</f>
        <v>0.29884446725714325</v>
      </c>
      <c r="Y132" s="129">
        <f>X132*Input!X132/100</f>
        <v>6.0879238796934245E-4</v>
      </c>
      <c r="Z132" s="129">
        <f>(X132/Constants!$B$11)*6.022E+23*0.000000001*Constants!$B$19/(365.2425*24*60)</f>
        <v>7.295759571979279E-5</v>
      </c>
      <c r="AA132" s="129">
        <f>Z132*Input!X132/100</f>
        <v>1.4862590338852209E-7</v>
      </c>
      <c r="AB132" s="134">
        <v>0.05</v>
      </c>
      <c r="AC132" s="134">
        <v>0.9</v>
      </c>
      <c r="AD132" s="129">
        <f>(((Input!G132*Constants!$B$25*0.000000001*Input!U132*(Constants!$B$10/Constants!$B$9))-((AB132*0.000000000000001)+(Input!G132*AC132*0.000000000000001)))/Input!F132)*1000000000000</f>
        <v>6.1940203538776197</v>
      </c>
      <c r="AE132" s="129">
        <f>AD132*Input!V132/100</f>
        <v>1.8331608146684754E-2</v>
      </c>
      <c r="AF132" s="129">
        <f>(AD132/Constants!$B$10)*602200000000*Constants!$B$16/(365.2425*24*60)</f>
        <v>0.28273019953470535</v>
      </c>
      <c r="AG132" s="129">
        <f>AF132*Input!V132/100</f>
        <v>8.3675850788245782E-4</v>
      </c>
      <c r="AH132" s="18">
        <f>AF132/Z132</f>
        <v>3875.2674995018097</v>
      </c>
      <c r="AI132" s="133">
        <f>AH132*SQRT((AG132/AF132)^2+(AA132/Z132)^2)</f>
        <v>13.923500226926453</v>
      </c>
      <c r="AJ132" s="132">
        <f t="shared" si="692"/>
        <v>143.57381167680151</v>
      </c>
      <c r="AK132" s="133">
        <f>V132*1000</f>
        <v>0.56375294479563887</v>
      </c>
      <c r="AL132" s="133">
        <f>AF132/Q132</f>
        <v>8.5981830885415139E-2</v>
      </c>
      <c r="AM132" s="133">
        <f>AL132*SQRT((R132/Q132)^2+(AG132/AF132)^2)</f>
        <v>2.5449367864843091E-4</v>
      </c>
      <c r="AN132" s="18">
        <f>AL132*1/((AN131+AN133)/2)</f>
        <v>8.6217442612162895E-2</v>
      </c>
      <c r="AO132" s="129">
        <f>AN132*SQRT((R132/Q132)^2+(AG132/AF132)^2)</f>
        <v>2.5519105499475055E-4</v>
      </c>
      <c r="AP132" s="18">
        <f>ThU_Alter_Kombi(AN132,U132)</f>
        <v>8.5343</v>
      </c>
      <c r="AQ132" s="18">
        <f t="shared" si="698"/>
        <v>2.5100000000000001E-2</v>
      </c>
      <c r="AR132" s="154">
        <f>(AQ132/AP132)</f>
        <v>2.9410730815649789E-3</v>
      </c>
      <c r="AS132" s="131">
        <f t="shared" si="699"/>
        <v>2.2187327944837006E-5</v>
      </c>
      <c r="AT132" s="131">
        <f t="shared" si="700"/>
        <v>4.5208325454404011E-8</v>
      </c>
      <c r="AU132" s="18">
        <v>8</v>
      </c>
      <c r="AV132" s="18">
        <f>AU132/2</f>
        <v>4</v>
      </c>
      <c r="AW132" s="18">
        <f t="shared" si="702"/>
        <v>8.5175000000000001</v>
      </c>
      <c r="AX132" s="135">
        <f t="shared" si="703"/>
        <v>2.5922488600000002E-2</v>
      </c>
      <c r="AY132" s="135">
        <f t="shared" si="704"/>
        <v>2.7943480278236399E-2</v>
      </c>
      <c r="AZ132" s="154">
        <f t="shared" si="705"/>
        <v>3.0434386380980335E-3</v>
      </c>
      <c r="BA132" s="18" t="str">
        <f>Input!B132</f>
        <v>GeoB20571-2_409-411</v>
      </c>
      <c r="BB132" s="136">
        <f>Input!E132</f>
        <v>410</v>
      </c>
      <c r="BC132" s="18">
        <f>((U132-1)*EXP(Constants!$B$17*AW132*1000))*1000</f>
        <v>147.06669128309309</v>
      </c>
      <c r="BD132" s="132">
        <f>SQRT((EXP(Constants!$B$17*AW132*1000)*V132)^2+((U132-1)*Constants!$B$17*EXP(Constants!$B$17*AW132*1000)*AY132*1000)^2)*1000</f>
        <v>0.57758443381849833</v>
      </c>
      <c r="BE132" s="18">
        <f t="shared" si="706"/>
        <v>8459.5</v>
      </c>
      <c r="BF132" s="137">
        <f t="shared" si="707"/>
        <v>13.9717401391182</v>
      </c>
      <c r="BG132" s="20">
        <f t="shared" si="708"/>
        <v>0.32807138571454536</v>
      </c>
      <c r="BH132" s="18"/>
      <c r="BI132" s="18"/>
      <c r="BJ132" s="18"/>
      <c r="BK132" s="18"/>
      <c r="BL132" s="18"/>
      <c r="BM132" s="18"/>
      <c r="BN132" s="159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</row>
    <row r="133" spans="1:110" ht="15" customHeight="1" x14ac:dyDescent="0.2">
      <c r="A133" s="138">
        <f>Input!A133</f>
        <v>10815</v>
      </c>
      <c r="B133" s="138" t="str">
        <f>Input!B133</f>
        <v>Hu1-13</v>
      </c>
      <c r="C133" s="138">
        <f>Input!O133</f>
        <v>2.092522285599721</v>
      </c>
      <c r="D133" s="138">
        <f>C133*Input!P133/100</f>
        <v>1.5348590865954827E-2</v>
      </c>
      <c r="E133" s="139">
        <f>Input!M133</f>
        <v>2.7320992711824612</v>
      </c>
      <c r="F133" s="140">
        <f>E133*Input!N133/100</f>
        <v>2.0824562891767014E-4</v>
      </c>
      <c r="G133" s="141">
        <f t="shared" ref="G133" si="727">E133*137.88</f>
        <v>376.70184751063772</v>
      </c>
      <c r="H133" s="140">
        <f>G133*Input!L133/100</f>
        <v>2.1033120434012637E-2</v>
      </c>
      <c r="I133" s="138">
        <v>0</v>
      </c>
      <c r="J133" s="142">
        <f>(((C133*Constants!$B$24*0.000000001*Input!G133*(Constants!$B$4/Constants!$B$3))-(I133*0.000000000000001))/Input!F133)*1000000000000</f>
        <v>755.47910401563865</v>
      </c>
      <c r="K133" s="138">
        <f>J133*Input!P133/100</f>
        <v>5.5414175299886299</v>
      </c>
      <c r="L133" s="143">
        <f>(J133/Constants!$B$4)*602200000000*Constants!$B$17/(365.2425*24*60)</f>
        <v>10.430227850596156</v>
      </c>
      <c r="M133" s="144">
        <f>L133*Input!P133/100</f>
        <v>7.6505421719609501E-2</v>
      </c>
      <c r="N133" s="138">
        <v>0</v>
      </c>
      <c r="O133" s="142">
        <f>(((G133*Constants!$B$23*0.000000001*Input!G133*(Constants!$B$7/Constants!$B$6))-(N133*0.000000001))/Input!F133)*1000000</f>
        <v>13.700348526185543</v>
      </c>
      <c r="P133" s="138">
        <f>O133*Input!N133/100</f>
        <v>1.0442657502675514E-3</v>
      </c>
      <c r="Q133" s="145">
        <f>(O133/Constants!$B$7)*602200000000000000*Constants!$B$18/(365.2425*24*60)</f>
        <v>10.222114433612436</v>
      </c>
      <c r="R133" s="146">
        <f>Q133*Input!N133/100</f>
        <v>7.7914835363017475E-4</v>
      </c>
      <c r="S133" s="144">
        <f>Input!S133*Constants!$B$17/Constants!$B$18</f>
        <v>0.99982399216446649</v>
      </c>
      <c r="T133" s="138">
        <f>S133*Input!T133/100</f>
        <v>8.8733456092459793E-4</v>
      </c>
      <c r="U133" s="144">
        <f>S133</f>
        <v>0.99982399216446649</v>
      </c>
      <c r="V133" s="138">
        <f>U133*Input!T133/100</f>
        <v>8.8733456092459793E-4</v>
      </c>
      <c r="W133" s="147">
        <v>0</v>
      </c>
      <c r="X133" s="142">
        <f>(((Constants!$B$25*0.000000001*Input!G133/Input!W133*(Constants!$B$11/Constants!$B$9))-(W133*0.000000001))/Input!F133)*1000000000</f>
        <v>0.93990956044479301</v>
      </c>
      <c r="Y133" s="142">
        <f>X133*Input!X133/100</f>
        <v>3.1316113509357326E-3</v>
      </c>
      <c r="Z133" s="142">
        <f>(X133/Constants!$B$11)*6.022E+23*0.000000001*Constants!$B$19/(365.2425*24*60)</f>
        <v>2.2946230978770191E-4</v>
      </c>
      <c r="AA133" s="142">
        <f>Z133*Input!X133/100</f>
        <v>7.645275717836535E-7</v>
      </c>
      <c r="AB133" s="143">
        <v>0</v>
      </c>
      <c r="AC133" s="143">
        <v>0.9</v>
      </c>
      <c r="AD133" s="142">
        <f>(((Input!G133*Constants!$B$25*0.000000001*Input!U133*(Constants!$B$10/Constants!$B$9))-((AB133*0.000000000000001)+(Input!G133*AC133*0.000000000000001)))/Input!F133)*1000000000000</f>
        <v>222.77040820573575</v>
      </c>
      <c r="AE133" s="142">
        <f>AD133*Input!V133/100</f>
        <v>0.61346448860947123</v>
      </c>
      <c r="AF133" s="142">
        <f>(AD133/Constants!$B$10)*602200000000*Constants!$B$16/(365.2425*24*60)</f>
        <v>10.168504196633103</v>
      </c>
      <c r="AG133" s="142">
        <f>AF133*Input!V133/100</f>
        <v>2.8001996661736944E-2</v>
      </c>
      <c r="AH133" s="138">
        <f t="shared" ref="AH133" si="728">AF133/Z133</f>
        <v>44314.485485834179</v>
      </c>
      <c r="AI133" s="147">
        <f t="shared" ref="AI133" si="729">AH133*SQRT((AG133/AF133)^2+(AA133/Z133)^2)</f>
        <v>191.55156600462749</v>
      </c>
      <c r="AJ133" s="144">
        <f t="shared" si="692"/>
        <v>-0.17600783553350929</v>
      </c>
      <c r="AK133" s="147">
        <f t="shared" ref="AK133" si="730">V133*1000</f>
        <v>0.88733456092459795</v>
      </c>
      <c r="AL133" s="147">
        <f t="shared" ref="AL133" si="731">AF133/Q133</f>
        <v>0.99475546499430179</v>
      </c>
      <c r="AM133" s="147">
        <f t="shared" ref="AM133" si="732">AL133*SQRT((R133/Q133)^2+(AG133/AF133)^2)</f>
        <v>2.7404037775160812E-3</v>
      </c>
      <c r="AN133" s="138">
        <f>AF133/Q133</f>
        <v>0.99475546499430179</v>
      </c>
      <c r="AO133" s="142">
        <f t="shared" ref="AO133" si="733">AN133*SQRT((R133/Q133)^2+(AG133/AF133)^2)</f>
        <v>2.7404037775160812E-3</v>
      </c>
      <c r="AP133" s="138">
        <f t="shared" ref="AP133" si="734">ThU_Alter_Kombi(AN133,U133)</f>
        <v>577.82680000000005</v>
      </c>
      <c r="AQ133" s="138" t="e">
        <f t="shared" si="698"/>
        <v>#VALUE!</v>
      </c>
      <c r="AR133" s="138" t="e">
        <f>(AQ133/AP133)*100</f>
        <v>#VALUE!</v>
      </c>
      <c r="AS133" s="146">
        <f t="shared" si="699"/>
        <v>2.2447636570490951E-5</v>
      </c>
      <c r="AT133" s="146">
        <f t="shared" si="700"/>
        <v>7.4811098009914023E-8</v>
      </c>
      <c r="AU133" s="138">
        <v>0.75</v>
      </c>
      <c r="AV133" s="138">
        <f t="shared" ref="AV133" si="735">AU133/2</f>
        <v>0.375</v>
      </c>
      <c r="AW133" s="138">
        <f t="shared" si="702"/>
        <v>577.82489999999996</v>
      </c>
      <c r="AX133" s="148">
        <f t="shared" si="703"/>
        <v>163.65018108000001</v>
      </c>
      <c r="AY133" s="148">
        <f t="shared" si="704"/>
        <v>65.400725262164698</v>
      </c>
      <c r="AZ133" s="149">
        <f t="shared" si="705"/>
        <v>0.28321759944924496</v>
      </c>
      <c r="BA133" s="138" t="str">
        <f>Input!B133</f>
        <v>Hu1-13</v>
      </c>
      <c r="BB133" s="150">
        <f>Input!E133</f>
        <v>0</v>
      </c>
      <c r="BC133" s="138">
        <f>((U133-1)*EXP(Constants!$B$17*AW133*1000))*1000</f>
        <v>-0.89891191755008737</v>
      </c>
      <c r="BD133" s="144">
        <f>SQRT((EXP(Constants!$B$17*AW133*1000)*V133)^2+((U133-1)*Constants!$B$17*EXP(Constants!$B$17*AW133*1000)*AY133*1000)^2)*1000</f>
        <v>4.5348546391643492</v>
      </c>
      <c r="BE133" s="138">
        <f t="shared" si="706"/>
        <v>577766.89999999991</v>
      </c>
      <c r="BF133" s="151">
        <f t="shared" si="707"/>
        <v>32700.362631082349</v>
      </c>
      <c r="BG133" s="160">
        <f t="shared" si="708"/>
        <v>11.318433190083137</v>
      </c>
      <c r="BH133" s="138"/>
      <c r="BI133" s="18"/>
      <c r="BJ133" s="18"/>
      <c r="BK133" s="18"/>
      <c r="BL133" s="18"/>
      <c r="BM133" s="18"/>
      <c r="BN133" s="159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</row>
    <row r="134" spans="1:110" ht="15" customHeight="1" x14ac:dyDescent="0.2">
      <c r="A134" s="18">
        <f>Input!A134</f>
        <v>10966</v>
      </c>
      <c r="B134" s="18" t="str">
        <f>Input!B134</f>
        <v>GeoB20571-2_478-482</v>
      </c>
      <c r="C134" s="18">
        <f>Input!O134</f>
        <v>2.1370223136139992</v>
      </c>
      <c r="D134" s="18">
        <f>C134*Input!P134/100</f>
        <v>3.2339971788576507E-3</v>
      </c>
      <c r="E134" s="152">
        <f>Input!M134</f>
        <v>2.4770202227353955</v>
      </c>
      <c r="F134" s="153">
        <f>E134*Input!N134/100</f>
        <v>8.3533905791657433E-5</v>
      </c>
      <c r="G134" s="21">
        <f>E134*137.88</f>
        <v>341.53154831075631</v>
      </c>
      <c r="H134" s="153">
        <f>G134*Input!L134/100</f>
        <v>9.3475388244529303E-3</v>
      </c>
      <c r="I134" s="18">
        <v>0.3</v>
      </c>
      <c r="J134" s="129">
        <f>(((C134*Constants!$B$24*0.000000001*Input!G134*(Constants!$B$4/Constants!$B$3))-(I134*0.000000000000001))/Input!F134)*1000000000000</f>
        <v>247.49581883570525</v>
      </c>
      <c r="K134" s="18">
        <f>J134*Input!P134/100</f>
        <v>0.37454020708850111</v>
      </c>
      <c r="L134" s="134">
        <f>(J134/Constants!$B$4)*602200000000*Constants!$B$17/(365.2425*24*60)</f>
        <v>3.4169545773073255</v>
      </c>
      <c r="M134" s="132">
        <f>L134*Input!P134/100</f>
        <v>5.1709434164067484E-3</v>
      </c>
      <c r="N134" s="18">
        <v>5.0000000000000001E-3</v>
      </c>
      <c r="O134" s="129">
        <f>(((G134*Constants!$B$23*0.000000001*Input!G134*(Constants!$B$7/Constants!$B$6))-(N134*0.000000001))/Input!F134)*1000000</f>
        <v>3.9844728046681657</v>
      </c>
      <c r="P134" s="18">
        <f>O134*Input!N134/100</f>
        <v>1.3437055250482171E-4</v>
      </c>
      <c r="Q134" s="130">
        <f>(O134/Constants!$B$7)*602200000000000000*Constants!$B$18/(365.2425*24*60)</f>
        <v>2.9728978711080036</v>
      </c>
      <c r="R134" s="131">
        <f>Q134*Input!N134/100</f>
        <v>1.0025665855045515E-4</v>
      </c>
      <c r="S134" s="132">
        <f>Input!S134*Constants!$B$17/Constants!$B$18</f>
        <v>1.1434948444974795</v>
      </c>
      <c r="T134" s="18">
        <f>S134*Input!T134/100</f>
        <v>5.3932521819907719E-4</v>
      </c>
      <c r="U134" s="18">
        <f>S134*1/((U133+U135)/2)</f>
        <v>1.143387652393163</v>
      </c>
      <c r="V134" s="18">
        <f>U134*Input!T134/100</f>
        <v>5.3927466142977647E-4</v>
      </c>
      <c r="W134" s="133">
        <v>3.0000000000000001E-3</v>
      </c>
      <c r="X134" s="129">
        <f>IF((((Constants!$B$25*0.000000001*Input!G134/Input!W134*(Constants!$B$11/Constants!$B$9))-(W134*0.000000001))/Input!F134)*1000000000&lt;0, "n.d.", (((Constants!$B$25*0.000000001*Input!G134/Input!W134*(Constants!$B$11/Constants!$B$9))-(W134*0.000000001))/Input!F134)*1000000000)</f>
        <v>0.30203098417566376</v>
      </c>
      <c r="Y134" s="129">
        <f>X134*Input!X134/100</f>
        <v>5.1432593897144134E-4</v>
      </c>
      <c r="Z134" s="129">
        <f>(X134/Constants!$B$11)*6.022E+23*0.000000001*Constants!$B$19/(365.2425*24*60)</f>
        <v>7.3735527515651181E-5</v>
      </c>
      <c r="AA134" s="129">
        <f>Z134*Input!X134/100</f>
        <v>1.2556358920773794E-7</v>
      </c>
      <c r="AB134" s="134">
        <v>0.05</v>
      </c>
      <c r="AC134" s="134">
        <v>0.9</v>
      </c>
      <c r="AD134" s="129">
        <f>(((Input!G134*Constants!$B$25*0.000000001*Input!U134*(Constants!$B$10/Constants!$B$9))-((AB134*0.000000000000001)+(Input!G134*AC134*0.000000000000001)))/Input!F134)*1000000000000</f>
        <v>5.6390384350842497</v>
      </c>
      <c r="AE134" s="129">
        <f>AD134*Input!V134/100</f>
        <v>1.5391158510193643E-2</v>
      </c>
      <c r="AF134" s="129">
        <f>(AD134/Constants!$B$10)*602200000000*Constants!$B$16/(365.2425*24*60)</f>
        <v>0.257397678865739</v>
      </c>
      <c r="AG134" s="129">
        <f>AF134*Input!V134/100</f>
        <v>7.0253971863898465E-4</v>
      </c>
      <c r="AH134" s="18">
        <f>AF134/Z134</f>
        <v>3490.8230474258626</v>
      </c>
      <c r="AI134" s="133">
        <f>AH134*SQRT((AG134/AF134)^2+(AA134/Z134)^2)</f>
        <v>11.230163428051677</v>
      </c>
      <c r="AJ134" s="132">
        <f t="shared" si="692"/>
        <v>143.38765239316297</v>
      </c>
      <c r="AK134" s="133">
        <f>V134*1000</f>
        <v>0.53927466142977643</v>
      </c>
      <c r="AL134" s="133">
        <f>AF134/Q134</f>
        <v>8.6581406434189573E-2</v>
      </c>
      <c r="AM134" s="133">
        <f>AL134*SQRT((R134/Q134)^2+(AG134/AF134)^2)</f>
        <v>2.3633282170630249E-4</v>
      </c>
      <c r="AN134" s="18">
        <f>AL134*1/((AN133+AN135)/2)</f>
        <v>8.6917049007490046E-2</v>
      </c>
      <c r="AO134" s="129">
        <f>AN134*SQRT((R134/Q134)^2+(AG134/AF134)^2)</f>
        <v>2.3724899250670591E-4</v>
      </c>
      <c r="AP134" s="18">
        <f>ThU_Alter_Kombi(AN134,U134)</f>
        <v>8.6076999999999995</v>
      </c>
      <c r="AQ134" s="18">
        <f t="shared" si="698"/>
        <v>2.5999999999999999E-2</v>
      </c>
      <c r="AR134" s="154">
        <f>(AQ134/AP134)</f>
        <v>3.0205513667994933E-3</v>
      </c>
      <c r="AS134" s="131">
        <f t="shared" si="699"/>
        <v>2.4802576715549879E-5</v>
      </c>
      <c r="AT134" s="131">
        <f t="shared" si="700"/>
        <v>4.2244373809582584E-8</v>
      </c>
      <c r="AU134" s="18">
        <v>8</v>
      </c>
      <c r="AV134" s="18">
        <f>AU134/2</f>
        <v>4</v>
      </c>
      <c r="AW134" s="18">
        <f t="shared" si="702"/>
        <v>8.5889000000000006</v>
      </c>
      <c r="AX134" s="135">
        <f t="shared" si="703"/>
        <v>2.4013170699999999E-2</v>
      </c>
      <c r="AY134" s="135">
        <f t="shared" si="704"/>
        <v>2.6546563247339103E-2</v>
      </c>
      <c r="AZ134" s="154">
        <f t="shared" si="705"/>
        <v>2.7958377324220794E-3</v>
      </c>
      <c r="BA134" s="18" t="str">
        <f>Input!B134</f>
        <v>GeoB20571-2_478-482</v>
      </c>
      <c r="BB134" s="136">
        <f>Input!E134</f>
        <v>480</v>
      </c>
      <c r="BC134" s="18">
        <f>((U134-1)*EXP(Constants!$B$17*AW134*1000))*1000</f>
        <v>146.90560087014984</v>
      </c>
      <c r="BD134" s="132">
        <f>SQRT((EXP(Constants!$B$17*AW134*1000)*V134)^2+((U134-1)*Constants!$B$17*EXP(Constants!$B$17*AW134*1000)*AY134*1000)^2)*1000</f>
        <v>0.55261511250783379</v>
      </c>
      <c r="BE134" s="18">
        <f t="shared" si="706"/>
        <v>8530.9000000000015</v>
      </c>
      <c r="BF134" s="137">
        <f t="shared" si="707"/>
        <v>13.273281623669551</v>
      </c>
      <c r="BG134" s="20">
        <f t="shared" si="708"/>
        <v>0.3090798966961904</v>
      </c>
      <c r="BH134" s="18"/>
      <c r="BI134" s="18"/>
      <c r="BJ134" s="18"/>
      <c r="BK134" s="18"/>
      <c r="BL134" s="18"/>
      <c r="BM134" s="18"/>
      <c r="BN134" s="159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</row>
    <row r="135" spans="1:110" ht="15" customHeight="1" x14ac:dyDescent="0.2">
      <c r="A135" s="138">
        <f>Input!A135</f>
        <v>10815</v>
      </c>
      <c r="B135" s="138" t="str">
        <f>Input!B135</f>
        <v>Hu1-13</v>
      </c>
      <c r="C135" s="138">
        <f>Input!O135</f>
        <v>2.0926585143495049</v>
      </c>
      <c r="D135" s="138">
        <f>C135*Input!P135/100</f>
        <v>1.3538418971659989E-2</v>
      </c>
      <c r="E135" s="139">
        <f>Input!M135</f>
        <v>2.7319031109239202</v>
      </c>
      <c r="F135" s="140">
        <f>E135*Input!N135/100</f>
        <v>2.6490729359704169E-4</v>
      </c>
      <c r="G135" s="141">
        <f t="shared" ref="G135" si="736">E135*137.88</f>
        <v>376.6748009341901</v>
      </c>
      <c r="H135" s="140">
        <f>G135*Input!L135/100</f>
        <v>2.1499471737223726E-2</v>
      </c>
      <c r="I135" s="138">
        <v>0</v>
      </c>
      <c r="J135" s="142">
        <f>(((C135*Constants!$B$24*0.000000001*Input!G135*(Constants!$B$4/Constants!$B$3))-(I135*0.000000000000001))/Input!F135)*1000000000000</f>
        <v>755.52828770870428</v>
      </c>
      <c r="K135" s="138">
        <f>J135*Input!P135/100</f>
        <v>4.8878775174270848</v>
      </c>
      <c r="L135" s="143">
        <f>(J135/Constants!$B$4)*602200000000*Constants!$B$17/(365.2425*24*60)</f>
        <v>10.430906886088312</v>
      </c>
      <c r="M135" s="144">
        <f>L135*Input!P135/100</f>
        <v>6.7482576211023104E-2</v>
      </c>
      <c r="N135" s="138">
        <v>0</v>
      </c>
      <c r="O135" s="142">
        <f>(((G135*Constants!$B$23*0.000000001*Input!G135*(Constants!$B$7/Constants!$B$6))-(N135*0.000000001))/Input!F135)*1000000</f>
        <v>13.699364863572201</v>
      </c>
      <c r="P135" s="138">
        <f>O135*Input!N135/100</f>
        <v>1.3284005774201787E-3</v>
      </c>
      <c r="Q135" s="145">
        <f>(O135/Constants!$B$7)*602200000000000000*Constants!$B$18/(365.2425*24*60)</f>
        <v>10.221380502517293</v>
      </c>
      <c r="R135" s="146">
        <f>Q135*Input!N135/100</f>
        <v>9.9114724637203015E-4</v>
      </c>
      <c r="S135" s="144">
        <f>Input!S135*Constants!$B$17/Constants!$B$18</f>
        <v>1.0003635069817634</v>
      </c>
      <c r="T135" s="138">
        <f>S135*Input!T135/100</f>
        <v>1.3609076547352399E-3</v>
      </c>
      <c r="U135" s="144">
        <f>S135</f>
        <v>1.0003635069817634</v>
      </c>
      <c r="V135" s="138">
        <f>U135*Input!T135/100</f>
        <v>1.3609076547352399E-3</v>
      </c>
      <c r="W135" s="147">
        <v>0</v>
      </c>
      <c r="X135" s="142">
        <f>(((Constants!$B$25*0.000000001*Input!G135/Input!W135*(Constants!$B$11/Constants!$B$9))-(W135*0.000000001))/Input!F135)*1000000000</f>
        <v>0.94040457892009122</v>
      </c>
      <c r="Y135" s="142">
        <f>X135*Input!X135/100</f>
        <v>3.6511537027338835E-3</v>
      </c>
      <c r="Z135" s="142">
        <f>(X135/Constants!$B$11)*6.022E+23*0.000000001*Constants!$B$19/(365.2425*24*60)</f>
        <v>2.2958315980084126E-4</v>
      </c>
      <c r="AA135" s="142">
        <f>Z135*Input!X135/100</f>
        <v>8.9136465600239738E-7</v>
      </c>
      <c r="AB135" s="143">
        <v>0</v>
      </c>
      <c r="AC135" s="143">
        <v>0.9</v>
      </c>
      <c r="AD135" s="142">
        <f>(((Input!G135*Constants!$B$25*0.000000001*Input!U135*(Constants!$B$10/Constants!$B$9))-((AB135*0.000000000000001)+(Input!G135*AC135*0.000000000000001)))/Input!F135)*1000000000000</f>
        <v>223.37375260338163</v>
      </c>
      <c r="AE135" s="142">
        <f>AD135*Input!V135/100</f>
        <v>0.68082127924250702</v>
      </c>
      <c r="AF135" s="142">
        <f>(AD135/Constants!$B$10)*602200000000*Constants!$B$16/(365.2425*24*60)</f>
        <v>10.196044254977886</v>
      </c>
      <c r="AG135" s="142">
        <f>AF135*Input!V135/100</f>
        <v>3.1076542395796998E-2</v>
      </c>
      <c r="AH135" s="138">
        <f t="shared" ref="AH135" si="737">AF135/Z135</f>
        <v>44411.115622865145</v>
      </c>
      <c r="AI135" s="147">
        <f t="shared" ref="AI135" si="738">AH135*SQRT((AG135/AF135)^2+(AA135/Z135)^2)</f>
        <v>219.211862901621</v>
      </c>
      <c r="AJ135" s="144">
        <f t="shared" si="692"/>
        <v>0.36350698176335072</v>
      </c>
      <c r="AK135" s="147">
        <f t="shared" ref="AK135" si="739">V135*1000</f>
        <v>1.3609076547352399</v>
      </c>
      <c r="AL135" s="147">
        <f t="shared" ref="AL135" si="740">AF135/Q135</f>
        <v>0.99752124993946101</v>
      </c>
      <c r="AM135" s="147">
        <f t="shared" ref="AM135" si="741">AL135*SQRT((R135/Q135)^2+(AG135/AF135)^2)</f>
        <v>3.0418851786610515E-3</v>
      </c>
      <c r="AN135" s="138">
        <f>AF135/Q135</f>
        <v>0.99752124993946101</v>
      </c>
      <c r="AO135" s="142">
        <f t="shared" ref="AO135" si="742">AN135*SQRT((R135/Q135)^2+(AG135/AF135)^2)</f>
        <v>3.0418851786610515E-3</v>
      </c>
      <c r="AP135" s="138">
        <f t="shared" ref="AP135" si="743">ThU_Alter_Kombi(AN135,U135)</f>
        <v>633.66279999999995</v>
      </c>
      <c r="AQ135" s="138" t="e">
        <f t="shared" si="698"/>
        <v>#VALUE!</v>
      </c>
      <c r="AR135" s="138" t="e">
        <f>(AQ135/AP135)*100</f>
        <v>#VALUE!</v>
      </c>
      <c r="AS135" s="146">
        <f t="shared" si="699"/>
        <v>2.246107164724962E-5</v>
      </c>
      <c r="AT135" s="146">
        <f t="shared" si="700"/>
        <v>8.7233091165127363E-8</v>
      </c>
      <c r="AU135" s="138">
        <v>0.75</v>
      </c>
      <c r="AV135" s="138">
        <f t="shared" ref="AV135" si="744">AU135/2</f>
        <v>0.375</v>
      </c>
      <c r="AW135" s="138">
        <f t="shared" si="702"/>
        <v>633.66099999999994</v>
      </c>
      <c r="AX135" s="148">
        <f t="shared" si="703"/>
        <v>290.19439606909998</v>
      </c>
      <c r="AY135" s="148">
        <f t="shared" si="704"/>
        <v>130.08173917857442</v>
      </c>
      <c r="AZ135" s="149">
        <f t="shared" si="705"/>
        <v>0.45796474150863004</v>
      </c>
      <c r="BA135" s="138" t="str">
        <f>Input!B135</f>
        <v>Hu1-13</v>
      </c>
      <c r="BB135" s="150">
        <f>Input!E135</f>
        <v>0</v>
      </c>
      <c r="BC135" s="138">
        <f>((U135-1)*EXP(Constants!$B$17*AW135*1000))*1000</f>
        <v>2.173356151819624</v>
      </c>
      <c r="BD135" s="144">
        <f>SQRT((EXP(Constants!$B$17*AW135*1000)*V135)^2+((U135-1)*Constants!$B$17*EXP(Constants!$B$17*AW135*1000)*AY135*1000)^2)*1000</f>
        <v>8.1756938870016143</v>
      </c>
      <c r="BE135" s="138">
        <f t="shared" si="706"/>
        <v>633603</v>
      </c>
      <c r="BF135" s="151">
        <f t="shared" si="707"/>
        <v>65040.869589287213</v>
      </c>
      <c r="BG135" s="160">
        <f t="shared" si="708"/>
        <v>20.528601125613609</v>
      </c>
      <c r="BH135" s="138"/>
      <c r="BI135" s="18"/>
      <c r="BJ135" s="18"/>
      <c r="BK135" s="18"/>
      <c r="BL135" s="18"/>
      <c r="BM135" s="18"/>
      <c r="BN135" s="159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</row>
    <row r="136" spans="1:110" ht="15" customHeight="1" x14ac:dyDescent="0.2">
      <c r="A136" s="18">
        <f>Input!A136</f>
        <v>10967</v>
      </c>
      <c r="B136" s="18" t="str">
        <f>Input!B136</f>
        <v>GeoB20571-2_524-526</v>
      </c>
      <c r="C136" s="18">
        <f>Input!O136</f>
        <v>1.9718874226360039</v>
      </c>
      <c r="D136" s="18">
        <f>C136*Input!P136/100</f>
        <v>5.6174618513267624E-3</v>
      </c>
      <c r="E136" s="152">
        <f>Input!M136</f>
        <v>2.2876070692129318</v>
      </c>
      <c r="F136" s="153">
        <f>E136*Input!N136/100</f>
        <v>1.0122720737979147E-4</v>
      </c>
      <c r="G136" s="21">
        <f>E136*137.88</f>
        <v>315.41526270307901</v>
      </c>
      <c r="H136" s="153">
        <f>G136*Input!L136/100</f>
        <v>1.0736578505534637E-2</v>
      </c>
      <c r="I136" s="18">
        <v>0.3</v>
      </c>
      <c r="J136" s="129">
        <f>(((C136*Constants!$B$24*0.000000001*Input!G136*(Constants!$B$4/Constants!$B$3))-(I136*0.000000000000001))/Input!F136)*1000000000000</f>
        <v>217.74051146966235</v>
      </c>
      <c r="K136" s="18">
        <f>J136*Input!P136/100</f>
        <v>0.6202935333063333</v>
      </c>
      <c r="L136" s="134">
        <f>(J136/Constants!$B$4)*602200000000*Constants!$B$17/(365.2425*24*60)</f>
        <v>3.0061495213597751</v>
      </c>
      <c r="M136" s="132">
        <f>L136*Input!P136/100</f>
        <v>8.563840948408924E-3</v>
      </c>
      <c r="N136" s="18">
        <v>5.0000000000000001E-3</v>
      </c>
      <c r="O136" s="129">
        <f>(((G136*Constants!$B$23*0.000000001*Input!G136*(Constants!$B$7/Constants!$B$6))-(N136*0.000000001))/Input!F136)*1000000</f>
        <v>3.5084964616862537</v>
      </c>
      <c r="P136" s="18">
        <f>O136*Input!N136/100</f>
        <v>1.5525188031551799E-4</v>
      </c>
      <c r="Q136" s="130">
        <f>(O136/Constants!$B$7)*602200000000000000*Constants!$B$18/(365.2425*24*60)</f>
        <v>2.6177620410702471</v>
      </c>
      <c r="R136" s="131">
        <f>Q136*Input!N136/100</f>
        <v>1.1583665069435871E-4</v>
      </c>
      <c r="S136" s="132">
        <f>Input!S136*Constants!$B$17/Constants!$B$18</f>
        <v>1.1441475035776565</v>
      </c>
      <c r="T136" s="18">
        <f>S136*Input!T136/100</f>
        <v>5.7967089976281993E-4</v>
      </c>
      <c r="U136" s="18">
        <f>S136*1/((U135+U137)/2)</f>
        <v>1.1436982637564366</v>
      </c>
      <c r="V136" s="18">
        <f>U136*Input!T136/100</f>
        <v>5.7944329689643996E-4</v>
      </c>
      <c r="W136" s="133">
        <v>3.0000000000000001E-3</v>
      </c>
      <c r="X136" s="129">
        <f>IF((((Constants!$B$25*0.000000001*Input!G136/Input!W136*(Constants!$B$11/Constants!$B$9))-(W136*0.000000001))/Input!F136)*1000000000&lt;0, "n.d.", (((Constants!$B$25*0.000000001*Input!G136/Input!W136*(Constants!$B$11/Constants!$B$9))-(W136*0.000000001))/Input!F136)*1000000000)</f>
        <v>0.18737293799276714</v>
      </c>
      <c r="Y136" s="129">
        <f>X136*Input!X136/100</f>
        <v>5.5268785478793927E-4</v>
      </c>
      <c r="Z136" s="129">
        <f>(X136/Constants!$B$11)*6.022E+23*0.000000001*Constants!$B$19/(365.2425*24*60)</f>
        <v>4.5743791693300448E-5</v>
      </c>
      <c r="AA136" s="129">
        <f>Z136*Input!X136/100</f>
        <v>1.349289730505934E-7</v>
      </c>
      <c r="AB136" s="134">
        <v>0.05</v>
      </c>
      <c r="AC136" s="134">
        <v>0.9</v>
      </c>
      <c r="AD136" s="129">
        <f>(((Input!G136*Constants!$B$25*0.000000001*Input!U136*(Constants!$B$10/Constants!$B$9))-((AB136*0.000000000000001)+(Input!G136*AC136*0.000000000000001)))/Input!F136)*1000000000000</f>
        <v>5.0207919961351237</v>
      </c>
      <c r="AE136" s="129">
        <f>AD136*Input!V136/100</f>
        <v>2.0647720622013997E-2</v>
      </c>
      <c r="AF136" s="129">
        <f>(AD136/Constants!$B$10)*602200000000*Constants!$B$16/(365.2425*24*60)</f>
        <v>0.22917740688418506</v>
      </c>
      <c r="AG136" s="129">
        <f>AF136*Input!V136/100</f>
        <v>9.424790100575457E-4</v>
      </c>
      <c r="AH136" s="18">
        <f>AF136/Z136</f>
        <v>5010.0220904457719</v>
      </c>
      <c r="AI136" s="133">
        <f>AH136*SQRT((AG136/AF136)^2+(AA136/Z136)^2)</f>
        <v>25.355228808897579</v>
      </c>
      <c r="AJ136" s="132">
        <f t="shared" ref="AJ136:AJ137" si="745">(U136-1)*1000</f>
        <v>143.69826375643657</v>
      </c>
      <c r="AK136" s="133">
        <f>V136*1000</f>
        <v>0.57944329689643992</v>
      </c>
      <c r="AL136" s="133">
        <f>AF136/Q136</f>
        <v>8.7547073908401565E-2</v>
      </c>
      <c r="AM136" s="133">
        <f>AL136*SQRT((R136/Q136)^2+(AG136/AF136)^2)</f>
        <v>3.6005318802537407E-4</v>
      </c>
      <c r="AN136" s="18">
        <f>AL136*1/((AN135+AN137)/2)</f>
        <v>8.7753096011444223E-2</v>
      </c>
      <c r="AO136" s="129">
        <f>AN136*SQRT((R136/Q136)^2+(AG136/AF136)^2)</f>
        <v>3.609004912154477E-4</v>
      </c>
      <c r="AP136" s="18">
        <f>ThU_Alter_Kombi(AN136,U136)</f>
        <v>8.6913</v>
      </c>
      <c r="AQ136" s="18">
        <f t="shared" ref="AQ136:AQ137" si="746">Montealter(AN136,AO136,U136,V136)</f>
        <v>3.9100000000000003E-2</v>
      </c>
      <c r="AR136" s="154">
        <f>(AQ136/AP136)</f>
        <v>4.4987516251884067E-3</v>
      </c>
      <c r="AS136" s="131">
        <f t="shared" ref="AS136:AS137" si="747">Z136/Q136</f>
        <v>1.7474388800671331E-5</v>
      </c>
      <c r="AT136" s="131">
        <f t="shared" ref="AT136:AT137" si="748">AS136*SQRT((Y136/X136)^2+(P136/O136)^2)</f>
        <v>5.1549435430000223E-8</v>
      </c>
      <c r="AU136" s="18">
        <v>8</v>
      </c>
      <c r="AV136" s="18">
        <f>AU136/2</f>
        <v>4</v>
      </c>
      <c r="AW136" s="18">
        <f t="shared" ref="AW136:AW137" si="749">marincorr_age(AN136,U136,AS136,AU136)</f>
        <v>8.6780000000000008</v>
      </c>
      <c r="AX136" s="135">
        <f t="shared" ref="AX136:AX137" si="750">marincorr_age_error(AN136, AO136, U136, V136, AS136, AT136, AU136, AV136)</f>
        <v>3.4608342E-2</v>
      </c>
      <c r="AY136" s="135">
        <f t="shared" ref="AY136:AY137" si="751">SQRT(((AU136*EXP(-0.0000091577*AW136*1000))/(0.0000091577*(EXP(-0.0000091577*AW136*1000)+(AJ136/1000)*EXP(-(0.0000091577-0.0000028263)*AW136*1000)-AS136*AU136*EXP(-0.0000091577*AW136*1000))))^2*AT136^2+((AS136*EXP(-0.0000091577*AW136*1000))/(0.0000091577*(EXP(-0.0000091577*AW136*1000)+(AJ136/1000)*EXP(-(0.0000091577-0.0000028263)*AW136*1000)-AS136*AU136*EXP(-0.0000091577*AW136*1000))))^2*AV136^2+((0.0000091577/(0.0000091577-0.0000028263))*(EXP(-(0.0000091577-0.0000028263)*AW136*1000)-1)/(0.0000091577*(EXP(-0.0000091577*AW136*1000)+(AJ136/1000)*EXP(-(0.0000091577-0.0000028263)*AW136*1000)-AS136*AU136*EXP(-0.0000091577*AW136*1000))))^2*T136^2+(1/(0.0000091577*(EXP(-0.0000091577*AW136*1000)+(AJ136/1000)*EXP(-(0.0000091577-0.0000028263)*AW136*1000)-AS136*AU136*EXP(-0.0000091577*AW136*1000))))^2*AO136^2)/1000</f>
        <v>3.8068415253292541E-2</v>
      </c>
      <c r="AZ136" s="154">
        <f t="shared" ref="AZ136:AZ137" si="752">AX136/AW136</f>
        <v>3.9880550818160859E-3</v>
      </c>
      <c r="BA136" s="18" t="str">
        <f>Input!B136</f>
        <v>GeoB20571-2_524-526</v>
      </c>
      <c r="BB136" s="136">
        <f>Input!E136</f>
        <v>525</v>
      </c>
      <c r="BC136" s="18">
        <f>((U136-1)*EXP(Constants!$B$17*AW136*1000))*1000</f>
        <v>147.26085636838957</v>
      </c>
      <c r="BD136" s="132">
        <f>SQRT((EXP(Constants!$B$17*AW136*1000)*V136)^2+((U136-1)*Constants!$B$17*EXP(Constants!$B$17*AW136*1000)*AY136*1000)^2)*1000</f>
        <v>0.59401966588691624</v>
      </c>
      <c r="BE136" s="18">
        <f t="shared" ref="BE136:BE137" si="753">AW136*1000-58</f>
        <v>8620</v>
      </c>
      <c r="BF136" s="137">
        <f t="shared" ref="BF136:BF137" si="754">AY136/2*1000</f>
        <v>19.034207626646271</v>
      </c>
      <c r="BG136" s="20">
        <f t="shared" ref="BG136:BG137" si="755">AY136/AW136*100</f>
        <v>0.43867729031219799</v>
      </c>
      <c r="BH136" s="18"/>
      <c r="BI136" s="18"/>
      <c r="BJ136" s="18"/>
      <c r="BK136" s="18"/>
      <c r="BL136" s="18"/>
      <c r="BM136" s="18"/>
      <c r="BN136" s="159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</row>
    <row r="137" spans="1:110" ht="15" customHeight="1" x14ac:dyDescent="0.2">
      <c r="A137" s="138">
        <f>Input!A137</f>
        <v>10815</v>
      </c>
      <c r="B137" s="138" t="str">
        <f>Input!B137</f>
        <v>Hu1-13</v>
      </c>
      <c r="C137" s="138">
        <f>Input!O137</f>
        <v>2.0924240846478814</v>
      </c>
      <c r="D137" s="138">
        <f>C137*Input!P137/100</f>
        <v>1.0918926906505892E-2</v>
      </c>
      <c r="E137" s="139">
        <f>Input!M137</f>
        <v>2.7317757536899938</v>
      </c>
      <c r="F137" s="140">
        <f>E137*Input!N137/100</f>
        <v>2.4676780574296302E-4</v>
      </c>
      <c r="G137" s="141">
        <f t="shared" ref="G137" si="756">E137*137.88</f>
        <v>376.65724091877632</v>
      </c>
      <c r="H137" s="140">
        <f>G137*Input!L137/100</f>
        <v>2.102124756223462E-2</v>
      </c>
      <c r="I137" s="138">
        <v>0</v>
      </c>
      <c r="J137" s="142">
        <f>(((C137*Constants!$B$24*0.000000001*Input!G137*(Constants!$B$4/Constants!$B$3))-(I137*0.000000000000001))/Input!F137)*1000000000000</f>
        <v>755.44364978529677</v>
      </c>
      <c r="K137" s="138">
        <f>J137*Input!P137/100</f>
        <v>3.9421425391295823</v>
      </c>
      <c r="L137" s="143">
        <f>(J137/Constants!$B$4)*602200000000*Constants!$B$17/(365.2425*24*60)</f>
        <v>10.429738365580929</v>
      </c>
      <c r="M137" s="144">
        <f>L137*Input!P137/100</f>
        <v>5.4425654772045258E-2</v>
      </c>
      <c r="N137" s="138">
        <v>0</v>
      </c>
      <c r="O137" s="142">
        <f>(((G137*Constants!$B$23*0.000000001*Input!G137*(Constants!$B$7/Constants!$B$6))-(N137*0.000000001))/Input!F137)*1000000</f>
        <v>13.698726219687433</v>
      </c>
      <c r="P137" s="138">
        <f>O137*Input!N137/100</f>
        <v>1.2374385438261987E-3</v>
      </c>
      <c r="Q137" s="145">
        <f>(O137/Constants!$B$7)*602200000000000000*Constants!$B$18/(365.2425*24*60)</f>
        <v>10.220903997057603</v>
      </c>
      <c r="R137" s="146">
        <f>Q137*Input!N137/100</f>
        <v>9.2327858487523812E-4</v>
      </c>
      <c r="S137" s="144">
        <f>Input!S137*Constants!$B$17/Constants!$B$18</f>
        <v>1.0004220845251162</v>
      </c>
      <c r="T137" s="138">
        <f>S137*Input!T137/100</f>
        <v>1.1603264861689915E-3</v>
      </c>
      <c r="U137" s="144">
        <f>S137</f>
        <v>1.0004220845251162</v>
      </c>
      <c r="V137" s="138">
        <f>U137*Input!T137/100</f>
        <v>1.1603264861689915E-3</v>
      </c>
      <c r="W137" s="147">
        <v>0</v>
      </c>
      <c r="X137" s="142">
        <f>(((Constants!$B$25*0.000000001*Input!G137/Input!W137*(Constants!$B$11/Constants!$B$9))-(W137*0.000000001))/Input!F137)*1000000000</f>
        <v>0.94003296900229105</v>
      </c>
      <c r="Y137" s="142">
        <f>X137*Input!X137/100</f>
        <v>3.4021420231557147E-3</v>
      </c>
      <c r="Z137" s="142">
        <f>(X137/Constants!$B$11)*6.022E+23*0.000000001*Constants!$B$19/(365.2425*24*60)</f>
        <v>2.2949243780622924E-4</v>
      </c>
      <c r="AA137" s="142">
        <f>Z137*Input!X137/100</f>
        <v>8.3057285478581855E-7</v>
      </c>
      <c r="AB137" s="143">
        <v>0</v>
      </c>
      <c r="AC137" s="143">
        <v>0.9</v>
      </c>
      <c r="AD137" s="142">
        <f>(((Input!G137*Constants!$B$25*0.000000001*Input!U137*(Constants!$B$10/Constants!$B$9))-((AB137*0.000000000000001)+(Input!G137*AC137*0.000000000000001)))/Input!F137)*1000000000000</f>
        <v>223.42200705942363</v>
      </c>
      <c r="AE137" s="142">
        <f>AD137*Input!V137/100</f>
        <v>0.56937866492963396</v>
      </c>
      <c r="AF137" s="142">
        <f>(AD137/Constants!$B$10)*602200000000*Constants!$B$16/(365.2425*24*60)</f>
        <v>10.198246861880309</v>
      </c>
      <c r="AG137" s="142">
        <f>AF137*Input!V137/100</f>
        <v>2.5989669770068082E-2</v>
      </c>
      <c r="AH137" s="138">
        <f t="shared" ref="AH137" si="757">AF137/Z137</f>
        <v>44438.269772057356</v>
      </c>
      <c r="AI137" s="147">
        <f t="shared" ref="AI137" si="758">AH137*SQRT((AG137/AF137)^2+(AA137/Z137)^2)</f>
        <v>196.70139704857434</v>
      </c>
      <c r="AJ137" s="144">
        <f t="shared" si="745"/>
        <v>0.42208452511616201</v>
      </c>
      <c r="AK137" s="147">
        <f t="shared" ref="AK137" si="759">V137*1000</f>
        <v>1.1603264861689915</v>
      </c>
      <c r="AL137" s="147">
        <f t="shared" ref="AL137" si="760">AF137/Q137</f>
        <v>0.99778325525963096</v>
      </c>
      <c r="AM137" s="147">
        <f t="shared" ref="AM137" si="761">AL137*SQRT((R137/Q137)^2+(AG137/AF137)^2)</f>
        <v>2.5443925197168359E-3</v>
      </c>
      <c r="AN137" s="138">
        <f>AF137/Q137</f>
        <v>0.99778325525963096</v>
      </c>
      <c r="AO137" s="142">
        <f t="shared" ref="AO137" si="762">AN137*SQRT((R137/Q137)^2+(AG137/AF137)^2)</f>
        <v>2.5443925197168359E-3</v>
      </c>
      <c r="AP137" s="138">
        <f t="shared" ref="AP137" si="763">ThU_Alter_Kombi(AN137,U137)</f>
        <v>640.3596</v>
      </c>
      <c r="AQ137" s="138" t="e">
        <f t="shared" si="746"/>
        <v>#VALUE!</v>
      </c>
      <c r="AR137" s="138" t="e">
        <f>(AQ137/AP137)*100</f>
        <v>#VALUE!</v>
      </c>
      <c r="AS137" s="146">
        <f t="shared" si="747"/>
        <v>2.2453242675236514E-5</v>
      </c>
      <c r="AT137" s="146">
        <f t="shared" si="748"/>
        <v>8.1287479695106109E-8</v>
      </c>
      <c r="AU137" s="138">
        <v>0.75</v>
      </c>
      <c r="AV137" s="138">
        <f t="shared" ref="AV137" si="764">AU137/2</f>
        <v>0.375</v>
      </c>
      <c r="AW137" s="138">
        <f t="shared" si="749"/>
        <v>640.35770000000002</v>
      </c>
      <c r="AX137" s="148">
        <f t="shared" si="750"/>
        <v>265.9997162793</v>
      </c>
      <c r="AY137" s="148">
        <f t="shared" si="751"/>
        <v>116.31595605189278</v>
      </c>
      <c r="AZ137" s="149">
        <f t="shared" si="752"/>
        <v>0.41539239128271588</v>
      </c>
      <c r="BA137" s="138" t="str">
        <f>Input!B137</f>
        <v>Hu1-13</v>
      </c>
      <c r="BB137" s="150">
        <f>Input!E137</f>
        <v>0</v>
      </c>
      <c r="BC137" s="138">
        <f>((U137-1)*EXP(Constants!$B$17*AW137*1000))*1000</f>
        <v>2.5717282979008638</v>
      </c>
      <c r="BD137" s="144">
        <f>SQRT((EXP(Constants!$B$17*AW137*1000)*V137)^2+((U137-1)*Constants!$B$17*EXP(Constants!$B$17*AW137*1000)*AY137*1000)^2)*1000</f>
        <v>7.1200003761391484</v>
      </c>
      <c r="BE137" s="138">
        <f t="shared" si="753"/>
        <v>640299.70000000007</v>
      </c>
      <c r="BF137" s="151">
        <f t="shared" si="754"/>
        <v>58157.978025946395</v>
      </c>
      <c r="BG137" s="160">
        <f t="shared" si="755"/>
        <v>18.164216039237566</v>
      </c>
      <c r="BH137" s="138"/>
      <c r="BI137" s="18"/>
      <c r="BJ137" s="18"/>
      <c r="BK137" s="18"/>
      <c r="BL137" s="18"/>
      <c r="BM137" s="18"/>
      <c r="BN137" s="159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</row>
    <row r="139" spans="1:110" ht="15" customHeight="1" x14ac:dyDescent="0.2">
      <c r="A139" s="138">
        <f>Input!A139</f>
        <v>10815</v>
      </c>
      <c r="B139" s="138" t="str">
        <f>Input!B139</f>
        <v>Hu1-13</v>
      </c>
      <c r="C139" s="138">
        <f>Input!O139</f>
        <v>2.0817899539772049</v>
      </c>
      <c r="D139" s="138">
        <f>C139*Input!P139/100</f>
        <v>1.3259401094426731E-2</v>
      </c>
      <c r="E139" s="139">
        <f>Input!M139</f>
        <v>2.7322410862018192</v>
      </c>
      <c r="F139" s="140">
        <f>E139*Input!N139/100</f>
        <v>2.9082430930312203E-4</v>
      </c>
      <c r="G139" s="141">
        <f t="shared" ref="G139" si="765">E139*137.88</f>
        <v>376.7214009655068</v>
      </c>
      <c r="H139" s="140">
        <f>G139*Input!L139/100</f>
        <v>2.6545050469189681E-2</v>
      </c>
      <c r="I139" s="138">
        <v>0</v>
      </c>
      <c r="J139" s="142">
        <f>(((C139*Constants!$B$24*0.000000001*Input!G139*(Constants!$B$4/Constants!$B$3))-(I139*0.000000000000001))/Input!F139)*1000000000000</f>
        <v>751.60432937931807</v>
      </c>
      <c r="K139" s="138">
        <f>J139*Input!P139/100</f>
        <v>4.7871415886643875</v>
      </c>
      <c r="L139" s="143">
        <f>(J139/Constants!$B$4)*602200000000*Constants!$B$17/(365.2425*24*60)</f>
        <v>10.376732284521973</v>
      </c>
      <c r="M139" s="144">
        <f>L139*Input!P139/100</f>
        <v>6.6091804865857473E-2</v>
      </c>
      <c r="N139" s="138">
        <v>0</v>
      </c>
      <c r="O139" s="142">
        <f>(((G139*Constants!$B$23*0.000000001*Input!G139*(Constants!$B$7/Constants!$B$6))-(N139*0.000000001))/Input!F139)*1000000</f>
        <v>13.701059669888094</v>
      </c>
      <c r="P139" s="138">
        <f>O139*Input!N139/100</f>
        <v>1.4583636983349793E-3</v>
      </c>
      <c r="Q139" s="145">
        <f>(O139/Constants!$B$7)*602200000000000000*Constants!$B$18/(365.2425*24*60)</f>
        <v>10.222645032691162</v>
      </c>
      <c r="R139" s="146">
        <f>Q139*Input!N139/100</f>
        <v>1.0881154287216497E-3</v>
      </c>
      <c r="S139" s="144">
        <f>Input!S139*Constants!$B$17/Constants!$B$18</f>
        <v>0.99957317049363814</v>
      </c>
      <c r="T139" s="138">
        <f>S139*Input!T139/100</f>
        <v>1.6695808634323037E-3</v>
      </c>
      <c r="U139" s="144">
        <f>S139</f>
        <v>0.99957317049363814</v>
      </c>
      <c r="V139" s="138">
        <f>U139*Input!T139/100</f>
        <v>1.6695808634323037E-3</v>
      </c>
      <c r="W139" s="147">
        <v>0</v>
      </c>
      <c r="X139" s="142">
        <f>(((Constants!$B$25*0.000000001*Input!G139/Input!W139*(Constants!$B$11/Constants!$B$9))-(W139*0.000000001))/Input!F139)*1000000000</f>
        <v>0.92788773934740654</v>
      </c>
      <c r="Y139" s="142">
        <f>X139*Input!X139/100</f>
        <v>4.328145773038217E-3</v>
      </c>
      <c r="Z139" s="142">
        <f>(X139/Constants!$B$11)*6.022E+23*0.000000001*Constants!$B$19/(365.2425*24*60)</f>
        <v>2.2652739460761223E-4</v>
      </c>
      <c r="AA139" s="142">
        <f>Z139*Input!X139/100</f>
        <v>1.0566403066580593E-6</v>
      </c>
      <c r="AB139" s="143">
        <v>0</v>
      </c>
      <c r="AC139" s="143">
        <v>0.9</v>
      </c>
      <c r="AD139" s="142">
        <f>(((Input!G139*Constants!$B$25*0.000000001*Input!U139*(Constants!$B$10/Constants!$B$9))-((AB139*0.000000000000001)+(Input!G139*AC139*0.000000000000001)))/Input!F139)*1000000000000</f>
        <v>223.5381314761176</v>
      </c>
      <c r="AE139" s="142">
        <f>AD139*Input!V139/100</f>
        <v>0.76395780099950528</v>
      </c>
      <c r="AF139" s="142">
        <f>(AD139/Constants!$B$10)*602200000000*Constants!$B$16/(365.2425*24*60)</f>
        <v>10.203547438505341</v>
      </c>
      <c r="AG139" s="142">
        <f>AF139*Input!V139/100</f>
        <v>3.4871364505198461E-2</v>
      </c>
      <c r="AH139" s="138">
        <f t="shared" ref="AH139" si="766">AF139/Z139</f>
        <v>45043.326685409469</v>
      </c>
      <c r="AI139" s="147">
        <f t="shared" ref="AI139" si="767">AH139*SQRT((AG139/AF139)^2+(AA139/Z139)^2)</f>
        <v>260.4637826772954</v>
      </c>
      <c r="AJ139" s="144">
        <f t="shared" ref="AJ139:AJ149" si="768">(U139-1)*1000</f>
        <v>-0.42682950636185879</v>
      </c>
      <c r="AK139" s="147">
        <f t="shared" ref="AK139" si="769">V139*1000</f>
        <v>1.6695808634323037</v>
      </c>
      <c r="AL139" s="147">
        <f t="shared" ref="AL139" si="770">AF139/Q139</f>
        <v>0.99813183436138608</v>
      </c>
      <c r="AM139" s="147">
        <f t="shared" ref="AM139" si="771">AL139*SQRT((R139/Q139)^2+(AG139/AF139)^2)</f>
        <v>3.4128421298100539E-3</v>
      </c>
      <c r="AN139" s="138">
        <f>AF139/Q139</f>
        <v>0.99813183436138608</v>
      </c>
      <c r="AO139" s="142">
        <f t="shared" ref="AO139" si="772">AN139*SQRT((R139/Q139)^2+(AG139/AF139)^2)</f>
        <v>3.4128421298100539E-3</v>
      </c>
      <c r="AP139" s="138">
        <f t="shared" ref="AP139" si="773">ThU_Alter_Kombi(AN139,U139)</f>
        <v>728.25789999999995</v>
      </c>
      <c r="AQ139" s="138" t="e">
        <f t="shared" ref="AQ139:AQ149" si="774">Montealter(AN139,AO139,U139,V139)</f>
        <v>#VALUE!</v>
      </c>
      <c r="AR139" s="138" t="e">
        <f>(AQ139/AP139)*100</f>
        <v>#VALUE!</v>
      </c>
      <c r="AS139" s="146">
        <f t="shared" ref="AS139:AS149" si="775">Z139/Q139</f>
        <v>2.2159372049327411E-5</v>
      </c>
      <c r="AT139" s="146">
        <f t="shared" ref="AT139:AT149" si="776">AS139*SQRT((Y139/X139)^2+(P139/O139)^2)</f>
        <v>1.0338961964244407E-7</v>
      </c>
      <c r="AU139" s="138">
        <v>0.75</v>
      </c>
      <c r="AV139" s="138">
        <f t="shared" ref="AV139" si="777">AU139/2</f>
        <v>0.375</v>
      </c>
      <c r="AW139" s="138">
        <f t="shared" ref="AW139:AW149" si="778">marincorr_age(AN139,U139,AS139,AU139)</f>
        <v>728.25609999999995</v>
      </c>
      <c r="AX139" s="148">
        <f t="shared" ref="AX139:AX149" si="779">marincorr_age_error(AN139, AO139, U139, V139, AS139, AT139, AU139, AV139)</f>
        <v>324.95775005339999</v>
      </c>
      <c r="AY139" s="148">
        <f t="shared" ref="AY139:AY149" si="780">SQRT(((AU139*EXP(-0.0000091577*AW139*1000))/(0.0000091577*(EXP(-0.0000091577*AW139*1000)+(AJ139/1000)*EXP(-(0.0000091577-0.0000028263)*AW139*1000)-AS139*AU139*EXP(-0.0000091577*AW139*1000))))^2*AT139^2+((AS139*EXP(-0.0000091577*AW139*1000))/(0.0000091577*(EXP(-0.0000091577*AW139*1000)+(AJ139/1000)*EXP(-(0.0000091577-0.0000028263)*AW139*1000)-AS139*AU139*EXP(-0.0000091577*AW139*1000))))^2*AV139^2+((0.0000091577/(0.0000091577-0.0000028263))*(EXP(-(0.0000091577-0.0000028263)*AW139*1000)-1)/(0.0000091577*(EXP(-0.0000091577*AW139*1000)+(AJ139/1000)*EXP(-(0.0000091577-0.0000028263)*AW139*1000)-AS139*AU139*EXP(-0.0000091577*AW139*1000))))^2*T139^2+(1/(0.0000091577*(EXP(-0.0000091577*AW139*1000)+(AJ139/1000)*EXP(-(0.0000091577-0.0000028263)*AW139*1000)-AS139*AU139*EXP(-0.0000091577*AW139*1000))))^2*AO139^2)/1000</f>
        <v>359.64315957209266</v>
      </c>
      <c r="AZ139" s="149">
        <f t="shared" ref="AZ139:AZ149" si="781">AX139/AW139</f>
        <v>0.44621356423022068</v>
      </c>
      <c r="BA139" s="138" t="str">
        <f>Input!B139</f>
        <v>Hu1-13</v>
      </c>
      <c r="BB139" s="150">
        <f>Input!E139</f>
        <v>0</v>
      </c>
      <c r="BC139" s="138">
        <f>((U139-1)*EXP(Constants!$B$17*AW139*1000))*1000</f>
        <v>-3.3327966339686959</v>
      </c>
      <c r="BD139" s="144">
        <f>SQRT((EXP(Constants!$B$17*AW139*1000)*V139)^2+((U139-1)*Constants!$B$17*EXP(Constants!$B$17*AW139*1000)*AY139*1000)^2)*1000</f>
        <v>13.468213115641012</v>
      </c>
      <c r="BE139" s="138">
        <f t="shared" ref="BE139:BE149" si="782">AW139*1000-58</f>
        <v>728198.1</v>
      </c>
      <c r="BF139" s="151">
        <f t="shared" ref="BF139:BF149" si="783">AY139/2*1000</f>
        <v>179821.57978604632</v>
      </c>
      <c r="BG139" s="160">
        <f t="shared" ref="BG139:BG149" si="784">AY139/AW139*100</f>
        <v>49.384160266160862</v>
      </c>
      <c r="BH139" s="138"/>
      <c r="BI139" s="18"/>
      <c r="BJ139" s="18"/>
      <c r="BK139" s="18"/>
      <c r="BL139" s="18"/>
      <c r="BM139" s="18"/>
      <c r="BN139" s="159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</row>
    <row r="140" spans="1:110" ht="15" customHeight="1" x14ac:dyDescent="0.2">
      <c r="A140" s="18">
        <f>Input!A140</f>
        <v>10989</v>
      </c>
      <c r="B140" s="18" t="str">
        <f>Input!B140</f>
        <v>CPR-30</v>
      </c>
      <c r="C140" s="18">
        <f>Input!O140</f>
        <v>4.5087239135662331</v>
      </c>
      <c r="D140" s="18">
        <f>C140*Input!P140/100</f>
        <v>1.2366130919809988E-2</v>
      </c>
      <c r="E140" s="152">
        <f>Input!M140</f>
        <v>5.1858015872109267</v>
      </c>
      <c r="F140" s="153">
        <f>E140*Input!N140/100</f>
        <v>2.9130666836944553E-4</v>
      </c>
      <c r="G140" s="21">
        <f>E140*137.88</f>
        <v>715.01832284464251</v>
      </c>
      <c r="H140" s="153">
        <f>G140*Input!L140/100</f>
        <v>2.5030653138262724E-2</v>
      </c>
      <c r="I140" s="18">
        <v>0.3</v>
      </c>
      <c r="J140" s="129">
        <f>(((C140*Constants!$B$24*0.000000001*Input!G140*(Constants!$B$4/Constants!$B$3))-(I140*0.000000000000001))/Input!F140)*1000000000000</f>
        <v>180.45936526105575</v>
      </c>
      <c r="K140" s="18">
        <f>J140*Input!P140/100</f>
        <v>0.49494805610284659</v>
      </c>
      <c r="L140" s="134">
        <f>(J140/Constants!$B$4)*602200000000*Constants!$B$17/(365.2425*24*60)</f>
        <v>2.491441904140085</v>
      </c>
      <c r="M140" s="132">
        <f>L140*Input!P140/100</f>
        <v>6.8333074626713642E-3</v>
      </c>
      <c r="N140" s="18">
        <v>5.0000000000000001E-3</v>
      </c>
      <c r="O140" s="129">
        <f>(((G140*Constants!$B$23*0.000000001*Input!G140*(Constants!$B$7/Constants!$B$6))-(N140*0.000000001))/Input!F140)*1000000</f>
        <v>2.8828639167288364</v>
      </c>
      <c r="P140" s="18">
        <f>O140*Input!N140/100</f>
        <v>1.6194169191043718E-4</v>
      </c>
      <c r="Q140" s="130">
        <f>(O140/Constants!$B$7)*602200000000000000*Constants!$B$18/(365.2425*24*60)</f>
        <v>2.1509646121053154</v>
      </c>
      <c r="R140" s="131">
        <f>Q140*Input!N140/100</f>
        <v>1.2082805799555754E-4</v>
      </c>
      <c r="S140" s="132">
        <f>Input!S140*Constants!$B$17/Constants!$B$18</f>
        <v>1.1445205898996618</v>
      </c>
      <c r="T140" s="18">
        <f>S140*Input!T140/100</f>
        <v>5.4756089781457691E-4</v>
      </c>
      <c r="U140" s="18">
        <f>S140*1/((U139+U141)/2)</f>
        <v>1.1450563461002372</v>
      </c>
      <c r="V140" s="18">
        <f>U140*Input!T140/100</f>
        <v>5.4781721399515561E-4</v>
      </c>
      <c r="W140" s="133">
        <v>3.0000000000000001E-3</v>
      </c>
      <c r="X140" s="129">
        <f>IF((((Constants!$B$25*0.000000001*Input!G140/Input!W140*(Constants!$B$11/Constants!$B$9))-(W140*0.000000001))/Input!F140)*1000000000&lt;0, "n.d.", (((Constants!$B$25*0.000000001*Input!G140/Input!W140*(Constants!$B$11/Constants!$B$9))-(W140*0.000000001))/Input!F140)*1000000000)</f>
        <v>0.16418991431457736</v>
      </c>
      <c r="Y140" s="129">
        <f>X140*Input!X140/100</f>
        <v>3.2598359850076654E-4</v>
      </c>
      <c r="Z140" s="129">
        <f>(X140/Constants!$B$11)*6.022E+23*0.000000001*Constants!$B$19/(365.2425*24*60)</f>
        <v>4.0084066135723387E-5</v>
      </c>
      <c r="AA140" s="129">
        <f>Z140*Input!X140/100</f>
        <v>7.9583135030028541E-8</v>
      </c>
      <c r="AB140" s="134">
        <v>0.05</v>
      </c>
      <c r="AC140" s="134">
        <v>0.9</v>
      </c>
      <c r="AD140" s="129">
        <f>(((Input!G140*Constants!$B$25*0.000000001*Input!U140*(Constants!$B$10/Constants!$B$9))-((AB140*0.000000000000001)+(Input!G140*AC140*0.000000000000001)))/Input!F140)*1000000000000</f>
        <v>6.0258697901443753E-2</v>
      </c>
      <c r="AE140" s="129">
        <f>AD140*Input!V140/100</f>
        <v>1.2721978719234331E-3</v>
      </c>
      <c r="AF140" s="129">
        <f>(AD140/Constants!$B$10)*602200000000*Constants!$B$16/(365.2425*24*60)</f>
        <v>2.7505485465043949E-3</v>
      </c>
      <c r="AG140" s="129">
        <f>AF140*Input!V140/100</f>
        <v>5.8070322282903894E-5</v>
      </c>
      <c r="AH140" s="18">
        <f>AF140/Z140</f>
        <v>68.619499259160094</v>
      </c>
      <c r="AI140" s="133">
        <f>AH140*SQRT((AG140/AF140)^2+(AA140/Z140)^2)</f>
        <v>1.4551051782032205</v>
      </c>
      <c r="AJ140" s="132">
        <f t="shared" si="768"/>
        <v>145.05634610023722</v>
      </c>
      <c r="AK140" s="133">
        <f>V140*1000</f>
        <v>0.54781721399515559</v>
      </c>
      <c r="AL140" s="133">
        <f>AF140/Q140</f>
        <v>1.2787511849449817E-3</v>
      </c>
      <c r="AM140" s="133">
        <f>AL140*SQRT((R140/Q140)^2+(AG140/AF140)^2)</f>
        <v>2.6997435247681913E-5</v>
      </c>
      <c r="AN140" s="18">
        <f>AL140*1/((AN139+AN141)/2)</f>
        <v>1.2801083125302259E-3</v>
      </c>
      <c r="AO140" s="129">
        <f>AN140*SQRT((R140/Q140)^2+(AG140/AF140)^2)</f>
        <v>2.7026087392475077E-5</v>
      </c>
      <c r="AP140" s="18">
        <f>ThU_Alter_Kombi(AN140,U140)</f>
        <v>0.122</v>
      </c>
      <c r="AQ140" s="18">
        <f t="shared" si="774"/>
        <v>3.3E-3</v>
      </c>
      <c r="AR140" s="154">
        <f>(AQ140/AP140)</f>
        <v>2.7049180327868853E-2</v>
      </c>
      <c r="AS140" s="131">
        <f t="shared" si="775"/>
        <v>1.8635390796359971E-5</v>
      </c>
      <c r="AT140" s="131">
        <f t="shared" si="776"/>
        <v>3.7013617998418047E-8</v>
      </c>
      <c r="AU140" s="18">
        <v>8</v>
      </c>
      <c r="AV140" s="18">
        <f>AU140/2</f>
        <v>4</v>
      </c>
      <c r="AW140" s="18">
        <f t="shared" si="778"/>
        <v>0.10780000000000001</v>
      </c>
      <c r="AX140" s="135">
        <f t="shared" si="779"/>
        <v>7.5781538999999997E-3</v>
      </c>
      <c r="AY140" s="135">
        <f t="shared" si="780"/>
        <v>7.5632104372882081E-3</v>
      </c>
      <c r="AZ140" s="154">
        <f t="shared" si="781"/>
        <v>7.0298273654916504E-2</v>
      </c>
      <c r="BA140" s="18" t="str">
        <f>Input!B140</f>
        <v>CPR-30</v>
      </c>
      <c r="BB140" s="136">
        <f>Input!E140</f>
        <v>30</v>
      </c>
      <c r="BC140" s="18">
        <f>((U140-1)*EXP(Constants!$B$17*AW140*1000))*1000</f>
        <v>145.10048157466295</v>
      </c>
      <c r="BD140" s="132">
        <f>SQRT((EXP(Constants!$B$17*AW140*1000)*V140)^2+((U140-1)*Constants!$B$17*EXP(Constants!$B$17*AW140*1000)*AY140*1000)^2)*1000</f>
        <v>0.54799264671800296</v>
      </c>
      <c r="BE140" s="18">
        <f t="shared" si="782"/>
        <v>49.800000000000011</v>
      </c>
      <c r="BF140" s="137">
        <f t="shared" si="783"/>
        <v>3.781605218644104</v>
      </c>
      <c r="BG140" s="20">
        <f t="shared" si="784"/>
        <v>7.0159651551838662</v>
      </c>
      <c r="BH140" s="18"/>
      <c r="BI140" s="18"/>
      <c r="BJ140" s="18"/>
      <c r="BK140" s="18"/>
      <c r="BL140" s="18"/>
      <c r="BM140" s="18"/>
      <c r="BN140" s="159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</row>
    <row r="141" spans="1:110" ht="15" customHeight="1" x14ac:dyDescent="0.2">
      <c r="A141" s="138">
        <f>Input!A141</f>
        <v>10815</v>
      </c>
      <c r="B141" s="138" t="str">
        <f>Input!B141</f>
        <v>Hu1-13</v>
      </c>
      <c r="C141" s="138">
        <f>Input!O141</f>
        <v>2.063484704276048</v>
      </c>
      <c r="D141" s="138">
        <f>C141*Input!P141/100</f>
        <v>1.7685834074721251E-2</v>
      </c>
      <c r="E141" s="139">
        <f>Input!M141</f>
        <v>2.7320982783171281</v>
      </c>
      <c r="F141" s="140">
        <f>E141*Input!N141/100</f>
        <v>3.4275568899402891E-4</v>
      </c>
      <c r="G141" s="141">
        <f t="shared" ref="G141" si="785">E141*137.88</f>
        <v>376.7017106143656</v>
      </c>
      <c r="H141" s="140">
        <f>G141*Input!L141/100</f>
        <v>2.4782066186842602E-2</v>
      </c>
      <c r="I141" s="138">
        <v>0</v>
      </c>
      <c r="J141" s="142">
        <f>(((C141*Constants!$B$24*0.000000001*Input!G141*(Constants!$B$4/Constants!$B$3))-(I141*0.000000000000001))/Input!F141)*1000000000000</f>
        <v>744.99544700889737</v>
      </c>
      <c r="K141" s="138">
        <f>J141*Input!P141/100</f>
        <v>6.3852500747490453</v>
      </c>
      <c r="L141" s="143">
        <f>(J141/Constants!$B$4)*602200000000*Constants!$B$17/(365.2425*24*60)</f>
        <v>10.285489325458144</v>
      </c>
      <c r="M141" s="144">
        <f>L141*Input!P141/100</f>
        <v>8.8155466919823719E-2</v>
      </c>
      <c r="N141" s="138">
        <v>0</v>
      </c>
      <c r="O141" s="142">
        <f>(((G141*Constants!$B$23*0.000000001*Input!G141*(Constants!$B$7/Constants!$B$6))-(N141*0.000000001))/Input!F141)*1000000</f>
        <v>13.700343547376299</v>
      </c>
      <c r="P141" s="138">
        <f>O141*Input!N141/100</f>
        <v>1.7187781015433842E-3</v>
      </c>
      <c r="Q141" s="145">
        <f>(O141/Constants!$B$7)*602200000000000000*Constants!$B$18/(365.2425*24*60)</f>
        <v>10.222110718819506</v>
      </c>
      <c r="R141" s="146">
        <f>Q141*Input!N141/100</f>
        <v>1.282416020759096E-3</v>
      </c>
      <c r="S141" s="144">
        <f>Input!S141*Constants!$B$17/Constants!$B$18</f>
        <v>0.99949105686530348</v>
      </c>
      <c r="T141" s="138">
        <f>S141*Input!T141/100</f>
        <v>1.8448866279879247E-3</v>
      </c>
      <c r="U141" s="144">
        <f>S141</f>
        <v>0.99949105686530348</v>
      </c>
      <c r="V141" s="138">
        <f>U141*Input!T141/100</f>
        <v>1.8448866279879247E-3</v>
      </c>
      <c r="W141" s="147">
        <v>0</v>
      </c>
      <c r="X141" s="142">
        <f>(((Constants!$B$25*0.000000001*Input!G141/Input!W141*(Constants!$B$11/Constants!$B$9))-(W141*0.000000001))/Input!F141)*1000000000</f>
        <v>0.93332838202529167</v>
      </c>
      <c r="Y141" s="142">
        <f>X141*Input!X141/100</f>
        <v>3.8629991911639846E-3</v>
      </c>
      <c r="Z141" s="142">
        <f>(X141/Constants!$B$11)*6.022E+23*0.000000001*Constants!$B$19/(365.2425*24*60)</f>
        <v>2.2785563137435642E-4</v>
      </c>
      <c r="AA141" s="142">
        <f>Z141*Input!X141/100</f>
        <v>9.4308298842394532E-7</v>
      </c>
      <c r="AB141" s="143">
        <v>0</v>
      </c>
      <c r="AC141" s="143">
        <v>0.9</v>
      </c>
      <c r="AD141" s="142">
        <f>(((Input!G141*Constants!$B$25*0.000000001*Input!U141*(Constants!$B$10/Constants!$B$9))-((AB141*0.000000000000001)+(Input!G141*AC141*0.000000000000001)))/Input!F141)*1000000000000</f>
        <v>223.88834221853139</v>
      </c>
      <c r="AE141" s="142">
        <f>AD141*Input!V141/100</f>
        <v>0.63871488119819642</v>
      </c>
      <c r="AF141" s="142">
        <f>(AD141/Constants!$B$10)*602200000000*Constants!$B$16/(365.2425*24*60)</f>
        <v>10.219533041946224</v>
      </c>
      <c r="AG141" s="142">
        <f>AF141*Input!V141/100</f>
        <v>2.9154567710437274E-2</v>
      </c>
      <c r="AH141" s="138">
        <f t="shared" ref="AH141" si="786">AF141/Z141</f>
        <v>44850.912748151473</v>
      </c>
      <c r="AI141" s="147">
        <f t="shared" ref="AI141" si="787">AH141*SQRT((AG141/AF141)^2+(AA141/Z141)^2)</f>
        <v>225.46019233492373</v>
      </c>
      <c r="AJ141" s="144">
        <f t="shared" si="768"/>
        <v>-0.50894313469651564</v>
      </c>
      <c r="AK141" s="147">
        <f t="shared" ref="AK141" si="788">V141*1000</f>
        <v>1.8448866279879248</v>
      </c>
      <c r="AL141" s="147">
        <f t="shared" ref="AL141" si="789">AF141/Q141</f>
        <v>0.99974783320742788</v>
      </c>
      <c r="AM141" s="147">
        <f t="shared" ref="AM141" si="790">AL141*SQRT((R141/Q141)^2+(AG141/AF141)^2)</f>
        <v>2.8548648474220522E-3</v>
      </c>
      <c r="AN141" s="138">
        <f>AF141/Q141</f>
        <v>0.99974783320742788</v>
      </c>
      <c r="AO141" s="142">
        <f t="shared" ref="AO141" si="791">AN141*SQRT((R141/Q141)^2+(AG141/AF141)^2)</f>
        <v>2.8548648474220522E-3</v>
      </c>
      <c r="AP141" s="138" t="str">
        <f t="shared" ref="AP141" si="792">ThU_Alter_Kombi(AN141,U141)</f>
        <v>Out of range</v>
      </c>
      <c r="AQ141" s="138" t="e">
        <f t="shared" si="774"/>
        <v>#VALUE!</v>
      </c>
      <c r="AR141" s="138" t="e">
        <f>(AQ141/AP141)*100</f>
        <v>#VALUE!</v>
      </c>
      <c r="AS141" s="146">
        <f t="shared" si="775"/>
        <v>2.2290467951482937E-5</v>
      </c>
      <c r="AT141" s="146">
        <f t="shared" si="776"/>
        <v>9.2301496504358688E-8</v>
      </c>
      <c r="AU141" s="138">
        <v>0.75</v>
      </c>
      <c r="AV141" s="138">
        <f t="shared" ref="AV141" si="793">AU141/2</f>
        <v>0.375</v>
      </c>
      <c r="AW141" s="138" t="str">
        <f t="shared" si="778"/>
        <v>Out of range</v>
      </c>
      <c r="AX141" s="148">
        <f t="shared" si="779"/>
        <v>330.20850861259999</v>
      </c>
      <c r="AY141" s="148" t="e">
        <f t="shared" si="780"/>
        <v>#VALUE!</v>
      </c>
      <c r="AZ141" s="149" t="e">
        <f t="shared" si="781"/>
        <v>#VALUE!</v>
      </c>
      <c r="BA141" s="138" t="str">
        <f>Input!B141</f>
        <v>Hu1-13</v>
      </c>
      <c r="BB141" s="150">
        <f>Input!E141</f>
        <v>0</v>
      </c>
      <c r="BC141" s="138" t="e">
        <f>((U141-1)*EXP(Constants!$B$17*AW141*1000))*1000</f>
        <v>#VALUE!</v>
      </c>
      <c r="BD141" s="144" t="e">
        <f>SQRT((EXP(Constants!$B$17*AW141*1000)*V141)^2+((U141-1)*Constants!$B$17*EXP(Constants!$B$17*AW141*1000)*AY141*1000)^2)*1000</f>
        <v>#VALUE!</v>
      </c>
      <c r="BE141" s="138" t="e">
        <f t="shared" si="782"/>
        <v>#VALUE!</v>
      </c>
      <c r="BF141" s="151" t="e">
        <f t="shared" si="783"/>
        <v>#VALUE!</v>
      </c>
      <c r="BG141" s="160" t="e">
        <f t="shared" si="784"/>
        <v>#VALUE!</v>
      </c>
      <c r="BH141" s="138"/>
      <c r="BI141" s="18"/>
      <c r="BJ141" s="18"/>
      <c r="BK141" s="18"/>
      <c r="BL141" s="18"/>
      <c r="BM141" s="18"/>
      <c r="BN141" s="159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</row>
    <row r="142" spans="1:110" ht="15" customHeight="1" x14ac:dyDescent="0.2">
      <c r="A142" s="18">
        <f>Input!A142</f>
        <v>10990</v>
      </c>
      <c r="B142" s="18" t="str">
        <f>Input!B142</f>
        <v>CPR-47,5</v>
      </c>
      <c r="C142" s="18">
        <f>Input!O142</f>
        <v>4.0784826624893498</v>
      </c>
      <c r="D142" s="18">
        <f>C142*Input!P142/100</f>
        <v>1.1652229677954906E-2</v>
      </c>
      <c r="E142" s="152">
        <f>Input!M142</f>
        <v>4.7082766988503177</v>
      </c>
      <c r="F142" s="153">
        <f>E142*Input!N142/100</f>
        <v>2.803548772172477E-4</v>
      </c>
      <c r="G142" s="21">
        <f>E142*137.88</f>
        <v>649.17719123748179</v>
      </c>
      <c r="H142" s="153">
        <f>G142*Input!L142/100</f>
        <v>1.6768416252763367E-2</v>
      </c>
      <c r="I142" s="18">
        <v>0.3</v>
      </c>
      <c r="J142" s="129">
        <f>(((C142*Constants!$B$24*0.000000001*Input!G142*(Constants!$B$4/Constants!$B$3))-(I142*0.000000000000001))/Input!F142)*1000000000000</f>
        <v>180.50326062582999</v>
      </c>
      <c r="K142" s="18">
        <f>J142*Input!P142/100</f>
        <v>0.51569802411472621</v>
      </c>
      <c r="L142" s="134">
        <f>(J142/Constants!$B$4)*602200000000*Constants!$B$17/(365.2425*24*60)</f>
        <v>2.4920479283884687</v>
      </c>
      <c r="M142" s="132">
        <f>L142*Input!P142/100</f>
        <v>7.1197838100727695E-3</v>
      </c>
      <c r="N142" s="18">
        <v>5.0000000000000001E-3</v>
      </c>
      <c r="O142" s="129">
        <f>(((G142*Constants!$B$23*0.000000001*Input!G142*(Constants!$B$7/Constants!$B$6))-(N142*0.000000001))/Input!F142)*1000000</f>
        <v>2.8942155066801658</v>
      </c>
      <c r="P142" s="18">
        <f>O142*Input!N142/100</f>
        <v>1.7233639501554874E-4</v>
      </c>
      <c r="Q142" s="130">
        <f>(O142/Constants!$B$7)*602200000000000000*Constants!$B$18/(365.2425*24*60)</f>
        <v>2.1594342690096013</v>
      </c>
      <c r="R142" s="131">
        <f>Q142*Input!N142/100</f>
        <v>1.2858376176037704E-4</v>
      </c>
      <c r="S142" s="132">
        <f>Input!S142*Constants!$B$17/Constants!$B$18</f>
        <v>1.1440904085027848</v>
      </c>
      <c r="T142" s="18">
        <f>S142*Input!T142/100</f>
        <v>4.9651691371673001E-4</v>
      </c>
      <c r="U142" s="18">
        <f>S142*1/((U141+U143)/2)</f>
        <v>1.1435293726219384</v>
      </c>
      <c r="V142" s="18">
        <f>U142*Input!T142/100</f>
        <v>4.9627343312990573E-4</v>
      </c>
      <c r="W142" s="133">
        <v>3.0000000000000001E-3</v>
      </c>
      <c r="X142" s="129">
        <f>IF((((Constants!$B$25*0.000000001*Input!G142/Input!W142*(Constants!$B$11/Constants!$B$9))-(W142*0.000000001))/Input!F142)*1000000000&lt;0, "n.d.", (((Constants!$B$25*0.000000001*Input!G142/Input!W142*(Constants!$B$11/Constants!$B$9))-(W142*0.000000001))/Input!F142)*1000000000)</f>
        <v>8.1893044642215848E-2</v>
      </c>
      <c r="Y142" s="129">
        <f>X142*Input!X142/100</f>
        <v>2.540356529893482E-4</v>
      </c>
      <c r="Z142" s="129">
        <f>(X142/Constants!$B$11)*6.022E+23*0.000000001*Constants!$B$19/(365.2425*24*60)</f>
        <v>1.9992739695357077E-5</v>
      </c>
      <c r="AA142" s="129">
        <f>Z142*Input!X142/100</f>
        <v>6.2018315544931405E-8</v>
      </c>
      <c r="AB142" s="134">
        <v>0.05</v>
      </c>
      <c r="AC142" s="134">
        <v>0.9</v>
      </c>
      <c r="AD142" s="129">
        <f>(((Input!G142*Constants!$B$25*0.000000001*Input!U142*(Constants!$B$10/Constants!$B$9))-((AB142*0.000000000000001)+(Input!G142*AC142*0.000000000000001)))/Input!F142)*1000000000000</f>
        <v>5.6203830680033796E-2</v>
      </c>
      <c r="AE142" s="129">
        <f>AD142*Input!V142/100</f>
        <v>1.1336225305669135E-3</v>
      </c>
      <c r="AF142" s="129">
        <f>(AD142/Constants!$B$10)*602200000000*Constants!$B$16/(365.2425*24*60)</f>
        <v>2.5654614216488432E-3</v>
      </c>
      <c r="AG142" s="129">
        <f>AF142*Input!V142/100</f>
        <v>5.174495819400622E-5</v>
      </c>
      <c r="AH142" s="18">
        <f>AF142/Z142</f>
        <v>128.31965307109067</v>
      </c>
      <c r="AI142" s="133">
        <f>AH142*SQRT((AG142/AF142)^2+(AA142/Z142)^2)</f>
        <v>2.6186180466120579</v>
      </c>
      <c r="AJ142" s="132">
        <f t="shared" si="768"/>
        <v>143.52937262193842</v>
      </c>
      <c r="AK142" s="133">
        <f>V142*1000</f>
        <v>0.49627343312990574</v>
      </c>
      <c r="AL142" s="133">
        <f>AF142/Q142</f>
        <v>1.1880247796685478E-3</v>
      </c>
      <c r="AM142" s="133">
        <f>AL142*SQRT((R142/Q142)^2+(AG142/AF142)^2)</f>
        <v>2.3962379603326551E-5</v>
      </c>
      <c r="AN142" s="18">
        <f>AL142*1/((AN141+AN143)/2)</f>
        <v>1.1888553774690184E-3</v>
      </c>
      <c r="AO142" s="129">
        <f>AN142*SQRT((R142/Q142)^2+(AG142/AF142)^2)</f>
        <v>2.3979132704889062E-5</v>
      </c>
      <c r="AP142" s="18">
        <f>ThU_Alter_Kombi(AN142,U142)</f>
        <v>0.1134</v>
      </c>
      <c r="AQ142" s="18">
        <f t="shared" si="774"/>
        <v>4.1000000000000003E-3</v>
      </c>
      <c r="AR142" s="154">
        <f>(AQ142/AP142)</f>
        <v>3.6155202821869493E-2</v>
      </c>
      <c r="AS142" s="131">
        <f t="shared" si="775"/>
        <v>9.2583228775592736E-6</v>
      </c>
      <c r="AT142" s="131">
        <f t="shared" si="776"/>
        <v>2.8724995796915704E-8</v>
      </c>
      <c r="AU142" s="18">
        <v>8</v>
      </c>
      <c r="AV142" s="18">
        <f>AU142/2</f>
        <v>4</v>
      </c>
      <c r="AW142" s="18">
        <f t="shared" si="778"/>
        <v>0.10639999999999999</v>
      </c>
      <c r="AX142" s="135">
        <f t="shared" si="779"/>
        <v>4.2555785999999996E-3</v>
      </c>
      <c r="AY142" s="135">
        <f t="shared" si="780"/>
        <v>4.2146181829090558E-3</v>
      </c>
      <c r="AZ142" s="154">
        <f t="shared" si="781"/>
        <v>3.9996039473684207E-2</v>
      </c>
      <c r="BA142" s="18" t="str">
        <f>Input!B142</f>
        <v>CPR-47,5</v>
      </c>
      <c r="BB142" s="136">
        <f>Input!E142</f>
        <v>47.5</v>
      </c>
      <c r="BC142" s="18">
        <f>((U142-1)*EXP(Constants!$B$17*AW142*1000))*1000</f>
        <v>143.5724762534561</v>
      </c>
      <c r="BD142" s="132">
        <f>SQRT((EXP(Constants!$B$17*AW142*1000)*V142)^2+((U142-1)*Constants!$B$17*EXP(Constants!$B$17*AW142*1000)*AY142*1000)^2)*1000</f>
        <v>0.49642540716217454</v>
      </c>
      <c r="BE142" s="18">
        <f t="shared" si="782"/>
        <v>48.399999999999991</v>
      </c>
      <c r="BF142" s="137">
        <f t="shared" si="783"/>
        <v>2.1073090914545278</v>
      </c>
      <c r="BG142" s="20">
        <f t="shared" si="784"/>
        <v>3.9611073147641509</v>
      </c>
      <c r="BH142" s="18"/>
      <c r="BI142" s="18"/>
      <c r="BJ142" s="18"/>
      <c r="BK142" s="18"/>
      <c r="BL142" s="18"/>
      <c r="BM142" s="18"/>
      <c r="BN142" s="159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</row>
    <row r="143" spans="1:110" ht="15" customHeight="1" x14ac:dyDescent="0.2">
      <c r="A143" s="138">
        <f>Input!A143</f>
        <v>10815</v>
      </c>
      <c r="B143" s="138" t="str">
        <f>Input!B143</f>
        <v>Hu1-13</v>
      </c>
      <c r="C143" s="138">
        <f>Input!O143</f>
        <v>2.1069880295530687</v>
      </c>
      <c r="D143" s="138">
        <f>C143*Input!P143/100</f>
        <v>1.448365166562899E-2</v>
      </c>
      <c r="E143" s="139">
        <f>Input!M143</f>
        <v>2.7325604788520965</v>
      </c>
      <c r="F143" s="140">
        <f>E143*Input!N143/100</f>
        <v>3.5328048666241553E-4</v>
      </c>
      <c r="G143" s="141">
        <f t="shared" ref="G143" si="794">E143*137.88</f>
        <v>376.76543882412705</v>
      </c>
      <c r="H143" s="140">
        <f>G143*Input!L143/100</f>
        <v>2.5596487778839435E-2</v>
      </c>
      <c r="I143" s="138">
        <v>0</v>
      </c>
      <c r="J143" s="142">
        <f>(((C143*Constants!$B$24*0.000000001*Input!G143*(Constants!$B$4/Constants!$B$3))-(I143*0.000000000000001))/Input!F143)*1000000000000</f>
        <v>760.70178066572873</v>
      </c>
      <c r="K143" s="138">
        <f>J143*Input!P143/100</f>
        <v>5.2291420065272929</v>
      </c>
      <c r="L143" s="143">
        <f>(J143/Constants!$B$4)*602200000000*Constants!$B$17/(365.2425*24*60)</f>
        <v>10.502332700566038</v>
      </c>
      <c r="M143" s="144">
        <f>L143*Input!P143/100</f>
        <v>7.2194111394077984E-2</v>
      </c>
      <c r="N143" s="138">
        <v>0</v>
      </c>
      <c r="O143" s="142">
        <f>(((G143*Constants!$B$23*0.000000001*Input!G143*(Constants!$B$7/Constants!$B$6))-(N143*0.000000001))/Input!F143)*1000000</f>
        <v>13.702661292007637</v>
      </c>
      <c r="P143" s="138">
        <f>O143*Input!N143/100</f>
        <v>1.7715556114038056E-3</v>
      </c>
      <c r="Q143" s="145">
        <f>(O143/Constants!$B$7)*602200000000000000*Constants!$B$18/(365.2425*24*60)</f>
        <v>10.223840036201771</v>
      </c>
      <c r="R143" s="146">
        <f>Q143*Input!N143/100</f>
        <v>1.3217944164461248E-3</v>
      </c>
      <c r="S143" s="144">
        <f>Input!S143*Constants!$B$17/Constants!$B$18</f>
        <v>1.0014901787623569</v>
      </c>
      <c r="T143" s="138">
        <f>S143*Input!T143/100</f>
        <v>1.7994547763658555E-3</v>
      </c>
      <c r="U143" s="144">
        <f>S143</f>
        <v>1.0014901787623569</v>
      </c>
      <c r="V143" s="138">
        <f>U143*Input!T143/100</f>
        <v>1.7994547763658555E-3</v>
      </c>
      <c r="W143" s="147">
        <v>0</v>
      </c>
      <c r="X143" s="142">
        <f>(((Constants!$B$25*0.000000001*Input!G143/Input!W143*(Constants!$B$11/Constants!$B$9))-(W143*0.000000001))/Input!F143)*1000000000</f>
        <v>0.94227096887435513</v>
      </c>
      <c r="Y143" s="142">
        <f>X143*Input!X143/100</f>
        <v>3.584663878290545E-3</v>
      </c>
      <c r="Z143" s="142">
        <f>(X143/Constants!$B$11)*6.022E+23*0.000000001*Constants!$B$19/(365.2425*24*60)</f>
        <v>2.3003880592669545E-4</v>
      </c>
      <c r="AA143" s="142">
        <f>Z143*Input!X143/100</f>
        <v>8.751323403241451E-7</v>
      </c>
      <c r="AB143" s="143">
        <v>0</v>
      </c>
      <c r="AC143" s="143">
        <v>0.9</v>
      </c>
      <c r="AD143" s="142">
        <f>(((Input!G143*Constants!$B$25*0.000000001*Input!U143*(Constants!$B$10/Constants!$B$9))-((AB143*0.000000000000001)+(Input!G143*AC143*0.000000000000001)))/Input!F143)*1000000000000</f>
        <v>223.72620781740582</v>
      </c>
      <c r="AE143" s="142">
        <f>AD143*Input!V143/100</f>
        <v>0.49431121213463636</v>
      </c>
      <c r="AF143" s="142">
        <f>(AD143/Constants!$B$10)*602200000000*Constants!$B$16/(365.2425*24*60)</f>
        <v>10.212132308825776</v>
      </c>
      <c r="AG143" s="142">
        <f>AF143*Input!V143/100</f>
        <v>2.2563165707322294E-2</v>
      </c>
      <c r="AH143" s="138">
        <f t="shared" ref="AH143" si="795">AF143/Z143</f>
        <v>44393.08519137415</v>
      </c>
      <c r="AI143" s="147">
        <f t="shared" ref="AI143" si="796">AH143*SQRT((AG143/AF143)^2+(AA143/Z143)^2)</f>
        <v>195.30037885842245</v>
      </c>
      <c r="AJ143" s="144">
        <f t="shared" si="768"/>
        <v>1.4901787623569085</v>
      </c>
      <c r="AK143" s="147">
        <f t="shared" ref="AK143" si="797">V143*1000</f>
        <v>1.7994547763658555</v>
      </c>
      <c r="AL143" s="147">
        <f t="shared" ref="AL143" si="798">AF143/Q143</f>
        <v>0.99885486007854785</v>
      </c>
      <c r="AM143" s="147">
        <f t="shared" ref="AM143" si="799">AL143*SQRT((R143/Q143)^2+(AG143/AF143)^2)</f>
        <v>2.2106919366206563E-3</v>
      </c>
      <c r="AN143" s="138">
        <f>AF143/Q143</f>
        <v>0.99885486007854785</v>
      </c>
      <c r="AO143" s="142">
        <f t="shared" ref="AO143" si="800">AN143*SQRT((R143/Q143)^2+(AG143/AF143)^2)</f>
        <v>2.2106919366206563E-3</v>
      </c>
      <c r="AP143" s="138">
        <f t="shared" ref="AP143" si="801">ThU_Alter_Kombi(AN143,U143)</f>
        <v>624.4982</v>
      </c>
      <c r="AQ143" s="138" t="e">
        <f t="shared" si="774"/>
        <v>#VALUE!</v>
      </c>
      <c r="AR143" s="138" t="e">
        <f>(AQ143/AP143)*100</f>
        <v>#VALUE!</v>
      </c>
      <c r="AS143" s="146">
        <f t="shared" si="775"/>
        <v>2.2500235245479887E-5</v>
      </c>
      <c r="AT143" s="146">
        <f t="shared" si="776"/>
        <v>8.5646640431803556E-8</v>
      </c>
      <c r="AU143" s="138">
        <v>0.75</v>
      </c>
      <c r="AV143" s="138">
        <f t="shared" ref="AV143" si="802">AU143/2</f>
        <v>0.375</v>
      </c>
      <c r="AW143" s="138">
        <f t="shared" si="778"/>
        <v>624.49639999999999</v>
      </c>
      <c r="AX143" s="148">
        <f t="shared" si="779"/>
        <v>265.6397559056</v>
      </c>
      <c r="AY143" s="148">
        <f t="shared" si="780"/>
        <v>111.35077701293429</v>
      </c>
      <c r="AZ143" s="149">
        <f t="shared" si="781"/>
        <v>0.42536635264126421</v>
      </c>
      <c r="BA143" s="138" t="str">
        <f>Input!B143</f>
        <v>Hu1-13</v>
      </c>
      <c r="BB143" s="150">
        <f>Input!E143</f>
        <v>0</v>
      </c>
      <c r="BC143" s="138">
        <f>((U143-1)*EXP(Constants!$B$17*AW143*1000))*1000</f>
        <v>8.6820909982878689</v>
      </c>
      <c r="BD143" s="144">
        <f>SQRT((EXP(Constants!$B$17*AW143*1000)*V143)^2+((U143-1)*Constants!$B$17*EXP(Constants!$B$17*AW143*1000)*AY143*1000)^2)*1000</f>
        <v>10.833168321184132</v>
      </c>
      <c r="BE143" s="138">
        <f t="shared" si="782"/>
        <v>624438.4</v>
      </c>
      <c r="BF143" s="151">
        <f t="shared" si="783"/>
        <v>55675.388506467141</v>
      </c>
      <c r="BG143" s="160">
        <f t="shared" si="784"/>
        <v>17.830491418835127</v>
      </c>
      <c r="BH143" s="138"/>
      <c r="BI143" s="18"/>
      <c r="BJ143" s="18"/>
      <c r="BK143" s="18"/>
      <c r="BL143" s="18"/>
      <c r="BM143" s="18"/>
      <c r="BN143" s="159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</row>
    <row r="144" spans="1:110" ht="15" customHeight="1" x14ac:dyDescent="0.2">
      <c r="A144" s="18">
        <f>Input!A144</f>
        <v>10991</v>
      </c>
      <c r="B144" s="18" t="str">
        <f>Input!B144</f>
        <v>CPR-70</v>
      </c>
      <c r="C144" s="18">
        <f>Input!O144</f>
        <v>4.7493570736163866</v>
      </c>
      <c r="D144" s="18">
        <f>C144*Input!P144/100</f>
        <v>1.6547264900384318E-2</v>
      </c>
      <c r="E144" s="152">
        <f>Input!M144</f>
        <v>5.4481468653968426</v>
      </c>
      <c r="F144" s="153">
        <f>E144*Input!N144/100</f>
        <v>3.8993803949037261E-4</v>
      </c>
      <c r="G144" s="21">
        <f>E144*137.88</f>
        <v>751.19048980091668</v>
      </c>
      <c r="H144" s="153">
        <f>G144*Input!L144/100</f>
        <v>2.1753705601653475E-2</v>
      </c>
      <c r="I144" s="18">
        <v>0.3</v>
      </c>
      <c r="J144" s="129">
        <f>(((C144*Constants!$B$24*0.000000001*Input!G144*(Constants!$B$4/Constants!$B$3))-(I144*0.000000000000001))/Input!F144)*1000000000000</f>
        <v>172.95227854220457</v>
      </c>
      <c r="K144" s="18">
        <f>J144*Input!P144/100</f>
        <v>0.60258412324086141</v>
      </c>
      <c r="L144" s="134">
        <f>(J144/Constants!$B$4)*602200000000*Constants!$B$17/(365.2425*24*60)</f>
        <v>2.3877982367565576</v>
      </c>
      <c r="M144" s="132">
        <f>L144*Input!P144/100</f>
        <v>8.3193428794342879E-3</v>
      </c>
      <c r="N144" s="18">
        <v>5.0000000000000001E-3</v>
      </c>
      <c r="O144" s="129">
        <f>(((G144*Constants!$B$23*0.000000001*Input!G144*(Constants!$B$7/Constants!$B$6))-(N144*0.000000001))/Input!F144)*1000000</f>
        <v>2.7556415897971061</v>
      </c>
      <c r="P144" s="18">
        <f>O144*Input!N144/100</f>
        <v>1.9722843484421164E-4</v>
      </c>
      <c r="Q144" s="130">
        <f>(O144/Constants!$B$7)*602200000000000000*Constants!$B$18/(365.2425*24*60)</f>
        <v>2.0560413930411445</v>
      </c>
      <c r="R144" s="131">
        <f>Q144*Input!N144/100</f>
        <v>1.4715622939711641E-4</v>
      </c>
      <c r="S144" s="132">
        <f>Input!S144*Constants!$B$17/Constants!$B$18</f>
        <v>1.144846552102486</v>
      </c>
      <c r="T144" s="18">
        <f>S144*Input!T144/100</f>
        <v>5.4654524207438696E-4</v>
      </c>
      <c r="U144" s="18">
        <f>S144*1/((U143+U145)/2)</f>
        <v>1.1446413291887831</v>
      </c>
      <c r="V144" s="18">
        <f>U144*Input!T144/100</f>
        <v>5.4644726946238679E-4</v>
      </c>
      <c r="W144" s="133">
        <v>3.0000000000000001E-3</v>
      </c>
      <c r="X144" s="129">
        <f>IF((((Constants!$B$25*0.000000001*Input!G144/Input!W144*(Constants!$B$11/Constants!$B$9))-(W144*0.000000001))/Input!F144)*1000000000&lt;0, "n.d.", (((Constants!$B$25*0.000000001*Input!G144/Input!W144*(Constants!$B$11/Constants!$B$9))-(W144*0.000000001))/Input!F144)*1000000000)</f>
        <v>6.821289785706447E-2</v>
      </c>
      <c r="Y144" s="129">
        <f>X144*Input!X144/100</f>
        <v>2.6324565668253295E-4</v>
      </c>
      <c r="Z144" s="129">
        <f>(X144/Constants!$B$11)*6.022E+23*0.000000001*Constants!$B$19/(365.2425*24*60)</f>
        <v>1.6652973603319309E-5</v>
      </c>
      <c r="AA144" s="129">
        <f>Z144*Input!X144/100</f>
        <v>6.4266775194167593E-8</v>
      </c>
      <c r="AB144" s="134">
        <v>0.05</v>
      </c>
      <c r="AC144" s="134">
        <v>0.9</v>
      </c>
      <c r="AD144" s="129">
        <f>(((Input!G144*Constants!$B$25*0.000000001*Input!U144*(Constants!$B$10/Constants!$B$9))-((AB144*0.000000000000001)+(Input!G144*AC144*0.000000000000001)))/Input!F144)*1000000000000</f>
        <v>6.1383519706475397E-2</v>
      </c>
      <c r="AE144" s="129">
        <f>AD144*Input!V144/100</f>
        <v>1.1826705490046508E-3</v>
      </c>
      <c r="AF144" s="129">
        <f>(AD144/Constants!$B$10)*602200000000*Constants!$B$16/(365.2425*24*60)</f>
        <v>2.8018917896983722E-3</v>
      </c>
      <c r="AG144" s="129">
        <f>AF144*Input!V144/100</f>
        <v>5.3983787782449871E-5</v>
      </c>
      <c r="AH144" s="18">
        <f>AF144/Z144</f>
        <v>168.25174028618486</v>
      </c>
      <c r="AI144" s="133">
        <f>AH144*SQRT((AG144/AF144)^2+(AA144/Z144)^2)</f>
        <v>3.3060800941593764</v>
      </c>
      <c r="AJ144" s="132">
        <f t="shared" si="768"/>
        <v>144.64132918878315</v>
      </c>
      <c r="AK144" s="133">
        <f>V144*1000</f>
        <v>0.54644726946238675</v>
      </c>
      <c r="AL144" s="133">
        <f>AF144/Q144</f>
        <v>1.3627603992709607E-3</v>
      </c>
      <c r="AM144" s="133">
        <f>AL144*SQRT((R144/Q144)^2+(AG144/AF144)^2)</f>
        <v>2.6256358672487236E-5</v>
      </c>
      <c r="AN144" s="18">
        <f>AL144*1/((AN143+AN145)/2)</f>
        <v>1.3649484708837169E-3</v>
      </c>
      <c r="AO144" s="129">
        <f>AN144*SQRT((R144/Q144)^2+(AG144/AF144)^2)</f>
        <v>2.6298516335049452E-5</v>
      </c>
      <c r="AP144" s="18">
        <f>ThU_Alter_Kombi(AN144,U144)</f>
        <v>0.13009999999999999</v>
      </c>
      <c r="AQ144" s="18">
        <f t="shared" si="774"/>
        <v>2.3999999999999998E-3</v>
      </c>
      <c r="AR144" s="154">
        <f>(AQ144/AP144)</f>
        <v>1.8447348193697154E-2</v>
      </c>
      <c r="AS144" s="131">
        <f t="shared" si="775"/>
        <v>8.0995322660734285E-6</v>
      </c>
      <c r="AT144" s="131">
        <f t="shared" si="776"/>
        <v>3.1262905000565374E-8</v>
      </c>
      <c r="AU144" s="18">
        <v>8</v>
      </c>
      <c r="AV144" s="18">
        <f>AU144/2</f>
        <v>4</v>
      </c>
      <c r="AW144" s="18">
        <f t="shared" si="778"/>
        <v>0.1239</v>
      </c>
      <c r="AX144" s="135">
        <f t="shared" si="779"/>
        <v>4.0302391000000002E-3</v>
      </c>
      <c r="AY144" s="135">
        <f t="shared" si="780"/>
        <v>3.9831972577394738E-3</v>
      </c>
      <c r="AZ144" s="154">
        <f t="shared" si="781"/>
        <v>3.2528160613397902E-2</v>
      </c>
      <c r="BA144" s="18" t="str">
        <f>Input!B144</f>
        <v>CPR-70</v>
      </c>
      <c r="BB144" s="136">
        <f>Input!E144</f>
        <v>70</v>
      </c>
      <c r="BC144" s="18">
        <f>((U144-1)*EXP(Constants!$B$17*AW144*1000))*1000</f>
        <v>144.69191234006993</v>
      </c>
      <c r="BD144" s="132">
        <f>SQRT((EXP(Constants!$B$17*AW144*1000)*V144)^2+((U144-1)*Constants!$B$17*EXP(Constants!$B$17*AW144*1000)*AY144*1000)^2)*1000</f>
        <v>0.54664078958048201</v>
      </c>
      <c r="BE144" s="18">
        <f t="shared" si="782"/>
        <v>65.899999999999991</v>
      </c>
      <c r="BF144" s="137">
        <f t="shared" si="783"/>
        <v>1.9915986288697369</v>
      </c>
      <c r="BG144" s="20">
        <f t="shared" si="784"/>
        <v>3.2148484727517945</v>
      </c>
      <c r="BH144" s="18"/>
      <c r="BI144" s="18"/>
      <c r="BJ144" s="18"/>
      <c r="BK144" s="18"/>
      <c r="BL144" s="18"/>
      <c r="BM144" s="18"/>
      <c r="BN144" s="159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</row>
    <row r="145" spans="1:110" ht="15" customHeight="1" x14ac:dyDescent="0.2">
      <c r="A145" s="138">
        <f>Input!A145</f>
        <v>10815</v>
      </c>
      <c r="B145" s="138" t="str">
        <f>Input!B145</f>
        <v>Hu1-13</v>
      </c>
      <c r="C145" s="138">
        <f>Input!O145</f>
        <v>2.0902675220191202</v>
      </c>
      <c r="D145" s="138">
        <f>C145*Input!P145/100</f>
        <v>1.7815380419953595E-2</v>
      </c>
      <c r="E145" s="139">
        <f>Input!M145</f>
        <v>2.7325298417342196</v>
      </c>
      <c r="F145" s="140">
        <f>E145*Input!N145/100</f>
        <v>3.2797737494969366E-4</v>
      </c>
      <c r="G145" s="141">
        <f t="shared" ref="G145" si="803">E145*137.88</f>
        <v>376.7612145783142</v>
      </c>
      <c r="H145" s="140">
        <f>G145*Input!L145/100</f>
        <v>3.3026846851748545E-2</v>
      </c>
      <c r="I145" s="138">
        <v>0</v>
      </c>
      <c r="J145" s="142">
        <f>(((C145*Constants!$B$24*0.000000001*Input!G145*(Constants!$B$4/Constants!$B$3))-(I145*0.000000000000001))/Input!F145)*1000000000000</f>
        <v>754.66504971315305</v>
      </c>
      <c r="K145" s="138">
        <f>J145*Input!P145/100</f>
        <v>6.4320211688961182</v>
      </c>
      <c r="L145" s="143">
        <f>(J145/Constants!$B$4)*602200000000*Constants!$B$17/(365.2425*24*60)</f>
        <v>10.418988927093771</v>
      </c>
      <c r="M145" s="144">
        <f>L145*Input!P145/100</f>
        <v>8.8801193805163936E-2</v>
      </c>
      <c r="N145" s="138">
        <v>0</v>
      </c>
      <c r="O145" s="142">
        <f>(((G145*Constants!$B$23*0.000000001*Input!G145*(Constants!$B$7/Constants!$B$6))-(N145*0.000000001))/Input!F145)*1000000</f>
        <v>13.7025076595254</v>
      </c>
      <c r="P145" s="138">
        <f>O145*Input!N145/100</f>
        <v>1.6446709652572322E-3</v>
      </c>
      <c r="Q145" s="145">
        <f>(O145/Constants!$B$7)*602200000000000000*Constants!$B$18/(365.2425*24*60)</f>
        <v>10.2237254078176</v>
      </c>
      <c r="R145" s="146">
        <f>Q145*Input!N145/100</f>
        <v>1.2271231480254945E-3</v>
      </c>
      <c r="S145" s="144">
        <f>Input!S145*Constants!$B$17/Constants!$B$18</f>
        <v>0.99886840153431666</v>
      </c>
      <c r="T145" s="138">
        <f>S145*Input!T145/100</f>
        <v>1.3313966348690539E-3</v>
      </c>
      <c r="U145" s="144">
        <f>S145</f>
        <v>0.99886840153431666</v>
      </c>
      <c r="V145" s="138">
        <f>U145*Input!T145/100</f>
        <v>1.3313966348690539E-3</v>
      </c>
      <c r="W145" s="147">
        <v>0</v>
      </c>
      <c r="X145" s="142">
        <f>(((Constants!$B$25*0.000000001*Input!G145/Input!W145*(Constants!$B$11/Constants!$B$9))-(W145*0.000000001))/Input!F145)*1000000000</f>
        <v>0.94752179891525434</v>
      </c>
      <c r="Y145" s="142">
        <f>X145*Input!X145/100</f>
        <v>4.0774619193643218E-3</v>
      </c>
      <c r="Z145" s="142">
        <f>(X145/Constants!$B$11)*6.022E+23*0.000000001*Constants!$B$19/(365.2425*24*60)</f>
        <v>2.3132070329234957E-4</v>
      </c>
      <c r="AA145" s="142">
        <f>Z145*Input!X145/100</f>
        <v>9.9544027368544755E-7</v>
      </c>
      <c r="AB145" s="143">
        <v>0</v>
      </c>
      <c r="AC145" s="143">
        <v>0.9</v>
      </c>
      <c r="AD145" s="142">
        <f>(((Input!G145*Constants!$B$25*0.000000001*Input!U145*(Constants!$B$10/Constants!$B$9))-((AB145*0.000000000000001)+(Input!G145*AC145*0.000000000000001)))/Input!F145)*1000000000000</f>
        <v>223.51857682148952</v>
      </c>
      <c r="AE145" s="142">
        <f>AD145*Input!V145/100</f>
        <v>0.51912208732118725</v>
      </c>
      <c r="AF145" s="142">
        <f>(AD145/Constants!$B$10)*602200000000*Constants!$B$16/(365.2425*24*60)</f>
        <v>10.202654853223249</v>
      </c>
      <c r="AG145" s="142">
        <f>AF145*Input!V145/100</f>
        <v>2.3695674690398648E-2</v>
      </c>
      <c r="AH145" s="138">
        <f t="shared" ref="AH145" si="804">AF145/Z145</f>
        <v>44106.103379466425</v>
      </c>
      <c r="AI145" s="147">
        <f t="shared" ref="AI145" si="805">AH145*SQRT((AG145/AF145)^2+(AA145/Z145)^2)</f>
        <v>215.67984978577493</v>
      </c>
      <c r="AJ145" s="144">
        <f t="shared" si="768"/>
        <v>-1.1315984656833367</v>
      </c>
      <c r="AK145" s="147">
        <f t="shared" ref="AK145" si="806">V145*1000</f>
        <v>1.331396634869054</v>
      </c>
      <c r="AL145" s="147">
        <f t="shared" ref="AL145" si="807">AF145/Q145</f>
        <v>0.99793905315784015</v>
      </c>
      <c r="AM145" s="147">
        <f t="shared" ref="AM145" si="808">AL145*SQRT((R145/Q145)^2+(AG145/AF145)^2)</f>
        <v>2.3208073571838184E-3</v>
      </c>
      <c r="AN145" s="138">
        <f>AF145/Q145</f>
        <v>0.99793905315784015</v>
      </c>
      <c r="AO145" s="142">
        <f t="shared" ref="AO145" si="809">AN145*SQRT((R145/Q145)^2+(AG145/AF145)^2)</f>
        <v>2.3208073571838184E-3</v>
      </c>
      <c r="AP145" s="138">
        <f t="shared" ref="AP145" si="810">ThU_Alter_Kombi(AN145,U145)</f>
        <v>844.27570000000003</v>
      </c>
      <c r="AQ145" s="138" t="e">
        <f t="shared" si="774"/>
        <v>#VALUE!</v>
      </c>
      <c r="AR145" s="138" t="e">
        <f>(AQ145/AP145)*100</f>
        <v>#VALUE!</v>
      </c>
      <c r="AS145" s="146">
        <f t="shared" si="775"/>
        <v>2.2625872083327821E-5</v>
      </c>
      <c r="AT145" s="146">
        <f t="shared" si="776"/>
        <v>9.7403574958306256E-8</v>
      </c>
      <c r="AU145" s="138">
        <v>0.75</v>
      </c>
      <c r="AV145" s="138">
        <f t="shared" ref="AV145" si="811">AU145/2</f>
        <v>0.375</v>
      </c>
      <c r="AW145" s="138">
        <f t="shared" si="778"/>
        <v>844.27380000000005</v>
      </c>
      <c r="AX145" s="148">
        <f t="shared" si="779"/>
        <v>333.97282902310002</v>
      </c>
      <c r="AY145" s="148">
        <f t="shared" si="780"/>
        <v>758.46849538899801</v>
      </c>
      <c r="AZ145" s="149">
        <f t="shared" si="781"/>
        <v>0.39557407682566958</v>
      </c>
      <c r="BA145" s="138" t="str">
        <f>Input!B145</f>
        <v>Hu1-13</v>
      </c>
      <c r="BB145" s="150">
        <f>Input!E145</f>
        <v>0</v>
      </c>
      <c r="BC145" s="138">
        <f>((U145-1)*EXP(Constants!$B$17*AW145*1000))*1000</f>
        <v>-12.25853617083914</v>
      </c>
      <c r="BD145" s="144">
        <f>SQRT((EXP(Constants!$B$17*AW145*1000)*V145)^2+((U145-1)*Constants!$B$17*EXP(Constants!$B$17*AW145*1000)*AY145*1000)^2)*1000</f>
        <v>29.941455865380842</v>
      </c>
      <c r="BE145" s="138">
        <f t="shared" si="782"/>
        <v>844215.8</v>
      </c>
      <c r="BF145" s="151">
        <f t="shared" si="783"/>
        <v>379234.24769449898</v>
      </c>
      <c r="BG145" s="160">
        <f t="shared" si="784"/>
        <v>89.836791736164017</v>
      </c>
      <c r="BH145" s="138"/>
      <c r="BI145" s="18"/>
      <c r="BJ145" s="18"/>
      <c r="BK145" s="18"/>
      <c r="BL145" s="18"/>
      <c r="BM145" s="18"/>
      <c r="BN145" s="159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</row>
    <row r="146" spans="1:110" ht="15" customHeight="1" x14ac:dyDescent="0.2">
      <c r="A146" s="18">
        <f>Input!A146</f>
        <v>10992</v>
      </c>
      <c r="B146" s="18" t="str">
        <f>Input!B146</f>
        <v>CPR-83,5</v>
      </c>
      <c r="C146" s="18">
        <f>Input!O146</f>
        <v>4.6884460728822317</v>
      </c>
      <c r="D146" s="18">
        <f>C146*Input!P146/100</f>
        <v>1.537641733759517E-2</v>
      </c>
      <c r="E146" s="152">
        <f>Input!M146</f>
        <v>5.4077387210512438</v>
      </c>
      <c r="F146" s="153">
        <f>E146*Input!N146/100</f>
        <v>2.7511654270337117E-4</v>
      </c>
      <c r="G146" s="21">
        <f>E146*137.88</f>
        <v>745.61901485854548</v>
      </c>
      <c r="H146" s="153">
        <f>G146*Input!L146/100</f>
        <v>1.684698883612407E-2</v>
      </c>
      <c r="I146" s="18">
        <v>0.3</v>
      </c>
      <c r="J146" s="129">
        <f>(((C146*Constants!$B$24*0.000000001*Input!G146*(Constants!$B$4/Constants!$B$3))-(I146*0.000000000000001))/Input!F146)*1000000000000</f>
        <v>178.14097717275277</v>
      </c>
      <c r="K146" s="18">
        <f>J146*Input!P146/100</f>
        <v>0.58423835261292678</v>
      </c>
      <c r="L146" s="134">
        <f>(J146/Constants!$B$4)*602200000000*Constants!$B$17/(365.2425*24*60)</f>
        <v>2.4594339824403635</v>
      </c>
      <c r="M146" s="132">
        <f>L146*Input!P146/100</f>
        <v>8.066059146334275E-3</v>
      </c>
      <c r="N146" s="18">
        <v>5.0000000000000001E-3</v>
      </c>
      <c r="O146" s="129">
        <f>(((G146*Constants!$B$23*0.000000001*Input!G146*(Constants!$B$7/Constants!$B$6))-(N146*0.000000001))/Input!F146)*1000000</f>
        <v>2.8538628634002139</v>
      </c>
      <c r="P146" s="18">
        <f>O146*Input!N146/100</f>
        <v>1.4518913076769007E-4</v>
      </c>
      <c r="Q146" s="130">
        <f>(O146/Constants!$B$7)*602200000000000000*Constants!$B$18/(365.2425*24*60)</f>
        <v>2.1293263241994373</v>
      </c>
      <c r="R146" s="131">
        <f>Q146*Input!N146/100</f>
        <v>1.0832862436947529E-4</v>
      </c>
      <c r="S146" s="132">
        <f>Input!S146*Constants!$B$17/Constants!$B$18</f>
        <v>1.1444972266616014</v>
      </c>
      <c r="T146" s="18">
        <f>S146*Input!T146/100</f>
        <v>3.7880978003160129E-4</v>
      </c>
      <c r="U146" s="18">
        <f>S146*1/((U145+U147)/2)</f>
        <v>1.1445083784088914</v>
      </c>
      <c r="V146" s="18">
        <f>U146*Input!T146/100</f>
        <v>3.7881347107675148E-4</v>
      </c>
      <c r="W146" s="133">
        <v>3.0000000000000001E-3</v>
      </c>
      <c r="X146" s="129">
        <f>IF((((Constants!$B$25*0.000000001*Input!G146/Input!W146*(Constants!$B$11/Constants!$B$9))-(W146*0.000000001))/Input!F146)*1000000000&lt;0, "n.d.", (((Constants!$B$25*0.000000001*Input!G146/Input!W146*(Constants!$B$11/Constants!$B$9))-(W146*0.000000001))/Input!F146)*1000000000)</f>
        <v>0.1291496215380217</v>
      </c>
      <c r="Y146" s="129">
        <f>X146*Input!X146/100</f>
        <v>3.2238393731576443E-4</v>
      </c>
      <c r="Z146" s="129">
        <f>(X146/Constants!$B$11)*6.022E+23*0.000000001*Constants!$B$19/(365.2425*24*60)</f>
        <v>3.152959786077488E-5</v>
      </c>
      <c r="AA146" s="129">
        <f>Z146*Input!X146/100</f>
        <v>7.8704341362292238E-8</v>
      </c>
      <c r="AB146" s="134">
        <v>0.05</v>
      </c>
      <c r="AC146" s="134">
        <v>0.9</v>
      </c>
      <c r="AD146" s="129">
        <f>(((Input!G146*Constants!$B$25*0.000000001*Input!U146*(Constants!$B$10/Constants!$B$9))-((AB146*0.000000000000001)+(Input!G146*AC146*0.000000000000001)))/Input!F146)*1000000000000</f>
        <v>5.5328752006406405E-2</v>
      </c>
      <c r="AE146" s="129">
        <f>AD146*Input!V146/100</f>
        <v>1.1810791945590755E-3</v>
      </c>
      <c r="AF146" s="129">
        <f>(AD146/Constants!$B$10)*602200000000*Constants!$B$16/(365.2425*24*60)</f>
        <v>2.5255178706321997E-3</v>
      </c>
      <c r="AG146" s="129">
        <f>AF146*Input!V146/100</f>
        <v>5.3911149345017824E-5</v>
      </c>
      <c r="AH146" s="18">
        <f>AF146/Z146</f>
        <v>80.099907451535501</v>
      </c>
      <c r="AI146" s="133">
        <f>AH146*SQRT((AG146/AF146)^2+(AA146/Z146)^2)</f>
        <v>1.7215092916514709</v>
      </c>
      <c r="AJ146" s="132">
        <f t="shared" si="768"/>
        <v>144.50837840889142</v>
      </c>
      <c r="AK146" s="133">
        <f>V146*1000</f>
        <v>0.37881347107675151</v>
      </c>
      <c r="AL146" s="133">
        <f>AF146/Q146</f>
        <v>1.1860642692151559E-3</v>
      </c>
      <c r="AM146" s="133">
        <f>AL146*SQRT((R146/Q146)^2+(AG146/AF146)^2)</f>
        <v>2.5318478355736096E-5</v>
      </c>
      <c r="AN146" s="18">
        <f>AL146*1/((AN145+AN147)/2)</f>
        <v>1.1891001656852084E-3</v>
      </c>
      <c r="AO146" s="129">
        <f>AN146*SQRT((R146/Q146)^2+(AG146/AF146)^2)</f>
        <v>2.5383284522705564E-5</v>
      </c>
      <c r="AP146" s="18">
        <f>ThU_Alter_Kombi(AN146,U146)</f>
        <v>0.1134</v>
      </c>
      <c r="AQ146" s="18">
        <f t="shared" si="774"/>
        <v>4.1000000000000003E-3</v>
      </c>
      <c r="AR146" s="154">
        <f>(AQ146/AP146)</f>
        <v>3.6155202821869493E-2</v>
      </c>
      <c r="AS146" s="131">
        <f t="shared" si="775"/>
        <v>1.4807311355918667E-5</v>
      </c>
      <c r="AT146" s="131">
        <f t="shared" si="776"/>
        <v>3.6969761150004095E-8</v>
      </c>
      <c r="AU146" s="18">
        <v>8</v>
      </c>
      <c r="AV146" s="18">
        <f>AU146/2</f>
        <v>4</v>
      </c>
      <c r="AW146" s="18">
        <f t="shared" si="778"/>
        <v>0.1021</v>
      </c>
      <c r="AX146" s="135">
        <f t="shared" si="779"/>
        <v>5.7504894999999999E-3</v>
      </c>
      <c r="AY146" s="135">
        <f t="shared" si="780"/>
        <v>6.1496201380217249E-3</v>
      </c>
      <c r="AZ146" s="154">
        <f t="shared" si="781"/>
        <v>5.6322130264446622E-2</v>
      </c>
      <c r="BA146" s="18" t="str">
        <f>Input!B146</f>
        <v>CPR-83,5</v>
      </c>
      <c r="BB146" s="136">
        <f>Input!E146</f>
        <v>83.5</v>
      </c>
      <c r="BC146" s="18">
        <f>((U146-1)*EXP(Constants!$B$17*AW146*1000))*1000</f>
        <v>144.55002194322495</v>
      </c>
      <c r="BD146" s="132">
        <f>SQRT((EXP(Constants!$B$17*AW146*1000)*V146)^2+((U146-1)*Constants!$B$17*EXP(Constants!$B$17*AW146*1000)*AY146*1000)^2)*1000</f>
        <v>0.37893093907071013</v>
      </c>
      <c r="BE146" s="18">
        <f t="shared" si="782"/>
        <v>44.099999999999994</v>
      </c>
      <c r="BF146" s="137">
        <f t="shared" si="783"/>
        <v>3.0748100690108626</v>
      </c>
      <c r="BG146" s="20">
        <f t="shared" si="784"/>
        <v>6.0231343173572229</v>
      </c>
      <c r="BH146" s="18"/>
      <c r="BI146" s="18"/>
      <c r="BJ146" s="18"/>
      <c r="BK146" s="18"/>
      <c r="BL146" s="18"/>
      <c r="BM146" s="18"/>
      <c r="BN146" s="159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</row>
    <row r="147" spans="1:110" ht="15" customHeight="1" x14ac:dyDescent="0.2">
      <c r="A147" s="138">
        <f>Input!A147</f>
        <v>10815</v>
      </c>
      <c r="B147" s="138" t="str">
        <f>Input!B147</f>
        <v>Hu1-13</v>
      </c>
      <c r="C147" s="138">
        <f>Input!O147</f>
        <v>2.10301084215578</v>
      </c>
      <c r="D147" s="138">
        <f>C147*Input!P147/100</f>
        <v>1.9463482064330604E-2</v>
      </c>
      <c r="E147" s="139">
        <f>Input!M147</f>
        <v>2.7313883036634867</v>
      </c>
      <c r="F147" s="140">
        <f>E147*Input!N147/100</f>
        <v>2.7311165164049881E-4</v>
      </c>
      <c r="G147" s="141">
        <f t="shared" ref="G147" si="812">E147*137.88</f>
        <v>376.60381930912155</v>
      </c>
      <c r="H147" s="140">
        <f>G147*Input!L147/100</f>
        <v>2.2565707007510354E-2</v>
      </c>
      <c r="I147" s="138">
        <v>0</v>
      </c>
      <c r="J147" s="142">
        <f>(((C147*Constants!$B$24*0.000000001*Input!G147*(Constants!$B$4/Constants!$B$3))-(I147*0.000000000000001))/Input!F147)*1000000000000</f>
        <v>759.26586670099653</v>
      </c>
      <c r="K147" s="138">
        <f>J147*Input!P147/100</f>
        <v>7.0270477366842803</v>
      </c>
      <c r="L147" s="143">
        <f>(J147/Constants!$B$4)*602200000000*Constants!$B$17/(365.2425*24*60)</f>
        <v>10.482508313966328</v>
      </c>
      <c r="M147" s="144">
        <f>L147*Input!P147/100</f>
        <v>9.7016196240307759E-2</v>
      </c>
      <c r="N147" s="138">
        <v>0</v>
      </c>
      <c r="O147" s="142">
        <f>(((G147*Constants!$B$23*0.000000001*Input!G147*(Constants!$B$7/Constants!$B$6))-(N147*0.000000001))/Input!F147)*1000000</f>
        <v>13.696783317957758</v>
      </c>
      <c r="P147" s="138">
        <f>O147*Input!N147/100</f>
        <v>1.3695420417200205E-3</v>
      </c>
      <c r="Q147" s="145">
        <f>(O147/Constants!$B$7)*602200000000000000*Constants!$B$18/(365.2425*24*60)</f>
        <v>10.21945435774543</v>
      </c>
      <c r="R147" s="146">
        <f>Q147*Input!N147/100</f>
        <v>1.021843746919849E-3</v>
      </c>
      <c r="S147" s="144">
        <f>Input!S147*Constants!$B$17/Constants!$B$18</f>
        <v>1.0011121110639303</v>
      </c>
      <c r="T147" s="138">
        <f>S147*Input!T147/100</f>
        <v>1.9265557862830002E-3</v>
      </c>
      <c r="U147" s="144">
        <f>S147</f>
        <v>1.0011121110639303</v>
      </c>
      <c r="V147" s="138">
        <f>U147*Input!T147/100</f>
        <v>1.9265557862830002E-3</v>
      </c>
      <c r="W147" s="147">
        <v>0</v>
      </c>
      <c r="X147" s="142">
        <f>(((Constants!$B$25*0.000000001*Input!G147/Input!W147*(Constants!$B$11/Constants!$B$9))-(W147*0.000000001))/Input!F147)*1000000000</f>
        <v>0.94813054280679443</v>
      </c>
      <c r="Y147" s="142">
        <f>X147*Input!X147/100</f>
        <v>3.9398457712277483E-3</v>
      </c>
      <c r="Z147" s="142">
        <f>(X147/Constants!$B$11)*6.022E+23*0.000000001*Constants!$B$19/(365.2425*24*60)</f>
        <v>2.3146931735619191E-4</v>
      </c>
      <c r="AA147" s="142">
        <f>Z147*Input!X147/100</f>
        <v>9.618437229699074E-7</v>
      </c>
      <c r="AB147" s="143">
        <v>0</v>
      </c>
      <c r="AC147" s="143">
        <v>0.9</v>
      </c>
      <c r="AD147" s="142">
        <f>(((Input!G147*Constants!$B$25*0.000000001*Input!U147*(Constants!$B$10/Constants!$B$9))-((AB147*0.000000000000001)+(Input!G147*AC147*0.000000000000001)))/Input!F147)*1000000000000</f>
        <v>223.20482516102126</v>
      </c>
      <c r="AE147" s="142">
        <f>AD147*Input!V147/100</f>
        <v>0.54691087856262488</v>
      </c>
      <c r="AF147" s="142">
        <f>(AD147/Constants!$B$10)*602200000000*Constants!$B$16/(365.2425*24*60)</f>
        <v>10.188333448949368</v>
      </c>
      <c r="AG147" s="142">
        <f>AF147*Input!V147/100</f>
        <v>2.4964112642431112E-2</v>
      </c>
      <c r="AH147" s="138">
        <f t="shared" ref="AH147" si="813">AF147/Z147</f>
        <v>44015.913492634776</v>
      </c>
      <c r="AI147" s="147">
        <f t="shared" ref="AI147" si="814">AH147*SQRT((AG147/AF147)^2+(AA147/Z147)^2)</f>
        <v>212.33290561378067</v>
      </c>
      <c r="AJ147" s="144">
        <f t="shared" si="768"/>
        <v>1.1121110639302767</v>
      </c>
      <c r="AK147" s="147">
        <f t="shared" ref="AK147" si="815">V147*1000</f>
        <v>1.9265557862830003</v>
      </c>
      <c r="AL147" s="147">
        <f t="shared" ref="AL147" si="816">AF147/Q147</f>
        <v>0.9969547387065264</v>
      </c>
      <c r="AM147" s="147">
        <f t="shared" ref="AM147" si="817">AL147*SQRT((R147/Q147)^2+(AG147/AF147)^2)</f>
        <v>2.4448360211853787E-3</v>
      </c>
      <c r="AN147" s="138">
        <f>AF147/Q147</f>
        <v>0.9969547387065264</v>
      </c>
      <c r="AO147" s="142">
        <f t="shared" ref="AO147" si="818">AN147*SQRT((R147/Q147)^2+(AG147/AF147)^2)</f>
        <v>2.4448360211853787E-3</v>
      </c>
      <c r="AP147" s="138">
        <f t="shared" ref="AP147" si="819">ThU_Alter_Kombi(AN147,U147)</f>
        <v>586.54280000000006</v>
      </c>
      <c r="AQ147" s="138" t="e">
        <f t="shared" si="774"/>
        <v>#VALUE!</v>
      </c>
      <c r="AR147" s="138" t="e">
        <f>(AQ147/AP147)*100</f>
        <v>#VALUE!</v>
      </c>
      <c r="AS147" s="146">
        <f t="shared" si="775"/>
        <v>2.2649870458177536E-5</v>
      </c>
      <c r="AT147" s="146">
        <f t="shared" si="776"/>
        <v>9.414613647455969E-8</v>
      </c>
      <c r="AU147" s="138">
        <v>0.75</v>
      </c>
      <c r="AV147" s="138">
        <f t="shared" ref="AV147" si="820">AU147/2</f>
        <v>0.375</v>
      </c>
      <c r="AW147" s="138">
        <f t="shared" si="778"/>
        <v>586.54100000000005</v>
      </c>
      <c r="AX147" s="148">
        <f t="shared" si="779"/>
        <v>217.96961817779999</v>
      </c>
      <c r="AY147" s="148">
        <f t="shared" si="780"/>
        <v>85.404720005449178</v>
      </c>
      <c r="AZ147" s="149">
        <f t="shared" si="781"/>
        <v>0.37161872431390125</v>
      </c>
      <c r="BA147" s="138" t="str">
        <f>Input!B147</f>
        <v>Hu1-13</v>
      </c>
      <c r="BB147" s="150">
        <f>Input!E147</f>
        <v>0</v>
      </c>
      <c r="BC147" s="138">
        <f>((U147-1)*EXP(Constants!$B$17*AW147*1000))*1000</f>
        <v>5.8212438738457104</v>
      </c>
      <c r="BD147" s="144">
        <f>SQRT((EXP(Constants!$B$17*AW147*1000)*V147)^2+((U147-1)*Constants!$B$17*EXP(Constants!$B$17*AW147*1000)*AY147*1000)^2)*1000</f>
        <v>10.18151239096732</v>
      </c>
      <c r="BE147" s="138">
        <f t="shared" si="782"/>
        <v>586483</v>
      </c>
      <c r="BF147" s="151">
        <f t="shared" si="783"/>
        <v>42702.360002724592</v>
      </c>
      <c r="BG147" s="160">
        <f t="shared" si="784"/>
        <v>14.560741705260019</v>
      </c>
      <c r="BH147" s="138"/>
      <c r="BI147" s="18"/>
      <c r="BJ147" s="18"/>
      <c r="BK147" s="18"/>
      <c r="BL147" s="18"/>
      <c r="BM147" s="18"/>
      <c r="BN147" s="159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</row>
    <row r="148" spans="1:110" ht="15" customHeight="1" x14ac:dyDescent="0.2">
      <c r="A148" s="18">
        <f>Input!A148</f>
        <v>10993</v>
      </c>
      <c r="B148" s="18" t="str">
        <f>Input!B148</f>
        <v>CPR-100</v>
      </c>
      <c r="C148" s="18">
        <f>Input!O148</f>
        <v>3.9227365425596625</v>
      </c>
      <c r="D148" s="18">
        <f>C148*Input!P148/100</f>
        <v>1.4046364351116418E-2</v>
      </c>
      <c r="E148" s="152">
        <f>Input!M148</f>
        <v>4.530605669410658</v>
      </c>
      <c r="F148" s="153">
        <f>E148*Input!N148/100</f>
        <v>2.9137246751086393E-4</v>
      </c>
      <c r="G148" s="21">
        <f>E148*137.88</f>
        <v>624.67990969834148</v>
      </c>
      <c r="H148" s="153">
        <f>G148*Input!L148/100</f>
        <v>2.1510184365452822E-2</v>
      </c>
      <c r="I148" s="18">
        <v>0.3</v>
      </c>
      <c r="J148" s="129">
        <f>(((C148*Constants!$B$24*0.000000001*Input!G148*(Constants!$B$4/Constants!$B$3))-(I148*0.000000000000001))/Input!F148)*1000000000000</f>
        <v>170.4816994083701</v>
      </c>
      <c r="K148" s="18">
        <f>J148*Input!P148/100</f>
        <v>0.61045345235571691</v>
      </c>
      <c r="L148" s="134">
        <f>(J148/Constants!$B$4)*602200000000*Constants!$B$17/(365.2425*24*60)</f>
        <v>2.3536891486932978</v>
      </c>
      <c r="M148" s="132">
        <f>L148*Input!P148/100</f>
        <v>8.4279877052977625E-3</v>
      </c>
      <c r="N148" s="18">
        <v>5.0000000000000001E-3</v>
      </c>
      <c r="O148" s="129">
        <f>(((G148*Constants!$B$23*0.000000001*Input!G148*(Constants!$B$7/Constants!$B$6))-(N148*0.000000001))/Input!F148)*1000000</f>
        <v>2.7348111067114713</v>
      </c>
      <c r="P148" s="18">
        <f>O148*Input!N148/100</f>
        <v>1.7588126587990877E-4</v>
      </c>
      <c r="Q148" s="130">
        <f>(O148/Constants!$B$7)*602200000000000000*Constants!$B$18/(365.2425*24*60)</f>
        <v>2.0404993372020681</v>
      </c>
      <c r="R148" s="131">
        <f>Q148*Input!N148/100</f>
        <v>1.3122866349835906E-4</v>
      </c>
      <c r="S148" s="132">
        <f>Input!S148*Constants!$B$17/Constants!$B$18</f>
        <v>1.1450707150911652</v>
      </c>
      <c r="T148" s="18">
        <f>S148*Input!T148/100</f>
        <v>4.8740122856286844E-4</v>
      </c>
      <c r="U148" s="18">
        <f>S148*1/((U147+U149)/2)</f>
        <v>1.1452035736685364</v>
      </c>
      <c r="V148" s="18">
        <f>U148*Input!T148/100</f>
        <v>4.874577800343037E-4</v>
      </c>
      <c r="W148" s="133">
        <v>3.0000000000000001E-3</v>
      </c>
      <c r="X148" s="129">
        <f>IF((((Constants!$B$25*0.000000001*Input!G148/Input!W148*(Constants!$B$11/Constants!$B$9))-(W148*0.000000001))/Input!F148)*1000000000&lt;0, "n.d.", (((Constants!$B$25*0.000000001*Input!G148/Input!W148*(Constants!$B$11/Constants!$B$9))-(W148*0.000000001))/Input!F148)*1000000000)</f>
        <v>6.6223708788237481E-2</v>
      </c>
      <c r="Y148" s="129">
        <f>X148*Input!X148/100</f>
        <v>2.3997534982344863E-4</v>
      </c>
      <c r="Z148" s="129">
        <f>(X148/Constants!$B$11)*6.022E+23*0.000000001*Constants!$B$19/(365.2425*24*60)</f>
        <v>1.6167348243660789E-5</v>
      </c>
      <c r="AA148" s="129">
        <f>Z148*Input!X148/100</f>
        <v>5.8585740990379743E-8</v>
      </c>
      <c r="AB148" s="134">
        <v>0.05</v>
      </c>
      <c r="AC148" s="134">
        <v>0.9</v>
      </c>
      <c r="AD148" s="129">
        <f>(((Input!G148*Constants!$B$25*0.000000001*Input!U148*(Constants!$B$10/Constants!$B$9))-((AB148*0.000000000000001)+(Input!G148*AC148*0.000000000000001)))/Input!F148)*1000000000000</f>
        <v>6.7636815067178724E-2</v>
      </c>
      <c r="AE148" s="129">
        <f>AD148*Input!V148/100</f>
        <v>1.5311391888482297E-3</v>
      </c>
      <c r="AF148" s="129">
        <f>(AD148/Constants!$B$10)*602200000000*Constants!$B$16/(365.2425*24*60)</f>
        <v>3.0873276365428674E-3</v>
      </c>
      <c r="AG148" s="129">
        <f>AF148*Input!V148/100</f>
        <v>6.988987178698251E-5</v>
      </c>
      <c r="AH148" s="18">
        <f>AF148/Z148</f>
        <v>190.96066899860386</v>
      </c>
      <c r="AI148" s="133">
        <f>AH148*SQRT((AG148/AF148)^2+(AA148/Z148)^2)</f>
        <v>4.377936841200083</v>
      </c>
      <c r="AJ148" s="132">
        <f t="shared" si="768"/>
        <v>145.20357366853642</v>
      </c>
      <c r="AK148" s="133">
        <f>V148*1000</f>
        <v>0.48745778003430368</v>
      </c>
      <c r="AL148" s="133">
        <f>AF148/Q148</f>
        <v>1.5130255522534056E-3</v>
      </c>
      <c r="AM148" s="133">
        <f>AL148*SQRT((R148/Q148)^2+(AG148/AF148)^2)</f>
        <v>3.4251495479039933E-5</v>
      </c>
      <c r="AN148" s="18">
        <f>AL148*1/((AN147+AN149)/2)</f>
        <v>1.5192284179411121E-3</v>
      </c>
      <c r="AO148" s="129">
        <f>AN148*SQRT((R148/Q148)^2+(AG148/AF148)^2)</f>
        <v>3.4391914407023763E-5</v>
      </c>
      <c r="AP148" s="18">
        <f>ThU_Alter_Kombi(AN148,U148)</f>
        <v>0.14480000000000001</v>
      </c>
      <c r="AQ148" s="18">
        <f t="shared" si="774"/>
        <v>5.8999999999999999E-3</v>
      </c>
      <c r="AR148" s="154">
        <f>(AQ148/AP148)</f>
        <v>4.0745856353591153E-2</v>
      </c>
      <c r="AS148" s="131">
        <f t="shared" si="775"/>
        <v>7.9232313134830267E-6</v>
      </c>
      <c r="AT148" s="131">
        <f t="shared" si="776"/>
        <v>2.8715994052565685E-8</v>
      </c>
      <c r="AU148" s="18">
        <v>8</v>
      </c>
      <c r="AV148" s="18">
        <f>AU148/2</f>
        <v>4</v>
      </c>
      <c r="AW148" s="18">
        <f t="shared" si="778"/>
        <v>0.13869999999999999</v>
      </c>
      <c r="AX148" s="135">
        <f t="shared" si="779"/>
        <v>4.6348924E-3</v>
      </c>
      <c r="AY148" s="135">
        <f t="shared" si="780"/>
        <v>4.4629688399993326E-3</v>
      </c>
      <c r="AZ148" s="154">
        <f t="shared" si="781"/>
        <v>3.3416671953857245E-2</v>
      </c>
      <c r="BA148" s="18" t="str">
        <f>Input!B148</f>
        <v>CPR-100</v>
      </c>
      <c r="BB148" s="136">
        <f>Input!E148</f>
        <v>100</v>
      </c>
      <c r="BC148" s="18">
        <f>((U148-1)*EXP(Constants!$B$17*AW148*1000))*1000</f>
        <v>145.26042033570272</v>
      </c>
      <c r="BD148" s="132">
        <f>SQRT((EXP(Constants!$B$17*AW148*1000)*V148)^2+((U148-1)*Constants!$B$17*EXP(Constants!$B$17*AW148*1000)*AY148*1000)^2)*1000</f>
        <v>0.48765204988245786</v>
      </c>
      <c r="BE148" s="18">
        <f t="shared" si="782"/>
        <v>80.699999999999989</v>
      </c>
      <c r="BF148" s="137">
        <f t="shared" si="783"/>
        <v>2.2314844199996662</v>
      </c>
      <c r="BG148" s="20">
        <f t="shared" si="784"/>
        <v>3.2177136553708241</v>
      </c>
      <c r="BH148" s="18"/>
      <c r="BI148" s="18"/>
      <c r="BJ148" s="18"/>
      <c r="BK148" s="18"/>
      <c r="BL148" s="18"/>
      <c r="BM148" s="18"/>
      <c r="BN148" s="159"/>
      <c r="BO148" s="18"/>
      <c r="BP148" s="18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  <c r="CY148" s="18"/>
      <c r="CZ148" s="18"/>
      <c r="DA148" s="18"/>
      <c r="DB148" s="18"/>
      <c r="DC148" s="18"/>
      <c r="DD148" s="18"/>
      <c r="DE148" s="18"/>
      <c r="DF148" s="18"/>
    </row>
    <row r="149" spans="1:110" ht="15" customHeight="1" x14ac:dyDescent="0.2">
      <c r="A149" s="138">
        <f>Input!A149</f>
        <v>10815</v>
      </c>
      <c r="B149" s="138" t="str">
        <f>Input!B149</f>
        <v>Hu1-13</v>
      </c>
      <c r="C149" s="138">
        <f>Input!O149</f>
        <v>2.0823711993246312</v>
      </c>
      <c r="D149" s="138">
        <f>C149*Input!P149/100</f>
        <v>1.7619968998946512E-2</v>
      </c>
      <c r="E149" s="139">
        <f>Input!M149</f>
        <v>2.7316845695998153</v>
      </c>
      <c r="F149" s="140">
        <f>E149*Input!N149/100</f>
        <v>3.1224124661308986E-4</v>
      </c>
      <c r="G149" s="141">
        <f t="shared" ref="G149" si="821">E149*137.88</f>
        <v>376.64466845642255</v>
      </c>
      <c r="H149" s="140">
        <f>G149*Input!L149/100</f>
        <v>2.3701674271670754E-2</v>
      </c>
      <c r="I149" s="138">
        <v>0</v>
      </c>
      <c r="J149" s="142">
        <f>(((C149*Constants!$B$24*0.000000001*Input!G149*(Constants!$B$4/Constants!$B$3))-(I149*0.000000000000001))/Input!F149)*1000000000000</f>
        <v>751.81418077125261</v>
      </c>
      <c r="K149" s="138">
        <f>J149*Input!P149/100</f>
        <v>6.3614703096422849</v>
      </c>
      <c r="L149" s="143">
        <f>(J149/Constants!$B$4)*602200000000*Constants!$B$17/(365.2425*24*60)</f>
        <v>10.379629515988743</v>
      </c>
      <c r="M149" s="144">
        <f>L149*Input!P149/100</f>
        <v>8.7827160859498793E-2</v>
      </c>
      <c r="N149" s="138">
        <v>0</v>
      </c>
      <c r="O149" s="142">
        <f>(((G149*Constants!$B$23*0.000000001*Input!G149*(Constants!$B$7/Constants!$B$6))-(N149*0.000000001))/Input!F149)*1000000</f>
        <v>13.698268969166319</v>
      </c>
      <c r="P149" s="138">
        <f>O149*Input!N149/100</f>
        <v>1.5657607862098405E-3</v>
      </c>
      <c r="Q149" s="145">
        <f>(O149/Constants!$B$7)*602200000000000000*Constants!$B$18/(365.2425*24*60)</f>
        <v>10.220562832951979</v>
      </c>
      <c r="R149" s="146">
        <f>Q149*Input!N149/100</f>
        <v>1.1682466253839306E-3</v>
      </c>
      <c r="S149" s="144">
        <f>Input!S149*Constants!$B$17/Constants!$B$18</f>
        <v>0.99865586280477558</v>
      </c>
      <c r="T149" s="138">
        <f>S149*Input!T149/100</f>
        <v>1.5039330476238595E-3</v>
      </c>
      <c r="U149" s="144">
        <f>S149</f>
        <v>0.99865586280477558</v>
      </c>
      <c r="V149" s="138">
        <f>U149*Input!T149/100</f>
        <v>1.5039330476238595E-3</v>
      </c>
      <c r="W149" s="147">
        <v>0</v>
      </c>
      <c r="X149" s="142">
        <f>(((Constants!$B$25*0.000000001*Input!G149/Input!W149*(Constants!$B$11/Constants!$B$9))-(W149*0.000000001))/Input!F149)*1000000000</f>
        <v>0.94208291918434972</v>
      </c>
      <c r="Y149" s="142">
        <f>X149*Input!X149/100</f>
        <v>3.8831816446331002E-3</v>
      </c>
      <c r="Z149" s="142">
        <f>(X149/Constants!$B$11)*6.022E+23*0.000000001*Constants!$B$19/(365.2425*24*60)</f>
        <v>2.2999289691795727E-4</v>
      </c>
      <c r="AA149" s="142">
        <f>Z149*Input!X149/100</f>
        <v>9.4801017778886088E-7</v>
      </c>
      <c r="AB149" s="143">
        <v>0</v>
      </c>
      <c r="AC149" s="143">
        <v>0.9</v>
      </c>
      <c r="AD149" s="142">
        <f>(((Input!G149*Constants!$B$25*0.000000001*Input!U149*(Constants!$B$10/Constants!$B$9))-((AB149*0.000000000000001)+(Input!G149*AC149*0.000000000000001)))/Input!F149)*1000000000000</f>
        <v>222.76435596352482</v>
      </c>
      <c r="AE149" s="142">
        <f>AD149*Input!V149/100</f>
        <v>0.58208961368804057</v>
      </c>
      <c r="AF149" s="142">
        <f>(AD149/Constants!$B$10)*602200000000*Constants!$B$16/(365.2425*24*60)</f>
        <v>10.168227937991677</v>
      </c>
      <c r="AG149" s="142">
        <f>AF149*Input!V149/100</f>
        <v>2.6569869522962E-2</v>
      </c>
      <c r="AH149" s="138">
        <f t="shared" ref="AH149" si="822">AF149/Z149</f>
        <v>44211.052055311397</v>
      </c>
      <c r="AI149" s="147">
        <f t="shared" ref="AI149" si="823">AH149*SQRT((AG149/AF149)^2+(AA149/Z149)^2)</f>
        <v>215.76653812214374</v>
      </c>
      <c r="AJ149" s="144">
        <f t="shared" si="768"/>
        <v>-1.3441371952244152</v>
      </c>
      <c r="AK149" s="147">
        <f t="shared" ref="AK149" si="824">V149*1000</f>
        <v>1.5039330476238595</v>
      </c>
      <c r="AL149" s="147">
        <f t="shared" ref="AL149" si="825">AF149/Q149</f>
        <v>0.99487945078801632</v>
      </c>
      <c r="AM149" s="147">
        <f t="shared" ref="AM149" si="826">AL149*SQRT((R149/Q149)^2+(AG149/AF149)^2)</f>
        <v>2.6021344115883063E-3</v>
      </c>
      <c r="AN149" s="138">
        <f>AF149/Q149</f>
        <v>0.99487945078801632</v>
      </c>
      <c r="AO149" s="142">
        <f t="shared" ref="AO149" si="827">AN149*SQRT((R149/Q149)^2+(AG149/AF149)^2)</f>
        <v>2.6021344115883063E-3</v>
      </c>
      <c r="AP149" s="138">
        <f t="shared" ref="AP149" si="828">ThU_Alter_Kombi(AN149,U149)</f>
        <v>625.89729999999997</v>
      </c>
      <c r="AQ149" s="138" t="e">
        <f t="shared" si="774"/>
        <v>#VALUE!</v>
      </c>
      <c r="AR149" s="138" t="e">
        <f>(AQ149/AP149)*100</f>
        <v>#VALUE!</v>
      </c>
      <c r="AS149" s="146">
        <f t="shared" si="775"/>
        <v>2.2502958073545644E-5</v>
      </c>
      <c r="AT149" s="146">
        <f t="shared" si="776"/>
        <v>9.2790840363399834E-8</v>
      </c>
      <c r="AU149" s="138">
        <v>0.75</v>
      </c>
      <c r="AV149" s="138">
        <f t="shared" ref="AV149" si="829">AU149/2</f>
        <v>0.375</v>
      </c>
      <c r="AW149" s="138">
        <f t="shared" si="778"/>
        <v>625.89549999999997</v>
      </c>
      <c r="AX149" s="148">
        <f t="shared" si="779"/>
        <v>251.68987949999999</v>
      </c>
      <c r="AY149" s="148">
        <f t="shared" si="780"/>
        <v>114.27352571928544</v>
      </c>
      <c r="AZ149" s="149">
        <f t="shared" si="781"/>
        <v>0.40212763871924306</v>
      </c>
      <c r="BA149" s="138" t="str">
        <f>Input!B149</f>
        <v>Hu1-13</v>
      </c>
      <c r="BB149" s="150">
        <f>Input!E149</f>
        <v>0</v>
      </c>
      <c r="BC149" s="138">
        <f>((U149-1)*EXP(Constants!$B$17*AW149*1000))*1000</f>
        <v>-7.8622039775311965</v>
      </c>
      <c r="BD149" s="144">
        <f>SQRT((EXP(Constants!$B$17*AW149*1000)*V149)^2+((U149-1)*Constants!$B$17*EXP(Constants!$B$17*AW149*1000)*AY149*1000)^2)*1000</f>
        <v>9.1549894175402038</v>
      </c>
      <c r="BE149" s="138">
        <f t="shared" si="782"/>
        <v>625837.5</v>
      </c>
      <c r="BF149" s="151">
        <f t="shared" si="783"/>
        <v>57136.762859642724</v>
      </c>
      <c r="BG149" s="160">
        <f t="shared" si="784"/>
        <v>18.257604619187301</v>
      </c>
      <c r="BH149" s="138"/>
      <c r="BI149" s="18"/>
      <c r="BJ149" s="18"/>
      <c r="BK149" s="18"/>
      <c r="BL149" s="18"/>
      <c r="BM149" s="18"/>
      <c r="BN149" s="159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</row>
    <row r="151" spans="1:110" ht="15" customHeight="1" x14ac:dyDescent="0.2">
      <c r="A151" s="138">
        <f>Input!A151</f>
        <v>10815</v>
      </c>
      <c r="B151" s="138" t="str">
        <f>Input!B151</f>
        <v>Hu1-13</v>
      </c>
      <c r="C151" s="138">
        <f>Input!O151</f>
        <v>2.1057834840479375</v>
      </c>
      <c r="D151" s="138">
        <f>C151*Input!P151/100</f>
        <v>1.3001645237726461E-2</v>
      </c>
      <c r="E151" s="139">
        <f>Input!M151</f>
        <v>2.732437104948509</v>
      </c>
      <c r="F151" s="140">
        <f>E151*Input!N151/100</f>
        <v>2.9523538232815321E-4</v>
      </c>
      <c r="G151" s="141">
        <f t="shared" ref="G151" si="830">E151*137.88</f>
        <v>376.74842803030043</v>
      </c>
      <c r="H151" s="140">
        <f>G151*Input!L151/100</f>
        <v>2.3290272603837064E-2</v>
      </c>
      <c r="I151" s="138">
        <v>0</v>
      </c>
      <c r="J151" s="142">
        <f>(((C151*Constants!$B$24*0.000000001*Input!G151*(Constants!$B$4/Constants!$B$3))-(I151*0.000000000000001))/Input!F151)*1000000000000</f>
        <v>760.26689451649861</v>
      </c>
      <c r="K151" s="138">
        <f>J151*Input!P151/100</f>
        <v>4.6940820475475329</v>
      </c>
      <c r="L151" s="143">
        <f>(J151/Constants!$B$4)*602200000000*Constants!$B$17/(365.2425*24*60)</f>
        <v>10.496328614415368</v>
      </c>
      <c r="M151" s="144">
        <f>L151*Input!P151/100</f>
        <v>6.4807014575349792E-2</v>
      </c>
      <c r="N151" s="138">
        <v>0</v>
      </c>
      <c r="O151" s="142">
        <f>(((G151*Constants!$B$23*0.000000001*Input!G151*(Constants!$B$7/Constants!$B$6))-(N151*0.000000001))/Input!F151)*1000000</f>
        <v>13.702042622877999</v>
      </c>
      <c r="P151" s="138">
        <f>O151*Input!N151/100</f>
        <v>1.4804834062294981E-3</v>
      </c>
      <c r="Q151" s="145">
        <f>(O151/Constants!$B$7)*602200000000000000*Constants!$B$18/(365.2425*24*60)</f>
        <v>10.223378434321527</v>
      </c>
      <c r="R151" s="146">
        <f>Q151*Input!N151/100</f>
        <v>1.1046194019529647E-3</v>
      </c>
      <c r="S151" s="144">
        <f>Input!S151*Constants!$B$17/Constants!$B$18</f>
        <v>0.99745086546383921</v>
      </c>
      <c r="T151" s="138">
        <f>S151*Input!T151/100</f>
        <v>1.3595636079516884E-3</v>
      </c>
      <c r="U151" s="144">
        <f>S151</f>
        <v>0.99745086546383921</v>
      </c>
      <c r="V151" s="138">
        <f>U151*Input!T151/100</f>
        <v>1.3595636079516884E-3</v>
      </c>
      <c r="W151" s="147">
        <v>0</v>
      </c>
      <c r="X151" s="142">
        <f>(((Constants!$B$25*0.000000001*Input!G151/Input!W151*(Constants!$B$11/Constants!$B$9))-(W151*0.000000001))/Input!F151)*1000000000</f>
        <v>0.95142672445304266</v>
      </c>
      <c r="Y151" s="142">
        <f>X151*Input!X151/100</f>
        <v>4.0750305640185596E-3</v>
      </c>
      <c r="Z151" s="142">
        <f>(X151/Constants!$B$11)*6.022E+23*0.000000001*Constants!$B$19/(365.2425*24*60)</f>
        <v>2.3227402185741009E-4</v>
      </c>
      <c r="AA151" s="142">
        <f>Z151*Input!X151/100</f>
        <v>9.9484670124291474E-7</v>
      </c>
      <c r="AB151" s="143">
        <v>0</v>
      </c>
      <c r="AC151" s="143">
        <v>0.9</v>
      </c>
      <c r="AD151" s="142">
        <f>(((Input!G151*Constants!$B$25*0.000000001*Input!U151*(Constants!$B$10/Constants!$B$9))-((AB151*0.000000000000001)+(Input!G151*AC151*0.000000000000001)))/Input!F151)*1000000000000</f>
        <v>224.01943561650245</v>
      </c>
      <c r="AE151" s="142">
        <f>AD151*Input!V151/100</f>
        <v>0.67782457188151024</v>
      </c>
      <c r="AF151" s="142">
        <f>(AD151/Constants!$B$10)*602200000000*Constants!$B$16/(365.2425*24*60)</f>
        <v>10.225516887727879</v>
      </c>
      <c r="AG151" s="142">
        <f>AF151*Input!V151/100</f>
        <v>3.0939755685112182E-2</v>
      </c>
      <c r="AH151" s="138">
        <f t="shared" ref="AH151" si="831">AF151/Z151</f>
        <v>44023.506399717771</v>
      </c>
      <c r="AI151" s="147">
        <f t="shared" ref="AI151" si="832">AH151*SQRT((AG151/AF151)^2+(AA151/Z151)^2)</f>
        <v>230.86046402579879</v>
      </c>
      <c r="AJ151" s="144">
        <f t="shared" ref="AJ151:AJ161" si="833">(U151-1)*1000</f>
        <v>-2.5491345361607909</v>
      </c>
      <c r="AK151" s="147">
        <f t="shared" ref="AK151" si="834">V151*1000</f>
        <v>1.3595636079516884</v>
      </c>
      <c r="AL151" s="147">
        <f t="shared" ref="AL151" si="835">AF151/Q151</f>
        <v>1.000209172869819</v>
      </c>
      <c r="AM151" s="147">
        <f t="shared" ref="AM151" si="836">AL151*SQRT((R151/Q151)^2+(AG151/AF151)^2)</f>
        <v>3.0283019020913627E-3</v>
      </c>
      <c r="AN151" s="138">
        <f>AF151/Q151</f>
        <v>1.000209172869819</v>
      </c>
      <c r="AO151" s="142">
        <f t="shared" ref="AO151" si="837">AN151*SQRT((R151/Q151)^2+(AG151/AF151)^2)</f>
        <v>3.0283019020913627E-3</v>
      </c>
      <c r="AP151" s="138" t="str">
        <f t="shared" ref="AP151" si="838">ThU_Alter_Kombi(AN151,U151)</f>
        <v>Out of range</v>
      </c>
      <c r="AQ151" s="138" t="e">
        <f t="shared" ref="AQ151:AQ161" si="839">Montealter(AN151,AO151,U151,V151)</f>
        <v>#VALUE!</v>
      </c>
      <c r="AR151" s="138" t="e">
        <f>(AQ151/AP151)*100</f>
        <v>#VALUE!</v>
      </c>
      <c r="AS151" s="146">
        <f t="shared" ref="AS151:AS161" si="840">Z151/Q151</f>
        <v>2.271988886546827E-5</v>
      </c>
      <c r="AT151" s="146">
        <f t="shared" ref="AT151:AT161" si="841">AS151*SQRT((Y151/X151)^2+(P151/O151)^2)</f>
        <v>9.7341912366776831E-8</v>
      </c>
      <c r="AU151" s="138">
        <v>0.75</v>
      </c>
      <c r="AV151" s="138">
        <f t="shared" ref="AV151" si="842">AU151/2</f>
        <v>0.375</v>
      </c>
      <c r="AW151" s="138" t="str">
        <f t="shared" ref="AW151:AW161" si="843">marincorr_age(AN151,U151,AS151,AU151)</f>
        <v>Out of range</v>
      </c>
      <c r="AX151" s="148">
        <f t="shared" ref="AX151:AX161" si="844">marincorr_age_error(AN151, AO151, U151, V151, AS151, AT151, AU151, AV151)</f>
        <v>247.87401849619999</v>
      </c>
      <c r="AY151" s="148" t="e">
        <f t="shared" ref="AY151:AY161" si="845">SQRT(((AU151*EXP(-0.0000091577*AW151*1000))/(0.0000091577*(EXP(-0.0000091577*AW151*1000)+(AJ151/1000)*EXP(-(0.0000091577-0.0000028263)*AW151*1000)-AS151*AU151*EXP(-0.0000091577*AW151*1000))))^2*AT151^2+((AS151*EXP(-0.0000091577*AW151*1000))/(0.0000091577*(EXP(-0.0000091577*AW151*1000)+(AJ151/1000)*EXP(-(0.0000091577-0.0000028263)*AW151*1000)-AS151*AU151*EXP(-0.0000091577*AW151*1000))))^2*AV151^2+((0.0000091577/(0.0000091577-0.0000028263))*(EXP(-(0.0000091577-0.0000028263)*AW151*1000)-1)/(0.0000091577*(EXP(-0.0000091577*AW151*1000)+(AJ151/1000)*EXP(-(0.0000091577-0.0000028263)*AW151*1000)-AS151*AU151*EXP(-0.0000091577*AW151*1000))))^2*T151^2+(1/(0.0000091577*(EXP(-0.0000091577*AW151*1000)+(AJ151/1000)*EXP(-(0.0000091577-0.0000028263)*AW151*1000)-AS151*AU151*EXP(-0.0000091577*AW151*1000))))^2*AO151^2)/1000</f>
        <v>#VALUE!</v>
      </c>
      <c r="AZ151" s="149" t="e">
        <f t="shared" ref="AZ151:AZ161" si="846">AX151/AW151</f>
        <v>#VALUE!</v>
      </c>
      <c r="BA151" s="138" t="str">
        <f>Input!B151</f>
        <v>Hu1-13</v>
      </c>
      <c r="BB151" s="150">
        <f>Input!E151</f>
        <v>0</v>
      </c>
      <c r="BC151" s="138" t="e">
        <f>((U151-1)*EXP(Constants!$B$17*AW151*1000))*1000</f>
        <v>#VALUE!</v>
      </c>
      <c r="BD151" s="144" t="e">
        <f>SQRT((EXP(Constants!$B$17*AW151*1000)*V151)^2+((U151-1)*Constants!$B$17*EXP(Constants!$B$17*AW151*1000)*AY151*1000)^2)*1000</f>
        <v>#VALUE!</v>
      </c>
      <c r="BE151" s="138" t="e">
        <f t="shared" ref="BE151:BE161" si="847">AW151*1000-58</f>
        <v>#VALUE!</v>
      </c>
      <c r="BF151" s="151" t="e">
        <f t="shared" ref="BF151:BF161" si="848">AY151/2*1000</f>
        <v>#VALUE!</v>
      </c>
      <c r="BG151" s="160" t="e">
        <f t="shared" ref="BG151:BG161" si="849">AY151/AW151*100</f>
        <v>#VALUE!</v>
      </c>
      <c r="BH151" s="138"/>
      <c r="BI151" s="18"/>
      <c r="BJ151" s="18"/>
      <c r="BK151" s="18"/>
      <c r="BL151" s="18"/>
      <c r="BM151" s="18"/>
      <c r="BN151" s="159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</row>
    <row r="152" spans="1:110" ht="15" customHeight="1" x14ac:dyDescent="0.2">
      <c r="A152" s="18">
        <f>Input!A152</f>
        <v>11013</v>
      </c>
      <c r="B152" s="18" t="str">
        <f>Input!B152</f>
        <v>JPM_1937</v>
      </c>
      <c r="C152" s="18">
        <f>Input!O152</f>
        <v>3.5475092223446998</v>
      </c>
      <c r="D152" s="18">
        <f>C152*Input!P152/100</f>
        <v>1.4296057913903979E-2</v>
      </c>
      <c r="E152" s="152">
        <f>Input!M152</f>
        <v>4.0736989286751575</v>
      </c>
      <c r="F152" s="153">
        <f>E152*Input!N152/100</f>
        <v>2.6700628302490627E-4</v>
      </c>
      <c r="G152" s="21">
        <f>E152*137.88</f>
        <v>561.6816082857307</v>
      </c>
      <c r="H152" s="153">
        <f>G152*Input!L152/100</f>
        <v>3.0910706898621642E-2</v>
      </c>
      <c r="I152" s="18">
        <v>0.3</v>
      </c>
      <c r="J152" s="129">
        <f>(((C152*Constants!$B$24*0.000000001*Input!G152*(Constants!$B$4/Constants!$B$3))-(I152*0.000000000000001))/Input!F152)*1000000000000</f>
        <v>154.57447089640931</v>
      </c>
      <c r="K152" s="18">
        <f>J152*Input!P152/100</f>
        <v>0.62291750336467855</v>
      </c>
      <c r="L152" s="134">
        <f>(J152/Constants!$B$4)*602200000000*Constants!$B$17/(365.2425*24*60)</f>
        <v>2.1340721970538041</v>
      </c>
      <c r="M152" s="132">
        <f>L152*Input!P152/100</f>
        <v>8.6000677684972757E-3</v>
      </c>
      <c r="N152" s="18">
        <v>5.0000000000000001E-3</v>
      </c>
      <c r="O152" s="129">
        <f>(((G152*Constants!$B$23*0.000000001*Input!G152*(Constants!$B$7/Constants!$B$6))-(N152*0.000000001))/Input!F152)*1000000</f>
        <v>2.4653892634522991</v>
      </c>
      <c r="P152" s="18">
        <f>O152*Input!N152/100</f>
        <v>1.6159132890510217E-4</v>
      </c>
      <c r="Q152" s="130">
        <f>(O152/Constants!$B$7)*602200000000000000*Constants!$B$18/(365.2425*24*60)</f>
        <v>1.839478107162102</v>
      </c>
      <c r="R152" s="131">
        <f>Q152*Input!N152/100</f>
        <v>1.2056664488427839E-4</v>
      </c>
      <c r="S152" s="132">
        <f>Input!S152*Constants!$B$17/Constants!$B$18</f>
        <v>1.145485285694581</v>
      </c>
      <c r="T152" s="18">
        <f>S152*Input!T152/100</f>
        <v>8.9062076070065541E-4</v>
      </c>
      <c r="U152" s="18">
        <f>S152*1/((U151+U153)/2)</f>
        <v>1.1469228269540583</v>
      </c>
      <c r="V152" s="18">
        <f>U152*Input!T152/100</f>
        <v>8.9173845649827364E-4</v>
      </c>
      <c r="W152" s="133">
        <v>3.0000000000000001E-3</v>
      </c>
      <c r="X152" s="129">
        <f>IF((((Constants!$B$25*0.000000001*Input!G152/Input!W152*(Constants!$B$11/Constants!$B$9))-(W152*0.000000001))/Input!F152)*1000000000&lt;0, "n.d.", (((Constants!$B$25*0.000000001*Input!G152/Input!W152*(Constants!$B$11/Constants!$B$9))-(W152*0.000000001))/Input!F152)*1000000000)</f>
        <v>6.7802481585030522E-2</v>
      </c>
      <c r="Y152" s="129">
        <f>X152*Input!X152/100</f>
        <v>2.950412241054999E-4</v>
      </c>
      <c r="Z152" s="129">
        <f>(X152/Constants!$B$11)*6.022E+23*0.000000001*Constants!$B$19/(365.2425*24*60)</f>
        <v>1.6552777723078663E-5</v>
      </c>
      <c r="AA152" s="129">
        <f>Z152*Input!X152/100</f>
        <v>7.2029101112452741E-8</v>
      </c>
      <c r="AB152" s="134">
        <v>0.05</v>
      </c>
      <c r="AC152" s="134">
        <v>0.9</v>
      </c>
      <c r="AD152" s="129">
        <f>(((Input!G152*Constants!$B$25*0.000000001*Input!U152*(Constants!$B$10/Constants!$B$9))-((AB152*0.000000000000001)+(Input!G152*AC152*0.000000000000001)))/Input!F152)*1000000000000</f>
        <v>8.0582100211481419E-2</v>
      </c>
      <c r="AE152" s="129">
        <f>AD152*Input!V152/100</f>
        <v>2.3289147138817689E-3</v>
      </c>
      <c r="AF152" s="129">
        <f>(AD152/Constants!$B$10)*602200000000*Constants!$B$16/(365.2425*24*60)</f>
        <v>3.6782238304165419E-3</v>
      </c>
      <c r="AG152" s="129">
        <f>AF152*Input!V152/100</f>
        <v>1.063048689116583E-4</v>
      </c>
      <c r="AH152" s="18">
        <f>AF152/Z152</f>
        <v>222.21187838994473</v>
      </c>
      <c r="AI152" s="133">
        <f>AH152*SQRT((AG152/AF152)^2+(AA152/Z152)^2)</f>
        <v>6.4945632420427071</v>
      </c>
      <c r="AJ152" s="132">
        <f t="shared" si="833"/>
        <v>146.92282695405834</v>
      </c>
      <c r="AK152" s="133">
        <f>V152*1000</f>
        <v>0.89173845649827366</v>
      </c>
      <c r="AL152" s="133">
        <f>AF152/Q152</f>
        <v>1.9996018523380024E-3</v>
      </c>
      <c r="AM152" s="133">
        <f>AL152*SQRT((R152/Q152)^2+(AG152/AF152)^2)</f>
        <v>5.7790925519616059E-5</v>
      </c>
      <c r="AN152" s="18">
        <f>AL152*1/((AN151+AN153)/2)</f>
        <v>1.9994057609709465E-3</v>
      </c>
      <c r="AO152" s="129">
        <f>AN152*SQRT((R152/Q152)^2+(AG152/AF152)^2)</f>
        <v>5.7785258240614836E-5</v>
      </c>
      <c r="AP152" s="18">
        <f>ThU_Alter_Kombi(AN152,U152)</f>
        <v>0.1903</v>
      </c>
      <c r="AQ152" s="18">
        <f t="shared" si="839"/>
        <v>5.5999999999999999E-3</v>
      </c>
      <c r="AR152" s="154">
        <f>(AQ152/AP152)</f>
        <v>2.9427220178665267E-2</v>
      </c>
      <c r="AS152" s="131">
        <f t="shared" si="840"/>
        <v>8.9986271968280438E-6</v>
      </c>
      <c r="AT152" s="131">
        <f t="shared" si="841"/>
        <v>3.9161798800147197E-8</v>
      </c>
      <c r="AU152" s="18">
        <v>8</v>
      </c>
      <c r="AV152" s="18">
        <f>AU152/2</f>
        <v>4</v>
      </c>
      <c r="AW152" s="18">
        <f t="shared" si="843"/>
        <v>0.18340000000000001</v>
      </c>
      <c r="AX152" s="135">
        <f t="shared" si="844"/>
        <v>5.9273585000000004E-3</v>
      </c>
      <c r="AY152" s="135">
        <f t="shared" si="845"/>
        <v>6.4912098400910154E-3</v>
      </c>
      <c r="AZ152" s="154">
        <f t="shared" si="846"/>
        <v>3.231929389312977E-2</v>
      </c>
      <c r="BA152" s="18" t="str">
        <f>Input!B152</f>
        <v>JPM_1937</v>
      </c>
      <c r="BB152" s="136">
        <f>Input!E152</f>
        <v>0</v>
      </c>
      <c r="BC152" s="18">
        <f>((U152-1)*EXP(Constants!$B$17*AW152*1000))*1000</f>
        <v>146.9988888669414</v>
      </c>
      <c r="BD152" s="132">
        <f>SQRT((EXP(Constants!$B$17*AW152*1000)*V152)^2+((U152-1)*Constants!$B$17*EXP(Constants!$B$17*AW152*1000)*AY152*1000)^2)*1000</f>
        <v>0.89220417295886489</v>
      </c>
      <c r="BE152" s="18">
        <f t="shared" si="847"/>
        <v>125.4</v>
      </c>
      <c r="BF152" s="137">
        <f t="shared" si="848"/>
        <v>3.2456049200455075</v>
      </c>
      <c r="BG152" s="20">
        <f t="shared" si="849"/>
        <v>3.5393728680976095</v>
      </c>
      <c r="BH152" s="18"/>
      <c r="BI152" s="18"/>
      <c r="BJ152" s="18"/>
      <c r="BK152" s="18"/>
      <c r="BL152" s="18"/>
      <c r="BM152" s="18"/>
      <c r="BN152" s="159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  <c r="CY152" s="18"/>
      <c r="CZ152" s="18"/>
      <c r="DA152" s="18"/>
      <c r="DB152" s="18"/>
      <c r="DC152" s="18"/>
      <c r="DD152" s="18"/>
      <c r="DE152" s="18"/>
      <c r="DF152" s="18"/>
    </row>
    <row r="153" spans="1:110" ht="15" customHeight="1" x14ac:dyDescent="0.2">
      <c r="A153" s="138">
        <f>Input!A153</f>
        <v>10815</v>
      </c>
      <c r="B153" s="138" t="str">
        <f>Input!B153</f>
        <v>Hu1-13</v>
      </c>
      <c r="C153" s="138">
        <f>Input!O153</f>
        <v>2.1096323545129056</v>
      </c>
      <c r="D153" s="138">
        <f>C153*Input!P153/100</f>
        <v>1.9160352567941356E-2</v>
      </c>
      <c r="E153" s="139">
        <f>Input!M153</f>
        <v>2.7321848729982308</v>
      </c>
      <c r="F153" s="140">
        <f>E153*Input!N153/100</f>
        <v>2.8856751176816972E-4</v>
      </c>
      <c r="G153" s="141">
        <f t="shared" ref="G153" si="850">E153*137.88</f>
        <v>376.71365028899606</v>
      </c>
      <c r="H153" s="140">
        <f>G153*Input!L153/100</f>
        <v>2.5501696845955924E-2</v>
      </c>
      <c r="I153" s="138">
        <v>0</v>
      </c>
      <c r="J153" s="142">
        <f>(((C153*Constants!$B$24*0.000000001*Input!G153*(Constants!$B$4/Constants!$B$3))-(I153*0.000000000000001))/Input!F153)*1000000000000</f>
        <v>761.65648125130042</v>
      </c>
      <c r="K153" s="138">
        <f>J153*Input!P153/100</f>
        <v>6.9176066081912451</v>
      </c>
      <c r="L153" s="143">
        <f>(J153/Constants!$B$4)*602200000000*Constants!$B$17/(365.2425*24*60)</f>
        <v>10.515513402168082</v>
      </c>
      <c r="M153" s="144">
        <f>L153*Input!P153/100</f>
        <v>9.5505239947352369E-2</v>
      </c>
      <c r="N153" s="138">
        <v>0</v>
      </c>
      <c r="O153" s="142">
        <f>(((G153*Constants!$B$23*0.000000001*Input!G153*(Constants!$B$7/Constants!$B$6))-(N153*0.000000001))/Input!F153)*1000000</f>
        <v>13.700777783907942</v>
      </c>
      <c r="P153" s="138">
        <f>O153*Input!N153/100</f>
        <v>1.4470467915490481E-3</v>
      </c>
      <c r="Q153" s="145">
        <f>(O153/Constants!$B$7)*602200000000000000*Constants!$B$18/(365.2425*24*60)</f>
        <v>10.22243471170985</v>
      </c>
      <c r="R153" s="146">
        <f>Q153*Input!N153/100</f>
        <v>1.0796716496470364E-3</v>
      </c>
      <c r="S153" s="144">
        <f>Input!S153*Constants!$B$17/Constants!$B$18</f>
        <v>1.0000423551335831</v>
      </c>
      <c r="T153" s="138">
        <f>S153*Input!T153/100</f>
        <v>1.5710650519856295E-3</v>
      </c>
      <c r="U153" s="144">
        <f>S153</f>
        <v>1.0000423551335831</v>
      </c>
      <c r="V153" s="138">
        <f>U153*Input!T153/100</f>
        <v>1.5710650519856295E-3</v>
      </c>
      <c r="W153" s="147">
        <v>0</v>
      </c>
      <c r="X153" s="142">
        <f>(((Constants!$B$25*0.000000001*Input!G153/Input!W153*(Constants!$B$11/Constants!$B$9))-(W153*0.000000001))/Input!F153)*1000000000</f>
        <v>0.94223322292862988</v>
      </c>
      <c r="Y153" s="142">
        <f>X153*Input!X153/100</f>
        <v>3.7212982212821168E-3</v>
      </c>
      <c r="Z153" s="142">
        <f>(X153/Constants!$B$11)*6.022E+23*0.000000001*Constants!$B$19/(365.2425*24*60)</f>
        <v>2.3002959092106534E-4</v>
      </c>
      <c r="AA153" s="142">
        <f>Z153*Input!X153/100</f>
        <v>9.084892006632762E-7</v>
      </c>
      <c r="AB153" s="143">
        <v>0</v>
      </c>
      <c r="AC153" s="143">
        <v>0.9</v>
      </c>
      <c r="AD153" s="142">
        <f>(((Input!G153*Constants!$B$25*0.000000001*Input!U153*(Constants!$B$10/Constants!$B$9))-((AB153*0.000000000000001)+(Input!G153*AC153*0.000000000000001)))/Input!F153)*1000000000000</f>
        <v>223.94899508683599</v>
      </c>
      <c r="AE153" s="142">
        <f>AD153*Input!V153/100</f>
        <v>0.69154853234544122</v>
      </c>
      <c r="AF153" s="142">
        <f>(AD153/Constants!$B$10)*602200000000*Constants!$B$16/(365.2425*24*60)</f>
        <v>10.222301582664269</v>
      </c>
      <c r="AG153" s="142">
        <f>AF153*Input!V153/100</f>
        <v>3.1566195034466997E-2</v>
      </c>
      <c r="AH153" s="138">
        <f t="shared" ref="AH153" si="851">AF153/Z153</f>
        <v>44439.07212864649</v>
      </c>
      <c r="AI153" s="147">
        <f t="shared" ref="AI153" si="852">AH153*SQRT((AG153/AF153)^2+(AA153/Z153)^2)</f>
        <v>222.78869544709585</v>
      </c>
      <c r="AJ153" s="144">
        <f t="shared" si="833"/>
        <v>4.235513358308296E-2</v>
      </c>
      <c r="AK153" s="147">
        <f t="shared" ref="AK153" si="853">V153*1000</f>
        <v>1.5710650519856295</v>
      </c>
      <c r="AL153" s="147">
        <f t="shared" ref="AL153" si="854">AF153/Q153</f>
        <v>0.99998697677712445</v>
      </c>
      <c r="AM153" s="147">
        <f t="shared" ref="AM153" si="855">AL153*SQRT((R153/Q153)^2+(AG153/AF153)^2)</f>
        <v>3.0897388221045314E-3</v>
      </c>
      <c r="AN153" s="138">
        <f>AF153/Q153</f>
        <v>0.99998697677712445</v>
      </c>
      <c r="AO153" s="142">
        <f t="shared" ref="AO153" si="856">AN153*SQRT((R153/Q153)^2+(AG153/AF153)^2)</f>
        <v>3.0897388221045314E-3</v>
      </c>
      <c r="AP153" s="138" t="str">
        <f t="shared" ref="AP153" si="857">ThU_Alter_Kombi(AN153,U153)</f>
        <v>Out of range</v>
      </c>
      <c r="AQ153" s="138" t="e">
        <f t="shared" si="839"/>
        <v>#VALUE!</v>
      </c>
      <c r="AR153" s="138" t="e">
        <f>(AQ153/AP153)*100</f>
        <v>#VALUE!</v>
      </c>
      <c r="AS153" s="146">
        <f t="shared" si="840"/>
        <v>2.2502427005727441E-5</v>
      </c>
      <c r="AT153" s="146">
        <f t="shared" si="841"/>
        <v>8.8903869315487666E-8</v>
      </c>
      <c r="AU153" s="138">
        <v>0.75</v>
      </c>
      <c r="AV153" s="138">
        <f t="shared" ref="AV153" si="858">AU153/2</f>
        <v>0.375</v>
      </c>
      <c r="AW153" s="138" t="str">
        <f t="shared" si="843"/>
        <v>Out of range</v>
      </c>
      <c r="AX153" s="148">
        <f t="shared" si="844"/>
        <v>343.16253544099999</v>
      </c>
      <c r="AY153" s="148" t="e">
        <f t="shared" si="845"/>
        <v>#VALUE!</v>
      </c>
      <c r="AZ153" s="149" t="e">
        <f t="shared" si="846"/>
        <v>#VALUE!</v>
      </c>
      <c r="BA153" s="138" t="str">
        <f>Input!B153</f>
        <v>Hu1-13</v>
      </c>
      <c r="BB153" s="150">
        <f>Input!E153</f>
        <v>0</v>
      </c>
      <c r="BC153" s="138" t="e">
        <f>((U153-1)*EXP(Constants!$B$17*AW153*1000))*1000</f>
        <v>#VALUE!</v>
      </c>
      <c r="BD153" s="144" t="e">
        <f>SQRT((EXP(Constants!$B$17*AW153*1000)*V153)^2+((U153-1)*Constants!$B$17*EXP(Constants!$B$17*AW153*1000)*AY153*1000)^2)*1000</f>
        <v>#VALUE!</v>
      </c>
      <c r="BE153" s="138" t="e">
        <f t="shared" si="847"/>
        <v>#VALUE!</v>
      </c>
      <c r="BF153" s="151" t="e">
        <f t="shared" si="848"/>
        <v>#VALUE!</v>
      </c>
      <c r="BG153" s="160" t="e">
        <f t="shared" si="849"/>
        <v>#VALUE!</v>
      </c>
      <c r="BH153" s="138"/>
      <c r="BI153" s="18"/>
      <c r="BJ153" s="18"/>
      <c r="BK153" s="18"/>
      <c r="BL153" s="18"/>
      <c r="BM153" s="18"/>
      <c r="BN153" s="159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</row>
    <row r="154" spans="1:110" ht="15" customHeight="1" x14ac:dyDescent="0.2">
      <c r="A154" s="18">
        <f>Input!A154</f>
        <v>11014</v>
      </c>
      <c r="B154" s="18" t="str">
        <f>Input!B154</f>
        <v>JPM_1968</v>
      </c>
      <c r="C154" s="18">
        <f>Input!O154</f>
        <v>3.9067768094338291</v>
      </c>
      <c r="D154" s="18">
        <f>C154*Input!P154/100</f>
        <v>1.3954099646244493E-2</v>
      </c>
      <c r="E154" s="152">
        <f>Input!M154</f>
        <v>4.4567808238840021</v>
      </c>
      <c r="F154" s="153">
        <f>E154*Input!N154/100</f>
        <v>2.761417224534234E-4</v>
      </c>
      <c r="G154" s="21">
        <f>E154*137.88</f>
        <v>614.50093999712624</v>
      </c>
      <c r="H154" s="153">
        <f>G154*Input!L154/100</f>
        <v>1.9080104092661875E-2</v>
      </c>
      <c r="I154" s="18">
        <v>0.3</v>
      </c>
      <c r="J154" s="129">
        <f>(((C154*Constants!$B$24*0.000000001*Input!G154*(Constants!$B$4/Constants!$B$3))-(I154*0.000000000000001))/Input!F154)*1000000000000</f>
        <v>167.1616597595073</v>
      </c>
      <c r="K154" s="18">
        <f>J154*Input!P154/100</f>
        <v>0.59706263528625347</v>
      </c>
      <c r="L154" s="134">
        <f>(J154/Constants!$B$4)*602200000000*Constants!$B$17/(365.2425*24*60)</f>
        <v>2.3078523150514565</v>
      </c>
      <c r="M154" s="132">
        <f>L154*Input!P154/100</f>
        <v>8.2431126076309112E-3</v>
      </c>
      <c r="N154" s="18">
        <v>5.0000000000000001E-3</v>
      </c>
      <c r="O154" s="129">
        <f>(((G154*Constants!$B$23*0.000000001*Input!G154*(Constants!$B$7/Constants!$B$6))-(N154*0.000000001))/Input!F154)*1000000</f>
        <v>2.6486324255941525</v>
      </c>
      <c r="P154" s="18">
        <f>O154*Input!N154/100</f>
        <v>1.6410901703534038E-4</v>
      </c>
      <c r="Q154" s="130">
        <f>(O154/Constants!$B$7)*602200000000000000*Constants!$B$18/(365.2425*24*60)</f>
        <v>1.9761996342831749</v>
      </c>
      <c r="R154" s="131">
        <f>Q154*Input!N154/100</f>
        <v>1.2244514426159377E-4</v>
      </c>
      <c r="S154" s="132">
        <f>Input!S154*Constants!$B$17/Constants!$B$18</f>
        <v>1.1445200094272272</v>
      </c>
      <c r="T154" s="18">
        <f>S154*Input!T154/100</f>
        <v>5.9958398169028613E-4</v>
      </c>
      <c r="U154" s="18">
        <f>S154*1/((U153+U155)/2)</f>
        <v>1.1443430993190171</v>
      </c>
      <c r="V154" s="18">
        <f>U154*Input!T154/100</f>
        <v>5.9949130312965968E-4</v>
      </c>
      <c r="W154" s="133">
        <v>3.0000000000000001E-3</v>
      </c>
      <c r="X154" s="129">
        <f>IF((((Constants!$B$25*0.000000001*Input!G154/Input!W154*(Constants!$B$11/Constants!$B$9))-(W154*0.000000001))/Input!F154)*1000000000&lt;0, "n.d.", (((Constants!$B$25*0.000000001*Input!G154/Input!W154*(Constants!$B$11/Constants!$B$9))-(W154*0.000000001))/Input!F154)*1000000000)</f>
        <v>3.6527809436782244E-2</v>
      </c>
      <c r="Y154" s="129">
        <f>X154*Input!X154/100</f>
        <v>1.874216270625165E-4</v>
      </c>
      <c r="Z154" s="129">
        <f>(X154/Constants!$B$11)*6.022E+23*0.000000001*Constants!$B$19/(365.2425*24*60)</f>
        <v>8.9176191812354531E-6</v>
      </c>
      <c r="AA154" s="129">
        <f>Z154*Input!X154/100</f>
        <v>4.5755678269282097E-8</v>
      </c>
      <c r="AB154" s="134">
        <v>0.05</v>
      </c>
      <c r="AC154" s="134">
        <v>0.9</v>
      </c>
      <c r="AD154" s="129">
        <f>(((Input!G154*Constants!$B$25*0.000000001*Input!U154*(Constants!$B$10/Constants!$B$9))-((AB154*0.000000000000001)+(Input!G154*AC154*0.000000000000001)))/Input!F154)*1000000000000</f>
        <v>7.4440788002812536E-2</v>
      </c>
      <c r="AE154" s="129">
        <f>AD154*Input!V154/100</f>
        <v>1.3125696526279436E-3</v>
      </c>
      <c r="AF154" s="129">
        <f>(AD154/Constants!$B$10)*602200000000*Constants!$B$16/(365.2425*24*60)</f>
        <v>3.3978995294034063E-3</v>
      </c>
      <c r="AG154" s="129">
        <f>AF154*Input!V154/100</f>
        <v>5.9913119200258531E-5</v>
      </c>
      <c r="AH154" s="18">
        <f>AF154/Z154</f>
        <v>381.03214101733585</v>
      </c>
      <c r="AI154" s="133">
        <f>AH154*SQRT((AG154/AF154)^2+(AA154/Z154)^2)</f>
        <v>6.9971853113010454</v>
      </c>
      <c r="AJ154" s="132">
        <f t="shared" si="833"/>
        <v>144.34309931901711</v>
      </c>
      <c r="AK154" s="133">
        <f>V154*1000</f>
        <v>0.5994913031296597</v>
      </c>
      <c r="AL154" s="133">
        <f>AF154/Q154</f>
        <v>1.7194110708536403E-3</v>
      </c>
      <c r="AM154" s="133">
        <f>AL154*SQRT((R154/Q154)^2+(AG154/AF154)^2)</f>
        <v>3.0317528687443191E-5</v>
      </c>
      <c r="AN154" s="18">
        <f>AL154*1/((AN153+AN155)/2)</f>
        <v>1.7271622473454269E-3</v>
      </c>
      <c r="AO154" s="129">
        <f>AN154*SQRT((R154/Q154)^2+(AG154/AF154)^2)</f>
        <v>3.0454201365451772E-5</v>
      </c>
      <c r="AP154" s="18">
        <f>ThU_Alter_Kombi(AN154,U154)</f>
        <v>0.16470000000000001</v>
      </c>
      <c r="AQ154" s="18">
        <f t="shared" si="839"/>
        <v>5.7999999999999996E-3</v>
      </c>
      <c r="AR154" s="154">
        <f>(AQ154/AP154)</f>
        <v>3.5215543412264717E-2</v>
      </c>
      <c r="AS154" s="131">
        <f t="shared" si="840"/>
        <v>4.5125092761542453E-6</v>
      </c>
      <c r="AT154" s="131">
        <f t="shared" si="841"/>
        <v>2.3155056551233345E-8</v>
      </c>
      <c r="AU154" s="18">
        <v>8</v>
      </c>
      <c r="AV154" s="18">
        <f>AU154/2</f>
        <v>4</v>
      </c>
      <c r="AW154" s="18">
        <f t="shared" si="843"/>
        <v>0.1613</v>
      </c>
      <c r="AX154" s="135">
        <f t="shared" si="844"/>
        <v>3.2911177999999999E-3</v>
      </c>
      <c r="AY154" s="135">
        <f t="shared" si="845"/>
        <v>3.3828575857772396E-3</v>
      </c>
      <c r="AZ154" s="154">
        <f t="shared" si="846"/>
        <v>2.0403706137631743E-2</v>
      </c>
      <c r="BA154" s="18" t="str">
        <f>Input!B154</f>
        <v>JPM_1968</v>
      </c>
      <c r="BB154" s="136">
        <f>Input!E154</f>
        <v>0</v>
      </c>
      <c r="BC154" s="18">
        <f>((U154-1)*EXP(Constants!$B$17*AW154*1000))*1000</f>
        <v>144.40881900587769</v>
      </c>
      <c r="BD154" s="132">
        <f>SQRT((EXP(Constants!$B$17*AW154*1000)*V154)^2+((U154-1)*Constants!$B$17*EXP(Constants!$B$17*AW154*1000)*AY154*1000)^2)*1000</f>
        <v>0.59976583709835896</v>
      </c>
      <c r="BE154" s="18">
        <f t="shared" si="847"/>
        <v>103.30000000000001</v>
      </c>
      <c r="BF154" s="137">
        <f t="shared" si="848"/>
        <v>1.6914287928886198</v>
      </c>
      <c r="BG154" s="20">
        <f t="shared" si="849"/>
        <v>2.0972458684297828</v>
      </c>
      <c r="BH154" s="18"/>
      <c r="BI154" s="18"/>
      <c r="BJ154" s="18"/>
      <c r="BK154" s="18"/>
      <c r="BL154" s="18"/>
      <c r="BM154" s="18"/>
      <c r="BN154" s="159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</row>
    <row r="155" spans="1:110" ht="15" customHeight="1" x14ac:dyDescent="0.2">
      <c r="A155" s="138">
        <f>Input!A155</f>
        <v>10815</v>
      </c>
      <c r="B155" s="138" t="str">
        <f>Input!B155</f>
        <v>Hu1-13</v>
      </c>
      <c r="C155" s="138">
        <f>Input!O155</f>
        <v>2.1518791038688367</v>
      </c>
      <c r="D155" s="138">
        <f>C155*Input!P155/100</f>
        <v>2.4870154350756516E-2</v>
      </c>
      <c r="E155" s="139">
        <f>Input!M155</f>
        <v>2.7321284080062185</v>
      </c>
      <c r="F155" s="140">
        <f>E155*Input!N155/100</f>
        <v>4.307841934393125E-4</v>
      </c>
      <c r="G155" s="141">
        <f t="shared" ref="G155" si="859">E155*137.88</f>
        <v>376.70586489589738</v>
      </c>
      <c r="H155" s="140">
        <f>G155*Input!L155/100</f>
        <v>9.2658595146313902E-2</v>
      </c>
      <c r="I155" s="138">
        <v>0</v>
      </c>
      <c r="J155" s="142">
        <f>(((C155*Constants!$B$24*0.000000001*Input!G155*(Constants!$B$4/Constants!$B$3))-(I155*0.000000000000001))/Input!F155)*1000000000000</f>
        <v>776.90914382537892</v>
      </c>
      <c r="K155" s="138">
        <f>J155*Input!P155/100</f>
        <v>8.9790594131021368</v>
      </c>
      <c r="L155" s="143">
        <f>(J155/Constants!$B$4)*602200000000*Constants!$B$17/(365.2425*24*60)</f>
        <v>10.726093344260837</v>
      </c>
      <c r="M155" s="144">
        <f>L155*Input!P155/100</f>
        <v>0.12396588478078784</v>
      </c>
      <c r="N155" s="138">
        <v>0</v>
      </c>
      <c r="O155" s="142">
        <f>(((G155*Constants!$B$23*0.000000001*Input!G155*(Constants!$B$7/Constants!$B$6))-(N155*0.000000001))/Input!F155)*1000000</f>
        <v>13.700494635312923</v>
      </c>
      <c r="P155" s="138">
        <f>O155*Input!N155/100</f>
        <v>2.1602046645750016E-3</v>
      </c>
      <c r="Q155" s="145">
        <f>(O155/Constants!$B$7)*602200000000000000*Constants!$B$18/(365.2425*24*60)</f>
        <v>10.222223448665375</v>
      </c>
      <c r="R155" s="146">
        <f>Q155*Input!N155/100</f>
        <v>1.6117735427754894E-3</v>
      </c>
      <c r="S155" s="144">
        <f>Input!S155*Constants!$B$17/Constants!$B$18</f>
        <v>1.0002668355423872</v>
      </c>
      <c r="T155" s="138">
        <f>S155*Input!T155/100</f>
        <v>1.7003559283578446E-3</v>
      </c>
      <c r="U155" s="144">
        <f>S155</f>
        <v>1.0002668355423872</v>
      </c>
      <c r="V155" s="138">
        <f>U155*Input!T155/100</f>
        <v>1.7003559283578446E-3</v>
      </c>
      <c r="W155" s="147">
        <v>0</v>
      </c>
      <c r="X155" s="142">
        <f>(((Constants!$B$25*0.000000001*Input!G155/Input!W155*(Constants!$B$11/Constants!$B$9))-(W155*0.000000001))/Input!F155)*1000000000</f>
        <v>0.95242064032238871</v>
      </c>
      <c r="Y155" s="142">
        <f>X155*Input!X155/100</f>
        <v>7.2173905897415383E-3</v>
      </c>
      <c r="Z155" s="142">
        <f>(X155/Constants!$B$11)*6.022E+23*0.000000001*Constants!$B$19/(365.2425*24*60)</f>
        <v>2.3251666885315607E-4</v>
      </c>
      <c r="AA155" s="142">
        <f>Z155*Input!X155/100</f>
        <v>1.7619983720331487E-6</v>
      </c>
      <c r="AB155" s="143">
        <v>0</v>
      </c>
      <c r="AC155" s="143">
        <v>0.9</v>
      </c>
      <c r="AD155" s="142">
        <f>(((Input!G155*Constants!$B$25*0.000000001*Input!U155*(Constants!$B$10/Constants!$B$9))-((AB155*0.000000000000001)+(Input!G155*AC155*0.000000000000001)))/Input!F155)*1000000000000</f>
        <v>221.94013401022502</v>
      </c>
      <c r="AE155" s="142">
        <f>AD155*Input!V155/100</f>
        <v>0.95026752750022736</v>
      </c>
      <c r="AF155" s="142">
        <f>(AD155/Constants!$B$10)*602200000000*Constants!$B$16/(365.2425*24*60)</f>
        <v>10.130605775970292</v>
      </c>
      <c r="AG155" s="142">
        <f>AF155*Input!V155/100</f>
        <v>4.3375596512739312E-2</v>
      </c>
      <c r="AH155" s="138">
        <f t="shared" ref="AH155" si="860">AF155/Z155</f>
        <v>43569.374298787108</v>
      </c>
      <c r="AI155" s="147">
        <f t="shared" ref="AI155" si="861">AH155*SQRT((AG155/AF155)^2+(AA155/Z155)^2)</f>
        <v>379.22296971291735</v>
      </c>
      <c r="AJ155" s="144">
        <f t="shared" si="833"/>
        <v>0.26683554238715601</v>
      </c>
      <c r="AK155" s="147">
        <f t="shared" ref="AK155" si="862">V155*1000</f>
        <v>1.7003559283578447</v>
      </c>
      <c r="AL155" s="147">
        <f t="shared" ref="AL155" si="863">AF155/Q155</f>
        <v>0.99103740265949236</v>
      </c>
      <c r="AM155" s="147">
        <f t="shared" ref="AM155" si="864">AL155*SQRT((R155/Q155)^2+(AG155/AF155)^2)</f>
        <v>4.2461405741960291E-3</v>
      </c>
      <c r="AN155" s="138">
        <f>AF155/Q155</f>
        <v>0.99103740265949236</v>
      </c>
      <c r="AO155" s="142">
        <f t="shared" ref="AO155" si="865">AN155*SQRT((R155/Q155)^2+(AG155/AF155)^2)</f>
        <v>4.2461405741960291E-3</v>
      </c>
      <c r="AP155" s="138">
        <f t="shared" ref="AP155" si="866">ThU_Alter_Kombi(AN155,U155)</f>
        <v>509.70179999999999</v>
      </c>
      <c r="AQ155" s="138" t="e">
        <f t="shared" si="839"/>
        <v>#VALUE!</v>
      </c>
      <c r="AR155" s="138" t="e">
        <f>(AQ155/AP155)*100</f>
        <v>#VALUE!</v>
      </c>
      <c r="AS155" s="146">
        <f t="shared" si="840"/>
        <v>2.2746193137023795E-5</v>
      </c>
      <c r="AT155" s="146">
        <f t="shared" si="841"/>
        <v>1.7240669290608497E-7</v>
      </c>
      <c r="AU155" s="138">
        <v>0.75</v>
      </c>
      <c r="AV155" s="138">
        <f t="shared" ref="AV155" si="867">AU155/2</f>
        <v>0.375</v>
      </c>
      <c r="AW155" s="138">
        <f t="shared" si="843"/>
        <v>509.69990000000001</v>
      </c>
      <c r="AX155" s="148">
        <f t="shared" si="844"/>
        <v>102.18136815450001</v>
      </c>
      <c r="AY155" s="148">
        <f t="shared" si="845"/>
        <v>56.416685664597573</v>
      </c>
      <c r="AZ155" s="149">
        <f t="shared" si="846"/>
        <v>0.2004735887813594</v>
      </c>
      <c r="BA155" s="138" t="str">
        <f>Input!B155</f>
        <v>Hu1-13</v>
      </c>
      <c r="BB155" s="150">
        <f>Input!E155</f>
        <v>0</v>
      </c>
      <c r="BC155" s="138">
        <f>((U155-1)*EXP(Constants!$B$17*AW155*1000))*1000</f>
        <v>1.1244352879065727</v>
      </c>
      <c r="BD155" s="144">
        <f>SQRT((EXP(Constants!$B$17*AW155*1000)*V155)^2+((U155-1)*Constants!$B$17*EXP(Constants!$B$17*AW155*1000)*AY155*1000)^2)*1000</f>
        <v>7.1674742333876864</v>
      </c>
      <c r="BE155" s="138">
        <f t="shared" si="847"/>
        <v>509641.9</v>
      </c>
      <c r="BF155" s="151">
        <f t="shared" si="848"/>
        <v>28208.342832298786</v>
      </c>
      <c r="BG155" s="160">
        <f t="shared" si="849"/>
        <v>11.068608344752976</v>
      </c>
      <c r="BH155" s="138"/>
      <c r="BI155" s="18"/>
      <c r="BJ155" s="18"/>
      <c r="BK155" s="18"/>
      <c r="BL155" s="18"/>
      <c r="BM155" s="18"/>
      <c r="BN155" s="159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</row>
    <row r="156" spans="1:110" ht="15" customHeight="1" x14ac:dyDescent="0.2">
      <c r="A156" s="18">
        <f>Input!A156</f>
        <v>11015</v>
      </c>
      <c r="B156" s="18" t="str">
        <f>Input!B156</f>
        <v>JPM_1972</v>
      </c>
      <c r="C156" s="18">
        <f>Input!O156</f>
        <v>3.858196839917583</v>
      </c>
      <c r="D156" s="18">
        <f>C156*Input!P156/100</f>
        <v>1.5040062207224685E-2</v>
      </c>
      <c r="E156" s="152">
        <f>Input!M156</f>
        <v>4.4246582332128144</v>
      </c>
      <c r="F156" s="153">
        <f>E156*Input!N156/100</f>
        <v>2.7081746547442801E-4</v>
      </c>
      <c r="G156" s="21">
        <f>E156*137.88</f>
        <v>610.07187719538285</v>
      </c>
      <c r="H156" s="153">
        <f>G156*Input!L156/100</f>
        <v>2.5841064304579459E-2</v>
      </c>
      <c r="I156" s="18">
        <v>0.3</v>
      </c>
      <c r="J156" s="129">
        <f>(((C156*Constants!$B$24*0.000000001*Input!G156*(Constants!$B$4/Constants!$B$3))-(I156*0.000000000000001))/Input!F156)*1000000000000</f>
        <v>159.68993193515811</v>
      </c>
      <c r="K156" s="18">
        <f>J156*Input!P156/100</f>
        <v>0.62250491870278946</v>
      </c>
      <c r="L156" s="134">
        <f>(J156/Constants!$B$4)*602200000000*Constants!$B$17/(365.2425*24*60)</f>
        <v>2.2046968164660345</v>
      </c>
      <c r="M156" s="132">
        <f>L156*Input!P156/100</f>
        <v>8.5943715791410233E-3</v>
      </c>
      <c r="N156" s="18">
        <v>5.0000000000000001E-3</v>
      </c>
      <c r="O156" s="129">
        <f>(((G156*Constants!$B$23*0.000000001*Input!G156*(Constants!$B$7/Constants!$B$6))-(N156*0.000000001))/Input!F156)*1000000</f>
        <v>2.5436377797277716</v>
      </c>
      <c r="P156" s="18">
        <f>O156*Input!N156/100</f>
        <v>1.5568694807207363E-4</v>
      </c>
      <c r="Q156" s="130">
        <f>(O156/Constants!$B$7)*602200000000000000*Constants!$B$18/(365.2425*24*60)</f>
        <v>1.8978609494744332</v>
      </c>
      <c r="R156" s="131">
        <f>Q156*Input!N156/100</f>
        <v>1.161612637788643E-4</v>
      </c>
      <c r="S156" s="132">
        <f>Input!S156*Constants!$B$17/Constants!$B$18</f>
        <v>1.1454927349707618</v>
      </c>
      <c r="T156" s="18">
        <f>S156*Input!T156/100</f>
        <v>6.2154954587591456E-4</v>
      </c>
      <c r="U156" s="18">
        <f>S156*1/((U155+U157)/2)</f>
        <v>1.1451737178610419</v>
      </c>
      <c r="V156" s="18">
        <f>U156*Input!T156/100</f>
        <v>6.2137644574736771E-4</v>
      </c>
      <c r="W156" s="133">
        <v>3.0000000000000001E-3</v>
      </c>
      <c r="X156" s="129">
        <f>IF((((Constants!$B$25*0.000000001*Input!G156/Input!W156*(Constants!$B$11/Constants!$B$9))-(W156*0.000000001))/Input!F156)*1000000000&lt;0, "n.d.", (((Constants!$B$25*0.000000001*Input!G156/Input!W156*(Constants!$B$11/Constants!$B$9))-(W156*0.000000001))/Input!F156)*1000000000)</f>
        <v>8.089627510994285E-2</v>
      </c>
      <c r="Y156" s="129">
        <f>X156*Input!X156/100</f>
        <v>2.5142353170042107E-4</v>
      </c>
      <c r="Z156" s="129">
        <f>(X156/Constants!$B$11)*6.022E+23*0.000000001*Constants!$B$19/(365.2425*24*60)</f>
        <v>1.9749396028235389E-5</v>
      </c>
      <c r="AA156" s="129">
        <f>Z156*Input!X156/100</f>
        <v>6.1380612291738417E-8</v>
      </c>
      <c r="AB156" s="134">
        <v>0.05</v>
      </c>
      <c r="AC156" s="134">
        <v>0.9</v>
      </c>
      <c r="AD156" s="129">
        <f>(((Input!G156*Constants!$B$25*0.000000001*Input!U156*(Constants!$B$10/Constants!$B$9))-((AB156*0.000000000000001)+(Input!G156*AC156*0.000000000000001)))/Input!F156)*1000000000000</f>
        <v>6.2802837302189204E-2</v>
      </c>
      <c r="AE156" s="129">
        <f>AD156*Input!V156/100</f>
        <v>1.444989357099665E-3</v>
      </c>
      <c r="AF156" s="129">
        <f>(AD156/Constants!$B$10)*602200000000*Constants!$B$16/(365.2425*24*60)</f>
        <v>2.866677490117982E-3</v>
      </c>
      <c r="AG156" s="129">
        <f>AF156*Input!V156/100</f>
        <v>6.5957505128725596E-5</v>
      </c>
      <c r="AH156" s="18">
        <f>AF156/Z156</f>
        <v>145.15266623949105</v>
      </c>
      <c r="AI156" s="133">
        <f>AH156*SQRT((AG156/AF156)^2+(AA156/Z156)^2)</f>
        <v>3.3700543438984822</v>
      </c>
      <c r="AJ156" s="132">
        <f t="shared" si="833"/>
        <v>145.17371786104195</v>
      </c>
      <c r="AK156" s="133">
        <f>V156*1000</f>
        <v>0.62137644574736772</v>
      </c>
      <c r="AL156" s="133">
        <f>AF156/Q156</f>
        <v>1.5104781469431885E-3</v>
      </c>
      <c r="AM156" s="133">
        <f>AL156*SQRT((R156/Q156)^2+(AG156/AF156)^2)</f>
        <v>3.4753725515661103E-5</v>
      </c>
      <c r="AN156" s="18">
        <f>AL156*1/((AN155+AN157)/2)</f>
        <v>1.518660021561863E-3</v>
      </c>
      <c r="AO156" s="129">
        <f>AN156*SQRT((R156/Q156)^2+(AG156/AF156)^2)</f>
        <v>3.4941977576954685E-5</v>
      </c>
      <c r="AP156" s="18">
        <f>ThU_Alter_Kombi(AN156,U156)</f>
        <v>0.1447</v>
      </c>
      <c r="AQ156" s="18">
        <f t="shared" si="839"/>
        <v>5.7999999999999996E-3</v>
      </c>
      <c r="AR156" s="154">
        <f>(AQ156/AP156)</f>
        <v>4.0082930200414653E-2</v>
      </c>
      <c r="AS156" s="131">
        <f t="shared" si="840"/>
        <v>1.0406134355472411E-5</v>
      </c>
      <c r="AT156" s="131">
        <f t="shared" si="841"/>
        <v>3.234826751286163E-8</v>
      </c>
      <c r="AU156" s="18">
        <v>8</v>
      </c>
      <c r="AV156" s="18">
        <f>AU156/2</f>
        <v>4</v>
      </c>
      <c r="AW156" s="18">
        <f t="shared" si="843"/>
        <v>0.1368</v>
      </c>
      <c r="AX156" s="135">
        <f t="shared" si="844"/>
        <v>5.4768576000000001E-3</v>
      </c>
      <c r="AY156" s="135">
        <f t="shared" si="845"/>
        <v>5.1855974959178867E-3</v>
      </c>
      <c r="AZ156" s="154">
        <f t="shared" si="846"/>
        <v>4.0035508771929823E-2</v>
      </c>
      <c r="BA156" s="18" t="str">
        <f>Input!B156</f>
        <v>JPM_1972</v>
      </c>
      <c r="BB156" s="136">
        <f>Input!E156</f>
        <v>0</v>
      </c>
      <c r="BC156" s="18">
        <f>((U156-1)*EXP(Constants!$B$17*AW156*1000))*1000</f>
        <v>145.22977412812216</v>
      </c>
      <c r="BD156" s="132">
        <f>SQRT((EXP(Constants!$B$17*AW156*1000)*V156)^2+((U156-1)*Constants!$B$17*EXP(Constants!$B$17*AW156*1000)*AY156*1000)^2)*1000</f>
        <v>0.6216200124736837</v>
      </c>
      <c r="BE156" s="18">
        <f t="shared" si="847"/>
        <v>78.800000000000011</v>
      </c>
      <c r="BF156" s="137">
        <f t="shared" si="848"/>
        <v>2.5927987479589434</v>
      </c>
      <c r="BG156" s="20">
        <f t="shared" si="849"/>
        <v>3.7906414443844199</v>
      </c>
      <c r="BH156" s="18"/>
      <c r="BI156" s="18"/>
      <c r="BJ156" s="18"/>
      <c r="BK156" s="18"/>
      <c r="BL156" s="18"/>
      <c r="BM156" s="18"/>
      <c r="BN156" s="159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</row>
    <row r="157" spans="1:110" ht="15" customHeight="1" x14ac:dyDescent="0.2">
      <c r="A157" s="138">
        <f>Input!A157</f>
        <v>10815</v>
      </c>
      <c r="B157" s="138" t="str">
        <f>Input!B157</f>
        <v>Hu1-13</v>
      </c>
      <c r="C157" s="138">
        <f>Input!O157</f>
        <v>2.1158653630165021</v>
      </c>
      <c r="D157" s="138">
        <f>C157*Input!P157/100</f>
        <v>1.5635209786843081E-2</v>
      </c>
      <c r="E157" s="139">
        <f>Input!M157</f>
        <v>2.7322182354195594</v>
      </c>
      <c r="F157" s="140">
        <f>E157*Input!N157/100</f>
        <v>3.2957298250249541E-4</v>
      </c>
      <c r="G157" s="141">
        <f t="shared" ref="G157" si="868">E157*137.88</f>
        <v>376.71825029964884</v>
      </c>
      <c r="H157" s="140">
        <f>G157*Input!L157/100</f>
        <v>2.8833060657386615E-2</v>
      </c>
      <c r="I157" s="138">
        <v>0</v>
      </c>
      <c r="J157" s="142">
        <f>(((C157*Constants!$B$24*0.000000001*Input!G157*(Constants!$B$4/Constants!$B$3))-(I157*0.000000000000001))/Input!F157)*1000000000000</f>
        <v>763.90683132500078</v>
      </c>
      <c r="K157" s="138">
        <f>J157*Input!P157/100</f>
        <v>5.6448977208744004</v>
      </c>
      <c r="L157" s="143">
        <f>(J157/Constants!$B$4)*602200000000*Constants!$B$17/(365.2425*24*60)</f>
        <v>10.546581983532597</v>
      </c>
      <c r="M157" s="144">
        <f>L157*Input!P157/100</f>
        <v>7.7934080650379128E-2</v>
      </c>
      <c r="N157" s="138">
        <v>0</v>
      </c>
      <c r="O157" s="142">
        <f>(((G157*Constants!$B$23*0.000000001*Input!G157*(Constants!$B$7/Constants!$B$6))-(N157*0.000000001))/Input!F157)*1000000</f>
        <v>13.700945082660482</v>
      </c>
      <c r="P157" s="138">
        <f>O157*Input!N157/100</f>
        <v>1.6526722775869035E-3</v>
      </c>
      <c r="Q157" s="145">
        <f>(O157/Constants!$B$7)*602200000000000000*Constants!$B$18/(365.2425*24*60)</f>
        <v>10.222559536781986</v>
      </c>
      <c r="R157" s="146">
        <f>Q157*Input!N157/100</f>
        <v>1.2330930932496361E-3</v>
      </c>
      <c r="S157" s="144">
        <f>Input!S157*Constants!$B$17/Constants!$B$18</f>
        <v>1.0002903150536215</v>
      </c>
      <c r="T157" s="138">
        <f>S157*Input!T157/100</f>
        <v>2.1747271381193038E-3</v>
      </c>
      <c r="U157" s="144">
        <f>S157</f>
        <v>1.0002903150536215</v>
      </c>
      <c r="V157" s="138">
        <f>U157*Input!T157/100</f>
        <v>2.1747271381193038E-3</v>
      </c>
      <c r="W157" s="147">
        <v>0</v>
      </c>
      <c r="X157" s="142">
        <f>(((Constants!$B$25*0.000000001*Input!G157/Input!W157*(Constants!$B$11/Constants!$B$9))-(W157*0.000000001))/Input!F157)*1000000000</f>
        <v>0.95092924831197034</v>
      </c>
      <c r="Y157" s="142">
        <f>X157*Input!X157/100</f>
        <v>5.226675181910577E-3</v>
      </c>
      <c r="Z157" s="142">
        <f>(X157/Constants!$B$11)*6.022E+23*0.000000001*Constants!$B$19/(365.2425*24*60)</f>
        <v>2.3215257184860214E-4</v>
      </c>
      <c r="AA157" s="142">
        <f>Z157*Input!X157/100</f>
        <v>1.2760003836791512E-6</v>
      </c>
      <c r="AB157" s="143">
        <v>0</v>
      </c>
      <c r="AC157" s="143">
        <v>0.9</v>
      </c>
      <c r="AD157" s="142">
        <f>(((Input!G157*Constants!$B$25*0.000000001*Input!U157*(Constants!$B$10/Constants!$B$9))-((AB157*0.000000000000001)+(Input!G157*AC157*0.000000000000001)))/Input!F157)*1000000000000</f>
        <v>223.5487226679804</v>
      </c>
      <c r="AE157" s="142">
        <f>AD157*Input!V157/100</f>
        <v>0.9198256536564462</v>
      </c>
      <c r="AF157" s="142">
        <f>(AD157/Constants!$B$10)*602200000000*Constants!$B$16/(365.2425*24*60)</f>
        <v>10.204030880537752</v>
      </c>
      <c r="AG157" s="142">
        <f>AF157*Input!V157/100</f>
        <v>4.1986056831831667E-2</v>
      </c>
      <c r="AH157" s="138">
        <f t="shared" ref="AH157" si="869">AF157/Z157</f>
        <v>43953.98594676044</v>
      </c>
      <c r="AI157" s="147">
        <f t="shared" ref="AI157" si="870">AH157*SQRT((AG157/AF157)^2+(AA157/Z157)^2)</f>
        <v>301.78388126024294</v>
      </c>
      <c r="AJ157" s="144">
        <f t="shared" si="833"/>
        <v>0.29031505362153709</v>
      </c>
      <c r="AK157" s="147">
        <f t="shared" ref="AK157" si="871">V157*1000</f>
        <v>2.1747271381193038</v>
      </c>
      <c r="AL157" s="147">
        <f t="shared" ref="AL157" si="872">AF157/Q157</f>
        <v>0.99818747387309747</v>
      </c>
      <c r="AM157" s="147">
        <f t="shared" ref="AM157" si="873">AL157*SQRT((R157/Q157)^2+(AG157/AF157)^2)</f>
        <v>4.1089606421995583E-3</v>
      </c>
      <c r="AN157" s="138">
        <f>AF157/Q157</f>
        <v>0.99818747387309747</v>
      </c>
      <c r="AO157" s="142">
        <f t="shared" ref="AO157" si="874">AN157*SQRT((R157/Q157)^2+(AG157/AF157)^2)</f>
        <v>4.1089606421995583E-3</v>
      </c>
      <c r="AP157" s="138">
        <f t="shared" ref="AP157" si="875">ThU_Alter_Kombi(AN157,U157)</f>
        <v>666.0136</v>
      </c>
      <c r="AQ157" s="138" t="e">
        <f t="shared" si="839"/>
        <v>#VALUE!</v>
      </c>
      <c r="AR157" s="138" t="e">
        <f>(AQ157/AP157)*100</f>
        <v>#VALUE!</v>
      </c>
      <c r="AS157" s="146">
        <f t="shared" si="840"/>
        <v>2.270982829821529E-5</v>
      </c>
      <c r="AT157" s="146">
        <f t="shared" si="841"/>
        <v>1.2485206128316314E-7</v>
      </c>
      <c r="AU157" s="138">
        <v>0.75</v>
      </c>
      <c r="AV157" s="138">
        <f t="shared" ref="AV157" si="876">AU157/2</f>
        <v>0.375</v>
      </c>
      <c r="AW157" s="138">
        <f t="shared" si="843"/>
        <v>666.01170000000002</v>
      </c>
      <c r="AX157" s="148">
        <f t="shared" si="844"/>
        <v>308.6607991294</v>
      </c>
      <c r="AY157" s="148">
        <f t="shared" si="845"/>
        <v>249.88503228843226</v>
      </c>
      <c r="AZ157" s="149">
        <f t="shared" si="846"/>
        <v>0.46344651171953888</v>
      </c>
      <c r="BA157" s="138" t="str">
        <f>Input!B157</f>
        <v>Hu1-13</v>
      </c>
      <c r="BB157" s="150">
        <f>Input!E157</f>
        <v>0</v>
      </c>
      <c r="BC157" s="138">
        <f>((U157-1)*EXP(Constants!$B$17*AW157*1000))*1000</f>
        <v>1.9016775624041924</v>
      </c>
      <c r="BD157" s="144">
        <f>SQRT((EXP(Constants!$B$17*AW157*1000)*V157)^2+((U157-1)*Constants!$B$17*EXP(Constants!$B$17*AW157*1000)*AY157*1000)^2)*1000</f>
        <v>14.308299759123539</v>
      </c>
      <c r="BE157" s="138">
        <f t="shared" si="847"/>
        <v>665953.70000000007</v>
      </c>
      <c r="BF157" s="151">
        <f t="shared" si="848"/>
        <v>124942.51614421613</v>
      </c>
      <c r="BG157" s="160">
        <f t="shared" si="849"/>
        <v>37.519615989994207</v>
      </c>
      <c r="BH157" s="138"/>
      <c r="BI157" s="18"/>
      <c r="BJ157" s="18"/>
      <c r="BK157" s="18"/>
      <c r="BL157" s="18"/>
      <c r="BM157" s="18"/>
      <c r="BN157" s="159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</row>
    <row r="158" spans="1:110" ht="15" customHeight="1" x14ac:dyDescent="0.2">
      <c r="A158" s="18">
        <f>Input!A158</f>
        <v>11016</v>
      </c>
      <c r="B158" s="18" t="str">
        <f>Input!B158</f>
        <v>JPM_1999</v>
      </c>
      <c r="C158" s="18">
        <f>Input!O158</f>
        <v>3.5602047580703533</v>
      </c>
      <c r="D158" s="18">
        <f>C158*Input!P158/100</f>
        <v>2.1315614545434E-2</v>
      </c>
      <c r="E158" s="152">
        <f>Input!M158</f>
        <v>4.0791043617904688</v>
      </c>
      <c r="F158" s="153">
        <f>E158*Input!N158/100</f>
        <v>3.1772017233697576E-4</v>
      </c>
      <c r="G158" s="21">
        <f>E158*137.88</f>
        <v>562.42690940366981</v>
      </c>
      <c r="H158" s="153">
        <f>G158*Input!L158/100</f>
        <v>5.9117858091172565E-2</v>
      </c>
      <c r="I158" s="18">
        <v>0.3</v>
      </c>
      <c r="J158" s="129">
        <f>(((C158*Constants!$B$24*0.000000001*Input!G158*(Constants!$B$4/Constants!$B$3))-(I158*0.000000000000001))/Input!F158)*1000000000000</f>
        <v>174.99634732895038</v>
      </c>
      <c r="K158" s="18">
        <f>J158*Input!P158/100</f>
        <v>1.0477359983487453</v>
      </c>
      <c r="L158" s="134">
        <f>(J158/Constants!$B$4)*602200000000*Constants!$B$17/(365.2425*24*60)</f>
        <v>2.4160188759174908</v>
      </c>
      <c r="M158" s="132">
        <f>L158*Input!P158/100</f>
        <v>1.4465158774031473E-2</v>
      </c>
      <c r="N158" s="18">
        <v>5.0000000000000001E-3</v>
      </c>
      <c r="O158" s="129">
        <f>(((G158*Constants!$B$23*0.000000001*Input!G158*(Constants!$B$7/Constants!$B$6))-(N158*0.000000001))/Input!F158)*1000000</f>
        <v>2.7848458602990744</v>
      </c>
      <c r="P158" s="18">
        <f>O158*Input!N158/100</f>
        <v>2.1691077947262019E-4</v>
      </c>
      <c r="Q158" s="130">
        <f>(O158/Constants!$B$7)*602200000000000000*Constants!$B$18/(365.2425*24*60)</f>
        <v>2.0778313054985333</v>
      </c>
      <c r="R158" s="131">
        <f>Q158*Input!N158/100</f>
        <v>1.6184163529966292E-4</v>
      </c>
      <c r="S158" s="132">
        <f>Input!S158*Constants!$B$17/Constants!$B$18</f>
        <v>1.1460421282077382</v>
      </c>
      <c r="T158" s="18">
        <f>S158*Input!T158/100</f>
        <v>9.2012440707909507E-4</v>
      </c>
      <c r="U158" s="18">
        <f>S158*1/((U157+U159)/2)</f>
        <v>1.1453379561015091</v>
      </c>
      <c r="V158" s="18">
        <f>U158*Input!T158/100</f>
        <v>9.1955904745942845E-4</v>
      </c>
      <c r="W158" s="133">
        <v>3.0000000000000001E-3</v>
      </c>
      <c r="X158" s="129">
        <f>IF((((Constants!$B$25*0.000000001*Input!G158/Input!W158*(Constants!$B$11/Constants!$B$9))-(W158*0.000000001))/Input!F158)*1000000000&lt;0, "n.d.", (((Constants!$B$25*0.000000001*Input!G158/Input!W158*(Constants!$B$11/Constants!$B$9))-(W158*0.000000001))/Input!F158)*1000000000)</f>
        <v>2.6146100480846896E-2</v>
      </c>
      <c r="Y158" s="129">
        <f>X158*Input!X158/100</f>
        <v>3.7759133063987863E-4</v>
      </c>
      <c r="Z158" s="129">
        <f>(X158/Constants!$B$11)*6.022E+23*0.000000001*Constants!$B$19/(365.2425*24*60)</f>
        <v>6.3831083976178629E-6</v>
      </c>
      <c r="AA158" s="129">
        <f>Z158*Input!X158/100</f>
        <v>9.2182250857663785E-8</v>
      </c>
      <c r="AB158" s="134">
        <v>0.05</v>
      </c>
      <c r="AC158" s="134">
        <v>0.9</v>
      </c>
      <c r="AD158" s="129">
        <f>(((Input!G158*Constants!$B$25*0.000000001*Input!U158*(Constants!$B$10/Constants!$B$9))-((AB158*0.000000000000001)+(Input!G158*AC158*0.000000000000001)))/Input!F158)*1000000000000</f>
        <v>4.3010475813295729E-2</v>
      </c>
      <c r="AE158" s="129">
        <f>AD158*Input!V158/100</f>
        <v>2.2260424226161007E-3</v>
      </c>
      <c r="AF158" s="129">
        <f>(AD158/Constants!$B$10)*602200000000*Constants!$B$16/(365.2425*24*60)</f>
        <v>1.9632419194688332E-3</v>
      </c>
      <c r="AG158" s="129">
        <f>AF158*Input!V158/100</f>
        <v>1.0160919441037472E-4</v>
      </c>
      <c r="AH158" s="18">
        <f>AF158/Z158</f>
        <v>307.56831894026789</v>
      </c>
      <c r="AI158" s="133">
        <f>AH158*SQRT((AG158/AF158)^2+(AA158/Z158)^2)</f>
        <v>16.526537454151494</v>
      </c>
      <c r="AJ158" s="132">
        <f t="shared" si="833"/>
        <v>145.33795610150912</v>
      </c>
      <c r="AK158" s="133">
        <f>V158*1000</f>
        <v>0.9195590474594284</v>
      </c>
      <c r="AL158" s="133">
        <f>AF158/Q158</f>
        <v>9.4485144885127876E-4</v>
      </c>
      <c r="AM158" s="133">
        <f>AL158*SQRT((R158/Q158)^2+(AG158/AF158)^2)</f>
        <v>4.8901616414564884E-5</v>
      </c>
      <c r="AN158" s="18">
        <f>AL158*1/((AN157+AN159)/2)</f>
        <v>9.454557166362125E-4</v>
      </c>
      <c r="AO158" s="129">
        <f>AN158*SQRT((R158/Q158)^2+(AG158/AF158)^2)</f>
        <v>4.8932890824385E-5</v>
      </c>
      <c r="AP158" s="18">
        <f>ThU_Alter_Kombi(AN158,U158)</f>
        <v>9.01E-2</v>
      </c>
      <c r="AQ158" s="18">
        <f t="shared" si="839"/>
        <v>4.5999999999999999E-3</v>
      </c>
      <c r="AR158" s="154">
        <f>(AQ158/AP158)</f>
        <v>5.1054384017758046E-2</v>
      </c>
      <c r="AS158" s="131">
        <f t="shared" si="840"/>
        <v>3.0720051145279892E-6</v>
      </c>
      <c r="AT158" s="131">
        <f t="shared" si="841"/>
        <v>4.4365291518966119E-8</v>
      </c>
      <c r="AU158" s="18">
        <v>8</v>
      </c>
      <c r="AV158" s="18">
        <f>AU158/2</f>
        <v>4</v>
      </c>
      <c r="AW158" s="18">
        <f t="shared" si="843"/>
        <v>8.77E-2</v>
      </c>
      <c r="AX158" s="135">
        <f t="shared" si="844"/>
        <v>4.8128818999999996E-3</v>
      </c>
      <c r="AY158" s="135">
        <f t="shared" si="845"/>
        <v>4.8143870559980975E-3</v>
      </c>
      <c r="AZ158" s="154">
        <f t="shared" si="846"/>
        <v>5.4878927023945263E-2</v>
      </c>
      <c r="BA158" s="18" t="str">
        <f>Input!B158</f>
        <v>JPM_1999</v>
      </c>
      <c r="BB158" s="136">
        <f>Input!E158</f>
        <v>0</v>
      </c>
      <c r="BC158" s="18">
        <f>((U158-1)*EXP(Constants!$B$17*AW158*1000))*1000</f>
        <v>145.37393092143458</v>
      </c>
      <c r="BD158" s="132">
        <f>SQRT((EXP(Constants!$B$17*AW158*1000)*V158)^2+((U158-1)*Constants!$B$17*EXP(Constants!$B$17*AW158*1000)*AY158*1000)^2)*1000</f>
        <v>0.91978878223522986</v>
      </c>
      <c r="BE158" s="18">
        <f t="shared" si="847"/>
        <v>29.700000000000003</v>
      </c>
      <c r="BF158" s="137">
        <f t="shared" si="848"/>
        <v>2.4071935279990488</v>
      </c>
      <c r="BG158" s="20">
        <f t="shared" si="849"/>
        <v>5.4896089578085494</v>
      </c>
      <c r="BH158" s="18"/>
      <c r="BI158" s="18"/>
      <c r="BJ158" s="18"/>
      <c r="BK158" s="18"/>
      <c r="BL158" s="18"/>
      <c r="BM158" s="18"/>
      <c r="BN158" s="159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</row>
    <row r="159" spans="1:110" ht="15" customHeight="1" x14ac:dyDescent="0.2">
      <c r="A159" s="138">
        <f>Input!A159</f>
        <v>10815</v>
      </c>
      <c r="B159" s="138" t="str">
        <f>Input!B159</f>
        <v>Hu1-13</v>
      </c>
      <c r="C159" s="138">
        <f>Input!O159</f>
        <v>2.0956050417859315</v>
      </c>
      <c r="D159" s="138">
        <f>C159*Input!P159/100</f>
        <v>1.612283637012871E-2</v>
      </c>
      <c r="E159" s="139">
        <f>Input!M159</f>
        <v>2.7320209137563727</v>
      </c>
      <c r="F159" s="140">
        <f>E159*Input!N159/100</f>
        <v>2.8934316073263159E-4</v>
      </c>
      <c r="G159" s="141">
        <f t="shared" ref="G159" si="877">E159*137.88</f>
        <v>376.69104358872863</v>
      </c>
      <c r="H159" s="140">
        <f>G159*Input!L159/100</f>
        <v>1.9749393994205933E-2</v>
      </c>
      <c r="I159" s="138">
        <v>0</v>
      </c>
      <c r="J159" s="142">
        <f>(((C159*Constants!$B$24*0.000000001*Input!G159*(Constants!$B$4/Constants!$B$3))-(I159*0.000000000000001))/Input!F159)*1000000000000</f>
        <v>756.5920947338185</v>
      </c>
      <c r="K159" s="138">
        <f>J159*Input!P159/100</f>
        <v>5.8209492242538499</v>
      </c>
      <c r="L159" s="143">
        <f>(J159/Constants!$B$4)*602200000000*Constants!$B$17/(365.2425*24*60)</f>
        <v>10.44559392323074</v>
      </c>
      <c r="M159" s="144">
        <f>L159*Input!P159/100</f>
        <v>8.0364667127129169E-2</v>
      </c>
      <c r="N159" s="138">
        <v>0</v>
      </c>
      <c r="O159" s="142">
        <f>(((G159*Constants!$B$23*0.000000001*Input!G159*(Constants!$B$7/Constants!$B$6))-(N159*0.000000001))/Input!F159)*1000000</f>
        <v>13.69995559608291</v>
      </c>
      <c r="P159" s="138">
        <f>O159*Input!N159/100</f>
        <v>1.4509363504897463E-3</v>
      </c>
      <c r="Q159" s="145">
        <f>(O159/Constants!$B$7)*602200000000000000*Constants!$B$18/(365.2425*24*60)</f>
        <v>10.221821260306236</v>
      </c>
      <c r="R159" s="146">
        <f>Q159*Input!N159/100</f>
        <v>1.0825737303139702E-3</v>
      </c>
      <c r="S159" s="144">
        <f>Input!S159*Constants!$B$17/Constants!$B$18</f>
        <v>1.0009393169558265</v>
      </c>
      <c r="T159" s="138">
        <f>S159*Input!T159/100</f>
        <v>1.3201087604698216E-3</v>
      </c>
      <c r="U159" s="144">
        <f>S159</f>
        <v>1.0009393169558265</v>
      </c>
      <c r="V159" s="138">
        <f>U159*Input!T159/100</f>
        <v>1.3201087604698216E-3</v>
      </c>
      <c r="W159" s="147">
        <v>0</v>
      </c>
      <c r="X159" s="142">
        <f>(((Constants!$B$25*0.000000001*Input!G159/Input!W159*(Constants!$B$11/Constants!$B$9))-(W159*0.000000001))/Input!F159)*1000000000</f>
        <v>0.95071097230880641</v>
      </c>
      <c r="Y159" s="142">
        <f>X159*Input!X159/100</f>
        <v>3.304926414764358E-3</v>
      </c>
      <c r="Z159" s="142">
        <f>(X159/Constants!$B$11)*6.022E+23*0.000000001*Constants!$B$19/(365.2425*24*60)</f>
        <v>2.3209928361964365E-4</v>
      </c>
      <c r="AA159" s="142">
        <f>Z159*Input!X159/100</f>
        <v>8.0683938192025786E-7</v>
      </c>
      <c r="AB159" s="143">
        <v>0</v>
      </c>
      <c r="AC159" s="143">
        <v>0.9</v>
      </c>
      <c r="AD159" s="142">
        <f>(((Input!G159*Constants!$B$25*0.000000001*Input!U159*(Constants!$B$10/Constants!$B$9))-((AB159*0.000000000000001)+(Input!G159*AC159*0.000000000000001)))/Input!F159)*1000000000000</f>
        <v>224.05811560939938</v>
      </c>
      <c r="AE159" s="142">
        <f>AD159*Input!V159/100</f>
        <v>0.56933703790586909</v>
      </c>
      <c r="AF159" s="142">
        <f>(AD159/Constants!$B$10)*602200000000*Constants!$B$16/(365.2425*24*60)</f>
        <v>10.227282461859856</v>
      </c>
      <c r="AG159" s="142">
        <f>AF159*Input!V159/100</f>
        <v>2.5987769676742146E-2</v>
      </c>
      <c r="AH159" s="138">
        <f t="shared" ref="AH159" si="878">AF159/Z159</f>
        <v>44064.25690921121</v>
      </c>
      <c r="AI159" s="147">
        <f t="shared" ref="AI159" si="879">AH159*SQRT((AG159/AF159)^2+(AA159/Z159)^2)</f>
        <v>189.73868453680515</v>
      </c>
      <c r="AJ159" s="144">
        <f t="shared" si="833"/>
        <v>0.93931695582649688</v>
      </c>
      <c r="AK159" s="147">
        <f t="shared" ref="AK159" si="880">V159*1000</f>
        <v>1.3201087604698216</v>
      </c>
      <c r="AL159" s="147">
        <f t="shared" ref="AL159" si="881">AF159/Q159</f>
        <v>1.0005342689345222</v>
      </c>
      <c r="AM159" s="147">
        <f t="shared" ref="AM159" si="882">AL159*SQRT((R159/Q159)^2+(AG159/AF159)^2)</f>
        <v>2.5445888489169016E-3</v>
      </c>
      <c r="AN159" s="138">
        <f>AF159/Q159</f>
        <v>1.0005342689345222</v>
      </c>
      <c r="AO159" s="142">
        <f t="shared" ref="AO159" si="883">AN159*SQRT((R159/Q159)^2+(AG159/AF159)^2)</f>
        <v>2.5445888489169016E-3</v>
      </c>
      <c r="AP159" s="138">
        <f t="shared" ref="AP159" si="884">ThU_Alter_Kombi(AN159,U159)</f>
        <v>775.86030000000005</v>
      </c>
      <c r="AQ159" s="138" t="e">
        <f t="shared" si="839"/>
        <v>#VALUE!</v>
      </c>
      <c r="AR159" s="138" t="e">
        <f>(AQ159/AP159)*100</f>
        <v>#VALUE!</v>
      </c>
      <c r="AS159" s="146">
        <f t="shared" si="840"/>
        <v>2.2706255344235023E-5</v>
      </c>
      <c r="AT159" s="146">
        <f t="shared" si="841"/>
        <v>7.8969659151559531E-8</v>
      </c>
      <c r="AU159" s="138">
        <v>0.75</v>
      </c>
      <c r="AV159" s="138">
        <f t="shared" ref="AV159" si="885">AU159/2</f>
        <v>0.375</v>
      </c>
      <c r="AW159" s="138">
        <f t="shared" si="843"/>
        <v>775.85850000000005</v>
      </c>
      <c r="AX159" s="148">
        <f t="shared" si="844"/>
        <v>346.52042571089999</v>
      </c>
      <c r="AY159" s="148">
        <f t="shared" si="845"/>
        <v>418.53720617834858</v>
      </c>
      <c r="AZ159" s="149">
        <f t="shared" si="846"/>
        <v>0.44662838096237906</v>
      </c>
      <c r="BA159" s="138" t="str">
        <f>Input!B159</f>
        <v>Hu1-13</v>
      </c>
      <c r="BB159" s="150">
        <f>Input!E159</f>
        <v>0</v>
      </c>
      <c r="BC159" s="138">
        <f>((U159-1)*EXP(Constants!$B$17*AW159*1000))*1000</f>
        <v>8.3889631225168255</v>
      </c>
      <c r="BD159" s="144">
        <f>SQRT((EXP(Constants!$B$17*AW159*1000)*V159)^2+((U159-1)*Constants!$B$17*EXP(Constants!$B$17*AW159*1000)*AY159*1000)^2)*1000</f>
        <v>15.400574056868157</v>
      </c>
      <c r="BE159" s="138">
        <f t="shared" si="847"/>
        <v>775800.5</v>
      </c>
      <c r="BF159" s="151">
        <f t="shared" si="848"/>
        <v>209268.60308917428</v>
      </c>
      <c r="BG159" s="160">
        <f t="shared" si="849"/>
        <v>53.94504361018776</v>
      </c>
      <c r="BH159" s="138"/>
      <c r="BI159" s="18"/>
      <c r="BJ159" s="18"/>
      <c r="BK159" s="18"/>
      <c r="BL159" s="18"/>
      <c r="BM159" s="18"/>
      <c r="BN159" s="159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</row>
    <row r="160" spans="1:110" ht="15" customHeight="1" x14ac:dyDescent="0.2">
      <c r="A160" s="18">
        <f>Input!A160</f>
        <v>11017</v>
      </c>
      <c r="B160" s="18" t="str">
        <f>Input!B160</f>
        <v>JPM_2012</v>
      </c>
      <c r="C160" s="18">
        <f>Input!O160</f>
        <v>3.6267731147308711</v>
      </c>
      <c r="D160" s="18">
        <f>C160*Input!P160/100</f>
        <v>1.9684068102501458E-2</v>
      </c>
      <c r="E160" s="152">
        <f>Input!M160</f>
        <v>4.1490787337884267</v>
      </c>
      <c r="F160" s="153">
        <f>E160*Input!N160/100</f>
        <v>4.2835861758842381E-4</v>
      </c>
      <c r="G160" s="21">
        <f>E160*137.88</f>
        <v>572.07497581474831</v>
      </c>
      <c r="H160" s="153">
        <f>G160*Input!L160/100</f>
        <v>4.7106053236996542E-2</v>
      </c>
      <c r="I160" s="18">
        <v>0.3</v>
      </c>
      <c r="J160" s="129">
        <f>(((C160*Constants!$B$24*0.000000001*Input!G160*(Constants!$B$4/Constants!$B$3))-(I160*0.000000000000001))/Input!F160)*1000000000000</f>
        <v>157.3415784335788</v>
      </c>
      <c r="K160" s="18">
        <f>J160*Input!P160/100</f>
        <v>0.85396087576089397</v>
      </c>
      <c r="L160" s="134">
        <f>(J160/Constants!$B$4)*602200000000*Constants!$B$17/(365.2425*24*60)</f>
        <v>2.1722751889649907</v>
      </c>
      <c r="M160" s="132">
        <f>L160*Input!P160/100</f>
        <v>1.1789878055312016E-2</v>
      </c>
      <c r="N160" s="18">
        <v>5.0000000000000001E-3</v>
      </c>
      <c r="O160" s="129">
        <f>(((G160*Constants!$B$23*0.000000001*Input!G160*(Constants!$B$7/Constants!$B$6))-(N160*0.000000001))/Input!F160)*1000000</f>
        <v>2.5000985121700947</v>
      </c>
      <c r="P160" s="18">
        <f>O160*Input!N160/100</f>
        <v>2.5811482770542844E-4</v>
      </c>
      <c r="Q160" s="130">
        <f>(O160/Constants!$B$7)*602200000000000000*Constants!$B$18/(365.2425*24*60)</f>
        <v>1.8653753981412249</v>
      </c>
      <c r="R160" s="131">
        <f>Q160*Input!N160/100</f>
        <v>1.9258483101901449E-4</v>
      </c>
      <c r="S160" s="132">
        <f>Input!S160*Constants!$B$17/Constants!$B$18</f>
        <v>1.1458682168947032</v>
      </c>
      <c r="T160" s="18">
        <f>S160*Input!T160/100</f>
        <v>7.8012925215860981E-4</v>
      </c>
      <c r="U160" s="18">
        <f>S160*1/((U159+U161)/2)</f>
        <v>1.1447928935189111</v>
      </c>
      <c r="V160" s="18">
        <f>U160*Input!T160/100</f>
        <v>7.7939715119916553E-4</v>
      </c>
      <c r="W160" s="133">
        <v>3.0000000000000001E-3</v>
      </c>
      <c r="X160" s="129">
        <f>IF((((Constants!$B$25*0.000000001*Input!G160/Input!W160*(Constants!$B$11/Constants!$B$9))-(W160*0.000000001))/Input!F160)*1000000000&lt;0, "n.d.", (((Constants!$B$25*0.000000001*Input!G160/Input!W160*(Constants!$B$11/Constants!$B$9))-(W160*0.000000001))/Input!F160)*1000000000)</f>
        <v>2.8358063411411508E-2</v>
      </c>
      <c r="Y160" s="129">
        <f>X160*Input!X160/100</f>
        <v>3.8281744840958461E-4</v>
      </c>
      <c r="Z160" s="129">
        <f>(X160/Constants!$B$11)*6.022E+23*0.000000001*Constants!$B$19/(365.2425*24*60)</f>
        <v>6.9231200589227394E-6</v>
      </c>
      <c r="AA160" s="129">
        <f>Z160*Input!X160/100</f>
        <v>9.3458115159003353E-8</v>
      </c>
      <c r="AB160" s="134">
        <v>0.05</v>
      </c>
      <c r="AC160" s="134">
        <v>0.9</v>
      </c>
      <c r="AD160" s="129">
        <f>(((Input!G160*Constants!$B$25*0.000000001*Input!U160*(Constants!$B$10/Constants!$B$9))-((AB160*0.000000000000001)+(Input!G160*AC160*0.000000000000001)))/Input!F160)*1000000000000</f>
        <v>4.4374454341275474E-2</v>
      </c>
      <c r="AE160" s="129">
        <f>AD160*Input!V160/100</f>
        <v>2.0275129544097851E-3</v>
      </c>
      <c r="AF160" s="129">
        <f>(AD160/Constants!$B$10)*602200000000*Constants!$B$16/(365.2425*24*60)</f>
        <v>2.0255016311495266E-3</v>
      </c>
      <c r="AG160" s="129">
        <f>AF160*Input!V160/100</f>
        <v>9.2547184124220014E-5</v>
      </c>
      <c r="AH160" s="18">
        <f>AF160/Z160</f>
        <v>292.5706349031164</v>
      </c>
      <c r="AI160" s="133">
        <f>AH160*SQRT((AG160/AF160)^2+(AA160/Z160)^2)</f>
        <v>13.939083748244082</v>
      </c>
      <c r="AJ160" s="132">
        <f t="shared" si="833"/>
        <v>144.79289351891111</v>
      </c>
      <c r="AK160" s="133">
        <f>V160*1000</f>
        <v>0.77939715119916553</v>
      </c>
      <c r="AL160" s="133">
        <f>AF160/Q160</f>
        <v>1.0858412913389236E-3</v>
      </c>
      <c r="AM160" s="133">
        <f>AL160*SQRT((R160/Q160)^2+(AG160/AF160)^2)</f>
        <v>4.9613295250155814E-5</v>
      </c>
      <c r="AN160" s="18">
        <f>AL160*1/((AN159+AN161)/2)</f>
        <v>1.0852614698497489E-3</v>
      </c>
      <c r="AO160" s="129">
        <f>AN160*SQRT((R160/Q160)^2+(AG160/AF160)^2)</f>
        <v>4.9586802561984653E-5</v>
      </c>
      <c r="AP160" s="18">
        <f>ThU_Alter_Kombi(AN160,U160)</f>
        <v>0.10340000000000001</v>
      </c>
      <c r="AQ160" s="18">
        <f t="shared" si="839"/>
        <v>6.3E-3</v>
      </c>
      <c r="AR160" s="154">
        <f>(AQ160/AP160)</f>
        <v>6.09284332688588E-2</v>
      </c>
      <c r="AS160" s="131">
        <f t="shared" si="840"/>
        <v>3.7113816692454308E-6</v>
      </c>
      <c r="AT160" s="131">
        <f t="shared" si="841"/>
        <v>5.0102970368895626E-8</v>
      </c>
      <c r="AU160" s="18">
        <v>8</v>
      </c>
      <c r="AV160" s="18">
        <f>AU160/2</f>
        <v>4</v>
      </c>
      <c r="AW160" s="18">
        <f t="shared" si="843"/>
        <v>0.10059999999999999</v>
      </c>
      <c r="AX160" s="135">
        <f t="shared" si="844"/>
        <v>4.7838560000000004E-3</v>
      </c>
      <c r="AY160" s="135">
        <f t="shared" si="845"/>
        <v>4.9420851211850834E-3</v>
      </c>
      <c r="AZ160" s="154">
        <f t="shared" si="846"/>
        <v>4.7553240556660048E-2</v>
      </c>
      <c r="BA160" s="18" t="str">
        <f>Input!B160</f>
        <v>JPM_2012</v>
      </c>
      <c r="BB160" s="136">
        <f>Input!E160</f>
        <v>0</v>
      </c>
      <c r="BC160" s="18">
        <f>((U160-1)*EXP(Constants!$B$17*AW160*1000))*1000</f>
        <v>144.83400594637661</v>
      </c>
      <c r="BD160" s="132">
        <f>SQRT((EXP(Constants!$B$17*AW160*1000)*V160)^2+((U160-1)*Constants!$B$17*EXP(Constants!$B$17*AW160*1000)*AY160*1000)^2)*1000</f>
        <v>0.77962106973129819</v>
      </c>
      <c r="BE160" s="18">
        <f t="shared" si="847"/>
        <v>42.599999999999994</v>
      </c>
      <c r="BF160" s="137">
        <f t="shared" si="848"/>
        <v>2.4710425605925419</v>
      </c>
      <c r="BG160" s="20">
        <f t="shared" si="849"/>
        <v>4.9126094643986917</v>
      </c>
      <c r="BH160" s="18"/>
      <c r="BI160" s="18"/>
      <c r="BJ160" s="18"/>
      <c r="BK160" s="18"/>
      <c r="BL160" s="18"/>
      <c r="BM160" s="18"/>
      <c r="BN160" s="159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</row>
    <row r="161" spans="1:110" ht="15" customHeight="1" x14ac:dyDescent="0.2">
      <c r="A161" s="138">
        <f>Input!A161</f>
        <v>10815</v>
      </c>
      <c r="B161" s="138" t="str">
        <f>Input!B161</f>
        <v>Hu1-13</v>
      </c>
      <c r="C161" s="138">
        <f>Input!O161</f>
        <v>2.0956050417859315</v>
      </c>
      <c r="D161" s="138">
        <f>C161*Input!P161/100</f>
        <v>1.612283637012871E-2</v>
      </c>
      <c r="E161" s="139">
        <f>Input!M161</f>
        <v>2.7320209137563727</v>
      </c>
      <c r="F161" s="140">
        <f>E161*Input!N161/100</f>
        <v>2.8934316073263159E-4</v>
      </c>
      <c r="G161" s="141">
        <f t="shared" ref="G161" si="886">E161*137.88</f>
        <v>376.69104358872863</v>
      </c>
      <c r="H161" s="140">
        <f>G161*Input!L161/100</f>
        <v>1.9749393994205933E-2</v>
      </c>
      <c r="I161" s="138">
        <v>0</v>
      </c>
      <c r="J161" s="142">
        <f>(((C161*Constants!$B$24*0.000000001*Input!G161*(Constants!$B$4/Constants!$B$3))-(I161*0.000000000000001))/Input!F161)*1000000000000</f>
        <v>756.5920947338185</v>
      </c>
      <c r="K161" s="138">
        <f>J161*Input!P161/100</f>
        <v>5.8209492242538499</v>
      </c>
      <c r="L161" s="143">
        <f>(J161/Constants!$B$4)*602200000000*Constants!$B$17/(365.2425*24*60)</f>
        <v>10.44559392323074</v>
      </c>
      <c r="M161" s="144">
        <f>L161*Input!P161/100</f>
        <v>8.0364667127129169E-2</v>
      </c>
      <c r="N161" s="138">
        <v>0</v>
      </c>
      <c r="O161" s="142">
        <f>(((G161*Constants!$B$23*0.000000001*Input!G161*(Constants!$B$7/Constants!$B$6))-(N161*0.000000001))/Input!F161)*1000000</f>
        <v>13.69995559608291</v>
      </c>
      <c r="P161" s="138">
        <f>O161*Input!N161/100</f>
        <v>1.4509363504897463E-3</v>
      </c>
      <c r="Q161" s="145">
        <f>(O161/Constants!$B$7)*602200000000000000*Constants!$B$18/(365.2425*24*60)</f>
        <v>10.221821260306236</v>
      </c>
      <c r="R161" s="146">
        <f>Q161*Input!N161/100</f>
        <v>1.0825737303139702E-3</v>
      </c>
      <c r="S161" s="144">
        <f>Input!S161*Constants!$B$17/Constants!$B$18</f>
        <v>1.0009393169558265</v>
      </c>
      <c r="T161" s="138">
        <f>S161*Input!T161/100</f>
        <v>1.3201087604698216E-3</v>
      </c>
      <c r="U161" s="144">
        <f>S161</f>
        <v>1.0009393169558265</v>
      </c>
      <c r="V161" s="138">
        <f>U161*Input!T161/100</f>
        <v>1.3201087604698216E-3</v>
      </c>
      <c r="W161" s="147">
        <v>0</v>
      </c>
      <c r="X161" s="142">
        <f>(((Constants!$B$25*0.000000001*Input!G161/Input!W161*(Constants!$B$11/Constants!$B$9))-(W161*0.000000001))/Input!F161)*1000000000</f>
        <v>0.95071097230880641</v>
      </c>
      <c r="Y161" s="142">
        <f>X161*Input!X161/100</f>
        <v>3.304926414764358E-3</v>
      </c>
      <c r="Z161" s="142">
        <f>(X161/Constants!$B$11)*6.022E+23*0.000000001*Constants!$B$19/(365.2425*24*60)</f>
        <v>2.3209928361964365E-4</v>
      </c>
      <c r="AA161" s="142">
        <f>Z161*Input!X161/100</f>
        <v>8.0683938192025786E-7</v>
      </c>
      <c r="AB161" s="143">
        <v>0</v>
      </c>
      <c r="AC161" s="143">
        <v>0.9</v>
      </c>
      <c r="AD161" s="142">
        <f>(((Input!G161*Constants!$B$25*0.000000001*Input!U161*(Constants!$B$10/Constants!$B$9))-((AB161*0.000000000000001)+(Input!G161*AC161*0.000000000000001)))/Input!F161)*1000000000000</f>
        <v>224.05811560939938</v>
      </c>
      <c r="AE161" s="142">
        <f>AD161*Input!V161/100</f>
        <v>0.56933703790586909</v>
      </c>
      <c r="AF161" s="142">
        <f>(AD161/Constants!$B$10)*602200000000*Constants!$B$16/(365.2425*24*60)</f>
        <v>10.227282461859856</v>
      </c>
      <c r="AG161" s="142">
        <f>AF161*Input!V161/100</f>
        <v>2.5987769676742146E-2</v>
      </c>
      <c r="AH161" s="138">
        <f t="shared" ref="AH161" si="887">AF161/Z161</f>
        <v>44064.25690921121</v>
      </c>
      <c r="AI161" s="147">
        <f t="shared" ref="AI161" si="888">AH161*SQRT((AG161/AF161)^2+(AA161/Z161)^2)</f>
        <v>189.73868453680515</v>
      </c>
      <c r="AJ161" s="144">
        <f t="shared" si="833"/>
        <v>0.93931695582649688</v>
      </c>
      <c r="AK161" s="147">
        <f t="shared" ref="AK161" si="889">V161*1000</f>
        <v>1.3201087604698216</v>
      </c>
      <c r="AL161" s="147">
        <f t="shared" ref="AL161" si="890">AF161/Q161</f>
        <v>1.0005342689345222</v>
      </c>
      <c r="AM161" s="147">
        <f t="shared" ref="AM161" si="891">AL161*SQRT((R161/Q161)^2+(AG161/AF161)^2)</f>
        <v>2.5445888489169016E-3</v>
      </c>
      <c r="AN161" s="138">
        <f>AF161/Q161</f>
        <v>1.0005342689345222</v>
      </c>
      <c r="AO161" s="142">
        <f t="shared" ref="AO161" si="892">AN161*SQRT((R161/Q161)^2+(AG161/AF161)^2)</f>
        <v>2.5445888489169016E-3</v>
      </c>
      <c r="AP161" s="138">
        <f t="shared" ref="AP161" si="893">ThU_Alter_Kombi(AN161,U161)</f>
        <v>775.86030000000005</v>
      </c>
      <c r="AQ161" s="138" t="e">
        <f t="shared" si="839"/>
        <v>#VALUE!</v>
      </c>
      <c r="AR161" s="138" t="e">
        <f>(AQ161/AP161)*100</f>
        <v>#VALUE!</v>
      </c>
      <c r="AS161" s="146">
        <f t="shared" si="840"/>
        <v>2.2706255344235023E-5</v>
      </c>
      <c r="AT161" s="146">
        <f t="shared" si="841"/>
        <v>7.8969659151559531E-8</v>
      </c>
      <c r="AU161" s="138">
        <v>0.75</v>
      </c>
      <c r="AV161" s="138">
        <f t="shared" ref="AV161" si="894">AU161/2</f>
        <v>0.375</v>
      </c>
      <c r="AW161" s="138">
        <f t="shared" si="843"/>
        <v>775.85850000000005</v>
      </c>
      <c r="AX161" s="148">
        <f t="shared" si="844"/>
        <v>339.92035268220002</v>
      </c>
      <c r="AY161" s="148">
        <f t="shared" si="845"/>
        <v>418.53720617834858</v>
      </c>
      <c r="AZ161" s="149">
        <f t="shared" si="846"/>
        <v>0.43812158103855275</v>
      </c>
      <c r="BA161" s="138" t="str">
        <f>Input!B161</f>
        <v>Hu1-13</v>
      </c>
      <c r="BB161" s="150">
        <f>Input!E161</f>
        <v>0</v>
      </c>
      <c r="BC161" s="138">
        <f>((U161-1)*EXP(Constants!$B$17*AW161*1000))*1000</f>
        <v>8.3889631225168255</v>
      </c>
      <c r="BD161" s="144">
        <f>SQRT((EXP(Constants!$B$17*AW161*1000)*V161)^2+((U161-1)*Constants!$B$17*EXP(Constants!$B$17*AW161*1000)*AY161*1000)^2)*1000</f>
        <v>15.400574056868157</v>
      </c>
      <c r="BE161" s="138">
        <f t="shared" si="847"/>
        <v>775800.5</v>
      </c>
      <c r="BF161" s="151">
        <f t="shared" si="848"/>
        <v>209268.60308917428</v>
      </c>
      <c r="BG161" s="160">
        <f t="shared" si="849"/>
        <v>53.94504361018776</v>
      </c>
      <c r="BH161" s="138"/>
      <c r="BI161" s="18"/>
      <c r="BJ161" s="18"/>
      <c r="BK161" s="18"/>
      <c r="BL161" s="18"/>
      <c r="BM161" s="18"/>
      <c r="BN161" s="159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</row>
    <row r="163" spans="1:110" ht="15" customHeight="1" x14ac:dyDescent="0.2">
      <c r="A163" s="138">
        <f>Input!A163</f>
        <v>10815</v>
      </c>
      <c r="B163" s="138" t="str">
        <f>Input!B163</f>
        <v>Hu1-13</v>
      </c>
      <c r="C163" s="138">
        <f>Input!O163</f>
        <v>2.1319665008885331</v>
      </c>
      <c r="D163" s="138">
        <f>C163*Input!P163/100</f>
        <v>1.7200737416636577E-2</v>
      </c>
      <c r="E163" s="139">
        <f>Input!M163</f>
        <v>2.7319952061600916</v>
      </c>
      <c r="F163" s="140">
        <f>E163*Input!N163/100</f>
        <v>2.7817636277616245E-4</v>
      </c>
      <c r="G163" s="141">
        <f t="shared" ref="G163" si="895">E163*137.88</f>
        <v>376.68749902535342</v>
      </c>
      <c r="H163" s="140">
        <f>G163*Input!L163/100</f>
        <v>3.5579928688664393E-2</v>
      </c>
      <c r="I163" s="138">
        <v>0</v>
      </c>
      <c r="J163" s="142">
        <f>(((C163*Constants!$B$24*0.000000001*Input!G163*(Constants!$B$4/Constants!$B$3))-(I163*0.000000000000001))/Input!F163)*1000000000000</f>
        <v>769.71994657682137</v>
      </c>
      <c r="K163" s="138">
        <f>J163*Input!P163/100</f>
        <v>6.210111969347337</v>
      </c>
      <c r="L163" s="143">
        <f>(J163/Constants!$B$4)*602200000000*Constants!$B$17/(365.2425*24*60)</f>
        <v>10.626838493972111</v>
      </c>
      <c r="M163" s="144">
        <f>L163*Input!P163/100</f>
        <v>8.5737490916315717E-2</v>
      </c>
      <c r="N163" s="138">
        <v>0</v>
      </c>
      <c r="O163" s="142">
        <f>(((G163*Constants!$B$23*0.000000001*Input!G163*(Constants!$B$7/Constants!$B$6))-(N163*0.000000001))/Input!F163)*1000000</f>
        <v>13.699826683113848</v>
      </c>
      <c r="P163" s="138">
        <f>O163*Input!N163/100</f>
        <v>1.394939474556717E-3</v>
      </c>
      <c r="Q163" s="145">
        <f>(O163/Constants!$B$7)*602200000000000000*Constants!$B$18/(365.2425*24*60)</f>
        <v>10.221725075663983</v>
      </c>
      <c r="R163" s="146">
        <f>Q163*Input!N163/100</f>
        <v>1.040793298771066E-3</v>
      </c>
      <c r="S163" s="144">
        <f>Input!S163*Constants!$B$17/Constants!$B$18</f>
        <v>1.0001297265921001</v>
      </c>
      <c r="T163" s="138">
        <f>S163*Input!T163/100</f>
        <v>1.729999288565244E-3</v>
      </c>
      <c r="U163" s="144">
        <f>S163</f>
        <v>1.0001297265921001</v>
      </c>
      <c r="V163" s="138">
        <f>U163*Input!T163/100</f>
        <v>1.729999288565244E-3</v>
      </c>
      <c r="W163" s="147">
        <v>0</v>
      </c>
      <c r="X163" s="142">
        <f>(((Constants!$B$25*0.000000001*Input!G163/Input!W163*(Constants!$B$11/Constants!$B$9))-(W163*0.000000001))/Input!F163)*1000000000</f>
        <v>0.9685754043371867</v>
      </c>
      <c r="Y163" s="142">
        <f>X163*Input!X163/100</f>
        <v>5.2423644919125387E-3</v>
      </c>
      <c r="Z163" s="142">
        <f>(X163/Constants!$B$11)*6.022E+23*0.000000001*Constants!$B$19/(365.2425*24*60)</f>
        <v>2.3646056901218475E-4</v>
      </c>
      <c r="AA163" s="142">
        <f>Z163*Input!X163/100</f>
        <v>1.2798306514661092E-6</v>
      </c>
      <c r="AB163" s="143">
        <v>0</v>
      </c>
      <c r="AC163" s="143">
        <v>0.9</v>
      </c>
      <c r="AD163" s="142">
        <f>(((Input!G163*Constants!$B$25*0.000000001*Input!U163*(Constants!$B$10/Constants!$B$9))-((AB163*0.000000000000001)+(Input!G163*AC163*0.000000000000001)))/Input!F163)*1000000000000</f>
        <v>224.01541158815644</v>
      </c>
      <c r="AE163" s="142">
        <f>AD163*Input!V163/100</f>
        <v>0.71057240343025796</v>
      </c>
      <c r="AF163" s="142">
        <f>(AD163/Constants!$B$10)*602200000000*Constants!$B$16/(365.2425*24*60)</f>
        <v>10.225333208264107</v>
      </c>
      <c r="AG163" s="142">
        <f>AF163*Input!V163/100</f>
        <v>3.2434552346913607E-2</v>
      </c>
      <c r="AH163" s="138">
        <f t="shared" ref="AH163" si="896">AF163/Z163</f>
        <v>43243.291052628731</v>
      </c>
      <c r="AI163" s="147">
        <f t="shared" ref="AI163" si="897">AH163*SQRT((AG163/AF163)^2+(AA163/Z163)^2)</f>
        <v>271.28421378697379</v>
      </c>
      <c r="AJ163" s="144">
        <f t="shared" ref="AJ163:AJ173" si="898">(U163-1)*1000</f>
        <v>0.12972659210008786</v>
      </c>
      <c r="AK163" s="147">
        <f t="shared" ref="AK163" si="899">V163*1000</f>
        <v>1.729999288565244</v>
      </c>
      <c r="AL163" s="147">
        <f t="shared" ref="AL163" si="900">AF163/Q163</f>
        <v>1.0003529866606093</v>
      </c>
      <c r="AM163" s="147">
        <f t="shared" ref="AM163" si="901">AL163*SQRT((R163/Q163)^2+(AG163/AF163)^2)</f>
        <v>3.1747340706700803E-3</v>
      </c>
      <c r="AN163" s="138">
        <f>AF163/Q163</f>
        <v>1.0003529866606093</v>
      </c>
      <c r="AO163" s="142">
        <f t="shared" ref="AO163" si="902">AN163*SQRT((R163/Q163)^2+(AG163/AF163)^2)</f>
        <v>3.1747340706700803E-3</v>
      </c>
      <c r="AP163" s="138" t="str">
        <f t="shared" ref="AP163" si="903">ThU_Alter_Kombi(AN163,U163)</f>
        <v>Out of range</v>
      </c>
      <c r="AQ163" s="138" t="e">
        <f t="shared" ref="AQ163:AQ173" si="904">Montealter(AN163,AO163,U163,V163)</f>
        <v>#VALUE!</v>
      </c>
      <c r="AR163" s="138" t="e">
        <f>(AQ163/AP163)*100</f>
        <v>#VALUE!</v>
      </c>
      <c r="AS163" s="146">
        <f t="shared" ref="AS163:AS173" si="905">Z163/Q163</f>
        <v>2.3133137240714209E-5</v>
      </c>
      <c r="AT163" s="146">
        <f t="shared" ref="AT163:AT173" si="906">AS163*SQRT((Y163/X163)^2+(P163/O163)^2)</f>
        <v>1.2522906794021384E-7</v>
      </c>
      <c r="AU163" s="138">
        <v>0.75</v>
      </c>
      <c r="AV163" s="138">
        <f t="shared" ref="AV163" si="907">AU163/2</f>
        <v>0.375</v>
      </c>
      <c r="AW163" s="138" t="str">
        <f t="shared" ref="AW163:AW173" si="908">marincorr_age(AN163,U163,AS163,AU163)</f>
        <v>Out of range</v>
      </c>
      <c r="AX163" s="148">
        <f t="shared" ref="AX163:AX173" si="909">marincorr_age_error(AN163, AO163, U163, V163, AS163, AT163, AU163, AV163)</f>
        <v>337.68914648409998</v>
      </c>
      <c r="AY163" s="148" t="e">
        <f t="shared" ref="AY163:AY173" si="910">SQRT(((AU163*EXP(-0.0000091577*AW163*1000))/(0.0000091577*(EXP(-0.0000091577*AW163*1000)+(AJ163/1000)*EXP(-(0.0000091577-0.0000028263)*AW163*1000)-AS163*AU163*EXP(-0.0000091577*AW163*1000))))^2*AT163^2+((AS163*EXP(-0.0000091577*AW163*1000))/(0.0000091577*(EXP(-0.0000091577*AW163*1000)+(AJ163/1000)*EXP(-(0.0000091577-0.0000028263)*AW163*1000)-AS163*AU163*EXP(-0.0000091577*AW163*1000))))^2*AV163^2+((0.0000091577/(0.0000091577-0.0000028263))*(EXP(-(0.0000091577-0.0000028263)*AW163*1000)-1)/(0.0000091577*(EXP(-0.0000091577*AW163*1000)+(AJ163/1000)*EXP(-(0.0000091577-0.0000028263)*AW163*1000)-AS163*AU163*EXP(-0.0000091577*AW163*1000))))^2*T163^2+(1/(0.0000091577*(EXP(-0.0000091577*AW163*1000)+(AJ163/1000)*EXP(-(0.0000091577-0.0000028263)*AW163*1000)-AS163*AU163*EXP(-0.0000091577*AW163*1000))))^2*AO163^2)/1000</f>
        <v>#VALUE!</v>
      </c>
      <c r="AZ163" s="149" t="e">
        <f t="shared" ref="AZ163:AZ173" si="911">AX163/AW163</f>
        <v>#VALUE!</v>
      </c>
      <c r="BA163" s="138" t="str">
        <f>Input!B163</f>
        <v>Hu1-13</v>
      </c>
      <c r="BB163" s="150">
        <f>Input!E163</f>
        <v>0</v>
      </c>
      <c r="BC163" s="138" t="e">
        <f>((U163-1)*EXP(Constants!$B$17*AW163*1000))*1000</f>
        <v>#VALUE!</v>
      </c>
      <c r="BD163" s="144" t="e">
        <f>SQRT((EXP(Constants!$B$17*AW163*1000)*V163)^2+((U163-1)*Constants!$B$17*EXP(Constants!$B$17*AW163*1000)*AY163*1000)^2)*1000</f>
        <v>#VALUE!</v>
      </c>
      <c r="BE163" s="138" t="e">
        <f t="shared" ref="BE163:BE173" si="912">AW163*1000-58</f>
        <v>#VALUE!</v>
      </c>
      <c r="BF163" s="151" t="e">
        <f t="shared" ref="BF163:BF173" si="913">AY163/2*1000</f>
        <v>#VALUE!</v>
      </c>
      <c r="BG163" s="160" t="e">
        <f t="shared" ref="BG163:BG173" si="914">AY163/AW163*100</f>
        <v>#VALUE!</v>
      </c>
      <c r="BH163" s="138"/>
      <c r="BI163" s="18"/>
      <c r="BJ163" s="18"/>
      <c r="BK163" s="18"/>
      <c r="BL163" s="18"/>
      <c r="BM163" s="18"/>
      <c r="BN163" s="159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</row>
    <row r="164" spans="1:110" ht="15" customHeight="1" x14ac:dyDescent="0.2">
      <c r="A164" s="18">
        <f>Input!A164</f>
        <v>11005</v>
      </c>
      <c r="B164" s="18" t="str">
        <f>Input!B164</f>
        <v>JPM_1829</v>
      </c>
      <c r="C164" s="18">
        <f>Input!O164</f>
        <v>3.4121181176642015</v>
      </c>
      <c r="D164" s="18">
        <f>C164*Input!P164/100</f>
        <v>7.2714331346698871E-3</v>
      </c>
      <c r="E164" s="152">
        <f>Input!M164</f>
        <v>3.9488128037485657</v>
      </c>
      <c r="F164" s="153">
        <f>E164*Input!N164/100</f>
        <v>2.0670013619266938E-4</v>
      </c>
      <c r="G164" s="21">
        <f>E164*137.88</f>
        <v>544.46230938085228</v>
      </c>
      <c r="H164" s="153">
        <f>G164*Input!L164/100</f>
        <v>6.6412913012779504E-2</v>
      </c>
      <c r="I164" s="18">
        <v>0.3</v>
      </c>
      <c r="J164" s="129">
        <f>(((C164*Constants!$B$24*0.000000001*Input!G164*(Constants!$B$4/Constants!$B$3))-(I164*0.000000000000001))/Input!F164)*1000000000000</f>
        <v>154.39398915274685</v>
      </c>
      <c r="K164" s="18">
        <f>J164*Input!P164/100</f>
        <v>0.32902306714038315</v>
      </c>
      <c r="L164" s="134">
        <f>(J164/Constants!$B$4)*602200000000*Constants!$B$17/(365.2425*24*60)</f>
        <v>2.131580446190986</v>
      </c>
      <c r="M164" s="132">
        <f>L164*Input!P164/100</f>
        <v>4.5425287610670372E-3</v>
      </c>
      <c r="N164" s="18">
        <v>5.0000000000000001E-3</v>
      </c>
      <c r="O164" s="129">
        <f>(((G164*Constants!$B$23*0.000000001*Input!G164*(Constants!$B$7/Constants!$B$6))-(N164*0.000000001))/Input!F164)*1000000</f>
        <v>2.4817343841591555</v>
      </c>
      <c r="P164" s="18">
        <f>O164*Input!N164/100</f>
        <v>1.2990609094276802E-4</v>
      </c>
      <c r="Q164" s="130">
        <f>(O164/Constants!$B$7)*602200000000000000*Constants!$B$18/(365.2425*24*60)</f>
        <v>1.8516735410211276</v>
      </c>
      <c r="R164" s="131">
        <f>Q164*Input!N164/100</f>
        <v>9.6925631103631293E-5</v>
      </c>
      <c r="S164" s="132">
        <f>Input!S164*Constants!$B$17/Constants!$B$18</f>
        <v>1.1440464993293702</v>
      </c>
      <c r="T164" s="18">
        <f>S164*Input!T164/100</f>
        <v>6.1729600776284368E-4</v>
      </c>
      <c r="U164" s="18">
        <f>S164*1/((U163+U165)/2)</f>
        <v>1.1444691677782872</v>
      </c>
      <c r="V164" s="18">
        <f>U164*Input!T164/100</f>
        <v>6.1752406802637039E-4</v>
      </c>
      <c r="W164" s="133">
        <v>3.0000000000000001E-3</v>
      </c>
      <c r="X164" s="129">
        <f>IF((((Constants!$B$25*0.000000001*Input!G164/Input!W164*(Constants!$B$11/Constants!$B$9))-(W164*0.000000001))/Input!F164)*1000000000&lt;0, "n.d.", (((Constants!$B$25*0.000000001*Input!G164/Input!W164*(Constants!$B$11/Constants!$B$9))-(W164*0.000000001))/Input!F164)*1000000000)</f>
        <v>0.10259894870560873</v>
      </c>
      <c r="Y164" s="129">
        <f>X164*Input!X164/100</f>
        <v>3.4825515663321096E-4</v>
      </c>
      <c r="Z164" s="129">
        <f>(X164/Constants!$B$11)*6.022E+23*0.000000001*Constants!$B$19/(365.2425*24*60)</f>
        <v>2.5047720272829101E-5</v>
      </c>
      <c r="AA164" s="129">
        <f>Z164*Input!X164/100</f>
        <v>8.5020342381364911E-8</v>
      </c>
      <c r="AB164" s="134">
        <v>0.05</v>
      </c>
      <c r="AC164" s="134">
        <v>0.9</v>
      </c>
      <c r="AD164" s="129">
        <f>(((Input!G164*Constants!$B$25*0.000000001*Input!U164*(Constants!$B$10/Constants!$B$9))-((AB164*0.000000000000001)+(Input!G164*AC164*0.000000000000001)))/Input!F164)*1000000000000</f>
        <v>0.12667709506328564</v>
      </c>
      <c r="AE164" s="129">
        <f>AD164*Input!V164/100</f>
        <v>2.1796286478498864E-3</v>
      </c>
      <c r="AF164" s="129">
        <f>(AD164/Constants!$B$10)*602200000000*Constants!$B$16/(365.2425*24*60)</f>
        <v>5.7822606832891952E-3</v>
      </c>
      <c r="AG164" s="129">
        <f>AF164*Input!V164/100</f>
        <v>9.9490606635215786E-5</v>
      </c>
      <c r="AH164" s="18">
        <f>AF164/Z164</f>
        <v>230.84977875457957</v>
      </c>
      <c r="AI164" s="133">
        <f>AH164*SQRT((AG164/AF164)^2+(AA164/Z164)^2)</f>
        <v>4.0485948807317396</v>
      </c>
      <c r="AJ164" s="132">
        <f t="shared" si="898"/>
        <v>144.46916777828721</v>
      </c>
      <c r="AK164" s="133">
        <f>V164*1000</f>
        <v>0.61752406802637039</v>
      </c>
      <c r="AL164" s="133">
        <f>AF164/Q164</f>
        <v>3.1227214491062493E-3</v>
      </c>
      <c r="AM164" s="133">
        <f>AL164*SQRT((R164/Q164)^2+(AG164/AF164)^2)</f>
        <v>5.3730349776151858E-5</v>
      </c>
      <c r="AN164" s="18">
        <f>AL164*1/((AN163+AN165)/2)</f>
        <v>3.1227054725756964E-3</v>
      </c>
      <c r="AO164" s="129">
        <f>AN164*SQRT((R164/Q164)^2+(AG164/AF164)^2)</f>
        <v>5.3730074879851047E-5</v>
      </c>
      <c r="AP164" s="18">
        <f>ThU_Alter_Kombi(AN164,U164)</f>
        <v>0.2979</v>
      </c>
      <c r="AQ164" s="18">
        <f t="shared" si="904"/>
        <v>5.7000000000000002E-3</v>
      </c>
      <c r="AR164" s="154">
        <f>(AQ164/AP164)</f>
        <v>1.9133937562940583E-2</v>
      </c>
      <c r="AS164" s="131">
        <f t="shared" si="905"/>
        <v>1.3527071439934403E-5</v>
      </c>
      <c r="AT164" s="131">
        <f t="shared" si="906"/>
        <v>4.5920865341905562E-8</v>
      </c>
      <c r="AU164" s="18">
        <v>8</v>
      </c>
      <c r="AV164" s="18">
        <f>AU164/2</f>
        <v>4</v>
      </c>
      <c r="AW164" s="18">
        <f t="shared" si="908"/>
        <v>0.28760000000000002</v>
      </c>
      <c r="AX164" s="135">
        <f t="shared" si="909"/>
        <v>7.5383856000000001E-3</v>
      </c>
      <c r="AY164" s="135">
        <f t="shared" si="910"/>
        <v>7.2868423886948523E-3</v>
      </c>
      <c r="AZ164" s="154">
        <f t="shared" si="911"/>
        <v>2.6211354659248957E-2</v>
      </c>
      <c r="BA164" s="18" t="str">
        <f>Input!B164</f>
        <v>JPM_1829</v>
      </c>
      <c r="BB164" s="136">
        <f>Input!E164</f>
        <v>0</v>
      </c>
      <c r="BC164" s="18">
        <f>((U164-1)*EXP(Constants!$B$17*AW164*1000))*1000</f>
        <v>144.58647008426496</v>
      </c>
      <c r="BD164" s="132">
        <f>SQRT((EXP(Constants!$B$17*AW164*1000)*V164)^2+((U164-1)*Constants!$B$17*EXP(Constants!$B$17*AW164*1000)*AY164*1000)^2)*1000</f>
        <v>0.61803262111196722</v>
      </c>
      <c r="BE164" s="18">
        <f t="shared" si="912"/>
        <v>229.60000000000002</v>
      </c>
      <c r="BF164" s="137">
        <f t="shared" si="913"/>
        <v>3.6434211943474262</v>
      </c>
      <c r="BG164" s="20">
        <f t="shared" si="914"/>
        <v>2.5336725969036342</v>
      </c>
      <c r="BH164" s="18"/>
      <c r="BI164" s="18"/>
      <c r="BJ164" s="18"/>
      <c r="BK164" s="18"/>
      <c r="BL164" s="18"/>
      <c r="BM164" s="18"/>
      <c r="BN164" s="159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</row>
    <row r="165" spans="1:110" ht="15" customHeight="1" x14ac:dyDescent="0.2">
      <c r="A165" s="138">
        <f>Input!A165</f>
        <v>10815</v>
      </c>
      <c r="B165" s="138" t="str">
        <f>Input!B165</f>
        <v>Hu1-13</v>
      </c>
      <c r="C165" s="138">
        <f>Input!O165</f>
        <v>2.0882538817419194</v>
      </c>
      <c r="D165" s="138">
        <f>C165*Input!P165/100</f>
        <v>1.7488516088127973E-2</v>
      </c>
      <c r="E165" s="139">
        <f>Input!M165</f>
        <v>2.7322106346334949</v>
      </c>
      <c r="F165" s="140">
        <f>E165*Input!N165/100</f>
        <v>2.2893436139862004E-4</v>
      </c>
      <c r="G165" s="141">
        <f t="shared" ref="G165" si="915">E165*137.88</f>
        <v>376.71720230326628</v>
      </c>
      <c r="H165" s="140">
        <f>G165*Input!L165/100</f>
        <v>2.0945162881217651E-2</v>
      </c>
      <c r="I165" s="138">
        <v>0</v>
      </c>
      <c r="J165" s="142">
        <f>(((C165*Constants!$B$24*0.000000001*Input!G165*(Constants!$B$4/Constants!$B$3))-(I165*0.000000000000001))/Input!F165)*1000000000000</f>
        <v>753.93804997561233</v>
      </c>
      <c r="K165" s="138">
        <f>J165*Input!P165/100</f>
        <v>6.3140108737409992</v>
      </c>
      <c r="L165" s="143">
        <f>(J165/Constants!$B$4)*602200000000*Constants!$B$17/(365.2425*24*60)</f>
        <v>10.408951888518422</v>
      </c>
      <c r="M165" s="144">
        <f>L165*Input!P165/100</f>
        <v>8.717193065196556E-2</v>
      </c>
      <c r="N165" s="138">
        <v>0</v>
      </c>
      <c r="O165" s="142">
        <f>(((G165*Constants!$B$23*0.000000001*Input!G165*(Constants!$B$7/Constants!$B$6))-(N165*0.000000001))/Input!F165)*1000000</f>
        <v>13.700906967860169</v>
      </c>
      <c r="P165" s="138">
        <f>O165*Input!N165/100</f>
        <v>1.1480111919298357E-3</v>
      </c>
      <c r="Q165" s="145">
        <f>(O165/Constants!$B$7)*602200000000000000*Constants!$B$18/(365.2425*24*60)</f>
        <v>10.222531098538267</v>
      </c>
      <c r="R165" s="146">
        <f>Q165*Input!N165/100</f>
        <v>8.5655498125067646E-4</v>
      </c>
      <c r="S165" s="144">
        <f>Input!S165*Constants!$B$17/Constants!$B$18</f>
        <v>0.99913164547310351</v>
      </c>
      <c r="T165" s="138">
        <f>S165*Input!T165/100</f>
        <v>1.0782320347825737E-3</v>
      </c>
      <c r="U165" s="144">
        <f>S165</f>
        <v>0.99913164547310351</v>
      </c>
      <c r="V165" s="138">
        <f>U165*Input!T165/100</f>
        <v>1.0782320347825737E-3</v>
      </c>
      <c r="W165" s="147">
        <v>0</v>
      </c>
      <c r="X165" s="142">
        <f>(((Constants!$B$25*0.000000001*Input!G165/Input!W165*(Constants!$B$11/Constants!$B$9))-(W165*0.000000001))/Input!F165)*1000000000</f>
        <v>0.95969738876940491</v>
      </c>
      <c r="Y165" s="142">
        <f>X165*Input!X165/100</f>
        <v>3.946088435090706E-3</v>
      </c>
      <c r="Z165" s="142">
        <f>(X165/Constants!$B$11)*6.022E+23*0.000000001*Constants!$B$19/(365.2425*24*60)</f>
        <v>2.3429315839711411E-4</v>
      </c>
      <c r="AA165" s="142">
        <f>Z165*Input!X165/100</f>
        <v>9.633677590362547E-7</v>
      </c>
      <c r="AB165" s="143">
        <v>0</v>
      </c>
      <c r="AC165" s="143">
        <v>0.9</v>
      </c>
      <c r="AD165" s="142">
        <f>(((Input!G165*Constants!$B$25*0.000000001*Input!U165*(Constants!$B$10/Constants!$B$9))-((AB165*0.000000000000001)+(Input!G165*AC165*0.000000000000001)))/Input!F165)*1000000000000</f>
        <v>223.87726211903731</v>
      </c>
      <c r="AE165" s="142">
        <f>AD165*Input!V165/100</f>
        <v>0.58733462867724728</v>
      </c>
      <c r="AF165" s="142">
        <f>(AD165/Constants!$B$10)*602200000000*Constants!$B$16/(365.2425*24*60)</f>
        <v>10.219027283398164</v>
      </c>
      <c r="AG165" s="142">
        <f>AF165*Input!V165/100</f>
        <v>2.6809281738250017E-2</v>
      </c>
      <c r="AH165" s="138">
        <f t="shared" ref="AH165" si="916">AF165/Z165</f>
        <v>43616.413527865254</v>
      </c>
      <c r="AI165" s="147">
        <f t="shared" ref="AI165" si="917">AH165*SQRT((AG165/AF165)^2+(AA165/Z165)^2)</f>
        <v>212.73687915762244</v>
      </c>
      <c r="AJ165" s="144">
        <f t="shared" si="898"/>
        <v>-0.86835452689648651</v>
      </c>
      <c r="AK165" s="147">
        <f t="shared" ref="AK165" si="918">V165*1000</f>
        <v>1.0782320347825736</v>
      </c>
      <c r="AL165" s="147">
        <f t="shared" ref="AL165" si="919">AF165/Q165</f>
        <v>0.99965724583213988</v>
      </c>
      <c r="AM165" s="147">
        <f t="shared" ref="AM165" si="920">AL165*SQRT((R165/Q165)^2+(AG165/AF165)^2)</f>
        <v>2.6239051812592044E-3</v>
      </c>
      <c r="AN165" s="138">
        <f>AF165/Q165</f>
        <v>0.99965724583213988</v>
      </c>
      <c r="AO165" s="142">
        <f t="shared" ref="AO165" si="921">AN165*SQRT((R165/Q165)^2+(AG165/AF165)^2)</f>
        <v>2.6239051812592044E-3</v>
      </c>
      <c r="AP165" s="138" t="str">
        <f t="shared" ref="AP165" si="922">ThU_Alter_Kombi(AN165,U165)</f>
        <v>Out of range</v>
      </c>
      <c r="AQ165" s="138" t="e">
        <f t="shared" si="904"/>
        <v>#VALUE!</v>
      </c>
      <c r="AR165" s="138" t="e">
        <f>(AQ165/AP165)*100</f>
        <v>#VALUE!</v>
      </c>
      <c r="AS165" s="146">
        <f t="shared" si="905"/>
        <v>2.2919290353698799E-5</v>
      </c>
      <c r="AT165" s="146">
        <f t="shared" si="906"/>
        <v>9.4259215937084351E-8</v>
      </c>
      <c r="AU165" s="138">
        <v>0.75</v>
      </c>
      <c r="AV165" s="138">
        <f t="shared" ref="AV165" si="923">AU165/2</f>
        <v>0.375</v>
      </c>
      <c r="AW165" s="138" t="str">
        <f t="shared" si="908"/>
        <v>Out of range</v>
      </c>
      <c r="AX165" s="148">
        <f t="shared" si="909"/>
        <v>343.90980593249998</v>
      </c>
      <c r="AY165" s="148" t="e">
        <f t="shared" si="910"/>
        <v>#VALUE!</v>
      </c>
      <c r="AZ165" s="149" t="e">
        <f t="shared" si="911"/>
        <v>#VALUE!</v>
      </c>
      <c r="BA165" s="138" t="str">
        <f>Input!B165</f>
        <v>Hu1-13</v>
      </c>
      <c r="BB165" s="150">
        <f>Input!E165</f>
        <v>0</v>
      </c>
      <c r="BC165" s="138" t="e">
        <f>((U165-1)*EXP(Constants!$B$17*AW165*1000))*1000</f>
        <v>#VALUE!</v>
      </c>
      <c r="BD165" s="144" t="e">
        <f>SQRT((EXP(Constants!$B$17*AW165*1000)*V165)^2+((U165-1)*Constants!$B$17*EXP(Constants!$B$17*AW165*1000)*AY165*1000)^2)*1000</f>
        <v>#VALUE!</v>
      </c>
      <c r="BE165" s="138" t="e">
        <f t="shared" si="912"/>
        <v>#VALUE!</v>
      </c>
      <c r="BF165" s="151" t="e">
        <f t="shared" si="913"/>
        <v>#VALUE!</v>
      </c>
      <c r="BG165" s="160" t="e">
        <f t="shared" si="914"/>
        <v>#VALUE!</v>
      </c>
      <c r="BH165" s="138"/>
      <c r="BI165" s="18"/>
      <c r="BJ165" s="18"/>
      <c r="BK165" s="18"/>
      <c r="BL165" s="18"/>
      <c r="BM165" s="18"/>
      <c r="BN165" s="159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</row>
    <row r="166" spans="1:110" ht="15" customHeight="1" x14ac:dyDescent="0.2">
      <c r="A166" s="18">
        <f>Input!A166</f>
        <v>11006</v>
      </c>
      <c r="B166" s="18" t="str">
        <f>Input!B166</f>
        <v>JPM_1850</v>
      </c>
      <c r="C166" s="18">
        <f>Input!O166</f>
        <v>3.8455553672106717</v>
      </c>
      <c r="D166" s="18">
        <f>C166*Input!P166/100</f>
        <v>1.009582103481905E-2</v>
      </c>
      <c r="E166" s="152">
        <f>Input!M166</f>
        <v>4.442208342255122</v>
      </c>
      <c r="F166" s="153">
        <f>E166*Input!N166/100</f>
        <v>2.1815400825609982E-4</v>
      </c>
      <c r="G166" s="21">
        <f>E166*137.88</f>
        <v>612.49168623013622</v>
      </c>
      <c r="H166" s="153">
        <f>G166*Input!L166/100</f>
        <v>2.8955784117453542E-2</v>
      </c>
      <c r="I166" s="18">
        <v>0.3</v>
      </c>
      <c r="J166" s="129">
        <f>(((C166*Constants!$B$24*0.000000001*Input!G166*(Constants!$B$4/Constants!$B$3))-(I166*0.000000000000001))/Input!F166)*1000000000000</f>
        <v>157.96248815605026</v>
      </c>
      <c r="K166" s="18">
        <f>J166*Input!P166/100</f>
        <v>0.41470239233480299</v>
      </c>
      <c r="L166" s="134">
        <f>(J166/Constants!$B$4)*602200000000*Constants!$B$17/(365.2425*24*60)</f>
        <v>2.1808475370889884</v>
      </c>
      <c r="M166" s="132">
        <f>L166*Input!P166/100</f>
        <v>5.7254269764022217E-3</v>
      </c>
      <c r="N166" s="18">
        <v>5.0000000000000001E-3</v>
      </c>
      <c r="O166" s="129">
        <f>(((G166*Constants!$B$23*0.000000001*Input!G166*(Constants!$B$7/Constants!$B$6))-(N166*0.000000001))/Input!F166)*1000000</f>
        <v>2.5344064427854303</v>
      </c>
      <c r="P166" s="18">
        <f>O166*Input!N166/100</f>
        <v>1.2446307814618302E-4</v>
      </c>
      <c r="Q166" s="130">
        <f>(O166/Constants!$B$7)*602200000000000000*Constants!$B$18/(365.2425*24*60)</f>
        <v>1.8909732573533535</v>
      </c>
      <c r="R166" s="131">
        <f>Q166*Input!N166/100</f>
        <v>9.2864486267500628E-5</v>
      </c>
      <c r="S166" s="132">
        <f>Input!S166*Constants!$B$17/Constants!$B$18</f>
        <v>1.1448285853759532</v>
      </c>
      <c r="T166" s="18">
        <f>S166*Input!T166/100</f>
        <v>5.627199715790435E-4</v>
      </c>
      <c r="U166" s="18">
        <f>S166*1/((U165+U167)/2)</f>
        <v>1.1449759172189977</v>
      </c>
      <c r="V166" s="18">
        <f>U166*Input!T166/100</f>
        <v>5.6279238990576035E-4</v>
      </c>
      <c r="W166" s="133">
        <v>3.0000000000000001E-3</v>
      </c>
      <c r="X166" s="129">
        <f>IF((((Constants!$B$25*0.000000001*Input!G166/Input!W166*(Constants!$B$11/Constants!$B$9))-(W166*0.000000001))/Input!F166)*1000000000&lt;0, "n.d.", (((Constants!$B$25*0.000000001*Input!G166/Input!W166*(Constants!$B$11/Constants!$B$9))-(W166*0.000000001))/Input!F166)*1000000000)</f>
        <v>6.8144448016173184E-2</v>
      </c>
      <c r="Y166" s="129">
        <f>X166*Input!X166/100</f>
        <v>1.736897522321815E-4</v>
      </c>
      <c r="Z166" s="129">
        <f>(X166/Constants!$B$11)*6.022E+23*0.000000001*Constants!$B$19/(365.2425*24*60)</f>
        <v>1.6636262784261272E-5</v>
      </c>
      <c r="AA166" s="129">
        <f>Z166*Input!X166/100</f>
        <v>4.2403283689112959E-8</v>
      </c>
      <c r="AB166" s="134">
        <v>0.05</v>
      </c>
      <c r="AC166" s="134">
        <v>0.9</v>
      </c>
      <c r="AD166" s="129">
        <f>(((Input!G166*Constants!$B$25*0.000000001*Input!U166*(Constants!$B$10/Constants!$B$9))-((AB166*0.000000000000001)+(Input!G166*AC166*0.000000000000001)))/Input!F166)*1000000000000</f>
        <v>0.10593701412955595</v>
      </c>
      <c r="AE166" s="129">
        <f>AD166*Input!V166/100</f>
        <v>1.1170538307027284E-3</v>
      </c>
      <c r="AF166" s="129">
        <f>(AD166/Constants!$B$10)*602200000000*Constants!$B$16/(365.2425*24*60)</f>
        <v>4.8355658250638081E-3</v>
      </c>
      <c r="AG166" s="129">
        <f>AF166*Input!V166/100</f>
        <v>5.098866881311985E-5</v>
      </c>
      <c r="AH166" s="18">
        <f>AF166/Z166</f>
        <v>290.6641886925766</v>
      </c>
      <c r="AI166" s="133">
        <f>AH166*SQRT((AG166/AF166)^2+(AA166/Z166)^2)</f>
        <v>3.1531812783637578</v>
      </c>
      <c r="AJ166" s="132">
        <f t="shared" si="898"/>
        <v>144.97591721899772</v>
      </c>
      <c r="AK166" s="133">
        <f>V166*1000</f>
        <v>0.5627923899057603</v>
      </c>
      <c r="AL166" s="133">
        <f>AF166/Q166</f>
        <v>2.5571836123329259E-3</v>
      </c>
      <c r="AM166" s="133">
        <f>AL166*SQRT((R166/Q166)^2+(AG166/AF166)^2)</f>
        <v>2.6964538818643476E-5</v>
      </c>
      <c r="AN166" s="18">
        <f>AL166*1/((AN165+AN167)/2)</f>
        <v>2.5568998122507511E-3</v>
      </c>
      <c r="AO166" s="129">
        <f>AN166*SQRT((R166/Q166)^2+(AG166/AF166)^2)</f>
        <v>2.6961546253582591E-5</v>
      </c>
      <c r="AP166" s="18">
        <f>ThU_Alter_Kombi(AN166,U166)</f>
        <v>0.24379999999999999</v>
      </c>
      <c r="AQ166" s="18">
        <f t="shared" si="904"/>
        <v>4.4999999999999997E-3</v>
      </c>
      <c r="AR166" s="154">
        <f>(AQ166/AP166)</f>
        <v>1.8457752255947497E-2</v>
      </c>
      <c r="AS166" s="131">
        <f t="shared" si="905"/>
        <v>8.7977250442693932E-6</v>
      </c>
      <c r="AT166" s="131">
        <f t="shared" si="906"/>
        <v>2.242821438324003E-8</v>
      </c>
      <c r="AU166" s="18">
        <v>8</v>
      </c>
      <c r="AV166" s="18">
        <f>AU166/2</f>
        <v>4</v>
      </c>
      <c r="AW166" s="18">
        <f t="shared" si="908"/>
        <v>0.23710000000000001</v>
      </c>
      <c r="AX166" s="135">
        <f t="shared" si="909"/>
        <v>4.240784E-3</v>
      </c>
      <c r="AY166" s="135">
        <f t="shared" si="910"/>
        <v>4.2329398151409381E-3</v>
      </c>
      <c r="AZ166" s="154">
        <f t="shared" si="911"/>
        <v>1.7886056516237873E-2</v>
      </c>
      <c r="BA166" s="18" t="str">
        <f>Input!B166</f>
        <v>JPM_1850</v>
      </c>
      <c r="BB166" s="136">
        <f>Input!E166</f>
        <v>0</v>
      </c>
      <c r="BC166" s="18">
        <f>((U166-1)*EXP(Constants!$B$17*AW166*1000))*1000</f>
        <v>145.07295457746162</v>
      </c>
      <c r="BD166" s="132">
        <f>SQRT((EXP(Constants!$B$17*AW166*1000)*V166)^2+((U166-1)*Constants!$B$17*EXP(Constants!$B$17*AW166*1000)*AY166*1000)^2)*1000</f>
        <v>0.56317175253911456</v>
      </c>
      <c r="BE166" s="18">
        <f t="shared" si="912"/>
        <v>179.1</v>
      </c>
      <c r="BF166" s="137">
        <f t="shared" si="913"/>
        <v>2.1164699075704689</v>
      </c>
      <c r="BG166" s="20">
        <f t="shared" si="914"/>
        <v>1.7852972649265872</v>
      </c>
      <c r="BH166" s="18"/>
      <c r="BI166" s="18"/>
      <c r="BJ166" s="18"/>
      <c r="BK166" s="18"/>
      <c r="BL166" s="18"/>
      <c r="BM166" s="18"/>
      <c r="BN166" s="159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</row>
    <row r="167" spans="1:110" ht="15" customHeight="1" x14ac:dyDescent="0.2">
      <c r="A167" s="138">
        <f>Input!A167</f>
        <v>10815</v>
      </c>
      <c r="B167" s="138" t="str">
        <f>Input!B167</f>
        <v>Hu1-13</v>
      </c>
      <c r="C167" s="138">
        <f>Input!O167</f>
        <v>2.1059767729733712</v>
      </c>
      <c r="D167" s="138">
        <f>C167*Input!P167/100</f>
        <v>1.5860489644230973E-2</v>
      </c>
      <c r="E167" s="139">
        <f>Input!M167</f>
        <v>2.7316855806213631</v>
      </c>
      <c r="F167" s="140">
        <f>E167*Input!N167/100</f>
        <v>3.4162862390641E-4</v>
      </c>
      <c r="G167" s="141">
        <f t="shared" ref="G167" si="924">E167*137.88</f>
        <v>376.64480785607356</v>
      </c>
      <c r="H167" s="140">
        <f>G167*Input!L167/100</f>
        <v>2.35068531661662E-2</v>
      </c>
      <c r="I167" s="138">
        <v>0</v>
      </c>
      <c r="J167" s="142">
        <f>(((C167*Constants!$B$24*0.000000001*Input!G167*(Constants!$B$4/Constants!$B$3))-(I167*0.000000000000001))/Input!F167)*1000000000000</f>
        <v>760.33667907516622</v>
      </c>
      <c r="K167" s="138">
        <f>J167*Input!P167/100</f>
        <v>5.7262322070031324</v>
      </c>
      <c r="L167" s="143">
        <f>(J167/Constants!$B$4)*602200000000*Constants!$B$17/(365.2425*24*60)</f>
        <v>10.497292067730607</v>
      </c>
      <c r="M167" s="144">
        <f>L167*Input!P167/100</f>
        <v>7.9056993538273182E-2</v>
      </c>
      <c r="N167" s="138">
        <v>0</v>
      </c>
      <c r="O167" s="142">
        <f>(((G167*Constants!$B$23*0.000000001*Input!G167*(Constants!$B$7/Constants!$B$6))-(N167*0.000000001))/Input!F167)*1000000</f>
        <v>13.698274039021472</v>
      </c>
      <c r="P167" s="138">
        <f>O167*Input!N167/100</f>
        <v>1.7131263360036233E-3</v>
      </c>
      <c r="Q167" s="145">
        <f>(O167/Constants!$B$7)*602200000000000000*Constants!$B$18/(365.2425*24*60)</f>
        <v>10.22056661567615</v>
      </c>
      <c r="R167" s="146">
        <f>Q167*Input!N167/100</f>
        <v>1.278199121167895E-3</v>
      </c>
      <c r="S167" s="144">
        <f>Input!S167*Constants!$B$17/Constants!$B$18</f>
        <v>1.0006110009165214</v>
      </c>
      <c r="T167" s="138">
        <f>S167*Input!T167/100</f>
        <v>1.4752149140808226E-3</v>
      </c>
      <c r="U167" s="144">
        <f>S167</f>
        <v>1.0006110009165214</v>
      </c>
      <c r="V167" s="138">
        <f>U167*Input!T167/100</f>
        <v>1.4752149140808226E-3</v>
      </c>
      <c r="W167" s="147">
        <v>0</v>
      </c>
      <c r="X167" s="142">
        <f>(((Constants!$B$25*0.000000001*Input!G167/Input!W167*(Constants!$B$11/Constants!$B$9))-(W167*0.000000001))/Input!F167)*1000000000</f>
        <v>0.95291655274285314</v>
      </c>
      <c r="Y167" s="142">
        <f>X167*Input!X167/100</f>
        <v>4.7109100405681344E-3</v>
      </c>
      <c r="Z167" s="142">
        <f>(X167/Constants!$B$11)*6.022E+23*0.000000001*Constants!$B$19/(365.2425*24*60)</f>
        <v>2.3263773710721053E-4</v>
      </c>
      <c r="AA167" s="142">
        <f>Z167*Input!X167/100</f>
        <v>1.1500854386450657E-6</v>
      </c>
      <c r="AB167" s="143">
        <v>0</v>
      </c>
      <c r="AC167" s="143">
        <v>0.9</v>
      </c>
      <c r="AD167" s="142">
        <f>(((Input!G167*Constants!$B$25*0.000000001*Input!U167*(Constants!$B$10/Constants!$B$9))-((AB167*0.000000000000001)+(Input!G167*AC167*0.000000000000001)))/Input!F167)*1000000000000</f>
        <v>224.03743752733047</v>
      </c>
      <c r="AE167" s="142">
        <f>AD167*Input!V167/100</f>
        <v>0.6484136070792883</v>
      </c>
      <c r="AF167" s="142">
        <f>(AD167/Constants!$B$10)*602200000000*Constants!$B$16/(365.2425*24*60)</f>
        <v>10.226338596981261</v>
      </c>
      <c r="AG167" s="142">
        <f>AF167*Input!V167/100</f>
        <v>2.9597272536532472E-2</v>
      </c>
      <c r="AH167" s="138">
        <f t="shared" ref="AH167" si="925">AF167/Z167</f>
        <v>43958.210409639934</v>
      </c>
      <c r="AI167" s="147">
        <f t="shared" ref="AI167" si="926">AH167*SQRT((AG167/AF167)^2+(AA167/Z167)^2)</f>
        <v>251.81737901900664</v>
      </c>
      <c r="AJ167" s="144">
        <f t="shared" si="898"/>
        <v>0.61100091652144251</v>
      </c>
      <c r="AK167" s="147">
        <f t="shared" ref="AK167" si="927">V167*1000</f>
        <v>1.4752149140808226</v>
      </c>
      <c r="AL167" s="147">
        <f t="shared" ref="AL167" si="928">AF167/Q167</f>
        <v>1.0005647418115018</v>
      </c>
      <c r="AM167" s="147">
        <f t="shared" ref="AM167" si="929">AL167*SQRT((R167/Q167)^2+(AG167/AF167)^2)</f>
        <v>2.8985566402680131E-3</v>
      </c>
      <c r="AN167" s="138">
        <f>AF167/Q167</f>
        <v>1.0005647418115018</v>
      </c>
      <c r="AO167" s="142">
        <f t="shared" ref="AO167" si="930">AN167*SQRT((R167/Q167)^2+(AG167/AF167)^2)</f>
        <v>2.8985566402680131E-3</v>
      </c>
      <c r="AP167" s="138">
        <f t="shared" ref="AP167" si="931">ThU_Alter_Kombi(AN167,U167)</f>
        <v>879.3931</v>
      </c>
      <c r="AQ167" s="138" t="e">
        <f t="shared" si="904"/>
        <v>#VALUE!</v>
      </c>
      <c r="AR167" s="138" t="e">
        <f>(AQ167/AP167)*100</f>
        <v>#VALUE!</v>
      </c>
      <c r="AS167" s="146">
        <f t="shared" si="905"/>
        <v>2.2761726023134012E-5</v>
      </c>
      <c r="AT167" s="146">
        <f t="shared" si="906"/>
        <v>1.1256258313451828E-7</v>
      </c>
      <c r="AU167" s="138">
        <v>0.75</v>
      </c>
      <c r="AV167" s="138">
        <f t="shared" ref="AV167" si="932">AU167/2</f>
        <v>0.375</v>
      </c>
      <c r="AW167" s="138">
        <f t="shared" si="908"/>
        <v>879.3913</v>
      </c>
      <c r="AX167" s="148">
        <f t="shared" si="909"/>
        <v>351.88613477839999</v>
      </c>
      <c r="AY167" s="148">
        <f t="shared" si="910"/>
        <v>1224.9977121823604</v>
      </c>
      <c r="AZ167" s="149">
        <f t="shared" si="911"/>
        <v>0.40014739147226042</v>
      </c>
      <c r="BA167" s="138" t="str">
        <f>Input!B167</f>
        <v>Hu1-13</v>
      </c>
      <c r="BB167" s="150">
        <f>Input!E167</f>
        <v>0</v>
      </c>
      <c r="BC167" s="138">
        <f>((U167-1)*EXP(Constants!$B$17*AW167*1000))*1000</f>
        <v>7.3085010082384656</v>
      </c>
      <c r="BD167" s="144">
        <f>SQRT((EXP(Constants!$B$17*AW167*1000)*V167)^2+((U167-1)*Constants!$B$17*EXP(Constants!$B$17*AW167*1000)*AY167*1000)^2)*1000</f>
        <v>30.817624765831614</v>
      </c>
      <c r="BE167" s="138">
        <f t="shared" si="912"/>
        <v>879333.3</v>
      </c>
      <c r="BF167" s="151">
        <f t="shared" si="913"/>
        <v>612498.85609118023</v>
      </c>
      <c r="BG167" s="160">
        <f t="shared" si="914"/>
        <v>139.30064036139095</v>
      </c>
      <c r="BH167" s="138"/>
      <c r="BI167" s="18"/>
      <c r="BJ167" s="18"/>
      <c r="BK167" s="18"/>
      <c r="BL167" s="18"/>
      <c r="BM167" s="18"/>
      <c r="BN167" s="159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</row>
    <row r="168" spans="1:110" ht="15" customHeight="1" x14ac:dyDescent="0.2">
      <c r="A168" s="18">
        <f>Input!A168</f>
        <v>11007</v>
      </c>
      <c r="B168" s="18" t="str">
        <f>Input!B168</f>
        <v>JPM_1870</v>
      </c>
      <c r="C168" s="18">
        <f>Input!O168</f>
        <v>3.9876045736465091</v>
      </c>
      <c r="D168" s="18">
        <f>C168*Input!P168/100</f>
        <v>1.4470370370745826E-2</v>
      </c>
      <c r="E168" s="152">
        <f>Input!M168</f>
        <v>4.5831762900471631</v>
      </c>
      <c r="F168" s="153">
        <f>E168*Input!N168/100</f>
        <v>3.0020258099624413E-4</v>
      </c>
      <c r="G168" s="21">
        <f>E168*137.88</f>
        <v>631.92834687170284</v>
      </c>
      <c r="H168" s="153">
        <f>G168*Input!L168/100</f>
        <v>7.9969682610398246E-2</v>
      </c>
      <c r="I168" s="18">
        <v>0.3</v>
      </c>
      <c r="J168" s="129">
        <f>(((C168*Constants!$B$24*0.000000001*Input!G168*(Constants!$B$4/Constants!$B$3))-(I168*0.000000000000001))/Input!F168)*1000000000000</f>
        <v>164.18624546271212</v>
      </c>
      <c r="K168" s="18">
        <f>J168*Input!P168/100</f>
        <v>0.59580526046368265</v>
      </c>
      <c r="L168" s="134">
        <f>(J168/Constants!$B$4)*602200000000*Constants!$B$17/(365.2425*24*60)</f>
        <v>2.2667734170375509</v>
      </c>
      <c r="M168" s="132">
        <f>L168*Input!P168/100</f>
        <v>8.2257531521233978E-3</v>
      </c>
      <c r="N168" s="18">
        <v>5.0000000000000001E-3</v>
      </c>
      <c r="O168" s="129">
        <f>(((G168*Constants!$B$23*0.000000001*Input!G168*(Constants!$B$7/Constants!$B$6))-(N168*0.000000001))/Input!F168)*1000000</f>
        <v>2.6210400931727249</v>
      </c>
      <c r="P168" s="18">
        <f>O168*Input!N168/100</f>
        <v>1.716807190187727E-4</v>
      </c>
      <c r="Q168" s="130">
        <f>(O168/Constants!$B$7)*602200000000000000*Constants!$B$18/(365.2425*24*60)</f>
        <v>1.9556124222890405</v>
      </c>
      <c r="R168" s="131">
        <f>Q168*Input!N168/100</f>
        <v>1.2809454828835429E-4</v>
      </c>
      <c r="S168" s="132">
        <f>Input!S168*Constants!$B$17/Constants!$B$18</f>
        <v>1.1448088492885984</v>
      </c>
      <c r="T168" s="18">
        <f>S168*Input!T168/100</f>
        <v>5.8347461843403635E-4</v>
      </c>
      <c r="U168" s="18">
        <f>S168*1/((U167+U169)/2)</f>
        <v>1.1447145273331922</v>
      </c>
      <c r="V168" s="18">
        <f>U168*Input!T168/100</f>
        <v>5.8342654537190482E-4</v>
      </c>
      <c r="W168" s="133">
        <v>3.0000000000000001E-3</v>
      </c>
      <c r="X168" s="129">
        <f>IF((((Constants!$B$25*0.000000001*Input!G168/Input!W168*(Constants!$B$11/Constants!$B$9))-(W168*0.000000001))/Input!F168)*1000000000&lt;0, "n.d.", (((Constants!$B$25*0.000000001*Input!G168/Input!W168*(Constants!$B$11/Constants!$B$9))-(W168*0.000000001))/Input!F168)*1000000000)</f>
        <v>6.2829963331729674E-3</v>
      </c>
      <c r="Y168" s="129">
        <f>X168*Input!X168/100</f>
        <v>7.5528652682459497E-5</v>
      </c>
      <c r="Z168" s="129">
        <f>(X168/Constants!$B$11)*6.022E+23*0.000000001*Constants!$B$19/(365.2425*24*60)</f>
        <v>1.5338825262244065E-6</v>
      </c>
      <c r="AA168" s="129">
        <f>Z168*Input!X168/100</f>
        <v>1.8438985865266369E-8</v>
      </c>
      <c r="AB168" s="134">
        <v>0.05</v>
      </c>
      <c r="AC168" s="134">
        <v>0.9</v>
      </c>
      <c r="AD168" s="129">
        <f>(((Input!G168*Constants!$B$25*0.000000001*Input!U168*(Constants!$B$10/Constants!$B$9))-((AB168*0.000000000000001)+(Input!G168*AC168*0.000000000000001)))/Input!F168)*1000000000000</f>
        <v>0.10564889783506128</v>
      </c>
      <c r="AE168" s="129">
        <f>AD168*Input!V168/100</f>
        <v>2.4042015175900306E-3</v>
      </c>
      <c r="AF168" s="129">
        <f>(AD168/Constants!$B$10)*602200000000*Constants!$B$16/(365.2425*24*60)</f>
        <v>4.8224145642061199E-3</v>
      </c>
      <c r="AG168" s="129">
        <f>AF168*Input!V168/100</f>
        <v>1.0974138539346832E-4</v>
      </c>
      <c r="AH168" s="18">
        <f>AF168/Z168</f>
        <v>3143.9269186254505</v>
      </c>
      <c r="AI168" s="133">
        <f>AH168*SQRT((AG168/AF168)^2+(AA168/Z168)^2)</f>
        <v>80.913626766891127</v>
      </c>
      <c r="AJ168" s="132">
        <f t="shared" si="898"/>
        <v>144.71452733319222</v>
      </c>
      <c r="AK168" s="133">
        <f>V168*1000</f>
        <v>0.58342654537190486</v>
      </c>
      <c r="AL168" s="133">
        <f>AF168/Q168</f>
        <v>2.4659357392307281E-3</v>
      </c>
      <c r="AM168" s="133">
        <f>AL168*SQRT((R168/Q168)^2+(AG168/AF168)^2)</f>
        <v>5.6116354517105663E-5</v>
      </c>
      <c r="AN168" s="18">
        <f>AL168*1/((AN167+AN169)/2)</f>
        <v>2.4679493632001554E-3</v>
      </c>
      <c r="AO168" s="129">
        <f>AN168*SQRT((R168/Q168)^2+(AG168/AF168)^2)</f>
        <v>5.616217778603147E-5</v>
      </c>
      <c r="AP168" s="18">
        <f>ThU_Alter_Kombi(AN168,U168)</f>
        <v>0.23530000000000001</v>
      </c>
      <c r="AQ168" s="18">
        <f t="shared" si="904"/>
        <v>7.1999999999999998E-3</v>
      </c>
      <c r="AR168" s="154">
        <f>(AQ168/AP168)</f>
        <v>3.059923501912452E-2</v>
      </c>
      <c r="AS168" s="131">
        <f t="shared" si="905"/>
        <v>7.8434893782736359E-7</v>
      </c>
      <c r="AT168" s="131">
        <f t="shared" si="906"/>
        <v>9.428892646151338E-9</v>
      </c>
      <c r="AU168" s="18">
        <v>8</v>
      </c>
      <c r="AV168" s="18">
        <f>AU168/2</f>
        <v>4</v>
      </c>
      <c r="AW168" s="18">
        <f t="shared" si="908"/>
        <v>0.23469999999999999</v>
      </c>
      <c r="AX168" s="135">
        <f t="shared" si="909"/>
        <v>5.0949022000000002E-3</v>
      </c>
      <c r="AY168" s="135">
        <f t="shared" si="910"/>
        <v>5.3782570042935334E-3</v>
      </c>
      <c r="AZ168" s="154">
        <f t="shared" si="911"/>
        <v>2.1708147422241159E-2</v>
      </c>
      <c r="BA168" s="18" t="str">
        <f>Input!B168</f>
        <v>JPM_1870</v>
      </c>
      <c r="BB168" s="136">
        <f>Input!E168</f>
        <v>0</v>
      </c>
      <c r="BC168" s="18">
        <f>((U168-1)*EXP(Constants!$B$17*AW168*1000))*1000</f>
        <v>144.81040893832017</v>
      </c>
      <c r="BD168" s="132">
        <f>SQRT((EXP(Constants!$B$17*AW168*1000)*V168)^2+((U168-1)*Constants!$B$17*EXP(Constants!$B$17*AW168*1000)*AY168*1000)^2)*1000</f>
        <v>0.58381723587221845</v>
      </c>
      <c r="BE168" s="18">
        <f t="shared" si="912"/>
        <v>176.7</v>
      </c>
      <c r="BF168" s="137">
        <f t="shared" si="913"/>
        <v>2.6891285021467666</v>
      </c>
      <c r="BG168" s="20">
        <f t="shared" si="914"/>
        <v>2.2915453789064908</v>
      </c>
      <c r="BH168" s="18"/>
      <c r="BI168" s="18"/>
      <c r="BJ168" s="18"/>
      <c r="BK168" s="18"/>
      <c r="BL168" s="18"/>
      <c r="BM168" s="18"/>
      <c r="BN168" s="159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</row>
    <row r="169" spans="1:110" ht="15" customHeight="1" x14ac:dyDescent="0.2">
      <c r="A169" s="138">
        <f>Input!A169</f>
        <v>10815</v>
      </c>
      <c r="B169" s="138" t="str">
        <f>Input!B169</f>
        <v>Hu1-13</v>
      </c>
      <c r="C169" s="138">
        <f>Input!O169</f>
        <v>2.0748231293765707</v>
      </c>
      <c r="D169" s="138">
        <f>C169*Input!P169/100</f>
        <v>1.7304201160851053E-2</v>
      </c>
      <c r="E169" s="139">
        <f>Input!M169</f>
        <v>2.7322780929038495</v>
      </c>
      <c r="F169" s="140">
        <f>E169*Input!N169/100</f>
        <v>3.0535145319226761E-4</v>
      </c>
      <c r="G169" s="141">
        <f t="shared" ref="G169" si="933">E169*137.88</f>
        <v>376.72650344958276</v>
      </c>
      <c r="H169" s="140">
        <f>G169*Input!L169/100</f>
        <v>2.1340557623485155E-2</v>
      </c>
      <c r="I169" s="138">
        <v>0</v>
      </c>
      <c r="J169" s="142">
        <f>(((C169*Constants!$B$24*0.000000001*Input!G169*(Constants!$B$4/Constants!$B$3))-(I169*0.000000000000001))/Input!F169)*1000000000000</f>
        <v>749.08904414515735</v>
      </c>
      <c r="K169" s="138">
        <f>J169*Input!P169/100</f>
        <v>6.2474662653159703</v>
      </c>
      <c r="L169" s="143">
        <f>(J169/Constants!$B$4)*602200000000*Constants!$B$17/(365.2425*24*60)</f>
        <v>10.342005979105862</v>
      </c>
      <c r="M169" s="144">
        <f>L169*Input!P169/100</f>
        <v>8.6253208447191823E-2</v>
      </c>
      <c r="N169" s="138">
        <v>0</v>
      </c>
      <c r="O169" s="142">
        <f>(((G169*Constants!$B$23*0.000000001*Input!G169*(Constants!$B$7/Constants!$B$6))-(N169*0.000000001))/Input!F169)*1000000</f>
        <v>13.701245243201985</v>
      </c>
      <c r="P169" s="138">
        <f>O169*Input!N169/100</f>
        <v>1.5312113201145507E-3</v>
      </c>
      <c r="Q169" s="145">
        <f>(O169/Constants!$B$7)*602200000000000000*Constants!$B$18/(365.2425*24*60)</f>
        <v>10.222783492792875</v>
      </c>
      <c r="R169" s="146">
        <f>Q169*Input!N169/100</f>
        <v>1.1424685515363017E-3</v>
      </c>
      <c r="S169" s="144">
        <f>Input!S169*Constants!$B$17/Constants!$B$18</f>
        <v>0.99955379467775829</v>
      </c>
      <c r="T169" s="138">
        <f>S169*Input!T169/100</f>
        <v>1.6192314812719726E-3</v>
      </c>
      <c r="U169" s="144">
        <f>S169</f>
        <v>0.99955379467775829</v>
      </c>
      <c r="V169" s="138">
        <f>U169*Input!T169/100</f>
        <v>1.6192314812719726E-3</v>
      </c>
      <c r="W169" s="147">
        <v>0</v>
      </c>
      <c r="X169" s="142">
        <f>(((Constants!$B$25*0.000000001*Input!G169/Input!W169*(Constants!$B$11/Constants!$B$9))-(W169*0.000000001))/Input!F169)*1000000000</f>
        <v>0.94783279865864589</v>
      </c>
      <c r="Y169" s="142">
        <f>X169*Input!X169/100</f>
        <v>3.7739348590122707E-3</v>
      </c>
      <c r="Z169" s="142">
        <f>(X169/Constants!$B$11)*6.022E+23*0.000000001*Constants!$B$19/(365.2425*24*60)</f>
        <v>2.3139662838393845E-4</v>
      </c>
      <c r="AA169" s="142">
        <f>Z169*Input!X169/100</f>
        <v>9.2133950560889654E-7</v>
      </c>
      <c r="AB169" s="143">
        <v>0</v>
      </c>
      <c r="AC169" s="143">
        <v>0.9</v>
      </c>
      <c r="AD169" s="142">
        <f>(((Input!G169*Constants!$B$25*0.000000001*Input!U169*(Constants!$B$10/Constants!$B$9))-((AB169*0.000000000000001)+(Input!G169*AC169*0.000000000000001)))/Input!F169)*1000000000000</f>
        <v>223.46761182518719</v>
      </c>
      <c r="AE169" s="142">
        <f>AD169*Input!V169/100</f>
        <v>0.52215701453655072</v>
      </c>
      <c r="AF169" s="142">
        <f>(AD169/Constants!$B$10)*602200000000*Constants!$B$16/(365.2425*24*60)</f>
        <v>10.200328521898749</v>
      </c>
      <c r="AG169" s="142">
        <f>AF169*Input!V169/100</f>
        <v>2.3834205971884653E-2</v>
      </c>
      <c r="AH169" s="138">
        <f t="shared" ref="AH169" si="934">AF169/Z169</f>
        <v>44081.577995052445</v>
      </c>
      <c r="AI169" s="147">
        <f t="shared" ref="AI169" si="935">AH169*SQRT((AG169/AF169)^2+(AA169/Z169)^2)</f>
        <v>203.50827654562903</v>
      </c>
      <c r="AJ169" s="144">
        <f t="shared" si="898"/>
        <v>-0.44620532224171061</v>
      </c>
      <c r="AK169" s="147">
        <f t="shared" ref="AK169" si="936">V169*1000</f>
        <v>1.6192314812719726</v>
      </c>
      <c r="AL169" s="147">
        <f t="shared" ref="AL169" si="937">AF169/Q169</f>
        <v>0.99780343867108634</v>
      </c>
      <c r="AM169" s="147">
        <f t="shared" ref="AM169" si="938">AL169*SQRT((R169/Q169)^2+(AG169/AF169)^2)</f>
        <v>2.3341442958879932E-3</v>
      </c>
      <c r="AN169" s="138">
        <f>AF169/Q169</f>
        <v>0.99780343867108634</v>
      </c>
      <c r="AO169" s="142">
        <f t="shared" ref="AO169" si="939">AN169*SQRT((R169/Q169)^2+(AG169/AF169)^2)</f>
        <v>2.3341442958879932E-3</v>
      </c>
      <c r="AP169" s="138">
        <f t="shared" ref="AP169" si="940">ThU_Alter_Kombi(AN169,U169)</f>
        <v>704.81309999999996</v>
      </c>
      <c r="AQ169" s="138" t="e">
        <f t="shared" si="904"/>
        <v>#VALUE!</v>
      </c>
      <c r="AR169" s="138" t="e">
        <f>(AQ169/AP169)*100</f>
        <v>#VALUE!</v>
      </c>
      <c r="AS169" s="146">
        <f t="shared" si="905"/>
        <v>2.2635383850892911E-5</v>
      </c>
      <c r="AT169" s="146">
        <f t="shared" si="906"/>
        <v>9.0161584450374853E-8</v>
      </c>
      <c r="AU169" s="138">
        <v>0.75</v>
      </c>
      <c r="AV169" s="138">
        <f t="shared" ref="AV169" si="941">AU169/2</f>
        <v>0.375</v>
      </c>
      <c r="AW169" s="138">
        <f t="shared" si="908"/>
        <v>704.81119999999999</v>
      </c>
      <c r="AX169" s="148">
        <f t="shared" si="909"/>
        <v>315.12238484459999</v>
      </c>
      <c r="AY169" s="148">
        <f t="shared" si="910"/>
        <v>228.89717329335443</v>
      </c>
      <c r="AZ169" s="149">
        <f t="shared" si="911"/>
        <v>0.44710184066967151</v>
      </c>
      <c r="BA169" s="138" t="str">
        <f>Input!B169</f>
        <v>Hu1-13</v>
      </c>
      <c r="BB169" s="150">
        <f>Input!E169</f>
        <v>0</v>
      </c>
      <c r="BC169" s="138">
        <f>((U169-1)*EXP(Constants!$B$17*AW169*1000))*1000</f>
        <v>-3.2610310746687277</v>
      </c>
      <c r="BD169" s="144">
        <f>SQRT((EXP(Constants!$B$17*AW169*1000)*V169)^2+((U169-1)*Constants!$B$17*EXP(Constants!$B$17*AW169*1000)*AY169*1000)^2)*1000</f>
        <v>12.019955526723949</v>
      </c>
      <c r="BE169" s="138">
        <f t="shared" si="912"/>
        <v>704753.2</v>
      </c>
      <c r="BF169" s="151">
        <f t="shared" si="913"/>
        <v>114448.58664667721</v>
      </c>
      <c r="BG169" s="160">
        <f t="shared" si="914"/>
        <v>32.476381376084042</v>
      </c>
      <c r="BH169" s="138"/>
      <c r="BI169" s="18"/>
      <c r="BJ169" s="18"/>
      <c r="BK169" s="18"/>
      <c r="BL169" s="18"/>
      <c r="BM169" s="18"/>
      <c r="BN169" s="159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</row>
    <row r="170" spans="1:110" ht="15" customHeight="1" x14ac:dyDescent="0.2">
      <c r="A170" s="18">
        <f>Input!A170</f>
        <v>11008</v>
      </c>
      <c r="B170" s="18" t="str">
        <f>Input!B170</f>
        <v>JPM_1890</v>
      </c>
      <c r="C170" s="18">
        <f>Input!O170</f>
        <v>3.8021382624662623</v>
      </c>
      <c r="D170" s="18">
        <f>C170*Input!P170/100</f>
        <v>1.3686375000154603E-2</v>
      </c>
      <c r="E170" s="152">
        <f>Input!M170</f>
        <v>4.3830879583521165</v>
      </c>
      <c r="F170" s="153">
        <f>E170*Input!N170/100</f>
        <v>2.6681003405239749E-4</v>
      </c>
      <c r="G170" s="21">
        <f>E170*137.88</f>
        <v>604.34016769758978</v>
      </c>
      <c r="H170" s="153">
        <f>G170*Input!L170/100</f>
        <v>4.8315950925313163E-2</v>
      </c>
      <c r="I170" s="18">
        <v>0.3</v>
      </c>
      <c r="J170" s="129">
        <f>(((C170*Constants!$B$24*0.000000001*Input!G170*(Constants!$B$4/Constants!$B$3))-(I170*0.000000000000001))/Input!F170)*1000000000000</f>
        <v>151.77542070164171</v>
      </c>
      <c r="K170" s="18">
        <f>J170*Input!P170/100</f>
        <v>0.54633871262258671</v>
      </c>
      <c r="L170" s="134">
        <f>(J170/Constants!$B$4)*602200000000*Constants!$B$17/(365.2425*24*60)</f>
        <v>2.0954282012880689</v>
      </c>
      <c r="M170" s="132">
        <f>L170*Input!P170/100</f>
        <v>7.5428125357349307E-3</v>
      </c>
      <c r="N170" s="18">
        <v>5.0000000000000001E-3</v>
      </c>
      <c r="O170" s="129">
        <f>(((G170*Constants!$B$23*0.000000001*Input!G170*(Constants!$B$7/Constants!$B$6))-(N170*0.000000001))/Input!F170)*1000000</f>
        <v>2.4301671311671806</v>
      </c>
      <c r="P170" s="18">
        <f>O170*Input!N170/100</f>
        <v>1.4793063273672131E-4</v>
      </c>
      <c r="Q170" s="130">
        <f>(O170/Constants!$B$7)*602200000000000000*Constants!$B$18/(365.2425*24*60)</f>
        <v>1.8131981431067234</v>
      </c>
      <c r="R170" s="131">
        <f>Q170*Input!N170/100</f>
        <v>1.1037411589794616E-4</v>
      </c>
      <c r="S170" s="132">
        <f>Input!S170*Constants!$B$17/Constants!$B$18</f>
        <v>1.1450771792804952</v>
      </c>
      <c r="T170" s="18">
        <f>S170*Input!T170/100</f>
        <v>5.6718684311222415E-4</v>
      </c>
      <c r="U170" s="18">
        <f>S170*1/((U169+U171)/2)</f>
        <v>1.1452266341387478</v>
      </c>
      <c r="V170" s="18">
        <f>U170*Input!T170/100</f>
        <v>5.6726087203426878E-4</v>
      </c>
      <c r="W170" s="133">
        <v>3.0000000000000001E-3</v>
      </c>
      <c r="X170" s="129">
        <f>IF((((Constants!$B$25*0.000000001*Input!G170/Input!W170*(Constants!$B$11/Constants!$B$9))-(W170*0.000000001))/Input!F170)*1000000000&lt;0, "n.d.", (((Constants!$B$25*0.000000001*Input!G170/Input!W170*(Constants!$B$11/Constants!$B$9))-(W170*0.000000001))/Input!F170)*1000000000)</f>
        <v>0.1026328471158421</v>
      </c>
      <c r="Y170" s="129">
        <f>X170*Input!X170/100</f>
        <v>3.391147303245406E-4</v>
      </c>
      <c r="Z170" s="129">
        <f>(X170/Constants!$B$11)*6.022E+23*0.000000001*Constants!$B$19/(365.2425*24*60)</f>
        <v>2.5055995970659644E-5</v>
      </c>
      <c r="AA170" s="129">
        <f>Z170*Input!X170/100</f>
        <v>8.2788868821037227E-8</v>
      </c>
      <c r="AB170" s="134">
        <v>0.05</v>
      </c>
      <c r="AC170" s="134">
        <v>0.9</v>
      </c>
      <c r="AD170" s="129">
        <f>(((Input!G170*Constants!$B$25*0.000000001*Input!U170*(Constants!$B$10/Constants!$B$9))-((AB170*0.000000000000001)+(Input!G170*AC170*0.000000000000001)))/Input!F170)*1000000000000</f>
        <v>0.10936361719331442</v>
      </c>
      <c r="AE170" s="129">
        <f>AD170*Input!V170/100</f>
        <v>1.8387487502576133E-3</v>
      </c>
      <c r="AF170" s="129">
        <f>(AD170/Constants!$B$10)*602200000000*Constants!$B$16/(365.2425*24*60)</f>
        <v>4.9919754124711476E-3</v>
      </c>
      <c r="AG170" s="129">
        <f>AF170*Input!V170/100</f>
        <v>8.3930915843547868E-5</v>
      </c>
      <c r="AH170" s="18">
        <f>AF170/Z170</f>
        <v>199.23276721135764</v>
      </c>
      <c r="AI170" s="133">
        <f>AH170*SQRT((AG170/AF170)^2+(AA170/Z170)^2)</f>
        <v>3.4138057373211272</v>
      </c>
      <c r="AJ170" s="132">
        <f t="shared" si="898"/>
        <v>145.22663413874781</v>
      </c>
      <c r="AK170" s="133">
        <f>V170*1000</f>
        <v>0.56726087203426878</v>
      </c>
      <c r="AL170" s="133">
        <f>AF170/Q170</f>
        <v>2.7531328726809333E-3</v>
      </c>
      <c r="AM170" s="133">
        <f>AL170*SQRT((R170/Q170)^2+(AG170/AF170)^2)</f>
        <v>4.6289185908760707E-5</v>
      </c>
      <c r="AN170" s="18">
        <f>AL170*1/((AN169+AN171)/2)</f>
        <v>2.7576054496149748E-3</v>
      </c>
      <c r="AO170" s="129">
        <f>AN170*SQRT((R170/Q170)^2+(AG170/AF170)^2)</f>
        <v>4.6364384584148096E-5</v>
      </c>
      <c r="AP170" s="18">
        <f>ThU_Alter_Kombi(AN170,U170)</f>
        <v>0.26290000000000002</v>
      </c>
      <c r="AQ170" s="18">
        <f t="shared" si="904"/>
        <v>5.4000000000000003E-3</v>
      </c>
      <c r="AR170" s="154">
        <f>(AQ170/AP170)</f>
        <v>2.0540129326740205E-2</v>
      </c>
      <c r="AS170" s="131">
        <f t="shared" si="905"/>
        <v>1.3818675066437495E-5</v>
      </c>
      <c r="AT170" s="131">
        <f t="shared" si="906"/>
        <v>4.5666778111691091E-8</v>
      </c>
      <c r="AU170" s="18">
        <v>8</v>
      </c>
      <c r="AV170" s="18">
        <f>AU170/2</f>
        <v>4</v>
      </c>
      <c r="AW170" s="18">
        <f t="shared" si="908"/>
        <v>0.25240000000000001</v>
      </c>
      <c r="AX170" s="135">
        <f t="shared" si="909"/>
        <v>6.9334421000000002E-3</v>
      </c>
      <c r="AY170" s="135">
        <f t="shared" si="910"/>
        <v>6.886926826557626E-3</v>
      </c>
      <c r="AZ170" s="154">
        <f t="shared" si="911"/>
        <v>2.74700558637084E-2</v>
      </c>
      <c r="BA170" s="18" t="str">
        <f>Input!B170</f>
        <v>JPM_1890</v>
      </c>
      <c r="BB170" s="136">
        <f>Input!E170</f>
        <v>0</v>
      </c>
      <c r="BC170" s="18">
        <f>((U170-1)*EXP(Constants!$B$17*AW170*1000))*1000</f>
        <v>145.3301141688064</v>
      </c>
      <c r="BD170" s="132">
        <f>SQRT((EXP(Constants!$B$17*AW170*1000)*V170)^2+((U170-1)*Constants!$B$17*EXP(Constants!$B$17*AW170*1000)*AY170*1000)^2)*1000</f>
        <v>0.56767209604725033</v>
      </c>
      <c r="BE170" s="18">
        <f t="shared" si="912"/>
        <v>194.4</v>
      </c>
      <c r="BF170" s="137">
        <f t="shared" si="913"/>
        <v>3.4434634132788129</v>
      </c>
      <c r="BG170" s="20">
        <f t="shared" si="914"/>
        <v>2.7285763972098356</v>
      </c>
      <c r="BH170" s="18"/>
      <c r="BI170" s="18"/>
      <c r="BJ170" s="18"/>
      <c r="BK170" s="18"/>
      <c r="BL170" s="18"/>
      <c r="BM170" s="18"/>
      <c r="BN170" s="159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</row>
    <row r="171" spans="1:110" ht="15" customHeight="1" x14ac:dyDescent="0.2">
      <c r="A171" s="138">
        <f>Input!A171</f>
        <v>10815</v>
      </c>
      <c r="B171" s="138" t="str">
        <f>Input!B171</f>
        <v>Hu1-13</v>
      </c>
      <c r="C171" s="138">
        <f>Input!O171</f>
        <v>2.0874904355691619</v>
      </c>
      <c r="D171" s="138">
        <f>C171*Input!P171/100</f>
        <v>1.186548185102731E-2</v>
      </c>
      <c r="E171" s="139">
        <f>Input!M171</f>
        <v>2.7321218866004839</v>
      </c>
      <c r="F171" s="140">
        <f>E171*Input!N171/100</f>
        <v>3.2528356407877804E-4</v>
      </c>
      <c r="G171" s="141">
        <f t="shared" ref="G171" si="942">E171*137.88</f>
        <v>376.70496572447473</v>
      </c>
      <c r="H171" s="140">
        <f>G171*Input!L171/100</f>
        <v>2.6478452993650578E-2</v>
      </c>
      <c r="I171" s="138">
        <v>0</v>
      </c>
      <c r="J171" s="142">
        <f>(((C171*Constants!$B$24*0.000000001*Input!G171*(Constants!$B$4/Constants!$B$3))-(I171*0.000000000000001))/Input!F171)*1000000000000</f>
        <v>753.66241724542419</v>
      </c>
      <c r="K171" s="138">
        <f>J171*Input!P171/100</f>
        <v>4.2838844103200548</v>
      </c>
      <c r="L171" s="143">
        <f>(J171/Constants!$B$4)*602200000000*Constants!$B$17/(365.2425*24*60)</f>
        <v>10.405146472639066</v>
      </c>
      <c r="M171" s="144">
        <f>L171*Input!P171/100</f>
        <v>5.9143780744900655E-2</v>
      </c>
      <c r="N171" s="138">
        <v>0</v>
      </c>
      <c r="O171" s="142">
        <f>(((G171*Constants!$B$23*0.000000001*Input!G171*(Constants!$B$7/Constants!$B$6))-(N171*0.000000001))/Input!F171)*1000000</f>
        <v>13.700461933158801</v>
      </c>
      <c r="P171" s="138">
        <f>O171*Input!N171/100</f>
        <v>1.6311626172317967E-3</v>
      </c>
      <c r="Q171" s="145">
        <f>(O171/Constants!$B$7)*602200000000000000*Constants!$B$18/(365.2425*24*60)</f>
        <v>10.222199048909339</v>
      </c>
      <c r="R171" s="146">
        <f>Q171*Input!N171/100</f>
        <v>1.217044289151128E-3</v>
      </c>
      <c r="S171" s="144">
        <f>Input!S171*Constants!$B$17/Constants!$B$18</f>
        <v>1.0001852004629461</v>
      </c>
      <c r="T171" s="138">
        <f>S171*Input!T171/100</f>
        <v>1.8292108009938101E-3</v>
      </c>
      <c r="U171" s="144">
        <f>S171</f>
        <v>1.0001852004629461</v>
      </c>
      <c r="V171" s="138">
        <f>U171*Input!T171/100</f>
        <v>1.8292108009938101E-3</v>
      </c>
      <c r="W171" s="147">
        <v>0</v>
      </c>
      <c r="X171" s="142">
        <f>(((Constants!$B$25*0.000000001*Input!G171/Input!W171*(Constants!$B$11/Constants!$B$9))-(W171*0.000000001))/Input!F171)*1000000000</f>
        <v>0.94932494272755619</v>
      </c>
      <c r="Y171" s="142">
        <f>X171*Input!X171/100</f>
        <v>4.8275349297037286E-3</v>
      </c>
      <c r="Z171" s="142">
        <f>(X171/Constants!$B$11)*6.022E+23*0.000000001*Constants!$B$19/(365.2425*24*60)</f>
        <v>2.3176090899028332E-4</v>
      </c>
      <c r="AA171" s="142">
        <f>Z171*Input!X171/100</f>
        <v>1.1785573444177063E-6</v>
      </c>
      <c r="AB171" s="143">
        <v>0</v>
      </c>
      <c r="AC171" s="143">
        <v>0.9</v>
      </c>
      <c r="AD171" s="142">
        <f>(((Input!G171*Constants!$B$25*0.000000001*Input!U171*(Constants!$B$10/Constants!$B$9))-((AB171*0.000000000000001)+(Input!G171*AC171*0.000000000000001)))/Input!F171)*1000000000000</f>
        <v>223.7122203884777</v>
      </c>
      <c r="AE171" s="142">
        <f>AD171*Input!V171/100</f>
        <v>0.52193922886330724</v>
      </c>
      <c r="AF171" s="142">
        <f>(AD171/Constants!$B$10)*602200000000*Constants!$B$16/(365.2425*24*60)</f>
        <v>10.211493843282252</v>
      </c>
      <c r="AG171" s="142">
        <f>AF171*Input!V171/100</f>
        <v>2.3824264999247485E-2</v>
      </c>
      <c r="AH171" s="138">
        <f t="shared" ref="AH171" si="943">AF171/Z171</f>
        <v>44060.466830971796</v>
      </c>
      <c r="AI171" s="147">
        <f t="shared" ref="AI171" si="944">AH171*SQRT((AG171/AF171)^2+(AA171/Z171)^2)</f>
        <v>246.51362024464871</v>
      </c>
      <c r="AJ171" s="144">
        <f t="shared" si="898"/>
        <v>0.18520046294612236</v>
      </c>
      <c r="AK171" s="147">
        <f t="shared" ref="AK171" si="945">V171*1000</f>
        <v>1.8292108009938102</v>
      </c>
      <c r="AL171" s="147">
        <f t="shared" ref="AL171" si="946">AF171/Q171</f>
        <v>0.99895274924936739</v>
      </c>
      <c r="AM171" s="147">
        <f t="shared" ref="AM171" si="947">AL171*SQRT((R171/Q171)^2+(AG171/AF171)^2)</f>
        <v>2.3336725813154608E-3</v>
      </c>
      <c r="AN171" s="138">
        <f>AF171/Q171</f>
        <v>0.99895274924936739</v>
      </c>
      <c r="AO171" s="142">
        <f t="shared" ref="AO171" si="948">AN171*SQRT((R171/Q171)^2+(AG171/AF171)^2)</f>
        <v>2.3336725813154608E-3</v>
      </c>
      <c r="AP171" s="138">
        <f t="shared" ref="AP171" si="949">ThU_Alter_Kombi(AN171,U171)</f>
        <v>723.6345</v>
      </c>
      <c r="AQ171" s="138" t="e">
        <f t="shared" si="904"/>
        <v>#VALUE!</v>
      </c>
      <c r="AR171" s="138" t="e">
        <f>(AQ171/AP171)*100</f>
        <v>#VALUE!</v>
      </c>
      <c r="AS171" s="146">
        <f t="shared" si="905"/>
        <v>2.2672314233111234E-5</v>
      </c>
      <c r="AT171" s="146">
        <f t="shared" si="906"/>
        <v>1.1532550973778579E-7</v>
      </c>
      <c r="AU171" s="138">
        <v>0.75</v>
      </c>
      <c r="AV171" s="138">
        <f t="shared" ref="AV171" si="950">AU171/2</f>
        <v>0.375</v>
      </c>
      <c r="AW171" s="138">
        <f t="shared" si="908"/>
        <v>723.63260000000002</v>
      </c>
      <c r="AX171" s="148">
        <f t="shared" si="909"/>
        <v>328.65055629289998</v>
      </c>
      <c r="AY171" s="148">
        <f t="shared" si="910"/>
        <v>288.80220701651115</v>
      </c>
      <c r="AZ171" s="149">
        <f t="shared" si="911"/>
        <v>0.45416770373930082</v>
      </c>
      <c r="BA171" s="138" t="str">
        <f>Input!B171</f>
        <v>Hu1-13</v>
      </c>
      <c r="BB171" s="150">
        <f>Input!E171</f>
        <v>0</v>
      </c>
      <c r="BC171" s="138">
        <f>((U171-1)*EXP(Constants!$B$17*AW171*1000))*1000</f>
        <v>1.4273479729848009</v>
      </c>
      <c r="BD171" s="144">
        <f>SQRT((EXP(Constants!$B$17*AW171*1000)*V171)^2+((U171-1)*Constants!$B$17*EXP(Constants!$B$17*AW171*1000)*AY171*1000)^2)*1000</f>
        <v>14.14572201514002</v>
      </c>
      <c r="BE171" s="138">
        <f t="shared" si="912"/>
        <v>723574.6</v>
      </c>
      <c r="BF171" s="151">
        <f t="shared" si="913"/>
        <v>144401.10350825556</v>
      </c>
      <c r="BG171" s="160">
        <f t="shared" si="914"/>
        <v>39.91006030083652</v>
      </c>
      <c r="BH171" s="138"/>
      <c r="BI171" s="18"/>
      <c r="BJ171" s="18"/>
      <c r="BK171" s="18"/>
      <c r="BL171" s="18"/>
      <c r="BM171" s="18"/>
      <c r="BN171" s="159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</row>
    <row r="172" spans="1:110" ht="15" customHeight="1" x14ac:dyDescent="0.2">
      <c r="A172" s="18">
        <f>Input!A172</f>
        <v>11009</v>
      </c>
      <c r="B172" s="18" t="str">
        <f>Input!B172</f>
        <v>JPM_1910</v>
      </c>
      <c r="C172" s="18">
        <f>Input!O172</f>
        <v>3.5674482871775735</v>
      </c>
      <c r="D172" s="18">
        <f>C172*Input!P172/100</f>
        <v>8.5173566197482772E-3</v>
      </c>
      <c r="E172" s="152">
        <f>Input!M172</f>
        <v>4.1328962216902481</v>
      </c>
      <c r="F172" s="153">
        <f>E172*Input!N172/100</f>
        <v>2.4637849739474118E-4</v>
      </c>
      <c r="G172" s="21">
        <f>E172*137.88</f>
        <v>569.84373104665133</v>
      </c>
      <c r="H172" s="153">
        <f>G172*Input!L172/100</f>
        <v>1.7452948044184957E-2</v>
      </c>
      <c r="I172" s="18">
        <v>0.3</v>
      </c>
      <c r="J172" s="129">
        <f>(((C172*Constants!$B$24*0.000000001*Input!G172*(Constants!$B$4/Constants!$B$3))-(I172*0.000000000000001))/Input!F172)*1000000000000</f>
        <v>154.94784647548462</v>
      </c>
      <c r="K172" s="18">
        <f>J172*Input!P172/100</f>
        <v>0.36994119035649442</v>
      </c>
      <c r="L172" s="134">
        <f>(J172/Constants!$B$4)*602200000000*Constants!$B$17/(365.2425*24*60)</f>
        <v>2.139227061487385</v>
      </c>
      <c r="M172" s="132">
        <f>L172*Input!P172/100</f>
        <v>5.1074488840648705E-3</v>
      </c>
      <c r="N172" s="18">
        <v>5.0000000000000001E-3</v>
      </c>
      <c r="O172" s="129">
        <f>(((G172*Constants!$B$23*0.000000001*Input!G172*(Constants!$B$7/Constants!$B$6))-(N172*0.000000001))/Input!F172)*1000000</f>
        <v>2.4932441251389297</v>
      </c>
      <c r="P172" s="18">
        <f>O172*Input!N172/100</f>
        <v>1.4863226856898191E-4</v>
      </c>
      <c r="Q172" s="130">
        <f>(O172/Constants!$B$7)*602200000000000000*Constants!$B$18/(365.2425*24*60)</f>
        <v>1.8602611976907091</v>
      </c>
      <c r="R172" s="131">
        <f>Q172*Input!N172/100</f>
        <v>1.1089762095727969E-4</v>
      </c>
      <c r="S172" s="132">
        <f>Input!S172*Constants!$B$17/Constants!$B$18</f>
        <v>1.1455783410478131</v>
      </c>
      <c r="T172" s="18">
        <f>S172*Input!T172/100</f>
        <v>4.9877157058957099E-4</v>
      </c>
      <c r="U172" s="18">
        <f>S172*1/((U171+U173)/2)</f>
        <v>1.1456794143477227</v>
      </c>
      <c r="V172" s="18">
        <f>U172*Input!T172/100</f>
        <v>4.9881557673627809E-4</v>
      </c>
      <c r="W172" s="133">
        <v>3.0000000000000001E-3</v>
      </c>
      <c r="X172" s="129">
        <f>IF((((Constants!$B$25*0.000000001*Input!G172/Input!W172*(Constants!$B$11/Constants!$B$9))-(W172*0.000000001))/Input!F172)*1000000000&lt;0, "n.d.", (((Constants!$B$25*0.000000001*Input!G172/Input!W172*(Constants!$B$11/Constants!$B$9))-(W172*0.000000001))/Input!F172)*1000000000)</f>
        <v>2.2409539475962179E-2</v>
      </c>
      <c r="Y172" s="129">
        <f>X172*Input!X172/100</f>
        <v>5.9437372737643045E-5</v>
      </c>
      <c r="Z172" s="129">
        <f>(X172/Constants!$B$11)*6.022E+23*0.000000001*Constants!$B$19/(365.2425*24*60)</f>
        <v>5.4708930580507707E-6</v>
      </c>
      <c r="AA172" s="129">
        <f>Z172*Input!X172/100</f>
        <v>1.4510584220079592E-8</v>
      </c>
      <c r="AB172" s="134">
        <v>0.05</v>
      </c>
      <c r="AC172" s="134">
        <v>0.9</v>
      </c>
      <c r="AD172" s="129">
        <f>(((Input!G172*Constants!$B$25*0.000000001*Input!U172*(Constants!$B$10/Constants!$B$9))-((AB172*0.000000000000001)+(Input!G172*AC172*0.000000000000001)))/Input!F172)*1000000000000</f>
        <v>7.4602668961076674E-2</v>
      </c>
      <c r="AE172" s="129">
        <f>AD172*Input!V172/100</f>
        <v>1.2157967933260324E-3</v>
      </c>
      <c r="AF172" s="129">
        <f>(AD172/Constants!$B$10)*602200000000*Constants!$B$16/(365.2425*24*60)</f>
        <v>3.4052886939550278E-3</v>
      </c>
      <c r="AG172" s="129">
        <f>AF172*Input!V172/100</f>
        <v>5.5495857348213626E-5</v>
      </c>
      <c r="AH172" s="18">
        <f>AF172/Z172</f>
        <v>622.43744445779771</v>
      </c>
      <c r="AI172" s="133">
        <f>AH172*SQRT((AG172/AF172)^2+(AA172/Z172)^2)</f>
        <v>10.277303000983945</v>
      </c>
      <c r="AJ172" s="132">
        <f t="shared" si="898"/>
        <v>145.67941434772268</v>
      </c>
      <c r="AK172" s="133">
        <f>V172*1000</f>
        <v>0.49881557673627808</v>
      </c>
      <c r="AL172" s="133">
        <f>AF172/Q172</f>
        <v>1.8305433119726868E-3</v>
      </c>
      <c r="AM172" s="133">
        <f>AL172*SQRT((R172/Q172)^2+(AG172/AF172)^2)</f>
        <v>2.9832492720071261E-5</v>
      </c>
      <c r="AN172" s="18">
        <f>AL172*1/((AN171+AN173)/2)</f>
        <v>1.8312309796342497E-3</v>
      </c>
      <c r="AO172" s="129">
        <f>AN172*SQRT((R172/Q172)^2+(AG172/AF172)^2)</f>
        <v>2.9843699688173694E-5</v>
      </c>
      <c r="AP172" s="18">
        <f>ThU_Alter_Kombi(AN172,U172)</f>
        <v>0.1744</v>
      </c>
      <c r="AQ172" s="18">
        <f t="shared" si="904"/>
        <v>5.3E-3</v>
      </c>
      <c r="AR172" s="154">
        <f>(AQ172/AP172)</f>
        <v>3.0389908256880736E-2</v>
      </c>
      <c r="AS172" s="131">
        <f t="shared" si="905"/>
        <v>2.9409273626962857E-6</v>
      </c>
      <c r="AT172" s="131">
        <f t="shared" si="906"/>
        <v>7.8022639935726552E-9</v>
      </c>
      <c r="AU172" s="18">
        <v>8</v>
      </c>
      <c r="AV172" s="18">
        <f>AU172/2</f>
        <v>4</v>
      </c>
      <c r="AW172" s="18">
        <f t="shared" si="908"/>
        <v>0.17219999999999999</v>
      </c>
      <c r="AX172" s="135">
        <f t="shared" si="909"/>
        <v>3.2095928000000001E-3</v>
      </c>
      <c r="AY172" s="135">
        <f t="shared" si="910"/>
        <v>3.0624635547466324E-3</v>
      </c>
      <c r="AZ172" s="154">
        <f t="shared" si="911"/>
        <v>1.8638750290360048E-2</v>
      </c>
      <c r="BA172" s="18" t="str">
        <f>Input!B172</f>
        <v>JPM_1910</v>
      </c>
      <c r="BB172" s="136">
        <f>Input!E172</f>
        <v>0</v>
      </c>
      <c r="BC172" s="18">
        <f>((U172-1)*EXP(Constants!$B$17*AW172*1000))*1000</f>
        <v>145.75022573551018</v>
      </c>
      <c r="BD172" s="132">
        <f>SQRT((EXP(Constants!$B$17*AW172*1000)*V172)^2+((U172-1)*Constants!$B$17*EXP(Constants!$B$17*AW172*1000)*AY172*1000)^2)*1000</f>
        <v>0.49905962911509805</v>
      </c>
      <c r="BE172" s="18">
        <f t="shared" si="912"/>
        <v>114.19999999999999</v>
      </c>
      <c r="BF172" s="137">
        <f t="shared" si="913"/>
        <v>1.5312317773733162</v>
      </c>
      <c r="BG172" s="20">
        <f t="shared" si="914"/>
        <v>1.7784341200619236</v>
      </c>
      <c r="BH172" s="18"/>
      <c r="BI172" s="18"/>
      <c r="BJ172" s="18"/>
      <c r="BK172" s="18"/>
      <c r="BL172" s="18"/>
      <c r="BM172" s="18"/>
      <c r="BN172" s="159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</row>
    <row r="173" spans="1:110" ht="15" customHeight="1" x14ac:dyDescent="0.2">
      <c r="A173" s="138">
        <f>Input!A173</f>
        <v>10815</v>
      </c>
      <c r="B173" s="138" t="str">
        <f>Input!B173</f>
        <v>Hu1-13</v>
      </c>
      <c r="C173" s="138">
        <f>Input!O173</f>
        <v>2.0971720813163888</v>
      </c>
      <c r="D173" s="138">
        <f>C173*Input!P173/100</f>
        <v>1.6949272988482023E-2</v>
      </c>
      <c r="E173" s="139">
        <f>Input!M173</f>
        <v>2.7320549122341098</v>
      </c>
      <c r="F173" s="140">
        <f>E173*Input!N173/100</f>
        <v>2.7607959069963795E-4</v>
      </c>
      <c r="G173" s="141">
        <f t="shared" ref="G173" si="951">E173*137.88</f>
        <v>376.69573129883906</v>
      </c>
      <c r="H173" s="140">
        <f>G173*Input!L173/100</f>
        <v>2.3870852583340315E-2</v>
      </c>
      <c r="I173" s="138">
        <v>0</v>
      </c>
      <c r="J173" s="142">
        <f>(((C173*Constants!$B$24*0.000000001*Input!G173*(Constants!$B$4/Constants!$B$3))-(I173*0.000000000000001))/Input!F173)*1000000000000</f>
        <v>757.15785483519198</v>
      </c>
      <c r="K173" s="138">
        <f>J173*Input!P173/100</f>
        <v>6.1193238701326331</v>
      </c>
      <c r="L173" s="143">
        <f>(J173/Constants!$B$4)*602200000000*Constants!$B$17/(365.2425*24*60)</f>
        <v>10.453404869602039</v>
      </c>
      <c r="M173" s="144">
        <f>L173*Input!P173/100</f>
        <v>8.4484060403282907E-2</v>
      </c>
      <c r="N173" s="138">
        <v>0</v>
      </c>
      <c r="O173" s="142">
        <f>(((G173*Constants!$B$23*0.000000001*Input!G173*(Constants!$B$7/Constants!$B$6))-(N173*0.000000001))/Input!F173)*1000000</f>
        <v>13.700126084395425</v>
      </c>
      <c r="P173" s="138">
        <f>O173*Input!N173/100</f>
        <v>1.3844250292979524E-3</v>
      </c>
      <c r="Q173" s="145">
        <f>(O173/Constants!$B$7)*602200000000000000*Constants!$B$18/(365.2425*24*60)</f>
        <v>10.221948465175277</v>
      </c>
      <c r="R173" s="146">
        <f>Q173*Input!N173/100</f>
        <v>1.0329482528997423E-3</v>
      </c>
      <c r="S173" s="144">
        <f>Input!S173*Constants!$B$17/Constants!$B$18</f>
        <v>0.99963835698489856</v>
      </c>
      <c r="T173" s="138">
        <f>S173*Input!T173/100</f>
        <v>1.3080069058967433E-3</v>
      </c>
      <c r="U173" s="144">
        <f>S173</f>
        <v>0.99963835698489856</v>
      </c>
      <c r="V173" s="138">
        <f>U173*Input!T173/100</f>
        <v>1.3080069058967433E-3</v>
      </c>
      <c r="W173" s="147">
        <v>0</v>
      </c>
      <c r="X173" s="142">
        <f>(((Constants!$B$25*0.000000001*Input!G173/Input!W173*(Constants!$B$11/Constants!$B$9))-(W173*0.000000001))/Input!F173)*1000000000</f>
        <v>0.9490327544391971</v>
      </c>
      <c r="Y173" s="142">
        <f>X173*Input!X173/100</f>
        <v>4.2782616443665239E-3</v>
      </c>
      <c r="Z173" s="142">
        <f>(X173/Constants!$B$11)*6.022E+23*0.000000001*Constants!$B$19/(365.2425*24*60)</f>
        <v>2.3168957638301836E-4</v>
      </c>
      <c r="AA173" s="142">
        <f>Z173*Input!X173/100</f>
        <v>1.0444619781587336E-6</v>
      </c>
      <c r="AB173" s="143">
        <v>0</v>
      </c>
      <c r="AC173" s="143">
        <v>0.9</v>
      </c>
      <c r="AD173" s="142">
        <f>(((Input!G173*Constants!$B$25*0.000000001*Input!U173*(Constants!$B$10/Constants!$B$9))-((AB173*0.000000000000001)+(Input!G173*AC173*0.000000000000001)))/Input!F173)*1000000000000</f>
        <v>224.00759190795509</v>
      </c>
      <c r="AE173" s="142">
        <f>AD173*Input!V173/100</f>
        <v>0.69647064981946571</v>
      </c>
      <c r="AF173" s="142">
        <f>(AD173/Constants!$B$10)*602200000000*Constants!$B$16/(365.2425*24*60)</f>
        <v>10.224976273734137</v>
      </c>
      <c r="AG173" s="142">
        <f>AF173*Input!V173/100</f>
        <v>3.179086837682904E-2</v>
      </c>
      <c r="AH173" s="138">
        <f t="shared" ref="AH173" si="952">AF173/Z173</f>
        <v>44132.223958278919</v>
      </c>
      <c r="AI173" s="147">
        <f t="shared" ref="AI173" si="953">AH173*SQRT((AG173/AF173)^2+(AA173/Z173)^2)</f>
        <v>241.6778891985588</v>
      </c>
      <c r="AJ173" s="144">
        <f t="shared" si="898"/>
        <v>-0.3616430151014427</v>
      </c>
      <c r="AK173" s="147">
        <f t="shared" ref="AK173" si="954">V173*1000</f>
        <v>1.3080069058967432</v>
      </c>
      <c r="AL173" s="147">
        <f t="shared" ref="AL173" si="955">AF173/Q173</f>
        <v>1.0002962065959513</v>
      </c>
      <c r="AM173" s="147">
        <f t="shared" ref="AM173" si="956">AL173*SQRT((R173/Q173)^2+(AG173/AF173)^2)</f>
        <v>3.1117017722172686E-3</v>
      </c>
      <c r="AN173" s="138">
        <f>AF173/Q173</f>
        <v>1.0002962065959513</v>
      </c>
      <c r="AO173" s="142">
        <f t="shared" ref="AO173" si="957">AN173*SQRT((R173/Q173)^2+(AG173/AF173)^2)</f>
        <v>3.1117017722172686E-3</v>
      </c>
      <c r="AP173" s="138" t="str">
        <f t="shared" ref="AP173" si="958">ThU_Alter_Kombi(AN173,U173)</f>
        <v>Out of range</v>
      </c>
      <c r="AQ173" s="138" t="e">
        <f t="shared" si="904"/>
        <v>#VALUE!</v>
      </c>
      <c r="AR173" s="138" t="e">
        <f>(AQ173/AP173)*100</f>
        <v>#VALUE!</v>
      </c>
      <c r="AS173" s="146">
        <f t="shared" si="905"/>
        <v>2.2665891651904896E-5</v>
      </c>
      <c r="AT173" s="146">
        <f t="shared" si="906"/>
        <v>1.0220403268543604E-7</v>
      </c>
      <c r="AU173" s="138">
        <v>0.75</v>
      </c>
      <c r="AV173" s="138">
        <f t="shared" ref="AV173" si="959">AU173/2</f>
        <v>0.375</v>
      </c>
      <c r="AW173" s="138" t="str">
        <f t="shared" si="908"/>
        <v>Out of range</v>
      </c>
      <c r="AX173" s="148">
        <f t="shared" si="909"/>
        <v>335.84576957460001</v>
      </c>
      <c r="AY173" s="148" t="e">
        <f t="shared" si="910"/>
        <v>#VALUE!</v>
      </c>
      <c r="AZ173" s="149" t="e">
        <f t="shared" si="911"/>
        <v>#VALUE!</v>
      </c>
      <c r="BA173" s="138" t="str">
        <f>Input!B173</f>
        <v>Hu1-13</v>
      </c>
      <c r="BB173" s="150">
        <f>Input!E173</f>
        <v>0</v>
      </c>
      <c r="BC173" s="138" t="e">
        <f>((U173-1)*EXP(Constants!$B$17*AW173*1000))*1000</f>
        <v>#VALUE!</v>
      </c>
      <c r="BD173" s="144" t="e">
        <f>SQRT((EXP(Constants!$B$17*AW173*1000)*V173)^2+((U173-1)*Constants!$B$17*EXP(Constants!$B$17*AW173*1000)*AY173*1000)^2)*1000</f>
        <v>#VALUE!</v>
      </c>
      <c r="BE173" s="138" t="e">
        <f t="shared" si="912"/>
        <v>#VALUE!</v>
      </c>
      <c r="BF173" s="151" t="e">
        <f t="shared" si="913"/>
        <v>#VALUE!</v>
      </c>
      <c r="BG173" s="160" t="e">
        <f t="shared" si="914"/>
        <v>#VALUE!</v>
      </c>
      <c r="BH173" s="138"/>
      <c r="BI173" s="18"/>
      <c r="BJ173" s="18"/>
      <c r="BK173" s="18"/>
      <c r="BL173" s="18"/>
      <c r="BM173" s="18"/>
      <c r="BN173" s="159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</row>
    <row r="174" spans="1:110" ht="15" customHeight="1" x14ac:dyDescent="0.2">
      <c r="A174" s="18">
        <f>Input!A174</f>
        <v>11010</v>
      </c>
      <c r="B174" s="18" t="str">
        <f>Input!B174</f>
        <v>JPM_1928</v>
      </c>
      <c r="C174" s="18">
        <f>Input!O174</f>
        <v>3.6038447506052647</v>
      </c>
      <c r="D174" s="18">
        <f>C174*Input!P174/100</f>
        <v>8.6168367502479654E-3</v>
      </c>
      <c r="E174" s="152">
        <f>Input!M174</f>
        <v>4.157990595115419</v>
      </c>
      <c r="F174" s="153">
        <f>E174*Input!N174/100</f>
        <v>1.781153749842843E-4</v>
      </c>
      <c r="G174" s="21">
        <f>E174*137.88</f>
        <v>573.30374325451396</v>
      </c>
      <c r="H174" s="153">
        <f>G174*Input!L174/100</f>
        <v>2.5722113277638296E-2</v>
      </c>
      <c r="I174" s="18">
        <v>0.3</v>
      </c>
      <c r="J174" s="129">
        <f>(((C174*Constants!$B$24*0.000000001*Input!G174*(Constants!$B$4/Constants!$B$3))-(I174*0.000000000000001))/Input!F174)*1000000000000</f>
        <v>162.34176150100703</v>
      </c>
      <c r="K174" s="18">
        <f>J174*Input!P174/100</f>
        <v>0.38816113162669608</v>
      </c>
      <c r="L174" s="134">
        <f>(J174/Constants!$B$4)*602200000000*Constants!$B$17/(365.2425*24*60)</f>
        <v>2.2413082679882979</v>
      </c>
      <c r="M174" s="132">
        <f>L174*Input!P174/100</f>
        <v>5.3589954031711753E-3</v>
      </c>
      <c r="N174" s="18">
        <v>5.0000000000000001E-3</v>
      </c>
      <c r="O174" s="129">
        <f>(((G174*Constants!$B$23*0.000000001*Input!G174*(Constants!$B$7/Constants!$B$6))-(N174*0.000000001))/Input!F174)*1000000</f>
        <v>2.6015375299612127</v>
      </c>
      <c r="P174" s="18">
        <f>O174*Input!N174/100</f>
        <v>1.1144177026977321E-4</v>
      </c>
      <c r="Q174" s="130">
        <f>(O174/Constants!$B$7)*602200000000000000*Constants!$B$18/(365.2425*24*60)</f>
        <v>1.9410611550336268</v>
      </c>
      <c r="R174" s="131">
        <f>Q174*Input!N174/100</f>
        <v>8.3149018158528432E-5</v>
      </c>
      <c r="S174" s="132">
        <f>Input!S174*Constants!$B$17/Constants!$B$18</f>
        <v>1.1458727879855393</v>
      </c>
      <c r="T174" s="18">
        <f>S174*Input!T174/100</f>
        <v>5.5745946908460433E-4</v>
      </c>
      <c r="U174" s="18">
        <f>S174*1/((U173+U175)/2)</f>
        <v>1.1462570264921137</v>
      </c>
      <c r="V174" s="18">
        <f>U174*Input!T174/100</f>
        <v>5.5764639855541704E-4</v>
      </c>
      <c r="W174" s="133">
        <v>3.0000000000000001E-3</v>
      </c>
      <c r="X174" s="129">
        <f>IF((((Constants!$B$25*0.000000001*Input!G174/Input!W174*(Constants!$B$11/Constants!$B$9))-(W174*0.000000001))/Input!F174)*1000000000&lt;0, "n.d.", (((Constants!$B$25*0.000000001*Input!G174/Input!W174*(Constants!$B$11/Constants!$B$9))-(W174*0.000000001))/Input!F174)*1000000000)</f>
        <v>0.23526703735133073</v>
      </c>
      <c r="Y174" s="129">
        <f>X174*Input!X174/100</f>
        <v>3.9208508714874972E-4</v>
      </c>
      <c r="Z174" s="129">
        <f>(X174/Constants!$B$11)*6.022E+23*0.000000001*Constants!$B$19/(365.2425*24*60)</f>
        <v>5.743628970216947E-5</v>
      </c>
      <c r="AA174" s="129">
        <f>Z174*Input!X174/100</f>
        <v>9.5720645386231258E-8</v>
      </c>
      <c r="AB174" s="134">
        <v>0.05</v>
      </c>
      <c r="AC174" s="134">
        <v>0.9</v>
      </c>
      <c r="AD174" s="129">
        <f>(((Input!G174*Constants!$B$25*0.000000001*Input!U174*(Constants!$B$10/Constants!$B$9))-((AB174*0.000000000000001)+(Input!G174*AC174*0.000000000000001)))/Input!F174)*1000000000000</f>
        <v>7.4939069923660256E-2</v>
      </c>
      <c r="AE174" s="129">
        <f>AD174*Input!V174/100</f>
        <v>1.0478686789664015E-3</v>
      </c>
      <c r="AF174" s="129">
        <f>(AD174/Constants!$B$10)*602200000000*Constants!$B$16/(365.2425*24*60)</f>
        <v>3.4206439407642153E-3</v>
      </c>
      <c r="AG174" s="129">
        <f>AF174*Input!V174/100</f>
        <v>4.7830666314305815E-5</v>
      </c>
      <c r="AH174" s="18">
        <f>AF174/Z174</f>
        <v>59.555447583777536</v>
      </c>
      <c r="AI174" s="133">
        <f>AH174*SQRT((AG174/AF174)^2+(AA174/Z174)^2)</f>
        <v>0.8386542034423331</v>
      </c>
      <c r="AJ174" s="132">
        <f t="shared" ref="AJ174:AJ179" si="960">(U174-1)*1000</f>
        <v>146.25702649211371</v>
      </c>
      <c r="AK174" s="133">
        <f>V174*1000</f>
        <v>0.55764639855541709</v>
      </c>
      <c r="AL174" s="133">
        <f>AF174/Q174</f>
        <v>1.7622545955822584E-3</v>
      </c>
      <c r="AM174" s="133">
        <f>AL174*SQRT((R174/Q174)^2+(AG174/AF174)^2)</f>
        <v>2.4641619681804507E-5</v>
      </c>
      <c r="AN174" s="18">
        <f>AL174*1/((AN173+AN175)/2)</f>
        <v>1.7609933316232991E-3</v>
      </c>
      <c r="AO174" s="129">
        <f>AN174*SQRT((R174/Q174)^2+(AG174/AF174)^2)</f>
        <v>2.4623983418081348E-5</v>
      </c>
      <c r="AP174" s="18">
        <f>ThU_Alter_Kombi(AN174,U174)</f>
        <v>0.1676</v>
      </c>
      <c r="AQ174" s="18">
        <f t="shared" ref="AQ174:AQ179" si="961">Montealter(AN174,AO174,U174,V174)</f>
        <v>3.3E-3</v>
      </c>
      <c r="AR174" s="154">
        <f>(AQ174/AP174)</f>
        <v>1.9689737470167064E-2</v>
      </c>
      <c r="AS174" s="131">
        <f t="shared" ref="AS174:AS179" si="962">Z174/Q174</f>
        <v>2.9590149467070475E-5</v>
      </c>
      <c r="AT174" s="131">
        <f t="shared" ref="AT174:AT179" si="963">AS174*SQRT((Y174/X174)^2+(P174/O174)^2)</f>
        <v>4.9329852758191511E-8</v>
      </c>
      <c r="AU174" s="18">
        <v>8</v>
      </c>
      <c r="AV174" s="18">
        <f>AU174/2</f>
        <v>4</v>
      </c>
      <c r="AW174" s="18">
        <f t="shared" ref="AW174:AW179" si="964">marincorr_age(AN174,U174,AS174,AU174)</f>
        <v>0.14510000000000001</v>
      </c>
      <c r="AX174" s="135">
        <f t="shared" ref="AX174:AX179" si="965">marincorr_age_error(AN174, AO174, U174, V174, AS174, AT174, AU174, AV174)</f>
        <v>1.17260132E-2</v>
      </c>
      <c r="AY174" s="135">
        <f t="shared" ref="AY174:AY179" si="966">SQRT(((AU174*EXP(-0.0000091577*AW174*1000))/(0.0000091577*(EXP(-0.0000091577*AW174*1000)+(AJ174/1000)*EXP(-(0.0000091577-0.0000028263)*AW174*1000)-AS174*AU174*EXP(-0.0000091577*AW174*1000))))^2*AT174^2+((AS174*EXP(-0.0000091577*AW174*1000))/(0.0000091577*(EXP(-0.0000091577*AW174*1000)+(AJ174/1000)*EXP(-(0.0000091577-0.0000028263)*AW174*1000)-AS174*AU174*EXP(-0.0000091577*AW174*1000))))^2*AV174^2+((0.0000091577/(0.0000091577-0.0000028263))*(EXP(-(0.0000091577-0.0000028263)*AW174*1000)-1)/(0.0000091577*(EXP(-0.0000091577*AW174*1000)+(AJ174/1000)*EXP(-(0.0000091577-0.0000028263)*AW174*1000)-AS174*AU174*EXP(-0.0000091577*AW174*1000))))^2*T174^2+(1/(0.0000091577*(EXP(-0.0000091577*AW174*1000)+(AJ174/1000)*EXP(-(0.0000091577-0.0000028263)*AW174*1000)-AS174*AU174*EXP(-0.0000091577*AW174*1000))))^2*AO174^2)/1000</f>
        <v>1.1519692733611172E-2</v>
      </c>
      <c r="AZ174" s="154">
        <f t="shared" ref="AZ174:AZ179" si="967">AX174/AW174</f>
        <v>8.0813323225361819E-2</v>
      </c>
      <c r="BA174" s="18" t="str">
        <f>Input!B174</f>
        <v>JPM_1928</v>
      </c>
      <c r="BB174" s="136">
        <f>Input!E174</f>
        <v>0</v>
      </c>
      <c r="BC174" s="18">
        <f>((U174-1)*EXP(Constants!$B$17*AW174*1000))*1000</f>
        <v>146.3169282152995</v>
      </c>
      <c r="BD174" s="132">
        <f>SQRT((EXP(Constants!$B$17*AW174*1000)*V174)^2+((U174-1)*Constants!$B$17*EXP(Constants!$B$17*AW174*1000)*AY174*1000)^2)*1000</f>
        <v>0.55789506903780572</v>
      </c>
      <c r="BE174" s="18">
        <f t="shared" ref="BE174:BE179" si="968">AW174*1000-58</f>
        <v>87.1</v>
      </c>
      <c r="BF174" s="137">
        <f t="shared" ref="BF174:BF179" si="969">AY174/2*1000</f>
        <v>5.7598463668055855</v>
      </c>
      <c r="BG174" s="20">
        <f t="shared" ref="BG174:BG179" si="970">AY174/AW174*100</f>
        <v>7.9391404091048736</v>
      </c>
      <c r="BH174" s="18"/>
      <c r="BI174" s="18"/>
      <c r="BJ174" s="18"/>
      <c r="BK174" s="18"/>
      <c r="BL174" s="18"/>
      <c r="BM174" s="18"/>
      <c r="BN174" s="159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</row>
    <row r="175" spans="1:110" ht="15" customHeight="1" x14ac:dyDescent="0.2">
      <c r="A175" s="138">
        <f>Input!A175</f>
        <v>10815</v>
      </c>
      <c r="B175" s="138" t="str">
        <f>Input!B175</f>
        <v>Hu1-13</v>
      </c>
      <c r="C175" s="138">
        <f>Input!O175</f>
        <v>2.0782406772138149</v>
      </c>
      <c r="D175" s="138">
        <f>C175*Input!P175/100</f>
        <v>1.238443351735825E-2</v>
      </c>
      <c r="E175" s="139">
        <f>Input!M175</f>
        <v>2.7319066265773153</v>
      </c>
      <c r="F175" s="140">
        <f>E175*Input!N175/100</f>
        <v>2.9332507223241524E-4</v>
      </c>
      <c r="G175" s="141">
        <f t="shared" ref="G175" si="971">E175*137.88</f>
        <v>376.67528567248024</v>
      </c>
      <c r="H175" s="140">
        <f>G175*Input!L175/100</f>
        <v>2.5352783308851712E-2</v>
      </c>
      <c r="I175" s="138">
        <v>0</v>
      </c>
      <c r="J175" s="142">
        <f>(((C175*Constants!$B$24*0.000000001*Input!G175*(Constants!$B$4/Constants!$B$3))-(I175*0.000000000000001))/Input!F175)*1000000000000</f>
        <v>750.32290721833931</v>
      </c>
      <c r="K175" s="138">
        <f>J175*Input!P175/100</f>
        <v>4.4712454447067236</v>
      </c>
      <c r="L175" s="143">
        <f>(J175/Constants!$B$4)*602200000000*Constants!$B$17/(365.2425*24*60)</f>
        <v>10.359040828807618</v>
      </c>
      <c r="M175" s="144">
        <f>L175*Input!P175/100</f>
        <v>6.1730507854345487E-2</v>
      </c>
      <c r="N175" s="138">
        <v>0</v>
      </c>
      <c r="O175" s="142">
        <f>(((G175*Constants!$B$23*0.000000001*Input!G175*(Constants!$B$7/Constants!$B$6))-(N175*0.000000001))/Input!F175)*1000000</f>
        <v>13.699382493120778</v>
      </c>
      <c r="P175" s="138">
        <f>O175*Input!N175/100</f>
        <v>1.4709039907299384E-3</v>
      </c>
      <c r="Q175" s="145">
        <f>(O175/Constants!$B$7)*602200000000000000*Constants!$B$18/(365.2425*24*60)</f>
        <v>10.22139365628945</v>
      </c>
      <c r="R175" s="146">
        <f>Q175*Input!N175/100</f>
        <v>1.097472001194768E-3</v>
      </c>
      <c r="S175" s="144">
        <f>Input!S175*Constants!$B$17/Constants!$B$18</f>
        <v>0.99969122006860023</v>
      </c>
      <c r="T175" s="138">
        <f>S175*Input!T175/100</f>
        <v>1.2873823031953988E-3</v>
      </c>
      <c r="U175" s="144">
        <f>S175</f>
        <v>0.99969122006860023</v>
      </c>
      <c r="V175" s="138">
        <f>U175*Input!T175/100</f>
        <v>1.2873823031953988E-3</v>
      </c>
      <c r="W175" s="147">
        <v>0</v>
      </c>
      <c r="X175" s="142">
        <f>(((Constants!$B$25*0.000000001*Input!G175/Input!W175*(Constants!$B$11/Constants!$B$9))-(W175*0.000000001))/Input!F175)*1000000000</f>
        <v>0.94541360520209428</v>
      </c>
      <c r="Y175" s="142">
        <f>X175*Input!X175/100</f>
        <v>4.2699923806497906E-3</v>
      </c>
      <c r="Z175" s="142">
        <f>(X175/Constants!$B$11)*6.022E+23*0.000000001*Constants!$B$19/(365.2425*24*60)</f>
        <v>2.3080602505174029E-4</v>
      </c>
      <c r="AA175" s="142">
        <f>Z175*Input!X175/100</f>
        <v>1.0424431835506786E-6</v>
      </c>
      <c r="AB175" s="143">
        <v>0</v>
      </c>
      <c r="AC175" s="143">
        <v>0.9</v>
      </c>
      <c r="AD175" s="142">
        <f>(((Input!G175*Constants!$B$25*0.000000001*Input!U175*(Constants!$B$10/Constants!$B$9))-((AB175*0.000000000000001)+(Input!G175*AC175*0.000000000000001)))/Input!F175)*1000000000000</f>
        <v>224.18354142153649</v>
      </c>
      <c r="AE175" s="142">
        <f>AD175*Input!V175/100</f>
        <v>0.62767146450993205</v>
      </c>
      <c r="AF175" s="142">
        <f>(AD175/Constants!$B$10)*602200000000*Constants!$B$16/(365.2425*24*60)</f>
        <v>10.233007606897541</v>
      </c>
      <c r="AG175" s="142">
        <f>AF175*Input!V175/100</f>
        <v>2.8650483573570775E-2</v>
      </c>
      <c r="AH175" s="138">
        <f t="shared" ref="AH175" si="972">AF175/Z175</f>
        <v>44335.963953296217</v>
      </c>
      <c r="AI175" s="147">
        <f t="shared" ref="AI175" si="973">AH175*SQRT((AG175/AF175)^2+(AA175/Z175)^2)</f>
        <v>235.59889296623487</v>
      </c>
      <c r="AJ175" s="144">
        <f t="shared" si="960"/>
        <v>-0.30877993139977189</v>
      </c>
      <c r="AK175" s="147">
        <f t="shared" ref="AK175" si="974">V175*1000</f>
        <v>1.2873823031953988</v>
      </c>
      <c r="AL175" s="147">
        <f t="shared" ref="AL175" si="975">AF175/Q175</f>
        <v>1.0011362394403962</v>
      </c>
      <c r="AM175" s="147">
        <f t="shared" ref="AM175" si="976">AL175*SQRT((R175/Q175)^2+(AG175/AF175)^2)</f>
        <v>2.8050522478280226E-3</v>
      </c>
      <c r="AN175" s="138">
        <f>AF175/Q175</f>
        <v>1.0011362394403962</v>
      </c>
      <c r="AO175" s="142">
        <f t="shared" ref="AO175" si="977">AN175*SQRT((R175/Q175)^2+(AG175/AF175)^2)</f>
        <v>2.8050522478280226E-3</v>
      </c>
      <c r="AP175" s="138" t="str">
        <f t="shared" ref="AP175" si="978">ThU_Alter_Kombi(AN175,U175)</f>
        <v>Out of range</v>
      </c>
      <c r="AQ175" s="138" t="e">
        <f t="shared" si="961"/>
        <v>#VALUE!</v>
      </c>
      <c r="AR175" s="138" t="e">
        <f>(AQ175/AP175)*100</f>
        <v>#VALUE!</v>
      </c>
      <c r="AS175" s="146">
        <f t="shared" si="962"/>
        <v>2.2580680562060168E-5</v>
      </c>
      <c r="AT175" s="146">
        <f t="shared" si="963"/>
        <v>1.0201521830182272E-7</v>
      </c>
      <c r="AU175" s="138">
        <v>0.75</v>
      </c>
      <c r="AV175" s="138">
        <f t="shared" ref="AV175" si="979">AU175/2</f>
        <v>0.375</v>
      </c>
      <c r="AW175" s="138" t="str">
        <f t="shared" si="964"/>
        <v>Out of range</v>
      </c>
      <c r="AX175" s="148">
        <f t="shared" si="965"/>
        <v>335.88894701829997</v>
      </c>
      <c r="AY175" s="148" t="e">
        <f t="shared" si="966"/>
        <v>#VALUE!</v>
      </c>
      <c r="AZ175" s="149" t="e">
        <f t="shared" si="967"/>
        <v>#VALUE!</v>
      </c>
      <c r="BA175" s="138" t="str">
        <f>Input!B175</f>
        <v>Hu1-13</v>
      </c>
      <c r="BB175" s="150">
        <f>Input!E175</f>
        <v>0</v>
      </c>
      <c r="BC175" s="138" t="e">
        <f>((U175-1)*EXP(Constants!$B$17*AW175*1000))*1000</f>
        <v>#VALUE!</v>
      </c>
      <c r="BD175" s="144" t="e">
        <f>SQRT((EXP(Constants!$B$17*AW175*1000)*V175)^2+((U175-1)*Constants!$B$17*EXP(Constants!$B$17*AW175*1000)*AY175*1000)^2)*1000</f>
        <v>#VALUE!</v>
      </c>
      <c r="BE175" s="138" t="e">
        <f t="shared" si="968"/>
        <v>#VALUE!</v>
      </c>
      <c r="BF175" s="151" t="e">
        <f t="shared" si="969"/>
        <v>#VALUE!</v>
      </c>
      <c r="BG175" s="160" t="e">
        <f t="shared" si="970"/>
        <v>#VALUE!</v>
      </c>
      <c r="BH175" s="138"/>
      <c r="BI175" s="18"/>
      <c r="BJ175" s="18"/>
      <c r="BK175" s="18"/>
      <c r="BL175" s="18"/>
      <c r="BM175" s="18"/>
      <c r="BN175" s="159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</row>
    <row r="176" spans="1:110" ht="15" customHeight="1" x14ac:dyDescent="0.2">
      <c r="A176" s="18">
        <f>Input!A176</f>
        <v>11011</v>
      </c>
      <c r="B176" s="18" t="str">
        <f>Input!B176</f>
        <v>JPM_1929</v>
      </c>
      <c r="C176" s="18">
        <f>Input!O176</f>
        <v>3.7701714618358038</v>
      </c>
      <c r="D176" s="18">
        <f>C176*Input!P176/100</f>
        <v>1.4839721311509336E-2</v>
      </c>
      <c r="E176" s="152">
        <f>Input!M176</f>
        <v>4.3438001370015513</v>
      </c>
      <c r="F176" s="153">
        <f>E176*Input!N176/100</f>
        <v>2.1170434541951014E-4</v>
      </c>
      <c r="G176" s="21">
        <f>E176*137.88</f>
        <v>598.92316288977383</v>
      </c>
      <c r="H176" s="153">
        <f>G176*Input!L176/100</f>
        <v>2.4482675218320805E-2</v>
      </c>
      <c r="I176" s="18">
        <v>0.3</v>
      </c>
      <c r="J176" s="129">
        <f>(((C176*Constants!$B$24*0.000000001*Input!G176*(Constants!$B$4/Constants!$B$3))-(I176*0.000000000000001))/Input!F176)*1000000000000</f>
        <v>156.90847170366655</v>
      </c>
      <c r="K176" s="18">
        <f>J176*Input!P176/100</f>
        <v>0.61760533043859445</v>
      </c>
      <c r="L176" s="134">
        <f>(J176/Constants!$B$4)*602200000000*Constants!$B$17/(365.2425*24*60)</f>
        <v>2.1662956696737226</v>
      </c>
      <c r="M176" s="132">
        <f>L176*Input!P176/100</f>
        <v>8.526727323068254E-3</v>
      </c>
      <c r="N176" s="18">
        <v>5.0000000000000001E-3</v>
      </c>
      <c r="O176" s="129">
        <f>(((G176*Constants!$B$23*0.000000001*Input!G176*(Constants!$B$7/Constants!$B$6))-(N176*0.000000001))/Input!F176)*1000000</f>
        <v>2.5109469427253344</v>
      </c>
      <c r="P176" s="18">
        <f>O176*Input!N176/100</f>
        <v>1.2237634378356235E-4</v>
      </c>
      <c r="Q176" s="130">
        <f>(O176/Constants!$B$7)*602200000000000000*Constants!$B$18/(365.2425*24*60)</f>
        <v>1.8734696373752708</v>
      </c>
      <c r="R176" s="131">
        <f>Q176*Input!N176/100</f>
        <v>9.1307530442144078E-5</v>
      </c>
      <c r="S176" s="132">
        <f>Input!S176*Constants!$B$17/Constants!$B$18</f>
        <v>1.1457983865613928</v>
      </c>
      <c r="T176" s="18">
        <f>S176*Input!T176/100</f>
        <v>6.5809400315892464E-4</v>
      </c>
      <c r="U176" s="18">
        <f>S176*1/((U175+U177)/2)</f>
        <v>1.1456808085446464</v>
      </c>
      <c r="V176" s="18">
        <f>U176*Input!T176/100</f>
        <v>6.5802647174272478E-4</v>
      </c>
      <c r="W176" s="133">
        <v>3.0000000000000001E-3</v>
      </c>
      <c r="X176" s="129">
        <f>IF((((Constants!$B$25*0.000000001*Input!G176/Input!W176*(Constants!$B$11/Constants!$B$9))-(W176*0.000000001))/Input!F176)*1000000000&lt;0, "n.d.", (((Constants!$B$25*0.000000001*Input!G176/Input!W176*(Constants!$B$11/Constants!$B$9))-(W176*0.000000001))/Input!F176)*1000000000)</f>
        <v>3.1116158645029104E-2</v>
      </c>
      <c r="Y176" s="129">
        <f>X176*Input!X176/100</f>
        <v>1.7264593046424984E-4</v>
      </c>
      <c r="Z176" s="129">
        <f>(X176/Constants!$B$11)*6.022E+23*0.000000001*Constants!$B$19/(365.2425*24*60)</f>
        <v>7.5964602711670421E-6</v>
      </c>
      <c r="AA176" s="129">
        <f>Z176*Input!X176/100</f>
        <v>4.2148453050127929E-8</v>
      </c>
      <c r="AB176" s="134">
        <v>0.05</v>
      </c>
      <c r="AC176" s="134">
        <v>0.9</v>
      </c>
      <c r="AD176" s="129">
        <f>(((Input!G176*Constants!$B$25*0.000000001*Input!U176*(Constants!$B$10/Constants!$B$9))-((AB176*0.000000000000001)+(Input!G176*AC176*0.000000000000001)))/Input!F176)*1000000000000</f>
        <v>7.4957423534744244E-2</v>
      </c>
      <c r="AE176" s="129">
        <f>AD176*Input!V176/100</f>
        <v>1.3119071825629695E-3</v>
      </c>
      <c r="AF176" s="129">
        <f>(AD176/Constants!$B$10)*602200000000*Constants!$B$16/(365.2425*24*60)</f>
        <v>3.4214817036108793E-3</v>
      </c>
      <c r="AG176" s="129">
        <f>AF176*Input!V176/100</f>
        <v>5.9882880311305155E-5</v>
      </c>
      <c r="AH176" s="18">
        <f>AF176/Z176</f>
        <v>450.40473871723913</v>
      </c>
      <c r="AI176" s="133">
        <f>AH176*SQRT((AG176/AF176)^2+(AA176/Z176)^2)</f>
        <v>8.2696348123868013</v>
      </c>
      <c r="AJ176" s="132">
        <f t="shared" si="960"/>
        <v>145.68080854464637</v>
      </c>
      <c r="AK176" s="133">
        <f>V176*1000</f>
        <v>0.65802647174272477</v>
      </c>
      <c r="AL176" s="133">
        <f>AF176/Q176</f>
        <v>1.8262808402939327E-3</v>
      </c>
      <c r="AM176" s="133">
        <f>AL176*SQRT((R176/Q176)^2+(AG176/AF176)^2)</f>
        <v>3.1963748593146034E-5</v>
      </c>
      <c r="AN176" s="18">
        <f>AL176*1/((AN175+AN177)/2)</f>
        <v>1.825347488125801E-3</v>
      </c>
      <c r="AO176" s="129">
        <f>AN176*SQRT((R176/Q176)^2+(AG176/AF176)^2)</f>
        <v>3.194741297082946E-5</v>
      </c>
      <c r="AP176" s="18">
        <f>ThU_Alter_Kombi(AN176,U176)</f>
        <v>0.1739</v>
      </c>
      <c r="AQ176" s="18">
        <f t="shared" si="961"/>
        <v>5.1000000000000004E-3</v>
      </c>
      <c r="AR176" s="154">
        <f>(AQ176/AP176)</f>
        <v>2.9327199539965501E-2</v>
      </c>
      <c r="AS176" s="131">
        <f t="shared" si="962"/>
        <v>4.0547549421775931E-6</v>
      </c>
      <c r="AT176" s="131">
        <f t="shared" si="963"/>
        <v>2.2498405213632083E-8</v>
      </c>
      <c r="AU176" s="18">
        <v>8</v>
      </c>
      <c r="AV176" s="18">
        <f>AU176/2</f>
        <v>4</v>
      </c>
      <c r="AW176" s="18">
        <f t="shared" si="964"/>
        <v>0.17080000000000001</v>
      </c>
      <c r="AX176" s="135">
        <f t="shared" si="965"/>
        <v>3.3631898000000002E-3</v>
      </c>
      <c r="AY176" s="135">
        <f t="shared" si="966"/>
        <v>3.4205119386707845E-3</v>
      </c>
      <c r="AZ176" s="154">
        <f t="shared" si="967"/>
        <v>1.9690806791569086E-2</v>
      </c>
      <c r="BA176" s="18" t="str">
        <f>Input!B176</f>
        <v>JPM_1929</v>
      </c>
      <c r="BB176" s="136">
        <f>Input!E176</f>
        <v>0</v>
      </c>
      <c r="BC176" s="18">
        <f>((U176-1)*EXP(Constants!$B$17*AW176*1000))*1000</f>
        <v>145.7510447635124</v>
      </c>
      <c r="BD176" s="132">
        <f>SQRT((EXP(Constants!$B$17*AW176*1000)*V176)^2+((U176-1)*Constants!$B$17*EXP(Constants!$B$17*AW176*1000)*AY176*1000)^2)*1000</f>
        <v>0.65834522545063012</v>
      </c>
      <c r="BE176" s="18">
        <f t="shared" si="968"/>
        <v>112.80000000000001</v>
      </c>
      <c r="BF176" s="137">
        <f t="shared" si="969"/>
        <v>1.7102559693353923</v>
      </c>
      <c r="BG176" s="20">
        <f t="shared" si="970"/>
        <v>2.0026416502756348</v>
      </c>
      <c r="BH176" s="18"/>
      <c r="BI176" s="18"/>
      <c r="BJ176" s="18"/>
      <c r="BK176" s="18"/>
      <c r="BL176" s="18"/>
      <c r="BM176" s="18"/>
      <c r="BN176" s="159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</row>
    <row r="177" spans="1:110" ht="15" customHeight="1" x14ac:dyDescent="0.2">
      <c r="A177" s="138">
        <f>Input!A177</f>
        <v>10815</v>
      </c>
      <c r="B177" s="138" t="str">
        <f>Input!B177</f>
        <v>Hu1-13</v>
      </c>
      <c r="C177" s="138">
        <f>Input!O177</f>
        <v>2.1094632427165072</v>
      </c>
      <c r="D177" s="138">
        <f>C177*Input!P177/100</f>
        <v>2.1310463479406124E-2</v>
      </c>
      <c r="E177" s="139">
        <f>Input!M177</f>
        <v>2.7314561401452826</v>
      </c>
      <c r="F177" s="140">
        <f>E177*Input!N177/100</f>
        <v>3.6083161893186527E-4</v>
      </c>
      <c r="G177" s="141">
        <f t="shared" ref="G177" si="980">E177*137.88</f>
        <v>376.61317260323153</v>
      </c>
      <c r="H177" s="140">
        <f>G177*Input!L177/100</f>
        <v>1.743351653682668E-2</v>
      </c>
      <c r="I177" s="138">
        <v>0</v>
      </c>
      <c r="J177" s="142">
        <f>(((C177*Constants!$B$24*0.000000001*Input!G177*(Constants!$B$4/Constants!$B$3))-(I177*0.000000000000001))/Input!F177)*1000000000000</f>
        <v>761.59542554388895</v>
      </c>
      <c r="K177" s="138">
        <f>J177*Input!P177/100</f>
        <v>7.6938773681760564</v>
      </c>
      <c r="L177" s="143">
        <f>(J177/Constants!$B$4)*602200000000*Constants!$B$17/(365.2425*24*60)</f>
        <v>10.514670460336209</v>
      </c>
      <c r="M177" s="144">
        <f>L177*Input!P177/100</f>
        <v>0.1062225196938871</v>
      </c>
      <c r="N177" s="138">
        <v>0</v>
      </c>
      <c r="O177" s="142">
        <f>(((G177*Constants!$B$23*0.000000001*Input!G177*(Constants!$B$7/Constants!$B$6))-(N177*0.000000001))/Input!F177)*1000000</f>
        <v>13.697123489873617</v>
      </c>
      <c r="P177" s="138">
        <f>O177*Input!N177/100</f>
        <v>1.8094214184592031E-3</v>
      </c>
      <c r="Q177" s="145">
        <f>(O177/Constants!$B$7)*602200000000000000*Constants!$B$18/(365.2425*24*60)</f>
        <v>10.219708167073302</v>
      </c>
      <c r="R177" s="146">
        <f>Q177*Input!N177/100</f>
        <v>1.3500468811262429E-3</v>
      </c>
      <c r="S177" s="144">
        <f>Input!S177*Constants!$B$17/Constants!$B$18</f>
        <v>1.0005140343371111</v>
      </c>
      <c r="T177" s="138">
        <f>S177*Input!T177/100</f>
        <v>1.3885510567977996E-3</v>
      </c>
      <c r="U177" s="144">
        <f>S177</f>
        <v>1.0005140343371111</v>
      </c>
      <c r="V177" s="138">
        <f>U177*Input!T177/100</f>
        <v>1.3885510567977996E-3</v>
      </c>
      <c r="W177" s="147">
        <v>0</v>
      </c>
      <c r="X177" s="142">
        <f>(((Constants!$B$25*0.000000001*Input!G177/Input!W177*(Constants!$B$11/Constants!$B$9))-(W177*0.000000001))/Input!F177)*1000000000</f>
        <v>0.93342455670110913</v>
      </c>
      <c r="Y177" s="142">
        <f>X177*Input!X177/100</f>
        <v>3.9487523709122278E-3</v>
      </c>
      <c r="Z177" s="142">
        <f>(X177/Constants!$B$11)*6.022E+23*0.000000001*Constants!$B$19/(365.2425*24*60)</f>
        <v>2.2787911072192862E-4</v>
      </c>
      <c r="AA177" s="142">
        <f>Z177*Input!X177/100</f>
        <v>9.6401811189195211E-7</v>
      </c>
      <c r="AB177" s="143">
        <v>0</v>
      </c>
      <c r="AC177" s="143">
        <v>0.9</v>
      </c>
      <c r="AD177" s="142">
        <f>(((Input!G177*Constants!$B$25*0.000000001*Input!U177*(Constants!$B$10/Constants!$B$9))-((AB177*0.000000000000001)+(Input!G177*AC177*0.000000000000001)))/Input!F177)*1000000000000</f>
        <v>223.86674861328436</v>
      </c>
      <c r="AE177" s="142">
        <f>AD177*Input!V177/100</f>
        <v>0.51788295980775667</v>
      </c>
      <c r="AF177" s="142">
        <f>(AD177/Constants!$B$10)*602200000000*Constants!$B$16/(365.2425*24*60)</f>
        <v>10.218547387400166</v>
      </c>
      <c r="AG177" s="142">
        <f>AF177*Input!V177/100</f>
        <v>2.3639113886735511E-2</v>
      </c>
      <c r="AH177" s="138">
        <f t="shared" ref="AH177" si="981">AF177/Z177</f>
        <v>44841.966229495403</v>
      </c>
      <c r="AI177" s="147">
        <f t="shared" ref="AI177" si="982">AH177*SQRT((AG177/AF177)^2+(AA177/Z177)^2)</f>
        <v>216.21002623302681</v>
      </c>
      <c r="AJ177" s="144">
        <f t="shared" si="960"/>
        <v>0.51403433711105784</v>
      </c>
      <c r="AK177" s="147">
        <f t="shared" ref="AK177" si="983">V177*1000</f>
        <v>1.3885510567977997</v>
      </c>
      <c r="AL177" s="147">
        <f t="shared" ref="AL177" si="984">AF177/Q177</f>
        <v>0.99988641753226615</v>
      </c>
      <c r="AM177" s="147">
        <f t="shared" ref="AM177" si="985">AL177*SQRT((R177/Q177)^2+(AG177/AF177)^2)</f>
        <v>2.3168591949823988E-3</v>
      </c>
      <c r="AN177" s="138">
        <f>AF177/Q177</f>
        <v>0.99988641753226615</v>
      </c>
      <c r="AO177" s="142">
        <f t="shared" ref="AO177" si="986">AN177*SQRT((R177/Q177)^2+(AG177/AF177)^2)</f>
        <v>2.3168591949823988E-3</v>
      </c>
      <c r="AP177" s="138">
        <f t="shared" ref="AP177" si="987">ThU_Alter_Kombi(AN177,U177)</f>
        <v>770.90639999999996</v>
      </c>
      <c r="AQ177" s="138" t="e">
        <f t="shared" si="961"/>
        <v>#VALUE!</v>
      </c>
      <c r="AR177" s="138" t="e">
        <f>(AQ177/AP177)*100</f>
        <v>#VALUE!</v>
      </c>
      <c r="AS177" s="146">
        <f t="shared" si="962"/>
        <v>2.2298005676534711E-5</v>
      </c>
      <c r="AT177" s="146">
        <f t="shared" si="963"/>
        <v>9.4375299144349948E-8</v>
      </c>
      <c r="AU177" s="138">
        <v>0.75</v>
      </c>
      <c r="AV177" s="138">
        <f t="shared" ref="AV177" si="988">AU177/2</f>
        <v>0.375</v>
      </c>
      <c r="AW177" s="138">
        <f t="shared" si="964"/>
        <v>770.90459999999996</v>
      </c>
      <c r="AX177" s="148">
        <f t="shared" si="965"/>
        <v>346.54492916869998</v>
      </c>
      <c r="AY177" s="148">
        <f t="shared" si="966"/>
        <v>386.75122614848334</v>
      </c>
      <c r="AZ177" s="149">
        <f t="shared" si="967"/>
        <v>0.44953023910961226</v>
      </c>
      <c r="BA177" s="138" t="str">
        <f>Input!B177</f>
        <v>Hu1-13</v>
      </c>
      <c r="BB177" s="150">
        <f>Input!E177</f>
        <v>0</v>
      </c>
      <c r="BC177" s="138">
        <f>((U177-1)*EXP(Constants!$B$17*AW177*1000))*1000</f>
        <v>4.5270649854697123</v>
      </c>
      <c r="BD177" s="144">
        <f>SQRT((EXP(Constants!$B$17*AW177*1000)*V177)^2+((U177-1)*Constants!$B$17*EXP(Constants!$B$17*AW177*1000)*AY177*1000)^2)*1000</f>
        <v>13.189344445103952</v>
      </c>
      <c r="BE177" s="138">
        <f t="shared" si="968"/>
        <v>770846.6</v>
      </c>
      <c r="BF177" s="151">
        <f t="shared" si="969"/>
        <v>193375.61307424167</v>
      </c>
      <c r="BG177" s="160">
        <f t="shared" si="970"/>
        <v>50.168493760250414</v>
      </c>
      <c r="BH177" s="138"/>
      <c r="BI177" s="18"/>
      <c r="BJ177" s="18"/>
      <c r="BK177" s="18"/>
      <c r="BL177" s="18"/>
      <c r="BM177" s="18"/>
      <c r="BN177" s="159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</row>
    <row r="178" spans="1:110" ht="15" customHeight="1" x14ac:dyDescent="0.2">
      <c r="A178" s="18">
        <f>Input!A178</f>
        <v>11012</v>
      </c>
      <c r="B178" s="18" t="str">
        <f>Input!B178</f>
        <v>JPM_1936</v>
      </c>
      <c r="C178" s="18">
        <f>Input!O178</f>
        <v>3.6295197728976056</v>
      </c>
      <c r="D178" s="18">
        <f>C178*Input!P178/100</f>
        <v>1.1011188914864974E-2</v>
      </c>
      <c r="E178" s="152">
        <f>Input!M178</f>
        <v>4.2021371051803831</v>
      </c>
      <c r="F178" s="153">
        <f>E178*Input!N178/100</f>
        <v>2.0315590307932031E-4</v>
      </c>
      <c r="G178" s="21">
        <f>E178*137.88</f>
        <v>579.39066406227118</v>
      </c>
      <c r="H178" s="153">
        <f>G178*Input!L178/100</f>
        <v>1.6880143335254248E-2</v>
      </c>
      <c r="I178" s="18">
        <v>0.3</v>
      </c>
      <c r="J178" s="129">
        <f>(((C178*Constants!$B$24*0.000000001*Input!G178*(Constants!$B$4/Constants!$B$3))-(I178*0.000000000000001))/Input!F178)*1000000000000</f>
        <v>160.26195075908194</v>
      </c>
      <c r="K178" s="18">
        <f>J178*Input!P178/100</f>
        <v>0.48620057916483583</v>
      </c>
      <c r="L178" s="134">
        <f>(J178/Constants!$B$4)*602200000000*Constants!$B$17/(365.2425*24*60)</f>
        <v>2.212594171451292</v>
      </c>
      <c r="M178" s="132">
        <f>L178*Input!P178/100</f>
        <v>6.7125388310886724E-3</v>
      </c>
      <c r="N178" s="18">
        <v>5.0000000000000001E-3</v>
      </c>
      <c r="O178" s="129">
        <f>(((G178*Constants!$B$23*0.000000001*Input!G178*(Constants!$B$7/Constants!$B$6))-(N178*0.000000001))/Input!F178)*1000000</f>
        <v>2.577115731315911</v>
      </c>
      <c r="P178" s="18">
        <f>O178*Input!N178/100</f>
        <v>1.2459285849811236E-4</v>
      </c>
      <c r="Q178" s="130">
        <f>(O178/Constants!$B$7)*602200000000000000*Constants!$B$18/(365.2425*24*60)</f>
        <v>1.922839544105279</v>
      </c>
      <c r="R178" s="131">
        <f>Q178*Input!N178/100</f>
        <v>9.2961318082116195E-5</v>
      </c>
      <c r="S178" s="132">
        <f>Input!S178*Constants!$B$17/Constants!$B$18</f>
        <v>1.1459772475061343</v>
      </c>
      <c r="T178" s="18">
        <f>S178*Input!T178/100</f>
        <v>5.2134260503039378E-4</v>
      </c>
      <c r="U178" s="18">
        <f>S178*1/((U177+U179)/2)</f>
        <v>1.1453884784988544</v>
      </c>
      <c r="V178" s="18">
        <f>U178*Input!T178/100</f>
        <v>5.210747547142689E-4</v>
      </c>
      <c r="W178" s="133">
        <v>3.0000000000000001E-3</v>
      </c>
      <c r="X178" s="129">
        <f>IF((((Constants!$B$25*0.000000001*Input!G178/Input!W178*(Constants!$B$11/Constants!$B$9))-(W178*0.000000001))/Input!F178)*1000000000&lt;0, "n.d.", (((Constants!$B$25*0.000000001*Input!G178/Input!W178*(Constants!$B$11/Constants!$B$9))-(W178*0.000000001))/Input!F178)*1000000000)</f>
        <v>8.9820778328567802E-2</v>
      </c>
      <c r="Y178" s="129">
        <f>X178*Input!X178/100</f>
        <v>1.9676870661925212E-4</v>
      </c>
      <c r="Z178" s="129">
        <f>(X178/Constants!$B$11)*6.022E+23*0.000000001*Constants!$B$19/(365.2425*24*60)</f>
        <v>2.1928155781763551E-5</v>
      </c>
      <c r="AA178" s="129">
        <f>Z178*Input!X178/100</f>
        <v>4.8037602568299731E-8</v>
      </c>
      <c r="AB178" s="134">
        <v>0.05</v>
      </c>
      <c r="AC178" s="134">
        <v>0.9</v>
      </c>
      <c r="AD178" s="129">
        <f>(((Input!G178*Constants!$B$25*0.000000001*Input!U178*(Constants!$B$10/Constants!$B$9))-((AB178*0.000000000000001)+(Input!G178*AC178*0.000000000000001)))/Input!F178)*1000000000000</f>
        <v>6.9397959377299034E-2</v>
      </c>
      <c r="AE178" s="129">
        <f>AD178*Input!V178/100</f>
        <v>1.0391872983565001E-3</v>
      </c>
      <c r="AF178" s="129">
        <f>(AD178/Constants!$B$10)*602200000000*Constants!$B$16/(365.2425*24*60)</f>
        <v>3.1677162458405438E-3</v>
      </c>
      <c r="AG178" s="129">
        <f>AF178*Input!V178/100</f>
        <v>4.7434398893173165E-5</v>
      </c>
      <c r="AH178" s="18">
        <f>AF178/Z178</f>
        <v>144.45885360204164</v>
      </c>
      <c r="AI178" s="133">
        <f>AH178*SQRT((AG178/AF178)^2+(AA178/Z178)^2)</f>
        <v>2.1861992870650062</v>
      </c>
      <c r="AJ178" s="132">
        <f t="shared" si="960"/>
        <v>145.3884784988544</v>
      </c>
      <c r="AK178" s="133">
        <f>V178*1000</f>
        <v>0.5210747547142689</v>
      </c>
      <c r="AL178" s="133">
        <f>AF178/Q178</f>
        <v>1.6474158000086903E-3</v>
      </c>
      <c r="AM178" s="133">
        <f>AL178*SQRT((R178/Q178)^2+(AG178/AF178)^2)</f>
        <v>2.4669061056198556E-5</v>
      </c>
      <c r="AN178" s="18">
        <f>AL178*1/((AN177+AN179)/2)</f>
        <v>1.6476029388163267E-3</v>
      </c>
      <c r="AO178" s="129">
        <f>AN178*SQRT((R178/Q178)^2+(AG178/AF178)^2)</f>
        <v>2.4671863347321139E-5</v>
      </c>
      <c r="AP178" s="18">
        <f>ThU_Alter_Kombi(AN178,U178)</f>
        <v>0.157</v>
      </c>
      <c r="AQ178" s="18">
        <f t="shared" si="961"/>
        <v>3.8999999999999998E-3</v>
      </c>
      <c r="AR178" s="154">
        <f>(AQ178/AP178)</f>
        <v>2.4840764331210189E-2</v>
      </c>
      <c r="AS178" s="131">
        <f t="shared" si="962"/>
        <v>1.1404048688819218E-5</v>
      </c>
      <c r="AT178" s="131">
        <f t="shared" si="963"/>
        <v>2.4988720085588788E-8</v>
      </c>
      <c r="AU178" s="18">
        <v>8</v>
      </c>
      <c r="AV178" s="18">
        <f>AU178/2</f>
        <v>4</v>
      </c>
      <c r="AW178" s="18">
        <f t="shared" si="964"/>
        <v>0.14829999999999999</v>
      </c>
      <c r="AX178" s="135">
        <f t="shared" si="965"/>
        <v>4.7538399E-3</v>
      </c>
      <c r="AY178" s="135">
        <f t="shared" si="966"/>
        <v>4.9463913676536988E-3</v>
      </c>
      <c r="AZ178" s="154">
        <f t="shared" si="967"/>
        <v>3.2055562373567097E-2</v>
      </c>
      <c r="BA178" s="18" t="str">
        <f>Input!B178</f>
        <v>JPM_1936</v>
      </c>
      <c r="BB178" s="136">
        <f>Input!E178</f>
        <v>0</v>
      </c>
      <c r="BC178" s="18">
        <f>((U178-1)*EXP(Constants!$B$17*AW178*1000))*1000</f>
        <v>145.44933798309154</v>
      </c>
      <c r="BD178" s="132">
        <f>SQRT((EXP(Constants!$B$17*AW178*1000)*V178)^2+((U178-1)*Constants!$B$17*EXP(Constants!$B$17*AW178*1000)*AY178*1000)^2)*1000</f>
        <v>0.52129682997415883</v>
      </c>
      <c r="BE178" s="18">
        <f t="shared" si="968"/>
        <v>90.299999999999983</v>
      </c>
      <c r="BF178" s="137">
        <f t="shared" si="969"/>
        <v>2.4731956838268494</v>
      </c>
      <c r="BG178" s="20">
        <f t="shared" si="970"/>
        <v>3.3353953928885365</v>
      </c>
      <c r="BH178" s="18"/>
      <c r="BI178" s="18"/>
      <c r="BJ178" s="18"/>
      <c r="BK178" s="18"/>
      <c r="BL178" s="18"/>
      <c r="BM178" s="18"/>
      <c r="BN178" s="159"/>
      <c r="BO178" s="18"/>
      <c r="BP178" s="18"/>
      <c r="BQ178" s="18"/>
      <c r="BR178" s="18"/>
      <c r="BS178" s="18"/>
      <c r="BT178" s="18"/>
      <c r="BU178" s="18"/>
      <c r="BV178" s="18"/>
      <c r="BW178" s="18"/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  <c r="CY178" s="18"/>
      <c r="CZ178" s="18"/>
      <c r="DA178" s="18"/>
      <c r="DB178" s="18"/>
      <c r="DC178" s="18"/>
      <c r="DD178" s="18"/>
      <c r="DE178" s="18"/>
      <c r="DF178" s="18"/>
    </row>
    <row r="179" spans="1:110" ht="15" customHeight="1" x14ac:dyDescent="0.2">
      <c r="A179" s="138">
        <f>Input!A179</f>
        <v>10815</v>
      </c>
      <c r="B179" s="138" t="str">
        <f>Input!B179</f>
        <v>Hu1-13</v>
      </c>
      <c r="C179" s="138">
        <f>Input!O179</f>
        <v>2.1094632427165072</v>
      </c>
      <c r="D179" s="138">
        <f>C179*Input!P179/100</f>
        <v>2.1310463479406124E-2</v>
      </c>
      <c r="E179" s="139">
        <f>Input!M179</f>
        <v>2.7314561401452826</v>
      </c>
      <c r="F179" s="140">
        <f>E179*Input!N179/100</f>
        <v>3.6083161893186527E-4</v>
      </c>
      <c r="G179" s="141">
        <f t="shared" ref="G179" si="989">E179*137.88</f>
        <v>376.61317260323153</v>
      </c>
      <c r="H179" s="140">
        <f>G179*Input!L179/100</f>
        <v>1.743351653682668E-2</v>
      </c>
      <c r="I179" s="138">
        <v>0</v>
      </c>
      <c r="J179" s="142">
        <f>(((C179*Constants!$B$24*0.000000001*Input!G179*(Constants!$B$4/Constants!$B$3))-(I179*0.000000000000001))/Input!F179)*1000000000000</f>
        <v>761.59542554388895</v>
      </c>
      <c r="K179" s="138">
        <f>J179*Input!P179/100</f>
        <v>7.6938773681760564</v>
      </c>
      <c r="L179" s="143">
        <f>(J179/Constants!$B$4)*602200000000*Constants!$B$17/(365.2425*24*60)</f>
        <v>10.514670460336209</v>
      </c>
      <c r="M179" s="144">
        <f>L179*Input!P179/100</f>
        <v>0.1062225196938871</v>
      </c>
      <c r="N179" s="138">
        <v>0</v>
      </c>
      <c r="O179" s="142">
        <f>(((G179*Constants!$B$23*0.000000001*Input!G179*(Constants!$B$7/Constants!$B$6))-(N179*0.000000001))/Input!F179)*1000000</f>
        <v>13.697123489873617</v>
      </c>
      <c r="P179" s="138">
        <f>O179*Input!N179/100</f>
        <v>1.8094214184592031E-3</v>
      </c>
      <c r="Q179" s="145">
        <f>(O179/Constants!$B$7)*602200000000000000*Constants!$B$18/(365.2425*24*60)</f>
        <v>10.219708167073302</v>
      </c>
      <c r="R179" s="146">
        <f>Q179*Input!N179/100</f>
        <v>1.3500468811262429E-3</v>
      </c>
      <c r="S179" s="144">
        <f>Input!S179*Constants!$B$17/Constants!$B$18</f>
        <v>1.0005140343371111</v>
      </c>
      <c r="T179" s="138">
        <f>S179*Input!T179/100</f>
        <v>1.3885510567977996E-3</v>
      </c>
      <c r="U179" s="144">
        <f>S179</f>
        <v>1.0005140343371111</v>
      </c>
      <c r="V179" s="138">
        <f>U179*Input!T179/100</f>
        <v>1.3885510567977996E-3</v>
      </c>
      <c r="W179" s="147">
        <v>0</v>
      </c>
      <c r="X179" s="142">
        <f>(((Constants!$B$25*0.000000001*Input!G179/Input!W179*(Constants!$B$11/Constants!$B$9))-(W179*0.000000001))/Input!F179)*1000000000</f>
        <v>0.93342455670110913</v>
      </c>
      <c r="Y179" s="142">
        <f>X179*Input!X179/100</f>
        <v>3.9487523709122278E-3</v>
      </c>
      <c r="Z179" s="142">
        <f>(X179/Constants!$B$11)*6.022E+23*0.000000001*Constants!$B$19/(365.2425*24*60)</f>
        <v>2.2787911072192862E-4</v>
      </c>
      <c r="AA179" s="142">
        <f>Z179*Input!X179/100</f>
        <v>9.6401811189195211E-7</v>
      </c>
      <c r="AB179" s="143">
        <v>0</v>
      </c>
      <c r="AC179" s="143">
        <v>0.9</v>
      </c>
      <c r="AD179" s="142">
        <f>(((Input!G179*Constants!$B$25*0.000000001*Input!U179*(Constants!$B$10/Constants!$B$9))-((AB179*0.000000000000001)+(Input!G179*AC179*0.000000000000001)))/Input!F179)*1000000000000</f>
        <v>223.86674861328436</v>
      </c>
      <c r="AE179" s="142">
        <f>AD179*Input!V179/100</f>
        <v>0.51788295980775667</v>
      </c>
      <c r="AF179" s="142">
        <f>(AD179/Constants!$B$10)*602200000000*Constants!$B$16/(365.2425*24*60)</f>
        <v>10.218547387400166</v>
      </c>
      <c r="AG179" s="142">
        <f>AF179*Input!V179/100</f>
        <v>2.3639113886735511E-2</v>
      </c>
      <c r="AH179" s="138">
        <f t="shared" ref="AH179" si="990">AF179/Z179</f>
        <v>44841.966229495403</v>
      </c>
      <c r="AI179" s="147">
        <f t="shared" ref="AI179" si="991">AH179*SQRT((AG179/AF179)^2+(AA179/Z179)^2)</f>
        <v>216.21002623302681</v>
      </c>
      <c r="AJ179" s="144">
        <f t="shared" si="960"/>
        <v>0.51403433711105784</v>
      </c>
      <c r="AK179" s="147">
        <f t="shared" ref="AK179" si="992">V179*1000</f>
        <v>1.3885510567977997</v>
      </c>
      <c r="AL179" s="147">
        <f t="shared" ref="AL179" si="993">AF179/Q179</f>
        <v>0.99988641753226615</v>
      </c>
      <c r="AM179" s="147">
        <f t="shared" ref="AM179" si="994">AL179*SQRT((R179/Q179)^2+(AG179/AF179)^2)</f>
        <v>2.3168591949823988E-3</v>
      </c>
      <c r="AN179" s="138">
        <f>AF179/Q179</f>
        <v>0.99988641753226615</v>
      </c>
      <c r="AO179" s="142">
        <f t="shared" ref="AO179" si="995">AN179*SQRT((R179/Q179)^2+(AG179/AF179)^2)</f>
        <v>2.3168591949823988E-3</v>
      </c>
      <c r="AP179" s="138">
        <f t="shared" ref="AP179" si="996">ThU_Alter_Kombi(AN179,U179)</f>
        <v>770.90639999999996</v>
      </c>
      <c r="AQ179" s="138" t="e">
        <f t="shared" si="961"/>
        <v>#VALUE!</v>
      </c>
      <c r="AR179" s="138" t="e">
        <f>(AQ179/AP179)*100</f>
        <v>#VALUE!</v>
      </c>
      <c r="AS179" s="146">
        <f t="shared" si="962"/>
        <v>2.2298005676534711E-5</v>
      </c>
      <c r="AT179" s="146">
        <f t="shared" si="963"/>
        <v>9.4375299144349948E-8</v>
      </c>
      <c r="AU179" s="138">
        <v>0.75</v>
      </c>
      <c r="AV179" s="138">
        <f t="shared" ref="AV179" si="997">AU179/2</f>
        <v>0.375</v>
      </c>
      <c r="AW179" s="138">
        <f t="shared" si="964"/>
        <v>770.90459999999996</v>
      </c>
      <c r="AX179" s="148">
        <f t="shared" si="965"/>
        <v>334.19192890170001</v>
      </c>
      <c r="AY179" s="148">
        <f t="shared" si="966"/>
        <v>386.75122614848334</v>
      </c>
      <c r="AZ179" s="149">
        <f t="shared" si="967"/>
        <v>0.43350620673647561</v>
      </c>
      <c r="BA179" s="138" t="str">
        <f>Input!B179</f>
        <v>Hu1-13</v>
      </c>
      <c r="BB179" s="150">
        <f>Input!E179</f>
        <v>0</v>
      </c>
      <c r="BC179" s="138">
        <f>((U179-1)*EXP(Constants!$B$17*AW179*1000))*1000</f>
        <v>4.5270649854697123</v>
      </c>
      <c r="BD179" s="144">
        <f>SQRT((EXP(Constants!$B$17*AW179*1000)*V179)^2+((U179-1)*Constants!$B$17*EXP(Constants!$B$17*AW179*1000)*AY179*1000)^2)*1000</f>
        <v>13.189344445103952</v>
      </c>
      <c r="BE179" s="138">
        <f t="shared" si="968"/>
        <v>770846.6</v>
      </c>
      <c r="BF179" s="151">
        <f t="shared" si="969"/>
        <v>193375.61307424167</v>
      </c>
      <c r="BG179" s="160">
        <f t="shared" si="970"/>
        <v>50.168493760250414</v>
      </c>
      <c r="BH179" s="138"/>
      <c r="BI179" s="18"/>
      <c r="BJ179" s="18"/>
      <c r="BK179" s="18"/>
      <c r="BL179" s="18"/>
      <c r="BM179" s="18"/>
      <c r="BN179" s="159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</row>
    <row r="181" spans="1:110" ht="15" customHeight="1" x14ac:dyDescent="0.2">
      <c r="A181" s="138">
        <f>Input!A181</f>
        <v>10815</v>
      </c>
      <c r="B181" s="138" t="str">
        <f>Input!B181</f>
        <v>Hu1-13</v>
      </c>
      <c r="C181" s="138">
        <f>Input!O181</f>
        <v>2.0709921356418399</v>
      </c>
      <c r="D181" s="138">
        <f>C181*Input!P181/100</f>
        <v>1.1456681512892071E-2</v>
      </c>
      <c r="E181" s="139">
        <f>Input!M181</f>
        <v>2.7319483786102214</v>
      </c>
      <c r="F181" s="140">
        <f>E181*Input!N181/100</f>
        <v>2.0091978140831583E-4</v>
      </c>
      <c r="G181" s="141">
        <f t="shared" ref="G181" si="998">E181*137.88</f>
        <v>376.68104244277731</v>
      </c>
      <c r="H181" s="140">
        <f>G181*Input!L181/100</f>
        <v>8.3200310004067787E-2</v>
      </c>
      <c r="I181" s="138">
        <v>0</v>
      </c>
      <c r="J181" s="142">
        <f>(((C181*Constants!$B$24*0.000000001*Input!G181*(Constants!$B$4/Constants!$B$3))-(I181*0.000000000000001))/Input!F181)*1000000000000</f>
        <v>747.70591158111188</v>
      </c>
      <c r="K181" s="138">
        <f>J181*Input!P181/100</f>
        <v>4.1362921407891289</v>
      </c>
      <c r="L181" s="143">
        <f>(J181/Constants!$B$4)*602200000000*Constants!$B$17/(365.2425*24*60)</f>
        <v>10.322910298346601</v>
      </c>
      <c r="M181" s="144">
        <f>L181*Input!P181/100</f>
        <v>5.7106105590139143E-2</v>
      </c>
      <c r="N181" s="138">
        <v>0</v>
      </c>
      <c r="O181" s="142">
        <f>(((G181*Constants!$B$23*0.000000001*Input!G181*(Constants!$B$7/Constants!$B$6))-(N181*0.000000001))/Input!F181)*1000000</f>
        <v>13.699591862307512</v>
      </c>
      <c r="P181" s="138">
        <f>O181*Input!N181/100</f>
        <v>1.0075296531621182E-3</v>
      </c>
      <c r="Q181" s="145">
        <f>(O181/Constants!$B$7)*602200000000000000*Constants!$B$18/(365.2425*24*60)</f>
        <v>10.221549870985857</v>
      </c>
      <c r="R181" s="146">
        <f>Q181*Input!N181/100</f>
        <v>7.5173878899477149E-4</v>
      </c>
      <c r="S181" s="144">
        <f>Input!S181*Constants!$B$17/Constants!$B$18</f>
        <v>1.000613336456432</v>
      </c>
      <c r="T181" s="138">
        <f>S181*Input!T181/100</f>
        <v>1.2509703155602853E-3</v>
      </c>
      <c r="U181" s="144">
        <f>S181</f>
        <v>1.000613336456432</v>
      </c>
      <c r="V181" s="138">
        <f>U181*Input!T181/100</f>
        <v>1.2509703155602853E-3</v>
      </c>
      <c r="W181" s="147">
        <v>0</v>
      </c>
      <c r="X181" s="142">
        <f>(((Constants!$B$25*0.000000001*Input!G181/Input!W181*(Constants!$B$11/Constants!$B$9))-(W181*0.000000001))/Input!F181)*1000000000</f>
        <v>0.96900911559365821</v>
      </c>
      <c r="Y181" s="142">
        <f>X181*Input!X181/100</f>
        <v>2.9320521987623795E-3</v>
      </c>
      <c r="Z181" s="142">
        <f>(X181/Constants!$B$11)*6.022E+23*0.000000001*Constants!$B$19/(365.2425*24*60)</f>
        <v>2.3656645195122385E-4</v>
      </c>
      <c r="AA181" s="142">
        <f>Z181*Input!X181/100</f>
        <v>7.1580873124403464E-7</v>
      </c>
      <c r="AB181" s="143">
        <v>0</v>
      </c>
      <c r="AC181" s="143">
        <v>0.9</v>
      </c>
      <c r="AD181" s="142">
        <f>(((Input!G181*Constants!$B$25*0.000000001*Input!U181*(Constants!$B$10/Constants!$B$9))-((AB181*0.000000000000001)+(Input!G181*AC181*0.000000000000001)))/Input!F181)*1000000000000</f>
        <v>223.24049181039916</v>
      </c>
      <c r="AE181" s="142">
        <f>AD181*Input!V181/100</f>
        <v>0.71451523199523537</v>
      </c>
      <c r="AF181" s="142">
        <f>(AD181/Constants!$B$10)*602200000000*Constants!$B$16/(365.2425*24*60)</f>
        <v>10.189961477002107</v>
      </c>
      <c r="AG181" s="142">
        <f>AF181*Input!V181/100</f>
        <v>3.2614525392402435E-2</v>
      </c>
      <c r="AH181" s="138">
        <f t="shared" ref="AH181" si="999">AF181/Z181</f>
        <v>43074.414791084208</v>
      </c>
      <c r="AI181" s="147">
        <f t="shared" ref="AI181" si="1000">AH181*SQRT((AG181/AF181)^2+(AA181/Z181)^2)</f>
        <v>189.7221113824753</v>
      </c>
      <c r="AJ181" s="144">
        <f t="shared" ref="AJ181:AJ193" si="1001">(U181-1)*1000</f>
        <v>0.61333645643202317</v>
      </c>
      <c r="AK181" s="147">
        <f t="shared" ref="AK181" si="1002">V181*1000</f>
        <v>1.2509703155602854</v>
      </c>
      <c r="AL181" s="147">
        <f t="shared" ref="AL181" si="1003">AF181/Q181</f>
        <v>0.99690962775875958</v>
      </c>
      <c r="AM181" s="147">
        <f t="shared" ref="AM181" si="1004">AL181*SQRT((R181/Q181)^2+(AG181/AF181)^2)</f>
        <v>3.1916034939466651E-3</v>
      </c>
      <c r="AN181" s="138">
        <f>AF181/Q181</f>
        <v>0.99690962775875958</v>
      </c>
      <c r="AO181" s="142">
        <f t="shared" ref="AO181" si="1005">AN181*SQRT((R181/Q181)^2+(AG181/AF181)^2)</f>
        <v>3.1916034939466651E-3</v>
      </c>
      <c r="AP181" s="138">
        <f t="shared" ref="AP181" si="1006">ThU_Alter_Kombi(AN181,U181)</f>
        <v>603.26480000000004</v>
      </c>
      <c r="AQ181" s="138" t="e">
        <f t="shared" ref="AQ181:AQ193" si="1007">Montealter(AN181,AO181,U181,V181)</f>
        <v>#VALUE!</v>
      </c>
      <c r="AR181" s="138" t="e">
        <f>(AQ181/AP181)*100</f>
        <v>#VALUE!</v>
      </c>
      <c r="AS181" s="146">
        <f t="shared" ref="AS181:AS193" si="1008">Z181/Q181</f>
        <v>2.3143892554173615E-5</v>
      </c>
      <c r="AT181" s="146">
        <f t="shared" ref="AT181:AT193" si="1009">AS181*SQRT((Y181/X181)^2+(P181/O181)^2)</f>
        <v>7.0050055564637056E-8</v>
      </c>
      <c r="AU181" s="138">
        <v>0.75</v>
      </c>
      <c r="AV181" s="138">
        <f t="shared" ref="AV181" si="1010">AU181/2</f>
        <v>0.375</v>
      </c>
      <c r="AW181" s="138">
        <f t="shared" ref="AW181:AW193" si="1011">marincorr_age(AN181,U181,AS181,AU181)</f>
        <v>603.26289999999995</v>
      </c>
      <c r="AX181" s="148">
        <f t="shared" ref="AX181:AX193" si="1012">marincorr_age_error(AN181, AO181, U181, V181, AS181, AT181, AU181, AV181)</f>
        <v>224.01235210639999</v>
      </c>
      <c r="AY181" s="148">
        <f t="shared" ref="AY181:AY193" si="1013">SQRT(((AU181*EXP(-0.0000091577*AW181*1000))/(0.0000091577*(EXP(-0.0000091577*AW181*1000)+(AJ181/1000)*EXP(-(0.0000091577-0.0000028263)*AW181*1000)-AS181*AU181*EXP(-0.0000091577*AW181*1000))))^2*AT181^2+((AS181*EXP(-0.0000091577*AW181*1000))/(0.0000091577*(EXP(-0.0000091577*AW181*1000)+(AJ181/1000)*EXP(-(0.0000091577-0.0000028263)*AW181*1000)-AS181*AU181*EXP(-0.0000091577*AW181*1000))))^2*AV181^2+((0.0000091577/(0.0000091577-0.0000028263))*(EXP(-(0.0000091577-0.0000028263)*AW181*1000)-1)/(0.0000091577*(EXP(-0.0000091577*AW181*1000)+(AJ181/1000)*EXP(-(0.0000091577-0.0000028263)*AW181*1000)-AS181*AU181*EXP(-0.0000091577*AW181*1000))))^2*T181^2+(1/(0.0000091577*(EXP(-0.0000091577*AW181*1000)+(AJ181/1000)*EXP(-(0.0000091577-0.0000028263)*AW181*1000)-AS181*AU181*EXP(-0.0000091577*AW181*1000))))^2*AO181^2)/1000</f>
        <v>99.595708034376443</v>
      </c>
      <c r="AZ181" s="149">
        <f t="shared" ref="AZ181:AZ193" si="1014">AX181/AW181</f>
        <v>0.37133454105399155</v>
      </c>
      <c r="BA181" s="138" t="str">
        <f>Input!B181</f>
        <v>Hu1-13</v>
      </c>
      <c r="BB181" s="150">
        <f>Input!E181</f>
        <v>0</v>
      </c>
      <c r="BC181" s="138">
        <f>((U181-1)*EXP(Constants!$B$17*AW181*1000))*1000</f>
        <v>3.3655872821902619</v>
      </c>
      <c r="BD181" s="144">
        <f>SQRT((EXP(Constants!$B$17*AW181*1000)*V181)^2+((U181-1)*Constants!$B$17*EXP(Constants!$B$17*AW181*1000)*AY181*1000)^2)*1000</f>
        <v>6.9293735184085401</v>
      </c>
      <c r="BE181" s="138">
        <f t="shared" ref="BE181:BE193" si="1015">AW181*1000-58</f>
        <v>603204.89999999991</v>
      </c>
      <c r="BF181" s="151">
        <f t="shared" ref="BF181:BF193" si="1016">AY181/2*1000</f>
        <v>49797.85401718822</v>
      </c>
      <c r="BG181" s="160">
        <f t="shared" ref="BG181:BG193" si="1017">AY181/AW181*100</f>
        <v>16.509503242181221</v>
      </c>
      <c r="BH181" s="138"/>
      <c r="BI181" s="18"/>
      <c r="BJ181" s="18"/>
      <c r="BK181" s="18"/>
      <c r="BL181" s="18"/>
      <c r="BM181" s="18"/>
      <c r="BN181" s="159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</row>
    <row r="182" spans="1:110" ht="15" customHeight="1" x14ac:dyDescent="0.2">
      <c r="A182" s="18">
        <f>Input!A182</f>
        <v>10994</v>
      </c>
      <c r="B182" s="18" t="str">
        <f>Input!B182</f>
        <v>MD13-3462G-126</v>
      </c>
      <c r="C182" s="18">
        <f>Input!O182</f>
        <v>2.8182986244955184</v>
      </c>
      <c r="D182" s="18">
        <f>C182*Input!P182/100</f>
        <v>4.3313536401468804E-3</v>
      </c>
      <c r="E182" s="152">
        <f>Input!M182</f>
        <v>3.3263039464879074</v>
      </c>
      <c r="F182" s="153">
        <f>E182*Input!N182/100</f>
        <v>1.1504910457023961E-4</v>
      </c>
      <c r="G182" s="21">
        <f>E182*137.88</f>
        <v>458.63078814175265</v>
      </c>
      <c r="H182" s="153">
        <f>G182*Input!L182/100</f>
        <v>4.4315629023111459E-2</v>
      </c>
      <c r="I182" s="18">
        <v>0.3</v>
      </c>
      <c r="J182" s="129">
        <f>(((C182*Constants!$B$24*0.000000001*Input!G182*(Constants!$B$4/Constants!$B$3))-(I182*0.000000000000001))/Input!F182)*1000000000000</f>
        <v>235.88419720889607</v>
      </c>
      <c r="K182" s="18">
        <f>J182*Input!P182/100</f>
        <v>0.36252293044948808</v>
      </c>
      <c r="L182" s="134">
        <f>(J182/Constants!$B$4)*602200000000*Constants!$B$17/(365.2425*24*60)</f>
        <v>3.2566432481934191</v>
      </c>
      <c r="M182" s="132">
        <f>L182*Input!P182/100</f>
        <v>5.0050315694445879E-3</v>
      </c>
      <c r="N182" s="18">
        <v>5.0000000000000001E-3</v>
      </c>
      <c r="O182" s="129">
        <f>(((G182*Constants!$B$23*0.000000001*Input!G182*(Constants!$B$7/Constants!$B$6))-(N182*0.000000001))/Input!F182)*1000000</f>
        <v>3.8668421813368763</v>
      </c>
      <c r="P182" s="18">
        <f>O182*Input!N182/100</f>
        <v>1.3374506287886431E-4</v>
      </c>
      <c r="Q182" s="130">
        <f>(O182/Constants!$B$7)*602200000000000000*Constants!$B$18/(365.2425*24*60)</f>
        <v>2.8851312212091802</v>
      </c>
      <c r="R182" s="131">
        <f>Q182*Input!N182/100</f>
        <v>9.9789967756322944E-5</v>
      </c>
      <c r="S182" s="132">
        <f>Input!S182*Constants!$B$17/Constants!$B$18</f>
        <v>1.1218352909776903</v>
      </c>
      <c r="T182" s="18">
        <f>S182*Input!T182/100</f>
        <v>5.0597531548134307E-4</v>
      </c>
      <c r="U182" s="18">
        <f>S182*1/((U181+U183)/2)</f>
        <v>1.121990214534317</v>
      </c>
      <c r="V182" s="18">
        <f>U182*Input!T182/100</f>
        <v>5.0604518981679151E-4</v>
      </c>
      <c r="W182" s="133">
        <v>3.0000000000000001E-3</v>
      </c>
      <c r="X182" s="129">
        <f>IF((((Constants!$B$25*0.000000001*Input!G182/Input!W182*(Constants!$B$11/Constants!$B$9))-(W182*0.000000001))/Input!F182)*1000000000&lt;0, "n.d.", (((Constants!$B$25*0.000000001*Input!G182/Input!W182*(Constants!$B$11/Constants!$B$9))-(W182*0.000000001))/Input!F182)*1000000000)</f>
        <v>7.1664147239277609</v>
      </c>
      <c r="Y182" s="129">
        <f>X182*Input!X182/100</f>
        <v>1.3280097653132992E-2</v>
      </c>
      <c r="Z182" s="129">
        <f>(X182/Constants!$B$11)*6.022E+23*0.000000001*Constants!$B$19/(365.2425*24*60)</f>
        <v>1.7495535152029641E-3</v>
      </c>
      <c r="AA182" s="129">
        <f>Z182*Input!X182/100</f>
        <v>3.2421011658313939E-6</v>
      </c>
      <c r="AB182" s="134">
        <v>0.05</v>
      </c>
      <c r="AC182" s="134">
        <v>0.9</v>
      </c>
      <c r="AD182" s="129">
        <f>(((Input!G182*Constants!$B$25*0.000000001*Input!U182*(Constants!$B$10/Constants!$B$9))-((AB182*0.000000000000001)+(Input!G182*AC182*0.000000000000001)))/Input!F182)*1000000000000</f>
        <v>20.56403146415758</v>
      </c>
      <c r="AE182" s="129">
        <f>AD182*Input!V182/100</f>
        <v>4.2462203606744416E-2</v>
      </c>
      <c r="AF182" s="129">
        <f>(AD182/Constants!$B$10)*602200000000*Constants!$B$16/(365.2425*24*60)</f>
        <v>0.93865896250396863</v>
      </c>
      <c r="AG182" s="129">
        <f>AF182*Input!V182/100</f>
        <v>1.938215668100359E-3</v>
      </c>
      <c r="AH182" s="18">
        <f>AF182/Z182</f>
        <v>536.51343291152523</v>
      </c>
      <c r="AI182" s="133">
        <f>AH182*SQRT((AG182/AF182)^2+(AA182/Z182)^2)</f>
        <v>1.488542549024801</v>
      </c>
      <c r="AJ182" s="132">
        <f t="shared" si="1001"/>
        <v>121.99021453431702</v>
      </c>
      <c r="AK182" s="133">
        <f>V182*1000</f>
        <v>0.50604518981679147</v>
      </c>
      <c r="AL182" s="133">
        <f>AF182/Q182</f>
        <v>0.32534359463573015</v>
      </c>
      <c r="AM182" s="133">
        <f>AL182*SQRT((R182/Q182)^2+(AG182/AF182)^2)</f>
        <v>6.7188887126259618E-4</v>
      </c>
      <c r="AN182" s="18">
        <f>AL182*1/((AN181+AN183)/2)</f>
        <v>0.32582782419002276</v>
      </c>
      <c r="AO182" s="129">
        <f>AN182*SQRT((R182/Q182)^2+(AG182/AF182)^2)</f>
        <v>6.7288888618229959E-4</v>
      </c>
      <c r="AP182" s="18">
        <f>ThU_Alter_Kombi(AN182,U182)</f>
        <v>37.161999999999999</v>
      </c>
      <c r="AQ182" s="18">
        <f t="shared" si="1007"/>
        <v>8.5099999999999995E-2</v>
      </c>
      <c r="AR182" s="154">
        <f>(AQ182/AP182)</f>
        <v>2.2899736289758357E-3</v>
      </c>
      <c r="AS182" s="131">
        <f t="shared" si="1008"/>
        <v>6.0640344617313906E-4</v>
      </c>
      <c r="AT182" s="131">
        <f t="shared" si="1009"/>
        <v>1.1239231763143576E-6</v>
      </c>
      <c r="AU182" s="18">
        <v>8</v>
      </c>
      <c r="AV182" s="18">
        <f>AU182/2</f>
        <v>4</v>
      </c>
      <c r="AW182" s="18">
        <f t="shared" si="1011"/>
        <v>36.695</v>
      </c>
      <c r="AX182" s="135">
        <f t="shared" si="1012"/>
        <v>0.25621801259999999</v>
      </c>
      <c r="AY182" s="135">
        <f t="shared" si="1013"/>
        <v>0.25217480015616595</v>
      </c>
      <c r="AZ182" s="154">
        <f t="shared" si="1014"/>
        <v>6.9823685134214469E-3</v>
      </c>
      <c r="BA182" s="18" t="str">
        <f>Input!B182</f>
        <v>MD13-3462G-126</v>
      </c>
      <c r="BB182" s="136">
        <f>Input!E182</f>
        <v>126</v>
      </c>
      <c r="BC182" s="18">
        <f>((U182-1)*EXP(Constants!$B$17*AW182*1000))*1000</f>
        <v>135.3002420931175</v>
      </c>
      <c r="BD182" s="132">
        <f>SQRT((EXP(Constants!$B$17*AW182*1000)*V182)^2+((U182-1)*Constants!$B$17*EXP(Constants!$B$17*AW182*1000)*AY182*1000)^2)*1000</f>
        <v>0.56945778255409651</v>
      </c>
      <c r="BE182" s="18">
        <f t="shared" si="1015"/>
        <v>36637</v>
      </c>
      <c r="BF182" s="137">
        <f t="shared" si="1016"/>
        <v>126.08740007808298</v>
      </c>
      <c r="BG182" s="20">
        <f t="shared" si="1017"/>
        <v>0.68721842255393362</v>
      </c>
      <c r="BH182" s="18"/>
      <c r="BI182" s="18"/>
      <c r="BJ182" s="18"/>
      <c r="BK182" s="18"/>
      <c r="BL182" s="18"/>
      <c r="BM182" s="18"/>
      <c r="BN182" s="159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</row>
    <row r="183" spans="1:110" ht="15" customHeight="1" x14ac:dyDescent="0.2">
      <c r="A183" s="138">
        <f>Input!A183</f>
        <v>10815</v>
      </c>
      <c r="B183" s="138" t="str">
        <f>Input!B183</f>
        <v>Hu1-13</v>
      </c>
      <c r="C183" s="138">
        <f>Input!O183</f>
        <v>2.0712898686160877</v>
      </c>
      <c r="D183" s="138">
        <f>C183*Input!P183/100</f>
        <v>1.4505456149460687E-2</v>
      </c>
      <c r="E183" s="139">
        <f>Input!M183</f>
        <v>2.7319958282359855</v>
      </c>
      <c r="F183" s="140">
        <f>E183*Input!N183/100</f>
        <v>3.0583587299458142E-4</v>
      </c>
      <c r="G183" s="141">
        <f t="shared" ref="G183" si="1018">E183*137.88</f>
        <v>376.68758479717769</v>
      </c>
      <c r="H183" s="140">
        <f>G183*Input!L183/100</f>
        <v>2.3221363424847343E-2</v>
      </c>
      <c r="I183" s="138">
        <v>0</v>
      </c>
      <c r="J183" s="142">
        <f>(((C183*Constants!$B$24*0.000000001*Input!G183*(Constants!$B$4/Constants!$B$3))-(I183*0.000000000000001))/Input!F183)*1000000000000</f>
        <v>747.81340436251185</v>
      </c>
      <c r="K183" s="138">
        <f>J183*Input!P183/100</f>
        <v>5.2370142437894982</v>
      </c>
      <c r="L183" s="143">
        <f>(J183/Constants!$B$4)*602200000000*Constants!$B$17/(365.2425*24*60)</f>
        <v>10.32439435554466</v>
      </c>
      <c r="M183" s="144">
        <f>L183*Input!P183/100</f>
        <v>7.230279637014457E-2</v>
      </c>
      <c r="N183" s="138">
        <v>0</v>
      </c>
      <c r="O183" s="142">
        <f>(((G183*Constants!$B$23*0.000000001*Input!G183*(Constants!$B$7/Constants!$B$6))-(N183*0.000000001))/Input!F183)*1000000</f>
        <v>13.699829802567322</v>
      </c>
      <c r="P183" s="138">
        <f>O183*Input!N183/100</f>
        <v>1.5336404851872434E-3</v>
      </c>
      <c r="Q183" s="145">
        <f>(O183/Constants!$B$7)*602200000000000000*Constants!$B$18/(365.2425*24*60)</f>
        <v>10.221727403152975</v>
      </c>
      <c r="R183" s="146">
        <f>Q183*Input!N183/100</f>
        <v>1.1442810020227793E-3</v>
      </c>
      <c r="S183" s="144">
        <f>Input!S183*Constants!$B$17/Constants!$B$18</f>
        <v>0.99911050506264765</v>
      </c>
      <c r="T183" s="138">
        <f>S183*Input!T183/100</f>
        <v>1.0330437800976817E-3</v>
      </c>
      <c r="U183" s="144">
        <f>S183</f>
        <v>0.99911050506264765</v>
      </c>
      <c r="V183" s="138">
        <f>U183*Input!T183/100</f>
        <v>1.0330437800976817E-3</v>
      </c>
      <c r="W183" s="147">
        <v>0</v>
      </c>
      <c r="X183" s="142">
        <f>(((Constants!$B$25*0.000000001*Input!G183/Input!W183*(Constants!$B$11/Constants!$B$9))-(W183*0.000000001))/Input!F183)*1000000000</f>
        <v>0.96748523651181739</v>
      </c>
      <c r="Y183" s="142">
        <f>X183*Input!X183/100</f>
        <v>4.0979435905264252E-3</v>
      </c>
      <c r="Z183" s="142">
        <f>(X183/Constants!$B$11)*6.022E+23*0.000000001*Constants!$B$19/(365.2425*24*60)</f>
        <v>2.3619442380226995E-4</v>
      </c>
      <c r="AA183" s="142">
        <f>Z183*Input!X183/100</f>
        <v>1.00044051176255E-6</v>
      </c>
      <c r="AB183" s="143">
        <v>0</v>
      </c>
      <c r="AC183" s="143">
        <v>0.9</v>
      </c>
      <c r="AD183" s="142">
        <f>(((Input!G183*Constants!$B$25*0.000000001*Input!U183*(Constants!$B$10/Constants!$B$9))-((AB183*0.000000000000001)+(Input!G183*AC183*0.000000000000001)))/Input!F183)*1000000000000</f>
        <v>223.96285597020932</v>
      </c>
      <c r="AE183" s="142">
        <f>AD183*Input!V183/100</f>
        <v>0.69897750779165191</v>
      </c>
      <c r="AF183" s="142">
        <f>(AD183/Constants!$B$10)*602200000000*Constants!$B$16/(365.2425*24*60)</f>
        <v>10.222934271951351</v>
      </c>
      <c r="AG183" s="142">
        <f>AF183*Input!V183/100</f>
        <v>3.1905295584714728E-2</v>
      </c>
      <c r="AH183" s="138">
        <f t="shared" ref="AH183" si="1019">AF183/Z183</f>
        <v>43281.861220015402</v>
      </c>
      <c r="AI183" s="147">
        <f t="shared" ref="AI183" si="1020">AH183*SQRT((AG183/AF183)^2+(AA183/Z183)^2)</f>
        <v>227.71856398459019</v>
      </c>
      <c r="AJ183" s="144">
        <f t="shared" si="1001"/>
        <v>-0.88949493735235308</v>
      </c>
      <c r="AK183" s="147">
        <f t="shared" ref="AK183" si="1021">V183*1000</f>
        <v>1.0330437800976817</v>
      </c>
      <c r="AL183" s="147">
        <f t="shared" ref="AL183" si="1022">AF183/Q183</f>
        <v>1.0001180689672866</v>
      </c>
      <c r="AM183" s="147">
        <f t="shared" ref="AM183" si="1023">AL183*SQRT((R183/Q183)^2+(AG183/AF183)^2)</f>
        <v>3.1233286067446375E-3</v>
      </c>
      <c r="AN183" s="138">
        <f>AF183/Q183</f>
        <v>1.0001180689672866</v>
      </c>
      <c r="AO183" s="142">
        <f t="shared" ref="AO183" si="1024">AN183*SQRT((R183/Q183)^2+(AG183/AF183)^2)</f>
        <v>3.1233286067446375E-3</v>
      </c>
      <c r="AP183" s="138" t="str">
        <f t="shared" ref="AP183" si="1025">ThU_Alter_Kombi(AN183,U183)</f>
        <v>Out of range</v>
      </c>
      <c r="AQ183" s="138" t="e">
        <f t="shared" si="1007"/>
        <v>#VALUE!</v>
      </c>
      <c r="AR183" s="138" t="e">
        <f>(AQ183/AP183)*100</f>
        <v>#VALUE!</v>
      </c>
      <c r="AS183" s="146">
        <f t="shared" si="1008"/>
        <v>2.3107094768484419E-5</v>
      </c>
      <c r="AT183" s="146">
        <f t="shared" si="1009"/>
        <v>9.7908095263099332E-8</v>
      </c>
      <c r="AU183" s="138">
        <v>0.75</v>
      </c>
      <c r="AV183" s="138">
        <f t="shared" ref="AV183" si="1026">AU183/2</f>
        <v>0.375</v>
      </c>
      <c r="AW183" s="138" t="str">
        <f t="shared" si="1011"/>
        <v>Out of range</v>
      </c>
      <c r="AX183" s="148">
        <f t="shared" si="1012"/>
        <v>316.16470021819998</v>
      </c>
      <c r="AY183" s="148" t="e">
        <f t="shared" si="1013"/>
        <v>#VALUE!</v>
      </c>
      <c r="AZ183" s="149" t="e">
        <f t="shared" si="1014"/>
        <v>#VALUE!</v>
      </c>
      <c r="BA183" s="138" t="str">
        <f>Input!B183</f>
        <v>Hu1-13</v>
      </c>
      <c r="BB183" s="150">
        <f>Input!E183</f>
        <v>0</v>
      </c>
      <c r="BC183" s="138" t="e">
        <f>((U183-1)*EXP(Constants!$B$17*AW183*1000))*1000</f>
        <v>#VALUE!</v>
      </c>
      <c r="BD183" s="144" t="e">
        <f>SQRT((EXP(Constants!$B$17*AW183*1000)*V183)^2+((U183-1)*Constants!$B$17*EXP(Constants!$B$17*AW183*1000)*AY183*1000)^2)*1000</f>
        <v>#VALUE!</v>
      </c>
      <c r="BE183" s="138" t="e">
        <f t="shared" si="1015"/>
        <v>#VALUE!</v>
      </c>
      <c r="BF183" s="151" t="e">
        <f t="shared" si="1016"/>
        <v>#VALUE!</v>
      </c>
      <c r="BG183" s="160" t="e">
        <f t="shared" si="1017"/>
        <v>#VALUE!</v>
      </c>
      <c r="BH183" s="138"/>
      <c r="BI183" s="18"/>
      <c r="BJ183" s="18"/>
      <c r="BK183" s="18"/>
      <c r="BL183" s="18"/>
      <c r="BM183" s="18"/>
      <c r="BN183" s="159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</row>
    <row r="184" spans="1:110" ht="15" customHeight="1" x14ac:dyDescent="0.2">
      <c r="A184" s="18">
        <f>Input!A184</f>
        <v>10995</v>
      </c>
      <c r="B184" s="18" t="str">
        <f>Input!B184</f>
        <v>MD13-3462G-136</v>
      </c>
      <c r="C184" s="18">
        <f>Input!O184</f>
        <v>1.8680266898911448</v>
      </c>
      <c r="D184" s="18">
        <f>C184*Input!P184/100</f>
        <v>2.3365914978928678E-3</v>
      </c>
      <c r="E184" s="152">
        <f>Input!M184</f>
        <v>2.2059157794283299</v>
      </c>
      <c r="F184" s="153">
        <f>E184*Input!N184/100</f>
        <v>9.5152436731784105E-5</v>
      </c>
      <c r="G184" s="21">
        <f>E184*137.88</f>
        <v>304.15166766757812</v>
      </c>
      <c r="H184" s="153">
        <f>G184*Input!L184/100</f>
        <v>2.216024320792627E-2</v>
      </c>
      <c r="I184" s="18">
        <v>0.3</v>
      </c>
      <c r="J184" s="129">
        <f>(((C184*Constants!$B$24*0.000000001*Input!G184*(Constants!$B$4/Constants!$B$3))-(I184*0.000000000000001))/Input!F184)*1000000000000</f>
        <v>211.72706864257719</v>
      </c>
      <c r="K184" s="18">
        <f>J184*Input!P184/100</f>
        <v>0.26483543899089268</v>
      </c>
      <c r="L184" s="134">
        <f>(J184/Constants!$B$4)*602200000000*Constants!$B$17/(365.2425*24*60)</f>
        <v>2.9231272663170564</v>
      </c>
      <c r="M184" s="132">
        <f>L184*Input!P184/100</f>
        <v>3.6563472859872615E-3</v>
      </c>
      <c r="N184" s="18">
        <v>5.0000000000000001E-3</v>
      </c>
      <c r="O184" s="129">
        <f>(((G184*Constants!$B$23*0.000000001*Input!G184*(Constants!$B$7/Constants!$B$6))-(N184*0.000000001))/Input!F184)*1000000</f>
        <v>3.4726808334853119</v>
      </c>
      <c r="P184" s="18">
        <f>O184*Input!N184/100</f>
        <v>1.4979449640798321E-4</v>
      </c>
      <c r="Q184" s="130">
        <f>(O184/Constants!$B$7)*602200000000000000*Constants!$B$18/(365.2425*24*60)</f>
        <v>2.5910392573920071</v>
      </c>
      <c r="R184" s="131">
        <f>Q184*Input!N184/100</f>
        <v>1.1176478327402619E-4</v>
      </c>
      <c r="S184" s="132">
        <f>Input!S184*Constants!$B$17/Constants!$B$18</f>
        <v>1.1253883953881443</v>
      </c>
      <c r="T184" s="18">
        <f>S184*Input!T184/100</f>
        <v>4.5846823210348635E-4</v>
      </c>
      <c r="U184" s="18">
        <f>S184*1/((U183+U185)/2)</f>
        <v>1.126566751108889</v>
      </c>
      <c r="V184" s="18">
        <f>U184*Input!T184/100</f>
        <v>4.5894827851794453E-4</v>
      </c>
      <c r="W184" s="133">
        <v>3.0000000000000001E-3</v>
      </c>
      <c r="X184" s="129">
        <f>IF((((Constants!$B$25*0.000000001*Input!G184/Input!W184*(Constants!$B$11/Constants!$B$9))-(W184*0.000000001))/Input!F184)*1000000000&lt;0, "n.d.", (((Constants!$B$25*0.000000001*Input!G184/Input!W184*(Constants!$B$11/Constants!$B$9))-(W184*0.000000001))/Input!F184)*1000000000)</f>
        <v>36.120381566733975</v>
      </c>
      <c r="Y184" s="129">
        <f>X184*Input!X184/100</f>
        <v>6.1039012124395671E-2</v>
      </c>
      <c r="Z184" s="129">
        <f>(X184/Constants!$B$11)*6.022E+23*0.000000001*Constants!$B$19/(365.2425*24*60)</f>
        <v>8.8181528665307509E-3</v>
      </c>
      <c r="AA184" s="129">
        <f>Z184*Input!X184/100</f>
        <v>1.4901596173354433E-5</v>
      </c>
      <c r="AB184" s="134">
        <v>0.05</v>
      </c>
      <c r="AC184" s="134">
        <v>0.9</v>
      </c>
      <c r="AD184" s="129">
        <f>(((Input!G184*Constants!$B$25*0.000000001*Input!U184*(Constants!$B$10/Constants!$B$9))-((AB184*0.000000000000001)+(Input!G184*AC184*0.000000000000001)))/Input!F184)*1000000000000</f>
        <v>17.464457195646681</v>
      </c>
      <c r="AE184" s="129">
        <f>AD184*Input!V184/100</f>
        <v>4.1403908712548142E-2</v>
      </c>
      <c r="AF184" s="129">
        <f>(AD184/Constants!$B$10)*602200000000*Constants!$B$16/(365.2425*24*60)</f>
        <v>0.79717682306280402</v>
      </c>
      <c r="AG184" s="129">
        <f>AF184*Input!V184/100</f>
        <v>1.8899090902223324E-3</v>
      </c>
      <c r="AH184" s="18">
        <f>AF184/Z184</f>
        <v>90.401792203952837</v>
      </c>
      <c r="AI184" s="133">
        <f>AH184*SQRT((AG184/AF184)^2+(AA184/Z184)^2)</f>
        <v>0.26319428009675028</v>
      </c>
      <c r="AJ184" s="132">
        <f t="shared" si="1001"/>
        <v>126.56675110888904</v>
      </c>
      <c r="AK184" s="133">
        <f>V184*1000</f>
        <v>0.45894827851794451</v>
      </c>
      <c r="AL184" s="133">
        <f>AF184/Q184</f>
        <v>0.30766682549811958</v>
      </c>
      <c r="AM184" s="133">
        <f>AL184*SQRT((R184/Q184)^2+(AG184/AF184)^2)</f>
        <v>7.295226744171155E-4</v>
      </c>
      <c r="AN184" s="18">
        <f>AL184*1/((AN183+AN185)/2)</f>
        <v>0.30740615243955993</v>
      </c>
      <c r="AO184" s="129">
        <f>AN184*SQRT((R184/Q184)^2+(AG184/AF184)^2)</f>
        <v>7.2890458078117982E-4</v>
      </c>
      <c r="AP184" s="18">
        <f>ThU_Alter_Kombi(AN184,U184)</f>
        <v>34.529600000000002</v>
      </c>
      <c r="AQ184" s="18">
        <f t="shared" si="1007"/>
        <v>0.1016</v>
      </c>
      <c r="AR184" s="154">
        <f>(AQ184/AP184)</f>
        <v>2.9424030397108567E-3</v>
      </c>
      <c r="AS184" s="131">
        <f t="shared" si="1008"/>
        <v>3.4033266155166645E-3</v>
      </c>
      <c r="AT184" s="131">
        <f t="shared" si="1009"/>
        <v>5.7530776314242397E-6</v>
      </c>
      <c r="AU184" s="18">
        <v>8</v>
      </c>
      <c r="AV184" s="18">
        <f>AU184/2</f>
        <v>4</v>
      </c>
      <c r="AW184" s="18">
        <f t="shared" si="1011"/>
        <v>31.891300000000001</v>
      </c>
      <c r="AX184" s="135">
        <f t="shared" si="1012"/>
        <v>1.2347547086999999</v>
      </c>
      <c r="AY184" s="135">
        <f t="shared" si="1013"/>
        <v>1.3412238032202026</v>
      </c>
      <c r="AZ184" s="154">
        <f t="shared" si="1014"/>
        <v>3.8717603506285413E-2</v>
      </c>
      <c r="BA184" s="18" t="str">
        <f>Input!B184</f>
        <v>MD13-3462G-136</v>
      </c>
      <c r="BB184" s="136">
        <f>Input!E184</f>
        <v>136</v>
      </c>
      <c r="BC184" s="18">
        <f>((U184-1)*EXP(Constants!$B$17*AW184*1000))*1000</f>
        <v>138.48596819497624</v>
      </c>
      <c r="BD184" s="132">
        <f>SQRT((EXP(Constants!$B$17*AW184*1000)*V184)^2+((U184-1)*Constants!$B$17*EXP(Constants!$B$17*AW184*1000)*AY184*1000)^2)*1000</f>
        <v>0.7258989432755768</v>
      </c>
      <c r="BE184" s="18">
        <f t="shared" si="1015"/>
        <v>31833.300000000003</v>
      </c>
      <c r="BF184" s="137">
        <f t="shared" si="1016"/>
        <v>670.61190161010131</v>
      </c>
      <c r="BG184" s="20">
        <f t="shared" si="1017"/>
        <v>4.2056103176107671</v>
      </c>
      <c r="BH184" s="18"/>
      <c r="BI184" s="18"/>
      <c r="BJ184" s="18"/>
      <c r="BK184" s="18"/>
      <c r="BL184" s="18"/>
      <c r="BM184" s="18"/>
      <c r="BN184" s="159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</row>
    <row r="185" spans="1:110" ht="15" customHeight="1" x14ac:dyDescent="0.2">
      <c r="A185" s="138">
        <f>Input!A185</f>
        <v>10815</v>
      </c>
      <c r="B185" s="138" t="str">
        <f>Input!B185</f>
        <v>Hu1-13</v>
      </c>
      <c r="C185" s="138">
        <f>Input!O185</f>
        <v>2.0883153977610509</v>
      </c>
      <c r="D185" s="138">
        <f>C185*Input!P185/100</f>
        <v>1.1476090596520272E-2</v>
      </c>
      <c r="E185" s="139">
        <f>Input!M185</f>
        <v>2.7315787720929618</v>
      </c>
      <c r="F185" s="140">
        <f>E185*Input!N185/100</f>
        <v>2.7120160741151187E-4</v>
      </c>
      <c r="G185" s="141">
        <f t="shared" ref="G185" si="1027">E185*137.88</f>
        <v>376.63008109617755</v>
      </c>
      <c r="H185" s="140">
        <f>G185*Input!L185/100</f>
        <v>1.7403901832773249E-2</v>
      </c>
      <c r="I185" s="138">
        <v>0</v>
      </c>
      <c r="J185" s="142">
        <f>(((C185*Constants!$B$24*0.000000001*Input!G185*(Constants!$B$4/Constants!$B$3))-(I185*0.000000000000001))/Input!F185)*1000000000000</f>
        <v>753.96025956799554</v>
      </c>
      <c r="K185" s="138">
        <f>J185*Input!P185/100</f>
        <v>4.1432995486481081</v>
      </c>
      <c r="L185" s="143">
        <f>(J185/Constants!$B$4)*602200000000*Constants!$B$17/(365.2425*24*60)</f>
        <v>10.409258516600914</v>
      </c>
      <c r="M185" s="144">
        <f>L185*Input!P185/100</f>
        <v>5.720285063606128E-2</v>
      </c>
      <c r="N185" s="138">
        <v>0</v>
      </c>
      <c r="O185" s="142">
        <f>(((G185*Constants!$B$23*0.000000001*Input!G185*(Constants!$B$7/Constants!$B$6))-(N185*0.000000001))/Input!F185)*1000000</f>
        <v>13.697738438401066</v>
      </c>
      <c r="P185" s="138">
        <f>O185*Input!N185/100</f>
        <v>1.3599639594323208E-3</v>
      </c>
      <c r="Q185" s="145">
        <f>(O185/Constants!$B$7)*602200000000000000*Constants!$B$18/(365.2425*24*60)</f>
        <v>10.220166992935019</v>
      </c>
      <c r="R185" s="146">
        <f>Q185*Input!N185/100</f>
        <v>1.0146973408986964E-3</v>
      </c>
      <c r="S185" s="144">
        <f>Input!S185*Constants!$B$17/Constants!$B$18</f>
        <v>0.99879755370158485</v>
      </c>
      <c r="T185" s="138">
        <f>S185*Input!T185/100</f>
        <v>1.0891977078275738E-3</v>
      </c>
      <c r="U185" s="144">
        <f>S185</f>
        <v>0.99879755370158485</v>
      </c>
      <c r="V185" s="138">
        <f>U185*Input!T185/100</f>
        <v>1.0891977078275738E-3</v>
      </c>
      <c r="W185" s="147">
        <v>0</v>
      </c>
      <c r="X185" s="142">
        <f>(((Constants!$B$25*0.000000001*Input!G185/Input!W185*(Constants!$B$11/Constants!$B$9))-(W185*0.000000001))/Input!F185)*1000000000</f>
        <v>0.96739275407567704</v>
      </c>
      <c r="Y185" s="142">
        <f>X185*Input!X185/100</f>
        <v>3.0293866663544337E-3</v>
      </c>
      <c r="Z185" s="142">
        <f>(X185/Constants!$B$11)*6.022E+23*0.000000001*Constants!$B$19/(365.2425*24*60)</f>
        <v>2.3617184584976832E-4</v>
      </c>
      <c r="AA185" s="142">
        <f>Z185*Input!X185/100</f>
        <v>7.3957122148305271E-7</v>
      </c>
      <c r="AB185" s="143">
        <v>0</v>
      </c>
      <c r="AC185" s="143">
        <v>0.9</v>
      </c>
      <c r="AD185" s="142">
        <f>(((Input!G185*Constants!$B$25*0.000000001*Input!U185*(Constants!$B$10/Constants!$B$9))-((AB185*0.000000000000001)+(Input!G185*AC185*0.000000000000001)))/Input!F185)*1000000000000</f>
        <v>224.25552230172923</v>
      </c>
      <c r="AE185" s="142">
        <f>AD185*Input!V185/100</f>
        <v>0.50020157250373321</v>
      </c>
      <c r="AF185" s="142">
        <f>(AD185/Constants!$B$10)*602200000000*Constants!$B$16/(365.2425*24*60)</f>
        <v>10.236293222290595</v>
      </c>
      <c r="AG185" s="142">
        <f>AF185*Input!V185/100</f>
        <v>2.2832035143865795E-2</v>
      </c>
      <c r="AH185" s="138">
        <f t="shared" ref="AH185" si="1028">AF185/Z185</f>
        <v>43342.563485751052</v>
      </c>
      <c r="AI185" s="147">
        <f t="shared" ref="AI185" si="1029">AH185*SQRT((AG185/AF185)^2+(AA185/Z185)^2)</f>
        <v>166.63730960402347</v>
      </c>
      <c r="AJ185" s="144">
        <f t="shared" si="1001"/>
        <v>-1.2024462984151496</v>
      </c>
      <c r="AK185" s="147">
        <f t="shared" ref="AK185" si="1030">V185*1000</f>
        <v>1.0891977078275739</v>
      </c>
      <c r="AL185" s="147">
        <f t="shared" ref="AL185" si="1031">AF185/Q185</f>
        <v>1.0015778831565789</v>
      </c>
      <c r="AM185" s="147">
        <f t="shared" ref="AM185" si="1032">AL185*SQRT((R185/Q185)^2+(AG185/AF185)^2)</f>
        <v>2.236229865847423E-3</v>
      </c>
      <c r="AN185" s="138">
        <f>AF185/Q185</f>
        <v>1.0015778831565789</v>
      </c>
      <c r="AO185" s="142">
        <f t="shared" ref="AO185" si="1033">AN185*SQRT((R185/Q185)^2+(AG185/AF185)^2)</f>
        <v>2.236229865847423E-3</v>
      </c>
      <c r="AP185" s="138" t="str">
        <f t="shared" ref="AP185" si="1034">ThU_Alter_Kombi(AN185,U185)</f>
        <v>Out of range</v>
      </c>
      <c r="AQ185" s="138" t="e">
        <f t="shared" si="1007"/>
        <v>#VALUE!</v>
      </c>
      <c r="AR185" s="138" t="e">
        <f>(AQ185/AP185)*100</f>
        <v>#VALUE!</v>
      </c>
      <c r="AS185" s="146">
        <f t="shared" si="1008"/>
        <v>2.310841359177681E-5</v>
      </c>
      <c r="AT185" s="146">
        <f t="shared" si="1009"/>
        <v>7.2400268785233112E-8</v>
      </c>
      <c r="AU185" s="138">
        <v>0.75</v>
      </c>
      <c r="AV185" s="138">
        <f t="shared" ref="AV185" si="1035">AU185/2</f>
        <v>0.375</v>
      </c>
      <c r="AW185" s="138" t="str">
        <f t="shared" si="1011"/>
        <v>Out of range</v>
      </c>
      <c r="AX185" s="148">
        <f t="shared" si="1012"/>
        <v>239.19498523159999</v>
      </c>
      <c r="AY185" s="148" t="e">
        <f t="shared" si="1013"/>
        <v>#VALUE!</v>
      </c>
      <c r="AZ185" s="149" t="e">
        <f t="shared" si="1014"/>
        <v>#VALUE!</v>
      </c>
      <c r="BA185" s="138" t="str">
        <f>Input!B185</f>
        <v>Hu1-13</v>
      </c>
      <c r="BB185" s="150">
        <f>Input!E185</f>
        <v>0</v>
      </c>
      <c r="BC185" s="138" t="e">
        <f>((U185-1)*EXP(Constants!$B$17*AW185*1000))*1000</f>
        <v>#VALUE!</v>
      </c>
      <c r="BD185" s="144" t="e">
        <f>SQRT((EXP(Constants!$B$17*AW185*1000)*V185)^2+((U185-1)*Constants!$B$17*EXP(Constants!$B$17*AW185*1000)*AY185*1000)^2)*1000</f>
        <v>#VALUE!</v>
      </c>
      <c r="BE185" s="138" t="e">
        <f t="shared" si="1015"/>
        <v>#VALUE!</v>
      </c>
      <c r="BF185" s="151" t="e">
        <f t="shared" si="1016"/>
        <v>#VALUE!</v>
      </c>
      <c r="BG185" s="160" t="e">
        <f t="shared" si="1017"/>
        <v>#VALUE!</v>
      </c>
      <c r="BH185" s="138"/>
      <c r="BI185" s="18"/>
      <c r="BJ185" s="18"/>
      <c r="BK185" s="18"/>
      <c r="BL185" s="18"/>
      <c r="BM185" s="18"/>
      <c r="BN185" s="159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</row>
    <row r="186" spans="1:110" ht="15" customHeight="1" x14ac:dyDescent="0.2">
      <c r="A186" s="18">
        <f>Input!A186</f>
        <v>10996</v>
      </c>
      <c r="B186" s="18" t="str">
        <f>Input!B186</f>
        <v>MD13-3462G-248</v>
      </c>
      <c r="C186" s="18">
        <f>Input!O186</f>
        <v>1.5097220939686953</v>
      </c>
      <c r="D186" s="18">
        <f>C186*Input!P186/100</f>
        <v>2.3993660684618156E-3</v>
      </c>
      <c r="E186" s="152">
        <f>Input!M186</f>
        <v>1.7850588177405093</v>
      </c>
      <c r="F186" s="153">
        <f>E186*Input!N186/100</f>
        <v>6.1612543014552952E-5</v>
      </c>
      <c r="G186" s="21">
        <f>E186*137.88</f>
        <v>246.12390979006142</v>
      </c>
      <c r="H186" s="153">
        <f>G186*Input!L186/100</f>
        <v>1.3437625064214087E-2</v>
      </c>
      <c r="I186" s="18">
        <v>0.3</v>
      </c>
      <c r="J186" s="129">
        <f>(((C186*Constants!$B$24*0.000000001*Input!G186*(Constants!$B$4/Constants!$B$3))-(I186*0.000000000000001))/Input!F186)*1000000000000</f>
        <v>218.6005039554523</v>
      </c>
      <c r="K186" s="18">
        <f>J186*Input!P186/100</f>
        <v>0.34741667611194205</v>
      </c>
      <c r="L186" s="134">
        <f>(J186/Constants!$B$4)*602200000000*Constants!$B$17/(365.2425*24*60)</f>
        <v>3.0180226724885242</v>
      </c>
      <c r="M186" s="132">
        <f>L186*Input!P186/100</f>
        <v>4.7964729556164024E-3</v>
      </c>
      <c r="N186" s="18">
        <v>5.0000000000000001E-3</v>
      </c>
      <c r="O186" s="129">
        <f>(((G186*Constants!$B$23*0.000000001*Input!G186*(Constants!$B$7/Constants!$B$6))-(N186*0.000000001))/Input!F186)*1000000</f>
        <v>3.5899573855632885</v>
      </c>
      <c r="P186" s="18">
        <f>O186*Input!N186/100</f>
        <v>1.239098687618615E-4</v>
      </c>
      <c r="Q186" s="130">
        <f>(O186/Constants!$B$7)*602200000000000000*Constants!$B$18/(365.2425*24*60)</f>
        <v>2.6785417273787586</v>
      </c>
      <c r="R186" s="131">
        <f>Q186*Input!N186/100</f>
        <v>9.2451725262079898E-5</v>
      </c>
      <c r="S186" s="132">
        <f>Input!S186*Constants!$B$17/Constants!$B$18</f>
        <v>1.1219788144368565</v>
      </c>
      <c r="T186" s="18">
        <f>S186*Input!T186/100</f>
        <v>6.0323679208589996E-4</v>
      </c>
      <c r="U186" s="18">
        <f>S186*1/((U185+U187)/2)</f>
        <v>1.1224776712782818</v>
      </c>
      <c r="V186" s="18">
        <f>U186*Input!T186/100</f>
        <v>6.0350500463756242E-4</v>
      </c>
      <c r="W186" s="133">
        <v>3.0000000000000001E-3</v>
      </c>
      <c r="X186" s="129">
        <f>IF((((Constants!$B$25*0.000000001*Input!G186/Input!W186*(Constants!$B$11/Constants!$B$9))-(W186*0.000000001))/Input!F186)*1000000000&lt;0, "n.d.", (((Constants!$B$25*0.000000001*Input!G186/Input!W186*(Constants!$B$11/Constants!$B$9))-(W186*0.000000001))/Input!F186)*1000000000)</f>
        <v>1.8802341979514732</v>
      </c>
      <c r="Y186" s="129">
        <f>X186*Input!X186/100</f>
        <v>2.8978093219750624E-3</v>
      </c>
      <c r="Z186" s="129">
        <f>(X186/Constants!$B$11)*6.022E+23*0.000000001*Constants!$B$19/(365.2425*24*60)</f>
        <v>4.5902595330512506E-4</v>
      </c>
      <c r="AA186" s="129">
        <f>Z186*Input!X186/100</f>
        <v>7.0744893799150602E-7</v>
      </c>
      <c r="AB186" s="134">
        <v>0.05</v>
      </c>
      <c r="AC186" s="134">
        <v>0.9</v>
      </c>
      <c r="AD186" s="129">
        <f>(((Input!G186*Constants!$B$25*0.000000001*Input!U186*(Constants!$B$10/Constants!$B$9))-((AB186*0.000000000000001)+(Input!G186*AC186*0.000000000000001)))/Input!F186)*1000000000000</f>
        <v>22.986723307165203</v>
      </c>
      <c r="AE186" s="129">
        <f>AD186*Input!V186/100</f>
        <v>4.5263948594273178E-2</v>
      </c>
      <c r="AF186" s="129">
        <f>(AD186/Constants!$B$10)*602200000000*Constants!$B$16/(365.2425*24*60)</f>
        <v>1.0492443511612468</v>
      </c>
      <c r="AG186" s="129">
        <f>AF186*Input!V186/100</f>
        <v>2.0661031909228293E-3</v>
      </c>
      <c r="AH186" s="18">
        <f>AF186/Z186</f>
        <v>2285.8061589031549</v>
      </c>
      <c r="AI186" s="133">
        <f>AH186*SQRT((AG186/AF186)^2+(AA186/Z186)^2)</f>
        <v>5.7157840598620107</v>
      </c>
      <c r="AJ186" s="132">
        <f t="shared" si="1001"/>
        <v>122.4776712782818</v>
      </c>
      <c r="AK186" s="133">
        <f>V186*1000</f>
        <v>0.6035050046375624</v>
      </c>
      <c r="AL186" s="133">
        <f>AF186/Q186</f>
        <v>0.39172223469075668</v>
      </c>
      <c r="AM186" s="133">
        <f>AL186*SQRT((R186/Q186)^2+(AG186/AF186)^2)</f>
        <v>7.7147223193949467E-4</v>
      </c>
      <c r="AN186" s="18">
        <f>AL186*1/((AN185+AN187)/2)</f>
        <v>0.39120391087433271</v>
      </c>
      <c r="AO186" s="129">
        <f>AN186*SQRT((R186/Q186)^2+(AG186/AF186)^2)</f>
        <v>7.7045142587818007E-4</v>
      </c>
      <c r="AP186" s="18">
        <f>ThU_Alter_Kombi(AN186,U186)</f>
        <v>46.326599999999999</v>
      </c>
      <c r="AQ186" s="18">
        <f t="shared" si="1007"/>
        <v>0.1179</v>
      </c>
      <c r="AR186" s="154">
        <f>(AQ186/AP186)</f>
        <v>2.5449741617127094E-3</v>
      </c>
      <c r="AS186" s="131">
        <f t="shared" si="1008"/>
        <v>1.7137158947840299E-4</v>
      </c>
      <c r="AT186" s="131">
        <f t="shared" si="1009"/>
        <v>2.6418342501691611E-7</v>
      </c>
      <c r="AU186" s="18">
        <v>8</v>
      </c>
      <c r="AV186" s="18">
        <f>AU186/2</f>
        <v>4</v>
      </c>
      <c r="AW186" s="18">
        <f t="shared" si="1011"/>
        <v>46.195300000000003</v>
      </c>
      <c r="AX186" s="135">
        <f t="shared" si="1012"/>
        <v>0.13880210009999999</v>
      </c>
      <c r="AY186" s="135">
        <f t="shared" si="1013"/>
        <v>0.13456813773127391</v>
      </c>
      <c r="AZ186" s="154">
        <f t="shared" si="1014"/>
        <v>3.0046801319614761E-3</v>
      </c>
      <c r="BA186" s="18" t="str">
        <f>Input!B186</f>
        <v>MD13-3462G-248</v>
      </c>
      <c r="BB186" s="136">
        <f>Input!E186</f>
        <v>248</v>
      </c>
      <c r="BC186" s="18">
        <f>((U186-1)*EXP(Constants!$B$17*AW186*1000))*1000</f>
        <v>139.53209498963483</v>
      </c>
      <c r="BD186" s="132">
        <f>SQRT((EXP(Constants!$B$17*AW186*1000)*V186)^2+((U186-1)*Constants!$B$17*EXP(Constants!$B$17*AW186*1000)*AY186*1000)^2)*1000</f>
        <v>0.68957904878636089</v>
      </c>
      <c r="BE186" s="18">
        <f t="shared" si="1015"/>
        <v>46137.3</v>
      </c>
      <c r="BF186" s="137">
        <f t="shared" si="1016"/>
        <v>67.284068865636954</v>
      </c>
      <c r="BG186" s="20">
        <f t="shared" si="1017"/>
        <v>0.2913026600785662</v>
      </c>
      <c r="BH186" s="18"/>
      <c r="BI186" s="18"/>
      <c r="BJ186" s="18"/>
      <c r="BK186" s="18"/>
      <c r="BL186" s="18"/>
      <c r="BM186" s="18"/>
      <c r="BN186" s="159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</row>
    <row r="187" spans="1:110" ht="15" customHeight="1" x14ac:dyDescent="0.2">
      <c r="A187" s="138">
        <f>Input!A187</f>
        <v>10815</v>
      </c>
      <c r="B187" s="138" t="str">
        <f>Input!B187</f>
        <v>Hu1-13</v>
      </c>
      <c r="C187" s="138">
        <f>Input!O187</f>
        <v>2.097238248454889</v>
      </c>
      <c r="D187" s="138">
        <f>C187*Input!P187/100</f>
        <v>1.067147383880885E-2</v>
      </c>
      <c r="E187" s="139">
        <f>Input!M187</f>
        <v>2.7315342422110613</v>
      </c>
      <c r="F187" s="140">
        <f>E187*Input!N187/100</f>
        <v>2.3197091976788004E-4</v>
      </c>
      <c r="G187" s="141">
        <f t="shared" ref="G187" si="1036">E187*137.88</f>
        <v>376.62394131606112</v>
      </c>
      <c r="H187" s="140">
        <f>G187*Input!L187/100</f>
        <v>1.9877359799722386E-2</v>
      </c>
      <c r="I187" s="138">
        <v>0</v>
      </c>
      <c r="J187" s="142">
        <f>(((C187*Constants!$B$24*0.000000001*Input!G187*(Constants!$B$4/Constants!$B$3))-(I187*0.000000000000001))/Input!F187)*1000000000000</f>
        <v>757.18174365628283</v>
      </c>
      <c r="K187" s="138">
        <f>J187*Input!P187/100</f>
        <v>3.852802691637299</v>
      </c>
      <c r="L187" s="143">
        <f>(J187/Constants!$B$4)*602200000000*Constants!$B$17/(365.2425*24*60)</f>
        <v>10.453734681301309</v>
      </c>
      <c r="M187" s="144">
        <f>L187*Input!P187/100</f>
        <v>5.3192218982055832E-2</v>
      </c>
      <c r="N187" s="138">
        <v>0</v>
      </c>
      <c r="O187" s="142">
        <f>(((G187*Constants!$B$23*0.000000001*Input!G187*(Constants!$B$7/Constants!$B$6))-(N187*0.000000001))/Input!F187)*1000000</f>
        <v>13.69751513944985</v>
      </c>
      <c r="P187" s="138">
        <f>O187*Input!N187/100</f>
        <v>1.1632382769840924E-3</v>
      </c>
      <c r="Q187" s="145">
        <f>(O187/Constants!$B$7)*602200000000000000*Constants!$B$18/(365.2425*24*60)</f>
        <v>10.22000038495217</v>
      </c>
      <c r="R187" s="146">
        <f>Q187*Input!N187/100</f>
        <v>8.6791622550059166E-4</v>
      </c>
      <c r="S187" s="144">
        <f>Input!S187*Constants!$B$17/Constants!$B$18</f>
        <v>1.0003135968287287</v>
      </c>
      <c r="T187" s="138">
        <f>S187*Input!T187/100</f>
        <v>1.4461027978375078E-3</v>
      </c>
      <c r="U187" s="144">
        <f>S187</f>
        <v>1.0003135968287287</v>
      </c>
      <c r="V187" s="138">
        <f>U187*Input!T187/100</f>
        <v>1.4461027978375078E-3</v>
      </c>
      <c r="W187" s="147">
        <v>0</v>
      </c>
      <c r="X187" s="142">
        <f>(((Constants!$B$25*0.000000001*Input!G187/Input!W187*(Constants!$B$11/Constants!$B$9))-(W187*0.000000001))/Input!F187)*1000000000</f>
        <v>0.95663411380889884</v>
      </c>
      <c r="Y187" s="142">
        <f>X187*Input!X187/100</f>
        <v>3.2727805993515986E-3</v>
      </c>
      <c r="Z187" s="142">
        <f>(X187/Constants!$B$11)*6.022E+23*0.000000001*Constants!$B$19/(365.2425*24*60)</f>
        <v>2.3354531394746309E-4</v>
      </c>
      <c r="AA187" s="142">
        <f>Z187*Input!X187/100</f>
        <v>7.9899154914459153E-7</v>
      </c>
      <c r="AB187" s="143">
        <v>0</v>
      </c>
      <c r="AC187" s="143">
        <v>0.9</v>
      </c>
      <c r="AD187" s="142">
        <f>(((Input!G187*Constants!$B$25*0.000000001*Input!U187*(Constants!$B$10/Constants!$B$9))-((AB187*0.000000000000001)+(Input!G187*AC187*0.000000000000001)))/Input!F187)*1000000000000</f>
        <v>224.13860169808774</v>
      </c>
      <c r="AE187" s="142">
        <f>AD187*Input!V187/100</f>
        <v>0.47539949650355423</v>
      </c>
      <c r="AF187" s="142">
        <f>(AD187/Constants!$B$10)*602200000000*Constants!$B$16/(365.2425*24*60)</f>
        <v>10.23095630318012</v>
      </c>
      <c r="AG187" s="142">
        <f>AF187*Input!V187/100</f>
        <v>2.1699927805533328E-2</v>
      </c>
      <c r="AH187" s="138">
        <f t="shared" ref="AH187" si="1037">AF187/Z187</f>
        <v>43807.157293173572</v>
      </c>
      <c r="AI187" s="147">
        <f t="shared" ref="AI187" si="1038">AH187*SQRT((AG187/AF187)^2+(AA187/Z187)^2)</f>
        <v>176.33607090456402</v>
      </c>
      <c r="AJ187" s="144">
        <f t="shared" si="1001"/>
        <v>0.31359682872866834</v>
      </c>
      <c r="AK187" s="147">
        <f t="shared" ref="AK187" si="1039">V187*1000</f>
        <v>1.4461027978375078</v>
      </c>
      <c r="AL187" s="147">
        <f t="shared" ref="AL187" si="1040">AF187/Q187</f>
        <v>1.0010720076140194</v>
      </c>
      <c r="AM187" s="147">
        <f t="shared" ref="AM187" si="1041">AL187*SQRT((R187/Q187)^2+(AG187/AF187)^2)</f>
        <v>2.1249817966550138E-3</v>
      </c>
      <c r="AN187" s="138">
        <f>AF187/Q187</f>
        <v>1.0010720076140194</v>
      </c>
      <c r="AO187" s="142">
        <f t="shared" ref="AO187" si="1042">AN187*SQRT((R187/Q187)^2+(AG187/AF187)^2)</f>
        <v>2.1249817966550138E-3</v>
      </c>
      <c r="AP187" s="138" t="str">
        <f t="shared" ref="AP187" si="1043">ThU_Alter_Kombi(AN187,U187)</f>
        <v>Out of range</v>
      </c>
      <c r="AQ187" s="138" t="e">
        <f t="shared" si="1007"/>
        <v>#VALUE!</v>
      </c>
      <c r="AR187" s="138" t="e">
        <f>(AQ187/AP187)*100</f>
        <v>#VALUE!</v>
      </c>
      <c r="AS187" s="146">
        <f t="shared" si="1008"/>
        <v>2.2851791110627838E-5</v>
      </c>
      <c r="AT187" s="146">
        <f t="shared" si="1009"/>
        <v>7.8203292053036759E-8</v>
      </c>
      <c r="AU187" s="138">
        <v>0.75</v>
      </c>
      <c r="AV187" s="138">
        <f t="shared" ref="AV187" si="1044">AU187/2</f>
        <v>0.375</v>
      </c>
      <c r="AW187" s="138" t="str">
        <f t="shared" si="1011"/>
        <v>Out of range</v>
      </c>
      <c r="AX187" s="148">
        <f t="shared" si="1012"/>
        <v>346.71333270719998</v>
      </c>
      <c r="AY187" s="148" t="e">
        <f t="shared" si="1013"/>
        <v>#VALUE!</v>
      </c>
      <c r="AZ187" s="149" t="e">
        <f t="shared" si="1014"/>
        <v>#VALUE!</v>
      </c>
      <c r="BA187" s="138" t="str">
        <f>Input!B187</f>
        <v>Hu1-13</v>
      </c>
      <c r="BB187" s="150">
        <f>Input!E187</f>
        <v>0</v>
      </c>
      <c r="BC187" s="138" t="e">
        <f>((U187-1)*EXP(Constants!$B$17*AW187*1000))*1000</f>
        <v>#VALUE!</v>
      </c>
      <c r="BD187" s="144" t="e">
        <f>SQRT((EXP(Constants!$B$17*AW187*1000)*V187)^2+((U187-1)*Constants!$B$17*EXP(Constants!$B$17*AW187*1000)*AY187*1000)^2)*1000</f>
        <v>#VALUE!</v>
      </c>
      <c r="BE187" s="138" t="e">
        <f t="shared" si="1015"/>
        <v>#VALUE!</v>
      </c>
      <c r="BF187" s="151" t="e">
        <f t="shared" si="1016"/>
        <v>#VALUE!</v>
      </c>
      <c r="BG187" s="160" t="e">
        <f t="shared" si="1017"/>
        <v>#VALUE!</v>
      </c>
      <c r="BH187" s="138"/>
      <c r="BI187" s="18"/>
      <c r="BJ187" s="18"/>
      <c r="BK187" s="18"/>
      <c r="BL187" s="18"/>
      <c r="BM187" s="18"/>
      <c r="BN187" s="159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</row>
    <row r="188" spans="1:110" ht="15" customHeight="1" x14ac:dyDescent="0.2">
      <c r="A188" s="18">
        <f>Input!A188</f>
        <v>10997</v>
      </c>
      <c r="B188" s="18" t="str">
        <f>Input!B188</f>
        <v>MD13-3462G-272</v>
      </c>
      <c r="C188" s="18">
        <f>Input!O188</f>
        <v>1.8706949892969009</v>
      </c>
      <c r="D188" s="18">
        <f>C188*Input!P188/100</f>
        <v>2.8556921827084022E-3</v>
      </c>
      <c r="E188" s="152">
        <f>Input!M188</f>
        <v>2.2179263071036543</v>
      </c>
      <c r="F188" s="153">
        <f>E188*Input!N188/100</f>
        <v>7.559894350615171E-5</v>
      </c>
      <c r="G188" s="21">
        <f>E188*137.88</f>
        <v>305.80767922345183</v>
      </c>
      <c r="H188" s="153">
        <f>G188*Input!L188/100</f>
        <v>9.1993919192043059E-3</v>
      </c>
      <c r="I188" s="18">
        <v>0.3</v>
      </c>
      <c r="J188" s="129">
        <f>(((C188*Constants!$B$24*0.000000001*Input!G188*(Constants!$B$4/Constants!$B$3))-(I188*0.000000000000001))/Input!F188)*1000000000000</f>
        <v>224.50700576612553</v>
      </c>
      <c r="K188" s="18">
        <f>J188*Input!P188/100</f>
        <v>0.34271909905022002</v>
      </c>
      <c r="L188" s="134">
        <f>(J188/Constants!$B$4)*602200000000*Constants!$B$17/(365.2425*24*60)</f>
        <v>3.0995684880614798</v>
      </c>
      <c r="M188" s="132">
        <f>L188*Input!P188/100</f>
        <v>4.7316176884898073E-3</v>
      </c>
      <c r="N188" s="18">
        <v>5.0000000000000001E-3</v>
      </c>
      <c r="O188" s="129">
        <f>(((G188*Constants!$B$23*0.000000001*Input!G188*(Constants!$B$7/Constants!$B$6))-(N188*0.000000001))/Input!F188)*1000000</f>
        <v>3.6970616844641295</v>
      </c>
      <c r="P188" s="18">
        <f>O188*Input!N188/100</f>
        <v>1.2601588994521075E-4</v>
      </c>
      <c r="Q188" s="130">
        <f>(O188/Constants!$B$7)*602200000000000000*Constants!$B$18/(365.2425*24*60)</f>
        <v>2.7584544681096732</v>
      </c>
      <c r="R188" s="131">
        <f>Q188*Input!N188/100</f>
        <v>9.40230713847469E-5</v>
      </c>
      <c r="S188" s="132">
        <f>Input!S188*Constants!$B$17/Constants!$B$18</f>
        <v>1.1225292381709933</v>
      </c>
      <c r="T188" s="18">
        <f>S188*Input!T188/100</f>
        <v>4.710461766012257E-4</v>
      </c>
      <c r="U188" s="18">
        <f>S188*1/((U187+U189)/2)</f>
        <v>1.1219334341083795</v>
      </c>
      <c r="V188" s="18">
        <f>U188*Input!T188/100</f>
        <v>4.7079615974985624E-4</v>
      </c>
      <c r="W188" s="133">
        <v>3.0000000000000001E-3</v>
      </c>
      <c r="X188" s="129">
        <f>IF((((Constants!$B$25*0.000000001*Input!G188/Input!W188*(Constants!$B$11/Constants!$B$9))-(W188*0.000000001))/Input!F188)*1000000000&lt;0, "n.d.", (((Constants!$B$25*0.000000001*Input!G188/Input!W188*(Constants!$B$11/Constants!$B$9))-(W188*0.000000001))/Input!F188)*1000000000)</f>
        <v>1.1537738835431728</v>
      </c>
      <c r="Y188" s="129">
        <f>X188*Input!X188/100</f>
        <v>2.2013583388826195E-3</v>
      </c>
      <c r="Z188" s="129">
        <f>(X188/Constants!$B$11)*6.022E+23*0.000000001*Constants!$B$19/(365.2425*24*60)</f>
        <v>2.8167350501813915E-4</v>
      </c>
      <c r="AA188" s="129">
        <f>Z188*Input!X188/100</f>
        <v>5.374227376423138E-7</v>
      </c>
      <c r="AB188" s="134">
        <v>0.05</v>
      </c>
      <c r="AC188" s="134">
        <v>0.9</v>
      </c>
      <c r="AD188" s="129">
        <f>(((Input!G188*Constants!$B$25*0.000000001*Input!U188*(Constants!$B$10/Constants!$B$9))-((AB188*0.000000000000001)+(Input!G188*AC188*0.000000000000001)))/Input!F188)*1000000000000</f>
        <v>24.114364207640683</v>
      </c>
      <c r="AE188" s="129">
        <f>AD188*Input!V188/100</f>
        <v>4.4559451145649139E-2</v>
      </c>
      <c r="AF188" s="129">
        <f>(AD188/Constants!$B$10)*602200000000*Constants!$B$16/(365.2425*24*60)</f>
        <v>1.1007162738512228</v>
      </c>
      <c r="AG188" s="129">
        <f>AF188*Input!V188/100</f>
        <v>2.0339459339489357E-3</v>
      </c>
      <c r="AH188" s="18">
        <f>AF188/Z188</f>
        <v>3907.7735542799423</v>
      </c>
      <c r="AI188" s="133">
        <f>AH188*SQRT((AG188/AF188)^2+(AA188/Z188)^2)</f>
        <v>10.379411093693642</v>
      </c>
      <c r="AJ188" s="132">
        <f t="shared" si="1001"/>
        <v>121.93343410837953</v>
      </c>
      <c r="AK188" s="133">
        <f>V188*1000</f>
        <v>0.47079615974985622</v>
      </c>
      <c r="AL188" s="133">
        <f>AF188/Q188</f>
        <v>0.39903369317004783</v>
      </c>
      <c r="AM188" s="133">
        <f>AL188*SQRT((R188/Q188)^2+(AG188/AF188)^2)</f>
        <v>7.3747526446480739E-4</v>
      </c>
      <c r="AN188" s="18">
        <f>AL188*1/((AN187+AN189)/2)</f>
        <v>0.39943235169754204</v>
      </c>
      <c r="AO188" s="129">
        <f>AN188*SQRT((R188/Q188)^2+(AG188/AF188)^2)</f>
        <v>7.3821204636575241E-4</v>
      </c>
      <c r="AP188" s="18">
        <f>ThU_Alter_Kombi(AN188,U188)</f>
        <v>47.567500000000003</v>
      </c>
      <c r="AQ188" s="18">
        <f t="shared" si="1007"/>
        <v>0.1148</v>
      </c>
      <c r="AR188" s="154">
        <f>(AQ188/AP188)</f>
        <v>2.4134125190518733E-3</v>
      </c>
      <c r="AS188" s="131">
        <f t="shared" si="1008"/>
        <v>1.0211279840742331E-4</v>
      </c>
      <c r="AT188" s="131">
        <f t="shared" si="1009"/>
        <v>1.9485856906567619E-7</v>
      </c>
      <c r="AU188" s="18">
        <v>8</v>
      </c>
      <c r="AV188" s="18">
        <f>AU188/2</f>
        <v>4</v>
      </c>
      <c r="AW188" s="18">
        <f t="shared" si="1011"/>
        <v>47.4893</v>
      </c>
      <c r="AX188" s="135">
        <f t="shared" si="1012"/>
        <v>0.1216419774</v>
      </c>
      <c r="AY188" s="135">
        <f t="shared" si="1013"/>
        <v>0.11909003627542092</v>
      </c>
      <c r="AZ188" s="154">
        <f t="shared" si="1014"/>
        <v>2.5614607374713884E-3</v>
      </c>
      <c r="BA188" s="18" t="str">
        <f>Input!B188</f>
        <v>MD13-3462G-272</v>
      </c>
      <c r="BB188" s="136">
        <f>Input!E188</f>
        <v>272</v>
      </c>
      <c r="BC188" s="18">
        <f>((U188-1)*EXP(Constants!$B$17*AW188*1000))*1000</f>
        <v>139.42027433207636</v>
      </c>
      <c r="BD188" s="132">
        <f>SQRT((EXP(Constants!$B$17*AW188*1000)*V188)^2+((U188-1)*Constants!$B$17*EXP(Constants!$B$17*AW188*1000)*AY188*1000)^2)*1000</f>
        <v>0.54034984780189055</v>
      </c>
      <c r="BE188" s="18">
        <f t="shared" si="1015"/>
        <v>47431.3</v>
      </c>
      <c r="BF188" s="137">
        <f t="shared" si="1016"/>
        <v>59.545018137710457</v>
      </c>
      <c r="BG188" s="20">
        <f t="shared" si="1017"/>
        <v>0.25077235561573014</v>
      </c>
      <c r="BH188" s="18"/>
      <c r="BI188" s="18"/>
      <c r="BJ188" s="18"/>
      <c r="BK188" s="18"/>
      <c r="BL188" s="18"/>
      <c r="BM188" s="18"/>
      <c r="BN188" s="159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</row>
    <row r="189" spans="1:110" ht="15" customHeight="1" x14ac:dyDescent="0.2">
      <c r="A189" s="138">
        <f>Input!A189</f>
        <v>10815</v>
      </c>
      <c r="B189" s="138" t="str">
        <f>Input!B189</f>
        <v>Hu1-13</v>
      </c>
      <c r="C189" s="138">
        <f>Input!O189</f>
        <v>2.079881395895935</v>
      </c>
      <c r="D189" s="138">
        <f>C189*Input!P189/100</f>
        <v>1.0362510450551515E-2</v>
      </c>
      <c r="E189" s="139">
        <f>Input!M189</f>
        <v>2.7317078521107563</v>
      </c>
      <c r="F189" s="140">
        <f>E189*Input!N189/100</f>
        <v>2.5217383332389889E-4</v>
      </c>
      <c r="G189" s="141">
        <f t="shared" ref="G189" si="1045">E189*137.88</f>
        <v>376.64787864903104</v>
      </c>
      <c r="H189" s="140">
        <f>G189*Input!L189/100</f>
        <v>2.0866535086528602E-2</v>
      </c>
      <c r="I189" s="138">
        <v>0</v>
      </c>
      <c r="J189" s="142">
        <f>(((C189*Constants!$B$24*0.000000001*Input!G189*(Constants!$B$4/Constants!$B$3))-(I189*0.000000000000001))/Input!F189)*1000000000000</f>
        <v>750.91526825957658</v>
      </c>
      <c r="K189" s="138">
        <f>J189*Input!P189/100</f>
        <v>3.7412553091598926</v>
      </c>
      <c r="L189" s="143">
        <f>(J189/Constants!$B$4)*602200000000*Constants!$B$17/(365.2425*24*60)</f>
        <v>10.367219030689155</v>
      </c>
      <c r="M189" s="144">
        <f>L189*Input!P189/100</f>
        <v>5.1652183514241161E-2</v>
      </c>
      <c r="N189" s="138">
        <v>0</v>
      </c>
      <c r="O189" s="142">
        <f>(((G189*Constants!$B$23*0.000000001*Input!G189*(Constants!$B$7/Constants!$B$6))-(N189*0.000000001))/Input!F189)*1000000</f>
        <v>13.698385721334811</v>
      </c>
      <c r="P189" s="138">
        <f>O189*Input!N189/100</f>
        <v>1.2645475375520881E-3</v>
      </c>
      <c r="Q189" s="145">
        <f>(O189/Constants!$B$7)*602200000000000000*Constants!$B$18/(365.2425*24*60)</f>
        <v>10.220649944168485</v>
      </c>
      <c r="R189" s="146">
        <f>Q189*Input!N189/100</f>
        <v>9.4350516783526129E-4</v>
      </c>
      <c r="S189" s="144">
        <f>Input!S189*Constants!$B$17/Constants!$B$18</f>
        <v>1.0007485055108585</v>
      </c>
      <c r="T189" s="138">
        <f>S189*Input!T189/100</f>
        <v>1.1986229674554524E-3</v>
      </c>
      <c r="U189" s="144">
        <f>S189</f>
        <v>1.0007485055108585</v>
      </c>
      <c r="V189" s="138">
        <f>U189*Input!T189/100</f>
        <v>1.1986229674554524E-3</v>
      </c>
      <c r="W189" s="147">
        <v>0</v>
      </c>
      <c r="X189" s="142">
        <f>(((Constants!$B$25*0.000000001*Input!G189/Input!W189*(Constants!$B$11/Constants!$B$9))-(W189*0.000000001))/Input!F189)*1000000000</f>
        <v>0.95201613514576122</v>
      </c>
      <c r="Y189" s="142">
        <f>X189*Input!X189/100</f>
        <v>3.3484182397915383E-3</v>
      </c>
      <c r="Z189" s="142">
        <f>(X189/Constants!$B$11)*6.022E+23*0.000000001*Constants!$B$19/(365.2425*24*60)</f>
        <v>2.3241791606240235E-4</v>
      </c>
      <c r="AA189" s="142">
        <f>Z189*Input!X189/100</f>
        <v>8.1745714244489482E-7</v>
      </c>
      <c r="AB189" s="143">
        <v>0</v>
      </c>
      <c r="AC189" s="143">
        <v>0.9</v>
      </c>
      <c r="AD189" s="142">
        <f>(((Input!G189*Constants!$B$25*0.000000001*Input!U189*(Constants!$B$10/Constants!$B$9))-((AB189*0.000000000000001)+(Input!G189*AC189*0.000000000000001)))/Input!F189)*1000000000000</f>
        <v>223.22581689874636</v>
      </c>
      <c r="AE189" s="142">
        <f>AD189*Input!V189/100</f>
        <v>0.67317159858959652</v>
      </c>
      <c r="AF189" s="142">
        <f>(AD189/Constants!$B$10)*602200000000*Constants!$B$16/(365.2425*24*60)</f>
        <v>10.189291630850061</v>
      </c>
      <c r="AG189" s="142">
        <f>AF189*Input!V189/100</f>
        <v>3.0727367608855881E-2</v>
      </c>
      <c r="AH189" s="138">
        <f t="shared" ref="AH189" si="1046">AF189/Z189</f>
        <v>43840.388053880997</v>
      </c>
      <c r="AI189" s="147">
        <f t="shared" ref="AI189" si="1047">AH189*SQRT((AG189/AF189)^2+(AA189/Z189)^2)</f>
        <v>203.11286940224218</v>
      </c>
      <c r="AJ189" s="144">
        <f t="shared" si="1001"/>
        <v>0.74850551085847705</v>
      </c>
      <c r="AK189" s="147">
        <f t="shared" ref="AK189" si="1048">V189*1000</f>
        <v>1.1986229674554525</v>
      </c>
      <c r="AL189" s="147">
        <f t="shared" ref="AL189" si="1049">AF189/Q189</f>
        <v>0.99693186700555025</v>
      </c>
      <c r="AM189" s="147">
        <f t="shared" ref="AM189" si="1050">AL189*SQRT((R189/Q189)^2+(AG189/AF189)^2)</f>
        <v>3.0078088131418297E-3</v>
      </c>
      <c r="AN189" s="138">
        <f>AF189/Q189</f>
        <v>0.99693186700555025</v>
      </c>
      <c r="AO189" s="142">
        <f t="shared" ref="AO189" si="1051">AN189*SQRT((R189/Q189)^2+(AG189/AF189)^2)</f>
        <v>3.0078088131418297E-3</v>
      </c>
      <c r="AP189" s="138">
        <f t="shared" ref="AP189" si="1052">ThU_Alter_Kombi(AN189,U189)</f>
        <v>598.72770000000003</v>
      </c>
      <c r="AQ189" s="138" t="e">
        <f t="shared" si="1007"/>
        <v>#VALUE!</v>
      </c>
      <c r="AR189" s="138" t="e">
        <f>(AQ189/AP189)*100</f>
        <v>#VALUE!</v>
      </c>
      <c r="AS189" s="146">
        <f t="shared" si="1008"/>
        <v>2.2740032907105988E-5</v>
      </c>
      <c r="AT189" s="146">
        <f t="shared" si="1009"/>
        <v>8.0008479064393855E-8</v>
      </c>
      <c r="AU189" s="138">
        <v>0.75</v>
      </c>
      <c r="AV189" s="138">
        <f t="shared" ref="AV189" si="1053">AU189/2</f>
        <v>0.375</v>
      </c>
      <c r="AW189" s="138">
        <f t="shared" si="1011"/>
        <v>598.72580000000005</v>
      </c>
      <c r="AX189" s="148">
        <f t="shared" si="1012"/>
        <v>202.68601297039999</v>
      </c>
      <c r="AY189" s="148">
        <f t="shared" si="1013"/>
        <v>90.319793950004254</v>
      </c>
      <c r="AZ189" s="149">
        <f t="shared" si="1014"/>
        <v>0.33852894425194296</v>
      </c>
      <c r="BA189" s="138" t="str">
        <f>Input!B189</f>
        <v>Hu1-13</v>
      </c>
      <c r="BB189" s="150">
        <f>Input!E189</f>
        <v>0</v>
      </c>
      <c r="BC189" s="138">
        <f>((U189-1)*EXP(Constants!$B$17*AW189*1000))*1000</f>
        <v>4.0550516244015906</v>
      </c>
      <c r="BD189" s="144">
        <f>SQRT((EXP(Constants!$B$17*AW189*1000)*V189)^2+((U189-1)*Constants!$B$17*EXP(Constants!$B$17*AW189*1000)*AY189*1000)^2)*1000</f>
        <v>6.5753200958072995</v>
      </c>
      <c r="BE189" s="138">
        <f t="shared" si="1015"/>
        <v>598667.80000000005</v>
      </c>
      <c r="BF189" s="151">
        <f t="shared" si="1016"/>
        <v>45159.896975002128</v>
      </c>
      <c r="BG189" s="160">
        <f t="shared" si="1017"/>
        <v>15.085335215219429</v>
      </c>
      <c r="BH189" s="138"/>
      <c r="BI189" s="18"/>
      <c r="BJ189" s="18"/>
      <c r="BK189" s="18"/>
      <c r="BL189" s="18"/>
      <c r="BM189" s="18"/>
      <c r="BN189" s="159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</row>
    <row r="190" spans="1:110" ht="15" customHeight="1" x14ac:dyDescent="0.2">
      <c r="A190" s="18">
        <f>Input!A190</f>
        <v>10998</v>
      </c>
      <c r="B190" s="18" t="str">
        <f>Input!B190</f>
        <v>MD13-3462G-360</v>
      </c>
      <c r="C190" s="18">
        <f>Input!O190</f>
        <v>2.0112458600995091</v>
      </c>
      <c r="D190" s="18">
        <f>C190*Input!P190/100</f>
        <v>4.0777400645077271E-3</v>
      </c>
      <c r="E190" s="152">
        <f>Input!M190</f>
        <v>2.4001190514297055</v>
      </c>
      <c r="F190" s="153">
        <f>E190*Input!N190/100</f>
        <v>9.5853421615478131E-5</v>
      </c>
      <c r="G190" s="21">
        <f>E190*137.88</f>
        <v>330.92841481112777</v>
      </c>
      <c r="H190" s="153">
        <f>G190*Input!L190/100</f>
        <v>1.7712294836448907E-2</v>
      </c>
      <c r="I190" s="18">
        <v>0.3</v>
      </c>
      <c r="J190" s="129">
        <f>(((C190*Constants!$B$24*0.000000001*Input!G190*(Constants!$B$4/Constants!$B$3))-(I190*0.000000000000001))/Input!F190)*1000000000000</f>
        <v>214.17563868325837</v>
      </c>
      <c r="K190" s="18">
        <f>J190*Input!P190/100</f>
        <v>0.43423462045413153</v>
      </c>
      <c r="L190" s="134">
        <f>(J190/Constants!$B$4)*602200000000*Constants!$B$17/(365.2425*24*60)</f>
        <v>2.9569324944123121</v>
      </c>
      <c r="M190" s="132">
        <f>L190*Input!P190/100</f>
        <v>5.9950910725122845E-3</v>
      </c>
      <c r="N190" s="18">
        <v>5.0000000000000001E-3</v>
      </c>
      <c r="O190" s="129">
        <f>(((G190*Constants!$B$23*0.000000001*Input!G190*(Constants!$B$7/Constants!$B$6))-(N190*0.000000001))/Input!F190)*1000000</f>
        <v>3.5499351729640281</v>
      </c>
      <c r="P190" s="18">
        <f>O190*Input!N190/100</f>
        <v>1.4177356437341799E-4</v>
      </c>
      <c r="Q190" s="130">
        <f>(O190/Constants!$B$7)*602200000000000000*Constants!$B$18/(365.2425*24*60)</f>
        <v>2.6486803237586929</v>
      </c>
      <c r="R190" s="131">
        <f>Q190*Input!N190/100</f>
        <v>1.0578019938078847E-4</v>
      </c>
      <c r="S190" s="132">
        <f>Input!S190*Constants!$B$17/Constants!$B$18</f>
        <v>1.1153657657953091</v>
      </c>
      <c r="T190" s="18">
        <f>S190*Input!T190/100</f>
        <v>4.5659813828012851E-4</v>
      </c>
      <c r="U190" s="18">
        <f>S190*1/((U189+U191)/2)</f>
        <v>1.114776112781511</v>
      </c>
      <c r="V190" s="18">
        <f>U190*Input!T190/100</f>
        <v>4.5635675157400219E-4</v>
      </c>
      <c r="W190" s="133">
        <v>3.0000000000000001E-3</v>
      </c>
      <c r="X190" s="129">
        <f>IF((((Constants!$B$25*0.000000001*Input!G190/Input!W190*(Constants!$B$11/Constants!$B$9))-(W190*0.000000001))/Input!F190)*1000000000&lt;0, "n.d.", (((Constants!$B$25*0.000000001*Input!G190/Input!W190*(Constants!$B$11/Constants!$B$9))-(W190*0.000000001))/Input!F190)*1000000000)</f>
        <v>6.0720012993658745</v>
      </c>
      <c r="Y190" s="129">
        <f>X190*Input!X190/100</f>
        <v>8.3942732777054947E-3</v>
      </c>
      <c r="Z190" s="129">
        <f>(X190/Constants!$B$11)*6.022E+23*0.000000001*Constants!$B$19/(365.2425*24*60)</f>
        <v>1.4823718172704535E-3</v>
      </c>
      <c r="AA190" s="129">
        <f>Z190*Input!X190/100</f>
        <v>2.0493134832887174E-6</v>
      </c>
      <c r="AB190" s="134">
        <v>0.05</v>
      </c>
      <c r="AC190" s="134">
        <v>0.9</v>
      </c>
      <c r="AD190" s="129">
        <f>(((Input!G190*Constants!$B$25*0.000000001*Input!U190*(Constants!$B$10/Constants!$B$9))-((AB190*0.000000000000001)+(Input!G190*AC190*0.000000000000001)))/Input!F190)*1000000000000</f>
        <v>29.36395609209406</v>
      </c>
      <c r="AE190" s="129">
        <f>AD190*Input!V190/100</f>
        <v>5.5865160026220675E-2</v>
      </c>
      <c r="AF190" s="129">
        <f>(AD190/Constants!$B$10)*602200000000*Constants!$B$16/(365.2425*24*60)</f>
        <v>1.3403374045822696</v>
      </c>
      <c r="AG190" s="129">
        <f>AF190*Input!V190/100</f>
        <v>2.5500025732662752E-3</v>
      </c>
      <c r="AH190" s="18">
        <f>AF190/Z190</f>
        <v>904.18435440190899</v>
      </c>
      <c r="AI190" s="133">
        <f>AH190*SQRT((AG190/AF190)^2+(AA190/Z190)^2)</f>
        <v>2.1264141001332928</v>
      </c>
      <c r="AJ190" s="132">
        <f t="shared" si="1001"/>
        <v>114.776112781511</v>
      </c>
      <c r="AK190" s="133">
        <f>V190*1000</f>
        <v>0.45635675157400218</v>
      </c>
      <c r="AL190" s="133">
        <f>AF190/Q190</f>
        <v>0.50603970307757706</v>
      </c>
      <c r="AM190" s="133">
        <f>AL190*SQRT((R190/Q190)^2+(AG190/AF190)^2)</f>
        <v>9.6295665491302881E-4</v>
      </c>
      <c r="AN190" s="18">
        <f>AL190*1/((AN189+AN191)/2)</f>
        <v>0.50733259267438247</v>
      </c>
      <c r="AO190" s="129">
        <f>AN190*SQRT((R190/Q190)^2+(AG190/AF190)^2)</f>
        <v>9.654169295391893E-4</v>
      </c>
      <c r="AP190" s="18">
        <f>ThU_Alter_Kombi(AN190,U190)</f>
        <v>65.390500000000003</v>
      </c>
      <c r="AQ190" s="18">
        <f t="shared" si="1007"/>
        <v>0.17219999999999999</v>
      </c>
      <c r="AR190" s="154">
        <f>(AQ190/AP190)</f>
        <v>2.6334100519188565E-3</v>
      </c>
      <c r="AS190" s="131">
        <f t="shared" si="1008"/>
        <v>5.5966429922613213E-4</v>
      </c>
      <c r="AT190" s="131">
        <f t="shared" si="1009"/>
        <v>7.7403392309737855E-7</v>
      </c>
      <c r="AU190" s="18">
        <v>8</v>
      </c>
      <c r="AV190" s="18">
        <f>AU190/2</f>
        <v>4</v>
      </c>
      <c r="AW190" s="18">
        <f t="shared" si="1011"/>
        <v>64.960599999999999</v>
      </c>
      <c r="AX190" s="135">
        <f t="shared" si="1012"/>
        <v>0.27021191999999999</v>
      </c>
      <c r="AY190" s="135">
        <f t="shared" si="1013"/>
        <v>0.27651520767420085</v>
      </c>
      <c r="AZ190" s="154">
        <f t="shared" si="1014"/>
        <v>4.1596278359497911E-3</v>
      </c>
      <c r="BA190" s="18" t="str">
        <f>Input!B190</f>
        <v>MD13-3462G-360</v>
      </c>
      <c r="BB190" s="136">
        <f>Input!E190</f>
        <v>360</v>
      </c>
      <c r="BC190" s="18">
        <f>((U190-1)*EXP(Constants!$B$17*AW190*1000))*1000</f>
        <v>137.86929466865067</v>
      </c>
      <c r="BD190" s="132">
        <f>SQRT((EXP(Constants!$B$17*AW190*1000)*V190)^2+((U190-1)*Constants!$B$17*EXP(Constants!$B$17*AW190*1000)*AY190*1000)^2)*1000</f>
        <v>0.55863424113122417</v>
      </c>
      <c r="BE190" s="18">
        <f t="shared" si="1015"/>
        <v>64902.6</v>
      </c>
      <c r="BF190" s="137">
        <f t="shared" si="1016"/>
        <v>138.25760383710042</v>
      </c>
      <c r="BG190" s="20">
        <f t="shared" si="1017"/>
        <v>0.42566603090827498</v>
      </c>
      <c r="BH190" s="18"/>
      <c r="BI190" s="18"/>
      <c r="BJ190" s="18"/>
      <c r="BK190" s="18"/>
      <c r="BL190" s="18"/>
      <c r="BM190" s="18"/>
      <c r="BN190" s="159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</row>
    <row r="191" spans="1:110" ht="15" customHeight="1" x14ac:dyDescent="0.2">
      <c r="A191" s="138">
        <f>Input!A191</f>
        <v>10815</v>
      </c>
      <c r="B191" s="138" t="str">
        <f>Input!B191</f>
        <v>Hu1-13</v>
      </c>
      <c r="C191" s="138">
        <f>Input!O191</f>
        <v>2.0785412947634341</v>
      </c>
      <c r="D191" s="138">
        <f>C191*Input!P191/100</f>
        <v>1.1311147536846668E-2</v>
      </c>
      <c r="E191" s="139">
        <f>Input!M191</f>
        <v>2.7318070077046843</v>
      </c>
      <c r="F191" s="140">
        <f>E191*Input!N191/100</f>
        <v>2.6379488753163784E-4</v>
      </c>
      <c r="G191" s="141">
        <f t="shared" ref="G191" si="1054">E191*137.88</f>
        <v>376.66155022232186</v>
      </c>
      <c r="H191" s="140">
        <f>G191*Input!L191/100</f>
        <v>2.2468743998752892E-2</v>
      </c>
      <c r="I191" s="138">
        <v>0</v>
      </c>
      <c r="J191" s="142">
        <f>(((C191*Constants!$B$24*0.000000001*Input!G191*(Constants!$B$4/Constants!$B$3))-(I191*0.000000000000001))/Input!F191)*1000000000000</f>
        <v>750.43144143974325</v>
      </c>
      <c r="K191" s="138">
        <f>J191*Input!P191/100</f>
        <v>4.0837489116998862</v>
      </c>
      <c r="L191" s="143">
        <f>(J191/Constants!$B$4)*602200000000*Constants!$B$17/(365.2425*24*60)</f>
        <v>10.360539264241256</v>
      </c>
      <c r="M191" s="144">
        <f>L191*Input!P191/100</f>
        <v>5.6380687973035151E-2</v>
      </c>
      <c r="N191" s="138">
        <v>0</v>
      </c>
      <c r="O191" s="142">
        <f>(((G191*Constants!$B$23*0.000000001*Input!G191*(Constants!$B$7/Constants!$B$6))-(N191*0.000000001))/Input!F191)*1000000</f>
        <v>13.698882945652196</v>
      </c>
      <c r="P191" s="138">
        <f>O191*Input!N191/100</f>
        <v>1.3228223208174897E-3</v>
      </c>
      <c r="Q191" s="145">
        <f>(O191/Constants!$B$7)*602200000000000000*Constants!$B$18/(365.2425*24*60)</f>
        <v>10.221020933553302</v>
      </c>
      <c r="R191" s="146">
        <f>Q191*Input!N191/100</f>
        <v>9.8698519332471139E-4</v>
      </c>
      <c r="S191" s="144">
        <f>Input!S191*Constants!$B$17/Constants!$B$18</f>
        <v>1.0003093804754615</v>
      </c>
      <c r="T191" s="138">
        <f>S191*Input!T191/100</f>
        <v>1.2745849543633831E-3</v>
      </c>
      <c r="U191" s="144">
        <f>S191</f>
        <v>1.0003093804754615</v>
      </c>
      <c r="V191" s="138">
        <f>U191*Input!T191/100</f>
        <v>1.2745849543633831E-3</v>
      </c>
      <c r="W191" s="147">
        <v>0</v>
      </c>
      <c r="X191" s="142">
        <f>(((Constants!$B$25*0.000000001*Input!G191/Input!W191*(Constants!$B$11/Constants!$B$9))-(W191*0.000000001))/Input!F191)*1000000000</f>
        <v>0.95321500851662178</v>
      </c>
      <c r="Y191" s="142">
        <f>X191*Input!X191/100</f>
        <v>4.0200406103503101E-3</v>
      </c>
      <c r="Z191" s="142">
        <f>(X191/Constants!$B$11)*6.022E+23*0.000000001*Constants!$B$19/(365.2425*24*60)</f>
        <v>2.3271059981028381E-4</v>
      </c>
      <c r="AA191" s="142">
        <f>Z191*Input!X191/100</f>
        <v>9.8142187579708795E-7</v>
      </c>
      <c r="AB191" s="143">
        <v>0</v>
      </c>
      <c r="AC191" s="143">
        <v>0.9</v>
      </c>
      <c r="AD191" s="142">
        <f>(((Input!G191*Constants!$B$25*0.000000001*Input!U191*(Constants!$B$10/Constants!$B$9))-((AB191*0.000000000000001)+(Input!G191*AC191*0.000000000000001)))/Input!F191)*1000000000000</f>
        <v>223.46667491427058</v>
      </c>
      <c r="AE191" s="142">
        <f>AD191*Input!V191/100</f>
        <v>0.75368999629154876</v>
      </c>
      <c r="AF191" s="142">
        <f>(AD191/Constants!$B$10)*602200000000*Constants!$B$16/(365.2425*24*60)</f>
        <v>10.200285755973667</v>
      </c>
      <c r="AG191" s="142">
        <f>AF191*Input!V191/100</f>
        <v>3.4402683695642103E-2</v>
      </c>
      <c r="AH191" s="138">
        <f t="shared" ref="AH191" si="1055">AF191/Z191</f>
        <v>43832.493080630622</v>
      </c>
      <c r="AI191" s="147">
        <f t="shared" ref="AI191" si="1056">AH191*SQRT((AG191/AF191)^2+(AA191/Z191)^2)</f>
        <v>236.70057252264374</v>
      </c>
      <c r="AJ191" s="144">
        <f t="shared" si="1001"/>
        <v>0.30938047546147374</v>
      </c>
      <c r="AK191" s="147">
        <f t="shared" ref="AK191" si="1057">V191*1000</f>
        <v>1.2745849543633831</v>
      </c>
      <c r="AL191" s="147">
        <f t="shared" ref="AL191" si="1058">AF191/Q191</f>
        <v>0.99797132030993441</v>
      </c>
      <c r="AM191" s="147">
        <f t="shared" ref="AM191" si="1059">AL191*SQRT((R191/Q191)^2+(AG191/AF191)^2)</f>
        <v>3.36725475363532E-3</v>
      </c>
      <c r="AN191" s="138">
        <f>AF191/Q191</f>
        <v>0.99797132030993441</v>
      </c>
      <c r="AO191" s="142">
        <f t="shared" ref="AO191" si="1060">AN191*SQRT((R191/Q191)^2+(AG191/AF191)^2)</f>
        <v>3.36725475363532E-3</v>
      </c>
      <c r="AP191" s="138">
        <f t="shared" ref="AP191" si="1061">ThU_Alter_Kombi(AN191,U191)</f>
        <v>654.72090000000003</v>
      </c>
      <c r="AQ191" s="138" t="e">
        <f t="shared" si="1007"/>
        <v>#VALUE!</v>
      </c>
      <c r="AR191" s="138" t="e">
        <f>(AQ191/AP191)*100</f>
        <v>#VALUE!</v>
      </c>
      <c r="AS191" s="146">
        <f t="shared" si="1008"/>
        <v>2.2767842989769008E-5</v>
      </c>
      <c r="AT191" s="146">
        <f t="shared" si="1009"/>
        <v>9.6045112582035388E-8</v>
      </c>
      <c r="AU191" s="138">
        <v>0.75</v>
      </c>
      <c r="AV191" s="138">
        <f t="shared" ref="AV191" si="1062">AU191/2</f>
        <v>0.375</v>
      </c>
      <c r="AW191" s="138">
        <f t="shared" si="1011"/>
        <v>654.71900000000005</v>
      </c>
      <c r="AX191" s="148">
        <f t="shared" si="1012"/>
        <v>306.75955063980001</v>
      </c>
      <c r="AY191" s="148">
        <f t="shared" si="1013"/>
        <v>167.45628103490063</v>
      </c>
      <c r="AZ191" s="149">
        <f t="shared" si="1014"/>
        <v>0.4685361974217947</v>
      </c>
      <c r="BA191" s="138" t="str">
        <f>Input!B191</f>
        <v>Hu1-13</v>
      </c>
      <c r="BB191" s="150">
        <f>Input!E191</f>
        <v>0</v>
      </c>
      <c r="BC191" s="138">
        <f>((U191-1)*EXP(Constants!$B$17*AW191*1000))*1000</f>
        <v>1.9629979162593454</v>
      </c>
      <c r="BD191" s="144">
        <f>SQRT((EXP(Constants!$B$17*AW191*1000)*V191)^2+((U191-1)*Constants!$B$17*EXP(Constants!$B$17*AW191*1000)*AY191*1000)^2)*1000</f>
        <v>8.140184939259953</v>
      </c>
      <c r="BE191" s="138">
        <f t="shared" si="1015"/>
        <v>654661</v>
      </c>
      <c r="BF191" s="151">
        <f t="shared" si="1016"/>
        <v>83728.140517450316</v>
      </c>
      <c r="BG191" s="160">
        <f t="shared" si="1017"/>
        <v>25.576817082580561</v>
      </c>
      <c r="BH191" s="138"/>
      <c r="BI191" s="18"/>
      <c r="BJ191" s="18"/>
      <c r="BK191" s="18"/>
      <c r="BL191" s="18"/>
      <c r="BM191" s="18"/>
      <c r="BN191" s="159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</row>
    <row r="192" spans="1:110" ht="15" customHeight="1" x14ac:dyDescent="0.2">
      <c r="A192" s="18">
        <f>Input!A192</f>
        <v>10999</v>
      </c>
      <c r="B192" s="18" t="str">
        <f>Input!B192</f>
        <v>MD13-3462G-583</v>
      </c>
      <c r="C192" s="18">
        <f>Input!O192</f>
        <v>1.5355839794920354</v>
      </c>
      <c r="D192" s="18">
        <f>C192*Input!P192/100</f>
        <v>2.45872224336859E-3</v>
      </c>
      <c r="E192" s="152">
        <f>Input!M192</f>
        <v>1.8731533338365038</v>
      </c>
      <c r="F192" s="153">
        <f>E192*Input!N192/100</f>
        <v>7.6533765577876817E-5</v>
      </c>
      <c r="G192" s="21">
        <f>E192*137.88</f>
        <v>258.27038166937712</v>
      </c>
      <c r="H192" s="153">
        <f>G192*Input!L192/100</f>
        <v>7.8830488689552655E-3</v>
      </c>
      <c r="I192" s="18">
        <v>0.3</v>
      </c>
      <c r="J192" s="129">
        <f>(((C192*Constants!$B$24*0.000000001*Input!G192*(Constants!$B$4/Constants!$B$3))-(I192*0.000000000000001))/Input!F192)*1000000000000</f>
        <v>206.48896852760754</v>
      </c>
      <c r="K192" s="18">
        <f>J192*Input!P192/100</f>
        <v>0.33062276417927339</v>
      </c>
      <c r="L192" s="134">
        <f>(J192/Constants!$B$4)*602200000000*Constants!$B$17/(365.2425*24*60)</f>
        <v>2.8508094782896105</v>
      </c>
      <c r="M192" s="132">
        <f>L192*Input!P192/100</f>
        <v>4.5646143548562761E-3</v>
      </c>
      <c r="N192" s="18">
        <v>5.0000000000000001E-3</v>
      </c>
      <c r="O192" s="129">
        <f>(((G192*Constants!$B$23*0.000000001*Input!G192*(Constants!$B$7/Constants!$B$6))-(N192*0.000000001))/Input!F192)*1000000</f>
        <v>3.4984813240775825</v>
      </c>
      <c r="P192" s="18">
        <f>O192*Input!N192/100</f>
        <v>1.4294182152570339E-4</v>
      </c>
      <c r="Q192" s="130">
        <f>(O192/Constants!$B$7)*602200000000000000*Constants!$B$18/(365.2425*24*60)</f>
        <v>2.6102895390015193</v>
      </c>
      <c r="R192" s="131">
        <f>Q192*Input!N192/100</f>
        <v>1.0665186029333549E-4</v>
      </c>
      <c r="S192" s="132">
        <f>Input!S192*Constants!$B$17/Constants!$B$18</f>
        <v>1.0915769252726812</v>
      </c>
      <c r="T192" s="18">
        <f>S192*Input!T192/100</f>
        <v>5.2724598533013039E-4</v>
      </c>
      <c r="U192" s="18">
        <f>S192*1/((U191+U193)/2)</f>
        <v>1.091455512843881</v>
      </c>
      <c r="V192" s="18">
        <f>U192*Input!T192/100</f>
        <v>5.2718734153309513E-4</v>
      </c>
      <c r="W192" s="133">
        <v>3.0000000000000001E-3</v>
      </c>
      <c r="X192" s="129">
        <f>IF((((Constants!$B$25*0.000000001*Input!G192/Input!W192*(Constants!$B$11/Constants!$B$9))-(W192*0.000000001))/Input!F192)*1000000000&lt;0, "n.d.", (((Constants!$B$25*0.000000001*Input!G192/Input!W192*(Constants!$B$11/Constants!$B$9))-(W192*0.000000001))/Input!F192)*1000000000)</f>
        <v>1.3288239412617577</v>
      </c>
      <c r="Y192" s="129">
        <f>X192*Input!X192/100</f>
        <v>2.448675182095272E-3</v>
      </c>
      <c r="Z192" s="129">
        <f>(X192/Constants!$B$11)*6.022E+23*0.000000001*Constants!$B$19/(365.2425*24*60)</f>
        <v>3.2440888325343311E-4</v>
      </c>
      <c r="AA192" s="129">
        <f>Z192*Input!X192/100</f>
        <v>5.9780077451016145E-7</v>
      </c>
      <c r="AB192" s="134">
        <v>0.05</v>
      </c>
      <c r="AC192" s="134">
        <v>0.9</v>
      </c>
      <c r="AD192" s="129">
        <f>(((Input!G192*Constants!$B$25*0.000000001*Input!U192*(Constants!$B$10/Constants!$B$9))-((AB192*0.000000000000001)+(Input!G192*AC192*0.000000000000001)))/Input!F192)*1000000000000</f>
        <v>48.302434019881581</v>
      </c>
      <c r="AE192" s="129">
        <f>AD192*Input!V192/100</f>
        <v>9.901313568721426E-2</v>
      </c>
      <c r="AF192" s="129">
        <f>(AD192/Constants!$B$10)*602200000000*Constants!$B$16/(365.2425*24*60)</f>
        <v>2.204796889293994</v>
      </c>
      <c r="AG192" s="129">
        <f>AF192*Input!V192/100</f>
        <v>4.5195207651970272E-3</v>
      </c>
      <c r="AH192" s="18">
        <f>AF192/Z192</f>
        <v>6796.3517742871836</v>
      </c>
      <c r="AI192" s="133">
        <f>AH192*SQRT((AG192/AF192)^2+(AA192/Z192)^2)</f>
        <v>18.733294958390584</v>
      </c>
      <c r="AJ192" s="132">
        <f t="shared" si="1001"/>
        <v>91.455512843880982</v>
      </c>
      <c r="AK192" s="133">
        <f>V192*1000</f>
        <v>0.5271873415330951</v>
      </c>
      <c r="AL192" s="133">
        <f>AF192/Q192</f>
        <v>0.8446560645289054</v>
      </c>
      <c r="AM192" s="133">
        <f>AL192*SQRT((R192/Q192)^2+(AG192/AF192)^2)</f>
        <v>1.7317689848340651E-3</v>
      </c>
      <c r="AN192" s="18">
        <f>AL192*1/((AN191+AN193)/2)</f>
        <v>0.84506919434557992</v>
      </c>
      <c r="AO192" s="129">
        <f>AN192*SQRT((R192/Q192)^2+(AG192/AF192)^2)</f>
        <v>1.732616010544614E-3</v>
      </c>
      <c r="AP192" s="18">
        <f>ThU_Alter_Kombi(AN192,U192)</f>
        <v>156.4787</v>
      </c>
      <c r="AQ192" s="18">
        <f t="shared" si="1007"/>
        <v>0.73939999999999995</v>
      </c>
      <c r="AR192" s="154">
        <f>(AQ192/AP192)</f>
        <v>4.725243755220359E-3</v>
      </c>
      <c r="AS192" s="131">
        <f t="shared" si="1008"/>
        <v>1.2428080425803075E-4</v>
      </c>
      <c r="AT192" s="131">
        <f t="shared" si="1009"/>
        <v>2.2907332453779989E-7</v>
      </c>
      <c r="AU192" s="18">
        <v>8</v>
      </c>
      <c r="AV192" s="18">
        <f>AU192/2</f>
        <v>4</v>
      </c>
      <c r="AW192" s="18">
        <f t="shared" si="1011"/>
        <v>156.38380000000001</v>
      </c>
      <c r="AX192" s="135">
        <f t="shared" si="1012"/>
        <v>0.77225984089999999</v>
      </c>
      <c r="AY192" s="135">
        <f t="shared" si="1013"/>
        <v>0.72182989566456435</v>
      </c>
      <c r="AZ192" s="154">
        <f t="shared" si="1014"/>
        <v>4.9382342729873555E-3</v>
      </c>
      <c r="BA192" s="18" t="str">
        <f>Input!B192</f>
        <v>MD13-3462G-583</v>
      </c>
      <c r="BB192" s="136">
        <f>Input!E192</f>
        <v>583</v>
      </c>
      <c r="BC192" s="18">
        <f>((U192-1)*EXP(Constants!$B$17*AW192*1000))*1000</f>
        <v>142.19183864815267</v>
      </c>
      <c r="BD192" s="132">
        <f>SQRT((EXP(Constants!$B$17*AW192*1000)*V192)^2+((U192-1)*Constants!$B$17*EXP(Constants!$B$17*AW192*1000)*AY192*1000)^2)*1000</f>
        <v>0.86932627296932286</v>
      </c>
      <c r="BE192" s="18">
        <f t="shared" si="1015"/>
        <v>156325.80000000002</v>
      </c>
      <c r="BF192" s="137">
        <f t="shared" si="1016"/>
        <v>360.91494783228217</v>
      </c>
      <c r="BG192" s="20">
        <f t="shared" si="1017"/>
        <v>0.46157587657069615</v>
      </c>
      <c r="BH192" s="18"/>
      <c r="BI192" s="18"/>
      <c r="BJ192" s="18"/>
      <c r="BK192" s="18"/>
      <c r="BL192" s="18"/>
      <c r="BM192" s="18"/>
      <c r="BN192" s="159"/>
      <c r="BO192" s="18"/>
      <c r="BP192" s="18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  <c r="CY192" s="18"/>
      <c r="CZ192" s="18"/>
      <c r="DA192" s="18"/>
      <c r="DB192" s="18"/>
      <c r="DC192" s="18"/>
      <c r="DD192" s="18"/>
      <c r="DE192" s="18"/>
      <c r="DF192" s="18"/>
    </row>
    <row r="193" spans="1:110" ht="15" customHeight="1" x14ac:dyDescent="0.2">
      <c r="A193" s="138">
        <f>Input!A193</f>
        <v>10815</v>
      </c>
      <c r="B193" s="138" t="str">
        <f>Input!B193</f>
        <v>Hu1-13</v>
      </c>
      <c r="C193" s="138">
        <f>Input!O193</f>
        <v>2.0857028412965506</v>
      </c>
      <c r="D193" s="138">
        <f>C193*Input!P193/100</f>
        <v>1.2506629260653651E-2</v>
      </c>
      <c r="E193" s="139">
        <f>Input!M193</f>
        <v>2.7315209678996499</v>
      </c>
      <c r="F193" s="140">
        <f>E193*Input!N193/100</f>
        <v>2.8387557562678891E-4</v>
      </c>
      <c r="G193" s="141">
        <f t="shared" ref="G193" si="1063">E193*137.88</f>
        <v>376.62211105400371</v>
      </c>
      <c r="H193" s="140">
        <f>G193*Input!L193/100</f>
        <v>1.9639173686437476E-2</v>
      </c>
      <c r="I193" s="138">
        <v>0</v>
      </c>
      <c r="J193" s="142">
        <f>(((C193*Constants!$B$24*0.000000001*Input!G193*(Constants!$B$4/Constants!$B$3))-(I193*0.000000000000001))/Input!F193)*1000000000000</f>
        <v>753.01702860191506</v>
      </c>
      <c r="K193" s="138">
        <f>J193*Input!P193/100</f>
        <v>4.515362695593196</v>
      </c>
      <c r="L193" s="143">
        <f>(J193/Constants!$B$4)*602200000000*Constants!$B$17/(365.2425*24*60)</f>
        <v>10.396236165830834</v>
      </c>
      <c r="M193" s="144">
        <f>L193*Input!P193/100</f>
        <v>6.2339595486871568E-2</v>
      </c>
      <c r="N193" s="138">
        <v>0</v>
      </c>
      <c r="O193" s="142">
        <f>(((G193*Constants!$B$23*0.000000001*Input!G193*(Constants!$B$7/Constants!$B$6))-(N193*0.000000001))/Input!F193)*1000000</f>
        <v>13.697448574265083</v>
      </c>
      <c r="P193" s="138">
        <f>O193*Input!N193/100</f>
        <v>1.4235186712213774E-3</v>
      </c>
      <c r="Q193" s="145">
        <f>(O193/Constants!$B$7)*602200000000000000*Constants!$B$18/(365.2425*24*60)</f>
        <v>10.219950719286027</v>
      </c>
      <c r="R193" s="146">
        <f>Q193*Input!N193/100</f>
        <v>1.0621168306628645E-3</v>
      </c>
      <c r="S193" s="144">
        <f>Input!S193*Constants!$B$17/Constants!$B$18</f>
        <v>0.99991309754104285</v>
      </c>
      <c r="T193" s="138">
        <f>S193*Input!T193/100</f>
        <v>1.2430172299526532E-3</v>
      </c>
      <c r="U193" s="144">
        <f>S193</f>
        <v>0.99991309754104285</v>
      </c>
      <c r="V193" s="138">
        <f>U193*Input!T193/100</f>
        <v>1.2430172299526532E-3</v>
      </c>
      <c r="W193" s="147">
        <v>0</v>
      </c>
      <c r="X193" s="142">
        <f>(((Constants!$B$25*0.000000001*Input!G193/Input!W193*(Constants!$B$11/Constants!$B$9))-(W193*0.000000001))/Input!F193)*1000000000</f>
        <v>0.95597852031634223</v>
      </c>
      <c r="Y193" s="142">
        <f>X193*Input!X193/100</f>
        <v>3.4215769641574856E-3</v>
      </c>
      <c r="Z193" s="142">
        <f>(X193/Constants!$B$11)*6.022E+23*0.000000001*Constants!$B$19/(365.2425*24*60)</f>
        <v>2.3338526238142455E-4</v>
      </c>
      <c r="AA193" s="142">
        <f>Z193*Input!X193/100</f>
        <v>8.3531755219132601E-7</v>
      </c>
      <c r="AB193" s="143">
        <v>0</v>
      </c>
      <c r="AC193" s="143">
        <v>0.9</v>
      </c>
      <c r="AD193" s="142">
        <f>(((Input!G193*Constants!$B$25*0.000000001*Input!U193*(Constants!$B$10/Constants!$B$9))-((AB193*0.000000000000001)+(Input!G193*AC193*0.000000000000001)))/Input!F193)*1000000000000</f>
        <v>224.13279496176301</v>
      </c>
      <c r="AE193" s="142">
        <f>AD193*Input!V193/100</f>
        <v>0.66403105449887123</v>
      </c>
      <c r="AF193" s="142">
        <f>(AD193/Constants!$B$10)*602200000000*Constants!$B$16/(365.2425*24*60)</f>
        <v>10.230691250818982</v>
      </c>
      <c r="AG193" s="142">
        <f>AF193*Input!V193/100</f>
        <v>3.0310141363706605E-2</v>
      </c>
      <c r="AH193" s="138">
        <f t="shared" ref="AH193" si="1064">AF193/Z193</f>
        <v>43836.063796088507</v>
      </c>
      <c r="AI193" s="147">
        <f t="shared" ref="AI193" si="1065">AH193*SQRT((AG193/AF193)^2+(AA193/Z193)^2)</f>
        <v>203.67319676501177</v>
      </c>
      <c r="AJ193" s="144">
        <f t="shared" si="1001"/>
        <v>-8.6902458957149875E-2</v>
      </c>
      <c r="AK193" s="147">
        <f t="shared" ref="AK193" si="1066">V193*1000</f>
        <v>1.2430172299526532</v>
      </c>
      <c r="AL193" s="147">
        <f t="shared" ref="AL193" si="1067">AF193/Q193</f>
        <v>1.0010509377029271</v>
      </c>
      <c r="AM193" s="147">
        <f t="shared" ref="AM193" si="1068">AL193*SQRT((R193/Q193)^2+(AG193/AF193)^2)</f>
        <v>2.9676056912642159E-3</v>
      </c>
      <c r="AN193" s="138">
        <f>AF193/Q193</f>
        <v>1.0010509377029271</v>
      </c>
      <c r="AO193" s="142">
        <f t="shared" ref="AO193" si="1069">AN193*SQRT((R193/Q193)^2+(AG193/AF193)^2)</f>
        <v>2.9676056912642159E-3</v>
      </c>
      <c r="AP193" s="138" t="str">
        <f t="shared" ref="AP193" si="1070">ThU_Alter_Kombi(AN193,U193)</f>
        <v>Out of range</v>
      </c>
      <c r="AQ193" s="138" t="e">
        <f t="shared" si="1007"/>
        <v>#VALUE!</v>
      </c>
      <c r="AR193" s="138" t="e">
        <f>(AQ193/AP193)*100</f>
        <v>#VALUE!</v>
      </c>
      <c r="AS193" s="146">
        <f t="shared" si="1008"/>
        <v>2.2836241464550723E-5</v>
      </c>
      <c r="AT193" s="146">
        <f t="shared" si="1009"/>
        <v>8.1768458421778364E-8</v>
      </c>
      <c r="AU193" s="138">
        <v>0.75</v>
      </c>
      <c r="AV193" s="138">
        <f t="shared" ref="AV193" si="1071">AU193/2</f>
        <v>0.375</v>
      </c>
      <c r="AW193" s="138" t="str">
        <f t="shared" si="1011"/>
        <v>Out of range</v>
      </c>
      <c r="AX193" s="148">
        <f t="shared" si="1012"/>
        <v>334.43800720399997</v>
      </c>
      <c r="AY193" s="148" t="e">
        <f t="shared" si="1013"/>
        <v>#VALUE!</v>
      </c>
      <c r="AZ193" s="149" t="e">
        <f t="shared" si="1014"/>
        <v>#VALUE!</v>
      </c>
      <c r="BA193" s="138" t="str">
        <f>Input!B193</f>
        <v>Hu1-13</v>
      </c>
      <c r="BB193" s="150">
        <f>Input!E193</f>
        <v>0</v>
      </c>
      <c r="BC193" s="138" t="e">
        <f>((U193-1)*EXP(Constants!$B$17*AW193*1000))*1000</f>
        <v>#VALUE!</v>
      </c>
      <c r="BD193" s="144" t="e">
        <f>SQRT((EXP(Constants!$B$17*AW193*1000)*V193)^2+((U193-1)*Constants!$B$17*EXP(Constants!$B$17*AW193*1000)*AY193*1000)^2)*1000</f>
        <v>#VALUE!</v>
      </c>
      <c r="BE193" s="138" t="e">
        <f t="shared" si="1015"/>
        <v>#VALUE!</v>
      </c>
      <c r="BF193" s="151" t="e">
        <f t="shared" si="1016"/>
        <v>#VALUE!</v>
      </c>
      <c r="BG193" s="160" t="e">
        <f t="shared" si="1017"/>
        <v>#VALUE!</v>
      </c>
      <c r="BH193" s="138"/>
      <c r="BI193" s="18"/>
      <c r="BJ193" s="18"/>
      <c r="BK193" s="18"/>
      <c r="BL193" s="18"/>
      <c r="BM193" s="18"/>
      <c r="BN193" s="159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</row>
    <row r="195" spans="1:110" ht="15" customHeight="1" x14ac:dyDescent="0.2">
      <c r="A195" s="138">
        <f>Input!A195</f>
        <v>10815</v>
      </c>
      <c r="B195" s="138" t="str">
        <f>Input!B195</f>
        <v>Hu1-13</v>
      </c>
      <c r="C195" s="138">
        <f>Input!O195</f>
        <v>2.0860908130930893</v>
      </c>
      <c r="D195" s="138">
        <f>C195*Input!P195/100</f>
        <v>9.1777472199043725E-3</v>
      </c>
      <c r="E195" s="139">
        <f>Input!M195</f>
        <v>2.7326065751993811</v>
      </c>
      <c r="F195" s="140">
        <f>E195*Input!N195/100</f>
        <v>2.8515607316447237E-4</v>
      </c>
      <c r="G195" s="141">
        <f t="shared" ref="G195" si="1072">E195*137.88</f>
        <v>376.77179458849065</v>
      </c>
      <c r="H195" s="140">
        <f>G195*Input!L195/100</f>
        <v>1.599106383939039E-2</v>
      </c>
      <c r="I195" s="138">
        <v>0</v>
      </c>
      <c r="J195" s="142">
        <f>(((C195*Constants!$B$24*0.000000001*Input!G195*(Constants!$B$4/Constants!$B$3))-(I195*0.000000000000001))/Input!F195)*1000000000000</f>
        <v>753.15710098597015</v>
      </c>
      <c r="K195" s="138">
        <f>J195*Input!P195/100</f>
        <v>3.3135113036983457</v>
      </c>
      <c r="L195" s="143">
        <f>(J195/Constants!$B$4)*602200000000*Constants!$B$17/(365.2425*24*60)</f>
        <v>10.398170020617162</v>
      </c>
      <c r="M195" s="144">
        <f>L195*Input!P195/100</f>
        <v>4.5746702588327644E-2</v>
      </c>
      <c r="N195" s="138">
        <v>0</v>
      </c>
      <c r="O195" s="142">
        <f>(((G195*Constants!$B$23*0.000000001*Input!G195*(Constants!$B$7/Constants!$B$6))-(N195*0.000000001))/Input!F195)*1000000</f>
        <v>13.702892446135248</v>
      </c>
      <c r="P195" s="138">
        <f>O195*Input!N195/100</f>
        <v>1.4299398370765963E-3</v>
      </c>
      <c r="Q195" s="145">
        <f>(O195/Constants!$B$7)*602200000000000000*Constants!$B$18/(365.2425*24*60)</f>
        <v>10.224012505094789</v>
      </c>
      <c r="R195" s="146">
        <f>Q195*Input!N195/100</f>
        <v>1.0669077958009995E-3</v>
      </c>
      <c r="S195" s="144">
        <f>Input!S195*Constants!$B$17/Constants!$B$18</f>
        <v>0.99915136855271036</v>
      </c>
      <c r="T195" s="138">
        <f>S195*Input!T195/100</f>
        <v>9.9181834587156619E-4</v>
      </c>
      <c r="U195" s="144">
        <f>S195</f>
        <v>0.99915136855271036</v>
      </c>
      <c r="V195" s="138">
        <f>U195*Input!T195/100</f>
        <v>9.9181834587156619E-4</v>
      </c>
      <c r="W195" s="147">
        <v>0</v>
      </c>
      <c r="X195" s="142">
        <f>(((Constants!$B$25*0.000000001*Input!G195/Input!W195*(Constants!$B$11/Constants!$B$9))-(W195*0.000000001))/Input!F195)*1000000000</f>
        <v>0.95235277314738398</v>
      </c>
      <c r="Y195" s="142">
        <f>X195*Input!X195/100</f>
        <v>3.569074451089511E-3</v>
      </c>
      <c r="Z195" s="142">
        <f>(X195/Constants!$B$11)*6.022E+23*0.000000001*Constants!$B$19/(365.2425*24*60)</f>
        <v>2.3250010028167778E-4</v>
      </c>
      <c r="AA195" s="142">
        <f>Z195*Input!X195/100</f>
        <v>8.7132645715797775E-7</v>
      </c>
      <c r="AB195" s="143">
        <v>0</v>
      </c>
      <c r="AC195" s="143">
        <v>0.9</v>
      </c>
      <c r="AD195" s="142">
        <f>(((Input!G195*Constants!$B$25*0.000000001*Input!U195*(Constants!$B$10/Constants!$B$9))-((AB195*0.000000000000001)+(Input!G195*AC195*0.000000000000001)))/Input!F195)*1000000000000</f>
        <v>223.79814757646437</v>
      </c>
      <c r="AE195" s="142">
        <f>AD195*Input!V195/100</f>
        <v>0.41000761042675576</v>
      </c>
      <c r="AF195" s="142">
        <f>(AD195/Constants!$B$10)*602200000000*Constants!$B$16/(365.2425*24*60)</f>
        <v>10.215416047217168</v>
      </c>
      <c r="AG195" s="142">
        <f>AF195*Input!V195/100</f>
        <v>1.8715071453411426E-2</v>
      </c>
      <c r="AH195" s="138">
        <f t="shared" ref="AH195" si="1073">AF195/Z195</f>
        <v>43937.254370389601</v>
      </c>
      <c r="AI195" s="147">
        <f t="shared" ref="AI195" si="1074">AH195*SQRT((AG195/AF195)^2+(AA195/Z195)^2)</f>
        <v>183.28301497608464</v>
      </c>
      <c r="AJ195" s="144">
        <f t="shared" ref="AJ195:AJ205" si="1075">(U195-1)*1000</f>
        <v>-0.84863144728963835</v>
      </c>
      <c r="AK195" s="147">
        <f t="shared" ref="AK195" si="1076">V195*1000</f>
        <v>0.99181834587156614</v>
      </c>
      <c r="AL195" s="147">
        <f t="shared" ref="AL195" si="1077">AF195/Q195</f>
        <v>0.99915918942065673</v>
      </c>
      <c r="AM195" s="147">
        <f t="shared" ref="AM195" si="1078">AL195*SQRT((R195/Q195)^2+(AG195/AF195)^2)</f>
        <v>1.8334686945586131E-3</v>
      </c>
      <c r="AN195" s="138">
        <f>AF195/Q195</f>
        <v>0.99915918942065673</v>
      </c>
      <c r="AO195" s="142">
        <f t="shared" ref="AO195" si="1079">AN195*SQRT((R195/Q195)^2+(AG195/AF195)^2)</f>
        <v>1.8334686945586131E-3</v>
      </c>
      <c r="AP195" s="138" t="str">
        <f t="shared" ref="AP195" si="1080">ThU_Alter_Kombi(AN195,U195)</f>
        <v>Out of range</v>
      </c>
      <c r="AQ195" s="138" t="e">
        <f t="shared" ref="AQ195:AQ205" si="1081">Montealter(AN195,AO195,U195,V195)</f>
        <v>#VALUE!</v>
      </c>
      <c r="AR195" s="138" t="e">
        <f>(AQ195/AP195)*100</f>
        <v>#VALUE!</v>
      </c>
      <c r="AS195" s="146">
        <f t="shared" ref="AS195:AS205" si="1082">Z195/Q195</f>
        <v>2.2740592322810567E-5</v>
      </c>
      <c r="AT195" s="146">
        <f t="shared" ref="AT195:AT205" si="1083">AS195*SQRT((Y195/X195)^2+(P195/O195)^2)</f>
        <v>8.5256564483896238E-8</v>
      </c>
      <c r="AU195" s="138">
        <v>0.75</v>
      </c>
      <c r="AV195" s="138">
        <f t="shared" ref="AV195" si="1084">AU195/2</f>
        <v>0.375</v>
      </c>
      <c r="AW195" s="138" t="str">
        <f t="shared" ref="AW195:AW205" si="1085">marincorr_age(AN195,U195,AS195,AU195)</f>
        <v>Out of range</v>
      </c>
      <c r="AX195" s="148">
        <f t="shared" ref="AX195:AX205" si="1086">marincorr_age_error(AN195, AO195, U195, V195, AS195, AT195, AU195, AV195)</f>
        <v>354.55868207470002</v>
      </c>
      <c r="AY195" s="148" t="e">
        <f t="shared" ref="AY195:AY205" si="1087">SQRT(((AU195*EXP(-0.0000091577*AW195*1000))/(0.0000091577*(EXP(-0.0000091577*AW195*1000)+(AJ195/1000)*EXP(-(0.0000091577-0.0000028263)*AW195*1000)-AS195*AU195*EXP(-0.0000091577*AW195*1000))))^2*AT195^2+((AS195*EXP(-0.0000091577*AW195*1000))/(0.0000091577*(EXP(-0.0000091577*AW195*1000)+(AJ195/1000)*EXP(-(0.0000091577-0.0000028263)*AW195*1000)-AS195*AU195*EXP(-0.0000091577*AW195*1000))))^2*AV195^2+((0.0000091577/(0.0000091577-0.0000028263))*(EXP(-(0.0000091577-0.0000028263)*AW195*1000)-1)/(0.0000091577*(EXP(-0.0000091577*AW195*1000)+(AJ195/1000)*EXP(-(0.0000091577-0.0000028263)*AW195*1000)-AS195*AU195*EXP(-0.0000091577*AW195*1000))))^2*T195^2+(1/(0.0000091577*(EXP(-0.0000091577*AW195*1000)+(AJ195/1000)*EXP(-(0.0000091577-0.0000028263)*AW195*1000)-AS195*AU195*EXP(-0.0000091577*AW195*1000))))^2*AO195^2)/1000</f>
        <v>#VALUE!</v>
      </c>
      <c r="AZ195" s="149" t="e">
        <f t="shared" ref="AZ195:AZ205" si="1088">AX195/AW195</f>
        <v>#VALUE!</v>
      </c>
      <c r="BA195" s="138" t="str">
        <f>Input!B195</f>
        <v>Hu1-13</v>
      </c>
      <c r="BB195" s="150">
        <f>Input!E195</f>
        <v>0</v>
      </c>
      <c r="BC195" s="138" t="e">
        <f>((U195-1)*EXP(Constants!$B$17*AW195*1000))*1000</f>
        <v>#VALUE!</v>
      </c>
      <c r="BD195" s="144" t="e">
        <f>SQRT((EXP(Constants!$B$17*AW195*1000)*V195)^2+((U195-1)*Constants!$B$17*EXP(Constants!$B$17*AW195*1000)*AY195*1000)^2)*1000</f>
        <v>#VALUE!</v>
      </c>
      <c r="BE195" s="138" t="e">
        <f t="shared" ref="BE195:BE205" si="1089">AW195*1000-58</f>
        <v>#VALUE!</v>
      </c>
      <c r="BF195" s="151" t="e">
        <f t="shared" ref="BF195:BF205" si="1090">AY195/2*1000</f>
        <v>#VALUE!</v>
      </c>
      <c r="BG195" s="160" t="e">
        <f t="shared" ref="BG195:BG205" si="1091">AY195/AW195*100</f>
        <v>#VALUE!</v>
      </c>
      <c r="BH195" s="138"/>
      <c r="BI195" s="18"/>
      <c r="BJ195" s="18"/>
      <c r="BK195" s="18"/>
      <c r="BL195" s="18"/>
      <c r="BM195" s="18"/>
      <c r="BN195" s="159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</row>
    <row r="196" spans="1:110" ht="15" customHeight="1" x14ac:dyDescent="0.2">
      <c r="A196" s="18">
        <f>Input!A196</f>
        <v>11000</v>
      </c>
      <c r="B196" s="18" t="str">
        <f>Input!B196</f>
        <v>MD13-3462G-604</v>
      </c>
      <c r="C196" s="18">
        <f>Input!O196</f>
        <v>1.1946781896307404</v>
      </c>
      <c r="D196" s="18">
        <f>C196*Input!P196/100</f>
        <v>1.5863631893301361E-3</v>
      </c>
      <c r="E196" s="152">
        <f>Input!M196</f>
        <v>1.4502295139788539</v>
      </c>
      <c r="F196" s="153">
        <f>E196*Input!N196/100</f>
        <v>5.4303997617214585E-5</v>
      </c>
      <c r="G196" s="21">
        <f>E196*137.88</f>
        <v>199.95764538740437</v>
      </c>
      <c r="H196" s="153">
        <f>G196*Input!L196/100</f>
        <v>7.1741896798779041E-3</v>
      </c>
      <c r="I196" s="18">
        <v>0.3</v>
      </c>
      <c r="J196" s="129">
        <f>(((C196*Constants!$B$24*0.000000001*Input!G196*(Constants!$B$4/Constants!$B$3))-(I196*0.000000000000001))/Input!F196)*1000000000000</f>
        <v>207.8511345185112</v>
      </c>
      <c r="K196" s="18">
        <f>J196*Input!P196/100</f>
        <v>0.27599682619349325</v>
      </c>
      <c r="L196" s="134">
        <f>(J196/Constants!$B$4)*602200000000*Constants!$B$17/(365.2425*24*60)</f>
        <v>2.8696156922271494</v>
      </c>
      <c r="M196" s="132">
        <f>L196*Input!P196/100</f>
        <v>3.8104426289730037E-3</v>
      </c>
      <c r="N196" s="18">
        <v>5.0000000000000001E-3</v>
      </c>
      <c r="O196" s="129">
        <f>(((G196*Constants!$B$23*0.000000001*Input!G196*(Constants!$B$7/Constants!$B$6))-(N196*0.000000001))/Input!F196)*1000000</f>
        <v>3.5044602284759829</v>
      </c>
      <c r="P196" s="18">
        <f>O196*Input!N196/100</f>
        <v>1.3122488410448799E-4</v>
      </c>
      <c r="Q196" s="130">
        <f>(O196/Constants!$B$7)*602200000000000000*Constants!$B$18/(365.2425*24*60)</f>
        <v>2.6147505236860518</v>
      </c>
      <c r="R196" s="131">
        <f>Q196*Input!N196/100</f>
        <v>9.7909610057714171E-5</v>
      </c>
      <c r="S196" s="132">
        <f>Input!S196*Constants!$B$17/Constants!$B$18</f>
        <v>1.0922790740957187</v>
      </c>
      <c r="T196" s="18">
        <f>S196*Input!T196/100</f>
        <v>5.44917754711832E-4</v>
      </c>
      <c r="U196" s="18">
        <f>S196*1/((U195+U197)/2)</f>
        <v>1.0929845813634915</v>
      </c>
      <c r="V196" s="18">
        <f>U196*Input!T196/100</f>
        <v>5.4526971919179414E-4</v>
      </c>
      <c r="W196" s="133">
        <v>3.0000000000000001E-3</v>
      </c>
      <c r="X196" s="129">
        <f>IF((((Constants!$B$25*0.000000001*Input!G196/Input!W196*(Constants!$B$11/Constants!$B$9))-(W196*0.000000001))/Input!F196)*1000000000&lt;0, "n.d.", (((Constants!$B$25*0.000000001*Input!G196/Input!W196*(Constants!$B$11/Constants!$B$9))-(W196*0.000000001))/Input!F196)*1000000000)</f>
        <v>0.63659445467415166</v>
      </c>
      <c r="Y196" s="129">
        <f>X196*Input!X196/100</f>
        <v>1.1474534436261188E-3</v>
      </c>
      <c r="Z196" s="129">
        <f>(X196/Constants!$B$11)*6.022E+23*0.000000001*Constants!$B$19/(365.2425*24*60)</f>
        <v>1.554132866766954E-4</v>
      </c>
      <c r="AA196" s="129">
        <f>Z196*Input!X196/100</f>
        <v>2.801304813025859E-7</v>
      </c>
      <c r="AB196" s="134">
        <v>0.05</v>
      </c>
      <c r="AC196" s="134">
        <v>0.9</v>
      </c>
      <c r="AD196" s="129">
        <f>(((Input!G196*Constants!$B$25*0.000000001*Input!U196*(Constants!$B$10/Constants!$B$9))-((AB196*0.000000000000001)+(Input!G196*AC196*0.000000000000001)))/Input!F196)*1000000000000</f>
        <v>48.808658933676604</v>
      </c>
      <c r="AE196" s="129">
        <f>AD196*Input!V196/100</f>
        <v>8.9893826650674635E-2</v>
      </c>
      <c r="AF196" s="129">
        <f>(AD196/Constants!$B$10)*602200000000*Constants!$B$16/(365.2425*24*60)</f>
        <v>2.22790386387749</v>
      </c>
      <c r="AG196" s="129">
        <f>AF196*Input!V196/100</f>
        <v>4.1032638082909361E-3</v>
      </c>
      <c r="AH196" s="18">
        <f>AF196/Z196</f>
        <v>14335.350030349558</v>
      </c>
      <c r="AI196" s="133">
        <f>AH196*SQRT((AG196/AF196)^2+(AA196/Z196)^2)</f>
        <v>36.94250525621802</v>
      </c>
      <c r="AJ196" s="132">
        <f t="shared" si="1075"/>
        <v>92.984581363491529</v>
      </c>
      <c r="AK196" s="133">
        <f>V196*1000</f>
        <v>0.54526971919179412</v>
      </c>
      <c r="AL196" s="133">
        <f>AF196/Q196</f>
        <v>0.85205217235668873</v>
      </c>
      <c r="AM196" s="133">
        <f>AL196*SQRT((R196/Q196)^2+(AG196/AF196)^2)</f>
        <v>1.5695997524972872E-3</v>
      </c>
      <c r="AN196" s="18">
        <f>AL196*1/((AN195+AN197)/2)</f>
        <v>0.85311956860790061</v>
      </c>
      <c r="AO196" s="129">
        <f>AN196*SQRT((R196/Q196)^2+(AG196/AF196)^2)</f>
        <v>1.5715660462831298E-3</v>
      </c>
      <c r="AP196" s="18">
        <f>ThU_Alter_Kombi(AN196,U196)</f>
        <v>159.17490000000001</v>
      </c>
      <c r="AQ196" s="18">
        <f t="shared" si="1081"/>
        <v>0.68630000000000002</v>
      </c>
      <c r="AR196" s="154">
        <f>(AQ196/AP196)</f>
        <v>4.3116094308838894E-3</v>
      </c>
      <c r="AS196" s="131">
        <f t="shared" si="1082"/>
        <v>5.9437137604090442E-5</v>
      </c>
      <c r="AT196" s="131">
        <f t="shared" si="1083"/>
        <v>1.0715780317282573E-7</v>
      </c>
      <c r="AU196" s="18">
        <v>8</v>
      </c>
      <c r="AV196" s="18">
        <f>AU196/2</f>
        <v>4</v>
      </c>
      <c r="AW196" s="18">
        <f t="shared" si="1085"/>
        <v>159.12960000000001</v>
      </c>
      <c r="AX196" s="135">
        <f t="shared" si="1086"/>
        <v>0.69490722500000002</v>
      </c>
      <c r="AY196" s="135">
        <f t="shared" si="1087"/>
        <v>0.67563784349225531</v>
      </c>
      <c r="AZ196" s="154">
        <f t="shared" si="1088"/>
        <v>4.3669262349682273E-3</v>
      </c>
      <c r="BA196" s="18" t="str">
        <f>Input!B196</f>
        <v>MD13-3462G-604</v>
      </c>
      <c r="BB196" s="136">
        <f>Input!E196</f>
        <v>604</v>
      </c>
      <c r="BC196" s="18">
        <f>((U196-1)*EXP(Constants!$B$17*AW196*1000))*1000</f>
        <v>145.69377195243203</v>
      </c>
      <c r="BD196" s="132">
        <f>SQRT((EXP(Constants!$B$17*AW196*1000)*V196)^2+((U196-1)*Constants!$B$17*EXP(Constants!$B$17*AW196*1000)*AY196*1000)^2)*1000</f>
        <v>0.8983883758607808</v>
      </c>
      <c r="BE196" s="18">
        <f t="shared" si="1089"/>
        <v>159071.6</v>
      </c>
      <c r="BF196" s="137">
        <f t="shared" si="1090"/>
        <v>337.81892174612767</v>
      </c>
      <c r="BG196" s="20">
        <f t="shared" si="1091"/>
        <v>0.4245833858014193</v>
      </c>
      <c r="BH196" s="18"/>
      <c r="BI196" s="18"/>
      <c r="BJ196" s="18"/>
      <c r="BK196" s="18"/>
      <c r="BL196" s="18"/>
      <c r="BM196" s="18"/>
      <c r="BN196" s="159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</row>
    <row r="197" spans="1:110" ht="15" customHeight="1" x14ac:dyDescent="0.2">
      <c r="A197" s="138">
        <f>Input!A197</f>
        <v>10815</v>
      </c>
      <c r="B197" s="138" t="str">
        <f>Input!B197</f>
        <v>Hu1-13</v>
      </c>
      <c r="C197" s="138">
        <f>Input!O197</f>
        <v>2.0697356487174319</v>
      </c>
      <c r="D197" s="138">
        <f>C197*Input!P197/100</f>
        <v>8.6737152676590601E-3</v>
      </c>
      <c r="E197" s="139">
        <f>Input!M197</f>
        <v>2.7323050220481795</v>
      </c>
      <c r="F197" s="140">
        <f>E197*Input!N197/100</f>
        <v>2.2683901996372262E-4</v>
      </c>
      <c r="G197" s="141">
        <f t="shared" ref="G197" si="1092">E197*137.88</f>
        <v>376.73021644000295</v>
      </c>
      <c r="H197" s="140">
        <f>G197*Input!L197/100</f>
        <v>1.9647909939403411E-2</v>
      </c>
      <c r="I197" s="138">
        <v>0</v>
      </c>
      <c r="J197" s="142">
        <f>(((C197*Constants!$B$24*0.000000001*Input!G197*(Constants!$B$4/Constants!$B$3))-(I197*0.000000000000001))/Input!F197)*1000000000000</f>
        <v>747.25227262950227</v>
      </c>
      <c r="K197" s="138">
        <f>J197*Input!P197/100</f>
        <v>3.1315368462227786</v>
      </c>
      <c r="L197" s="143">
        <f>(J197/Constants!$B$4)*602200000000*Constants!$B$17/(365.2425*24*60)</f>
        <v>10.316647308937572</v>
      </c>
      <c r="M197" s="144">
        <f>L197*Input!P197/100</f>
        <v>4.3234343153936858E-2</v>
      </c>
      <c r="N197" s="138">
        <v>0</v>
      </c>
      <c r="O197" s="142">
        <f>(((G197*Constants!$B$23*0.000000001*Input!G197*(Constants!$B$7/Constants!$B$6))-(N197*0.000000001))/Input!F197)*1000000</f>
        <v>13.701380281729582</v>
      </c>
      <c r="P197" s="138">
        <f>O197*Input!N197/100</f>
        <v>1.137503920747472E-3</v>
      </c>
      <c r="Q197" s="145">
        <f>(O197/Constants!$B$7)*602200000000000000*Constants!$B$18/(365.2425*24*60)</f>
        <v>10.222884247841506</v>
      </c>
      <c r="R197" s="146">
        <f>Q197*Input!N197/100</f>
        <v>8.4871528810667827E-4</v>
      </c>
      <c r="S197" s="144">
        <f>Input!S197*Constants!$B$17/Constants!$B$18</f>
        <v>0.99955765757665627</v>
      </c>
      <c r="T197" s="138">
        <f>S197*Input!T197/100</f>
        <v>6.6806283898552838E-4</v>
      </c>
      <c r="U197" s="144">
        <f>S197</f>
        <v>0.99955765757665627</v>
      </c>
      <c r="V197" s="138">
        <f>U197*Input!T197/100</f>
        <v>6.6806283898552838E-4</v>
      </c>
      <c r="W197" s="147">
        <v>0</v>
      </c>
      <c r="X197" s="142">
        <f>(((Constants!$B$25*0.000000001*Input!G197/Input!W197*(Constants!$B$11/Constants!$B$9))-(W197*0.000000001))/Input!F197)*1000000000</f>
        <v>0.94342485923676578</v>
      </c>
      <c r="Y197" s="142">
        <f>X197*Input!X197/100</f>
        <v>2.9974539260577806E-3</v>
      </c>
      <c r="Z197" s="142">
        <f>(X197/Constants!$B$11)*6.022E+23*0.000000001*Constants!$B$19/(365.2425*24*60)</f>
        <v>2.3032050786797069E-4</v>
      </c>
      <c r="AA197" s="142">
        <f>Z197*Input!X197/100</f>
        <v>7.3177540723167565E-7</v>
      </c>
      <c r="AB197" s="143">
        <v>0</v>
      </c>
      <c r="AC197" s="143">
        <v>0.9</v>
      </c>
      <c r="AD197" s="142">
        <f>(((Input!G197*Constants!$B$25*0.000000001*Input!U197*(Constants!$B$10/Constants!$B$9))-((AB197*0.000000000000001)+(Input!G197*AC197*0.000000000000001)))/Input!F197)*1000000000000</f>
        <v>223.58964170816751</v>
      </c>
      <c r="AE197" s="142">
        <f>AD197*Input!V197/100</f>
        <v>0.57837331800889968</v>
      </c>
      <c r="AF197" s="142">
        <f>(AD197/Constants!$B$10)*602200000000*Constants!$B$16/(365.2425*24*60)</f>
        <v>10.205898657480013</v>
      </c>
      <c r="AG197" s="142">
        <f>AF197*Input!V197/100</f>
        <v>2.6400236722476333E-2</v>
      </c>
      <c r="AH197" s="138">
        <f t="shared" ref="AH197" si="1093">AF197/Z197</f>
        <v>44311.723484608061</v>
      </c>
      <c r="AI197" s="147">
        <f t="shared" ref="AI197" si="1094">AH197*SQRT((AG197/AF197)^2+(AA197/Z197)^2)</f>
        <v>181.54816778796857</v>
      </c>
      <c r="AJ197" s="144">
        <f t="shared" si="1075"/>
        <v>-0.44234242334373342</v>
      </c>
      <c r="AK197" s="147">
        <f t="shared" ref="AK197" si="1095">V197*1000</f>
        <v>0.66806283898552843</v>
      </c>
      <c r="AL197" s="147">
        <f t="shared" ref="AL197" si="1096">AF197/Q197</f>
        <v>0.99833847376633655</v>
      </c>
      <c r="AM197" s="147">
        <f t="shared" ref="AM197" si="1097">AL197*SQRT((R197/Q197)^2+(AG197/AF197)^2)</f>
        <v>2.5837943131725269E-3</v>
      </c>
      <c r="AN197" s="138">
        <f>AF197/Q197</f>
        <v>0.99833847376633655</v>
      </c>
      <c r="AO197" s="142">
        <f t="shared" ref="AO197" si="1098">AN197*SQRT((R197/Q197)^2+(AG197/AF197)^2)</f>
        <v>2.5837943131725269E-3</v>
      </c>
      <c r="AP197" s="138">
        <f t="shared" ref="AP197" si="1099">ThU_Alter_Kombi(AN197,U197)</f>
        <v>750.24239999999998</v>
      </c>
      <c r="AQ197" s="138" t="e">
        <f t="shared" si="1081"/>
        <v>#VALUE!</v>
      </c>
      <c r="AR197" s="138" t="e">
        <f>(AQ197/AP197)*100</f>
        <v>#VALUE!</v>
      </c>
      <c r="AS197" s="146">
        <f t="shared" si="1082"/>
        <v>2.2529894918511018E-5</v>
      </c>
      <c r="AT197" s="146">
        <f t="shared" si="1083"/>
        <v>7.1606522298023924E-8</v>
      </c>
      <c r="AU197" s="138">
        <v>0.75</v>
      </c>
      <c r="AV197" s="138">
        <f t="shared" ref="AV197" si="1100">AU197/2</f>
        <v>0.375</v>
      </c>
      <c r="AW197" s="138">
        <f t="shared" si="1085"/>
        <v>750.2405</v>
      </c>
      <c r="AX197" s="148">
        <f t="shared" si="1086"/>
        <v>327.95056103960002</v>
      </c>
      <c r="AY197" s="148">
        <f t="shared" si="1087"/>
        <v>290.9776178483587</v>
      </c>
      <c r="AZ197" s="149">
        <f t="shared" si="1088"/>
        <v>0.43712724258367819</v>
      </c>
      <c r="BA197" s="138" t="str">
        <f>Input!B197</f>
        <v>Hu1-13</v>
      </c>
      <c r="BB197" s="150">
        <f>Input!E197</f>
        <v>0</v>
      </c>
      <c r="BC197" s="138">
        <f>((U197-1)*EXP(Constants!$B$17*AW197*1000))*1000</f>
        <v>-3.6749984909444615</v>
      </c>
      <c r="BD197" s="144">
        <f>SQRT((EXP(Constants!$B$17*AW197*1000)*V197)^2+((U197-1)*Constants!$B$17*EXP(Constants!$B$17*AW197*1000)*AY197*1000)^2)*1000</f>
        <v>6.3176382452606443</v>
      </c>
      <c r="BE197" s="138">
        <f t="shared" si="1089"/>
        <v>750182.5</v>
      </c>
      <c r="BF197" s="151">
        <f t="shared" si="1090"/>
        <v>145488.80892417935</v>
      </c>
      <c r="BG197" s="160">
        <f t="shared" si="1091"/>
        <v>38.784578791515351</v>
      </c>
      <c r="BH197" s="138"/>
      <c r="BI197" s="18"/>
      <c r="BJ197" s="18"/>
      <c r="BK197" s="18"/>
      <c r="BL197" s="18"/>
      <c r="BM197" s="18"/>
      <c r="BN197" s="159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</row>
    <row r="198" spans="1:110" ht="15" customHeight="1" x14ac:dyDescent="0.2">
      <c r="A198" s="18">
        <f>Input!A198</f>
        <v>11001</v>
      </c>
      <c r="B198" s="18" t="str">
        <f>Input!B198</f>
        <v>MD13-3462G-654</v>
      </c>
      <c r="C198" s="18">
        <f>Input!O198</f>
        <v>1.9998391483254012</v>
      </c>
      <c r="D198" s="18">
        <f>C198*Input!P198/100</f>
        <v>2.3438749535596142E-3</v>
      </c>
      <c r="E198" s="152">
        <f>Input!M198</f>
        <v>2.448064932644022</v>
      </c>
      <c r="F198" s="153">
        <f>E198*Input!N198/100</f>
        <v>8.8644446296127035E-5</v>
      </c>
      <c r="G198" s="21">
        <f>E198*137.88</f>
        <v>337.53919291295773</v>
      </c>
      <c r="H198" s="153">
        <f>G198*Input!L198/100</f>
        <v>1.184017695820669E-2</v>
      </c>
      <c r="I198" s="18">
        <v>0.3</v>
      </c>
      <c r="J198" s="129">
        <f>(((C198*Constants!$B$24*0.000000001*Input!G198*(Constants!$B$4/Constants!$B$3))-(I198*0.000000000000001))/Input!F198)*1000000000000</f>
        <v>218.23830348527412</v>
      </c>
      <c r="K198" s="18">
        <f>J198*Input!P198/100</f>
        <v>0.25578221822230474</v>
      </c>
      <c r="L198" s="134">
        <f>(J198/Constants!$B$4)*602200000000*Constants!$B$17/(365.2425*24*60)</f>
        <v>3.0130220928411577</v>
      </c>
      <c r="M198" s="132">
        <f>L198*Input!P198/100</f>
        <v>3.5313575213515381E-3</v>
      </c>
      <c r="N198" s="18">
        <v>5.0000000000000001E-3</v>
      </c>
      <c r="O198" s="129">
        <f>(((G198*Constants!$B$23*0.000000001*Input!G198*(Constants!$B$7/Constants!$B$6))-(N198*0.000000001))/Input!F198)*1000000</f>
        <v>3.7105798349485002</v>
      </c>
      <c r="P198" s="18">
        <f>O198*Input!N198/100</f>
        <v>1.3436011868824617E-4</v>
      </c>
      <c r="Q198" s="130">
        <f>(O198/Constants!$B$7)*602200000000000000*Constants!$B$18/(365.2425*24*60)</f>
        <v>2.7685406408021356</v>
      </c>
      <c r="R198" s="131">
        <f>Q198*Input!N198/100</f>
        <v>1.0024887366331813E-4</v>
      </c>
      <c r="S198" s="132">
        <f>Input!S198*Constants!$B$17/Constants!$B$18</f>
        <v>1.0848171168981375</v>
      </c>
      <c r="T198" s="18">
        <f>S198*Input!T198/100</f>
        <v>4.3763340891900829E-4</v>
      </c>
      <c r="U198" s="18">
        <f>S198*1/((U197+U199)/2)</f>
        <v>1.0847676287499768</v>
      </c>
      <c r="V198" s="18">
        <f>U198*Input!T198/100</f>
        <v>4.3761344457050812E-4</v>
      </c>
      <c r="W198" s="133">
        <v>3.0000000000000001E-3</v>
      </c>
      <c r="X198" s="129">
        <f>IF((((Constants!$B$25*0.000000001*Input!G198/Input!W198*(Constants!$B$11/Constants!$B$9))-(W198*0.000000001))/Input!F198)*1000000000&lt;0, "n.d.", (((Constants!$B$25*0.000000001*Input!G198/Input!W198*(Constants!$B$11/Constants!$B$9))-(W198*0.000000001))/Input!F198)*1000000000)</f>
        <v>0.33391392165006556</v>
      </c>
      <c r="Y198" s="129">
        <f>X198*Input!X198/100</f>
        <v>6.2800169474855252E-4</v>
      </c>
      <c r="Z198" s="129">
        <f>(X198/Constants!$B$11)*6.022E+23*0.000000001*Constants!$B$19/(365.2425*24*60)</f>
        <v>8.1519183288054442E-5</v>
      </c>
      <c r="AA198" s="129">
        <f>Z198*Input!X198/100</f>
        <v>1.5331551618583441E-7</v>
      </c>
      <c r="AB198" s="134">
        <v>0.05</v>
      </c>
      <c r="AC198" s="134">
        <v>0.9</v>
      </c>
      <c r="AD198" s="129">
        <f>(((Input!G198*Constants!$B$25*0.000000001*Input!U198*(Constants!$B$10/Constants!$B$9))-((AB198*0.000000000000001)+(Input!G198*AC198*0.000000000000001)))/Input!F198)*1000000000000</f>
        <v>54.745548437506251</v>
      </c>
      <c r="AE198" s="129">
        <f>AD198*Input!V198/100</f>
        <v>9.2460283985855957E-2</v>
      </c>
      <c r="AF198" s="129">
        <f>(AD198/Constants!$B$10)*602200000000*Constants!$B$16/(365.2425*24*60)</f>
        <v>2.4988971538789415</v>
      </c>
      <c r="AG198" s="129">
        <f>AF198*Input!V198/100</f>
        <v>4.2204114689405924E-3</v>
      </c>
      <c r="AH198" s="18">
        <f>AF198/Z198</f>
        <v>30654.099478019696</v>
      </c>
      <c r="AI198" s="133">
        <f>AH198*SQRT((AG198/AF198)^2+(AA198/Z198)^2)</f>
        <v>77.486132563992797</v>
      </c>
      <c r="AJ198" s="132">
        <f t="shared" si="1075"/>
        <v>84.76762874997678</v>
      </c>
      <c r="AK198" s="133">
        <f>V198*1000</f>
        <v>0.4376134445705081</v>
      </c>
      <c r="AL198" s="133">
        <f>AF198/Q198</f>
        <v>0.90260446859646981</v>
      </c>
      <c r="AM198" s="133">
        <f>AL198*SQRT((R198/Q198)^2+(AG198/AF198)^2)</f>
        <v>1.5247677023630547E-3</v>
      </c>
      <c r="AN198" s="18">
        <f>AL198*1/((AN197+AN199)/2)</f>
        <v>0.90416103730945019</v>
      </c>
      <c r="AO198" s="129">
        <f>AN198*SQRT((R198/Q198)^2+(AG198/AF198)^2)</f>
        <v>1.5273972103952405E-3</v>
      </c>
      <c r="AP198" s="18">
        <f>ThU_Alter_Kombi(AN198,U198)</f>
        <v>186.5001</v>
      </c>
      <c r="AQ198" s="18">
        <f t="shared" si="1081"/>
        <v>0.86899999999999999</v>
      </c>
      <c r="AR198" s="154">
        <f>(AQ198/AP198)</f>
        <v>4.6595149278740328E-3</v>
      </c>
      <c r="AS198" s="131">
        <f t="shared" si="1082"/>
        <v>2.9444820887453435E-5</v>
      </c>
      <c r="AT198" s="131">
        <f t="shared" si="1083"/>
        <v>5.5388000142861708E-8</v>
      </c>
      <c r="AU198" s="18">
        <v>8</v>
      </c>
      <c r="AV198" s="18">
        <f>AU198/2</f>
        <v>4</v>
      </c>
      <c r="AW198" s="18">
        <f t="shared" si="1085"/>
        <v>186.4776</v>
      </c>
      <c r="AX198" s="135">
        <f t="shared" si="1086"/>
        <v>0.83368724660000004</v>
      </c>
      <c r="AY198" s="135">
        <f t="shared" si="1087"/>
        <v>0.83729441724427134</v>
      </c>
      <c r="AZ198" s="154">
        <f t="shared" si="1088"/>
        <v>4.470709868638378E-3</v>
      </c>
      <c r="BA198" s="18" t="str">
        <f>Input!B198</f>
        <v>MD13-3462G-654</v>
      </c>
      <c r="BB198" s="136">
        <f>Input!E198</f>
        <v>654</v>
      </c>
      <c r="BC198" s="18">
        <f>((U198-1)*EXP(Constants!$B$17*AW198*1000))*1000</f>
        <v>143.47556031983325</v>
      </c>
      <c r="BD198" s="132">
        <f>SQRT((EXP(Constants!$B$17*AW198*1000)*V198)^2+((U198-1)*Constants!$B$17*EXP(Constants!$B$17*AW198*1000)*AY198*1000)^2)*1000</f>
        <v>0.81459186315102727</v>
      </c>
      <c r="BE198" s="18">
        <f t="shared" si="1089"/>
        <v>186419.6</v>
      </c>
      <c r="BF198" s="137">
        <f t="shared" si="1090"/>
        <v>418.64720862213568</v>
      </c>
      <c r="BG198" s="20">
        <f t="shared" si="1091"/>
        <v>0.44900535895156912</v>
      </c>
      <c r="BH198" s="18"/>
      <c r="BI198" s="18"/>
      <c r="BJ198" s="18"/>
      <c r="BK198" s="18"/>
      <c r="BL198" s="18"/>
      <c r="BM198" s="18"/>
      <c r="BN198" s="159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  <c r="CY198" s="18"/>
      <c r="CZ198" s="18"/>
      <c r="DA198" s="18"/>
      <c r="DB198" s="18"/>
      <c r="DC198" s="18"/>
      <c r="DD198" s="18"/>
      <c r="DE198" s="18"/>
      <c r="DF198" s="18"/>
    </row>
    <row r="199" spans="1:110" ht="15" customHeight="1" x14ac:dyDescent="0.2">
      <c r="A199" s="138">
        <f>Input!A199</f>
        <v>10815</v>
      </c>
      <c r="B199" s="138" t="str">
        <f>Input!B199</f>
        <v>Hu1-13</v>
      </c>
      <c r="C199" s="138">
        <f>Input!O199</f>
        <v>2.0730564329397176</v>
      </c>
      <c r="D199" s="138">
        <f>C199*Input!P199/100</f>
        <v>1.0390790391602973E-2</v>
      </c>
      <c r="E199" s="139">
        <f>Input!M199</f>
        <v>2.731793032821042</v>
      </c>
      <c r="F199" s="140">
        <f>E199*Input!N199/100</f>
        <v>2.5453062594310284E-4</v>
      </c>
      <c r="G199" s="141">
        <f t="shared" ref="G199" si="1101">E199*137.88</f>
        <v>376.65962336536523</v>
      </c>
      <c r="H199" s="140">
        <f>G199*Input!L199/100</f>
        <v>1.7315900739486294E-2</v>
      </c>
      <c r="I199" s="138">
        <v>0</v>
      </c>
      <c r="J199" s="142">
        <f>(((C199*Constants!$B$24*0.000000001*Input!G199*(Constants!$B$4/Constants!$B$3))-(I199*0.000000000000001))/Input!F199)*1000000000000</f>
        <v>748.45120040491804</v>
      </c>
      <c r="K199" s="138">
        <f>J199*Input!P199/100</f>
        <v>3.7514654295845116</v>
      </c>
      <c r="L199" s="143">
        <f>(J199/Constants!$B$4)*602200000000*Constants!$B$17/(365.2425*24*60)</f>
        <v>10.333199838064488</v>
      </c>
      <c r="M199" s="144">
        <f>L199*Input!P199/100</f>
        <v>5.1793145563151233E-2</v>
      </c>
      <c r="N199" s="138">
        <v>0</v>
      </c>
      <c r="O199" s="142">
        <f>(((G199*Constants!$B$23*0.000000001*Input!G199*(Constants!$B$7/Constants!$B$6))-(N199*0.000000001))/Input!F199)*1000000</f>
        <v>13.698812867387273</v>
      </c>
      <c r="P199" s="138">
        <f>O199*Input!N199/100</f>
        <v>1.2763658783523702E-3</v>
      </c>
      <c r="Q199" s="145">
        <f>(O199/Constants!$B$7)*602200000000000000*Constants!$B$18/(365.2425*24*60)</f>
        <v>10.220968646705126</v>
      </c>
      <c r="R199" s="146">
        <f>Q199*Input!N199/100</f>
        <v>9.5232307723698269E-4</v>
      </c>
      <c r="S199" s="144">
        <f>Input!S199*Constants!$B$17/Constants!$B$18</f>
        <v>1.0005335843572825</v>
      </c>
      <c r="T199" s="138">
        <f>S199*Input!T199/100</f>
        <v>8.9537560743203914E-4</v>
      </c>
      <c r="U199" s="144">
        <f>S199</f>
        <v>1.0005335843572825</v>
      </c>
      <c r="V199" s="138">
        <f>U199*Input!T199/100</f>
        <v>8.9537560743203914E-4</v>
      </c>
      <c r="W199" s="147">
        <v>0</v>
      </c>
      <c r="X199" s="142">
        <f>(((Constants!$B$25*0.000000001*Input!G199/Input!W199*(Constants!$B$11/Constants!$B$9))-(W199*0.000000001))/Input!F199)*1000000000</f>
        <v>0.94910325201196444</v>
      </c>
      <c r="Y199" s="142">
        <f>X199*Input!X199/100</f>
        <v>4.1837618256548754E-3</v>
      </c>
      <c r="Z199" s="142">
        <f>(X199/Constants!$B$11)*6.022E+23*0.000000001*Constants!$B$19/(365.2425*24*60)</f>
        <v>2.3170678711962795E-4</v>
      </c>
      <c r="AA199" s="142">
        <f>Z199*Input!X199/100</f>
        <v>1.0213915173520232E-6</v>
      </c>
      <c r="AB199" s="143">
        <v>0</v>
      </c>
      <c r="AC199" s="143">
        <v>0.9</v>
      </c>
      <c r="AD199" s="142">
        <f>(((Input!G199*Constants!$B$25*0.000000001*Input!U199*(Constants!$B$10/Constants!$B$9))-((AB199*0.000000000000001)+(Input!G199*AC199*0.000000000000001)))/Input!F199)*1000000000000</f>
        <v>223.52085855989202</v>
      </c>
      <c r="AE199" s="142">
        <f>AD199*Input!V199/100</f>
        <v>0.52887701253545938</v>
      </c>
      <c r="AF199" s="142">
        <f>(AD199/Constants!$B$10)*602200000000*Constants!$B$16/(365.2425*24*60)</f>
        <v>10.202759004697892</v>
      </c>
      <c r="AG199" s="142">
        <f>AF199*Input!V199/100</f>
        <v>2.4140944772624108E-2</v>
      </c>
      <c r="AH199" s="138">
        <f t="shared" ref="AH199" si="1102">AF199/Z199</f>
        <v>44033.060626015707</v>
      </c>
      <c r="AI199" s="147">
        <f t="shared" ref="AI199" si="1103">AH199*SQRT((AG199/AF199)^2+(AA199/Z199)^2)</f>
        <v>220.29758181392805</v>
      </c>
      <c r="AJ199" s="144">
        <f t="shared" si="1075"/>
        <v>0.53358435728245723</v>
      </c>
      <c r="AK199" s="147">
        <f t="shared" ref="AK199" si="1104">V199*1000</f>
        <v>0.89537560743203914</v>
      </c>
      <c r="AL199" s="147">
        <f t="shared" ref="AL199" si="1105">AF199/Q199</f>
        <v>0.99821840349612034</v>
      </c>
      <c r="AM199" s="147">
        <f t="shared" ref="AM199" si="1106">AL199*SQRT((R199/Q199)^2+(AG199/AF199)^2)</f>
        <v>2.3637343314285991E-3</v>
      </c>
      <c r="AN199" s="138">
        <f>AF199/Q199</f>
        <v>0.99821840349612034</v>
      </c>
      <c r="AO199" s="142">
        <f t="shared" ref="AO199" si="1107">AN199*SQRT((R199/Q199)^2+(AG199/AF199)^2)</f>
        <v>2.3637343314285991E-3</v>
      </c>
      <c r="AP199" s="138">
        <f t="shared" ref="AP199" si="1108">ThU_Alter_Kombi(AN199,U199)</f>
        <v>651.60839999999996</v>
      </c>
      <c r="AQ199" s="138" t="e">
        <f t="shared" si="1081"/>
        <v>#VALUE!</v>
      </c>
      <c r="AR199" s="138" t="e">
        <f>(AQ199/AP199)*100</f>
        <v>#VALUE!</v>
      </c>
      <c r="AS199" s="146">
        <f t="shared" si="1082"/>
        <v>2.26697483505462E-5</v>
      </c>
      <c r="AT199" s="146">
        <f t="shared" si="1083"/>
        <v>9.9953310427462451E-8</v>
      </c>
      <c r="AU199" s="138">
        <v>0.75</v>
      </c>
      <c r="AV199" s="138">
        <f t="shared" ref="AV199" si="1109">AU199/2</f>
        <v>0.375</v>
      </c>
      <c r="AW199" s="138">
        <f t="shared" si="1085"/>
        <v>651.60659999999996</v>
      </c>
      <c r="AX199" s="148">
        <f t="shared" si="1086"/>
        <v>277.77834172180002</v>
      </c>
      <c r="AY199" s="148">
        <f t="shared" si="1087"/>
        <v>114.0985048694683</v>
      </c>
      <c r="AZ199" s="149">
        <f t="shared" si="1088"/>
        <v>0.42629761841239794</v>
      </c>
      <c r="BA199" s="138" t="str">
        <f>Input!B199</f>
        <v>Hu1-13</v>
      </c>
      <c r="BB199" s="150">
        <f>Input!E199</f>
        <v>0</v>
      </c>
      <c r="BC199" s="138">
        <f>((U199-1)*EXP(Constants!$B$17*AW199*1000))*1000</f>
        <v>3.3559497702611982</v>
      </c>
      <c r="BD199" s="144">
        <f>SQRT((EXP(Constants!$B$17*AW199*1000)*V199)^2+((U199-1)*Constants!$B$17*EXP(Constants!$B$17*AW199*1000)*AY199*1000)^2)*1000</f>
        <v>5.7341543690860881</v>
      </c>
      <c r="BE199" s="138">
        <f t="shared" si="1089"/>
        <v>651548.6</v>
      </c>
      <c r="BF199" s="151">
        <f t="shared" si="1090"/>
        <v>57049.252434734153</v>
      </c>
      <c r="BG199" s="160">
        <f t="shared" si="1091"/>
        <v>17.510335971039627</v>
      </c>
      <c r="BH199" s="138"/>
      <c r="BI199" s="18"/>
      <c r="BJ199" s="18"/>
      <c r="BK199" s="18"/>
      <c r="BL199" s="18"/>
      <c r="BM199" s="18"/>
      <c r="BN199" s="159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</row>
    <row r="200" spans="1:110" ht="15" customHeight="1" x14ac:dyDescent="0.2">
      <c r="A200" s="18">
        <f>Input!A200</f>
        <v>11002</v>
      </c>
      <c r="B200" s="18" t="str">
        <f>Input!B200</f>
        <v>MD13-3462G-697</v>
      </c>
      <c r="C200" s="18">
        <f>Input!O200</f>
        <v>2.4501832409602429</v>
      </c>
      <c r="D200" s="18">
        <f>C200*Input!P200/100</f>
        <v>3.3695063090531719E-3</v>
      </c>
      <c r="E200" s="152">
        <f>Input!M200</f>
        <v>2.9850947313624827</v>
      </c>
      <c r="F200" s="153">
        <f>E200*Input!N200/100</f>
        <v>1.1922162949222113E-4</v>
      </c>
      <c r="G200" s="21">
        <f>E200*137.88</f>
        <v>411.58486156025913</v>
      </c>
      <c r="H200" s="153">
        <f>G200*Input!L200/100</f>
        <v>9.9013906228023404E-3</v>
      </c>
      <c r="I200" s="18">
        <v>0.3</v>
      </c>
      <c r="J200" s="129">
        <f>(((C200*Constants!$B$24*0.000000001*Input!G200*(Constants!$B$4/Constants!$B$3))-(I200*0.000000000000001))/Input!F200)*1000000000000</f>
        <v>257.08573707134224</v>
      </c>
      <c r="K200" s="18">
        <f>J200*Input!P200/100</f>
        <v>0.35354580773721345</v>
      </c>
      <c r="L200" s="134">
        <f>(J200/Constants!$B$4)*602200000000*Constants!$B$17/(365.2425*24*60)</f>
        <v>3.5493540463788231</v>
      </c>
      <c r="M200" s="132">
        <f>L200*Input!P200/100</f>
        <v>4.881092422969073E-3</v>
      </c>
      <c r="N200" s="18">
        <v>5.0000000000000001E-3</v>
      </c>
      <c r="O200" s="129">
        <f>(((G200*Constants!$B$23*0.000000001*Input!G200*(Constants!$B$7/Constants!$B$6))-(N200*0.000000001))/Input!F200)*1000000</f>
        <v>4.3503120878514601</v>
      </c>
      <c r="P200" s="18">
        <f>O200*Input!N200/100</f>
        <v>1.7374701394371839E-4</v>
      </c>
      <c r="Q200" s="130">
        <f>(O200/Constants!$B$7)*602200000000000000*Constants!$B$18/(365.2425*24*60)</f>
        <v>3.245858154553551</v>
      </c>
      <c r="R200" s="131">
        <f>Q200*Input!N200/100</f>
        <v>1.2963625382497019E-4</v>
      </c>
      <c r="S200" s="132">
        <f>Input!S200*Constants!$B$17/Constants!$B$18</f>
        <v>1.0883927417909536</v>
      </c>
      <c r="T200" s="18">
        <f>S200*Input!T200/100</f>
        <v>3.7640752924432912E-4</v>
      </c>
      <c r="U200" s="18">
        <f>S200*1/((U199+U201)/2)</f>
        <v>1.0875779845157691</v>
      </c>
      <c r="V200" s="18">
        <f>U200*Input!T200/100</f>
        <v>3.7612575524758105E-4</v>
      </c>
      <c r="W200" s="133">
        <v>3.0000000000000001E-3</v>
      </c>
      <c r="X200" s="129">
        <f>IF((((Constants!$B$25*0.000000001*Input!G200/Input!W200*(Constants!$B$11/Constants!$B$9))-(W200*0.000000001))/Input!F200)*1000000000&lt;0, "n.d.", (((Constants!$B$25*0.000000001*Input!G200/Input!W200*(Constants!$B$11/Constants!$B$9))-(W200*0.000000001))/Input!F200)*1000000000)</f>
        <v>1.9140889836861654</v>
      </c>
      <c r="Y200" s="129">
        <f>X200*Input!X200/100</f>
        <v>2.6512120662342165E-3</v>
      </c>
      <c r="Z200" s="129">
        <f>(X200/Constants!$B$11)*6.022E+23*0.000000001*Constants!$B$19/(365.2425*24*60)</f>
        <v>4.6729100098521679E-4</v>
      </c>
      <c r="AA200" s="129">
        <f>Z200*Input!X200/100</f>
        <v>6.4724657568887632E-7</v>
      </c>
      <c r="AB200" s="134">
        <v>0.05</v>
      </c>
      <c r="AC200" s="134">
        <v>0.9</v>
      </c>
      <c r="AD200" s="129">
        <f>(((Input!G200*Constants!$B$25*0.000000001*Input!U200*(Constants!$B$10/Constants!$B$9))-((AB200*0.000000000000001)+(Input!G200*AC200*0.000000000000001)))/Input!F200)*1000000000000</f>
        <v>60.371062771392047</v>
      </c>
      <c r="AE200" s="129">
        <f>AD200*Input!V200/100</f>
        <v>8.3778015895642322E-2</v>
      </c>
      <c r="AF200" s="129">
        <f>(AD200/Constants!$B$10)*602200000000*Constants!$B$16/(365.2425*24*60)</f>
        <v>2.7556775161050977</v>
      </c>
      <c r="AG200" s="129">
        <f>AF200*Input!V200/100</f>
        <v>3.8241035381758551E-3</v>
      </c>
      <c r="AH200" s="18">
        <f>AF200/Z200</f>
        <v>5897.1337138852286</v>
      </c>
      <c r="AI200" s="133">
        <f>AH200*SQRT((AG200/AF200)^2+(AA200/Z200)^2)</f>
        <v>11.562404424376131</v>
      </c>
      <c r="AJ200" s="132">
        <f t="shared" si="1075"/>
        <v>87.577984515769145</v>
      </c>
      <c r="AK200" s="133">
        <f>V200*1000</f>
        <v>0.37612575524758107</v>
      </c>
      <c r="AL200" s="133">
        <f>AF200/Q200</f>
        <v>0.84898272964861743</v>
      </c>
      <c r="AM200" s="133">
        <f>AL200*SQRT((R200/Q200)^2+(AG200/AF200)^2)</f>
        <v>1.1786365251342196E-3</v>
      </c>
      <c r="AN200" s="18">
        <f>AL200*1/((AN199+AN201)/2)</f>
        <v>0.8495639120938302</v>
      </c>
      <c r="AO200" s="129">
        <f>AN200*SQRT((R200/Q200)^2+(AG200/AF200)^2)</f>
        <v>1.1794433764796858E-3</v>
      </c>
      <c r="AP200" s="18">
        <f>ThU_Alter_Kombi(AN200,U200)</f>
        <v>159.75890000000001</v>
      </c>
      <c r="AQ200" s="18">
        <f t="shared" si="1081"/>
        <v>0.51900000000000002</v>
      </c>
      <c r="AR200" s="154">
        <f>(AQ200/AP200)</f>
        <v>3.2486453023900389E-3</v>
      </c>
      <c r="AS200" s="131">
        <f t="shared" si="1082"/>
        <v>1.4396531787122716E-4</v>
      </c>
      <c r="AT200" s="131">
        <f t="shared" si="1083"/>
        <v>1.9948979937660819E-7</v>
      </c>
      <c r="AU200" s="18">
        <v>8</v>
      </c>
      <c r="AV200" s="18">
        <f>AU200/2</f>
        <v>4</v>
      </c>
      <c r="AW200" s="18">
        <f t="shared" si="1085"/>
        <v>159.64840000000001</v>
      </c>
      <c r="AX200" s="135">
        <f t="shared" si="1086"/>
        <v>0.48288087229999999</v>
      </c>
      <c r="AY200" s="135">
        <f t="shared" si="1087"/>
        <v>0.51264679802755231</v>
      </c>
      <c r="AZ200" s="154">
        <f t="shared" si="1088"/>
        <v>3.0246521249195106E-3</v>
      </c>
      <c r="BA200" s="18" t="str">
        <f>Input!B200</f>
        <v>MD13-3462G-697</v>
      </c>
      <c r="BB200" s="136">
        <f>Input!E200</f>
        <v>697</v>
      </c>
      <c r="BC200" s="18">
        <f>((U200-1)*EXP(Constants!$B$17*AW200*1000))*1000</f>
        <v>137.42344683152933</v>
      </c>
      <c r="BD200" s="132">
        <f>SQRT((EXP(Constants!$B$17*AW200*1000)*V200)^2+((U200-1)*Constants!$B$17*EXP(Constants!$B$17*AW200*1000)*AY200*1000)^2)*1000</f>
        <v>0.62278596801419595</v>
      </c>
      <c r="BE200" s="18">
        <f t="shared" si="1089"/>
        <v>159590.40000000002</v>
      </c>
      <c r="BF200" s="137">
        <f t="shared" si="1090"/>
        <v>256.32339901377617</v>
      </c>
      <c r="BG200" s="20">
        <f t="shared" si="1091"/>
        <v>0.321109887745541</v>
      </c>
      <c r="BH200" s="18"/>
      <c r="BI200" s="18"/>
      <c r="BJ200" s="18"/>
      <c r="BK200" s="18"/>
      <c r="BL200" s="18"/>
      <c r="BM200" s="18"/>
      <c r="BN200" s="159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</row>
    <row r="201" spans="1:110" ht="15" customHeight="1" x14ac:dyDescent="0.2">
      <c r="A201" s="138">
        <f>Input!A201</f>
        <v>10815</v>
      </c>
      <c r="B201" s="138" t="str">
        <f>Input!B201</f>
        <v>Hu1-13</v>
      </c>
      <c r="C201" s="138">
        <f>Input!O201</f>
        <v>2.0997742606232017</v>
      </c>
      <c r="D201" s="138">
        <f>C201*Input!P201/100</f>
        <v>1.0940098364369939E-2</v>
      </c>
      <c r="E201" s="139">
        <f>Input!M201</f>
        <v>2.7318922500062777</v>
      </c>
      <c r="F201" s="140">
        <f>E201*Input!N201/100</f>
        <v>2.4309893372763592E-4</v>
      </c>
      <c r="G201" s="141">
        <f t="shared" ref="G201" si="1110">E201*137.88</f>
        <v>376.67330343086553</v>
      </c>
      <c r="H201" s="140">
        <f>G201*Input!L201/100</f>
        <v>1.816371163885392E-2</v>
      </c>
      <c r="I201" s="138">
        <v>0</v>
      </c>
      <c r="J201" s="142">
        <f>(((C201*Constants!$B$24*0.000000001*Input!G201*(Constants!$B$4/Constants!$B$3))-(I201*0.000000000000001))/Input!F201)*1000000000000</f>
        <v>758.09733925776061</v>
      </c>
      <c r="K201" s="138">
        <f>J201*Input!P201/100</f>
        <v>3.9497862302519677</v>
      </c>
      <c r="L201" s="143">
        <f>(J201/Constants!$B$4)*602200000000*Constants!$B$17/(365.2425*24*60)</f>
        <v>10.466375495179093</v>
      </c>
      <c r="M201" s="144">
        <f>L201*Input!P201/100</f>
        <v>5.453118441489347E-2</v>
      </c>
      <c r="N201" s="138">
        <v>0</v>
      </c>
      <c r="O201" s="142">
        <f>(((G201*Constants!$B$23*0.000000001*Input!G201*(Constants!$B$7/Constants!$B$6))-(N201*0.000000001))/Input!F201)*1000000</f>
        <v>13.699310400559607</v>
      </c>
      <c r="P201" s="138">
        <f>O201*Input!N201/100</f>
        <v>1.2190406672050484E-3</v>
      </c>
      <c r="Q201" s="145">
        <f>(O201/Constants!$B$7)*602200000000000000*Constants!$B$18/(365.2425*24*60)</f>
        <v>10.221339866533029</v>
      </c>
      <c r="R201" s="146">
        <f>Q201*Input!N201/100</f>
        <v>9.0955154721649291E-4</v>
      </c>
      <c r="S201" s="144">
        <f>Input!S201*Constants!$B$17/Constants!$B$18</f>
        <v>1.0009647123842558</v>
      </c>
      <c r="T201" s="138">
        <f>S201*Input!T201/100</f>
        <v>1.1112799347895766E-3</v>
      </c>
      <c r="U201" s="144">
        <f>S201</f>
        <v>1.0009647123842558</v>
      </c>
      <c r="V201" s="138">
        <f>U201*Input!T201/100</f>
        <v>1.1112799347895766E-3</v>
      </c>
      <c r="W201" s="147">
        <v>0</v>
      </c>
      <c r="X201" s="142">
        <f>(((Constants!$B$25*0.000000001*Input!G201/Input!W201*(Constants!$B$11/Constants!$B$9))-(W201*0.000000001))/Input!F201)*1000000000</f>
        <v>0.94885645668163232</v>
      </c>
      <c r="Y201" s="142">
        <f>X201*Input!X201/100</f>
        <v>4.3111488416904655E-3</v>
      </c>
      <c r="Z201" s="142">
        <f>(X201/Constants!$B$11)*6.022E+23*0.000000001*Constants!$B$19/(365.2425*24*60)</f>
        <v>2.3164653640091407E-4</v>
      </c>
      <c r="AA201" s="142">
        <f>Z201*Input!X201/100</f>
        <v>1.0524908062268559E-6</v>
      </c>
      <c r="AB201" s="143">
        <v>0</v>
      </c>
      <c r="AC201" s="143">
        <v>0.9</v>
      </c>
      <c r="AD201" s="142">
        <f>(((Input!G201*Constants!$B$25*0.000000001*Input!U201*(Constants!$B$10/Constants!$B$9))-((AB201*0.000000000000001)+(Input!G201*AC201*0.000000000000001)))/Input!F201)*1000000000000</f>
        <v>224.02049917162648</v>
      </c>
      <c r="AE201" s="142">
        <f>AD201*Input!V201/100</f>
        <v>0.64544276782040111</v>
      </c>
      <c r="AF201" s="142">
        <f>(AD201/Constants!$B$10)*602200000000*Constants!$B$16/(365.2425*24*60)</f>
        <v>10.225565434412465</v>
      </c>
      <c r="AG201" s="142">
        <f>AF201*Input!V201/100</f>
        <v>2.9461666592660349E-2</v>
      </c>
      <c r="AH201" s="138">
        <f t="shared" ref="AH201" si="1111">AF201/Z201</f>
        <v>44142.967096710345</v>
      </c>
      <c r="AI201" s="147">
        <f t="shared" ref="AI201" si="1112">AH201*SQRT((AG201/AF201)^2+(AA201/Z201)^2)</f>
        <v>237.49064681795159</v>
      </c>
      <c r="AJ201" s="144">
        <f t="shared" si="1075"/>
        <v>0.96471238425577255</v>
      </c>
      <c r="AK201" s="147">
        <f t="shared" ref="AK201" si="1113">V201*1000</f>
        <v>1.1112799347895765</v>
      </c>
      <c r="AL201" s="147">
        <f t="shared" ref="AL201" si="1114">AF201/Q201</f>
        <v>1.0004134064549866</v>
      </c>
      <c r="AM201" s="147">
        <f t="shared" ref="AM201" si="1115">AL201*SQRT((R201/Q201)^2+(AG201/AF201)^2)</f>
        <v>2.8837427623172331E-3</v>
      </c>
      <c r="AN201" s="138">
        <f>AF201/Q201</f>
        <v>1.0004134064549866</v>
      </c>
      <c r="AO201" s="142">
        <f t="shared" ref="AO201" si="1116">AN201*SQRT((R201/Q201)^2+(AG201/AF201)^2)</f>
        <v>2.8837427623172331E-3</v>
      </c>
      <c r="AP201" s="138">
        <f t="shared" ref="AP201" si="1117">ThU_Alter_Kombi(AN201,U201)</f>
        <v>756.71669999999995</v>
      </c>
      <c r="AQ201" s="138" t="e">
        <f t="shared" si="1081"/>
        <v>#VALUE!</v>
      </c>
      <c r="AR201" s="138" t="e">
        <f>(AQ201/AP201)*100</f>
        <v>#VALUE!</v>
      </c>
      <c r="AS201" s="146">
        <f t="shared" si="1082"/>
        <v>2.2663030427094695E-5</v>
      </c>
      <c r="AT201" s="146">
        <f t="shared" si="1083"/>
        <v>1.0298969185168802E-7</v>
      </c>
      <c r="AU201" s="138">
        <v>0.75</v>
      </c>
      <c r="AV201" s="138">
        <f t="shared" ref="AV201" si="1118">AU201/2</f>
        <v>0.375</v>
      </c>
      <c r="AW201" s="138">
        <f t="shared" si="1085"/>
        <v>756.71489999999994</v>
      </c>
      <c r="AX201" s="148">
        <f t="shared" si="1086"/>
        <v>335.68435502929998</v>
      </c>
      <c r="AY201" s="148">
        <f t="shared" si="1087"/>
        <v>364.8297430304932</v>
      </c>
      <c r="AZ201" s="149">
        <f t="shared" si="1088"/>
        <v>0.44360743396132413</v>
      </c>
      <c r="BA201" s="138" t="str">
        <f>Input!B201</f>
        <v>Hu1-13</v>
      </c>
      <c r="BB201" s="150">
        <f>Input!E201</f>
        <v>0</v>
      </c>
      <c r="BC201" s="138">
        <f>((U201-1)*EXP(Constants!$B$17*AW201*1000))*1000</f>
        <v>8.1626557960225554</v>
      </c>
      <c r="BD201" s="144">
        <f>SQRT((EXP(Constants!$B$17*AW201*1000)*V201)^2+((U201-1)*Constants!$B$17*EXP(Constants!$B$17*AW201*1000)*AY201*1000)^2)*1000</f>
        <v>12.61112402863777</v>
      </c>
      <c r="BE201" s="138">
        <f t="shared" si="1089"/>
        <v>756656.89999999991</v>
      </c>
      <c r="BF201" s="151">
        <f t="shared" si="1090"/>
        <v>182414.8715152466</v>
      </c>
      <c r="BG201" s="160">
        <f t="shared" si="1091"/>
        <v>48.212311272117574</v>
      </c>
      <c r="BH201" s="138"/>
      <c r="BI201" s="18"/>
      <c r="BJ201" s="18"/>
      <c r="BK201" s="18"/>
      <c r="BL201" s="18"/>
      <c r="BM201" s="18"/>
      <c r="BN201" s="159"/>
      <c r="BO201" s="18"/>
      <c r="BP201" s="18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</row>
    <row r="202" spans="1:110" ht="15" customHeight="1" x14ac:dyDescent="0.2">
      <c r="A202" s="18">
        <f>Input!A202</f>
        <v>11003</v>
      </c>
      <c r="B202" s="18" t="str">
        <f>Input!B202</f>
        <v>MD13-3462G-801</v>
      </c>
      <c r="C202" s="18">
        <f>Input!O202</f>
        <v>1.0580562869331112</v>
      </c>
      <c r="D202" s="18">
        <f>C202*Input!P202/100</f>
        <v>1.7487742892561614E-3</v>
      </c>
      <c r="E202" s="152">
        <f>Input!M202</f>
        <v>1.2933759419046655</v>
      </c>
      <c r="F202" s="153">
        <f>E202*Input!N202/100</f>
        <v>4.6607016922701829E-5</v>
      </c>
      <c r="G202" s="21">
        <f>E202*137.88</f>
        <v>178.33067486981528</v>
      </c>
      <c r="H202" s="153">
        <f>G202*Input!L202/100</f>
        <v>5.4375391932518754E-3</v>
      </c>
      <c r="I202" s="18">
        <v>0.3</v>
      </c>
      <c r="J202" s="129">
        <f>(((C202*Constants!$B$24*0.000000001*Input!G202*(Constants!$B$4/Constants!$B$3))-(I202*0.000000000000001))/Input!F202)*1000000000000</f>
        <v>167.53226184106614</v>
      </c>
      <c r="K202" s="18">
        <f>J202*Input!P202/100</f>
        <v>0.27690030837377289</v>
      </c>
      <c r="L202" s="134">
        <f>(J202/Constants!$B$4)*602200000000*Constants!$B$17/(365.2425*24*60)</f>
        <v>2.3129688882723669</v>
      </c>
      <c r="M202" s="132">
        <f>L202*Input!P202/100</f>
        <v>3.8229162036214361E-3</v>
      </c>
      <c r="N202" s="18">
        <v>5.0000000000000001E-3</v>
      </c>
      <c r="O202" s="129">
        <f>(((G202*Constants!$B$23*0.000000001*Input!G202*(Constants!$B$7/Constants!$B$6))-(N202*0.000000001))/Input!F202)*1000000</f>
        <v>2.8444448085728364</v>
      </c>
      <c r="P202" s="18">
        <f>O202*Input!N202/100</f>
        <v>1.0250004119731596E-4</v>
      </c>
      <c r="Q202" s="130">
        <f>(O202/Constants!$B$7)*602200000000000000*Constants!$B$18/(365.2425*24*60)</f>
        <v>2.122299317988356</v>
      </c>
      <c r="R202" s="131">
        <f>Q202*Input!N202/100</f>
        <v>7.6477408480985019E-5</v>
      </c>
      <c r="S202" s="132">
        <f>Input!S202*Constants!$B$17/Constants!$B$18</f>
        <v>1.0860215518626801</v>
      </c>
      <c r="T202" s="18">
        <f>S202*Input!T202/100</f>
        <v>5.4638015657478608E-4</v>
      </c>
      <c r="U202" s="18">
        <f>S202*1/((U201+U203)/2)</f>
        <v>1.0850415598241856</v>
      </c>
      <c r="V202" s="18">
        <f>U202*Input!T202/100</f>
        <v>5.458871201313414E-4</v>
      </c>
      <c r="W202" s="133">
        <v>3.0000000000000001E-3</v>
      </c>
      <c r="X202" s="129">
        <f>IF((((Constants!$B$25*0.000000001*Input!G202/Input!W202*(Constants!$B$11/Constants!$B$9))-(W202*0.000000001))/Input!F202)*1000000000&lt;0, "n.d.", (((Constants!$B$25*0.000000001*Input!G202/Input!W202*(Constants!$B$11/Constants!$B$9))-(W202*0.000000001))/Input!F202)*1000000000)</f>
        <v>2.6095371193117627</v>
      </c>
      <c r="Y202" s="129">
        <f>X202*Input!X202/100</f>
        <v>3.587626021911438E-3</v>
      </c>
      <c r="Z202" s="129">
        <f>(X202/Constants!$B$11)*6.022E+23*0.000000001*Constants!$B$19/(365.2425*24*60)</f>
        <v>6.3707237384696622E-4</v>
      </c>
      <c r="AA202" s="129">
        <f>Z202*Input!X202/100</f>
        <v>8.7585549534434841E-7</v>
      </c>
      <c r="AB202" s="134">
        <v>0.05</v>
      </c>
      <c r="AC202" s="134">
        <v>0.9</v>
      </c>
      <c r="AD202" s="129">
        <f>(((Input!G202*Constants!$B$25*0.000000001*Input!U202*(Constants!$B$10/Constants!$B$9))-((AB202*0.000000000000001)+(Input!G202*AC202*0.000000000000001)))/Input!F202)*1000000000000</f>
        <v>43.407706304745709</v>
      </c>
      <c r="AE202" s="129">
        <f>AD202*Input!V202/100</f>
        <v>6.6137627675870517E-2</v>
      </c>
      <c r="AF202" s="129">
        <f>(AD202/Constants!$B$10)*602200000000*Constants!$B$16/(365.2425*24*60)</f>
        <v>1.9813737707855008</v>
      </c>
      <c r="AG202" s="129">
        <f>AF202*Input!V202/100</f>
        <v>3.0188962259132378E-3</v>
      </c>
      <c r="AH202" s="18">
        <f>AF202/Z202</f>
        <v>3110.123515199632</v>
      </c>
      <c r="AI202" s="133">
        <f>AH202*SQRT((AG202/AF202)^2+(AA202/Z202)^2)</f>
        <v>6.3826401629992651</v>
      </c>
      <c r="AJ202" s="132">
        <f t="shared" si="1075"/>
        <v>85.041559824185597</v>
      </c>
      <c r="AK202" s="133">
        <f>V202*1000</f>
        <v>0.54588712013134144</v>
      </c>
      <c r="AL202" s="133">
        <f>AF202/Q202</f>
        <v>0.9335977041464476</v>
      </c>
      <c r="AM202" s="133">
        <f>AL202*SQRT((R202/Q202)^2+(AG202/AF202)^2)</f>
        <v>1.4228626487722545E-3</v>
      </c>
      <c r="AN202" s="18">
        <f>AL202*1/((AN201+AN203)/2)</f>
        <v>0.93367468301582568</v>
      </c>
      <c r="AO202" s="129">
        <f>AN202*SQRT((R202/Q202)^2+(AG202/AF202)^2)</f>
        <v>1.4229799694956198E-3</v>
      </c>
      <c r="AP202" s="18">
        <f>ThU_Alter_Kombi(AN202,U202)</f>
        <v>203.06720000000001</v>
      </c>
      <c r="AQ202" s="18">
        <f t="shared" si="1081"/>
        <v>0.9839</v>
      </c>
      <c r="AR202" s="154">
        <f>(AQ202/AP202)</f>
        <v>4.8451941032328213E-3</v>
      </c>
      <c r="AS202" s="131">
        <f t="shared" si="1082"/>
        <v>3.0018026601960277E-4</v>
      </c>
      <c r="AT202" s="131">
        <f t="shared" si="1083"/>
        <v>4.1283352391544064E-7</v>
      </c>
      <c r="AU202" s="18">
        <v>8</v>
      </c>
      <c r="AV202" s="18">
        <f>AU202/2</f>
        <v>4</v>
      </c>
      <c r="AW202" s="18">
        <f t="shared" si="1085"/>
        <v>202.83949999999999</v>
      </c>
      <c r="AX202" s="135">
        <f t="shared" si="1086"/>
        <v>0.9496150136</v>
      </c>
      <c r="AY202" s="135">
        <f t="shared" si="1087"/>
        <v>0.9412455805489417</v>
      </c>
      <c r="AZ202" s="154">
        <f t="shared" si="1088"/>
        <v>4.6816079392820436E-3</v>
      </c>
      <c r="BA202" s="18" t="str">
        <f>Input!B202</f>
        <v>MD13-3462G-801</v>
      </c>
      <c r="BB202" s="136">
        <f>Input!E202</f>
        <v>801</v>
      </c>
      <c r="BC202" s="18">
        <f>((U202-1)*EXP(Constants!$B$17*AW202*1000))*1000</f>
        <v>150.74132908967675</v>
      </c>
      <c r="BD202" s="132">
        <f>SQRT((EXP(Constants!$B$17*AW202*1000)*V202)^2+((U202-1)*Constants!$B$17*EXP(Constants!$B$17*AW202*1000)*AY202*1000)^2)*1000</f>
        <v>1.0471916736226361</v>
      </c>
      <c r="BE202" s="18">
        <f t="shared" si="1089"/>
        <v>202781.5</v>
      </c>
      <c r="BF202" s="137">
        <f t="shared" si="1090"/>
        <v>470.62279027447084</v>
      </c>
      <c r="BG202" s="20">
        <f t="shared" si="1091"/>
        <v>0.46403465821447093</v>
      </c>
      <c r="BH202" s="18"/>
      <c r="BI202" s="18"/>
      <c r="BJ202" s="18"/>
      <c r="BK202" s="18"/>
      <c r="BL202" s="18"/>
      <c r="BM202" s="18"/>
      <c r="BN202" s="159"/>
      <c r="BO202" s="18"/>
      <c r="BP202" s="18"/>
      <c r="BQ202" s="18"/>
      <c r="BR202" s="18"/>
      <c r="BS202" s="18"/>
      <c r="BT202" s="18"/>
      <c r="BU202" s="18"/>
      <c r="BV202" s="18"/>
      <c r="BW202" s="18"/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</row>
    <row r="203" spans="1:110" ht="15" customHeight="1" x14ac:dyDescent="0.2">
      <c r="A203" s="138">
        <f>Input!A203</f>
        <v>10815</v>
      </c>
      <c r="B203" s="138" t="str">
        <f>Input!B203</f>
        <v>Hu1-13</v>
      </c>
      <c r="C203" s="138">
        <f>Input!O203</f>
        <v>2.075304892285609</v>
      </c>
      <c r="D203" s="138">
        <f>C203*Input!P203/100</f>
        <v>9.7750177263323974E-3</v>
      </c>
      <c r="E203" s="139">
        <f>Input!M203</f>
        <v>2.7319398075487666</v>
      </c>
      <c r="F203" s="140">
        <f>E203*Input!N203/100</f>
        <v>1.5976004338602413E-4</v>
      </c>
      <c r="G203" s="141">
        <f t="shared" ref="G203" si="1119">E203*137.88</f>
        <v>376.67986066482393</v>
      </c>
      <c r="H203" s="140">
        <f>G203*Input!L203/100</f>
        <v>1.6127316919297793E-2</v>
      </c>
      <c r="I203" s="138">
        <v>0</v>
      </c>
      <c r="J203" s="142">
        <f>(((C203*Constants!$B$24*0.000000001*Input!G203*(Constants!$B$4/Constants!$B$3))-(I203*0.000000000000001))/Input!F203)*1000000000000</f>
        <v>749.26297864199546</v>
      </c>
      <c r="K203" s="138">
        <f>J203*Input!P203/100</f>
        <v>3.5291483796599472</v>
      </c>
      <c r="L203" s="143">
        <f>(J203/Constants!$B$4)*602200000000*Constants!$B$17/(365.2425*24*60)</f>
        <v>10.344407337956765</v>
      </c>
      <c r="M203" s="144">
        <f>L203*Input!P203/100</f>
        <v>4.8723811847022978E-2</v>
      </c>
      <c r="N203" s="138">
        <v>0</v>
      </c>
      <c r="O203" s="142">
        <f>(((G203*Constants!$B$23*0.000000001*Input!G203*(Constants!$B$7/Constants!$B$6))-(N203*0.000000001))/Input!F203)*1000000</f>
        <v>13.699548881977183</v>
      </c>
      <c r="P203" s="138">
        <f>O203*Input!N203/100</f>
        <v>8.0113058044181109E-4</v>
      </c>
      <c r="Q203" s="145">
        <f>(O203/Constants!$B$7)*602200000000000000*Constants!$B$18/(365.2425*24*60)</f>
        <v>10.22151780246919</v>
      </c>
      <c r="R203" s="146">
        <f>Q203*Input!N203/100</f>
        <v>5.977401563099212E-4</v>
      </c>
      <c r="S203" s="144">
        <f>Input!S203*Constants!$B$17/Constants!$B$18</f>
        <v>1.0008416553619774</v>
      </c>
      <c r="T203" s="138">
        <f>S203*Input!T203/100</f>
        <v>1.2865391545269298E-3</v>
      </c>
      <c r="U203" s="144">
        <f>S203</f>
        <v>1.0008416553619774</v>
      </c>
      <c r="V203" s="138">
        <f>U203*Input!T203/100</f>
        <v>1.2865391545269298E-3</v>
      </c>
      <c r="W203" s="147">
        <v>0</v>
      </c>
      <c r="X203" s="142">
        <f>(((Constants!$B$25*0.000000001*Input!G203/Input!W203*(Constants!$B$11/Constants!$B$9))-(W203*0.000000001))/Input!F203)*1000000000</f>
        <v>0.94651534421952821</v>
      </c>
      <c r="Y203" s="142">
        <f>X203*Input!X203/100</f>
        <v>3.3284930533855534E-3</v>
      </c>
      <c r="Z203" s="142">
        <f>(X203/Constants!$B$11)*6.022E+23*0.000000001*Constants!$B$19/(365.2425*24*60)</f>
        <v>2.3107499516371996E-4</v>
      </c>
      <c r="AA203" s="142">
        <f>Z203*Input!X203/100</f>
        <v>8.1259276028720691E-7</v>
      </c>
      <c r="AB203" s="143">
        <v>0</v>
      </c>
      <c r="AC203" s="143">
        <v>0.9</v>
      </c>
      <c r="AD203" s="142">
        <f>(((Input!G203*Constants!$B$25*0.000000001*Input!U203*(Constants!$B$10/Constants!$B$9))-((AB203*0.000000000000001)+(Input!G203*AC203*0.000000000000001)))/Input!F203)*1000000000000</f>
        <v>223.80232415315794</v>
      </c>
      <c r="AE203" s="142">
        <f>AD203*Input!V203/100</f>
        <v>0.53525741310050901</v>
      </c>
      <c r="AF203" s="142">
        <f>(AD203/Constants!$B$10)*602200000000*Constants!$B$16/(365.2425*24*60)</f>
        <v>10.215606689852242</v>
      </c>
      <c r="AG203" s="142">
        <f>AF203*Input!V203/100</f>
        <v>2.4432182421486301E-2</v>
      </c>
      <c r="AH203" s="138">
        <f t="shared" ref="AH203" si="1120">AF203/Z203</f>
        <v>44209.052920738301</v>
      </c>
      <c r="AI203" s="147">
        <f t="shared" ref="AI203" si="1121">AH203*SQRT((AG203/AF203)^2+(AA203/Z203)^2)</f>
        <v>188.01226271898054</v>
      </c>
      <c r="AJ203" s="144">
        <f t="shared" si="1075"/>
        <v>0.84165536197744473</v>
      </c>
      <c r="AK203" s="147">
        <f t="shared" ref="AK203" si="1122">V203*1000</f>
        <v>1.2865391545269298</v>
      </c>
      <c r="AL203" s="147">
        <f t="shared" ref="AL203" si="1123">AF203/Q203</f>
        <v>0.9994216991320487</v>
      </c>
      <c r="AM203" s="147">
        <f t="shared" ref="AM203" si="1124">AL203*SQRT((R203/Q203)^2+(AG203/AF203)^2)</f>
        <v>2.3909839309332248E-3</v>
      </c>
      <c r="AN203" s="138">
        <f>AF203/Q203</f>
        <v>0.9994216991320487</v>
      </c>
      <c r="AO203" s="142">
        <f t="shared" ref="AO203" si="1125">AN203*SQRT((R203/Q203)^2+(AG203/AF203)^2)</f>
        <v>2.3909839309332248E-3</v>
      </c>
      <c r="AP203" s="138">
        <f t="shared" ref="AP203" si="1126">ThU_Alter_Kombi(AN203,U203)</f>
        <v>690.452</v>
      </c>
      <c r="AQ203" s="138" t="e">
        <f t="shared" si="1081"/>
        <v>#VALUE!</v>
      </c>
      <c r="AR203" s="138" t="e">
        <f>(AQ203/AP203)*100</f>
        <v>#VALUE!</v>
      </c>
      <c r="AS203" s="146">
        <f t="shared" si="1082"/>
        <v>2.2606720413664952E-5</v>
      </c>
      <c r="AT203" s="146">
        <f t="shared" si="1083"/>
        <v>7.9509239667482444E-8</v>
      </c>
      <c r="AU203" s="138">
        <v>0.75</v>
      </c>
      <c r="AV203" s="138">
        <f t="shared" ref="AV203" si="1127">AU203/2</f>
        <v>0.375</v>
      </c>
      <c r="AW203" s="138">
        <f t="shared" si="1085"/>
        <v>690.4502</v>
      </c>
      <c r="AX203" s="148">
        <f t="shared" si="1086"/>
        <v>316.35800751080001</v>
      </c>
      <c r="AY203" s="148">
        <f t="shared" si="1087"/>
        <v>182.39631947209952</v>
      </c>
      <c r="AZ203" s="149">
        <f t="shared" si="1088"/>
        <v>0.45819091298807652</v>
      </c>
      <c r="BA203" s="138" t="str">
        <f>Input!B203</f>
        <v>Hu1-13</v>
      </c>
      <c r="BB203" s="150">
        <f>Input!E203</f>
        <v>0</v>
      </c>
      <c r="BC203" s="138">
        <f>((U203-1)*EXP(Constants!$B$17*AW203*1000))*1000</f>
        <v>5.9068177467095788</v>
      </c>
      <c r="BD203" s="144">
        <f>SQRT((EXP(Constants!$B$17*AW203*1000)*V203)^2+((U203-1)*Constants!$B$17*EXP(Constants!$B$17*AW203*1000)*AY203*1000)^2)*1000</f>
        <v>9.527228390577509</v>
      </c>
      <c r="BE203" s="138">
        <f t="shared" si="1089"/>
        <v>690392.2</v>
      </c>
      <c r="BF203" s="151">
        <f t="shared" si="1090"/>
        <v>91198.159736049754</v>
      </c>
      <c r="BG203" s="160">
        <f t="shared" si="1091"/>
        <v>26.417013054974785</v>
      </c>
      <c r="BH203" s="138"/>
      <c r="BI203" s="18"/>
      <c r="BJ203" s="18"/>
      <c r="BK203" s="18"/>
      <c r="BL203" s="18"/>
      <c r="BM203" s="18"/>
      <c r="BN203" s="159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</row>
    <row r="204" spans="1:110" ht="15" customHeight="1" x14ac:dyDescent="0.2">
      <c r="A204" s="18">
        <f>Input!A204</f>
        <v>11004</v>
      </c>
      <c r="B204" s="18" t="str">
        <f>Input!B204</f>
        <v>MD13-3462G-840</v>
      </c>
      <c r="C204" s="18">
        <f>Input!O204</f>
        <v>1.7501343694661406</v>
      </c>
      <c r="D204" s="18">
        <f>C204*Input!P204/100</f>
        <v>2.6058031413691229E-3</v>
      </c>
      <c r="E204" s="152">
        <f>Input!M204</f>
        <v>2.1426984717003634</v>
      </c>
      <c r="F204" s="153">
        <f>E204*Input!N204/100</f>
        <v>7.5943675335678778E-5</v>
      </c>
      <c r="G204" s="21">
        <f>E204*137.88</f>
        <v>295.43526527804607</v>
      </c>
      <c r="H204" s="153">
        <f>G204*Input!L204/100</f>
        <v>7.9588596895101889E-3</v>
      </c>
      <c r="I204" s="18">
        <v>0.3</v>
      </c>
      <c r="J204" s="129">
        <f>(((C204*Constants!$B$24*0.000000001*Input!G204*(Constants!$B$4/Constants!$B$3))-(I204*0.000000000000001))/Input!F204)*1000000000000</f>
        <v>180.015866427209</v>
      </c>
      <c r="K204" s="18">
        <f>J204*Input!P204/100</f>
        <v>0.26802851164816288</v>
      </c>
      <c r="L204" s="134">
        <f>(J204/Constants!$B$4)*602200000000*Constants!$B$17/(365.2425*24*60)</f>
        <v>2.485318910315494</v>
      </c>
      <c r="M204" s="132">
        <f>L204*Input!P204/100</f>
        <v>3.700431199336831E-3</v>
      </c>
      <c r="N204" s="18">
        <v>5.0000000000000001E-3</v>
      </c>
      <c r="O204" s="129">
        <f>(((G204*Constants!$B$23*0.000000001*Input!G204*(Constants!$B$7/Constants!$B$6))-(N204*0.000000001))/Input!F204)*1000000</f>
        <v>3.0611415538365025</v>
      </c>
      <c r="P204" s="18">
        <f>O204*Input!N204/100</f>
        <v>1.0849605924095883E-4</v>
      </c>
      <c r="Q204" s="130">
        <f>(O204/Constants!$B$7)*602200000000000000*Constants!$B$18/(365.2425*24*60)</f>
        <v>2.2839812579216958</v>
      </c>
      <c r="R204" s="131">
        <f>Q204*Input!N204/100</f>
        <v>8.0951162011486425E-5</v>
      </c>
      <c r="S204" s="132">
        <f>Input!S204*Constants!$B$17/Constants!$B$18</f>
        <v>1.0792139554597848</v>
      </c>
      <c r="T204" s="18">
        <f>S204*Input!T204/100</f>
        <v>4.1488602389792254E-4</v>
      </c>
      <c r="U204" s="18">
        <f>S204*1/((U203+U205)/2)</f>
        <v>1.0781399860443774</v>
      </c>
      <c r="V204" s="18">
        <f>U204*Input!T204/100</f>
        <v>4.1447315405103799E-4</v>
      </c>
      <c r="W204" s="133">
        <v>3.0000000000000001E-3</v>
      </c>
      <c r="X204" s="129">
        <f>IF((((Constants!$B$25*0.000000001*Input!G204/Input!W204*(Constants!$B$11/Constants!$B$9))-(W204*0.000000001))/Input!F204)*1000000000&lt;0, "n.d.", (((Constants!$B$25*0.000000001*Input!G204/Input!W204*(Constants!$B$11/Constants!$B$9))-(W204*0.000000001))/Input!F204)*1000000000)</f>
        <v>0.26574575755732149</v>
      </c>
      <c r="Y204" s="129">
        <f>X204*Input!X204/100</f>
        <v>4.7809624364528582E-4</v>
      </c>
      <c r="Z204" s="129">
        <f>(X204/Constants!$B$11)*6.022E+23*0.000000001*Constants!$B$19/(365.2425*24*60)</f>
        <v>6.487713064279157E-5</v>
      </c>
      <c r="AA204" s="129">
        <f>Z204*Input!X204/100</f>
        <v>1.167187493185573E-7</v>
      </c>
      <c r="AB204" s="134">
        <v>0.05</v>
      </c>
      <c r="AC204" s="134">
        <v>0.9</v>
      </c>
      <c r="AD204" s="129">
        <f>(((Input!G204*Constants!$B$25*0.000000001*Input!U204*(Constants!$B$10/Constants!$B$9))-((AB204*0.000000000000001)+(Input!G204*AC204*0.000000000000001)))/Input!F204)*1000000000000</f>
        <v>49.204288059734566</v>
      </c>
      <c r="AE204" s="129">
        <f>AD204*Input!V204/100</f>
        <v>7.4272760078483019E-2</v>
      </c>
      <c r="AF204" s="129">
        <f>(AD204/Constants!$B$10)*602200000000*Constants!$B$16/(365.2425*24*60)</f>
        <v>2.2459626198003835</v>
      </c>
      <c r="AG204" s="129">
        <f>AF204*Input!V204/100</f>
        <v>3.3902297824767052E-3</v>
      </c>
      <c r="AH204" s="18">
        <f>AF204/Z204</f>
        <v>34618.710746726436</v>
      </c>
      <c r="AI204" s="133">
        <f>AH204*SQRT((AG204/AF204)^2+(AA204/Z204)^2)</f>
        <v>81.300099703247909</v>
      </c>
      <c r="AJ204" s="132">
        <f t="shared" si="1075"/>
        <v>78.139986044377437</v>
      </c>
      <c r="AK204" s="133">
        <f>V204*1000</f>
        <v>0.41447315405103796</v>
      </c>
      <c r="AL204" s="133">
        <f>AF204/Q204</f>
        <v>0.98335422500099356</v>
      </c>
      <c r="AM204" s="133">
        <f>AL204*SQRT((R204/Q204)^2+(AG204/AF204)^2)</f>
        <v>1.484760087927906E-3</v>
      </c>
      <c r="AN204" s="18">
        <f>AL204*1/((AN203+AN205)/2)</f>
        <v>0.98412949682949402</v>
      </c>
      <c r="AO204" s="129">
        <f>AN204*SQRT((R204/Q204)^2+(AG204/AF204)^2)</f>
        <v>1.4859306657715628E-3</v>
      </c>
      <c r="AP204" s="18">
        <f>ThU_Alter_Kombi(AN204,U204)</f>
        <v>245.73689999999999</v>
      </c>
      <c r="AQ204" s="18">
        <f t="shared" si="1081"/>
        <v>1.4930000000000001</v>
      </c>
      <c r="AR204" s="154">
        <f>(AQ204/AP204)</f>
        <v>6.0756036232246773E-3</v>
      </c>
      <c r="AS204" s="131">
        <f t="shared" si="1082"/>
        <v>2.8405281530999244E-5</v>
      </c>
      <c r="AT204" s="131">
        <f t="shared" si="1083"/>
        <v>5.1113115313637013E-8</v>
      </c>
      <c r="AU204" s="18">
        <v>8</v>
      </c>
      <c r="AV204" s="18">
        <f>AU204/2</f>
        <v>4</v>
      </c>
      <c r="AW204" s="18">
        <f t="shared" si="1085"/>
        <v>245.71539999999999</v>
      </c>
      <c r="AX204" s="135">
        <f t="shared" si="1086"/>
        <v>1.3900279129999999</v>
      </c>
      <c r="AY204" s="135">
        <f t="shared" si="1087"/>
        <v>1.3976873689325287</v>
      </c>
      <c r="AZ204" s="154">
        <f t="shared" si="1088"/>
        <v>5.6570646894740827E-3</v>
      </c>
      <c r="BA204" s="18" t="str">
        <f>Input!B204</f>
        <v>MD13-3462G-840</v>
      </c>
      <c r="BB204" s="136">
        <f>Input!E204</f>
        <v>840</v>
      </c>
      <c r="BC204" s="18">
        <f>((U204-1)*EXP(Constants!$B$17*AW204*1000))*1000</f>
        <v>156.32317715167989</v>
      </c>
      <c r="BD204" s="132">
        <f>SQRT((EXP(Constants!$B$17*AW204*1000)*V204)^2+((U204-1)*Constants!$B$17*EXP(Constants!$B$17*AW204*1000)*AY204*1000)^2)*1000</f>
        <v>1.0333057479033509</v>
      </c>
      <c r="BE204" s="18">
        <f t="shared" si="1089"/>
        <v>245657.4</v>
      </c>
      <c r="BF204" s="137">
        <f t="shared" si="1090"/>
        <v>698.84368446626434</v>
      </c>
      <c r="BG204" s="20">
        <f t="shared" si="1091"/>
        <v>0.5688236752488971</v>
      </c>
      <c r="BH204" s="18"/>
      <c r="BI204" s="18"/>
      <c r="BJ204" s="18"/>
      <c r="BK204" s="18"/>
      <c r="BL204" s="18"/>
      <c r="BM204" s="18"/>
      <c r="BN204" s="159"/>
      <c r="BO204" s="18"/>
      <c r="BP204" s="18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</row>
    <row r="205" spans="1:110" ht="15" customHeight="1" x14ac:dyDescent="0.2">
      <c r="A205" s="138">
        <f>Input!A205</f>
        <v>10815</v>
      </c>
      <c r="B205" s="138" t="str">
        <f>Input!B205</f>
        <v>Hu1-13</v>
      </c>
      <c r="C205" s="138">
        <f>Input!O205</f>
        <v>2.0760747437064011</v>
      </c>
      <c r="D205" s="138">
        <f>C205*Input!P205/100</f>
        <v>1.1100468096699461E-2</v>
      </c>
      <c r="E205" s="139">
        <f>Input!M205</f>
        <v>2.7322013562282725</v>
      </c>
      <c r="F205" s="140">
        <f>E205*Input!N205/100</f>
        <v>3.0861554381395555E-4</v>
      </c>
      <c r="G205" s="141">
        <f t="shared" ref="G205" si="1128">E205*137.88</f>
        <v>376.71592299675422</v>
      </c>
      <c r="H205" s="140">
        <f>G205*Input!L205/100</f>
        <v>1.7386786774177806E-2</v>
      </c>
      <c r="I205" s="138">
        <v>0</v>
      </c>
      <c r="J205" s="142">
        <f>(((C205*Constants!$B$24*0.000000001*Input!G205*(Constants!$B$4/Constants!$B$3))-(I205*0.000000000000001))/Input!F205)*1000000000000</f>
        <v>749.54092390719416</v>
      </c>
      <c r="K205" s="138">
        <f>J205*Input!P205/100</f>
        <v>4.0076857243339683</v>
      </c>
      <c r="L205" s="143">
        <f>(J205/Constants!$B$4)*602200000000*Constants!$B$17/(365.2425*24*60)</f>
        <v>10.348244680949586</v>
      </c>
      <c r="M205" s="144">
        <f>L205*Input!P205/100</f>
        <v>5.5330551217362994E-2</v>
      </c>
      <c r="N205" s="138">
        <v>0</v>
      </c>
      <c r="O205" s="142">
        <f>(((G205*Constants!$B$23*0.000000001*Input!G205*(Constants!$B$7/Constants!$B$6))-(N205*0.000000001))/Input!F205)*1000000</f>
        <v>13.700860440493228</v>
      </c>
      <c r="P205" s="138">
        <f>O205*Input!N205/100</f>
        <v>1.5475793853638137E-3</v>
      </c>
      <c r="Q205" s="145">
        <f>(O205/Constants!$B$7)*602200000000000000*Constants!$B$18/(365.2425*24*60)</f>
        <v>10.222496383503955</v>
      </c>
      <c r="R205" s="146">
        <f>Q205*Input!N205/100</f>
        <v>1.1546811047947101E-3</v>
      </c>
      <c r="S205" s="144">
        <f>Input!S205*Constants!$B$17/Constants!$B$18</f>
        <v>1.0011506080348156</v>
      </c>
      <c r="T205" s="138">
        <f>S205*Input!T205/100</f>
        <v>9.6808346279983557E-4</v>
      </c>
      <c r="U205" s="144">
        <f>S205</f>
        <v>1.0011506080348156</v>
      </c>
      <c r="V205" s="138">
        <f>U205*Input!T205/100</f>
        <v>9.6808346279983557E-4</v>
      </c>
      <c r="W205" s="147">
        <v>0</v>
      </c>
      <c r="X205" s="142">
        <f>(((Constants!$B$25*0.000000001*Input!G205/Input!W205*(Constants!$B$11/Constants!$B$9))-(W205*0.000000001))/Input!F205)*1000000000</f>
        <v>0.94712411301113719</v>
      </c>
      <c r="Y205" s="142">
        <f>X205*Input!X205/100</f>
        <v>3.3347600713336278E-3</v>
      </c>
      <c r="Z205" s="142">
        <f>(X205/Constants!$B$11)*6.022E+23*0.000000001*Constants!$B$19/(365.2425*24*60)</f>
        <v>2.3122361530647409E-4</v>
      </c>
      <c r="AA205" s="142">
        <f>Z205*Input!X205/100</f>
        <v>8.1412274197306804E-7</v>
      </c>
      <c r="AB205" s="143">
        <v>0</v>
      </c>
      <c r="AC205" s="143">
        <v>0.9</v>
      </c>
      <c r="AD205" s="142">
        <f>(((Input!G205*Constants!$B$25*0.000000001*Input!U205*(Constants!$B$10/Constants!$B$9))-((AB205*0.000000000000001)+(Input!G205*AC205*0.000000000000001)))/Input!F205)*1000000000000</f>
        <v>223.72992592175541</v>
      </c>
      <c r="AE205" s="142">
        <f>AD205*Input!V205/100</f>
        <v>0.67863733317093589</v>
      </c>
      <c r="AF205" s="142">
        <f>(AD205/Constants!$B$10)*602200000000*Constants!$B$16/(365.2425*24*60)</f>
        <v>10.212302024184233</v>
      </c>
      <c r="AG205" s="142">
        <f>AF205*Input!V205/100</f>
        <v>3.0976854717469981E-2</v>
      </c>
      <c r="AH205" s="138">
        <f t="shared" ref="AH205" si="1129">AF205/Z205</f>
        <v>44166.345252617873</v>
      </c>
      <c r="AI205" s="147">
        <f t="shared" ref="AI205" si="1130">AH205*SQRT((AG205/AF205)^2+(AA205/Z205)^2)</f>
        <v>205.2561826018599</v>
      </c>
      <c r="AJ205" s="144">
        <f t="shared" si="1075"/>
        <v>1.1506080348155923</v>
      </c>
      <c r="AK205" s="147">
        <f t="shared" ref="AK205" si="1131">V205*1000</f>
        <v>0.96808346279983559</v>
      </c>
      <c r="AL205" s="147">
        <f t="shared" ref="AL205" si="1132">AF205/Q205</f>
        <v>0.99900275246502668</v>
      </c>
      <c r="AM205" s="147">
        <f t="shared" ref="AM205" si="1133">AL205*SQRT((R205/Q205)^2+(AG205/AF205)^2)</f>
        <v>3.0323635179345366E-3</v>
      </c>
      <c r="AN205" s="138">
        <f>AF205/Q205</f>
        <v>0.99900275246502668</v>
      </c>
      <c r="AO205" s="142">
        <f t="shared" ref="AO205" si="1134">AN205*SQRT((R205/Q205)^2+(AG205/AF205)^2)</f>
        <v>3.0323635179345366E-3</v>
      </c>
      <c r="AP205" s="138">
        <f t="shared" ref="AP205" si="1135">ThU_Alter_Kombi(AN205,U205)</f>
        <v>647.72559999999999</v>
      </c>
      <c r="AQ205" s="138" t="e">
        <f t="shared" si="1081"/>
        <v>#VALUE!</v>
      </c>
      <c r="AR205" s="138" t="e">
        <f>(AQ205/AP205)*100</f>
        <v>#VALUE!</v>
      </c>
      <c r="AS205" s="146">
        <f t="shared" si="1082"/>
        <v>2.2619094850412438E-5</v>
      </c>
      <c r="AT205" s="146">
        <f t="shared" si="1083"/>
        <v>7.9681278078062067E-8</v>
      </c>
      <c r="AU205" s="138">
        <v>0.75</v>
      </c>
      <c r="AV205" s="138">
        <f t="shared" ref="AV205" si="1136">AU205/2</f>
        <v>0.375</v>
      </c>
      <c r="AW205" s="138">
        <f t="shared" si="1085"/>
        <v>647.72379999999998</v>
      </c>
      <c r="AX205" s="148">
        <f t="shared" si="1086"/>
        <v>290.73540472449997</v>
      </c>
      <c r="AY205" s="148">
        <f t="shared" si="1087"/>
        <v>136.04955608221366</v>
      </c>
      <c r="AZ205" s="149">
        <f t="shared" si="1088"/>
        <v>0.44885706642939471</v>
      </c>
      <c r="BA205" s="138" t="str">
        <f>Input!B205</f>
        <v>Hu1-13</v>
      </c>
      <c r="BB205" s="150">
        <f>Input!E205</f>
        <v>0</v>
      </c>
      <c r="BC205" s="138">
        <f>((U205-1)*EXP(Constants!$B$17*AW205*1000))*1000</f>
        <v>7.1578235092282325</v>
      </c>
      <c r="BD205" s="144">
        <f>SQRT((EXP(Constants!$B$17*AW205*1000)*V205)^2+((U205-1)*Constants!$B$17*EXP(Constants!$B$17*AW205*1000)*AY205*1000)^2)*1000</f>
        <v>6.6197605747002326</v>
      </c>
      <c r="BE205" s="138">
        <f t="shared" si="1089"/>
        <v>647665.79999999993</v>
      </c>
      <c r="BF205" s="151">
        <f t="shared" si="1090"/>
        <v>68024.778041106823</v>
      </c>
      <c r="BG205" s="160">
        <f t="shared" si="1091"/>
        <v>21.004254603924334</v>
      </c>
      <c r="BH205" s="138"/>
      <c r="BI205" s="18"/>
      <c r="BJ205" s="18"/>
      <c r="BK205" s="18"/>
      <c r="BL205" s="18"/>
      <c r="BM205" s="18"/>
      <c r="BN205" s="159"/>
      <c r="BO205" s="18"/>
      <c r="BP205" s="18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</row>
    <row r="207" spans="1:110" ht="15" customHeight="1" x14ac:dyDescent="0.2">
      <c r="A207" s="138">
        <f>Input!A207</f>
        <v>10815</v>
      </c>
      <c r="B207" s="138" t="str">
        <f>Input!B207</f>
        <v>Hu1-13</v>
      </c>
      <c r="C207" s="138">
        <f>Input!O207</f>
        <v>2.1119369059322874</v>
      </c>
      <c r="D207" s="138">
        <f>C207*Input!P207/100</f>
        <v>3.7620208618474683E-2</v>
      </c>
      <c r="E207" s="139">
        <f>Input!M207</f>
        <v>2.73098246510376</v>
      </c>
      <c r="F207" s="140">
        <f>E207*Input!N207/100</f>
        <v>7.5240717607450922E-4</v>
      </c>
      <c r="G207" s="141">
        <f t="shared" ref="G207" si="1137">E207*137.88</f>
        <v>376.54786228850639</v>
      </c>
      <c r="H207" s="140">
        <f>G207*Input!L207/100</f>
        <v>4.084184727355103E-2</v>
      </c>
      <c r="I207" s="138">
        <v>0</v>
      </c>
      <c r="J207" s="142">
        <f>(((C207*Constants!$B$24*0.000000001*Input!G207*(Constants!$B$4/Constants!$B$3))-(I207*0.000000000000001))/Input!F207)*1000000000000</f>
        <v>762.48851083275531</v>
      </c>
      <c r="K207" s="138">
        <f>J207*Input!P207/100</f>
        <v>13.582307675075045</v>
      </c>
      <c r="L207" s="143">
        <f>(J207/Constants!$B$4)*602200000000*Constants!$B$17/(365.2425*24*60)</f>
        <v>10.527000494354859</v>
      </c>
      <c r="M207" s="144">
        <f>L207*Input!P207/100</f>
        <v>0.18751883809217987</v>
      </c>
      <c r="N207" s="138">
        <v>0</v>
      </c>
      <c r="O207" s="142">
        <f>(((G207*Constants!$B$23*0.000000001*Input!G207*(Constants!$B$7/Constants!$B$6))-(N207*0.000000001))/Input!F207)*1000000</f>
        <v>13.694748205334923</v>
      </c>
      <c r="P207" s="138">
        <f>O207*Input!N207/100</f>
        <v>3.7730109789760272E-3</v>
      </c>
      <c r="Q207" s="145">
        <f>(O207/Constants!$B$7)*602200000000000000*Constants!$B$18/(365.2425*24*60)</f>
        <v>10.217935917971715</v>
      </c>
      <c r="R207" s="146">
        <f>Q207*Input!N207/100</f>
        <v>2.8151218133358829E-3</v>
      </c>
      <c r="S207" s="144">
        <f>Input!S207*Constants!$B$17/Constants!$B$18</f>
        <v>0.99989679136869192</v>
      </c>
      <c r="T207" s="138">
        <f>S207*Input!T207/100</f>
        <v>3.1987226890796468E-3</v>
      </c>
      <c r="U207" s="144">
        <f>S207</f>
        <v>0.99989679136869192</v>
      </c>
      <c r="V207" s="138">
        <f>U207*Input!T207/100</f>
        <v>3.1987226890796468E-3</v>
      </c>
      <c r="W207" s="147">
        <v>0</v>
      </c>
      <c r="X207" s="142">
        <f>(((Constants!$B$25*0.000000001*Input!G207/Input!W207*(Constants!$B$11/Constants!$B$9))-(W207*0.000000001))/Input!F207)*1000000000</f>
        <v>0.95275718943905352</v>
      </c>
      <c r="Y207" s="142">
        <f>X207*Input!X207/100</f>
        <v>9.7333581800832583E-3</v>
      </c>
      <c r="Z207" s="142">
        <f>(X207/Constants!$B$11)*6.022E+23*0.000000001*Constants!$B$19/(365.2425*24*60)</f>
        <v>2.3259883137273971E-4</v>
      </c>
      <c r="AA207" s="142">
        <f>Z207*Input!X207/100</f>
        <v>2.3762273988744174E-6</v>
      </c>
      <c r="AB207" s="143">
        <v>0</v>
      </c>
      <c r="AC207" s="143">
        <v>0.9</v>
      </c>
      <c r="AD207" s="142">
        <f>(((Input!G207*Constants!$B$25*0.000000001*Input!U207*(Constants!$B$10/Constants!$B$9))-((AB207*0.000000000000001)+(Input!G207*AC207*0.000000000000001)))/Input!F207)*1000000000000</f>
        <v>222.87078354189441</v>
      </c>
      <c r="AE207" s="142">
        <f>AD207*Input!V207/100</f>
        <v>1.2859208176298569</v>
      </c>
      <c r="AF207" s="142">
        <f>(AD207/Constants!$B$10)*602200000000*Constants!$B$16/(365.2425*24*60)</f>
        <v>10.173085895949402</v>
      </c>
      <c r="AG207" s="142">
        <f>AF207*Input!V207/100</f>
        <v>5.8696715312973977E-2</v>
      </c>
      <c r="AH207" s="138">
        <f t="shared" ref="AH207" si="1138">AF207/Z207</f>
        <v>43736.616542354976</v>
      </c>
      <c r="AI207" s="147">
        <f t="shared" ref="AI207" si="1139">AH207*SQRT((AG207/AF207)^2+(AA207/Z207)^2)</f>
        <v>513.15018571356018</v>
      </c>
      <c r="AJ207" s="144">
        <f t="shared" ref="AJ207:AJ217" si="1140">(U207-1)*1000</f>
        <v>-0.10320863130808267</v>
      </c>
      <c r="AK207" s="147">
        <f t="shared" ref="AK207" si="1141">V207*1000</f>
        <v>3.1987226890796467</v>
      </c>
      <c r="AL207" s="147">
        <f t="shared" ref="AL207" si="1142">AF207/Q207</f>
        <v>0.99561065733995957</v>
      </c>
      <c r="AM207" s="147">
        <f t="shared" ref="AM207" si="1143">AL207*SQRT((R207/Q207)^2+(AG207/AF207)^2)</f>
        <v>5.7510238503577652E-3</v>
      </c>
      <c r="AN207" s="138">
        <f>AF207/Q207</f>
        <v>0.99561065733995957</v>
      </c>
      <c r="AO207" s="142">
        <f t="shared" ref="AO207" si="1144">AN207*SQRT((R207/Q207)^2+(AG207/AF207)^2)</f>
        <v>5.7510238503577652E-3</v>
      </c>
      <c r="AP207" s="138">
        <f t="shared" ref="AP207" si="1145">ThU_Alter_Kombi(AN207,U207)</f>
        <v>595.64250000000004</v>
      </c>
      <c r="AQ207" s="138" t="e">
        <f t="shared" ref="AQ207:AQ217" si="1146">Montealter(AN207,AO207,U207,V207)</f>
        <v>#VALUE!</v>
      </c>
      <c r="AR207" s="138" t="e">
        <f>(AQ207/AP207)*100</f>
        <v>#VALUE!</v>
      </c>
      <c r="AS207" s="146">
        <f t="shared" ref="AS207:AS217" si="1147">Z207/Q207</f>
        <v>2.2763778637878866E-5</v>
      </c>
      <c r="AT207" s="146">
        <f t="shared" ref="AT207:AT217" si="1148">AS207*SQRT((Y207/X207)^2+(P207/O207)^2)</f>
        <v>2.3263909297074871E-7</v>
      </c>
      <c r="AU207" s="138">
        <v>0.75</v>
      </c>
      <c r="AV207" s="138">
        <f t="shared" ref="AV207" si="1149">AU207/2</f>
        <v>0.375</v>
      </c>
      <c r="AW207" s="138">
        <f t="shared" ref="AW207:AW217" si="1150">marincorr_age(AN207,U207,AS207,AU207)</f>
        <v>595.64059999999995</v>
      </c>
      <c r="AX207" s="148">
        <f t="shared" ref="AX207:AX217" si="1151">marincorr_age_error(AN207, AO207, U207, V207, AS207, AT207, AU207, AV207)</f>
        <v>270.94772871340001</v>
      </c>
      <c r="AY207" s="148">
        <f t="shared" ref="AY207:AY217" si="1152">SQRT(((AU207*EXP(-0.0000091577*AW207*1000))/(0.0000091577*(EXP(-0.0000091577*AW207*1000)+(AJ207/1000)*EXP(-(0.0000091577-0.0000028263)*AW207*1000)-AS207*AU207*EXP(-0.0000091577*AW207*1000))))^2*AT207^2+((AS207*EXP(-0.0000091577*AW207*1000))/(0.0000091577*(EXP(-0.0000091577*AW207*1000)+(AJ207/1000)*EXP(-(0.0000091577-0.0000028263)*AW207*1000)-AS207*AU207*EXP(-0.0000091577*AW207*1000))))^2*AV207^2+((0.0000091577/(0.0000091577-0.0000028263))*(EXP(-(0.0000091577-0.0000028263)*AW207*1000)-1)/(0.0000091577*(EXP(-0.0000091577*AW207*1000)+(AJ207/1000)*EXP(-(0.0000091577-0.0000028263)*AW207*1000)-AS207*AU207*EXP(-0.0000091577*AW207*1000))))^2*T207^2+(1/(0.0000091577*(EXP(-0.0000091577*AW207*1000)+(AJ207/1000)*EXP(-(0.0000091577-0.0000028263)*AW207*1000)-AS207*AU207*EXP(-0.0000091577*AW207*1000))))^2*AO207^2)/1000</f>
        <v>186.89896200597855</v>
      </c>
      <c r="AZ207" s="149">
        <f t="shared" ref="AZ207:AZ217" si="1153">AX207/AW207</f>
        <v>0.45488458764127232</v>
      </c>
      <c r="BA207" s="138" t="str">
        <f>Input!B207</f>
        <v>Hu1-13</v>
      </c>
      <c r="BB207" s="150">
        <f>Input!E207</f>
        <v>0</v>
      </c>
      <c r="BC207" s="138">
        <f>((U207-1)*EXP(Constants!$B$17*AW207*1000))*1000</f>
        <v>-0.5542888816664322</v>
      </c>
      <c r="BD207" s="144">
        <f>SQRT((EXP(Constants!$B$17*AW207*1000)*V207)^2+((U207-1)*Constants!$B$17*EXP(Constants!$B$17*AW207*1000)*AY207*1000)^2)*1000</f>
        <v>17.181442380452236</v>
      </c>
      <c r="BE207" s="138">
        <f t="shared" ref="BE207:BE217" si="1154">AW207*1000-58</f>
        <v>595582.6</v>
      </c>
      <c r="BF207" s="151">
        <f t="shared" ref="BF207:BF217" si="1155">AY207/2*1000</f>
        <v>93449.481002989269</v>
      </c>
      <c r="BG207" s="160">
        <f t="shared" ref="BG207:BG217" si="1156">AY207/AW207*100</f>
        <v>31.377807692420323</v>
      </c>
      <c r="BH207" s="138"/>
      <c r="BI207" s="18"/>
      <c r="BJ207" s="18"/>
      <c r="BK207" s="18"/>
      <c r="BL207" s="18"/>
      <c r="BM207" s="18"/>
      <c r="BN207" s="159"/>
      <c r="BO207" s="18"/>
      <c r="BP207" s="18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</row>
    <row r="208" spans="1:110" ht="15" customHeight="1" x14ac:dyDescent="0.2">
      <c r="A208" s="18">
        <f>Input!A208</f>
        <v>11035</v>
      </c>
      <c r="B208" s="18" t="str">
        <f>Input!B208</f>
        <v>GeoB23225-1 85-86</v>
      </c>
      <c r="C208" s="18">
        <f>Input!O208</f>
        <v>1.1317324648620239</v>
      </c>
      <c r="D208" s="18">
        <f>C208*Input!P208/100</f>
        <v>3.8663783841565002E-3</v>
      </c>
      <c r="E208" s="152">
        <f>Input!M208</f>
        <v>1.3319728317868473</v>
      </c>
      <c r="F208" s="153">
        <f>E208*Input!N208/100</f>
        <v>8.5032943131805301E-5</v>
      </c>
      <c r="G208" s="21">
        <f>E208*137.88</f>
        <v>183.6524140467705</v>
      </c>
      <c r="H208" s="153">
        <f>G208*Input!L208/100</f>
        <v>1.1952805955395518E-2</v>
      </c>
      <c r="I208" s="18">
        <v>0.3</v>
      </c>
      <c r="J208" s="129">
        <f>(((C208*Constants!$B$24*0.000000001*Input!G208*(Constants!$B$4/Constants!$B$3))-(I208*0.000000000000001))/Input!F208)*1000000000000</f>
        <v>122.20299414498466</v>
      </c>
      <c r="K208" s="18">
        <f>J208*Input!P208/100</f>
        <v>0.41748649058943021</v>
      </c>
      <c r="L208" s="134">
        <f>(J208/Constants!$B$4)*602200000000*Constants!$B$17/(365.2425*24*60)</f>
        <v>1.687148017969367</v>
      </c>
      <c r="M208" s="132">
        <f>L208*Input!P208/100</f>
        <v>5.7638645440329563E-3</v>
      </c>
      <c r="N208" s="18">
        <v>5.0000000000000001E-3</v>
      </c>
      <c r="O208" s="129">
        <f>(((G208*Constants!$B$23*0.000000001*Input!G208*(Constants!$B$7/Constants!$B$6))-(N208*0.000000001))/Input!F208)*1000000</f>
        <v>1.9976326973385607</v>
      </c>
      <c r="P208" s="18">
        <f>O208*Input!N208/100</f>
        <v>1.2752856777352629E-4</v>
      </c>
      <c r="Q208" s="130">
        <f>(O208/Constants!$B$7)*602200000000000000*Constants!$B$18/(365.2425*24*60)</f>
        <v>1.490475223275652</v>
      </c>
      <c r="R208" s="131">
        <f>Q208*Input!N208/100</f>
        <v>9.5151711713325072E-5</v>
      </c>
      <c r="S208" s="132">
        <f>Input!S208*Constants!$B$17/Constants!$B$18</f>
        <v>1.1262152863954904</v>
      </c>
      <c r="T208" s="18">
        <f>S208*Input!T208/100</f>
        <v>1.0522184638579999E-3</v>
      </c>
      <c r="U208" s="18">
        <f>S208*1/((U207+U209)/2)</f>
        <v>1.1273919221591631</v>
      </c>
      <c r="V208" s="18">
        <f>U208*Input!T208/100</f>
        <v>1.0533177899732888E-3</v>
      </c>
      <c r="W208" s="133">
        <v>3.0000000000000001E-3</v>
      </c>
      <c r="X208" s="129">
        <f>IF((((Constants!$B$25*0.000000001*Input!G208/Input!W208*(Constants!$B$11/Constants!$B$9))-(W208*0.000000001))/Input!F208)*1000000000&lt;0, "n.d.", (((Constants!$B$25*0.000000001*Input!G208/Input!W208*(Constants!$B$11/Constants!$B$9))-(W208*0.000000001))/Input!F208)*1000000000)</f>
        <v>14.449478095988532</v>
      </c>
      <c r="Y208" s="129">
        <f>X208*Input!X208/100</f>
        <v>2.5279679774089455E-2</v>
      </c>
      <c r="Z208" s="129">
        <f>(X208/Constants!$B$11)*6.022E+23*0.000000001*Constants!$B$19/(365.2425*24*60)</f>
        <v>3.5275847365179359E-3</v>
      </c>
      <c r="AA208" s="129">
        <f>Z208*Input!X208/100</f>
        <v>6.1715870928166097E-6</v>
      </c>
      <c r="AB208" s="134">
        <v>0.05</v>
      </c>
      <c r="AC208" s="134">
        <v>0.9</v>
      </c>
      <c r="AD208" s="129">
        <f>(((Input!G208*Constants!$B$25*0.000000001*Input!U208*(Constants!$B$10/Constants!$B$9))-((AB208*0.000000000000001)+(Input!G208*AC208*0.000000000000001)))/Input!F208)*1000000000000</f>
        <v>10.452124582615793</v>
      </c>
      <c r="AE208" s="129">
        <f>AD208*Input!V208/100</f>
        <v>3.0819139525073182E-2</v>
      </c>
      <c r="AF208" s="129">
        <f>(AD208/Constants!$B$10)*602200000000*Constants!$B$16/(365.2425*24*60)</f>
        <v>0.47709421344645275</v>
      </c>
      <c r="AG208" s="129">
        <f>AF208*Input!V208/100</f>
        <v>1.4067602251188894E-3</v>
      </c>
      <c r="AH208" s="18">
        <f>AF208/Z208</f>
        <v>135.24670534701045</v>
      </c>
      <c r="AI208" s="133">
        <f>AH208*SQRT((AG208/AF208)^2+(AA208/Z208)^2)</f>
        <v>0.46370239701846799</v>
      </c>
      <c r="AJ208" s="132">
        <f t="shared" si="1140"/>
        <v>127.39192215916306</v>
      </c>
      <c r="AK208" s="133">
        <f>V208*1000</f>
        <v>1.0533177899732888</v>
      </c>
      <c r="AL208" s="133">
        <f>AF208/Q208</f>
        <v>0.32009536689776819</v>
      </c>
      <c r="AM208" s="133">
        <f>AL208*SQRT((R208/Q208)^2+(AG208/AF208)^2)</f>
        <v>9.4405454176518431E-4</v>
      </c>
      <c r="AN208" s="18">
        <f>AL208*1/((AN207+AN209)/2)</f>
        <v>0.32224745435664204</v>
      </c>
      <c r="AO208" s="129">
        <f>AN208*SQRT((R208/Q208)^2+(AG208/AF208)^2)</f>
        <v>9.5040167499462164E-4</v>
      </c>
      <c r="AP208" s="18">
        <f>ThU_Alter_Kombi(AN208,U208)</f>
        <v>36.462899999999998</v>
      </c>
      <c r="AQ208" s="18">
        <f t="shared" si="1146"/>
        <v>0.13819999999999999</v>
      </c>
      <c r="AR208" s="154">
        <f>(AQ208/AP208)</f>
        <v>3.7901538275891384E-3</v>
      </c>
      <c r="AS208" s="131">
        <f t="shared" si="1147"/>
        <v>2.3667516785453712E-3</v>
      </c>
      <c r="AT208" s="131">
        <f t="shared" si="1148"/>
        <v>4.1434398899830005E-6</v>
      </c>
      <c r="AU208" s="18">
        <v>8</v>
      </c>
      <c r="AV208" s="18">
        <f>AU208/2</f>
        <v>4</v>
      </c>
      <c r="AW208" s="18">
        <f t="shared" si="1150"/>
        <v>34.637999999999998</v>
      </c>
      <c r="AX208" s="135">
        <f t="shared" si="1151"/>
        <v>0.97549285470000002</v>
      </c>
      <c r="AY208" s="135">
        <f t="shared" si="1152"/>
        <v>0.93131643017291199</v>
      </c>
      <c r="AZ208" s="154">
        <f t="shared" si="1153"/>
        <v>2.816250518794388E-2</v>
      </c>
      <c r="BA208" s="18" t="str">
        <f>Input!B208</f>
        <v>GeoB23225-1 85-86</v>
      </c>
      <c r="BB208" s="136">
        <f>Input!E208</f>
        <v>85.5</v>
      </c>
      <c r="BC208" s="18">
        <f>((U208-1)*EXP(Constants!$B$17*AW208*1000))*1000</f>
        <v>140.47349876089913</v>
      </c>
      <c r="BD208" s="132">
        <f>SQRT((EXP(Constants!$B$17*AW208*1000)*V208)^2+((U208-1)*Constants!$B$17*EXP(Constants!$B$17*AW208*1000)*AY208*1000)^2)*1000</f>
        <v>1.2187465893874767</v>
      </c>
      <c r="BE208" s="18">
        <f t="shared" si="1154"/>
        <v>34580</v>
      </c>
      <c r="BF208" s="137">
        <f t="shared" si="1155"/>
        <v>465.65821508645598</v>
      </c>
      <c r="BG208" s="20">
        <f t="shared" si="1156"/>
        <v>2.6887130612994747</v>
      </c>
      <c r="BH208" s="18"/>
      <c r="BI208" s="18"/>
      <c r="BJ208" s="18"/>
      <c r="BK208" s="18"/>
      <c r="BL208" s="18"/>
      <c r="BM208" s="18"/>
      <c r="BN208" s="159"/>
      <c r="BO208" s="18"/>
      <c r="BP208" s="18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</row>
    <row r="209" spans="1:110" ht="15" customHeight="1" x14ac:dyDescent="0.2">
      <c r="A209" s="138">
        <f>Input!A209</f>
        <v>10815</v>
      </c>
      <c r="B209" s="138" t="str">
        <f>Input!B209</f>
        <v>Hu1-13</v>
      </c>
      <c r="C209" s="138">
        <f>Input!O209</f>
        <v>2.0935576350736951</v>
      </c>
      <c r="D209" s="138">
        <f>C209*Input!P209/100</f>
        <v>1.4976135791081575E-2</v>
      </c>
      <c r="E209" s="139">
        <f>Input!M209</f>
        <v>2.7317469422343867</v>
      </c>
      <c r="F209" s="140">
        <f>E209*Input!N209/100</f>
        <v>2.9099725989495791E-4</v>
      </c>
      <c r="G209" s="141">
        <f t="shared" ref="G209" si="1157">E209*137.88</f>
        <v>376.65326839527722</v>
      </c>
      <c r="H209" s="140">
        <f>G209*Input!L209/100</f>
        <v>2.3517988953453708E-2</v>
      </c>
      <c r="I209" s="138">
        <v>0</v>
      </c>
      <c r="J209" s="142">
        <f>(((C209*Constants!$B$24*0.000000001*Input!G209*(Constants!$B$4/Constants!$B$3))-(I209*0.000000000000001))/Input!F209)*1000000000000</f>
        <v>755.85290404554689</v>
      </c>
      <c r="K209" s="138">
        <f>J209*Input!P209/100</f>
        <v>5.4069472649942103</v>
      </c>
      <c r="L209" s="143">
        <f>(J209/Constants!$B$4)*602200000000*Constants!$B$17/(365.2425*24*60)</f>
        <v>10.435388575044762</v>
      </c>
      <c r="M209" s="144">
        <f>L209*Input!P209/100</f>
        <v>7.4648910407030838E-2</v>
      </c>
      <c r="N209" s="138">
        <v>0</v>
      </c>
      <c r="O209" s="142">
        <f>(((G209*Constants!$B$23*0.000000001*Input!G209*(Constants!$B$7/Constants!$B$6))-(N209*0.000000001))/Input!F209)*1000000</f>
        <v>13.698581742146837</v>
      </c>
      <c r="P209" s="138">
        <f>O209*Input!N209/100</f>
        <v>1.4592309740635572E-3</v>
      </c>
      <c r="Q209" s="145">
        <f>(O209/Constants!$B$7)*602200000000000000*Constants!$B$18/(365.2425*24*60)</f>
        <v>10.220796199365429</v>
      </c>
      <c r="R209" s="146">
        <f>Q209*Input!N209/100</f>
        <v>1.0887625211460558E-3</v>
      </c>
      <c r="S209" s="144">
        <f>Input!S209*Constants!$B$17/Constants!$B$18</f>
        <v>0.99801584976249669</v>
      </c>
      <c r="T209" s="138">
        <f>S209*Input!T209/100</f>
        <v>1.2350996699366573E-3</v>
      </c>
      <c r="U209" s="144">
        <f>S209</f>
        <v>0.99801584976249669</v>
      </c>
      <c r="V209" s="138">
        <f>U209*Input!T209/100</f>
        <v>1.2350996699366573E-3</v>
      </c>
      <c r="W209" s="147">
        <v>0</v>
      </c>
      <c r="X209" s="142">
        <f>(((Constants!$B$25*0.000000001*Input!G209/Input!W209*(Constants!$B$11/Constants!$B$9))-(W209*0.000000001))/Input!F209)*1000000000</f>
        <v>0.92598931941504736</v>
      </c>
      <c r="Y209" s="142">
        <f>X209*Input!X209/100</f>
        <v>3.9805084785867013E-3</v>
      </c>
      <c r="Z209" s="142">
        <f>(X209/Constants!$B$11)*6.022E+23*0.000000001*Constants!$B$19/(365.2425*24*60)</f>
        <v>2.2606392892861649E-4</v>
      </c>
      <c r="AA209" s="142">
        <f>Z209*Input!X209/100</f>
        <v>9.717708044099463E-7</v>
      </c>
      <c r="AB209" s="143">
        <v>0</v>
      </c>
      <c r="AC209" s="143">
        <v>0.9</v>
      </c>
      <c r="AD209" s="142">
        <f>(((Input!G209*Constants!$B$25*0.000000001*Input!U209*(Constants!$B$10/Constants!$B$9))-((AB209*0.000000000000001)+(Input!G209*AC209*0.000000000000001)))/Input!F209)*1000000000000</f>
        <v>221.90807182350079</v>
      </c>
      <c r="AE209" s="142">
        <f>AD209*Input!V209/100</f>
        <v>0.63661779493884729</v>
      </c>
      <c r="AF209" s="142">
        <f>(AD209/Constants!$B$10)*602200000000*Constants!$B$16/(365.2425*24*60)</f>
        <v>10.129142276024835</v>
      </c>
      <c r="AG209" s="142">
        <f>AF209*Input!V209/100</f>
        <v>2.9058844806301821E-2</v>
      </c>
      <c r="AH209" s="138">
        <f t="shared" ref="AH209" si="1158">AF209/Z209</f>
        <v>44806.5391238214</v>
      </c>
      <c r="AI209" s="147">
        <f t="shared" ref="AI209" si="1159">AH209*SQRT((AG209/AF209)^2+(AA209/Z209)^2)</f>
        <v>231.5620482451985</v>
      </c>
      <c r="AJ209" s="144">
        <f t="shared" si="1140"/>
        <v>-1.9841502375033127</v>
      </c>
      <c r="AK209" s="147">
        <f t="shared" ref="AK209" si="1160">V209*1000</f>
        <v>1.2350996699366572</v>
      </c>
      <c r="AL209" s="147">
        <f t="shared" ref="AL209" si="1161">AF209/Q209</f>
        <v>0.99103260435363294</v>
      </c>
      <c r="AM209" s="147">
        <f t="shared" ref="AM209" si="1162">AL209*SQRT((R209/Q209)^2+(AG209/AF209)^2)</f>
        <v>2.8450689926483759E-3</v>
      </c>
      <c r="AN209" s="138">
        <f>AF209/Q209</f>
        <v>0.99103260435363294</v>
      </c>
      <c r="AO209" s="142">
        <f t="shared" ref="AO209" si="1163">AN209*SQRT((R209/Q209)^2+(AG209/AF209)^2)</f>
        <v>2.8450689926483759E-3</v>
      </c>
      <c r="AP209" s="138">
        <f t="shared" ref="AP209" si="1164">ThU_Alter_Kombi(AN209,U209)</f>
        <v>554.54639999999995</v>
      </c>
      <c r="AQ209" s="138" t="e">
        <f t="shared" si="1146"/>
        <v>#VALUE!</v>
      </c>
      <c r="AR209" s="138" t="e">
        <f>(AQ209/AP209)*100</f>
        <v>#VALUE!</v>
      </c>
      <c r="AS209" s="146">
        <f t="shared" si="1147"/>
        <v>2.2118035084453789E-5</v>
      </c>
      <c r="AT209" s="146">
        <f t="shared" si="1148"/>
        <v>9.5106987441063024E-8</v>
      </c>
      <c r="AU209" s="138">
        <v>0.75</v>
      </c>
      <c r="AV209" s="138">
        <f t="shared" ref="AV209" si="1165">AU209/2</f>
        <v>0.375</v>
      </c>
      <c r="AW209" s="138">
        <f t="shared" si="1150"/>
        <v>554.54459999999995</v>
      </c>
      <c r="AX209" s="148">
        <f t="shared" si="1151"/>
        <v>130.89103937959999</v>
      </c>
      <c r="AY209" s="148">
        <f t="shared" si="1152"/>
        <v>58.951478059952535</v>
      </c>
      <c r="AZ209" s="149">
        <f t="shared" si="1153"/>
        <v>0.23603338555564332</v>
      </c>
      <c r="BA209" s="138" t="str">
        <f>Input!B209</f>
        <v>Hu1-13</v>
      </c>
      <c r="BB209" s="150">
        <f>Input!E209</f>
        <v>0</v>
      </c>
      <c r="BC209" s="138">
        <f>((U209-1)*EXP(Constants!$B$17*AW209*1000))*1000</f>
        <v>-9.4891483277809172</v>
      </c>
      <c r="BD209" s="144">
        <f>SQRT((EXP(Constants!$B$17*AW209*1000)*V209)^2+((U209-1)*Constants!$B$17*EXP(Constants!$B$17*AW209*1000)*AY209*1000)^2)*1000</f>
        <v>6.1141506183393339</v>
      </c>
      <c r="BE209" s="138">
        <f t="shared" si="1154"/>
        <v>554486.6</v>
      </c>
      <c r="BF209" s="151">
        <f t="shared" si="1155"/>
        <v>29475.739029976266</v>
      </c>
      <c r="BG209" s="160">
        <f t="shared" si="1156"/>
        <v>10.630610785850687</v>
      </c>
      <c r="BH209" s="138"/>
      <c r="BI209" s="18"/>
      <c r="BJ209" s="18"/>
      <c r="BK209" s="18"/>
      <c r="BL209" s="18"/>
      <c r="BM209" s="18"/>
      <c r="BN209" s="159"/>
      <c r="BO209" s="18"/>
      <c r="BP209" s="18"/>
      <c r="BQ209" s="18"/>
      <c r="BR209" s="18"/>
      <c r="BS209" s="18"/>
      <c r="BT209" s="18"/>
      <c r="BU209" s="18"/>
      <c r="BV209" s="18"/>
      <c r="BW209" s="18"/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</row>
    <row r="210" spans="1:110" ht="15" customHeight="1" x14ac:dyDescent="0.2">
      <c r="A210" s="18">
        <f>Input!A210</f>
        <v>11036</v>
      </c>
      <c r="B210" s="18" t="str">
        <f>Input!B210</f>
        <v>GeoB23225-1 192-202 La-01</v>
      </c>
      <c r="C210" s="18">
        <f>Input!O210</f>
        <v>1.8467359039414457</v>
      </c>
      <c r="D210" s="18">
        <f>C210*Input!P210/100</f>
        <v>8.5294922818266103E-3</v>
      </c>
      <c r="E210" s="152">
        <f>Input!M210</f>
        <v>2.186775836724439</v>
      </c>
      <c r="F210" s="153">
        <f>E210*Input!N210/100</f>
        <v>1.9272384114662263E-4</v>
      </c>
      <c r="G210" s="21">
        <f>E210*137.88</f>
        <v>301.51265236756564</v>
      </c>
      <c r="H210" s="153">
        <f>G210*Input!L210/100</f>
        <v>1.498540439268004E-2</v>
      </c>
      <c r="I210" s="18">
        <v>0.3</v>
      </c>
      <c r="J210" s="129">
        <f>(((C210*Constants!$B$24*0.000000001*Input!G210*(Constants!$B$4/Constants!$B$3))-(I210*0.000000000000001))/Input!F210)*1000000000000</f>
        <v>232.53903823981673</v>
      </c>
      <c r="K210" s="18">
        <f>J210*Input!P210/100</f>
        <v>1.074024676542374</v>
      </c>
      <c r="L210" s="134">
        <f>(J210/Constants!$B$4)*602200000000*Constants!$B$17/(365.2425*24*60)</f>
        <v>3.2104596144456354</v>
      </c>
      <c r="M210" s="132">
        <f>L210*Input!P210/100</f>
        <v>1.4828103165204033E-2</v>
      </c>
      <c r="N210" s="18">
        <v>5.0000000000000001E-3</v>
      </c>
      <c r="O210" s="129">
        <f>(((G210*Constants!$B$23*0.000000001*Input!G210*(Constants!$B$7/Constants!$B$6))-(N210*0.000000001))/Input!F210)*1000000</f>
        <v>3.8245283720811036</v>
      </c>
      <c r="P210" s="18">
        <f>O210*Input!N210/100</f>
        <v>3.3706143357874993E-4</v>
      </c>
      <c r="Q210" s="130">
        <f>(O210/Constants!$B$7)*602200000000000000*Constants!$B$18/(365.2425*24*60)</f>
        <v>2.8535600097536569</v>
      </c>
      <c r="R210" s="131">
        <f>Q210*Input!N210/100</f>
        <v>2.5148853247157E-4</v>
      </c>
      <c r="S210" s="132">
        <f>Input!S210*Constants!$B$17/Constants!$B$18</f>
        <v>1.125624211013406</v>
      </c>
      <c r="T210" s="18">
        <f>S210*Input!T210/100</f>
        <v>9.5266688077631399E-4</v>
      </c>
      <c r="U210" s="18">
        <f>S210*1/((U209+U211)/2)</f>
        <v>1.1269788185915721</v>
      </c>
      <c r="V210" s="18">
        <f>U210*Input!T210/100</f>
        <v>9.5381334667811414E-4</v>
      </c>
      <c r="W210" s="133">
        <v>3.0000000000000001E-3</v>
      </c>
      <c r="X210" s="129">
        <f>IF((((Constants!$B$25*0.000000001*Input!G210/Input!W210*(Constants!$B$11/Constants!$B$9))-(W210*0.000000001))/Input!F210)*1000000000&lt;0, "n.d.", (((Constants!$B$25*0.000000001*Input!G210/Input!W210*(Constants!$B$11/Constants!$B$9))-(W210*0.000000001))/Input!F210)*1000000000)</f>
        <v>1.6810200252984544</v>
      </c>
      <c r="Y210" s="129">
        <f>X210*Input!X210/100</f>
        <v>2.7966622181231572E-3</v>
      </c>
      <c r="Z210" s="129">
        <f>(X210/Constants!$B$11)*6.022E+23*0.000000001*Constants!$B$19/(365.2425*24*60)</f>
        <v>4.103913334191699E-4</v>
      </c>
      <c r="AA210" s="129">
        <f>Z210*Input!X210/100</f>
        <v>6.827556599837675E-7</v>
      </c>
      <c r="AB210" s="134">
        <v>0.05</v>
      </c>
      <c r="AC210" s="134">
        <v>0.9</v>
      </c>
      <c r="AD210" s="129">
        <f>(((Input!G210*Constants!$B$25*0.000000001*Input!U210*(Constants!$B$10/Constants!$B$9))-((AB210*0.000000000000001)+(Input!G210*AC210*0.000000000000001)))/Input!F210)*1000000000000</f>
        <v>20.113030085885732</v>
      </c>
      <c r="AE210" s="129">
        <f>AD210*Input!V210/100</f>
        <v>4.5103492839805755E-2</v>
      </c>
      <c r="AF210" s="129">
        <f>(AD210/Constants!$B$10)*602200000000*Constants!$B$16/(365.2425*24*60)</f>
        <v>0.91807270311439448</v>
      </c>
      <c r="AG210" s="129">
        <f>AF210*Input!V210/100</f>
        <v>2.0587790807512075E-3</v>
      </c>
      <c r="AH210" s="18">
        <f>AF210/Z210</f>
        <v>2237.0664981287105</v>
      </c>
      <c r="AI210" s="133">
        <f>AH210*SQRT((AG210/AF210)^2+(AA210/Z210)^2)</f>
        <v>6.2464282710100418</v>
      </c>
      <c r="AJ210" s="132">
        <f t="shared" si="1140"/>
        <v>126.97881859157212</v>
      </c>
      <c r="AK210" s="133">
        <f>V210*1000</f>
        <v>0.95381334667811413</v>
      </c>
      <c r="AL210" s="133">
        <f>AF210/Q210</f>
        <v>0.32172889302357799</v>
      </c>
      <c r="AM210" s="133">
        <f>AL210*SQRT((R210/Q210)^2+(AG210/AF210)^2)</f>
        <v>7.2203436609219527E-4</v>
      </c>
      <c r="AN210" s="18">
        <f>AL210*1/((AN209+AN211)/2)</f>
        <v>0.32431312545953844</v>
      </c>
      <c r="AO210" s="129">
        <f>AN210*SQRT((R210/Q210)^2+(AG210/AF210)^2)</f>
        <v>7.2783398393564726E-4</v>
      </c>
      <c r="AP210" s="18">
        <f>ThU_Alter_Kombi(AN210,U210)</f>
        <v>36.755600000000001</v>
      </c>
      <c r="AQ210" s="18">
        <f t="shared" si="1146"/>
        <v>9.8299999999999998E-2</v>
      </c>
      <c r="AR210" s="154">
        <f>(AQ210/AP210)</f>
        <v>2.6744224009402646E-3</v>
      </c>
      <c r="AS210" s="131">
        <f t="shared" si="1147"/>
        <v>1.4381731311639677E-4</v>
      </c>
      <c r="AT210" s="131">
        <f t="shared" si="1148"/>
        <v>2.3960000205408788E-7</v>
      </c>
      <c r="AU210" s="18">
        <v>8</v>
      </c>
      <c r="AV210" s="18">
        <f>AU210/2</f>
        <v>4</v>
      </c>
      <c r="AW210" s="18">
        <f t="shared" si="1150"/>
        <v>36.645600000000002</v>
      </c>
      <c r="AX210" s="135">
        <f t="shared" si="1151"/>
        <v>0.1241345415</v>
      </c>
      <c r="AY210" s="135">
        <f t="shared" si="1152"/>
        <v>0.11838687975107752</v>
      </c>
      <c r="AZ210" s="154">
        <f t="shared" si="1153"/>
        <v>3.387433730106752E-3</v>
      </c>
      <c r="BA210" s="18" t="str">
        <f>Input!B210</f>
        <v>GeoB23225-1 192-202 La-01</v>
      </c>
      <c r="BB210" s="136">
        <f>Input!E210</f>
        <v>200</v>
      </c>
      <c r="BC210" s="18">
        <f>((U210-1)*EXP(Constants!$B$17*AW210*1000))*1000</f>
        <v>140.81350731269518</v>
      </c>
      <c r="BD210" s="132">
        <f>SQRT((EXP(Constants!$B$17*AW210*1000)*V210)^2+((U210-1)*Constants!$B$17*EXP(Constants!$B$17*AW210*1000)*AY210*1000)^2)*1000</f>
        <v>1.0587796133469156</v>
      </c>
      <c r="BE210" s="18">
        <f t="shared" si="1154"/>
        <v>36587.599999999999</v>
      </c>
      <c r="BF210" s="137">
        <f t="shared" si="1155"/>
        <v>59.193439875538758</v>
      </c>
      <c r="BG210" s="20">
        <f t="shared" si="1156"/>
        <v>0.3230589204463224</v>
      </c>
      <c r="BH210" s="18"/>
      <c r="BI210" s="18"/>
      <c r="BJ210" s="18"/>
      <c r="BK210" s="18"/>
      <c r="BL210" s="18"/>
      <c r="BM210" s="18"/>
      <c r="BN210" s="159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</row>
    <row r="211" spans="1:110" ht="15" customHeight="1" x14ac:dyDescent="0.2">
      <c r="A211" s="138">
        <f>Input!A211</f>
        <v>10815</v>
      </c>
      <c r="B211" s="138" t="str">
        <f>Input!B211</f>
        <v>Hu1-13</v>
      </c>
      <c r="C211" s="138">
        <f>Input!O211</f>
        <v>2.071115306464657</v>
      </c>
      <c r="D211" s="138">
        <f>C211*Input!P211/100</f>
        <v>1.1994216774337057E-2</v>
      </c>
      <c r="E211" s="139">
        <f>Input!M211</f>
        <v>2.7319249303493205</v>
      </c>
      <c r="F211" s="140">
        <f>E211*Input!N211/100</f>
        <v>2.8691817972332568E-4</v>
      </c>
      <c r="G211" s="141">
        <f t="shared" ref="G211" si="1166">E211*137.88</f>
        <v>376.67780939656427</v>
      </c>
      <c r="H211" s="140">
        <f>G211*Input!L211/100</f>
        <v>2.5972208088617773E-2</v>
      </c>
      <c r="I211" s="138">
        <v>0</v>
      </c>
      <c r="J211" s="142">
        <f>(((C211*Constants!$B$24*0.000000001*Input!G211*(Constants!$B$4/Constants!$B$3))-(I211*0.000000000000001))/Input!F211)*1000000000000</f>
        <v>747.75038087231292</v>
      </c>
      <c r="K211" s="138">
        <f>J211*Input!P211/100</f>
        <v>4.3303625506901087</v>
      </c>
      <c r="L211" s="143">
        <f>(J211/Constants!$B$4)*602200000000*Constants!$B$17/(365.2425*24*60)</f>
        <v>10.323524246286548</v>
      </c>
      <c r="M211" s="144">
        <f>L211*Input!P211/100</f>
        <v>5.9785463078078235E-2</v>
      </c>
      <c r="N211" s="138">
        <v>0</v>
      </c>
      <c r="O211" s="142">
        <f>(((G211*Constants!$B$23*0.000000001*Input!G211*(Constants!$B$7/Constants!$B$6))-(N211*0.000000001))/Input!F211)*1000000</f>
        <v>13.699474278971479</v>
      </c>
      <c r="P211" s="138">
        <f>O211*Input!N211/100</f>
        <v>1.4387760730989127E-3</v>
      </c>
      <c r="Q211" s="145">
        <f>(O211/Constants!$B$7)*602200000000000000*Constants!$B$18/(365.2425*24*60)</f>
        <v>10.221462139617991</v>
      </c>
      <c r="R211" s="146">
        <f>Q211*Input!N211/100</f>
        <v>1.0735006949239589E-3</v>
      </c>
      <c r="S211" s="144">
        <f>Input!S211*Constants!$B$17/Constants!$B$18</f>
        <v>0.9995801874374588</v>
      </c>
      <c r="T211" s="138">
        <f>S211*Input!T211/100</f>
        <v>1.0308430179835598E-3</v>
      </c>
      <c r="U211" s="144">
        <f>S211</f>
        <v>0.9995801874374588</v>
      </c>
      <c r="V211" s="138">
        <f>U211*Input!T211/100</f>
        <v>1.0308430179835598E-3</v>
      </c>
      <c r="W211" s="147">
        <v>0</v>
      </c>
      <c r="X211" s="142">
        <f>(((Constants!$B$25*0.000000001*Input!G211/Input!W211*(Constants!$B$11/Constants!$B$9))-(W211*0.000000001))/Input!F211)*1000000000</f>
        <v>0.92267753743680236</v>
      </c>
      <c r="Y211" s="142">
        <f>X211*Input!X211/100</f>
        <v>3.9666388161192969E-3</v>
      </c>
      <c r="Z211" s="142">
        <f>(X211/Constants!$B$11)*6.022E+23*0.000000001*Constants!$B$19/(365.2425*24*60)</f>
        <v>2.2525541588201898E-4</v>
      </c>
      <c r="AA211" s="142">
        <f>Z211*Input!X211/100</f>
        <v>9.6838477141306942E-7</v>
      </c>
      <c r="AB211" s="143">
        <v>0</v>
      </c>
      <c r="AC211" s="143">
        <v>0.9</v>
      </c>
      <c r="AD211" s="142">
        <f>(((Input!G211*Constants!$B$25*0.000000001*Input!U211*(Constants!$B$10/Constants!$B$9))-((AB211*0.000000000000001)+(Input!G211*AC211*0.000000000000001)))/Input!F211)*1000000000000</f>
        <v>222.36997525486919</v>
      </c>
      <c r="AE211" s="142">
        <f>AD211*Input!V211/100</f>
        <v>0.58184778866631515</v>
      </c>
      <c r="AF211" s="142">
        <f>(AD211/Constants!$B$10)*602200000000*Constants!$B$16/(365.2425*24*60)</f>
        <v>10.150226166915635</v>
      </c>
      <c r="AG211" s="142">
        <f>AF211*Input!V211/100</f>
        <v>2.655883125819393E-2</v>
      </c>
      <c r="AH211" s="138">
        <f t="shared" ref="AH211" si="1167">AF211/Z211</f>
        <v>45060.963915877495</v>
      </c>
      <c r="AI211" s="147">
        <f t="shared" ref="AI211" si="1168">AH211*SQRT((AG211/AF211)^2+(AA211/Z211)^2)</f>
        <v>226.77941513838942</v>
      </c>
      <c r="AJ211" s="144">
        <f t="shared" si="1140"/>
        <v>-0.4198125625411997</v>
      </c>
      <c r="AK211" s="147">
        <f t="shared" ref="AK211" si="1169">V211*1000</f>
        <v>1.0308430179835597</v>
      </c>
      <c r="AL211" s="147">
        <f t="shared" ref="AL211" si="1170">AF211/Q211</f>
        <v>0.99303074533473568</v>
      </c>
      <c r="AM211" s="147">
        <f t="shared" ref="AM211" si="1171">AL211*SQRT((R211/Q211)^2+(AG211/AF211)^2)</f>
        <v>2.60043193832004E-3</v>
      </c>
      <c r="AN211" s="138">
        <f>AF211/Q211</f>
        <v>0.99303074533473568</v>
      </c>
      <c r="AO211" s="142">
        <f t="shared" ref="AO211" si="1172">AN211*SQRT((R211/Q211)^2+(AG211/AF211)^2)</f>
        <v>2.60043193832004E-3</v>
      </c>
      <c r="AP211" s="138">
        <f t="shared" ref="AP211" si="1173">ThU_Alter_Kombi(AN211,U211)</f>
        <v>551.15859999999998</v>
      </c>
      <c r="AQ211" s="138" t="e">
        <f t="shared" si="1146"/>
        <v>#VALUE!</v>
      </c>
      <c r="AR211" s="138" t="e">
        <f>(AQ211/AP211)*100</f>
        <v>#VALUE!</v>
      </c>
      <c r="AS211" s="146">
        <f t="shared" si="1147"/>
        <v>2.2037494519393438E-5</v>
      </c>
      <c r="AT211" s="146">
        <f t="shared" si="1148"/>
        <v>9.4768603944172309E-8</v>
      </c>
      <c r="AU211" s="138">
        <v>0.75</v>
      </c>
      <c r="AV211" s="138">
        <f t="shared" ref="AV211" si="1174">AU211/2</f>
        <v>0.375</v>
      </c>
      <c r="AW211" s="138">
        <f t="shared" si="1150"/>
        <v>551.15679999999998</v>
      </c>
      <c r="AX211" s="148">
        <f t="shared" si="1151"/>
        <v>128.17213515029999</v>
      </c>
      <c r="AY211" s="148">
        <f t="shared" si="1152"/>
        <v>50.6557490540524</v>
      </c>
      <c r="AZ211" s="149">
        <f t="shared" si="1153"/>
        <v>0.23255112728410499</v>
      </c>
      <c r="BA211" s="138" t="str">
        <f>Input!B211</f>
        <v>Hu1-13</v>
      </c>
      <c r="BB211" s="150">
        <f>Input!E211</f>
        <v>0</v>
      </c>
      <c r="BC211" s="138">
        <f>((U211-1)*EXP(Constants!$B$17*AW211*1000))*1000</f>
        <v>-1.9886392522953547</v>
      </c>
      <c r="BD211" s="144">
        <f>SQRT((EXP(Constants!$B$17*AW211*1000)*V211)^2+((U211-1)*Constants!$B$17*EXP(Constants!$B$17*AW211*1000)*AY211*1000)^2)*1000</f>
        <v>4.8913400145482955</v>
      </c>
      <c r="BE211" s="138">
        <f t="shared" si="1154"/>
        <v>551098.79999999993</v>
      </c>
      <c r="BF211" s="151">
        <f t="shared" si="1155"/>
        <v>25327.874527026201</v>
      </c>
      <c r="BG211" s="160">
        <f t="shared" si="1156"/>
        <v>9.1908054212616808</v>
      </c>
      <c r="BH211" s="138"/>
      <c r="BI211" s="18"/>
      <c r="BJ211" s="18"/>
      <c r="BK211" s="18"/>
      <c r="BL211" s="18"/>
      <c r="BM211" s="18"/>
      <c r="BN211" s="159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</row>
    <row r="212" spans="1:110" ht="15" customHeight="1" x14ac:dyDescent="0.2">
      <c r="A212" s="18">
        <f>Input!A212</f>
        <v>11037</v>
      </c>
      <c r="B212" s="18" t="str">
        <f>Input!B212</f>
        <v>GeoB23225-1 192-202 La-02</v>
      </c>
      <c r="C212" s="18">
        <f>Input!O212</f>
        <v>4.9599992046809964</v>
      </c>
      <c r="D212" s="18">
        <f>C212*Input!P212/100</f>
        <v>2.6018155287331094E-2</v>
      </c>
      <c r="E212" s="152">
        <f>Input!M212</f>
        <v>5.7791195044485439</v>
      </c>
      <c r="F212" s="153">
        <f>E212*Input!N212/100</f>
        <v>4.1184309280561986E-4</v>
      </c>
      <c r="G212" s="21">
        <f>E212*137.88</f>
        <v>796.82499727336517</v>
      </c>
      <c r="H212" s="153">
        <f>G212*Input!L212/100</f>
        <v>4.1163099928790657E-2</v>
      </c>
      <c r="I212" s="18">
        <v>0.3</v>
      </c>
      <c r="J212" s="129">
        <f>(((C212*Constants!$B$24*0.000000001*Input!G212*(Constants!$B$4/Constants!$B$3))-(I212*0.000000000000001))/Input!F212)*1000000000000</f>
        <v>293.23346861366355</v>
      </c>
      <c r="K212" s="18">
        <f>J212*Input!P212/100</f>
        <v>1.5381845050766925</v>
      </c>
      <c r="L212" s="134">
        <f>(J212/Constants!$B$4)*602200000000*Constants!$B$17/(365.2425*24*60)</f>
        <v>4.0484136156833213</v>
      </c>
      <c r="M212" s="132">
        <f>L212*Input!P212/100</f>
        <v>2.1236344961665911E-2</v>
      </c>
      <c r="N212" s="18">
        <v>5.0000000000000001E-3</v>
      </c>
      <c r="O212" s="129">
        <f>(((G212*Constants!$B$23*0.000000001*Input!G212*(Constants!$B$7/Constants!$B$6))-(N212*0.000000001))/Input!F212)*1000000</f>
        <v>4.7454366201081681</v>
      </c>
      <c r="P212" s="18">
        <f>O212*Input!N212/100</f>
        <v>3.3817872996638889E-4</v>
      </c>
      <c r="Q212" s="130">
        <f>(O212/Constants!$B$7)*602200000000000000*Constants!$B$18/(365.2425*24*60)</f>
        <v>3.5406687702496318</v>
      </c>
      <c r="R212" s="131">
        <f>Q212*Input!N212/100</f>
        <v>2.5232217049974705E-4</v>
      </c>
      <c r="S212" s="132">
        <f>Input!S212*Constants!$B$17/Constants!$B$18</f>
        <v>1.1266613185645764</v>
      </c>
      <c r="T212" s="18">
        <f>S212*Input!T212/100</f>
        <v>5.2804339506566959E-4</v>
      </c>
      <c r="U212" s="18">
        <f>S212*1/((U211+U213)/2)</f>
        <v>1.1267920754107832</v>
      </c>
      <c r="V212" s="18">
        <f>U212*Input!T212/100</f>
        <v>5.2810467815745722E-4</v>
      </c>
      <c r="W212" s="133">
        <v>3.0000000000000001E-3</v>
      </c>
      <c r="X212" s="129">
        <f>IF((((Constants!$B$25*0.000000001*Input!G212/Input!W212*(Constants!$B$11/Constants!$B$9))-(W212*0.000000001))/Input!F212)*1000000000&lt;0, "n.d.", (((Constants!$B$25*0.000000001*Input!G212/Input!W212*(Constants!$B$11/Constants!$B$9))-(W212*0.000000001))/Input!F212)*1000000000)</f>
        <v>1.728590279158164</v>
      </c>
      <c r="Y212" s="129">
        <f>X212*Input!X212/100</f>
        <v>3.3317028615930206E-3</v>
      </c>
      <c r="Z212" s="129">
        <f>(X212/Constants!$B$11)*6.022E+23*0.000000001*Constants!$B$19/(365.2425*24*60)</f>
        <v>4.2200477027225475E-4</v>
      </c>
      <c r="AA212" s="129">
        <f>Z212*Input!X212/100</f>
        <v>8.1337637823967505E-7</v>
      </c>
      <c r="AB212" s="134">
        <v>0.05</v>
      </c>
      <c r="AC212" s="134">
        <v>0.9</v>
      </c>
      <c r="AD212" s="129">
        <f>(((Input!G212*Constants!$B$25*0.000000001*Input!U212*(Constants!$B$10/Constants!$B$9))-((AB212*0.000000000000001)+(Input!G212*AC212*0.000000000000001)))/Input!F212)*1000000000000</f>
        <v>23.759806910031489</v>
      </c>
      <c r="AE212" s="129">
        <f>AD212*Input!V212/100</f>
        <v>4.6117065324266633E-2</v>
      </c>
      <c r="AF212" s="129">
        <f>(AD212/Constants!$B$10)*602200000000*Constants!$B$16/(365.2425*24*60)</f>
        <v>1.084532268992928</v>
      </c>
      <c r="AG212" s="129">
        <f>AF212*Input!V212/100</f>
        <v>2.1050442743415242E-3</v>
      </c>
      <c r="AH212" s="18">
        <f>AF212/Z212</f>
        <v>2569.9526294293928</v>
      </c>
      <c r="AI212" s="133">
        <f>AH212*SQRT((AG212/AF212)^2+(AA212/Z212)^2)</f>
        <v>7.0297831389042145</v>
      </c>
      <c r="AJ212" s="132">
        <f t="shared" si="1140"/>
        <v>126.79207541078318</v>
      </c>
      <c r="AK212" s="133">
        <f>V212*1000</f>
        <v>0.52810467815745721</v>
      </c>
      <c r="AL212" s="133">
        <f>AF212/Q212</f>
        <v>0.30630718075231417</v>
      </c>
      <c r="AM212" s="133">
        <f>AL212*SQRT((R212/Q212)^2+(AG212/AF212)^2)</f>
        <v>5.9493354925422757E-4</v>
      </c>
      <c r="AN212" s="18">
        <f>AL212*1/((AN211+AN213)/2)</f>
        <v>0.3084150476178727</v>
      </c>
      <c r="AO212" s="129">
        <f>AN212*SQRT((R212/Q212)^2+(AG212/AF212)^2)</f>
        <v>5.9902761166765871E-4</v>
      </c>
      <c r="AP212" s="18">
        <f>ThU_Alter_Kombi(AN212,U212)</f>
        <v>34.653700000000001</v>
      </c>
      <c r="AQ212" s="18">
        <f t="shared" si="1146"/>
        <v>7.3800000000000004E-2</v>
      </c>
      <c r="AR212" s="154">
        <f>(AQ212/AP212)</f>
        <v>2.1296427221335675E-3</v>
      </c>
      <c r="AS212" s="131">
        <f t="shared" si="1147"/>
        <v>1.191878703306386E-4</v>
      </c>
      <c r="AT212" s="131">
        <f t="shared" si="1148"/>
        <v>2.2988091057789666E-7</v>
      </c>
      <c r="AU212" s="18">
        <v>8</v>
      </c>
      <c r="AV212" s="18">
        <f>AU212/2</f>
        <v>4</v>
      </c>
      <c r="AW212" s="18">
        <f t="shared" si="1150"/>
        <v>34.5625</v>
      </c>
      <c r="AX212" s="135">
        <f t="shared" si="1151"/>
        <v>9.6047931000000003E-2</v>
      </c>
      <c r="AY212" s="135">
        <f t="shared" si="1152"/>
        <v>9.3236010771795927E-2</v>
      </c>
      <c r="AZ212" s="154">
        <f t="shared" si="1153"/>
        <v>2.7789636455696205E-3</v>
      </c>
      <c r="BA212" s="18" t="str">
        <f>Input!B212</f>
        <v>GeoB23225-1 192-202 La-02</v>
      </c>
      <c r="BB212" s="136">
        <f>Input!E212</f>
        <v>200</v>
      </c>
      <c r="BC212" s="18">
        <f>((U212-1)*EXP(Constants!$B$17*AW212*1000))*1000</f>
        <v>139.78226920564663</v>
      </c>
      <c r="BD212" s="132">
        <f>SQRT((EXP(Constants!$B$17*AW212*1000)*V212)^2+((U212-1)*Constants!$B$17*EXP(Constants!$B$17*AW212*1000)*AY212*1000)^2)*1000</f>
        <v>0.58337098564481915</v>
      </c>
      <c r="BE212" s="18">
        <f t="shared" si="1154"/>
        <v>34504.5</v>
      </c>
      <c r="BF212" s="137">
        <f t="shared" si="1155"/>
        <v>46.618005385897966</v>
      </c>
      <c r="BG212" s="20">
        <f t="shared" si="1156"/>
        <v>0.269760609827981</v>
      </c>
      <c r="BH212" s="18"/>
      <c r="BI212" s="18"/>
      <c r="BJ212" s="18"/>
      <c r="BK212" s="18"/>
      <c r="BL212" s="18"/>
      <c r="BM212" s="18"/>
      <c r="BN212" s="159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</row>
    <row r="213" spans="1:110" ht="15" customHeight="1" x14ac:dyDescent="0.2">
      <c r="A213" s="138">
        <f>Input!A213</f>
        <v>10815</v>
      </c>
      <c r="B213" s="138" t="str">
        <f>Input!B213</f>
        <v>Hu1-13</v>
      </c>
      <c r="C213" s="138">
        <f>Input!O213</f>
        <v>2.0590246882831282</v>
      </c>
      <c r="D213" s="138">
        <f>C213*Input!P213/100</f>
        <v>1.2646937487684373E-2</v>
      </c>
      <c r="E213" s="139">
        <f>Input!M213</f>
        <v>2.7310271970088436</v>
      </c>
      <c r="F213" s="140">
        <f>E213*Input!N213/100</f>
        <v>2.9060458240864884E-4</v>
      </c>
      <c r="G213" s="141">
        <f t="shared" ref="G213" si="1175">E213*137.88</f>
        <v>376.55402992357932</v>
      </c>
      <c r="H213" s="140">
        <f>G213*Input!L213/100</f>
        <v>2.292319393232941E-2</v>
      </c>
      <c r="I213" s="138">
        <v>0</v>
      </c>
      <c r="J213" s="142">
        <f>(((C213*Constants!$B$24*0.000000001*Input!G213*(Constants!$B$4/Constants!$B$3))-(I213*0.000000000000001))/Input!F213)*1000000000000</f>
        <v>743.38521379445854</v>
      </c>
      <c r="K213" s="138">
        <f>J213*Input!P213/100</f>
        <v>4.5660192330994684</v>
      </c>
      <c r="L213" s="143">
        <f>(J213/Constants!$B$4)*602200000000*Constants!$B$17/(365.2425*24*60)</f>
        <v>10.263258268066982</v>
      </c>
      <c r="M213" s="144">
        <f>L213*Input!P213/100</f>
        <v>6.3038965231850985E-2</v>
      </c>
      <c r="N213" s="138">
        <v>0</v>
      </c>
      <c r="O213" s="142">
        <f>(((G213*Constants!$B$23*0.000000001*Input!G213*(Constants!$B$7/Constants!$B$6))-(N213*0.000000001))/Input!F213)*1000000</f>
        <v>13.694972517348891</v>
      </c>
      <c r="P213" s="138">
        <f>O213*Input!N213/100</f>
        <v>1.4572618587837555E-3</v>
      </c>
      <c r="Q213" s="145">
        <f>(O213/Constants!$B$7)*602200000000000000*Constants!$B$18/(365.2425*24*60)</f>
        <v>10.21810328182171</v>
      </c>
      <c r="R213" s="146">
        <f>Q213*Input!N213/100</f>
        <v>1.087293323359982E-3</v>
      </c>
      <c r="S213" s="144">
        <f>Input!S213*Constants!$B$17/Constants!$B$18</f>
        <v>1.0001877256512819</v>
      </c>
      <c r="T213" s="138">
        <f>S213*Input!T213/100</f>
        <v>1.1853807325167924E-3</v>
      </c>
      <c r="U213" s="144">
        <f>S213</f>
        <v>1.0001877256512819</v>
      </c>
      <c r="V213" s="138">
        <f>U213*Input!T213/100</f>
        <v>1.1853807325167924E-3</v>
      </c>
      <c r="W213" s="147">
        <v>0</v>
      </c>
      <c r="X213" s="142">
        <f>(((Constants!$B$25*0.000000001*Input!G213/Input!W213*(Constants!$B$11/Constants!$B$9))-(W213*0.000000001))/Input!F213)*1000000000</f>
        <v>0.91554405572404218</v>
      </c>
      <c r="Y213" s="142">
        <f>X213*Input!X213/100</f>
        <v>3.5883830864015197E-3</v>
      </c>
      <c r="Z213" s="142">
        <f>(X213/Constants!$B$11)*6.022E+23*0.000000001*Constants!$B$19/(365.2425*24*60)</f>
        <v>2.2351390237952448E-4</v>
      </c>
      <c r="AA213" s="142">
        <f>Z213*Input!X213/100</f>
        <v>8.7604031926131167E-7</v>
      </c>
      <c r="AB213" s="143">
        <v>0</v>
      </c>
      <c r="AC213" s="143">
        <v>0.9</v>
      </c>
      <c r="AD213" s="142">
        <f>(((Input!G213*Constants!$B$25*0.000000001*Input!U213*(Constants!$B$10/Constants!$B$9))-((AB213*0.000000000000001)+(Input!G213*AC213*0.000000000000001)))/Input!F213)*1000000000000</f>
        <v>222.35722805004764</v>
      </c>
      <c r="AE213" s="142">
        <f>AD213*Input!V213/100</f>
        <v>0.70106278622958584</v>
      </c>
      <c r="AF213" s="142">
        <f>(AD213/Constants!$B$10)*602200000000*Constants!$B$16/(365.2425*24*60)</f>
        <v>10.149644312230501</v>
      </c>
      <c r="AG213" s="142">
        <f>AF213*Input!V213/100</f>
        <v>3.2000479512948571E-2</v>
      </c>
      <c r="AH213" s="138">
        <f t="shared" ref="AH213" si="1176">AF213/Z213</f>
        <v>45409.454195813298</v>
      </c>
      <c r="AI213" s="147">
        <f t="shared" ref="AI213" si="1177">AH213*SQRT((AG213/AF213)^2+(AA213/Z213)^2)</f>
        <v>228.41571500955229</v>
      </c>
      <c r="AJ213" s="144">
        <f t="shared" si="1140"/>
        <v>0.18772565128188923</v>
      </c>
      <c r="AK213" s="147">
        <f t="shared" ref="AK213" si="1178">V213*1000</f>
        <v>1.1853807325167924</v>
      </c>
      <c r="AL213" s="147">
        <f t="shared" ref="AL213" si="1179">AF213/Q213</f>
        <v>0.99330022728259171</v>
      </c>
      <c r="AM213" s="147">
        <f t="shared" ref="AM213" si="1180">AL213*SQRT((R213/Q213)^2+(AG213/AF213)^2)</f>
        <v>3.133526689222363E-3</v>
      </c>
      <c r="AN213" s="138">
        <f>AF213/Q213</f>
        <v>0.99330022728259171</v>
      </c>
      <c r="AO213" s="142">
        <f t="shared" ref="AO213" si="1181">AN213*SQRT((R213/Q213)^2+(AG213/AF213)^2)</f>
        <v>3.133526689222363E-3</v>
      </c>
      <c r="AP213" s="138">
        <f t="shared" ref="AP213" si="1182">ThU_Alter_Kombi(AN213,U213)</f>
        <v>541.65470000000005</v>
      </c>
      <c r="AQ213" s="138" t="e">
        <f t="shared" si="1146"/>
        <v>#VALUE!</v>
      </c>
      <c r="AR213" s="138" t="e">
        <f>(AQ213/AP213)*100</f>
        <v>#VALUE!</v>
      </c>
      <c r="AS213" s="146">
        <f t="shared" si="1147"/>
        <v>2.1874304478519211E-5</v>
      </c>
      <c r="AT213" s="146">
        <f t="shared" si="1148"/>
        <v>8.5765732726892252E-8</v>
      </c>
      <c r="AU213" s="138">
        <v>0.75</v>
      </c>
      <c r="AV213" s="138">
        <f t="shared" ref="AV213" si="1183">AU213/2</f>
        <v>0.375</v>
      </c>
      <c r="AW213" s="138">
        <f t="shared" si="1150"/>
        <v>541.65290000000005</v>
      </c>
      <c r="AX213" s="148">
        <f t="shared" si="1151"/>
        <v>98.075081342600001</v>
      </c>
      <c r="AY213" s="148">
        <f t="shared" si="1152"/>
        <v>55.177292416996231</v>
      </c>
      <c r="AZ213" s="149">
        <f t="shared" si="1153"/>
        <v>0.18106629050190629</v>
      </c>
      <c r="BA213" s="138" t="str">
        <f>Input!B213</f>
        <v>Hu1-13</v>
      </c>
      <c r="BB213" s="150">
        <f>Input!E213</f>
        <v>0</v>
      </c>
      <c r="BC213" s="138">
        <f>((U213-1)*EXP(Constants!$B$17*AW213*1000))*1000</f>
        <v>0.86571744409342799</v>
      </c>
      <c r="BD213" s="144">
        <f>SQRT((EXP(Constants!$B$17*AW213*1000)*V213)^2+((U213-1)*Constants!$B$17*EXP(Constants!$B$17*AW213*1000)*AY213*1000)^2)*1000</f>
        <v>5.4681752236799088</v>
      </c>
      <c r="BE213" s="138">
        <f t="shared" si="1154"/>
        <v>541594.9</v>
      </c>
      <c r="BF213" s="151">
        <f t="shared" si="1155"/>
        <v>27588.646208498114</v>
      </c>
      <c r="BG213" s="160">
        <f t="shared" si="1156"/>
        <v>10.186835963953341</v>
      </c>
      <c r="BH213" s="138"/>
      <c r="BI213" s="18"/>
      <c r="BJ213" s="18"/>
      <c r="BK213" s="18"/>
      <c r="BL213" s="18"/>
      <c r="BM213" s="18"/>
      <c r="BN213" s="159"/>
      <c r="BO213" s="18"/>
      <c r="BP213" s="18"/>
      <c r="BQ213" s="18"/>
      <c r="BR213" s="18"/>
      <c r="BS213" s="18"/>
      <c r="BT213" s="18"/>
      <c r="BU213" s="18"/>
      <c r="BV213" s="18"/>
      <c r="BW213" s="18"/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</row>
    <row r="214" spans="1:110" ht="15" customHeight="1" x14ac:dyDescent="0.2">
      <c r="A214" s="18">
        <f>Input!A214</f>
        <v>11038</v>
      </c>
      <c r="B214" s="18" t="str">
        <f>Input!B214</f>
        <v>GeoB23225-1 192-202 La-03</v>
      </c>
      <c r="C214" s="18">
        <f>Input!O214</f>
        <v>6.1101774520224819</v>
      </c>
      <c r="D214" s="18">
        <f>C214*Input!P214/100</f>
        <v>3.1926078220571322E-2</v>
      </c>
      <c r="E214" s="152">
        <f>Input!M214</f>
        <v>7.2058667812476775</v>
      </c>
      <c r="F214" s="153">
        <f>E214*Input!N214/100</f>
        <v>5.7770798011118059E-4</v>
      </c>
      <c r="G214" s="21">
        <f>E214*137.88</f>
        <v>993.54491179842978</v>
      </c>
      <c r="H214" s="153">
        <f>G214*Input!L214/100</f>
        <v>4.7117281776326611E-2</v>
      </c>
      <c r="I214" s="18">
        <v>0.3</v>
      </c>
      <c r="J214" s="129">
        <f>(((C214*Constants!$B$24*0.000000001*Input!G214*(Constants!$B$4/Constants!$B$3))-(I214*0.000000000000001))/Input!F214)*1000000000000</f>
        <v>298.66805419949901</v>
      </c>
      <c r="K214" s="18">
        <f>J214*Input!P214/100</f>
        <v>1.5605601858916285</v>
      </c>
      <c r="L214" s="134">
        <f>(J214/Constants!$B$4)*602200000000*Constants!$B$17/(365.2425*24*60)</f>
        <v>4.1234441037968033</v>
      </c>
      <c r="M214" s="132">
        <f>L214*Input!P214/100</f>
        <v>2.1545266079366559E-2</v>
      </c>
      <c r="N214" s="18">
        <v>5.0000000000000001E-3</v>
      </c>
      <c r="O214" s="129">
        <f>(((G214*Constants!$B$23*0.000000001*Input!G214*(Constants!$B$7/Constants!$B$6))-(N214*0.000000001))/Input!F214)*1000000</f>
        <v>4.8921960668177853</v>
      </c>
      <c r="P214" s="18">
        <f>O214*Input!N214/100</f>
        <v>3.9221661930028149E-4</v>
      </c>
      <c r="Q214" s="130">
        <f>(O214/Constants!$B$7)*602200000000000000*Constants!$B$18/(365.2425*24*60)</f>
        <v>3.6501690399407298</v>
      </c>
      <c r="R214" s="131">
        <f>Q214*Input!N214/100</f>
        <v>2.9264096147547778E-4</v>
      </c>
      <c r="S214" s="132">
        <f>Input!S214*Constants!$B$17/Constants!$B$18</f>
        <v>1.1262244816595013</v>
      </c>
      <c r="T214" s="18">
        <f>S214*Input!T214/100</f>
        <v>4.6613673659955167E-4</v>
      </c>
      <c r="U214" s="18">
        <f>S214*1/((U213+U215)/2)</f>
        <v>1.1262324424301096</v>
      </c>
      <c r="V214" s="18">
        <f>U214*Input!T214/100</f>
        <v>4.6614003150895254E-4</v>
      </c>
      <c r="W214" s="133">
        <v>3.0000000000000001E-3</v>
      </c>
      <c r="X214" s="129">
        <f>IF((((Constants!$B$25*0.000000001*Input!G214/Input!W214*(Constants!$B$11/Constants!$B$9))-(W214*0.000000001))/Input!F214)*1000000000&lt;0, "n.d.", (((Constants!$B$25*0.000000001*Input!G214/Input!W214*(Constants!$B$11/Constants!$B$9))-(W214*0.000000001))/Input!F214)*1000000000)</f>
        <v>1.3924739453459878</v>
      </c>
      <c r="Y214" s="129">
        <f>X214*Input!X214/100</f>
        <v>2.46023370450242E-3</v>
      </c>
      <c r="Z214" s="129">
        <f>(X214/Constants!$B$11)*6.022E+23*0.000000001*Constants!$B$19/(365.2425*24*60)</f>
        <v>3.399479069742392E-4</v>
      </c>
      <c r="AA214" s="129">
        <f>Z214*Input!X214/100</f>
        <v>6.0062258350210534E-7</v>
      </c>
      <c r="AB214" s="134">
        <v>0.05</v>
      </c>
      <c r="AC214" s="134">
        <v>0.9</v>
      </c>
      <c r="AD214" s="129">
        <f>(((Input!G214*Constants!$B$25*0.000000001*Input!U214*(Constants!$B$10/Constants!$B$9))-((AB214*0.000000000000001)+(Input!G214*AC214*0.000000000000001)))/Input!F214)*1000000000000</f>
        <v>25.148618001740537</v>
      </c>
      <c r="AE214" s="129">
        <f>AD214*Input!V214/100</f>
        <v>5.5233251101716584E-2</v>
      </c>
      <c r="AF214" s="129">
        <f>(AD214/Constants!$B$10)*602200000000*Constants!$B$16/(365.2425*24*60)</f>
        <v>1.1479254796447298</v>
      </c>
      <c r="AG214" s="129">
        <f>AF214*Input!V214/100</f>
        <v>2.5211586679986801E-3</v>
      </c>
      <c r="AH214" s="18">
        <f>AF214/Z214</f>
        <v>3376.7687816113485</v>
      </c>
      <c r="AI214" s="133">
        <f>AH214*SQRT((AG214/AF214)^2+(AA214/Z214)^2)</f>
        <v>9.5181930761042342</v>
      </c>
      <c r="AJ214" s="132">
        <f t="shared" si="1140"/>
        <v>126.23244243010956</v>
      </c>
      <c r="AK214" s="133">
        <f>V214*1000</f>
        <v>0.46614003150895256</v>
      </c>
      <c r="AL214" s="133">
        <f>AF214/Q214</f>
        <v>0.31448556685565704</v>
      </c>
      <c r="AM214" s="133">
        <f>AL214*SQRT((R214/Q214)^2+(AG214/AF214)^2)</f>
        <v>6.9115644206814918E-4</v>
      </c>
      <c r="AN214" s="18">
        <f>AL214*1/((AN213+AN215)/2)</f>
        <v>0.31634918824698383</v>
      </c>
      <c r="AO214" s="129">
        <f>AN214*SQRT((R214/Q214)^2+(AG214/AF214)^2)</f>
        <v>6.9525219101799758E-4</v>
      </c>
      <c r="AP214" s="18">
        <f>ThU_Alter_Kombi(AN214,U214)</f>
        <v>35.723300000000002</v>
      </c>
      <c r="AQ214" s="18">
        <f t="shared" si="1146"/>
        <v>9.1999999999999998E-2</v>
      </c>
      <c r="AR214" s="154">
        <f>(AQ214/AP214)</f>
        <v>2.5753499816646278E-3</v>
      </c>
      <c r="AS214" s="131">
        <f t="shared" si="1147"/>
        <v>9.3132099706746496E-5</v>
      </c>
      <c r="AT214" s="131">
        <f t="shared" si="1148"/>
        <v>1.6471582910758366E-7</v>
      </c>
      <c r="AU214" s="18">
        <v>8</v>
      </c>
      <c r="AV214" s="18">
        <f>AU214/2</f>
        <v>4</v>
      </c>
      <c r="AW214" s="18">
        <f t="shared" si="1150"/>
        <v>35.652000000000001</v>
      </c>
      <c r="AX214" s="135">
        <f t="shared" si="1151"/>
        <v>0.1009348915</v>
      </c>
      <c r="AY214" s="135">
        <f t="shared" si="1152"/>
        <v>0.10070529851781447</v>
      </c>
      <c r="AZ214" s="154">
        <f t="shared" si="1153"/>
        <v>2.8311144255581734E-3</v>
      </c>
      <c r="BA214" s="18" t="str">
        <f>Input!B214</f>
        <v>GeoB23225-1 192-202 La-03</v>
      </c>
      <c r="BB214" s="136">
        <f>Input!E214</f>
        <v>200</v>
      </c>
      <c r="BC214" s="18">
        <f>((U214-1)*EXP(Constants!$B$17*AW214*1000))*1000</f>
        <v>139.59384118147361</v>
      </c>
      <c r="BD214" s="132">
        <f>SQRT((EXP(Constants!$B$17*AW214*1000)*V214)^2+((U214-1)*Constants!$B$17*EXP(Constants!$B$17*AW214*1000)*AY214*1000)^2)*1000</f>
        <v>0.51700418220248656</v>
      </c>
      <c r="BE214" s="18">
        <f t="shared" si="1154"/>
        <v>35594</v>
      </c>
      <c r="BF214" s="137">
        <f t="shared" si="1155"/>
        <v>50.352649258907235</v>
      </c>
      <c r="BG214" s="20">
        <f t="shared" si="1156"/>
        <v>0.28246745909854837</v>
      </c>
      <c r="BH214" s="18"/>
      <c r="BI214" s="18"/>
      <c r="BJ214" s="18"/>
      <c r="BK214" s="18"/>
      <c r="BL214" s="18"/>
      <c r="BM214" s="18"/>
      <c r="BN214" s="159"/>
      <c r="BO214" s="18"/>
      <c r="BP214" s="18"/>
      <c r="BQ214" s="18"/>
      <c r="BR214" s="18"/>
      <c r="BS214" s="18"/>
      <c r="BT214" s="18"/>
      <c r="BU214" s="18"/>
      <c r="BV214" s="18"/>
      <c r="BW214" s="18"/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</row>
    <row r="215" spans="1:110" ht="15" customHeight="1" x14ac:dyDescent="0.2">
      <c r="A215" s="138">
        <f>Input!A215</f>
        <v>10815</v>
      </c>
      <c r="B215" s="138" t="str">
        <f>Input!B215</f>
        <v>Hu1-13</v>
      </c>
      <c r="C215" s="138">
        <f>Input!O215</f>
        <v>2.0800096831038677</v>
      </c>
      <c r="D215" s="138">
        <f>C215*Input!P215/100</f>
        <v>1.4320682843277361E-2</v>
      </c>
      <c r="E215" s="139">
        <f>Input!M215</f>
        <v>2.7312516067364334</v>
      </c>
      <c r="F215" s="140">
        <f>E215*Input!N215/100</f>
        <v>2.2247484339265217E-4</v>
      </c>
      <c r="G215" s="141">
        <f t="shared" ref="G215" si="1184">E215*137.88</f>
        <v>376.58497153681941</v>
      </c>
      <c r="H215" s="140">
        <f>G215*Input!L215/100</f>
        <v>2.7981896447791685E-2</v>
      </c>
      <c r="I215" s="138">
        <v>0</v>
      </c>
      <c r="J215" s="142">
        <f>(((C215*Constants!$B$24*0.000000001*Input!G215*(Constants!$B$4/Constants!$B$3))-(I215*0.000000000000001))/Input!F215)*1000000000000</f>
        <v>750.96158475788707</v>
      </c>
      <c r="K215" s="138">
        <f>J215*Input!P215/100</f>
        <v>5.1703041433704824</v>
      </c>
      <c r="L215" s="143">
        <f>(J215/Constants!$B$4)*602200000000*Constants!$B$17/(365.2425*24*60)</f>
        <v>10.367858481374224</v>
      </c>
      <c r="M215" s="144">
        <f>L215*Input!P215/100</f>
        <v>7.1381789364645606E-2</v>
      </c>
      <c r="N215" s="138">
        <v>0</v>
      </c>
      <c r="O215" s="142">
        <f>(((G215*Constants!$B$23*0.000000001*Input!G215*(Constants!$B$7/Constants!$B$6))-(N215*0.000000001))/Input!F215)*1000000</f>
        <v>13.696097839372538</v>
      </c>
      <c r="P215" s="138">
        <f>O215*Input!N215/100</f>
        <v>1.115619379184822E-3</v>
      </c>
      <c r="Q215" s="145">
        <f>(O215/Constants!$B$7)*602200000000000000*Constants!$B$18/(365.2425*24*60)</f>
        <v>10.218942907943514</v>
      </c>
      <c r="R215" s="146">
        <f>Q215*Input!N215/100</f>
        <v>8.3238677735726326E-4</v>
      </c>
      <c r="S215" s="144">
        <f>Input!S215*Constants!$B$17/Constants!$B$18</f>
        <v>0.99979813735477541</v>
      </c>
      <c r="T215" s="138">
        <f>S215*Input!T215/100</f>
        <v>1.328956869130484E-3</v>
      </c>
      <c r="U215" s="144">
        <f>S215</f>
        <v>0.99979813735477541</v>
      </c>
      <c r="V215" s="138">
        <f>U215*Input!T215/100</f>
        <v>1.328956869130484E-3</v>
      </c>
      <c r="W215" s="147">
        <v>0</v>
      </c>
      <c r="X215" s="142">
        <f>(((Constants!$B$25*0.000000001*Input!G215/Input!W215*(Constants!$B$11/Constants!$B$9))-(W215*0.000000001))/Input!F215)*1000000000</f>
        <v>0.91698918962006304</v>
      </c>
      <c r="Y215" s="142">
        <f>X215*Input!X215/100</f>
        <v>3.3444035746695512E-3</v>
      </c>
      <c r="Z215" s="142">
        <f>(X215/Constants!$B$11)*6.022E+23*0.000000001*Constants!$B$19/(365.2425*24*60)</f>
        <v>2.2386670628288781E-4</v>
      </c>
      <c r="AA215" s="142">
        <f>Z215*Input!X215/100</f>
        <v>8.164770328995898E-7</v>
      </c>
      <c r="AB215" s="143">
        <v>0</v>
      </c>
      <c r="AC215" s="143">
        <v>0.9</v>
      </c>
      <c r="AD215" s="142">
        <f>(((Input!G215*Constants!$B$25*0.000000001*Input!U215*(Constants!$B$10/Constants!$B$9))-((AB215*0.000000000000001)+(Input!G215*AC215*0.000000000000001)))/Input!F215)*1000000000000</f>
        <v>222.73761611569276</v>
      </c>
      <c r="AE215" s="142">
        <f>AD215*Input!V215/100</f>
        <v>0.50737287014538768</v>
      </c>
      <c r="AF215" s="142">
        <f>(AD215/Constants!$B$10)*602200000000*Constants!$B$16/(365.2425*24*60)</f>
        <v>10.167007379762744</v>
      </c>
      <c r="AG215" s="142">
        <f>AF215*Input!V215/100</f>
        <v>2.3159373818476124E-2</v>
      </c>
      <c r="AH215" s="138">
        <f t="shared" ref="AH215" si="1185">AF215/Z215</f>
        <v>45415.450776835329</v>
      </c>
      <c r="AI215" s="147">
        <f t="shared" ref="AI215" si="1186">AH215*SQRT((AG215/AF215)^2+(AA215/Z215)^2)</f>
        <v>195.28939255064631</v>
      </c>
      <c r="AJ215" s="144">
        <f t="shared" si="1140"/>
        <v>-0.20186264522459307</v>
      </c>
      <c r="AK215" s="147">
        <f t="shared" ref="AK215" si="1187">V215*1000</f>
        <v>1.3289568691304841</v>
      </c>
      <c r="AL215" s="147">
        <f t="shared" ref="AL215" si="1188">AF215/Q215</f>
        <v>0.99491772009603852</v>
      </c>
      <c r="AM215" s="147">
        <f t="shared" ref="AM215" si="1189">AL215*SQRT((R215/Q215)^2+(AG215/AF215)^2)</f>
        <v>2.2677664728948453E-3</v>
      </c>
      <c r="AN215" s="138">
        <f>AF215/Q215</f>
        <v>0.99491772009603852</v>
      </c>
      <c r="AO215" s="142">
        <f t="shared" ref="AO215" si="1190">AN215*SQRT((R215/Q215)^2+(AG215/AF215)^2)</f>
        <v>2.2677664728948453E-3</v>
      </c>
      <c r="AP215" s="138">
        <f t="shared" ref="AP215" si="1191">ThU_Alter_Kombi(AN215,U215)</f>
        <v>582.25530000000003</v>
      </c>
      <c r="AQ215" s="138" t="e">
        <f t="shared" si="1146"/>
        <v>#VALUE!</v>
      </c>
      <c r="AR215" s="138" t="e">
        <f>(AQ215/AP215)*100</f>
        <v>#VALUE!</v>
      </c>
      <c r="AS215" s="146">
        <f t="shared" si="1147"/>
        <v>2.1907031705683471E-5</v>
      </c>
      <c r="AT215" s="146">
        <f t="shared" si="1148"/>
        <v>7.9918309130610916E-8</v>
      </c>
      <c r="AU215" s="138">
        <v>0.75</v>
      </c>
      <c r="AV215" s="138">
        <f t="shared" ref="AV215" si="1192">AU215/2</f>
        <v>0.375</v>
      </c>
      <c r="AW215" s="138">
        <f t="shared" si="1150"/>
        <v>582.25350000000003</v>
      </c>
      <c r="AX215" s="148">
        <f t="shared" si="1151"/>
        <v>189.59868809439999</v>
      </c>
      <c r="AY215" s="148">
        <f t="shared" si="1152"/>
        <v>66.528112434046278</v>
      </c>
      <c r="AZ215" s="149">
        <f t="shared" si="1153"/>
        <v>0.32562910844571991</v>
      </c>
      <c r="BA215" s="138" t="str">
        <f>Input!B215</f>
        <v>Hu1-13</v>
      </c>
      <c r="BB215" s="150">
        <f>Input!E215</f>
        <v>0</v>
      </c>
      <c r="BC215" s="138">
        <f>((U215-1)*EXP(Constants!$B$17*AW215*1000))*1000</f>
        <v>-1.043923828097435</v>
      </c>
      <c r="BD215" s="144">
        <f>SQRT((EXP(Constants!$B$17*AW215*1000)*V215)^2+((U215-1)*Constants!$B$17*EXP(Constants!$B$17*AW215*1000)*AY215*1000)^2)*1000</f>
        <v>6.875436317625212</v>
      </c>
      <c r="BE215" s="138">
        <f t="shared" si="1154"/>
        <v>582195.5</v>
      </c>
      <c r="BF215" s="151">
        <f t="shared" si="1155"/>
        <v>33264.056217023142</v>
      </c>
      <c r="BG215" s="160">
        <f t="shared" si="1156"/>
        <v>11.425970377858832</v>
      </c>
      <c r="BH215" s="138"/>
      <c r="BI215" s="18"/>
      <c r="BJ215" s="18"/>
      <c r="BK215" s="18"/>
      <c r="BL215" s="18"/>
      <c r="BM215" s="18"/>
      <c r="BN215" s="159"/>
      <c r="BO215" s="18"/>
      <c r="BP215" s="18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</row>
    <row r="216" spans="1:110" ht="15" customHeight="1" x14ac:dyDescent="0.2">
      <c r="A216" s="18">
        <f>Input!A216</f>
        <v>11039</v>
      </c>
      <c r="B216" s="18" t="str">
        <f>Input!B216</f>
        <v>GeoB23225-1 192-202 La-04</v>
      </c>
      <c r="C216" s="18">
        <f>Input!O216</f>
        <v>5.471264368190079</v>
      </c>
      <c r="D216" s="18">
        <f>C216*Input!P216/100</f>
        <v>2.6360040544800515E-2</v>
      </c>
      <c r="E216" s="152">
        <f>Input!M216</f>
        <v>6.4289485722441295</v>
      </c>
      <c r="F216" s="153">
        <f>E216*Input!N216/100</f>
        <v>5.0686599229623629E-4</v>
      </c>
      <c r="G216" s="21">
        <f>E216*137.88</f>
        <v>886.42342914102051</v>
      </c>
      <c r="H216" s="153">
        <f>G216*Input!L216/100</f>
        <v>4.8145617401115767E-2</v>
      </c>
      <c r="I216" s="18">
        <v>0.3</v>
      </c>
      <c r="J216" s="129">
        <f>(((C216*Constants!$B$24*0.000000001*Input!G216*(Constants!$B$4/Constants!$B$3))-(I216*0.000000000000001))/Input!F216)*1000000000000</f>
        <v>275.62499780652018</v>
      </c>
      <c r="K216" s="18">
        <f>J216*Input!P216/100</f>
        <v>1.3279354877424583</v>
      </c>
      <c r="L216" s="134">
        <f>(J216/Constants!$B$4)*602200000000*Constants!$B$17/(365.2425*24*60)</f>
        <v>3.805309125244265</v>
      </c>
      <c r="M216" s="132">
        <f>L216*Input!P216/100</f>
        <v>1.8333623834762825E-2</v>
      </c>
      <c r="N216" s="18">
        <v>5.0000000000000001E-3</v>
      </c>
      <c r="O216" s="129">
        <f>(((G216*Constants!$B$23*0.000000001*Input!G216*(Constants!$B$7/Constants!$B$6))-(N216*0.000000001))/Input!F216)*1000000</f>
        <v>4.4983526181123228</v>
      </c>
      <c r="P216" s="18">
        <f>O216*Input!N216/100</f>
        <v>3.546554989289613E-4</v>
      </c>
      <c r="Q216" s="130">
        <f>(O216/Constants!$B$7)*602200000000000000*Constants!$B$18/(365.2425*24*60)</f>
        <v>3.3563142672755624</v>
      </c>
      <c r="R216" s="131">
        <f>Q216*Input!N216/100</f>
        <v>2.6461582985517817E-4</v>
      </c>
      <c r="S216" s="132">
        <f>Input!S216*Constants!$B$17/Constants!$B$18</f>
        <v>1.1264483444074376</v>
      </c>
      <c r="T216" s="18">
        <f>S216*Input!T216/100</f>
        <v>4.8631260532357623E-4</v>
      </c>
      <c r="U216" s="18">
        <f>S216*1/((U215+U217)/2)</f>
        <v>1.1254433591231716</v>
      </c>
      <c r="V216" s="18">
        <f>U216*Input!T216/100</f>
        <v>4.8587873100139394E-4</v>
      </c>
      <c r="W216" s="133">
        <v>3.0000000000000001E-3</v>
      </c>
      <c r="X216" s="129">
        <f>IF((((Constants!$B$25*0.000000001*Input!G216/Input!W216*(Constants!$B$11/Constants!$B$9))-(W216*0.000000001))/Input!F216)*1000000000&lt;0, "n.d.", (((Constants!$B$25*0.000000001*Input!G216/Input!W216*(Constants!$B$11/Constants!$B$9))-(W216*0.000000001))/Input!F216)*1000000000)</f>
        <v>2.1858117128322667</v>
      </c>
      <c r="Y216" s="129">
        <f>X216*Input!X216/100</f>
        <v>3.7018800849248669E-3</v>
      </c>
      <c r="Z216" s="129">
        <f>(X216/Constants!$B$11)*6.022E+23*0.000000001*Constants!$B$19/(365.2425*24*60)</f>
        <v>5.3362730362073473E-4</v>
      </c>
      <c r="AA216" s="129">
        <f>Z216*Input!X216/100</f>
        <v>9.0374860581476898E-7</v>
      </c>
      <c r="AB216" s="134">
        <v>0.05</v>
      </c>
      <c r="AC216" s="134">
        <v>0.9</v>
      </c>
      <c r="AD216" s="129">
        <f>(((Input!G216*Constants!$B$25*0.000000001*Input!U216*(Constants!$B$10/Constants!$B$9))-((AB216*0.000000000000001)+(Input!G216*AC216*0.000000000000001)))/Input!F216)*1000000000000</f>
        <v>23.165315388270578</v>
      </c>
      <c r="AE216" s="129">
        <f>AD216*Input!V216/100</f>
        <v>4.2073258178661747E-2</v>
      </c>
      <c r="AF216" s="129">
        <f>(AD216/Constants!$B$10)*602200000000*Constants!$B$16/(365.2425*24*60)</f>
        <v>1.0573963060857461</v>
      </c>
      <c r="AG216" s="129">
        <f>AF216*Input!V216/100</f>
        <v>1.9204619940393622E-3</v>
      </c>
      <c r="AH216" s="18">
        <f>AF216/Z216</f>
        <v>1981.5258681689759</v>
      </c>
      <c r="AI216" s="133">
        <f>AH216*SQRT((AG216/AF216)^2+(AA216/Z216)^2)</f>
        <v>4.9207761298510508</v>
      </c>
      <c r="AJ216" s="132">
        <f t="shared" si="1140"/>
        <v>125.44335912317162</v>
      </c>
      <c r="AK216" s="133">
        <f>V216*1000</f>
        <v>0.48587873100139395</v>
      </c>
      <c r="AL216" s="133">
        <f>AF216/Q216</f>
        <v>0.31504687043030438</v>
      </c>
      <c r="AM216" s="133">
        <f>AL216*SQRT((R216/Q216)^2+(AG216/AF216)^2)</f>
        <v>5.7273259832482323E-4</v>
      </c>
      <c r="AN216" s="18">
        <f>AL216*1/((AN215+AN217)/2)</f>
        <v>0.31633436516724622</v>
      </c>
      <c r="AO216" s="129">
        <f>AN216*SQRT((R216/Q216)^2+(AG216/AF216)^2)</f>
        <v>5.7507317134816759E-4</v>
      </c>
      <c r="AP216" s="18">
        <f>ThU_Alter_Kombi(AN216,U216)</f>
        <v>35.752099999999999</v>
      </c>
      <c r="AQ216" s="18">
        <f t="shared" si="1146"/>
        <v>7.5300000000000006E-2</v>
      </c>
      <c r="AR216" s="154">
        <f>(AQ216/AP216)</f>
        <v>2.1061699872175345E-3</v>
      </c>
      <c r="AS216" s="131">
        <f t="shared" si="1147"/>
        <v>1.5899205531009426E-4</v>
      </c>
      <c r="AT216" s="131">
        <f t="shared" si="1148"/>
        <v>2.6955978469347074E-7</v>
      </c>
      <c r="AU216" s="18">
        <v>8</v>
      </c>
      <c r="AV216" s="18">
        <f>AU216/2</f>
        <v>4</v>
      </c>
      <c r="AW216" s="18">
        <f t="shared" si="1150"/>
        <v>35.630200000000002</v>
      </c>
      <c r="AX216" s="135">
        <f t="shared" si="1151"/>
        <v>9.5970967000000004E-2</v>
      </c>
      <c r="AY216" s="135">
        <f t="shared" si="1152"/>
        <v>9.9690653898415818E-2</v>
      </c>
      <c r="AZ216" s="154">
        <f t="shared" si="1153"/>
        <v>2.6935287200184114E-3</v>
      </c>
      <c r="BA216" s="18" t="str">
        <f>Input!B216</f>
        <v>GeoB23225-1 192-202 La-04</v>
      </c>
      <c r="BB216" s="136">
        <f>Input!E216</f>
        <v>200</v>
      </c>
      <c r="BC216" s="18">
        <f>((U216-1)*EXP(Constants!$B$17*AW216*1000))*1000</f>
        <v>138.71270132096791</v>
      </c>
      <c r="BD216" s="132">
        <f>SQRT((EXP(Constants!$B$17*AW216*1000)*V216)^2+((U216-1)*Constants!$B$17*EXP(Constants!$B$17*AW216*1000)*AY216*1000)^2)*1000</f>
        <v>0.53869015367863815</v>
      </c>
      <c r="BE216" s="18">
        <f t="shared" si="1154"/>
        <v>35572.200000000004</v>
      </c>
      <c r="BF216" s="137">
        <f t="shared" si="1155"/>
        <v>49.845326949207909</v>
      </c>
      <c r="BG216" s="20">
        <f t="shared" si="1156"/>
        <v>0.27979257455309203</v>
      </c>
      <c r="BH216" s="18"/>
      <c r="BI216" s="18"/>
      <c r="BJ216" s="18"/>
      <c r="BK216" s="18"/>
      <c r="BL216" s="18"/>
      <c r="BM216" s="18"/>
      <c r="BN216" s="159"/>
      <c r="BO216" s="18"/>
      <c r="BP216" s="18"/>
      <c r="BQ216" s="18"/>
      <c r="BR216" s="18"/>
      <c r="BS216" s="18"/>
      <c r="BT216" s="18"/>
      <c r="BU216" s="18"/>
      <c r="BV216" s="18"/>
      <c r="BW216" s="18"/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  <c r="CY216" s="18"/>
      <c r="CZ216" s="18"/>
      <c r="DA216" s="18"/>
      <c r="DB216" s="18"/>
      <c r="DC216" s="18"/>
      <c r="DD216" s="18"/>
      <c r="DE216" s="18"/>
      <c r="DF216" s="18"/>
    </row>
    <row r="217" spans="1:110" ht="15" customHeight="1" x14ac:dyDescent="0.2">
      <c r="A217" s="138">
        <f>Input!A217</f>
        <v>10815</v>
      </c>
      <c r="B217" s="138" t="str">
        <f>Input!B217</f>
        <v>Hu1-13</v>
      </c>
      <c r="C217" s="138">
        <f>Input!O217</f>
        <v>2.077874712977664</v>
      </c>
      <c r="D217" s="138">
        <f>C217*Input!P217/100</f>
        <v>1.5584038457560503E-2</v>
      </c>
      <c r="E217" s="139">
        <f>Input!M217</f>
        <v>2.7290315290445468</v>
      </c>
      <c r="F217" s="140">
        <f>E217*Input!N217/100</f>
        <v>2.9200313835292139E-4</v>
      </c>
      <c r="G217" s="141">
        <f t="shared" ref="G217" si="1193">E217*137.88</f>
        <v>376.27886722466212</v>
      </c>
      <c r="H217" s="140">
        <f>G217*Input!L217/100</f>
        <v>1.9751785103952937E-2</v>
      </c>
      <c r="I217" s="138">
        <v>0</v>
      </c>
      <c r="J217" s="142">
        <f>(((C217*Constants!$B$24*0.000000001*Input!G217*(Constants!$B$4/Constants!$B$3))-(I217*0.000000000000001))/Input!F217)*1000000000000</f>
        <v>750.19078038980717</v>
      </c>
      <c r="K217" s="138">
        <f>J217*Input!P217/100</f>
        <v>5.626422949894069</v>
      </c>
      <c r="L217" s="143">
        <f>(J217/Constants!$B$4)*602200000000*Constants!$B$17/(365.2425*24*60)</f>
        <v>10.357216671237353</v>
      </c>
      <c r="M217" s="144">
        <f>L217*Input!P217/100</f>
        <v>7.7679015924183262E-2</v>
      </c>
      <c r="N217" s="138">
        <v>0</v>
      </c>
      <c r="O217" s="142">
        <f>(((G217*Constants!$B$23*0.000000001*Input!G217*(Constants!$B$7/Constants!$B$6))-(N217*0.000000001))/Input!F217)*1000000</f>
        <v>13.684965067421361</v>
      </c>
      <c r="P217" s="138">
        <f>O217*Input!N217/100</f>
        <v>1.4642750387483367E-3</v>
      </c>
      <c r="Q217" s="145">
        <f>(O217/Constants!$B$7)*602200000000000000*Constants!$B$18/(365.2425*24*60)</f>
        <v>10.210636515691467</v>
      </c>
      <c r="R217" s="146">
        <f>Q217*Input!N217/100</f>
        <v>1.0925260025144174E-3</v>
      </c>
      <c r="S217" s="144">
        <f>Input!S217*Constants!$B$17/Constants!$B$18</f>
        <v>1.001987799318304</v>
      </c>
      <c r="T217" s="138">
        <f>S217*Input!T217/100</f>
        <v>9.3562069320026235E-4</v>
      </c>
      <c r="U217" s="144">
        <f>S217</f>
        <v>1.001987799318304</v>
      </c>
      <c r="V217" s="138">
        <f>U217*Input!T217/100</f>
        <v>9.3562069320026235E-4</v>
      </c>
      <c r="W217" s="147">
        <v>0</v>
      </c>
      <c r="X217" s="142">
        <f>(((Constants!$B$25*0.000000001*Input!G217/Input!W217*(Constants!$B$11/Constants!$B$9))-(W217*0.000000001))/Input!F217)*1000000000</f>
        <v>0.91469674786207034</v>
      </c>
      <c r="Y217" s="142">
        <f>X217*Input!X217/100</f>
        <v>4.0439729887900774E-3</v>
      </c>
      <c r="Z217" s="142">
        <f>(X217/Constants!$B$11)*6.022E+23*0.000000001*Constants!$B$19/(365.2425*24*60)</f>
        <v>2.2330704713802938E-4</v>
      </c>
      <c r="AA217" s="142">
        <f>Z217*Input!X217/100</f>
        <v>9.8726454307765458E-7</v>
      </c>
      <c r="AB217" s="143">
        <v>0</v>
      </c>
      <c r="AC217" s="143">
        <v>0.9</v>
      </c>
      <c r="AD217" s="142">
        <f>(((Input!G217*Constants!$B$25*0.000000001*Input!U217*(Constants!$B$10/Constants!$B$9))-((AB217*0.000000000000001)+(Input!G217*AC217*0.000000000000001)))/Input!F217)*1000000000000</f>
        <v>223.00942661691835</v>
      </c>
      <c r="AE217" s="142">
        <f>AD217*Input!V217/100</f>
        <v>0.48417524987562638</v>
      </c>
      <c r="AF217" s="142">
        <f>(AD217/Constants!$B$10)*602200000000*Constants!$B$16/(365.2425*24*60)</f>
        <v>10.179414351786825</v>
      </c>
      <c r="AG217" s="142">
        <f>AF217*Input!V217/100</f>
        <v>2.2100502934480074E-2</v>
      </c>
      <c r="AH217" s="138">
        <f t="shared" ref="AH217" si="1194">AF217/Z217</f>
        <v>45584.832553424872</v>
      </c>
      <c r="AI217" s="147">
        <f t="shared" ref="AI217" si="1195">AH217*SQRT((AG217/AF217)^2+(AA217/Z217)^2)</f>
        <v>224.52489834928863</v>
      </c>
      <c r="AJ217" s="144">
        <f t="shared" si="1140"/>
        <v>1.9877993183039511</v>
      </c>
      <c r="AK217" s="147">
        <f t="shared" ref="AK217" si="1196">V217*1000</f>
        <v>0.93562069320026231</v>
      </c>
      <c r="AL217" s="147">
        <f t="shared" ref="AL217" si="1197">AF217/Q217</f>
        <v>0.99694219220744362</v>
      </c>
      <c r="AM217" s="147">
        <f t="shared" ref="AM217" si="1198">AL217*SQRT((R217/Q217)^2+(AG217/AF217)^2)</f>
        <v>2.1670858554449805E-3</v>
      </c>
      <c r="AN217" s="138">
        <f>AF217/Q217</f>
        <v>0.99694219220744362</v>
      </c>
      <c r="AO217" s="142">
        <f t="shared" ref="AO217" si="1199">AN217*SQRT((R217/Q217)^2+(AG217/AF217)^2)</f>
        <v>2.1670858554449805E-3</v>
      </c>
      <c r="AP217" s="138">
        <f t="shared" ref="AP217" si="1200">ThU_Alter_Kombi(AN217,U217)</f>
        <v>560.68119999999999</v>
      </c>
      <c r="AQ217" s="138" t="e">
        <f t="shared" si="1146"/>
        <v>#VALUE!</v>
      </c>
      <c r="AR217" s="138" t="e">
        <f>(AQ217/AP217)*100</f>
        <v>#VALUE!</v>
      </c>
      <c r="AS217" s="146">
        <f t="shared" si="1147"/>
        <v>2.1870041774071218E-5</v>
      </c>
      <c r="AT217" s="146">
        <f t="shared" si="1148"/>
        <v>9.6718126562772753E-8</v>
      </c>
      <c r="AU217" s="138">
        <v>0.75</v>
      </c>
      <c r="AV217" s="138">
        <f t="shared" ref="AV217" si="1201">AU217/2</f>
        <v>0.375</v>
      </c>
      <c r="AW217" s="138">
        <f t="shared" si="1150"/>
        <v>560.67939999999999</v>
      </c>
      <c r="AX217" s="148">
        <f t="shared" si="1151"/>
        <v>65.895172942200006</v>
      </c>
      <c r="AY217" s="148">
        <f t="shared" si="1152"/>
        <v>46.540330090178799</v>
      </c>
      <c r="AZ217" s="149">
        <f t="shared" si="1153"/>
        <v>0.11752736580334502</v>
      </c>
      <c r="BA217" s="138" t="str">
        <f>Input!B217</f>
        <v>Hu1-13</v>
      </c>
      <c r="BB217" s="150">
        <f>Input!E217</f>
        <v>0</v>
      </c>
      <c r="BC217" s="138">
        <f>((U217-1)*EXP(Constants!$B$17*AW217*1000))*1000</f>
        <v>9.6726185525277195</v>
      </c>
      <c r="BD217" s="144">
        <f>SQRT((EXP(Constants!$B$17*AW217*1000)*V217)^2+((U217-1)*Constants!$B$17*EXP(Constants!$B$17*AW217*1000)*AY217*1000)^2)*1000</f>
        <v>4.7266487603271976</v>
      </c>
      <c r="BE217" s="138">
        <f t="shared" si="1154"/>
        <v>560621.4</v>
      </c>
      <c r="BF217" s="151">
        <f t="shared" si="1155"/>
        <v>23270.165045089398</v>
      </c>
      <c r="BG217" s="160">
        <f t="shared" si="1156"/>
        <v>8.3007026992928221</v>
      </c>
      <c r="BH217" s="138"/>
      <c r="BI217" s="18"/>
      <c r="BJ217" s="18"/>
      <c r="BK217" s="18"/>
      <c r="BL217" s="18"/>
      <c r="BM217" s="18"/>
      <c r="BN217" s="159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</row>
    <row r="218" spans="1:110" ht="15" customHeight="1" x14ac:dyDescent="0.2">
      <c r="A218" s="18">
        <f>Input!A218</f>
        <v>11040</v>
      </c>
      <c r="B218" s="18" t="str">
        <f>Input!B218</f>
        <v>GeoB23225-1 192-202 La-05</v>
      </c>
      <c r="C218" s="18">
        <f>Input!O218</f>
        <v>3.9624001194313774</v>
      </c>
      <c r="D218" s="18">
        <f>C218*Input!P218/100</f>
        <v>2.2837694215745157E-2</v>
      </c>
      <c r="E218" s="152">
        <f>Input!M218</f>
        <v>4.6618709046316917</v>
      </c>
      <c r="F218" s="153">
        <f>E218*Input!N218/100</f>
        <v>4.5621536102425519E-4</v>
      </c>
      <c r="G218" s="21">
        <f>E218*137.88</f>
        <v>642.77876033061762</v>
      </c>
      <c r="H218" s="153">
        <f>G218*Input!L218/100</f>
        <v>4.0750724119242389E-2</v>
      </c>
      <c r="I218" s="18">
        <v>0.3</v>
      </c>
      <c r="J218" s="129">
        <f>(((C218*Constants!$B$24*0.000000001*Input!G218*(Constants!$B$4/Constants!$B$3))-(I218*0.000000000000001))/Input!F218)*1000000000000</f>
        <v>238.20510033425043</v>
      </c>
      <c r="K218" s="18">
        <f>J218*Input!P218/100</f>
        <v>1.3729192100986458</v>
      </c>
      <c r="L218" s="134">
        <f>(J218/Constants!$B$4)*602200000000*Constants!$B$17/(365.2425*24*60)</f>
        <v>3.2886858927721176</v>
      </c>
      <c r="M218" s="132">
        <f>L218*Input!P218/100</f>
        <v>1.895467406798447E-2</v>
      </c>
      <c r="N218" s="18">
        <v>5.0000000000000001E-3</v>
      </c>
      <c r="O218" s="129">
        <f>(((G218*Constants!$B$23*0.000000001*Input!G218*(Constants!$B$7/Constants!$B$6))-(N218*0.000000001))/Input!F218)*1000000</f>
        <v>3.8925623120244524</v>
      </c>
      <c r="P218" s="18">
        <f>O218*Input!N218/100</f>
        <v>3.8093005079254641E-4</v>
      </c>
      <c r="Q218" s="130">
        <f>(O218/Constants!$B$7)*602200000000000000*Constants!$B$18/(365.2425*24*60)</f>
        <v>2.9043215446256503</v>
      </c>
      <c r="R218" s="131">
        <f>Q218*Input!N218/100</f>
        <v>2.8421981842000272E-4</v>
      </c>
      <c r="S218" s="132">
        <f>Input!S218*Constants!$B$17/Constants!$B$18</f>
        <v>1.1262552258489995</v>
      </c>
      <c r="T218" s="18">
        <f>S218*Input!T218/100</f>
        <v>7.6413586360914165E-4</v>
      </c>
      <c r="U218" s="18">
        <f>S218*1/((U217+U219)/2)</f>
        <v>1.1240208978744453</v>
      </c>
      <c r="V218" s="18">
        <f>U218*Input!T218/100</f>
        <v>7.6261992823566983E-4</v>
      </c>
      <c r="W218" s="133">
        <v>3.0000000000000001E-3</v>
      </c>
      <c r="X218" s="129">
        <f>IF((((Constants!$B$25*0.000000001*Input!G218/Input!W218*(Constants!$B$11/Constants!$B$9))-(W218*0.000000001))/Input!F218)*1000000000&lt;0, "n.d.", (((Constants!$B$25*0.000000001*Input!G218/Input!W218*(Constants!$B$11/Constants!$B$9))-(W218*0.000000001))/Input!F218)*1000000000)</f>
        <v>2.8103399497195491</v>
      </c>
      <c r="Y218" s="129">
        <f>X218*Input!X218/100</f>
        <v>6.4693128492112218E-3</v>
      </c>
      <c r="Z218" s="129">
        <f>(X218/Constants!$B$11)*6.022E+23*0.000000001*Constants!$B$19/(365.2425*24*60)</f>
        <v>6.8609483645014921E-4</v>
      </c>
      <c r="AA218" s="129">
        <f>Z218*Input!X218/100</f>
        <v>1.5793684111658297E-6</v>
      </c>
      <c r="AB218" s="134">
        <v>0.05</v>
      </c>
      <c r="AC218" s="134">
        <v>0.9</v>
      </c>
      <c r="AD218" s="129">
        <f>(((Input!G218*Constants!$B$25*0.000000001*Input!U218*(Constants!$B$10/Constants!$B$9))-((AB218*0.000000000000001)+(Input!G218*AC218*0.000000000000001)))/Input!F218)*1000000000000</f>
        <v>20.215493530141089</v>
      </c>
      <c r="AE218" s="129">
        <f>AD218*Input!V218/100</f>
        <v>4.7592505036221214E-2</v>
      </c>
      <c r="AF218" s="129">
        <f>(AD218/Constants!$B$10)*602200000000*Constants!$B$16/(365.2425*24*60)</f>
        <v>0.92274971552059271</v>
      </c>
      <c r="AG218" s="129">
        <f>AF218*Input!V218/100</f>
        <v>2.17239170627258E-3</v>
      </c>
      <c r="AH218" s="18">
        <f>AF218/Z218</f>
        <v>1344.9302727519339</v>
      </c>
      <c r="AI218" s="133">
        <f>AH218*SQRT((AG218/AF218)^2+(AA218/Z218)^2)</f>
        <v>4.4283944350876059</v>
      </c>
      <c r="AJ218" s="132">
        <f t="shared" ref="AJ218:AJ219" si="1202">(U218-1)*1000</f>
        <v>124.02089787444525</v>
      </c>
      <c r="AK218" s="133">
        <f>V218*1000</f>
        <v>0.76261992823566982</v>
      </c>
      <c r="AL218" s="133">
        <f>AF218/Q218</f>
        <v>0.31771610041873982</v>
      </c>
      <c r="AM218" s="133">
        <f>AL218*SQRT((R218/Q218)^2+(AG218/AF218)^2)</f>
        <v>7.4863188091323335E-4</v>
      </c>
      <c r="AN218" s="18">
        <f>AL218*1/((AN217+AN219)/2)</f>
        <v>0.31869059500355612</v>
      </c>
      <c r="AO218" s="129">
        <f>AN218*SQRT((R218/Q218)^2+(AG218/AF218)^2)</f>
        <v>7.5092807463149086E-4</v>
      </c>
      <c r="AP218" s="18">
        <f>ThU_Alter_Kombi(AN218,U218)</f>
        <v>36.1218</v>
      </c>
      <c r="AQ218" s="18">
        <f t="shared" ref="AQ218:AQ219" si="1203">Montealter(AN218,AO218,U218,V218)</f>
        <v>0.10440000000000001</v>
      </c>
      <c r="AR218" s="154">
        <f>(AQ218/AP218)</f>
        <v>2.8902214175373321E-3</v>
      </c>
      <c r="AS218" s="131">
        <f t="shared" ref="AS218:AS219" si="1204">Z218/Q218</f>
        <v>2.3623239572758214E-4</v>
      </c>
      <c r="AT218" s="131">
        <f t="shared" ref="AT218:AT219" si="1205">AS218*SQRT((Y218/X218)^2+(P218/O218)^2)</f>
        <v>5.4429060543929006E-7</v>
      </c>
      <c r="AU218" s="18">
        <v>8</v>
      </c>
      <c r="AV218" s="18">
        <f>AU218/2</f>
        <v>4</v>
      </c>
      <c r="AW218" s="18">
        <f t="shared" ref="AW218:AW219" si="1206">marincorr_age(AN218,U218,AS218,AU218)</f>
        <v>35.9405</v>
      </c>
      <c r="AX218" s="135">
        <f t="shared" ref="AX218:AX219" si="1207">marincorr_age_error(AN218, AO218, U218, V218, AS218, AT218, AU218, AV218)</f>
        <v>0.13870219559999999</v>
      </c>
      <c r="AY218" s="135">
        <f t="shared" ref="AY218:AY219" si="1208">SQRT(((AU218*EXP(-0.0000091577*AW218*1000))/(0.0000091577*(EXP(-0.0000091577*AW218*1000)+(AJ218/1000)*EXP(-(0.0000091577-0.0000028263)*AW218*1000)-AS218*AU218*EXP(-0.0000091577*AW218*1000))))^2*AT218^2+((AS218*EXP(-0.0000091577*AW218*1000))/(0.0000091577*(EXP(-0.0000091577*AW218*1000)+(AJ218/1000)*EXP(-(0.0000091577-0.0000028263)*AW218*1000)-AS218*AU218*EXP(-0.0000091577*AW218*1000))))^2*AV218^2+((0.0000091577/(0.0000091577-0.0000028263))*(EXP(-(0.0000091577-0.0000028263)*AW218*1000)-1)/(0.0000091577*(EXP(-0.0000091577*AW218*1000)+(AJ218/1000)*EXP(-(0.0000091577-0.0000028263)*AW218*1000)-AS218*AU218*EXP(-0.0000091577*AW218*1000))))^2*T218^2+(1/(0.0000091577*(EXP(-0.0000091577*AW218*1000)+(AJ218/1000)*EXP(-(0.0000091577-0.0000028263)*AW218*1000)-AS218*AU218*EXP(-0.0000091577*AW218*1000))))^2*AO218^2)/1000</f>
        <v>0.13869949558521191</v>
      </c>
      <c r="AZ218" s="154">
        <f t="shared" ref="AZ218:AZ219" si="1209">AX218/AW218</f>
        <v>3.8592171950863233E-3</v>
      </c>
      <c r="BA218" s="18" t="str">
        <f>Input!B218</f>
        <v>GeoB23225-1 192-202 La-05</v>
      </c>
      <c r="BB218" s="136">
        <f>Input!E218</f>
        <v>200</v>
      </c>
      <c r="BC218" s="18">
        <f>((U218-1)*EXP(Constants!$B$17*AW218*1000))*1000</f>
        <v>137.25991662833968</v>
      </c>
      <c r="BD218" s="132">
        <f>SQRT((EXP(Constants!$B$17*AW218*1000)*V218)^2+((U218-1)*Constants!$B$17*EXP(Constants!$B$17*AW218*1000)*AY218*1000)^2)*1000</f>
        <v>0.84573651998187815</v>
      </c>
      <c r="BE218" s="18">
        <f t="shared" ref="BE218:BE219" si="1210">AW218*1000-58</f>
        <v>35882.5</v>
      </c>
      <c r="BF218" s="137">
        <f t="shared" ref="BF218:BF219" si="1211">AY218/2*1000</f>
        <v>69.349747792605953</v>
      </c>
      <c r="BG218" s="20">
        <f t="shared" ref="BG218:BG219" si="1212">AY218/AW218*100</f>
        <v>0.3859142070511315</v>
      </c>
      <c r="BH218" s="18"/>
      <c r="BI218" s="18"/>
      <c r="BJ218" s="18"/>
      <c r="BK218" s="18"/>
      <c r="BL218" s="18"/>
      <c r="BM218" s="18"/>
      <c r="BN218" s="159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</row>
    <row r="219" spans="1:110" ht="15" customHeight="1" x14ac:dyDescent="0.2">
      <c r="A219" s="138">
        <f>Input!A219</f>
        <v>10815</v>
      </c>
      <c r="B219" s="138" t="str">
        <f>Input!B219</f>
        <v>Hu1-13</v>
      </c>
      <c r="C219" s="138">
        <f>Input!O219</f>
        <v>2.077874712977664</v>
      </c>
      <c r="D219" s="138">
        <f>C219*Input!P219/100</f>
        <v>1.5584038457560503E-2</v>
      </c>
      <c r="E219" s="139">
        <f>Input!M219</f>
        <v>2.7290315290445468</v>
      </c>
      <c r="F219" s="140">
        <f>E219*Input!N219/100</f>
        <v>2.9200313835292139E-4</v>
      </c>
      <c r="G219" s="141">
        <f t="shared" ref="G219" si="1213">E219*137.88</f>
        <v>376.27886722466212</v>
      </c>
      <c r="H219" s="140">
        <f>G219*Input!L219/100</f>
        <v>1.9751785103952937E-2</v>
      </c>
      <c r="I219" s="138">
        <v>0</v>
      </c>
      <c r="J219" s="142">
        <f>(((C219*Constants!$B$24*0.000000001*Input!G219*(Constants!$B$4/Constants!$B$3))-(I219*0.000000000000001))/Input!F219)*1000000000000</f>
        <v>750.19078038980717</v>
      </c>
      <c r="K219" s="138">
        <f>J219*Input!P219/100</f>
        <v>5.626422949894069</v>
      </c>
      <c r="L219" s="143">
        <f>(J219/Constants!$B$4)*602200000000*Constants!$B$17/(365.2425*24*60)</f>
        <v>10.357216671237353</v>
      </c>
      <c r="M219" s="144">
        <f>L219*Input!P219/100</f>
        <v>7.7679015924183262E-2</v>
      </c>
      <c r="N219" s="138">
        <v>0</v>
      </c>
      <c r="O219" s="142">
        <f>(((G219*Constants!$B$23*0.000000001*Input!G219*(Constants!$B$7/Constants!$B$6))-(N219*0.000000001))/Input!F219)*1000000</f>
        <v>13.684965067421361</v>
      </c>
      <c r="P219" s="138">
        <f>O219*Input!N219/100</f>
        <v>1.4642750387483367E-3</v>
      </c>
      <c r="Q219" s="145">
        <f>(O219/Constants!$B$7)*602200000000000000*Constants!$B$18/(365.2425*24*60)</f>
        <v>10.210636515691467</v>
      </c>
      <c r="R219" s="146">
        <f>Q219*Input!N219/100</f>
        <v>1.0925260025144174E-3</v>
      </c>
      <c r="S219" s="144">
        <f>Input!S219*Constants!$B$17/Constants!$B$18</f>
        <v>1.001987799318304</v>
      </c>
      <c r="T219" s="138">
        <f>S219*Input!T219/100</f>
        <v>9.3562069320026235E-4</v>
      </c>
      <c r="U219" s="144">
        <f>S219</f>
        <v>1.001987799318304</v>
      </c>
      <c r="V219" s="138">
        <f>U219*Input!T219/100</f>
        <v>9.3562069320026235E-4</v>
      </c>
      <c r="W219" s="147">
        <v>0</v>
      </c>
      <c r="X219" s="142">
        <f>(((Constants!$B$25*0.000000001*Input!G219/Input!W219*(Constants!$B$11/Constants!$B$9))-(W219*0.000000001))/Input!F219)*1000000000</f>
        <v>0.91469674786207034</v>
      </c>
      <c r="Y219" s="142">
        <f>X219*Input!X219/100</f>
        <v>4.0439729887900774E-3</v>
      </c>
      <c r="Z219" s="142">
        <f>(X219/Constants!$B$11)*6.022E+23*0.000000001*Constants!$B$19/(365.2425*24*60)</f>
        <v>2.2330704713802938E-4</v>
      </c>
      <c r="AA219" s="142">
        <f>Z219*Input!X219/100</f>
        <v>9.8726454307765458E-7</v>
      </c>
      <c r="AB219" s="143">
        <v>0</v>
      </c>
      <c r="AC219" s="143">
        <v>0.9</v>
      </c>
      <c r="AD219" s="142">
        <f>(((Input!G219*Constants!$B$25*0.000000001*Input!U219*(Constants!$B$10/Constants!$B$9))-((AB219*0.000000000000001)+(Input!G219*AC219*0.000000000000001)))/Input!F219)*1000000000000</f>
        <v>223.00942661691835</v>
      </c>
      <c r="AE219" s="142">
        <f>AD219*Input!V219/100</f>
        <v>0.48417524987562638</v>
      </c>
      <c r="AF219" s="142">
        <f>(AD219/Constants!$B$10)*602200000000*Constants!$B$16/(365.2425*24*60)</f>
        <v>10.179414351786825</v>
      </c>
      <c r="AG219" s="142">
        <f>AF219*Input!V219/100</f>
        <v>2.2100502934480074E-2</v>
      </c>
      <c r="AH219" s="138">
        <f t="shared" ref="AH219" si="1214">AF219/Z219</f>
        <v>45584.832553424872</v>
      </c>
      <c r="AI219" s="147">
        <f t="shared" ref="AI219" si="1215">AH219*SQRT((AG219/AF219)^2+(AA219/Z219)^2)</f>
        <v>224.52489834928863</v>
      </c>
      <c r="AJ219" s="144">
        <f t="shared" si="1202"/>
        <v>1.9877993183039511</v>
      </c>
      <c r="AK219" s="147">
        <f t="shared" ref="AK219" si="1216">V219*1000</f>
        <v>0.93562069320026231</v>
      </c>
      <c r="AL219" s="147">
        <f t="shared" ref="AL219" si="1217">AF219/Q219</f>
        <v>0.99694219220744362</v>
      </c>
      <c r="AM219" s="147">
        <f t="shared" ref="AM219" si="1218">AL219*SQRT((R219/Q219)^2+(AG219/AF219)^2)</f>
        <v>2.1670858554449805E-3</v>
      </c>
      <c r="AN219" s="138">
        <f>AF219/Q219</f>
        <v>0.99694219220744362</v>
      </c>
      <c r="AO219" s="142">
        <f t="shared" ref="AO219" si="1219">AN219*SQRT((R219/Q219)^2+(AG219/AF219)^2)</f>
        <v>2.1670858554449805E-3</v>
      </c>
      <c r="AP219" s="138">
        <f t="shared" ref="AP219" si="1220">ThU_Alter_Kombi(AN219,U219)</f>
        <v>560.68119999999999</v>
      </c>
      <c r="AQ219" s="138" t="e">
        <f t="shared" si="1203"/>
        <v>#VALUE!</v>
      </c>
      <c r="AR219" s="138" t="e">
        <f>(AQ219/AP219)*100</f>
        <v>#VALUE!</v>
      </c>
      <c r="AS219" s="146">
        <f t="shared" si="1204"/>
        <v>2.1870041774071218E-5</v>
      </c>
      <c r="AT219" s="146">
        <f t="shared" si="1205"/>
        <v>9.6718126562772753E-8</v>
      </c>
      <c r="AU219" s="138">
        <v>0.75</v>
      </c>
      <c r="AV219" s="138">
        <f t="shared" ref="AV219" si="1221">AU219/2</f>
        <v>0.375</v>
      </c>
      <c r="AW219" s="138">
        <f t="shared" si="1206"/>
        <v>560.67939999999999</v>
      </c>
      <c r="AX219" s="148">
        <f t="shared" si="1207"/>
        <v>92.799581026799999</v>
      </c>
      <c r="AY219" s="148">
        <f t="shared" si="1208"/>
        <v>46.540330090178799</v>
      </c>
      <c r="AZ219" s="149">
        <f t="shared" si="1209"/>
        <v>0.165512735133126</v>
      </c>
      <c r="BA219" s="138" t="str">
        <f>Input!B219</f>
        <v>Hu1-13</v>
      </c>
      <c r="BB219" s="150">
        <f>Input!E219</f>
        <v>0</v>
      </c>
      <c r="BC219" s="138">
        <f>((U219-1)*EXP(Constants!$B$17*AW219*1000))*1000</f>
        <v>9.6726185525277195</v>
      </c>
      <c r="BD219" s="144">
        <f>SQRT((EXP(Constants!$B$17*AW219*1000)*V219)^2+((U219-1)*Constants!$B$17*EXP(Constants!$B$17*AW219*1000)*AY219*1000)^2)*1000</f>
        <v>4.7266487603271976</v>
      </c>
      <c r="BE219" s="138">
        <f t="shared" si="1210"/>
        <v>560621.4</v>
      </c>
      <c r="BF219" s="151">
        <f t="shared" si="1211"/>
        <v>23270.165045089398</v>
      </c>
      <c r="BG219" s="160">
        <f t="shared" si="1212"/>
        <v>8.3007026992928221</v>
      </c>
      <c r="BH219" s="138"/>
      <c r="BI219" s="18"/>
      <c r="BJ219" s="18"/>
      <c r="BK219" s="18"/>
      <c r="BL219" s="18"/>
      <c r="BM219" s="18"/>
      <c r="BN219" s="159"/>
      <c r="BO219" s="18"/>
      <c r="BP219" s="18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</row>
    <row r="221" spans="1:110" ht="15" customHeight="1" x14ac:dyDescent="0.2">
      <c r="A221" s="138">
        <f>Input!A221</f>
        <v>10815</v>
      </c>
      <c r="B221" s="138" t="str">
        <f>Input!B221</f>
        <v>Hu1-13</v>
      </c>
      <c r="C221" s="138">
        <f>Input!O221</f>
        <v>2.1150272581739968</v>
      </c>
      <c r="D221" s="138">
        <f>C221*Input!P221/100</f>
        <v>1.4580089085271928E-2</v>
      </c>
      <c r="E221" s="139">
        <f>Input!M221</f>
        <v>2.7320684190018421</v>
      </c>
      <c r="F221" s="140">
        <f>E221*Input!N221/100</f>
        <v>3.5425378914158569E-4</v>
      </c>
      <c r="G221" s="141">
        <f t="shared" ref="G221" si="1222">E221*137.88</f>
        <v>376.69759361197396</v>
      </c>
      <c r="H221" s="140">
        <f>G221*Input!L221/100</f>
        <v>2.2157298279634318E-2</v>
      </c>
      <c r="I221" s="138">
        <v>0</v>
      </c>
      <c r="J221" s="142">
        <f>(((C221*Constants!$B$24*0.000000001*Input!G221*(Constants!$B$4/Constants!$B$3))-(I221*0.000000000000001))/Input!F221)*1000000000000</f>
        <v>763.60424401214664</v>
      </c>
      <c r="K221" s="138">
        <f>J221*Input!P221/100</f>
        <v>5.2639595355384827</v>
      </c>
      <c r="L221" s="143">
        <f>(J221/Constants!$B$4)*602200000000*Constants!$B$17/(365.2425*24*60)</f>
        <v>10.542404429711462</v>
      </c>
      <c r="M221" s="144">
        <f>L221*Input!P221/100</f>
        <v>7.2674806040496587E-2</v>
      </c>
      <c r="N221" s="138">
        <v>0</v>
      </c>
      <c r="O221" s="142">
        <f>(((G221*Constants!$B$23*0.000000001*Input!G221*(Constants!$B$7/Constants!$B$6))-(N221*0.000000001))/Input!F221)*1000000</f>
        <v>13.70019381525255</v>
      </c>
      <c r="P221" s="138">
        <f>O221*Input!N221/100</f>
        <v>1.776436321020283E-3</v>
      </c>
      <c r="Q221" s="145">
        <f>(O221/Constants!$B$7)*602200000000000000*Constants!$B$18/(365.2425*24*60)</f>
        <v>10.221999000573769</v>
      </c>
      <c r="R221" s="146">
        <f>Q221*Input!N221/100</f>
        <v>1.3254360152070255E-3</v>
      </c>
      <c r="S221" s="144">
        <f>Input!S221*Constants!$B$17/Constants!$B$18</f>
        <v>1.0008933651357244</v>
      </c>
      <c r="T221" s="138">
        <f>S221*Input!T221/100</f>
        <v>1.0406033487360185E-3</v>
      </c>
      <c r="U221" s="144">
        <f>S221</f>
        <v>1.0008933651357244</v>
      </c>
      <c r="V221" s="138">
        <f>U221*Input!T221/100</f>
        <v>1.0406033487360185E-3</v>
      </c>
      <c r="W221" s="147">
        <v>0</v>
      </c>
      <c r="X221" s="142">
        <f>(((Constants!$B$25*0.000000001*Input!G221/Input!W221*(Constants!$B$11/Constants!$B$9))-(W221*0.000000001))/Input!F221)*1000000000</f>
        <v>0.98120097677872797</v>
      </c>
      <c r="Y221" s="142">
        <f>X221*Input!X221/100</f>
        <v>4.8485601262035468E-3</v>
      </c>
      <c r="Z221" s="142">
        <f>(X221/Constants!$B$11)*6.022E+23*0.000000001*Constants!$B$19/(365.2425*24*60)</f>
        <v>2.3954287941389726E-4</v>
      </c>
      <c r="AA221" s="142">
        <f>Z221*Input!X221/100</f>
        <v>1.1836902746012289E-6</v>
      </c>
      <c r="AB221" s="143">
        <v>0</v>
      </c>
      <c r="AC221" s="143">
        <v>0.9</v>
      </c>
      <c r="AD221" s="142">
        <f>(((Input!G221*Constants!$B$25*0.000000001*Input!U221*(Constants!$B$10/Constants!$B$9))-((AB221*0.000000000000001)+(Input!G221*AC221*0.000000000000001)))/Input!F221)*1000000000000</f>
        <v>223.3673898533078</v>
      </c>
      <c r="AE221" s="142">
        <f>AD221*Input!V221/100</f>
        <v>0.63619423196438374</v>
      </c>
      <c r="AF221" s="142">
        <f>(AD221/Constants!$B$10)*602200000000*Constants!$B$16/(365.2425*24*60)</f>
        <v>10.195753822997494</v>
      </c>
      <c r="AG221" s="142">
        <f>AF221*Input!V221/100</f>
        <v>2.9039510991195675E-2</v>
      </c>
      <c r="AH221" s="138">
        <f t="shared" ref="AH221" si="1223">AF221/Z221</f>
        <v>42563.376744673042</v>
      </c>
      <c r="AI221" s="147">
        <f t="shared" ref="AI221" si="1224">AH221*SQRT((AG221/AF221)^2+(AA221/Z221)^2)</f>
        <v>242.76128431854337</v>
      </c>
      <c r="AJ221" s="144">
        <f t="shared" ref="AJ221:AJ233" si="1225">(U221-1)*1000</f>
        <v>0.8933651357243555</v>
      </c>
      <c r="AK221" s="147">
        <f t="shared" ref="AK221" si="1226">V221*1000</f>
        <v>1.0406033487360185</v>
      </c>
      <c r="AL221" s="147">
        <f t="shared" ref="AL221" si="1227">AF221/Q221</f>
        <v>0.99743248090957537</v>
      </c>
      <c r="AM221" s="147">
        <f t="shared" ref="AM221" si="1228">AL221*SQRT((R221/Q221)^2+(AG221/AF221)^2)</f>
        <v>2.84382618285367E-3</v>
      </c>
      <c r="AN221" s="138">
        <f>AF221/Q221</f>
        <v>0.99743248090957537</v>
      </c>
      <c r="AO221" s="142">
        <f t="shared" ref="AO221" si="1229">AN221*SQRT((R221/Q221)^2+(AG221/AF221)^2)</f>
        <v>2.84382618285367E-3</v>
      </c>
      <c r="AP221" s="138">
        <f t="shared" ref="AP221" si="1230">ThU_Alter_Kombi(AN221,U221)</f>
        <v>606.80790000000002</v>
      </c>
      <c r="AQ221" s="138" t="e">
        <f t="shared" ref="AQ221:AQ233" si="1231">Montealter(AN221,AO221,U221,V221)</f>
        <v>#VALUE!</v>
      </c>
      <c r="AR221" s="138" t="e">
        <f>(AQ221/AP221)*100</f>
        <v>#VALUE!</v>
      </c>
      <c r="AS221" s="146">
        <f t="shared" ref="AS221:AS233" si="1232">Z221/Q221</f>
        <v>2.3434054278468577E-5</v>
      </c>
      <c r="AT221" s="146">
        <f t="shared" ref="AT221:AT233" si="1233">AS221*SQRT((Y221/X221)^2+(P221/O221)^2)</f>
        <v>1.1583817608363755E-7</v>
      </c>
      <c r="AU221" s="138">
        <v>0.75</v>
      </c>
      <c r="AV221" s="138">
        <f t="shared" ref="AV221" si="1234">AU221/2</f>
        <v>0.375</v>
      </c>
      <c r="AW221" s="138">
        <f t="shared" ref="AW221:AW233" si="1235">marincorr_age(AN221,U221,AS221,AU221)</f>
        <v>606.80600000000004</v>
      </c>
      <c r="AX221" s="148">
        <f t="shared" ref="AX221:AX233" si="1236">marincorr_age_error(AN221, AO221, U221, V221, AS221, AT221, AU221, AV221)</f>
        <v>208.52754901399999</v>
      </c>
      <c r="AY221" s="148">
        <f t="shared" ref="AY221:AY233" si="1237">SQRT(((AU221*EXP(-0.0000091577*AW221*1000))/(0.0000091577*(EXP(-0.0000091577*AW221*1000)+(AJ221/1000)*EXP(-(0.0000091577-0.0000028263)*AW221*1000)-AS221*AU221*EXP(-0.0000091577*AW221*1000))))^2*AT221^2+((AS221*EXP(-0.0000091577*AW221*1000))/(0.0000091577*(EXP(-0.0000091577*AW221*1000)+(AJ221/1000)*EXP(-(0.0000091577-0.0000028263)*AW221*1000)-AS221*AU221*EXP(-0.0000091577*AW221*1000))))^2*AV221^2+((0.0000091577/(0.0000091577-0.0000028263))*(EXP(-(0.0000091577-0.0000028263)*AW221*1000)-1)/(0.0000091577*(EXP(-0.0000091577*AW221*1000)+(AJ221/1000)*EXP(-(0.0000091577-0.0000028263)*AW221*1000)-AS221*AU221*EXP(-0.0000091577*AW221*1000))))^2*T221^2+(1/(0.0000091577*(EXP(-0.0000091577*AW221*1000)+(AJ221/1000)*EXP(-(0.0000091577-0.0000028263)*AW221*1000)-AS221*AU221*EXP(-0.0000091577*AW221*1000))))^2*AO221^2)/1000</f>
        <v>90.141256971154291</v>
      </c>
      <c r="AZ221" s="149">
        <f t="shared" ref="AZ221:AZ233" si="1238">AX221/AW221</f>
        <v>0.34364780343964951</v>
      </c>
      <c r="BA221" s="138" t="str">
        <f>Input!B221</f>
        <v>Hu1-13</v>
      </c>
      <c r="BB221" s="150">
        <f>Input!E221</f>
        <v>0</v>
      </c>
      <c r="BC221" s="138">
        <f>((U221-1)*EXP(Constants!$B$17*AW221*1000))*1000</f>
        <v>4.9514627861177436</v>
      </c>
      <c r="BD221" s="144">
        <f>SQRT((EXP(Constants!$B$17*AW221*1000)*V221)^2+((U221-1)*Constants!$B$17*EXP(Constants!$B$17*AW221*1000)*AY221*1000)^2)*1000</f>
        <v>5.9034657401686808</v>
      </c>
      <c r="BE221" s="138">
        <f t="shared" ref="BE221:BE233" si="1239">AW221*1000-58</f>
        <v>606748</v>
      </c>
      <c r="BF221" s="151">
        <f t="shared" ref="BF221:BF233" si="1240">AY221/2*1000</f>
        <v>45070.628485577145</v>
      </c>
      <c r="BG221" s="160">
        <f t="shared" ref="BG221:BG233" si="1241">AY221/AW221*100</f>
        <v>14.855037190000475</v>
      </c>
      <c r="BH221" s="138"/>
      <c r="BI221" s="18"/>
      <c r="BJ221" s="18"/>
      <c r="BK221" s="18"/>
      <c r="BL221" s="18"/>
      <c r="BM221" s="18"/>
      <c r="BN221" s="159"/>
      <c r="BO221" s="18"/>
      <c r="BP221" s="18"/>
      <c r="BQ221" s="18"/>
      <c r="BR221" s="18"/>
      <c r="BS221" s="18"/>
      <c r="BT221" s="18"/>
      <c r="BU221" s="18"/>
      <c r="BV221" s="18"/>
      <c r="BW221" s="18"/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  <c r="CY221" s="18"/>
      <c r="CZ221" s="18"/>
      <c r="DA221" s="18"/>
      <c r="DB221" s="18"/>
      <c r="DC221" s="18"/>
      <c r="DD221" s="18"/>
      <c r="DE221" s="18"/>
      <c r="DF221" s="18"/>
    </row>
    <row r="222" spans="1:110" ht="15" customHeight="1" x14ac:dyDescent="0.2">
      <c r="A222" s="18">
        <f>Input!A222</f>
        <v>11041</v>
      </c>
      <c r="B222" s="18" t="str">
        <f>Input!B222</f>
        <v>GeoB23225-1 192-202 La-06</v>
      </c>
      <c r="C222" s="18">
        <f>Input!O222</f>
        <v>3.5192756859665999</v>
      </c>
      <c r="D222" s="18">
        <f>C222*Input!P222/100</f>
        <v>1.43542378367289E-2</v>
      </c>
      <c r="E222" s="152">
        <f>Input!M222</f>
        <v>4.1277816781383452</v>
      </c>
      <c r="F222" s="153">
        <f>E222*Input!N222/100</f>
        <v>3.121370538145021E-4</v>
      </c>
      <c r="G222" s="21">
        <f>E222*137.88</f>
        <v>569.13853778171506</v>
      </c>
      <c r="H222" s="153">
        <f>G222*Input!L222/100</f>
        <v>2.0123078589781768E-2</v>
      </c>
      <c r="I222" s="18">
        <v>0.3</v>
      </c>
      <c r="J222" s="129">
        <f>(((C222*Constants!$B$24*0.000000001*Input!G222*(Constants!$B$4/Constants!$B$3))-(I222*0.000000000000001))/Input!F222)*1000000000000</f>
        <v>277.75863474804402</v>
      </c>
      <c r="K222" s="18">
        <f>J222*Input!P222/100</f>
        <v>1.1329074105439023</v>
      </c>
      <c r="L222" s="134">
        <f>(J222/Constants!$B$4)*602200000000*Constants!$B$17/(365.2425*24*60)</f>
        <v>3.8347663522307611</v>
      </c>
      <c r="M222" s="132">
        <f>L222*Input!P222/100</f>
        <v>1.5641044686468496E-2</v>
      </c>
      <c r="N222" s="18">
        <v>5.0000000000000001E-3</v>
      </c>
      <c r="O222" s="129">
        <f>(((G222*Constants!$B$23*0.000000001*Input!G222*(Constants!$B$7/Constants!$B$6))-(N222*0.000000001))/Input!F222)*1000000</f>
        <v>4.5249476297484383</v>
      </c>
      <c r="P222" s="18">
        <f>O222*Input!N222/100</f>
        <v>3.421701853310214E-4</v>
      </c>
      <c r="Q222" s="130">
        <f>(O222/Constants!$B$7)*602200000000000000*Constants!$B$18/(365.2425*24*60)</f>
        <v>3.3761573575289261</v>
      </c>
      <c r="R222" s="131">
        <f>Q222*Input!N222/100</f>
        <v>2.5530027820379168E-4</v>
      </c>
      <c r="S222" s="132">
        <f>Input!S222*Constants!$B$17/Constants!$B$18</f>
        <v>1.123999191116491</v>
      </c>
      <c r="T222" s="18">
        <f>S222*Input!T222/100</f>
        <v>5.5472884097242992E-4</v>
      </c>
      <c r="U222" s="18">
        <f>S222*1/((U221+U223)/2)</f>
        <v>1.1241868429444384</v>
      </c>
      <c r="V222" s="18">
        <f>U222*Input!T222/100</f>
        <v>5.5482145303287114E-4</v>
      </c>
      <c r="W222" s="133">
        <v>3.0000000000000001E-3</v>
      </c>
      <c r="X222" s="129">
        <f>IF((((Constants!$B$25*0.000000001*Input!G222/Input!W222*(Constants!$B$11/Constants!$B$9))-(W222*0.000000001))/Input!F222)*1000000000&lt;0, "n.d.", (((Constants!$B$25*0.000000001*Input!G222/Input!W222*(Constants!$B$11/Constants!$B$9))-(W222*0.000000001))/Input!F222)*1000000000)</f>
        <v>4.0854388512012338</v>
      </c>
      <c r="Y222" s="129">
        <f>X222*Input!X222/100</f>
        <v>7.5476389482268987E-3</v>
      </c>
      <c r="Z222" s="129">
        <f>(X222/Constants!$B$11)*6.022E+23*0.000000001*Constants!$B$19/(365.2425*24*60)</f>
        <v>9.9738770063091957E-4</v>
      </c>
      <c r="AA222" s="129">
        <f>Z222*Input!X222/100</f>
        <v>1.8426226728496937E-6</v>
      </c>
      <c r="AB222" s="134">
        <v>0.05</v>
      </c>
      <c r="AC222" s="134">
        <v>0.9</v>
      </c>
      <c r="AD222" s="129">
        <f>(((Input!G222*Constants!$B$25*0.000000001*Input!U222*(Constants!$B$10/Constants!$B$9))-((AB222*0.000000000000001)+(Input!G222*AC222*0.000000000000001)))/Input!F222)*1000000000000</f>
        <v>23.599416278895106</v>
      </c>
      <c r="AE222" s="129">
        <f>AD222*Input!V222/100</f>
        <v>4.8608850486494666E-2</v>
      </c>
      <c r="AF222" s="129">
        <f>(AD222/Constants!$B$10)*602200000000*Constants!$B$16/(365.2425*24*60)</f>
        <v>1.0772111314192843</v>
      </c>
      <c r="AG222" s="129">
        <f>AF222*Input!V222/100</f>
        <v>2.2187834737410405E-3</v>
      </c>
      <c r="AH222" s="18">
        <f>AF222/Z222</f>
        <v>1080.0324996366714</v>
      </c>
      <c r="AI222" s="133">
        <f>AH222*SQRT((AG222/AF222)^2+(AA222/Z222)^2)</f>
        <v>2.9883210678542707</v>
      </c>
      <c r="AJ222" s="132">
        <f t="shared" si="1225"/>
        <v>124.18684294443838</v>
      </c>
      <c r="AK222" s="133">
        <f>V222*1000</f>
        <v>0.55482145303287111</v>
      </c>
      <c r="AL222" s="133">
        <f>AF222/Q222</f>
        <v>0.31906425481533707</v>
      </c>
      <c r="AM222" s="133">
        <f>AL222*SQRT((R222/Q222)^2+(AG222/AF222)^2)</f>
        <v>6.5763469697944349E-4</v>
      </c>
      <c r="AN222" s="18">
        <f>AL222*1/((AN221+AN223)/2)</f>
        <v>0.32012671799391901</v>
      </c>
      <c r="AO222" s="129">
        <f>AN222*SQRT((R222/Q222)^2+(AG222/AF222)^2)</f>
        <v>6.5982457766947231E-4</v>
      </c>
      <c r="AP222" s="18">
        <f>ThU_Alter_Kombi(AN222,U222)</f>
        <v>36.307200000000002</v>
      </c>
      <c r="AQ222" s="18">
        <f t="shared" si="1231"/>
        <v>8.9300000000000004E-2</v>
      </c>
      <c r="AR222" s="154">
        <f>(AQ222/AP222)</f>
        <v>2.4595672483694693E-3</v>
      </c>
      <c r="AS222" s="131">
        <f t="shared" si="1232"/>
        <v>2.9542097568607605E-4</v>
      </c>
      <c r="AT222" s="131">
        <f t="shared" si="1233"/>
        <v>5.4623211388722845E-7</v>
      </c>
      <c r="AU222" s="18">
        <v>8</v>
      </c>
      <c r="AV222" s="18">
        <f>AU222/2</f>
        <v>4</v>
      </c>
      <c r="AW222" s="18">
        <f t="shared" si="1235"/>
        <v>36.080399999999997</v>
      </c>
      <c r="AX222" s="135">
        <f t="shared" si="1236"/>
        <v>0.1498102509</v>
      </c>
      <c r="AY222" s="135">
        <f t="shared" si="1237"/>
        <v>0.1456169336360994</v>
      </c>
      <c r="AZ222" s="154">
        <f t="shared" si="1238"/>
        <v>4.152122784115476E-3</v>
      </c>
      <c r="BA222" s="18" t="str">
        <f>Input!B222</f>
        <v>GeoB23225-1 192-202 La-06</v>
      </c>
      <c r="BB222" s="136">
        <f>Input!E222</f>
        <v>200</v>
      </c>
      <c r="BC222" s="18">
        <f>((U222-1)*EXP(Constants!$B$17*AW222*1000))*1000</f>
        <v>137.49785033912175</v>
      </c>
      <c r="BD222" s="132">
        <f>SQRT((EXP(Constants!$B$17*AW222*1000)*V222)^2+((U222-1)*Constants!$B$17*EXP(Constants!$B$17*AW222*1000)*AY222*1000)^2)*1000</f>
        <v>0.61688332898362996</v>
      </c>
      <c r="BE222" s="18">
        <f t="shared" si="1239"/>
        <v>36022.399999999994</v>
      </c>
      <c r="BF222" s="137">
        <f t="shared" si="1240"/>
        <v>72.808466818049695</v>
      </c>
      <c r="BG222" s="20">
        <f t="shared" si="1241"/>
        <v>0.40359013102986502</v>
      </c>
      <c r="BH222" s="18"/>
      <c r="BI222" s="18"/>
      <c r="BJ222" s="18"/>
      <c r="BK222" s="18"/>
      <c r="BL222" s="18"/>
      <c r="BM222" s="18"/>
      <c r="BN222" s="159"/>
      <c r="BO222" s="18"/>
      <c r="BP222" s="18"/>
      <c r="BQ222" s="18"/>
      <c r="BR222" s="18"/>
      <c r="BS222" s="18"/>
      <c r="BT222" s="18"/>
      <c r="BU222" s="18"/>
      <c r="BV222" s="18"/>
      <c r="BW222" s="18"/>
      <c r="BX222" s="18"/>
      <c r="BY222" s="18"/>
      <c r="BZ222" s="18"/>
      <c r="CA222" s="18"/>
      <c r="CB222" s="18"/>
      <c r="CC222" s="18"/>
      <c r="CD222" s="18"/>
      <c r="CE222" s="1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  <c r="CY222" s="18"/>
      <c r="CZ222" s="18"/>
      <c r="DA222" s="18"/>
      <c r="DB222" s="18"/>
      <c r="DC222" s="18"/>
      <c r="DD222" s="18"/>
      <c r="DE222" s="18"/>
      <c r="DF222" s="18"/>
    </row>
    <row r="223" spans="1:110" ht="15" customHeight="1" x14ac:dyDescent="0.2">
      <c r="A223" s="138">
        <f>Input!A223</f>
        <v>10815</v>
      </c>
      <c r="B223" s="138" t="str">
        <f>Input!B223</f>
        <v>Hu1-13</v>
      </c>
      <c r="C223" s="138">
        <f>Input!O223</f>
        <v>2.0912129581360417</v>
      </c>
      <c r="D223" s="138">
        <f>C223*Input!P223/100</f>
        <v>1.6185597180611945E-2</v>
      </c>
      <c r="E223" s="139">
        <f>Input!M223</f>
        <v>2.7324922650400851</v>
      </c>
      <c r="F223" s="140">
        <f>E223*Input!N223/100</f>
        <v>3.1873143574961764E-4</v>
      </c>
      <c r="G223" s="141">
        <f t="shared" ref="G223" si="1242">E223*137.88</f>
        <v>376.75603350372694</v>
      </c>
      <c r="H223" s="140">
        <f>G223*Input!L223/100</f>
        <v>2.1368331755348614E-2</v>
      </c>
      <c r="I223" s="138">
        <v>0</v>
      </c>
      <c r="J223" s="142">
        <f>(((C223*Constants!$B$24*0.000000001*Input!G223*(Constants!$B$4/Constants!$B$3))-(I223*0.000000000000001))/Input!F223)*1000000000000</f>
        <v>755.00638764557618</v>
      </c>
      <c r="K223" s="138">
        <f>J223*Input!P223/100</f>
        <v>5.8436082330479096</v>
      </c>
      <c r="L223" s="143">
        <f>(J223/Constants!$B$4)*602200000000*Constants!$B$17/(365.2425*24*60)</f>
        <v>10.423701476243442</v>
      </c>
      <c r="M223" s="144">
        <f>L223*Input!P223/100</f>
        <v>8.067749990216487E-2</v>
      </c>
      <c r="N223" s="138">
        <v>0</v>
      </c>
      <c r="O223" s="142">
        <f>(((G223*Constants!$B$23*0.000000001*Input!G223*(Constants!$B$7/Constants!$B$6))-(N223*0.000000001))/Input!F223)*1000000</f>
        <v>13.702319227936716</v>
      </c>
      <c r="P223" s="138">
        <f>O223*Input!N223/100</f>
        <v>1.5983064019966379E-3</v>
      </c>
      <c r="Q223" s="145">
        <f>(O223/Constants!$B$7)*602200000000000000*Constants!$B$18/(365.2425*24*60)</f>
        <v>10.223584815097732</v>
      </c>
      <c r="R223" s="146">
        <f>Q223*Input!N223/100</f>
        <v>1.1925295849195337E-3</v>
      </c>
      <c r="S223" s="144">
        <f>Input!S223*Constants!$B$17/Constants!$B$18</f>
        <v>0.99877279030965338</v>
      </c>
      <c r="T223" s="138">
        <f>S223*Input!T223/100</f>
        <v>1.6146325278640556E-3</v>
      </c>
      <c r="U223" s="144">
        <f>S223</f>
        <v>0.99877279030965338</v>
      </c>
      <c r="V223" s="138">
        <f>U223*Input!T223/100</f>
        <v>1.6146325278640556E-3</v>
      </c>
      <c r="W223" s="147">
        <v>0</v>
      </c>
      <c r="X223" s="142">
        <f>(((Constants!$B$25*0.000000001*Input!G223/Input!W223*(Constants!$B$11/Constants!$B$9))-(W223*0.000000001))/Input!F223)*1000000000</f>
        <v>0.98328449453627764</v>
      </c>
      <c r="Y223" s="142">
        <f>X223*Input!X223/100</f>
        <v>4.8179825891009366E-3</v>
      </c>
      <c r="Z223" s="142">
        <f>(X223/Constants!$B$11)*6.022E+23*0.000000001*Constants!$B$19/(365.2425*24*60)</f>
        <v>2.4005153345599975E-4</v>
      </c>
      <c r="AA223" s="142">
        <f>Z223*Input!X223/100</f>
        <v>1.1762253092615173E-6</v>
      </c>
      <c r="AB223" s="143">
        <v>0</v>
      </c>
      <c r="AC223" s="143">
        <v>0.9</v>
      </c>
      <c r="AD223" s="142">
        <f>(((Input!G223*Constants!$B$25*0.000000001*Input!U223*(Constants!$B$10/Constants!$B$9))-((AB223*0.000000000000001)+(Input!G223*AC223*0.000000000000001)))/Input!F223)*1000000000000</f>
        <v>223.06546578332839</v>
      </c>
      <c r="AE223" s="142">
        <f>AD223*Input!V223/100</f>
        <v>0.6425175056011655</v>
      </c>
      <c r="AF223" s="142">
        <f>(AD223/Constants!$B$10)*602200000000*Constants!$B$16/(365.2425*24*60)</f>
        <v>10.181972296997799</v>
      </c>
      <c r="AG223" s="142">
        <f>AF223*Input!V223/100</f>
        <v>2.9328141043229752E-2</v>
      </c>
      <c r="AH223" s="138">
        <f t="shared" ref="AH223" si="1243">AF223/Z223</f>
        <v>42415.776939263349</v>
      </c>
      <c r="AI223" s="147">
        <f t="shared" ref="AI223" si="1244">AH223*SQRT((AG223/AF223)^2+(AA223/Z223)^2)</f>
        <v>241.08280918532512</v>
      </c>
      <c r="AJ223" s="144">
        <f t="shared" si="1225"/>
        <v>-1.2272096903466201</v>
      </c>
      <c r="AK223" s="147">
        <f t="shared" ref="AK223" si="1245">V223*1000</f>
        <v>1.6146325278640556</v>
      </c>
      <c r="AL223" s="147">
        <f t="shared" ref="AL223" si="1246">AF223/Q223</f>
        <v>0.99592975273815088</v>
      </c>
      <c r="AM223" s="147">
        <f t="shared" ref="AM223" si="1247">AL223*SQRT((R223/Q223)^2+(AG223/AF223)^2)</f>
        <v>2.871026146601782E-3</v>
      </c>
      <c r="AN223" s="138">
        <f>AF223/Q223</f>
        <v>0.99592975273815088</v>
      </c>
      <c r="AO223" s="142">
        <f t="shared" ref="AO223" si="1248">AN223*SQRT((R223/Q223)^2+(AG223/AF223)^2)</f>
        <v>2.871026146601782E-3</v>
      </c>
      <c r="AP223" s="138">
        <f t="shared" ref="AP223" si="1249">ThU_Alter_Kombi(AN223,U223)</f>
        <v>661.29549999999995</v>
      </c>
      <c r="AQ223" s="138" t="e">
        <f t="shared" si="1231"/>
        <v>#VALUE!</v>
      </c>
      <c r="AR223" s="138" t="e">
        <f>(AQ223/AP223)*100</f>
        <v>#VALUE!</v>
      </c>
      <c r="AS223" s="146">
        <f t="shared" si="1232"/>
        <v>2.3480172346347868E-5</v>
      </c>
      <c r="AT223" s="146">
        <f t="shared" si="1233"/>
        <v>1.1508277887507741E-7</v>
      </c>
      <c r="AU223" s="138">
        <v>0.75</v>
      </c>
      <c r="AV223" s="138">
        <f t="shared" ref="AV223" si="1250">AU223/2</f>
        <v>0.375</v>
      </c>
      <c r="AW223" s="138">
        <f t="shared" si="1235"/>
        <v>661.29359999999997</v>
      </c>
      <c r="AX223" s="148">
        <f t="shared" si="1236"/>
        <v>306.35618893349999</v>
      </c>
      <c r="AY223" s="148">
        <f t="shared" si="1237"/>
        <v>172.75608039277986</v>
      </c>
      <c r="AZ223" s="149">
        <f t="shared" si="1238"/>
        <v>0.4632680384832093</v>
      </c>
      <c r="BA223" s="138" t="str">
        <f>Input!B223</f>
        <v>Hu1-13</v>
      </c>
      <c r="BB223" s="150">
        <f>Input!E223</f>
        <v>0</v>
      </c>
      <c r="BC223" s="138">
        <f>((U223-1)*EXP(Constants!$B$17*AW223*1000))*1000</f>
        <v>-7.932381173994413</v>
      </c>
      <c r="BD223" s="144">
        <f>SQRT((EXP(Constants!$B$17*AW223*1000)*V223)^2+((U223-1)*Constants!$B$17*EXP(Constants!$B$17*AW223*1000)*AY223*1000)^2)*1000</f>
        <v>11.130050898952746</v>
      </c>
      <c r="BE223" s="138">
        <f t="shared" si="1239"/>
        <v>661235.6</v>
      </c>
      <c r="BF223" s="151">
        <f t="shared" si="1240"/>
        <v>86378.040196389935</v>
      </c>
      <c r="BG223" s="160">
        <f t="shared" si="1241"/>
        <v>26.123960732839375</v>
      </c>
      <c r="BH223" s="138"/>
      <c r="BI223" s="18"/>
      <c r="BJ223" s="18"/>
      <c r="BK223" s="18"/>
      <c r="BL223" s="18"/>
      <c r="BM223" s="18"/>
      <c r="BN223" s="159"/>
      <c r="BO223" s="18"/>
      <c r="BP223" s="18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</row>
    <row r="224" spans="1:110" ht="15" customHeight="1" x14ac:dyDescent="0.2">
      <c r="A224" s="18">
        <f>Input!A224</f>
        <v>11042</v>
      </c>
      <c r="B224" s="18" t="str">
        <f>Input!B224</f>
        <v>GeoB23225-1 192-202 La-07</v>
      </c>
      <c r="C224" s="18">
        <f>Input!O224</f>
        <v>3.8103786203624828</v>
      </c>
      <c r="D224" s="18">
        <f>C224*Input!P224/100</f>
        <v>2.0712061140470681E-2</v>
      </c>
      <c r="E224" s="152">
        <f>Input!M224</f>
        <v>4.4607356195884771</v>
      </c>
      <c r="F224" s="153">
        <f>E224*Input!N224/100</f>
        <v>3.0560519403031663E-4</v>
      </c>
      <c r="G224" s="21">
        <f>E224*137.88</f>
        <v>615.04622722885915</v>
      </c>
      <c r="H224" s="153">
        <f>G224*Input!L224/100</f>
        <v>1.8764366985385528E-2</v>
      </c>
      <c r="I224" s="18">
        <v>0.3</v>
      </c>
      <c r="J224" s="129">
        <f>(((C224*Constants!$B$24*0.000000001*Input!G224*(Constants!$B$4/Constants!$B$3))-(I224*0.000000000000001))/Input!F224)*1000000000000</f>
        <v>293.67278814662785</v>
      </c>
      <c r="K224" s="18">
        <f>J224*Input!P224/100</f>
        <v>1.5963161012085489</v>
      </c>
      <c r="L224" s="134">
        <f>(J224/Constants!$B$4)*602200000000*Constants!$B$17/(365.2425*24*60)</f>
        <v>4.05447890961889</v>
      </c>
      <c r="M224" s="132">
        <f>L224*Input!P224/100</f>
        <v>2.2038916190640027E-2</v>
      </c>
      <c r="N224" s="18">
        <v>5.0000000000000001E-3</v>
      </c>
      <c r="O224" s="129">
        <f>(((G224*Constants!$B$23*0.000000001*Input!G224*(Constants!$B$7/Constants!$B$6))-(N224*0.000000001))/Input!F224)*1000000</f>
        <v>4.7751235552867586</v>
      </c>
      <c r="P224" s="18">
        <f>O224*Input!N224/100</f>
        <v>3.2714392537049134E-4</v>
      </c>
      <c r="Q224" s="130">
        <f>(O224/Constants!$B$7)*602200000000000000*Constants!$B$18/(365.2425*24*60)</f>
        <v>3.5628188088416266</v>
      </c>
      <c r="R224" s="131">
        <f>Q224*Input!N224/100</f>
        <v>2.4408887372512675E-4</v>
      </c>
      <c r="S224" s="132">
        <f>Input!S224*Constants!$B$17/Constants!$B$18</f>
        <v>1.1238217734962122</v>
      </c>
      <c r="T224" s="18">
        <f>S224*Input!T224/100</f>
        <v>5.7029815326848374E-4</v>
      </c>
      <c r="U224" s="18">
        <f>S224*1/((U223+U225)/2)</f>
        <v>1.1250321674216974</v>
      </c>
      <c r="V224" s="18">
        <f>U224*Input!T224/100</f>
        <v>5.7091238359993938E-4</v>
      </c>
      <c r="W224" s="133">
        <v>3.0000000000000001E-3</v>
      </c>
      <c r="X224" s="129">
        <f>IF((((Constants!$B$25*0.000000001*Input!G224/Input!W224*(Constants!$B$11/Constants!$B$9))-(W224*0.000000001))/Input!F224)*1000000000&lt;0, "n.d.", (((Constants!$B$25*0.000000001*Input!G224/Input!W224*(Constants!$B$11/Constants!$B$9))-(W224*0.000000001))/Input!F224)*1000000000)</f>
        <v>4.1806537098761867</v>
      </c>
      <c r="Y224" s="129">
        <f>X224*Input!X224/100</f>
        <v>7.8016838410637059E-3</v>
      </c>
      <c r="Z224" s="129">
        <f>(X224/Constants!$B$11)*6.022E+23*0.000000001*Constants!$B$19/(365.2425*24*60)</f>
        <v>1.0206327258090071E-3</v>
      </c>
      <c r="AA224" s="129">
        <f>Z224*Input!X224/100</f>
        <v>1.9046432441401021E-6</v>
      </c>
      <c r="AB224" s="134">
        <v>0.05</v>
      </c>
      <c r="AC224" s="134">
        <v>0.9</v>
      </c>
      <c r="AD224" s="129">
        <f>(((Input!G224*Constants!$B$25*0.000000001*Input!U224*(Constants!$B$10/Constants!$B$9))-((AB224*0.000000000000001)+(Input!G224*AC224*0.000000000000001)))/Input!F224)*1000000000000</f>
        <v>24.37987881608057</v>
      </c>
      <c r="AE224" s="129">
        <f>AD224*Input!V224/100</f>
        <v>6.4607147993580499E-2</v>
      </c>
      <c r="AF224" s="129">
        <f>(AD224/Constants!$B$10)*602200000000*Constants!$B$16/(365.2425*24*60)</f>
        <v>1.1128358656405191</v>
      </c>
      <c r="AG224" s="129">
        <f>AF224*Input!V224/100</f>
        <v>2.9490364577439612E-3</v>
      </c>
      <c r="AH224" s="18">
        <f>AF224/Z224</f>
        <v>1090.3391959712314</v>
      </c>
      <c r="AI224" s="133">
        <f>AH224*SQRT((AG224/AF224)^2+(AA224/Z224)^2)</f>
        <v>3.5339572627294471</v>
      </c>
      <c r="AJ224" s="132">
        <f t="shared" si="1225"/>
        <v>125.03216742169742</v>
      </c>
      <c r="AK224" s="133">
        <f>V224*1000</f>
        <v>0.57091238359993934</v>
      </c>
      <c r="AL224" s="133">
        <f>AF224/Q224</f>
        <v>0.31234702783056584</v>
      </c>
      <c r="AM224" s="133">
        <f>AL224*SQRT((R224/Q224)^2+(AG224/AF224)^2)</f>
        <v>8.2800219724550313E-4</v>
      </c>
      <c r="AN224" s="18">
        <f>AL224*1/((AN223+AN225)/2)</f>
        <v>0.31421130004316666</v>
      </c>
      <c r="AO224" s="129">
        <f>AN224*SQRT((R224/Q224)^2+(AG224/AF224)^2)</f>
        <v>8.3294420517501214E-4</v>
      </c>
      <c r="AP224" s="18">
        <f>ThU_Alter_Kombi(AN224,U224)</f>
        <v>35.486199999999997</v>
      </c>
      <c r="AQ224" s="18">
        <f t="shared" si="1231"/>
        <v>0.1166</v>
      </c>
      <c r="AR224" s="154">
        <f>(AQ224/AP224)</f>
        <v>3.2857843330646843E-3</v>
      </c>
      <c r="AS224" s="131">
        <f t="shared" si="1232"/>
        <v>2.8646776066079086E-4</v>
      </c>
      <c r="AT224" s="131">
        <f t="shared" si="1233"/>
        <v>5.3494899340945372E-7</v>
      </c>
      <c r="AU224" s="18">
        <v>8</v>
      </c>
      <c r="AV224" s="18">
        <f>AU224/2</f>
        <v>4</v>
      </c>
      <c r="AW224" s="18">
        <f t="shared" si="1235"/>
        <v>35.266399999999997</v>
      </c>
      <c r="AX224" s="135">
        <f t="shared" si="1236"/>
        <v>0.1538828059</v>
      </c>
      <c r="AY224" s="135">
        <f t="shared" si="1237"/>
        <v>0.15763683539592005</v>
      </c>
      <c r="AZ224" s="154">
        <f t="shared" si="1238"/>
        <v>4.3634395883900825E-3</v>
      </c>
      <c r="BA224" s="18" t="str">
        <f>Input!B224</f>
        <v>GeoB23225-1 192-202 La-07</v>
      </c>
      <c r="BB224" s="136">
        <f>Input!E224</f>
        <v>200</v>
      </c>
      <c r="BC224" s="18">
        <f>((U224-1)*EXP(Constants!$B$17*AW224*1000))*1000</f>
        <v>138.11614206283522</v>
      </c>
      <c r="BD224" s="132">
        <f>SQRT((EXP(Constants!$B$17*AW224*1000)*V224)^2+((U224-1)*Constants!$B$17*EXP(Constants!$B$17*AW224*1000)*AY224*1000)^2)*1000</f>
        <v>0.63364142024327264</v>
      </c>
      <c r="BE224" s="18">
        <f t="shared" si="1239"/>
        <v>35208.399999999994</v>
      </c>
      <c r="BF224" s="137">
        <f t="shared" si="1240"/>
        <v>78.818417697960029</v>
      </c>
      <c r="BG224" s="20">
        <f t="shared" si="1241"/>
        <v>0.44698873544200729</v>
      </c>
      <c r="BH224" s="18"/>
      <c r="BI224" s="18"/>
      <c r="BJ224" s="18"/>
      <c r="BK224" s="18"/>
      <c r="BL224" s="18"/>
      <c r="BM224" s="18"/>
      <c r="BN224" s="159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18"/>
      <c r="CZ224" s="18"/>
      <c r="DA224" s="18"/>
      <c r="DB224" s="18"/>
      <c r="DC224" s="18"/>
      <c r="DD224" s="18"/>
      <c r="DE224" s="18"/>
      <c r="DF224" s="18"/>
    </row>
    <row r="225" spans="1:110" ht="15" customHeight="1" x14ac:dyDescent="0.2">
      <c r="A225" s="138">
        <f>Input!A225</f>
        <v>10815</v>
      </c>
      <c r="B225" s="138" t="str">
        <f>Input!B225</f>
        <v>Hu1-13</v>
      </c>
      <c r="C225" s="138">
        <f>Input!O225</f>
        <v>2.0823115198138926</v>
      </c>
      <c r="D225" s="138">
        <f>C225*Input!P225/100</f>
        <v>1.5377673616853143E-2</v>
      </c>
      <c r="E225" s="139">
        <f>Input!M225</f>
        <v>2.7319079358362548</v>
      </c>
      <c r="F225" s="140">
        <f>E225*Input!N225/100</f>
        <v>2.5292281354094158E-4</v>
      </c>
      <c r="G225" s="141">
        <f t="shared" ref="G225" si="1251">E225*137.88</f>
        <v>376.67546619310281</v>
      </c>
      <c r="H225" s="140">
        <f>G225*Input!L225/100</f>
        <v>2.2979148281564728E-2</v>
      </c>
      <c r="I225" s="138">
        <v>0</v>
      </c>
      <c r="J225" s="142">
        <f>(((C225*Constants!$B$24*0.000000001*Input!G225*(Constants!$B$4/Constants!$B$3))-(I225*0.000000000000001))/Input!F225)*1000000000000</f>
        <v>751.79263422734664</v>
      </c>
      <c r="K225" s="138">
        <f>J225*Input!P225/100</f>
        <v>5.5519174949076042</v>
      </c>
      <c r="L225" s="143">
        <f>(J225/Constants!$B$4)*602200000000*Constants!$B$17/(365.2425*24*60)</f>
        <v>10.379332042026673</v>
      </c>
      <c r="M225" s="144">
        <f>L225*Input!P225/100</f>
        <v>7.6650385393582821E-2</v>
      </c>
      <c r="N225" s="138">
        <v>0</v>
      </c>
      <c r="O225" s="142">
        <f>(((G225*Constants!$B$23*0.000000001*Input!G225*(Constants!$B$7/Constants!$B$6))-(N225*0.000000001))/Input!F225)*1000000</f>
        <v>13.699389058513175</v>
      </c>
      <c r="P225" s="138">
        <f>O225*Input!N225/100</f>
        <v>1.2683033637480607E-3</v>
      </c>
      <c r="Q225" s="145">
        <f>(O225/Constants!$B$7)*602200000000000000*Constants!$B$18/(365.2425*24*60)</f>
        <v>10.221398554865004</v>
      </c>
      <c r="R225" s="146">
        <f>Q225*Input!N225/100</f>
        <v>9.4630746772526831E-4</v>
      </c>
      <c r="S225" s="144">
        <f>Input!S225*Constants!$B$17/Constants!$B$18</f>
        <v>0.9990754597928142</v>
      </c>
      <c r="T225" s="138">
        <f>S225*Input!T225/100</f>
        <v>1.3413403473254315E-3</v>
      </c>
      <c r="U225" s="144">
        <f>S225</f>
        <v>0.9990754597928142</v>
      </c>
      <c r="V225" s="138">
        <f>U225*Input!T225/100</f>
        <v>1.3413403473254315E-3</v>
      </c>
      <c r="W225" s="147">
        <v>0</v>
      </c>
      <c r="X225" s="142">
        <f>(((Constants!$B$25*0.000000001*Input!G225/Input!W225*(Constants!$B$11/Constants!$B$9))-(W225*0.000000001))/Input!F225)*1000000000</f>
        <v>0.96205199541326469</v>
      </c>
      <c r="Y225" s="142">
        <f>X225*Input!X225/100</f>
        <v>3.1536326797373892E-3</v>
      </c>
      <c r="Z225" s="142">
        <f>(X225/Constants!$B$11)*6.022E+23*0.000000001*Constants!$B$19/(365.2425*24*60)</f>
        <v>2.3486799400032455E-4</v>
      </c>
      <c r="AA225" s="142">
        <f>Z225*Input!X225/100</f>
        <v>7.6990369006574815E-7</v>
      </c>
      <c r="AB225" s="143">
        <v>0</v>
      </c>
      <c r="AC225" s="143">
        <v>0.9</v>
      </c>
      <c r="AD225" s="142">
        <f>(((Input!G225*Constants!$B$25*0.000000001*Input!U225*(Constants!$B$10/Constants!$B$9))-((AB225*0.000000000000001)+(Input!G225*AC225*0.000000000000001)))/Input!F225)*1000000000000</f>
        <v>222.18343426303406</v>
      </c>
      <c r="AE225" s="142">
        <f>AD225*Input!V225/100</f>
        <v>0.49935633453188921</v>
      </c>
      <c r="AF225" s="142">
        <f>(AD225/Constants!$B$10)*602200000000*Constants!$B$16/(365.2425*24*60)</f>
        <v>10.141711378647315</v>
      </c>
      <c r="AG225" s="142">
        <f>AF225*Input!V225/100</f>
        <v>2.2793453691629505E-2</v>
      </c>
      <c r="AH225" s="138">
        <f t="shared" ref="AH225" si="1252">AF225/Z225</f>
        <v>43180.474299249567</v>
      </c>
      <c r="AI225" s="147">
        <f t="shared" ref="AI225" si="1253">AH225*SQRT((AG225/AF225)^2+(AA225/Z225)^2)</f>
        <v>171.62106623496456</v>
      </c>
      <c r="AJ225" s="144">
        <f t="shared" si="1225"/>
        <v>-0.92454020718579777</v>
      </c>
      <c r="AK225" s="147">
        <f t="shared" ref="AK225" si="1254">V225*1000</f>
        <v>1.3413403473254315</v>
      </c>
      <c r="AL225" s="147">
        <f t="shared" ref="AL225" si="1255">AF225/Q225</f>
        <v>0.99220388718921826</v>
      </c>
      <c r="AM225" s="147">
        <f t="shared" ref="AM225" si="1256">AL225*SQRT((R225/Q225)^2+(AG225/AF225)^2)</f>
        <v>2.2318652410220048E-3</v>
      </c>
      <c r="AN225" s="138">
        <f>AF225/Q225</f>
        <v>0.99220388718921826</v>
      </c>
      <c r="AO225" s="142">
        <f t="shared" ref="AO225" si="1257">AN225*SQRT((R225/Q225)^2+(AG225/AF225)^2)</f>
        <v>2.2318652410220048E-3</v>
      </c>
      <c r="AP225" s="138">
        <f t="shared" ref="AP225" si="1258">ThU_Alter_Kombi(AN225,U225)</f>
        <v>549.12199999999996</v>
      </c>
      <c r="AQ225" s="138" t="e">
        <f t="shared" si="1231"/>
        <v>#VALUE!</v>
      </c>
      <c r="AR225" s="138" t="e">
        <f>(AQ225/AP225)*100</f>
        <v>#VALUE!</v>
      </c>
      <c r="AS225" s="146">
        <f t="shared" si="1232"/>
        <v>2.2978068288760364E-5</v>
      </c>
      <c r="AT225" s="146">
        <f t="shared" si="1233"/>
        <v>7.5352769592471855E-8</v>
      </c>
      <c r="AU225" s="138">
        <v>0.75</v>
      </c>
      <c r="AV225" s="138">
        <f t="shared" ref="AV225" si="1259">AU225/2</f>
        <v>0.375</v>
      </c>
      <c r="AW225" s="138">
        <f t="shared" si="1235"/>
        <v>549.12009999999998</v>
      </c>
      <c r="AX225" s="148">
        <f t="shared" si="1236"/>
        <v>116.0459964341</v>
      </c>
      <c r="AY225" s="148">
        <f t="shared" si="1237"/>
        <v>48.884263299563969</v>
      </c>
      <c r="AZ225" s="149">
        <f t="shared" si="1238"/>
        <v>0.21133081166415144</v>
      </c>
      <c r="BA225" s="138" t="str">
        <f>Input!B225</f>
        <v>Hu1-13</v>
      </c>
      <c r="BB225" s="150">
        <f>Input!E225</f>
        <v>0</v>
      </c>
      <c r="BC225" s="138">
        <f>((U225-1)*EXP(Constants!$B$17*AW225*1000))*1000</f>
        <v>-4.3544187366050098</v>
      </c>
      <c r="BD225" s="144">
        <f>SQRT((EXP(Constants!$B$17*AW225*1000)*V225)^2+((U225-1)*Constants!$B$17*EXP(Constants!$B$17*AW225*1000)*AY225*1000)^2)*1000</f>
        <v>6.3459684200487292</v>
      </c>
      <c r="BE225" s="138">
        <f t="shared" si="1239"/>
        <v>549062.1</v>
      </c>
      <c r="BF225" s="151">
        <f t="shared" si="1240"/>
        <v>24442.131649781986</v>
      </c>
      <c r="BG225" s="160">
        <f t="shared" si="1241"/>
        <v>8.9022899179184982</v>
      </c>
      <c r="BH225" s="138"/>
      <c r="BI225" s="18"/>
      <c r="BJ225" s="18"/>
      <c r="BK225" s="18"/>
      <c r="BL225" s="18"/>
      <c r="BM225" s="18"/>
      <c r="BN225" s="159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</row>
    <row r="226" spans="1:110" ht="15" customHeight="1" x14ac:dyDescent="0.2">
      <c r="A226" s="18">
        <f>Input!A226</f>
        <v>11043</v>
      </c>
      <c r="B226" s="18" t="str">
        <f>Input!B226</f>
        <v>GeoB23225-1 24-28 La-01</v>
      </c>
      <c r="C226" s="18">
        <f>Input!O226</f>
        <v>2.2685742230987764</v>
      </c>
      <c r="D226" s="18">
        <f>C226*Input!P226/100</f>
        <v>7.1653207330610539E-3</v>
      </c>
      <c r="E226" s="152">
        <f>Input!M226</f>
        <v>2.6237461691739532</v>
      </c>
      <c r="F226" s="153">
        <f>E226*Input!N226/100</f>
        <v>1.5441175282733879E-4</v>
      </c>
      <c r="G226" s="21">
        <f>E226*137.88</f>
        <v>361.76212180570468</v>
      </c>
      <c r="H226" s="153">
        <f>G226*Input!L226/100</f>
        <v>1.5081232555073654E-2</v>
      </c>
      <c r="I226" s="18">
        <v>0.3</v>
      </c>
      <c r="J226" s="129">
        <f>(((C226*Constants!$B$24*0.000000001*Input!G226*(Constants!$B$4/Constants!$B$3))-(I226*0.000000000000001))/Input!F226)*1000000000000</f>
        <v>257.34409134986646</v>
      </c>
      <c r="K226" s="18">
        <f>J226*Input!P226/100</f>
        <v>0.81282460785488164</v>
      </c>
      <c r="L226" s="134">
        <f>(J226/Constants!$B$4)*602200000000*Constants!$B$17/(365.2425*24*60)</f>
        <v>3.5529209140484386</v>
      </c>
      <c r="M226" s="132">
        <f>L226*Input!P226/100</f>
        <v>1.1221946202660808E-2</v>
      </c>
      <c r="N226" s="18">
        <v>5.0000000000000001E-3</v>
      </c>
      <c r="O226" s="129">
        <f>(((G226*Constants!$B$23*0.000000001*Input!G226*(Constants!$B$7/Constants!$B$6))-(N226*0.000000001))/Input!F226)*1000000</f>
        <v>4.1339504898824364</v>
      </c>
      <c r="P226" s="18">
        <f>O226*Input!N226/100</f>
        <v>2.4328974682987403E-4</v>
      </c>
      <c r="Q226" s="130">
        <f>(O226/Constants!$B$7)*602200000000000000*Constants!$B$18/(365.2425*24*60)</f>
        <v>3.0844262749738864</v>
      </c>
      <c r="R226" s="131">
        <f>Q226*Input!N226/100</f>
        <v>1.8152353043181916E-4</v>
      </c>
      <c r="S226" s="132">
        <f>Input!S226*Constants!$B$17/Constants!$B$18</f>
        <v>1.1362058783579454</v>
      </c>
      <c r="T226" s="18">
        <f>S226*Input!T226/100</f>
        <v>6.760670378590794E-4</v>
      </c>
      <c r="U226" s="18">
        <f>S226*1/((U225+U227)/2)</f>
        <v>1.1374157312092952</v>
      </c>
      <c r="V226" s="18">
        <f>U226*Input!T226/100</f>
        <v>6.7678692643652577E-4</v>
      </c>
      <c r="W226" s="133">
        <v>3.0000000000000001E-3</v>
      </c>
      <c r="X226" s="129">
        <f>IF((((Constants!$B$25*0.000000001*Input!G226/Input!W226*(Constants!$B$11/Constants!$B$9))-(W226*0.000000001))/Input!F226)*1000000000&lt;0, "n.d.", (((Constants!$B$25*0.000000001*Input!G226/Input!W226*(Constants!$B$11/Constants!$B$9))-(W226*0.000000001))/Input!F226)*1000000000)</f>
        <v>4.4627030612061196</v>
      </c>
      <c r="Y226" s="129">
        <f>X226*Input!X226/100</f>
        <v>6.0540318137274072E-3</v>
      </c>
      <c r="Z226" s="129">
        <f>(X226/Constants!$B$11)*6.022E+23*0.000000001*Constants!$B$19/(365.2425*24*60)</f>
        <v>1.0894900907661867E-3</v>
      </c>
      <c r="AA226" s="129">
        <f>Z226*Input!X226/100</f>
        <v>1.4779848848954401E-6</v>
      </c>
      <c r="AB226" s="134">
        <v>0.05</v>
      </c>
      <c r="AC226" s="134">
        <v>0.9</v>
      </c>
      <c r="AD226" s="129">
        <f>(((Input!G226*Constants!$B$25*0.000000001*Input!U226*(Constants!$B$10/Constants!$B$9))-((AB226*0.000000000000001)+(Input!G226*AC226*0.000000000000001)))/Input!F226)*1000000000000</f>
        <v>10.316881046253275</v>
      </c>
      <c r="AE226" s="129">
        <f>AD226*Input!V226/100</f>
        <v>2.3727162811482433E-2</v>
      </c>
      <c r="AF226" s="129">
        <f>(AD226/Constants!$B$10)*602200000000*Constants!$B$16/(365.2425*24*60)</f>
        <v>0.47092093182369921</v>
      </c>
      <c r="AG226" s="129">
        <f>AF226*Input!V226/100</f>
        <v>1.0830422072932392E-3</v>
      </c>
      <c r="AH226" s="18">
        <f>AF226/Z226</f>
        <v>432.23975675861618</v>
      </c>
      <c r="AI226" s="133">
        <f>AH226*SQRT((AG226/AF226)^2+(AA226/Z226)^2)</f>
        <v>1.1541350756163369</v>
      </c>
      <c r="AJ226" s="132">
        <f t="shared" si="1225"/>
        <v>137.41573120929519</v>
      </c>
      <c r="AK226" s="133">
        <f>V226*1000</f>
        <v>0.67678692643652572</v>
      </c>
      <c r="AL226" s="133">
        <f>AF226/Q226</f>
        <v>0.152676993982515</v>
      </c>
      <c r="AM226" s="133">
        <f>AL226*SQRT((R226/Q226)^2+(AG226/AF226)^2)</f>
        <v>3.5124741258911333E-4</v>
      </c>
      <c r="AN226" s="18">
        <f>AL226*1/((AN225+AN227)/2)</f>
        <v>0.15398445111499443</v>
      </c>
      <c r="AO226" s="129">
        <f>AN226*SQRT((R226/Q226)^2+(AG226/AF226)^2)</f>
        <v>3.5425533750874577E-4</v>
      </c>
      <c r="AP226" s="18">
        <f>ThU_Alter_Kombi(AN226,U226)</f>
        <v>15.817</v>
      </c>
      <c r="AQ226" s="18">
        <f t="shared" si="1231"/>
        <v>3.8600000000000002E-2</v>
      </c>
      <c r="AR226" s="154">
        <f>(AQ226/AP226)</f>
        <v>2.4404122147056967E-3</v>
      </c>
      <c r="AS226" s="131">
        <f t="shared" si="1232"/>
        <v>3.5322293147545264E-4</v>
      </c>
      <c r="AT226" s="131">
        <f t="shared" si="1233"/>
        <v>4.7962729400876048E-7</v>
      </c>
      <c r="AU226" s="18">
        <v>8</v>
      </c>
      <c r="AV226" s="18">
        <f>AU226/2</f>
        <v>4</v>
      </c>
      <c r="AW226" s="18">
        <f t="shared" si="1235"/>
        <v>15.5472</v>
      </c>
      <c r="AX226" s="135">
        <f t="shared" si="1236"/>
        <v>0.13636998829999999</v>
      </c>
      <c r="AY226" s="135">
        <f t="shared" si="1237"/>
        <v>0.14114871133489079</v>
      </c>
      <c r="AZ226" s="154">
        <f t="shared" si="1238"/>
        <v>8.7713535749202425E-3</v>
      </c>
      <c r="BA226" s="18" t="str">
        <f>Input!B226</f>
        <v>GeoB23225-1 24-28 La-01</v>
      </c>
      <c r="BB226" s="136">
        <f>Input!E226</f>
        <v>26</v>
      </c>
      <c r="BC226" s="18">
        <f>((U226-1)*EXP(Constants!$B$17*AW226*1000))*1000</f>
        <v>143.57908473498114</v>
      </c>
      <c r="BD226" s="132">
        <f>SQRT((EXP(Constants!$B$17*AW226*1000)*V226)^2+((U226-1)*Constants!$B$17*EXP(Constants!$B$17*AW226*1000)*AY226*1000)^2)*1000</f>
        <v>0.70945108855903261</v>
      </c>
      <c r="BE226" s="18">
        <f t="shared" si="1239"/>
        <v>15489.2</v>
      </c>
      <c r="BF226" s="137">
        <f t="shared" si="1240"/>
        <v>70.574355667445403</v>
      </c>
      <c r="BG226" s="20">
        <f t="shared" si="1241"/>
        <v>0.90787222995067141</v>
      </c>
      <c r="BH226" s="18"/>
      <c r="BI226" s="18"/>
      <c r="BJ226" s="18"/>
      <c r="BK226" s="18"/>
      <c r="BL226" s="18"/>
      <c r="BM226" s="18"/>
      <c r="BN226" s="159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</row>
    <row r="227" spans="1:110" ht="15" customHeight="1" x14ac:dyDescent="0.2">
      <c r="A227" s="138">
        <f>Input!A227</f>
        <v>10815</v>
      </c>
      <c r="B227" s="138" t="str">
        <f>Input!B227</f>
        <v>Hu1-13</v>
      </c>
      <c r="C227" s="138">
        <f>Input!O227</f>
        <v>2.0982873853131916</v>
      </c>
      <c r="D227" s="138">
        <f>C227*Input!P227/100</f>
        <v>1.5742550736331261E-2</v>
      </c>
      <c r="E227" s="139">
        <f>Input!M227</f>
        <v>2.7322903738993389</v>
      </c>
      <c r="F227" s="140">
        <f>E227*Input!N227/100</f>
        <v>3.1994157166133385E-4</v>
      </c>
      <c r="G227" s="141">
        <f t="shared" ref="G227" si="1260">E227*137.88</f>
        <v>376.72819675324087</v>
      </c>
      <c r="H227" s="140">
        <f>G227*Input!L227/100</f>
        <v>2.2748744083333917E-2</v>
      </c>
      <c r="I227" s="138">
        <v>0</v>
      </c>
      <c r="J227" s="142">
        <f>(((C227*Constants!$B$24*0.000000001*Input!G227*(Constants!$B$4/Constants!$B$3))-(I227*0.000000000000001))/Input!F227)*1000000000000</f>
        <v>757.56052144954913</v>
      </c>
      <c r="K227" s="138">
        <f>J227*Input!P227/100</f>
        <v>5.6836518335075539</v>
      </c>
      <c r="L227" s="143">
        <f>(J227/Constants!$B$4)*602200000000*Constants!$B$17/(365.2425*24*60)</f>
        <v>10.458964129299956</v>
      </c>
      <c r="M227" s="144">
        <f>L227*Input!P227/100</f>
        <v>7.8469124204546173E-2</v>
      </c>
      <c r="N227" s="138">
        <v>0</v>
      </c>
      <c r="O227" s="142">
        <f>(((G227*Constants!$B$23*0.000000001*Input!G227*(Constants!$B$7/Constants!$B$6))-(N227*0.000000001))/Input!F227)*1000000</f>
        <v>13.701306827317989</v>
      </c>
      <c r="P227" s="138">
        <f>O227*Input!N227/100</f>
        <v>1.6043747333817527E-3</v>
      </c>
      <c r="Q227" s="145">
        <f>(O227/Constants!$B$7)*602200000000000000*Constants!$B$18/(365.2425*24*60)</f>
        <v>10.222829441980217</v>
      </c>
      <c r="R227" s="146">
        <f>Q227*Input!N227/100</f>
        <v>1.1970572929352217E-3</v>
      </c>
      <c r="S227" s="144">
        <f>Input!S227*Constants!$B$17/Constants!$B$18</f>
        <v>0.99879716880172165</v>
      </c>
      <c r="T227" s="138">
        <f>S227*Input!T227/100</f>
        <v>1.3263334064559629E-3</v>
      </c>
      <c r="U227" s="144">
        <f>S227</f>
        <v>0.99879716880172165</v>
      </c>
      <c r="V227" s="138">
        <f>U227*Input!T227/100</f>
        <v>1.3263334064559629E-3</v>
      </c>
      <c r="W227" s="147">
        <v>0</v>
      </c>
      <c r="X227" s="142">
        <f>(((Constants!$B$25*0.000000001*Input!G227/Input!W227*(Constants!$B$11/Constants!$B$9))-(W227*0.000000001))/Input!F227)*1000000000</f>
        <v>0.96617627927764405</v>
      </c>
      <c r="Y227" s="142">
        <f>X227*Input!X227/100</f>
        <v>3.4812424582589983E-3</v>
      </c>
      <c r="Z227" s="142">
        <f>(X227/Constants!$B$11)*6.022E+23*0.000000001*Constants!$B$19/(365.2425*24*60)</f>
        <v>2.358748650244822E-4</v>
      </c>
      <c r="AA227" s="142">
        <f>Z227*Input!X227/100</f>
        <v>8.4988382821120025E-7</v>
      </c>
      <c r="AB227" s="143">
        <v>0</v>
      </c>
      <c r="AC227" s="143">
        <v>0.9</v>
      </c>
      <c r="AD227" s="142">
        <f>(((Input!G227*Constants!$B$25*0.000000001*Input!U227*(Constants!$B$10/Constants!$B$9))-((AB227*0.000000000000001)+(Input!G227*AC227*0.000000000000001)))/Input!F227)*1000000000000</f>
        <v>221.90335519622911</v>
      </c>
      <c r="AE227" s="142">
        <f>AD227*Input!V227/100</f>
        <v>0.63137923496655501</v>
      </c>
      <c r="AF227" s="142">
        <f>(AD227/Constants!$B$10)*602200000000*Constants!$B$16/(365.2425*24*60)</f>
        <v>10.128926982420122</v>
      </c>
      <c r="AG227" s="142">
        <f>AF227*Input!V227/100</f>
        <v>2.8819727234575807E-2</v>
      </c>
      <c r="AH227" s="138">
        <f t="shared" ref="AH227" si="1261">AF227/Z227</f>
        <v>42941.951366326415</v>
      </c>
      <c r="AI227" s="147">
        <f t="shared" ref="AI227" si="1262">AH227*SQRT((AG227/AF227)^2+(AA227/Z227)^2)</f>
        <v>197.15030741699914</v>
      </c>
      <c r="AJ227" s="144">
        <f t="shared" si="1225"/>
        <v>-1.2028311982783535</v>
      </c>
      <c r="AK227" s="147">
        <f t="shared" ref="AK227" si="1263">V227*1000</f>
        <v>1.3263334064559629</v>
      </c>
      <c r="AL227" s="147">
        <f t="shared" ref="AL227" si="1264">AF227/Q227</f>
        <v>0.99081443546593051</v>
      </c>
      <c r="AM227" s="147">
        <f t="shared" ref="AM227" si="1265">AL227*SQRT((R227/Q227)^2+(AG227/AF227)^2)</f>
        <v>2.8215400602872444E-3</v>
      </c>
      <c r="AN227" s="138">
        <f>AF227/Q227</f>
        <v>0.99081443546593051</v>
      </c>
      <c r="AO227" s="142">
        <f t="shared" ref="AO227" si="1266">AN227*SQRT((R227/Q227)^2+(AG227/AF227)^2)</f>
        <v>2.8215400602872444E-3</v>
      </c>
      <c r="AP227" s="138">
        <f t="shared" ref="AP227" si="1267">ThU_Alter_Kombi(AN227,U227)</f>
        <v>533.44359999999995</v>
      </c>
      <c r="AQ227" s="138" t="e">
        <f t="shared" si="1231"/>
        <v>#VALUE!</v>
      </c>
      <c r="AR227" s="138" t="e">
        <f>(AQ227/AP227)*100</f>
        <v>#VALUE!</v>
      </c>
      <c r="AS227" s="146">
        <f t="shared" si="1232"/>
        <v>2.3073344455484919E-5</v>
      </c>
      <c r="AT227" s="146">
        <f t="shared" si="1233"/>
        <v>8.3179761869784584E-8</v>
      </c>
      <c r="AU227" s="138">
        <v>0.75</v>
      </c>
      <c r="AV227" s="138">
        <f t="shared" ref="AV227" si="1268">AU227/2</f>
        <v>0.375</v>
      </c>
      <c r="AW227" s="138">
        <f t="shared" si="1235"/>
        <v>533.44169999999997</v>
      </c>
      <c r="AX227" s="148">
        <f t="shared" si="1236"/>
        <v>47.426507174699999</v>
      </c>
      <c r="AY227" s="148">
        <f t="shared" si="1237"/>
        <v>49.03473149290253</v>
      </c>
      <c r="AZ227" s="149">
        <f t="shared" si="1238"/>
        <v>8.8906636235412423E-2</v>
      </c>
      <c r="BA227" s="138" t="str">
        <f>Input!B227</f>
        <v>Hu1-13</v>
      </c>
      <c r="BB227" s="150">
        <f>Input!E227</f>
        <v>0</v>
      </c>
      <c r="BC227" s="138">
        <f>((U227-1)*EXP(Constants!$B$17*AW227*1000))*1000</f>
        <v>-5.419928338802781</v>
      </c>
      <c r="BD227" s="144">
        <f>SQRT((EXP(Constants!$B$17*AW227*1000)*V227)^2+((U227-1)*Constants!$B$17*EXP(Constants!$B$17*AW227*1000)*AY227*1000)^2)*1000</f>
        <v>6.0233028670436184</v>
      </c>
      <c r="BE227" s="138">
        <f t="shared" si="1239"/>
        <v>533383.69999999995</v>
      </c>
      <c r="BF227" s="151">
        <f t="shared" si="1240"/>
        <v>24517.365746451265</v>
      </c>
      <c r="BG227" s="160">
        <f t="shared" si="1241"/>
        <v>9.1921444260736518</v>
      </c>
      <c r="BH227" s="138"/>
      <c r="BI227" s="18"/>
      <c r="BJ227" s="18"/>
      <c r="BK227" s="18"/>
      <c r="BL227" s="18"/>
      <c r="BM227" s="18"/>
      <c r="BN227" s="159"/>
      <c r="BO227" s="18"/>
      <c r="BP227" s="18"/>
      <c r="BQ227" s="18"/>
      <c r="BR227" s="18"/>
      <c r="BS227" s="18"/>
      <c r="BT227" s="18"/>
      <c r="BU227" s="18"/>
      <c r="BV227" s="18"/>
      <c r="BW227" s="18"/>
      <c r="BX227" s="18"/>
      <c r="BY227" s="18"/>
      <c r="BZ227" s="18"/>
      <c r="CA227" s="18"/>
      <c r="CB227" s="18"/>
      <c r="CC227" s="18"/>
      <c r="CD227" s="18"/>
      <c r="CE227" s="1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  <c r="CY227" s="18"/>
      <c r="CZ227" s="18"/>
      <c r="DA227" s="18"/>
      <c r="DB227" s="18"/>
      <c r="DC227" s="18"/>
      <c r="DD227" s="18"/>
      <c r="DE227" s="18"/>
      <c r="DF227" s="18"/>
    </row>
    <row r="228" spans="1:110" ht="15" customHeight="1" x14ac:dyDescent="0.2">
      <c r="A228" s="18">
        <f>Input!A228</f>
        <v>11044</v>
      </c>
      <c r="B228" s="18" t="str">
        <f>Input!B228</f>
        <v>GeoB23225-1 24-28 La-03</v>
      </c>
      <c r="C228" s="18">
        <f>Input!O228</f>
        <v>2.7042756126689493</v>
      </c>
      <c r="D228" s="18">
        <f>C228*Input!P228/100</f>
        <v>6.5018886090212171E-3</v>
      </c>
      <c r="E228" s="152">
        <f>Input!M228</f>
        <v>3.1456131573317752</v>
      </c>
      <c r="F228" s="153">
        <f>E228*Input!N228/100</f>
        <v>1.5729513531519311E-4</v>
      </c>
      <c r="G228" s="21">
        <f>E228*137.88</f>
        <v>433.71714213290517</v>
      </c>
      <c r="H228" s="153">
        <f>G228*Input!L228/100</f>
        <v>1.4788702866415487E-2</v>
      </c>
      <c r="I228" s="18">
        <v>0.3</v>
      </c>
      <c r="J228" s="129">
        <f>(((C228*Constants!$B$24*0.000000001*Input!G228*(Constants!$B$4/Constants!$B$3))-(I228*0.000000000000001))/Input!F228)*1000000000000</f>
        <v>253.65359306000545</v>
      </c>
      <c r="K228" s="18">
        <f>J228*Input!P228/100</f>
        <v>0.6098592168741519</v>
      </c>
      <c r="L228" s="134">
        <f>(J228/Constants!$B$4)*602200000000*Constants!$B$17/(365.2425*24*60)</f>
        <v>3.5019694875418903</v>
      </c>
      <c r="M228" s="132">
        <f>L228*Input!P228/100</f>
        <v>8.4197836246862837E-3</v>
      </c>
      <c r="N228" s="18">
        <v>5.0000000000000001E-3</v>
      </c>
      <c r="O228" s="129">
        <f>(((G228*Constants!$B$23*0.000000001*Input!G228*(Constants!$B$7/Constants!$B$6))-(N228*0.000000001))/Input!F228)*1000000</f>
        <v>4.0980548443335536</v>
      </c>
      <c r="P228" s="18">
        <f>O228*Input!N228/100</f>
        <v>2.0492160320670388E-4</v>
      </c>
      <c r="Q228" s="130">
        <f>(O228/Constants!$B$7)*602200000000000000*Constants!$B$18/(365.2425*24*60)</f>
        <v>3.057643788691311</v>
      </c>
      <c r="R228" s="131">
        <f>Q228*Input!N228/100</f>
        <v>1.5289626201074933E-4</v>
      </c>
      <c r="S228" s="132">
        <f>Input!S228*Constants!$B$17/Constants!$B$18</f>
        <v>1.1361444840065908</v>
      </c>
      <c r="T228" s="18">
        <f>S228*Input!T228/100</f>
        <v>6.6925449476682667E-4</v>
      </c>
      <c r="U228" s="18">
        <f>S228*1/((U227+U229)/2)</f>
        <v>1.1364908234300641</v>
      </c>
      <c r="V228" s="18">
        <f>U228*Input!T228/100</f>
        <v>6.6945850862169917E-4</v>
      </c>
      <c r="W228" s="133">
        <v>3.0000000000000001E-3</v>
      </c>
      <c r="X228" s="129">
        <f>IF((((Constants!$B$25*0.000000001*Input!G228/Input!W228*(Constants!$B$11/Constants!$B$9))-(W228*0.000000001))/Input!F228)*1000000000&lt;0, "n.d.", (((Constants!$B$25*0.000000001*Input!G228/Input!W228*(Constants!$B$11/Constants!$B$9))-(W228*0.000000001))/Input!F228)*1000000000)</f>
        <v>0.70691849772817394</v>
      </c>
      <c r="Y228" s="129">
        <f>X228*Input!X228/100</f>
        <v>1.2408323300360749E-3</v>
      </c>
      <c r="Z228" s="129">
        <f>(X228/Constants!$B$11)*6.022E+23*0.000000001*Constants!$B$19/(365.2425*24*60)</f>
        <v>1.7258165907323676E-4</v>
      </c>
      <c r="AA228" s="129">
        <f>Z228*Input!X228/100</f>
        <v>3.0292728629613455E-7</v>
      </c>
      <c r="AB228" s="134">
        <v>0.05</v>
      </c>
      <c r="AC228" s="134">
        <v>0.9</v>
      </c>
      <c r="AD228" s="129">
        <f>(((Input!G228*Constants!$B$25*0.000000001*Input!U228*(Constants!$B$10/Constants!$B$9))-((AB228*0.000000000000001)+(Input!G228*AC228*0.000000000000001)))/Input!F228)*1000000000000</f>
        <v>10.383291187659154</v>
      </c>
      <c r="AE228" s="129">
        <f>AD228*Input!V228/100</f>
        <v>2.7118887842719808E-2</v>
      </c>
      <c r="AF228" s="129">
        <f>(AD228/Constants!$B$10)*602200000000*Constants!$B$16/(365.2425*24*60)</f>
        <v>0.47395226712098437</v>
      </c>
      <c r="AG228" s="129">
        <f>AF228*Input!V228/100</f>
        <v>1.2378597635914314E-3</v>
      </c>
      <c r="AH228" s="18">
        <f>AF228/Z228</f>
        <v>2746.2493388121734</v>
      </c>
      <c r="AI228" s="133">
        <f>AH228*SQRT((AG228/AF228)^2+(AA228/Z228)^2)</f>
        <v>8.6419073033604654</v>
      </c>
      <c r="AJ228" s="132">
        <f t="shared" si="1225"/>
        <v>136.49082343006413</v>
      </c>
      <c r="AK228" s="133">
        <f>V228*1000</f>
        <v>0.6694585086216992</v>
      </c>
      <c r="AL228" s="133">
        <f>AF228/Q228</f>
        <v>0.15500571677900998</v>
      </c>
      <c r="AM228" s="133">
        <f>AL228*SQRT((R228/Q228)^2+(AG228/AF228)^2)</f>
        <v>4.0491525629932085E-4</v>
      </c>
      <c r="AN228" s="18">
        <f>AL228*1/((AN227+AN229)/2)</f>
        <v>0.15630035079788679</v>
      </c>
      <c r="AO228" s="129">
        <f>AN228*SQRT((R228/Q228)^2+(AG228/AF228)^2)</f>
        <v>4.0829717715011561E-4</v>
      </c>
      <c r="AP228" s="18">
        <f>ThU_Alter_Kombi(AN228,U228)</f>
        <v>16.0869</v>
      </c>
      <c r="AQ228" s="18">
        <f t="shared" si="1231"/>
        <v>0.04</v>
      </c>
      <c r="AR228" s="154">
        <f>(AQ228/AP228)</f>
        <v>2.4864952228210533E-3</v>
      </c>
      <c r="AS228" s="131">
        <f t="shared" si="1232"/>
        <v>5.6442696075824678E-5</v>
      </c>
      <c r="AT228" s="131">
        <f t="shared" si="1233"/>
        <v>9.9112325531291181E-8</v>
      </c>
      <c r="AU228" s="18">
        <v>8</v>
      </c>
      <c r="AV228" s="18">
        <f>AU228/2</f>
        <v>4</v>
      </c>
      <c r="AW228" s="18">
        <f t="shared" si="1235"/>
        <v>16.043800000000001</v>
      </c>
      <c r="AX228" s="135">
        <f t="shared" si="1236"/>
        <v>5.1867840999999998E-2</v>
      </c>
      <c r="AY228" s="135">
        <f t="shared" si="1237"/>
        <v>5.1151287266752637E-2</v>
      </c>
      <c r="AZ228" s="154">
        <f t="shared" si="1238"/>
        <v>3.2328900260536779E-3</v>
      </c>
      <c r="BA228" s="18" t="str">
        <f>Input!B228</f>
        <v>GeoB23225-1 24-28 La-03</v>
      </c>
      <c r="BB228" s="136">
        <f>Input!E228</f>
        <v>26</v>
      </c>
      <c r="BC228" s="18">
        <f>((U228-1)*EXP(Constants!$B$17*AW228*1000))*1000</f>
        <v>142.81269563698336</v>
      </c>
      <c r="BD228" s="132">
        <f>SQRT((EXP(Constants!$B$17*AW228*1000)*V228)^2+((U228-1)*Constants!$B$17*EXP(Constants!$B$17*AW228*1000)*AY228*1000)^2)*1000</f>
        <v>0.70076924658203466</v>
      </c>
      <c r="BE228" s="18">
        <f t="shared" si="1239"/>
        <v>15985.800000000001</v>
      </c>
      <c r="BF228" s="137">
        <f t="shared" si="1240"/>
        <v>25.57564363337632</v>
      </c>
      <c r="BG228" s="20">
        <f t="shared" si="1241"/>
        <v>0.31882276808955878</v>
      </c>
      <c r="BH228" s="18"/>
      <c r="BI228" s="18"/>
      <c r="BJ228" s="18"/>
      <c r="BK228" s="18"/>
      <c r="BL228" s="18"/>
      <c r="BM228" s="18"/>
      <c r="BN228" s="159"/>
      <c r="BO228" s="18"/>
      <c r="BP228" s="18"/>
      <c r="BQ228" s="18"/>
      <c r="BR228" s="18"/>
      <c r="BS228" s="18"/>
      <c r="BT228" s="18"/>
      <c r="BU228" s="18"/>
      <c r="BV228" s="18"/>
      <c r="BW228" s="18"/>
      <c r="BX228" s="18"/>
      <c r="BY228" s="18"/>
      <c r="BZ228" s="18"/>
      <c r="CA228" s="18"/>
      <c r="CB228" s="18"/>
      <c r="CC228" s="18"/>
      <c r="CD228" s="18"/>
      <c r="CE228" s="1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  <c r="CY228" s="18"/>
      <c r="CZ228" s="18"/>
      <c r="DA228" s="18"/>
      <c r="DB228" s="18"/>
      <c r="DC228" s="18"/>
      <c r="DD228" s="18"/>
      <c r="DE228" s="18"/>
      <c r="DF228" s="18"/>
    </row>
    <row r="229" spans="1:110" ht="15" customHeight="1" x14ac:dyDescent="0.2">
      <c r="A229" s="138">
        <f>Input!A229</f>
        <v>10815</v>
      </c>
      <c r="B229" s="138" t="str">
        <f>Input!B229</f>
        <v>Hu1-13</v>
      </c>
      <c r="C229" s="138">
        <f>Input!O229</f>
        <v>2.1042694112864915</v>
      </c>
      <c r="D229" s="138">
        <f>C229*Input!P229/100</f>
        <v>2.0615437598148025E-2</v>
      </c>
      <c r="E229" s="139">
        <f>Input!M229</f>
        <v>2.7323528610115906</v>
      </c>
      <c r="F229" s="140">
        <f>E229*Input!N229/100</f>
        <v>3.0543584619172238E-4</v>
      </c>
      <c r="G229" s="141">
        <f t="shared" ref="G229" si="1269">E229*137.88</f>
        <v>376.73681247627809</v>
      </c>
      <c r="H229" s="140">
        <f>G229*Input!L229/100</f>
        <v>2.8472602446812295E-2</v>
      </c>
      <c r="I229" s="138">
        <v>0</v>
      </c>
      <c r="J229" s="142">
        <f>(((C229*Constants!$B$24*0.000000001*Input!G229*(Constants!$B$4/Constants!$B$3))-(I229*0.000000000000001))/Input!F229)*1000000000000</f>
        <v>759.72025740725314</v>
      </c>
      <c r="K229" s="138">
        <f>J229*Input!P229/100</f>
        <v>7.4429469319011279</v>
      </c>
      <c r="L229" s="143">
        <f>(J229/Constants!$B$4)*602200000000*Constants!$B$17/(365.2425*24*60)</f>
        <v>10.488781682182942</v>
      </c>
      <c r="M229" s="144">
        <f>L229*Input!P229/100</f>
        <v>0.10275814640932458</v>
      </c>
      <c r="N229" s="138">
        <v>0</v>
      </c>
      <c r="O229" s="142">
        <f>(((G229*Constants!$B$23*0.000000001*Input!G229*(Constants!$B$7/Constants!$B$6))-(N229*0.000000001))/Input!F229)*1000000</f>
        <v>13.701620174356757</v>
      </c>
      <c r="P229" s="138">
        <f>O229*Input!N229/100</f>
        <v>1.531634516122798E-3</v>
      </c>
      <c r="Q229" s="145">
        <f>(O229/Constants!$B$7)*602200000000000000*Constants!$B$18/(365.2425*24*60)</f>
        <v>10.223063236710445</v>
      </c>
      <c r="R229" s="146">
        <f>Q229*Input!N229/100</f>
        <v>1.1427843068629552E-3</v>
      </c>
      <c r="S229" s="144">
        <f>Input!S229*Constants!$B$17/Constants!$B$18</f>
        <v>1.0005933420298081</v>
      </c>
      <c r="T229" s="138">
        <f>S229*Input!T229/100</f>
        <v>1.4851862612918361E-3</v>
      </c>
      <c r="U229" s="144">
        <f>S229</f>
        <v>1.0005933420298081</v>
      </c>
      <c r="V229" s="138">
        <f>U229*Input!T229/100</f>
        <v>1.4851862612918361E-3</v>
      </c>
      <c r="W229" s="147">
        <v>0</v>
      </c>
      <c r="X229" s="142">
        <f>(((Constants!$B$25*0.000000001*Input!G229/Input!W229*(Constants!$B$11/Constants!$B$9))-(W229*0.000000001))/Input!F229)*1000000000</f>
        <v>0.95782565644168127</v>
      </c>
      <c r="Y229" s="142">
        <f>X229*Input!X229/100</f>
        <v>3.7677007159413519E-3</v>
      </c>
      <c r="Z229" s="142">
        <f>(X229/Constants!$B$11)*6.022E+23*0.000000001*Constants!$B$19/(365.2425*24*60)</f>
        <v>2.3383620802518629E-4</v>
      </c>
      <c r="AA229" s="142">
        <f>Z229*Input!X229/100</f>
        <v>9.1981754974335229E-7</v>
      </c>
      <c r="AB229" s="143">
        <v>0</v>
      </c>
      <c r="AC229" s="143">
        <v>0.9</v>
      </c>
      <c r="AD229" s="142">
        <f>(((Input!G229*Constants!$B$25*0.000000001*Input!U229*(Constants!$B$10/Constants!$B$9))-((AB229*0.000000000000001)+(Input!G229*AC229*0.000000000000001)))/Input!F229)*1000000000000</f>
        <v>222.3127221782608</v>
      </c>
      <c r="AE229" s="142">
        <f>AD229*Input!V229/100</f>
        <v>0.5069270542113441</v>
      </c>
      <c r="AF229" s="142">
        <f>(AD229/Constants!$B$10)*602200000000*Constants!$B$16/(365.2425*24*60)</f>
        <v>10.147612811962203</v>
      </c>
      <c r="AG229" s="142">
        <f>AF229*Input!V229/100</f>
        <v>2.3139024252154642E-2</v>
      </c>
      <c r="AH229" s="138">
        <f t="shared" ref="AH229" si="1270">AF229/Z229</f>
        <v>43396.242599303579</v>
      </c>
      <c r="AI229" s="147">
        <f t="shared" ref="AI229" si="1271">AH229*SQRT((AG229/AF229)^2+(AA229/Z229)^2)</f>
        <v>197.31073637540877</v>
      </c>
      <c r="AJ229" s="144">
        <f t="shared" si="1225"/>
        <v>0.59334202980809714</v>
      </c>
      <c r="AK229" s="147">
        <f t="shared" ref="AK229" si="1272">V229*1000</f>
        <v>1.4851862612918361</v>
      </c>
      <c r="AL229" s="147">
        <f t="shared" ref="AL229" si="1273">AF229/Q229</f>
        <v>0.99261958739751277</v>
      </c>
      <c r="AM229" s="147">
        <f t="shared" ref="AM229" si="1274">AL229*SQRT((R229/Q229)^2+(AG229/AF229)^2)</f>
        <v>2.2661321555038833E-3</v>
      </c>
      <c r="AN229" s="138">
        <f>AF229/Q229</f>
        <v>0.99261958739751277</v>
      </c>
      <c r="AO229" s="142">
        <f t="shared" ref="AO229" si="1275">AN229*SQRT((R229/Q229)^2+(AG229/AF229)^2)</f>
        <v>2.2661321555038833E-3</v>
      </c>
      <c r="AP229" s="138">
        <f t="shared" ref="AP229" si="1276">ThU_Alter_Kombi(AN229,U229)</f>
        <v>523.7242</v>
      </c>
      <c r="AQ229" s="138">
        <f t="shared" si="1231"/>
        <v>44.385199999999998</v>
      </c>
      <c r="AR229" s="138">
        <f>(AQ229/AP229)*100</f>
        <v>8.4749186690246496</v>
      </c>
      <c r="AS229" s="146">
        <f t="shared" si="1232"/>
        <v>2.2873399353091509E-5</v>
      </c>
      <c r="AT229" s="146">
        <f t="shared" si="1233"/>
        <v>9.0011072756119956E-8</v>
      </c>
      <c r="AU229" s="138">
        <v>0.75</v>
      </c>
      <c r="AV229" s="138">
        <f t="shared" ref="AV229" si="1277">AU229/2</f>
        <v>0.375</v>
      </c>
      <c r="AW229" s="138">
        <f t="shared" si="1235"/>
        <v>523.72230000000002</v>
      </c>
      <c r="AX229" s="148">
        <f t="shared" si="1236"/>
        <v>82.415644936299998</v>
      </c>
      <c r="AY229" s="148">
        <f t="shared" si="1237"/>
        <v>40.462735019978602</v>
      </c>
      <c r="AZ229" s="149">
        <f t="shared" si="1238"/>
        <v>0.15736516267552478</v>
      </c>
      <c r="BA229" s="138" t="str">
        <f>Input!B229</f>
        <v>Hu1-13</v>
      </c>
      <c r="BB229" s="150">
        <f>Input!E229</f>
        <v>0</v>
      </c>
      <c r="BC229" s="138">
        <f>((U229-1)*EXP(Constants!$B$17*AW229*1000))*1000</f>
        <v>2.6012484073089674</v>
      </c>
      <c r="BD229" s="144">
        <f>SQRT((EXP(Constants!$B$17*AW229*1000)*V229)^2+((U229-1)*Constants!$B$17*EXP(Constants!$B$17*AW229*1000)*AY229*1000)^2)*1000</f>
        <v>6.5179206848236735</v>
      </c>
      <c r="BE229" s="138">
        <f t="shared" si="1239"/>
        <v>523664.30000000005</v>
      </c>
      <c r="BF229" s="151">
        <f t="shared" si="1240"/>
        <v>20231.367509989301</v>
      </c>
      <c r="BG229" s="160">
        <f t="shared" si="1241"/>
        <v>7.7259904762464</v>
      </c>
      <c r="BH229" s="138"/>
      <c r="BI229" s="18"/>
      <c r="BJ229" s="18"/>
      <c r="BK229" s="18"/>
      <c r="BL229" s="18"/>
      <c r="BM229" s="18"/>
      <c r="BN229" s="159"/>
      <c r="BO229" s="18"/>
      <c r="BP229" s="18"/>
      <c r="BQ229" s="18"/>
      <c r="BR229" s="18"/>
      <c r="BS229" s="18"/>
      <c r="BT229" s="18"/>
      <c r="BU229" s="18"/>
      <c r="BV229" s="18"/>
      <c r="BW229" s="18"/>
      <c r="BX229" s="18"/>
      <c r="BY229" s="18"/>
      <c r="BZ229" s="18"/>
      <c r="CA229" s="18"/>
      <c r="CB229" s="18"/>
      <c r="CC229" s="18"/>
      <c r="CD229" s="18"/>
      <c r="CE229" s="1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  <c r="CY229" s="18"/>
      <c r="CZ229" s="18"/>
      <c r="DA229" s="18"/>
      <c r="DB229" s="18"/>
      <c r="DC229" s="18"/>
      <c r="DD229" s="18"/>
      <c r="DE229" s="18"/>
      <c r="DF229" s="18"/>
    </row>
    <row r="230" spans="1:110" ht="15" customHeight="1" x14ac:dyDescent="0.2">
      <c r="A230" s="18">
        <f>Input!A230</f>
        <v>11045</v>
      </c>
      <c r="B230" s="18" t="str">
        <f>Input!B230</f>
        <v>GeoB23225-1 24-28 La-04</v>
      </c>
      <c r="C230" s="18">
        <f>Input!O230</f>
        <v>2.3174745947454007</v>
      </c>
      <c r="D230" s="18">
        <f>C230*Input!P230/100</f>
        <v>1.0015826963758525E-2</v>
      </c>
      <c r="E230" s="152">
        <f>Input!M230</f>
        <v>2.6834226354026405</v>
      </c>
      <c r="F230" s="153">
        <f>E230*Input!N230/100</f>
        <v>1.5504086751250807E-4</v>
      </c>
      <c r="G230" s="21">
        <f>E230*137.88</f>
        <v>369.99031296931605</v>
      </c>
      <c r="H230" s="153">
        <f>G230*Input!L230/100</f>
        <v>1.7863116374096745E-2</v>
      </c>
      <c r="I230" s="18">
        <v>0.3</v>
      </c>
      <c r="J230" s="129">
        <f>(((C230*Constants!$B$24*0.000000001*Input!G230*(Constants!$B$4/Constants!$B$3))-(I230*0.000000000000001))/Input!F230)*1000000000000</f>
        <v>302.19869834630236</v>
      </c>
      <c r="K230" s="18">
        <f>J230*Input!P230/100</f>
        <v>1.3060638844423438</v>
      </c>
      <c r="L230" s="134">
        <f>(J230/Constants!$B$4)*602200000000*Constants!$B$17/(365.2425*24*60)</f>
        <v>4.1721885663700142</v>
      </c>
      <c r="M230" s="132">
        <f>L230*Input!P230/100</f>
        <v>1.8031662066839038E-2</v>
      </c>
      <c r="N230" s="18">
        <v>5.0000000000000001E-3</v>
      </c>
      <c r="O230" s="129">
        <f>(((G230*Constants!$B$23*0.000000001*Input!G230*(Constants!$B$7/Constants!$B$6))-(N230*0.000000001))/Input!F230)*1000000</f>
        <v>4.8601417807667344</v>
      </c>
      <c r="P230" s="18">
        <f>O230*Input!N230/100</f>
        <v>2.8080578436754397E-4</v>
      </c>
      <c r="Q230" s="130">
        <f>(O230/Constants!$B$7)*602200000000000000*Constants!$B$18/(365.2425*24*60)</f>
        <v>3.6262526717202181</v>
      </c>
      <c r="R230" s="131">
        <f>Q230*Input!N230/100</f>
        <v>2.0951502481408174E-4</v>
      </c>
      <c r="S230" s="132">
        <f>Input!S230*Constants!$B$17/Constants!$B$18</f>
        <v>1.1363936536484167</v>
      </c>
      <c r="T230" s="18">
        <f>S230*Input!T230/100</f>
        <v>7.5177688591456123E-4</v>
      </c>
      <c r="U230" s="18">
        <f>S230*1/((U229+U231)/2)</f>
        <v>1.1358902833970879</v>
      </c>
      <c r="V230" s="18">
        <f>U230*Input!T230/100</f>
        <v>7.5144388324529165E-4</v>
      </c>
      <c r="W230" s="133">
        <v>3.0000000000000001E-3</v>
      </c>
      <c r="X230" s="129">
        <f>IF((((Constants!$B$25*0.000000001*Input!G230/Input!W230*(Constants!$B$11/Constants!$B$9))-(W230*0.000000001))/Input!F230)*1000000000&lt;0, "n.d.", (((Constants!$B$25*0.000000001*Input!G230/Input!W230*(Constants!$B$11/Constants!$B$9))-(W230*0.000000001))/Input!F230)*1000000000)</f>
        <v>1.1360430572508469</v>
      </c>
      <c r="Y230" s="129">
        <f>X230*Input!X230/100</f>
        <v>1.9031627715592804E-3</v>
      </c>
      <c r="Z230" s="129">
        <f>(X230/Constants!$B$11)*6.022E+23*0.000000001*Constants!$B$19/(365.2425*24*60)</f>
        <v>2.7734483710507293E-4</v>
      </c>
      <c r="AA230" s="129">
        <f>Z230*Input!X230/100</f>
        <v>4.6462355937447388E-7</v>
      </c>
      <c r="AB230" s="134">
        <v>0.05</v>
      </c>
      <c r="AC230" s="134">
        <v>0.9</v>
      </c>
      <c r="AD230" s="129">
        <f>(((Input!G230*Constants!$B$25*0.000000001*Input!U230*(Constants!$B$10/Constants!$B$9))-((AB230*0.000000000000001)+(Input!G230*AC230*0.000000000000001)))/Input!F230)*1000000000000</f>
        <v>12.4735945322535</v>
      </c>
      <c r="AE230" s="129">
        <f>AD230*Input!V230/100</f>
        <v>3.2803138215216347E-2</v>
      </c>
      <c r="AF230" s="129">
        <f>(AD230/Constants!$B$10)*602200000000*Constants!$B$16/(365.2425*24*60)</f>
        <v>0.56936556057831789</v>
      </c>
      <c r="AG230" s="129">
        <f>AF230*Input!V230/100</f>
        <v>1.4973211715629243E-3</v>
      </c>
      <c r="AH230" s="18">
        <f>AF230/Z230</f>
        <v>2052.9156645617022</v>
      </c>
      <c r="AI230" s="133">
        <f>AH230*SQRT((AG230/AF230)^2+(AA230/Z230)^2)</f>
        <v>6.4011357680622218</v>
      </c>
      <c r="AJ230" s="132">
        <f t="shared" si="1225"/>
        <v>135.89028339708787</v>
      </c>
      <c r="AK230" s="133">
        <f>V230*1000</f>
        <v>0.75144388324529166</v>
      </c>
      <c r="AL230" s="133">
        <f>AF230/Q230</f>
        <v>0.15701210371207333</v>
      </c>
      <c r="AM230" s="133">
        <f>AL230*SQRT((R230/Q230)^2+(AG230/AF230)^2)</f>
        <v>4.1301107042944067E-4</v>
      </c>
      <c r="AN230" s="18">
        <f>AL230*1/((AN229+AN231)/2)</f>
        <v>0.15813528877310062</v>
      </c>
      <c r="AO230" s="129">
        <f>AN230*SQRT((R230/Q230)^2+(AG230/AF230)^2)</f>
        <v>4.1596554243114006E-4</v>
      </c>
      <c r="AP230" s="18">
        <f>ThU_Alter_Kombi(AN230,U230)</f>
        <v>16.299399999999999</v>
      </c>
      <c r="AQ230" s="18">
        <f t="shared" si="1231"/>
        <v>4.99E-2</v>
      </c>
      <c r="AR230" s="154">
        <f>(AQ230/AP230)</f>
        <v>3.061462385118471E-3</v>
      </c>
      <c r="AS230" s="131">
        <f t="shared" si="1232"/>
        <v>7.6482490938367613E-5</v>
      </c>
      <c r="AT230" s="131">
        <f t="shared" si="1233"/>
        <v>1.2820391909858709E-7</v>
      </c>
      <c r="AU230" s="18">
        <v>8</v>
      </c>
      <c r="AV230" s="18">
        <f>AU230/2</f>
        <v>4</v>
      </c>
      <c r="AW230" s="18">
        <f t="shared" si="1235"/>
        <v>16.241</v>
      </c>
      <c r="AX230" s="135">
        <f t="shared" si="1236"/>
        <v>5.6784210799999998E-2</v>
      </c>
      <c r="AY230" s="135">
        <f t="shared" si="1237"/>
        <v>5.5916572272568417E-2</v>
      </c>
      <c r="AZ230" s="154">
        <f t="shared" si="1238"/>
        <v>3.4963494119820207E-3</v>
      </c>
      <c r="BA230" s="18" t="str">
        <f>Input!B230</f>
        <v>GeoB23225-1 24-28 La-04</v>
      </c>
      <c r="BB230" s="136">
        <f>Input!E230</f>
        <v>26</v>
      </c>
      <c r="BC230" s="18">
        <f>((U230-1)*EXP(Constants!$B$17*AW230*1000))*1000</f>
        <v>142.26348933543701</v>
      </c>
      <c r="BD230" s="132">
        <f>SQRT((EXP(Constants!$B$17*AW230*1000)*V230)^2+((U230-1)*Constants!$B$17*EXP(Constants!$B$17*AW230*1000)*AY230*1000)^2)*1000</f>
        <v>0.78700657761261217</v>
      </c>
      <c r="BE230" s="18">
        <f t="shared" si="1239"/>
        <v>16183</v>
      </c>
      <c r="BF230" s="137">
        <f t="shared" si="1240"/>
        <v>27.958286136284208</v>
      </c>
      <c r="BG230" s="20">
        <f t="shared" si="1241"/>
        <v>0.34429266838598865</v>
      </c>
      <c r="BH230" s="18"/>
      <c r="BI230" s="18"/>
      <c r="BJ230" s="18"/>
      <c r="BK230" s="18"/>
      <c r="BL230" s="18"/>
      <c r="BM230" s="18"/>
      <c r="BN230" s="159"/>
      <c r="BO230" s="18"/>
      <c r="BP230" s="18"/>
      <c r="BQ230" s="18"/>
      <c r="BR230" s="18"/>
      <c r="BS230" s="18"/>
      <c r="BT230" s="18"/>
      <c r="BU230" s="18"/>
      <c r="BV230" s="18"/>
      <c r="BW230" s="18"/>
      <c r="BX230" s="18"/>
      <c r="BY230" s="18"/>
      <c r="BZ230" s="18"/>
      <c r="CA230" s="18"/>
      <c r="CB230" s="18"/>
      <c r="CC230" s="18"/>
      <c r="CD230" s="18"/>
      <c r="CE230" s="1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  <c r="CY230" s="18"/>
      <c r="CZ230" s="18"/>
      <c r="DA230" s="18"/>
      <c r="DB230" s="18"/>
      <c r="DC230" s="18"/>
      <c r="DD230" s="18"/>
      <c r="DE230" s="18"/>
      <c r="DF230" s="18"/>
    </row>
    <row r="231" spans="1:110" ht="15" customHeight="1" x14ac:dyDescent="0.2">
      <c r="A231" s="138">
        <f>Input!A231</f>
        <v>10815</v>
      </c>
      <c r="B231" s="138" t="str">
        <f>Input!B231</f>
        <v>Hu1-13</v>
      </c>
      <c r="C231" s="138">
        <f>Input!O231</f>
        <v>2.0950456374547275</v>
      </c>
      <c r="D231" s="138">
        <f>C231*Input!P231/100</f>
        <v>1.7842720151637313E-2</v>
      </c>
      <c r="E231" s="139">
        <f>Input!M231</f>
        <v>2.7318947031852687</v>
      </c>
      <c r="F231" s="140">
        <f>E231*Input!N231/100</f>
        <v>2.6795115201512265E-4</v>
      </c>
      <c r="G231" s="141">
        <f t="shared" ref="G231" si="1278">E231*137.88</f>
        <v>376.67364167518485</v>
      </c>
      <c r="H231" s="140">
        <f>G231*Input!L231/100</f>
        <v>1.9408894515368754E-2</v>
      </c>
      <c r="I231" s="138">
        <v>0</v>
      </c>
      <c r="J231" s="142">
        <f>(((C231*Constants!$B$24*0.000000001*Input!G231*(Constants!$B$4/Constants!$B$3))-(I231*0.000000000000001))/Input!F231)*1000000000000</f>
        <v>756.39012876871084</v>
      </c>
      <c r="K231" s="138">
        <f>J231*Input!P231/100</f>
        <v>6.441891838440994</v>
      </c>
      <c r="L231" s="143">
        <f>(J231/Constants!$B$4)*602200000000*Constants!$B$17/(365.2425*24*60)</f>
        <v>10.442805558836621</v>
      </c>
      <c r="M231" s="144">
        <f>L231*Input!P231/100</f>
        <v>8.8937469357781837E-2</v>
      </c>
      <c r="N231" s="138">
        <v>0</v>
      </c>
      <c r="O231" s="142">
        <f>(((G231*Constants!$B$23*0.000000001*Input!G231*(Constants!$B$7/Constants!$B$6))-(N231*0.000000001))/Input!F231)*1000000</f>
        <v>13.699322702238224</v>
      </c>
      <c r="P231" s="138">
        <f>O231*Input!N231/100</f>
        <v>1.3436642692017824E-3</v>
      </c>
      <c r="Q231" s="145">
        <f>(O231/Constants!$B$7)*602200000000000000*Constants!$B$18/(365.2425*24*60)</f>
        <v>10.221349045070809</v>
      </c>
      <c r="R231" s="146">
        <f>Q231*Input!N231/100</f>
        <v>1.0025358036611187E-3</v>
      </c>
      <c r="S231" s="144">
        <f>Input!S231*Constants!$B$17/Constants!$B$18</f>
        <v>1.0002929588016831</v>
      </c>
      <c r="T231" s="138">
        <f>S231*Input!T231/100</f>
        <v>1.1232284048168465E-3</v>
      </c>
      <c r="U231" s="144">
        <f>S231</f>
        <v>1.0002929588016831</v>
      </c>
      <c r="V231" s="138">
        <f>U231*Input!T231/100</f>
        <v>1.1232284048168465E-3</v>
      </c>
      <c r="W231" s="147">
        <v>0</v>
      </c>
      <c r="X231" s="142">
        <f>(((Constants!$B$25*0.000000001*Input!G231/Input!W231*(Constants!$B$11/Constants!$B$9))-(W231*0.000000001))/Input!F231)*1000000000</f>
        <v>0.9653363741801434</v>
      </c>
      <c r="Y231" s="142">
        <f>X231*Input!X231/100</f>
        <v>4.3748663666274452E-3</v>
      </c>
      <c r="Z231" s="142">
        <f>(X231/Constants!$B$11)*6.022E+23*0.000000001*Constants!$B$19/(365.2425*24*60)</f>
        <v>2.3566981703711652E-4</v>
      </c>
      <c r="AA231" s="142">
        <f>Z231*Input!X231/100</f>
        <v>1.0680463139706817E-6</v>
      </c>
      <c r="AB231" s="143">
        <v>0</v>
      </c>
      <c r="AC231" s="143">
        <v>0.9</v>
      </c>
      <c r="AD231" s="142">
        <f>(((Input!G231*Constants!$B$25*0.000000001*Input!U231*(Constants!$B$10/Constants!$B$9))-((AB231*0.000000000000001)+(Input!G231*AC231*0.000000000000001)))/Input!F231)*1000000000000</f>
        <v>222.39982731071416</v>
      </c>
      <c r="AE231" s="142">
        <f>AD231*Input!V231/100</f>
        <v>0.42413190164374015</v>
      </c>
      <c r="AF231" s="142">
        <f>(AD231/Constants!$B$10)*602200000000*Constants!$B$16/(365.2425*24*60)</f>
        <v>10.151588783959713</v>
      </c>
      <c r="AG231" s="142">
        <f>AF231*Input!V231/100</f>
        <v>1.935978416759622E-2</v>
      </c>
      <c r="AH231" s="138">
        <f t="shared" ref="AH231" si="1279">AF231/Z231</f>
        <v>43075.472759249868</v>
      </c>
      <c r="AI231" s="147">
        <f t="shared" ref="AI231" si="1280">AH231*SQRT((AG231/AF231)^2+(AA231/Z231)^2)</f>
        <v>211.79636604604713</v>
      </c>
      <c r="AJ231" s="144">
        <f t="shared" si="1225"/>
        <v>0.29295880168311861</v>
      </c>
      <c r="AK231" s="147">
        <f t="shared" ref="AK231" si="1281">V231*1000</f>
        <v>1.1232284048168464</v>
      </c>
      <c r="AL231" s="147">
        <f t="shared" ref="AL231" si="1282">AF231/Q231</f>
        <v>0.99317504364605014</v>
      </c>
      <c r="AM231" s="147">
        <f t="shared" ref="AM231" si="1283">AL231*SQRT((R231/Q231)^2+(AG231/AF231)^2)</f>
        <v>1.8965570926078393E-3</v>
      </c>
      <c r="AN231" s="138">
        <f>AF231/Q231</f>
        <v>0.99317504364605014</v>
      </c>
      <c r="AO231" s="142">
        <f t="shared" ref="AO231" si="1284">AN231*SQRT((R231/Q231)^2+(AG231/AF231)^2)</f>
        <v>1.8965570926078393E-3</v>
      </c>
      <c r="AP231" s="138">
        <f t="shared" ref="AP231" si="1285">ThU_Alter_Kombi(AN231,U231)</f>
        <v>537.476</v>
      </c>
      <c r="AQ231" s="138">
        <f t="shared" si="1231"/>
        <v>51.569499999999998</v>
      </c>
      <c r="AR231" s="138">
        <f>(AQ231/AP231)*100</f>
        <v>9.5947539983180654</v>
      </c>
      <c r="AS231" s="146">
        <f t="shared" si="1232"/>
        <v>2.3056625500013331E-5</v>
      </c>
      <c r="AT231" s="146">
        <f t="shared" si="1233"/>
        <v>1.0451618598411625E-7</v>
      </c>
      <c r="AU231" s="138">
        <v>0.75</v>
      </c>
      <c r="AV231" s="138">
        <f t="shared" ref="AV231" si="1286">AU231/2</f>
        <v>0.375</v>
      </c>
      <c r="AW231" s="138">
        <f t="shared" si="1235"/>
        <v>537.47410000000002</v>
      </c>
      <c r="AX231" s="148">
        <f t="shared" si="1236"/>
        <v>52.7075875564</v>
      </c>
      <c r="AY231" s="148">
        <f t="shared" si="1237"/>
        <v>36.865104564736953</v>
      </c>
      <c r="AZ231" s="149">
        <f t="shared" si="1238"/>
        <v>9.8065353393586782E-2</v>
      </c>
      <c r="BA231" s="138" t="str">
        <f>Input!B231</f>
        <v>Hu1-13</v>
      </c>
      <c r="BB231" s="150">
        <f>Input!E231</f>
        <v>0</v>
      </c>
      <c r="BC231" s="138">
        <f>((U231-1)*EXP(Constants!$B$17*AW231*1000))*1000</f>
        <v>1.3351729983085818</v>
      </c>
      <c r="BD231" s="144">
        <f>SQRT((EXP(Constants!$B$17*AW231*1000)*V231)^2+((U231-1)*Constants!$B$17*EXP(Constants!$B$17*AW231*1000)*AY231*1000)^2)*1000</f>
        <v>5.1210485044697753</v>
      </c>
      <c r="BE231" s="138">
        <f t="shared" si="1239"/>
        <v>537416.1</v>
      </c>
      <c r="BF231" s="151">
        <f t="shared" si="1240"/>
        <v>18432.552282368477</v>
      </c>
      <c r="BG231" s="160">
        <f t="shared" si="1241"/>
        <v>6.8589546109732442</v>
      </c>
      <c r="BH231" s="138"/>
      <c r="BI231" s="18"/>
      <c r="BJ231" s="18"/>
      <c r="BK231" s="18"/>
      <c r="BL231" s="18"/>
      <c r="BM231" s="18"/>
      <c r="BN231" s="159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1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18"/>
      <c r="CZ231" s="18"/>
      <c r="DA231" s="18"/>
      <c r="DB231" s="18"/>
      <c r="DC231" s="18"/>
      <c r="DD231" s="18"/>
      <c r="DE231" s="18"/>
      <c r="DF231" s="18"/>
    </row>
    <row r="232" spans="1:110" ht="15" customHeight="1" x14ac:dyDescent="0.2">
      <c r="A232" s="18">
        <f>Input!A232</f>
        <v>11046</v>
      </c>
      <c r="B232" s="18" t="str">
        <f>Input!B232</f>
        <v>GeoB23225-1 24-28 La-06</v>
      </c>
      <c r="C232" s="18">
        <f>Input!O232</f>
        <v>3.7329454535788074</v>
      </c>
      <c r="D232" s="18">
        <f>C232*Input!P232/100</f>
        <v>1.3251601673041928E-2</v>
      </c>
      <c r="E232" s="152">
        <f>Input!M232</f>
        <v>4.3379306661108226</v>
      </c>
      <c r="F232" s="153">
        <f>E232*Input!N232/100</f>
        <v>3.3573784794328071E-4</v>
      </c>
      <c r="G232" s="21">
        <f>E232*137.88</f>
        <v>598.1138802433602</v>
      </c>
      <c r="H232" s="153">
        <f>G232*Input!L232/100</f>
        <v>2.6010282523423557E-2</v>
      </c>
      <c r="I232" s="18">
        <v>0.3</v>
      </c>
      <c r="J232" s="129">
        <f>(((C232*Constants!$B$24*0.000000001*Input!G232*(Constants!$B$4/Constants!$B$3))-(I232*0.000000000000001))/Input!F232)*1000000000000</f>
        <v>286.31766698700056</v>
      </c>
      <c r="K232" s="18">
        <f>J232*Input!P232/100</f>
        <v>1.0164005132271345</v>
      </c>
      <c r="L232" s="134">
        <f>(J232/Constants!$B$4)*602200000000*Constants!$B$17/(365.2425*24*60)</f>
        <v>3.9529332955100638</v>
      </c>
      <c r="M232" s="132">
        <f>L232*Input!P232/100</f>
        <v>1.4032537609673497E-2</v>
      </c>
      <c r="N232" s="18">
        <v>5.0000000000000001E-3</v>
      </c>
      <c r="O232" s="129">
        <f>(((G232*Constants!$B$23*0.000000001*Input!G232*(Constants!$B$7/Constants!$B$6))-(N232*0.000000001))/Input!F232)*1000000</f>
        <v>4.6212726091876126</v>
      </c>
      <c r="P232" s="18">
        <f>O232*Input!N232/100</f>
        <v>3.5766733956559763E-4</v>
      </c>
      <c r="Q232" s="130">
        <f>(O232/Constants!$B$7)*602200000000000000*Constants!$B$18/(365.2425*24*60)</f>
        <v>3.4480274242473485</v>
      </c>
      <c r="R232" s="131">
        <f>Q232*Input!N232/100</f>
        <v>2.6686302667536542E-4</v>
      </c>
      <c r="S232" s="132">
        <f>Input!S232*Constants!$B$17/Constants!$B$18</f>
        <v>1.1349015105504392</v>
      </c>
      <c r="T232" s="18">
        <f>S232*Input!T232/100</f>
        <v>6.4047951450018248E-4</v>
      </c>
      <c r="U232" s="18">
        <f>S232*1/((U231+U233)/2)</f>
        <v>1.1345691285381161</v>
      </c>
      <c r="V232" s="18">
        <f>U232*Input!T232/100</f>
        <v>6.4029193534207742E-4</v>
      </c>
      <c r="W232" s="133">
        <v>3.0000000000000001E-3</v>
      </c>
      <c r="X232" s="129">
        <f>IF((((Constants!$B$25*0.000000001*Input!G232/Input!W232*(Constants!$B$11/Constants!$B$9))-(W232*0.000000001))/Input!F232)*1000000000&lt;0, "n.d.", (((Constants!$B$25*0.000000001*Input!G232/Input!W232*(Constants!$B$11/Constants!$B$9))-(W232*0.000000001))/Input!F232)*1000000000)</f>
        <v>3.5218097020024008</v>
      </c>
      <c r="Y232" s="129">
        <f>X232*Input!X232/100</f>
        <v>6.7380186219384375E-3</v>
      </c>
      <c r="Z232" s="129">
        <f>(X232/Constants!$B$11)*6.022E+23*0.000000001*Constants!$B$19/(365.2425*24*60)</f>
        <v>8.5978760389646591E-4</v>
      </c>
      <c r="AA232" s="129">
        <f>Z232*Input!X232/100</f>
        <v>1.6449681772051255E-6</v>
      </c>
      <c r="AB232" s="134">
        <v>0.05</v>
      </c>
      <c r="AC232" s="134">
        <v>0.9</v>
      </c>
      <c r="AD232" s="129">
        <f>(((Input!G232*Constants!$B$25*0.000000001*Input!U232*(Constants!$B$10/Constants!$B$9))-((AB232*0.000000000000001)+(Input!G232*AC232*0.000000000000001)))/Input!F232)*1000000000000</f>
        <v>11.873298452477718</v>
      </c>
      <c r="AE232" s="129">
        <f>AD232*Input!V232/100</f>
        <v>3.4507036481171462E-2</v>
      </c>
      <c r="AF232" s="129">
        <f>(AD232/Constants!$B$10)*602200000000*Constants!$B$16/(365.2425*24*60)</f>
        <v>0.54196464474040684</v>
      </c>
      <c r="AG232" s="129">
        <f>AF232*Input!V232/100</f>
        <v>1.5750967469077392E-3</v>
      </c>
      <c r="AH232" s="18">
        <f>AF232/Z232</f>
        <v>630.34712559739262</v>
      </c>
      <c r="AI232" s="133">
        <f>AH232*SQRT((AG232/AF232)^2+(AA232/Z232)^2)</f>
        <v>2.1932866654060015</v>
      </c>
      <c r="AJ232" s="132">
        <f t="shared" si="1225"/>
        <v>134.5691285381161</v>
      </c>
      <c r="AK232" s="133">
        <f>V232*1000</f>
        <v>0.6402919353420774</v>
      </c>
      <c r="AL232" s="133">
        <f>AF232/Q232</f>
        <v>0.1571810713943812</v>
      </c>
      <c r="AM232" s="133">
        <f>AL232*SQRT((R232/Q232)^2+(AG232/AF232)^2)</f>
        <v>4.569729227114347E-4</v>
      </c>
      <c r="AN232" s="18">
        <f>AL232*1/((AN231+AN233)/2)</f>
        <v>0.15826119715750503</v>
      </c>
      <c r="AO232" s="129">
        <f>AN232*SQRT((R232/Q232)^2+(AG232/AF232)^2)</f>
        <v>4.6011317504902156E-4</v>
      </c>
      <c r="AP232" s="18">
        <f>ThU_Alter_Kombi(AN232,U232)</f>
        <v>16.334199999999999</v>
      </c>
      <c r="AQ232" s="18">
        <f t="shared" si="1231"/>
        <v>5.5399999999999998E-2</v>
      </c>
      <c r="AR232" s="154">
        <f>(AQ232/AP232)</f>
        <v>3.3916567692326531E-3</v>
      </c>
      <c r="AS232" s="131">
        <f t="shared" si="1232"/>
        <v>2.493563705004882E-4</v>
      </c>
      <c r="AT232" s="131">
        <f t="shared" si="1233"/>
        <v>4.7746533845560349E-7</v>
      </c>
      <c r="AU232" s="18">
        <v>8</v>
      </c>
      <c r="AV232" s="18">
        <f>AU232/2</f>
        <v>4</v>
      </c>
      <c r="AW232" s="18">
        <f t="shared" si="1235"/>
        <v>16.1434</v>
      </c>
      <c r="AX232" s="135">
        <f t="shared" si="1236"/>
        <v>0.1076416744</v>
      </c>
      <c r="AY232" s="135">
        <f t="shared" si="1237"/>
        <v>0.10891546983371034</v>
      </c>
      <c r="AZ232" s="154">
        <f t="shared" si="1238"/>
        <v>6.6678440972781448E-3</v>
      </c>
      <c r="BA232" s="18" t="str">
        <f>Input!B232</f>
        <v>GeoB23225-1 24-28 La-06</v>
      </c>
      <c r="BB232" s="136">
        <f>Input!E232</f>
        <v>26</v>
      </c>
      <c r="BC232" s="18">
        <f>((U232-1)*EXP(Constants!$B$17*AW232*1000))*1000</f>
        <v>140.8415750154106</v>
      </c>
      <c r="BD232" s="132">
        <f>SQRT((EXP(Constants!$B$17*AW232*1000)*V232)^2+((U232-1)*Constants!$B$17*EXP(Constants!$B$17*AW232*1000)*AY232*1000)^2)*1000</f>
        <v>0.67153357453253104</v>
      </c>
      <c r="BE232" s="18">
        <f t="shared" si="1239"/>
        <v>16085.4</v>
      </c>
      <c r="BF232" s="137">
        <f t="shared" si="1240"/>
        <v>54.457734916855166</v>
      </c>
      <c r="BG232" s="20">
        <f t="shared" si="1241"/>
        <v>0.67467491255689838</v>
      </c>
      <c r="BH232" s="18"/>
      <c r="BI232" s="18"/>
      <c r="BJ232" s="18"/>
      <c r="BK232" s="18"/>
      <c r="BL232" s="18"/>
      <c r="BM232" s="18"/>
      <c r="BN232" s="159"/>
      <c r="BO232" s="18"/>
      <c r="BP232" s="18"/>
      <c r="BQ232" s="18"/>
      <c r="BR232" s="18"/>
      <c r="BS232" s="18"/>
      <c r="BT232" s="18"/>
      <c r="BU232" s="18"/>
      <c r="BV232" s="18"/>
      <c r="BW232" s="18"/>
      <c r="BX232" s="18"/>
      <c r="BY232" s="18"/>
      <c r="BZ232" s="18"/>
      <c r="CA232" s="18"/>
      <c r="CB232" s="18"/>
      <c r="CC232" s="18"/>
      <c r="CD232" s="18"/>
      <c r="CE232" s="1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  <c r="CY232" s="18"/>
      <c r="CZ232" s="18"/>
      <c r="DA232" s="18"/>
      <c r="DB232" s="18"/>
      <c r="DC232" s="18"/>
      <c r="DD232" s="18"/>
      <c r="DE232" s="18"/>
      <c r="DF232" s="18"/>
    </row>
    <row r="233" spans="1:110" ht="15" customHeight="1" x14ac:dyDescent="0.2">
      <c r="A233" s="138">
        <f>Input!A233</f>
        <v>10815</v>
      </c>
      <c r="B233" s="138" t="str">
        <f>Input!B233</f>
        <v>Hu1-13</v>
      </c>
      <c r="C233" s="138">
        <f>Input!O233</f>
        <v>2.0950456374547275</v>
      </c>
      <c r="D233" s="138">
        <f>C233*Input!P233/100</f>
        <v>1.7842720151637313E-2</v>
      </c>
      <c r="E233" s="139">
        <f>Input!M233</f>
        <v>2.7318947031852687</v>
      </c>
      <c r="F233" s="140">
        <f>E233*Input!N233/100</f>
        <v>2.6795115201512265E-4</v>
      </c>
      <c r="G233" s="141">
        <f t="shared" ref="G233" si="1287">E233*137.88</f>
        <v>376.67364167518485</v>
      </c>
      <c r="H233" s="140">
        <f>G233*Input!L233/100</f>
        <v>1.9408894515368754E-2</v>
      </c>
      <c r="I233" s="138">
        <v>0</v>
      </c>
      <c r="J233" s="142">
        <f>(((C233*Constants!$B$24*0.000000001*Input!G233*(Constants!$B$4/Constants!$B$3))-(I233*0.000000000000001))/Input!F233)*1000000000000</f>
        <v>756.39012876871084</v>
      </c>
      <c r="K233" s="138">
        <f>J233*Input!P233/100</f>
        <v>6.441891838440994</v>
      </c>
      <c r="L233" s="143">
        <f>(J233/Constants!$B$4)*602200000000*Constants!$B$17/(365.2425*24*60)</f>
        <v>10.442805558836621</v>
      </c>
      <c r="M233" s="144">
        <f>L233*Input!P233/100</f>
        <v>8.8937469357781837E-2</v>
      </c>
      <c r="N233" s="138">
        <v>0</v>
      </c>
      <c r="O233" s="142">
        <f>(((G233*Constants!$B$23*0.000000001*Input!G233*(Constants!$B$7/Constants!$B$6))-(N233*0.000000001))/Input!F233)*1000000</f>
        <v>13.699322702238224</v>
      </c>
      <c r="P233" s="138">
        <f>O233*Input!N233/100</f>
        <v>1.3436642692017824E-3</v>
      </c>
      <c r="Q233" s="145">
        <f>(O233/Constants!$B$7)*602200000000000000*Constants!$B$18/(365.2425*24*60)</f>
        <v>10.221349045070809</v>
      </c>
      <c r="R233" s="146">
        <f>Q233*Input!N233/100</f>
        <v>1.0025358036611187E-3</v>
      </c>
      <c r="S233" s="144">
        <f>Input!S233*Constants!$B$17/Constants!$B$18</f>
        <v>1.0002929588016831</v>
      </c>
      <c r="T233" s="138">
        <f>S233*Input!T233/100</f>
        <v>1.1232284048168465E-3</v>
      </c>
      <c r="U233" s="144">
        <f>S233</f>
        <v>1.0002929588016831</v>
      </c>
      <c r="V233" s="138">
        <f>U233*Input!T233/100</f>
        <v>1.1232284048168465E-3</v>
      </c>
      <c r="W233" s="147">
        <v>0</v>
      </c>
      <c r="X233" s="142">
        <f>(((Constants!$B$25*0.000000001*Input!G233/Input!W233*(Constants!$B$11/Constants!$B$9))-(W233*0.000000001))/Input!F233)*1000000000</f>
        <v>0.9653363741801434</v>
      </c>
      <c r="Y233" s="142">
        <f>X233*Input!X233/100</f>
        <v>4.3748663666274452E-3</v>
      </c>
      <c r="Z233" s="142">
        <f>(X233/Constants!$B$11)*6.022E+23*0.000000001*Constants!$B$19/(365.2425*24*60)</f>
        <v>2.3566981703711652E-4</v>
      </c>
      <c r="AA233" s="142">
        <f>Z233*Input!X233/100</f>
        <v>1.0680463139706817E-6</v>
      </c>
      <c r="AB233" s="143">
        <v>0</v>
      </c>
      <c r="AC233" s="143">
        <v>0.9</v>
      </c>
      <c r="AD233" s="142">
        <f>(((Input!G233*Constants!$B$25*0.000000001*Input!U233*(Constants!$B$10/Constants!$B$9))-((AB233*0.000000000000001)+(Input!G233*AC233*0.000000000000001)))/Input!F233)*1000000000000</f>
        <v>222.39982731071416</v>
      </c>
      <c r="AE233" s="142">
        <f>AD233*Input!V233/100</f>
        <v>0.42413190164374015</v>
      </c>
      <c r="AF233" s="142">
        <f>(AD233/Constants!$B$10)*602200000000*Constants!$B$16/(365.2425*24*60)</f>
        <v>10.151588783959713</v>
      </c>
      <c r="AG233" s="142">
        <f>AF233*Input!V233/100</f>
        <v>1.935978416759622E-2</v>
      </c>
      <c r="AH233" s="138">
        <f t="shared" ref="AH233" si="1288">AF233/Z233</f>
        <v>43075.472759249868</v>
      </c>
      <c r="AI233" s="147">
        <f t="shared" ref="AI233" si="1289">AH233*SQRT((AG233/AF233)^2+(AA233/Z233)^2)</f>
        <v>211.79636604604713</v>
      </c>
      <c r="AJ233" s="144">
        <f t="shared" si="1225"/>
        <v>0.29295880168311861</v>
      </c>
      <c r="AK233" s="147">
        <f t="shared" ref="AK233" si="1290">V233*1000</f>
        <v>1.1232284048168464</v>
      </c>
      <c r="AL233" s="147">
        <f t="shared" ref="AL233" si="1291">AF233/Q233</f>
        <v>0.99317504364605014</v>
      </c>
      <c r="AM233" s="147">
        <f t="shared" ref="AM233" si="1292">AL233*SQRT((R233/Q233)^2+(AG233/AF233)^2)</f>
        <v>1.8965570926078393E-3</v>
      </c>
      <c r="AN233" s="138">
        <f>AF233/Q233</f>
        <v>0.99317504364605014</v>
      </c>
      <c r="AO233" s="142">
        <f t="shared" ref="AO233" si="1293">AN233*SQRT((R233/Q233)^2+(AG233/AF233)^2)</f>
        <v>1.8965570926078393E-3</v>
      </c>
      <c r="AP233" s="138">
        <f t="shared" ref="AP233" si="1294">ThU_Alter_Kombi(AN233,U233)</f>
        <v>537.476</v>
      </c>
      <c r="AQ233" s="138">
        <f t="shared" si="1231"/>
        <v>46.014099999999999</v>
      </c>
      <c r="AR233" s="138">
        <f>(AQ233/AP233)*100</f>
        <v>8.5611450557792352</v>
      </c>
      <c r="AS233" s="146">
        <f t="shared" si="1232"/>
        <v>2.3056625500013331E-5</v>
      </c>
      <c r="AT233" s="146">
        <f t="shared" si="1233"/>
        <v>1.0451618598411625E-7</v>
      </c>
      <c r="AU233" s="138">
        <v>0.75</v>
      </c>
      <c r="AV233" s="138">
        <f t="shared" ref="AV233" si="1295">AU233/2</f>
        <v>0.375</v>
      </c>
      <c r="AW233" s="138">
        <f t="shared" si="1235"/>
        <v>537.47410000000002</v>
      </c>
      <c r="AX233" s="148">
        <f t="shared" si="1236"/>
        <v>52.639644431999997</v>
      </c>
      <c r="AY233" s="148">
        <f t="shared" si="1237"/>
        <v>36.865104564736953</v>
      </c>
      <c r="AZ233" s="149">
        <f t="shared" si="1238"/>
        <v>9.7938941489459669E-2</v>
      </c>
      <c r="BA233" s="138" t="str">
        <f>Input!B233</f>
        <v>Hu1-13</v>
      </c>
      <c r="BB233" s="150">
        <f>Input!E233</f>
        <v>0</v>
      </c>
      <c r="BC233" s="138">
        <f>((U233-1)*EXP(Constants!$B$17*AW233*1000))*1000</f>
        <v>1.3351729983085818</v>
      </c>
      <c r="BD233" s="144">
        <f>SQRT((EXP(Constants!$B$17*AW233*1000)*V233)^2+((U233-1)*Constants!$B$17*EXP(Constants!$B$17*AW233*1000)*AY233*1000)^2)*1000</f>
        <v>5.1210485044697753</v>
      </c>
      <c r="BE233" s="138">
        <f t="shared" si="1239"/>
        <v>537416.1</v>
      </c>
      <c r="BF233" s="151">
        <f t="shared" si="1240"/>
        <v>18432.552282368477</v>
      </c>
      <c r="BG233" s="160">
        <f t="shared" si="1241"/>
        <v>6.8589546109732442</v>
      </c>
      <c r="BH233" s="138"/>
      <c r="BI233" s="18"/>
      <c r="BJ233" s="18"/>
      <c r="BK233" s="18"/>
      <c r="BL233" s="18"/>
      <c r="BM233" s="18"/>
      <c r="BN233" s="159"/>
      <c r="BO233" s="18"/>
      <c r="BP233" s="18"/>
      <c r="BQ233" s="18"/>
      <c r="BR233" s="18"/>
      <c r="BS233" s="18"/>
      <c r="BT233" s="18"/>
      <c r="BU233" s="18"/>
      <c r="BV233" s="18"/>
      <c r="BW233" s="18"/>
      <c r="BX233" s="18"/>
      <c r="BY233" s="18"/>
      <c r="BZ233" s="18"/>
      <c r="CA233" s="18"/>
      <c r="CB233" s="18"/>
      <c r="CC233" s="18"/>
      <c r="CD233" s="18"/>
      <c r="CE233" s="1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  <c r="CY233" s="18"/>
      <c r="CZ233" s="18"/>
      <c r="DA233" s="18"/>
      <c r="DB233" s="18"/>
      <c r="DC233" s="18"/>
      <c r="DD233" s="18"/>
      <c r="DE233" s="18"/>
      <c r="DF233" s="18"/>
    </row>
    <row r="235" spans="1:110" ht="15" customHeight="1" x14ac:dyDescent="0.2">
      <c r="A235" s="138">
        <f>Input!A235</f>
        <v>10815</v>
      </c>
      <c r="B235" s="138" t="str">
        <f>Input!B235</f>
        <v>Hu1-13</v>
      </c>
      <c r="C235" s="138">
        <f>Input!O235</f>
        <v>2.0839861453480584</v>
      </c>
      <c r="D235" s="138">
        <f>C235*Input!P235/100</f>
        <v>1.6330231272371404E-2</v>
      </c>
      <c r="E235" s="139">
        <f>Input!M235</f>
        <v>2.7329901744739362</v>
      </c>
      <c r="F235" s="140">
        <f>E235*Input!N235/100</f>
        <v>2.6085895998474544E-4</v>
      </c>
      <c r="G235" s="141">
        <f t="shared" ref="G235" si="1296">E235*137.88</f>
        <v>376.8246852564663</v>
      </c>
      <c r="H235" s="140">
        <f>G235*Input!L235/100</f>
        <v>1.9580722737135303E-2</v>
      </c>
      <c r="I235" s="138">
        <v>0</v>
      </c>
      <c r="J235" s="142">
        <f>(((C235*Constants!$B$24*0.000000001*Input!G235*(Constants!$B$4/Constants!$B$3))-(I235*0.000000000000001))/Input!F235)*1000000000000</f>
        <v>752.39723691512665</v>
      </c>
      <c r="K235" s="138">
        <f>J235*Input!P235/100</f>
        <v>5.895826570125851</v>
      </c>
      <c r="L235" s="143">
        <f>(J235/Constants!$B$4)*602200000000*Constants!$B$17/(365.2425*24*60)</f>
        <v>10.387679253430813</v>
      </c>
      <c r="M235" s="144">
        <f>L235*Input!P235/100</f>
        <v>8.1398432024320413E-2</v>
      </c>
      <c r="N235" s="138">
        <v>0</v>
      </c>
      <c r="O235" s="142">
        <f>(((G235*Constants!$B$23*0.000000001*Input!G235*(Constants!$B$7/Constants!$B$6))-(N235*0.000000001))/Input!F235)*1000000</f>
        <v>13.704816037935602</v>
      </c>
      <c r="P235" s="138">
        <f>O235*Input!N235/100</f>
        <v>1.3080998577414515E-3</v>
      </c>
      <c r="Q235" s="145">
        <f>(O235/Constants!$B$7)*602200000000000000*Constants!$B$18/(365.2425*24*60)</f>
        <v>10.225447736867849</v>
      </c>
      <c r="R235" s="146">
        <f>Q235*Input!N235/100</f>
        <v>9.7600045800792334E-4</v>
      </c>
      <c r="S235" s="144">
        <f>Input!S235*Constants!$B$17/Constants!$B$18</f>
        <v>1.0006038672424191</v>
      </c>
      <c r="T235" s="138">
        <f>S235*Input!T235/100</f>
        <v>1.273292439331123E-3</v>
      </c>
      <c r="U235" s="144">
        <f>S235</f>
        <v>1.0006038672424191</v>
      </c>
      <c r="V235" s="138">
        <f>U235*Input!T235/100</f>
        <v>1.273292439331123E-3</v>
      </c>
      <c r="W235" s="147">
        <v>0</v>
      </c>
      <c r="X235" s="142">
        <f>(((Constants!$B$25*0.000000001*Input!G235/Input!W235*(Constants!$B$11/Constants!$B$9))-(W235*0.000000001))/Input!F235)*1000000000</f>
        <v>0.964181908544406</v>
      </c>
      <c r="Y235" s="142">
        <f>X235*Input!X235/100</f>
        <v>4.4923171164832805E-3</v>
      </c>
      <c r="Z235" s="142">
        <f>(X235/Constants!$B$11)*6.022E+23*0.000000001*Constants!$B$19/(365.2425*24*60)</f>
        <v>2.3538797465302435E-4</v>
      </c>
      <c r="AA235" s="142">
        <f>Z235*Input!X235/100</f>
        <v>1.0967198390441619E-6</v>
      </c>
      <c r="AB235" s="143">
        <v>0</v>
      </c>
      <c r="AC235" s="143">
        <v>0.9</v>
      </c>
      <c r="AD235" s="142">
        <f>(((Input!G235*Constants!$B$25*0.000000001*Input!U235*(Constants!$B$10/Constants!$B$9))-((AB235*0.000000000000001)+(Input!G235*AC235*0.000000000000001)))/Input!F235)*1000000000000</f>
        <v>222.45923904478951</v>
      </c>
      <c r="AE235" s="142">
        <f>AD235*Input!V235/100</f>
        <v>0.5631465651189439</v>
      </c>
      <c r="AF235" s="142">
        <f>(AD235/Constants!$B$10)*602200000000*Constants!$B$16/(365.2425*24*60)</f>
        <v>10.154300672276213</v>
      </c>
      <c r="AG235" s="142">
        <f>AF235*Input!V235/100</f>
        <v>2.5705201408272413E-2</v>
      </c>
      <c r="AH235" s="138">
        <f t="shared" ref="AH235" si="1297">AF235/Z235</f>
        <v>43138.57021474545</v>
      </c>
      <c r="AI235" s="147">
        <f t="shared" ref="AI235" si="1298">AH235*SQRT((AG235/AF235)^2+(AA235/Z235)^2)</f>
        <v>228.74199710772783</v>
      </c>
      <c r="AJ235" s="144">
        <f t="shared" ref="AJ235:AJ243" si="1299">(U235-1)*1000</f>
        <v>0.60386724241912049</v>
      </c>
      <c r="AK235" s="147">
        <f t="shared" ref="AK235" si="1300">V235*1000</f>
        <v>1.2732924393311229</v>
      </c>
      <c r="AL235" s="147">
        <f t="shared" ref="AL235" si="1301">AF235/Q235</f>
        <v>0.99304215654683603</v>
      </c>
      <c r="AM235" s="147">
        <f t="shared" ref="AM235" si="1302">AL235*SQRT((R235/Q235)^2+(AG235/AF235)^2)</f>
        <v>2.5156323234045968E-3</v>
      </c>
      <c r="AN235" s="138">
        <f>AF235/Q235</f>
        <v>0.99304215654683603</v>
      </c>
      <c r="AO235" s="142">
        <f t="shared" ref="AO235" si="1303">AN235*SQRT((R235/Q235)^2+(AG235/AF235)^2)</f>
        <v>2.5156323234045968E-3</v>
      </c>
      <c r="AP235" s="138">
        <f t="shared" ref="AP235" si="1304">ThU_Alter_Kombi(AN235,U235)</f>
        <v>529.2672</v>
      </c>
      <c r="AQ235" s="138" t="e">
        <f t="shared" ref="AQ235:AQ243" si="1305">Montealter(AN235,AO235,U235,V235)</f>
        <v>#VALUE!</v>
      </c>
      <c r="AR235" s="138" t="e">
        <f>(AQ235/AP235)*100</f>
        <v>#VALUE!</v>
      </c>
      <c r="AS235" s="146">
        <f t="shared" ref="AS235:AS243" si="1306">Z235/Q235</f>
        <v>2.3019820814724137E-5</v>
      </c>
      <c r="AT235" s="146">
        <f t="shared" ref="AT235:AT243" si="1307">AS235*SQRT((Y235/X235)^2+(P235/O235)^2)</f>
        <v>1.0727647099421702E-7</v>
      </c>
      <c r="AU235" s="138">
        <v>0.75</v>
      </c>
      <c r="AV235" s="138">
        <f t="shared" ref="AV235" si="1308">AU235/2</f>
        <v>0.375</v>
      </c>
      <c r="AW235" s="138">
        <f t="shared" ref="AW235:AW243" si="1309">marincorr_age(AN235,U235,AS235,AU235)</f>
        <v>529.26530000000002</v>
      </c>
      <c r="AX235" s="148">
        <f t="shared" ref="AX235:AX243" si="1310">marincorr_age_error(AN235, AO235, U235, V235, AS235, AT235, AU235, AV235)</f>
        <v>89.935062059000003</v>
      </c>
      <c r="AY235" s="148">
        <f t="shared" ref="AY235:AY243" si="1311">SQRT(((AU235*EXP(-0.0000091577*AW235*1000))/(0.0000091577*(EXP(-0.0000091577*AW235*1000)+(AJ235/1000)*EXP(-(0.0000091577-0.0000028263)*AW235*1000)-AS235*AU235*EXP(-0.0000091577*AW235*1000))))^2*AT235^2+((AS235*EXP(-0.0000091577*AW235*1000))/(0.0000091577*(EXP(-0.0000091577*AW235*1000)+(AJ235/1000)*EXP(-(0.0000091577-0.0000028263)*AW235*1000)-AS235*AU235*EXP(-0.0000091577*AW235*1000))))^2*AV235^2+((0.0000091577/(0.0000091577-0.0000028263))*(EXP(-(0.0000091577-0.0000028263)*AW235*1000)-1)/(0.0000091577*(EXP(-0.0000091577*AW235*1000)+(AJ235/1000)*EXP(-(0.0000091577-0.0000028263)*AW235*1000)-AS235*AU235*EXP(-0.0000091577*AW235*1000))))^2*T235^2+(1/(0.0000091577*(EXP(-0.0000091577*AW235*1000)+(AJ235/1000)*EXP(-(0.0000091577-0.0000028263)*AW235*1000)-AS235*AU235*EXP(-0.0000091577*AW235*1000))))^2*AO235^2)/1000</f>
        <v>42.713878794980296</v>
      </c>
      <c r="AZ235" s="149">
        <f t="shared" ref="AZ235:AZ243" si="1312">AX235/AW235</f>
        <v>0.16992434996021843</v>
      </c>
      <c r="BA235" s="138" t="str">
        <f>Input!B235</f>
        <v>Hu1-13</v>
      </c>
      <c r="BB235" s="150">
        <f>Input!E235</f>
        <v>0</v>
      </c>
      <c r="BC235" s="138">
        <f>((U235-1)*EXP(Constants!$B$17*AW235*1000))*1000</f>
        <v>2.6891294857429919</v>
      </c>
      <c r="BD235" s="144">
        <f>SQRT((EXP(Constants!$B$17*AW235*1000)*V235)^2+((U235-1)*Constants!$B$17*EXP(Constants!$B$17*AW235*1000)*AY235*1000)^2)*1000</f>
        <v>5.6794582101879323</v>
      </c>
      <c r="BE235" s="138">
        <f t="shared" ref="BE235:BE243" si="1313">AW235*1000-58</f>
        <v>529207.30000000005</v>
      </c>
      <c r="BF235" s="151">
        <f t="shared" ref="BF235:BF243" si="1314">AY235/2*1000</f>
        <v>21356.939397490147</v>
      </c>
      <c r="BG235" s="160">
        <f t="shared" ref="BG235:BG243" si="1315">AY235/AW235*100</f>
        <v>8.070409829433423</v>
      </c>
      <c r="BH235" s="138"/>
      <c r="BI235" s="18"/>
      <c r="BJ235" s="18"/>
      <c r="BK235" s="18"/>
      <c r="BL235" s="18"/>
      <c r="BM235" s="18"/>
      <c r="BN235" s="159"/>
      <c r="BO235" s="18"/>
      <c r="BP235" s="18"/>
      <c r="BQ235" s="18"/>
      <c r="BR235" s="18"/>
      <c r="BS235" s="18"/>
      <c r="BT235" s="18"/>
      <c r="BU235" s="18"/>
      <c r="BV235" s="18"/>
      <c r="BW235" s="18"/>
      <c r="BX235" s="18"/>
      <c r="BY235" s="18"/>
      <c r="BZ235" s="18"/>
      <c r="CA235" s="18"/>
      <c r="CB235" s="18"/>
      <c r="CC235" s="18"/>
      <c r="CD235" s="18"/>
      <c r="CE235" s="1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  <c r="CY235" s="18"/>
      <c r="CZ235" s="18"/>
      <c r="DA235" s="18"/>
      <c r="DB235" s="18"/>
      <c r="DC235" s="18"/>
      <c r="DD235" s="18"/>
      <c r="DE235" s="18"/>
      <c r="DF235" s="18"/>
    </row>
    <row r="236" spans="1:110" ht="15" customHeight="1" x14ac:dyDescent="0.2">
      <c r="A236" s="18">
        <f>Input!A236</f>
        <v>11047</v>
      </c>
      <c r="B236" s="18" t="str">
        <f>Input!B236</f>
        <v>GeoB23225-1 24-28 La-07</v>
      </c>
      <c r="C236" s="18">
        <f>Input!O236</f>
        <v>3.5125262099727115</v>
      </c>
      <c r="D236" s="18">
        <f>C236*Input!P236/100</f>
        <v>1.8038179568361679E-2</v>
      </c>
      <c r="E236" s="152">
        <f>Input!M236</f>
        <v>4.0777852881597179</v>
      </c>
      <c r="F236" s="153">
        <f>E236*Input!N236/100</f>
        <v>3.0333846353137621E-4</v>
      </c>
      <c r="G236" s="21">
        <f>E236*137.88</f>
        <v>562.24503553146189</v>
      </c>
      <c r="H236" s="153">
        <f>G236*Input!L236/100</f>
        <v>1.8494590064348105E-2</v>
      </c>
      <c r="I236" s="18">
        <v>0.3</v>
      </c>
      <c r="J236" s="129">
        <f>(((C236*Constants!$B$24*0.000000001*Input!G236*(Constants!$B$4/Constants!$B$3))-(I236*0.000000000000001))/Input!F236)*1000000000000</f>
        <v>316.99323507361851</v>
      </c>
      <c r="K236" s="18">
        <f>J236*Input!P236/100</f>
        <v>1.6278827699504166</v>
      </c>
      <c r="L236" s="134">
        <f>(J236/Constants!$B$4)*602200000000*Constants!$B$17/(365.2425*24*60)</f>
        <v>4.3764435724842867</v>
      </c>
      <c r="M236" s="132">
        <f>L236*Input!P236/100</f>
        <v>2.2474729101562251E-2</v>
      </c>
      <c r="N236" s="18">
        <v>5.0000000000000001E-3</v>
      </c>
      <c r="O236" s="129">
        <f>(((G236*Constants!$B$23*0.000000001*Input!G236*(Constants!$B$7/Constants!$B$6))-(N236*0.000000001))/Input!F236)*1000000</f>
        <v>5.1113689354318481</v>
      </c>
      <c r="P236" s="18">
        <f>O236*Input!N236/100</f>
        <v>3.8022472735822337E-4</v>
      </c>
      <c r="Q236" s="130">
        <f>(O236/Constants!$B$7)*602200000000000000*Constants!$B$18/(365.2425*24*60)</f>
        <v>3.8136984669063243</v>
      </c>
      <c r="R236" s="131">
        <f>Q236*Input!N236/100</f>
        <v>2.8369356196422142E-4</v>
      </c>
      <c r="S236" s="132">
        <f>Input!S236*Constants!$B$17/Constants!$B$18</f>
        <v>1.1360433434214605</v>
      </c>
      <c r="T236" s="18">
        <f>S236*Input!T236/100</f>
        <v>6.423353540535642E-4</v>
      </c>
      <c r="U236" s="18">
        <f>S236*1/((U235+U237)/2)</f>
        <v>1.1364562906352491</v>
      </c>
      <c r="V236" s="18">
        <f>U236*Input!T236/100</f>
        <v>6.4256884038690735E-4</v>
      </c>
      <c r="W236" s="133">
        <v>3.0000000000000001E-3</v>
      </c>
      <c r="X236" s="129">
        <f>IF((((Constants!$B$25*0.000000001*Input!G236/Input!W236*(Constants!$B$11/Constants!$B$9))-(W236*0.000000001))/Input!F236)*1000000000&lt;0, "n.d.", (((Constants!$B$25*0.000000001*Input!G236/Input!W236*(Constants!$B$11/Constants!$B$9))-(W236*0.000000001))/Input!F236)*1000000000)</f>
        <v>28.574967756455703</v>
      </c>
      <c r="Y236" s="129">
        <f>X236*Input!X236/100</f>
        <v>4.238385475487598E-2</v>
      </c>
      <c r="Z236" s="129">
        <f>(X236/Constants!$B$11)*6.022E+23*0.000000001*Constants!$B$19/(365.2425*24*60)</f>
        <v>6.976073421790201E-3</v>
      </c>
      <c r="AA236" s="129">
        <f>Z236*Input!X236/100</f>
        <v>1.03472691618946E-5</v>
      </c>
      <c r="AB236" s="134">
        <v>0.05</v>
      </c>
      <c r="AC236" s="134">
        <v>0.9</v>
      </c>
      <c r="AD236" s="129">
        <f>(((Input!G236*Constants!$B$25*0.000000001*Input!U236*(Constants!$B$10/Constants!$B$9))-((AB236*0.000000000000001)+(Input!G236*AC236*0.000000000000001)))/Input!F236)*1000000000000</f>
        <v>13.427420943953114</v>
      </c>
      <c r="AE236" s="129">
        <f>AD236*Input!V236/100</f>
        <v>2.8069669681856514E-2</v>
      </c>
      <c r="AF236" s="129">
        <f>(AD236/Constants!$B$10)*602200000000*Constants!$B$16/(365.2425*24*60)</f>
        <v>0.61290360473932548</v>
      </c>
      <c r="AG236" s="129">
        <f>AF236*Input!V236/100</f>
        <v>1.2812588362026171E-3</v>
      </c>
      <c r="AH236" s="18">
        <f>AF236/Z236</f>
        <v>87.85796359666783</v>
      </c>
      <c r="AI236" s="133">
        <f>AH236*SQRT((AG236/AF236)^2+(AA236/Z236)^2)</f>
        <v>0.22519958749969826</v>
      </c>
      <c r="AJ236" s="132">
        <f t="shared" si="1299"/>
        <v>136.4562906352491</v>
      </c>
      <c r="AK236" s="133">
        <f>V236*1000</f>
        <v>0.64256884038690731</v>
      </c>
      <c r="AL236" s="133">
        <f>AF236/Q236</f>
        <v>0.16071108139719117</v>
      </c>
      <c r="AM236" s="133">
        <f>AL236*SQRT((R236/Q236)^2+(AG236/AF236)^2)</f>
        <v>3.3617491861153012E-4</v>
      </c>
      <c r="AN236" s="18">
        <f>AL236*1/((AN235+AN237)/2)</f>
        <v>0.16190978811273707</v>
      </c>
      <c r="AO236" s="129">
        <f>AN236*SQRT((R236/Q236)^2+(AG236/AF236)^2)</f>
        <v>3.3868236942969618E-4</v>
      </c>
      <c r="AP236" s="18">
        <f>ThU_Alter_Kombi(AN236,U236)</f>
        <v>16.709399999999999</v>
      </c>
      <c r="AQ236" s="18">
        <f t="shared" si="1305"/>
        <v>3.6600000000000001E-2</v>
      </c>
      <c r="AR236" s="154">
        <f>(AQ236/AP236)</f>
        <v>2.1903838557937451E-3</v>
      </c>
      <c r="AS236" s="131">
        <f t="shared" si="1306"/>
        <v>1.829214732713045E-3</v>
      </c>
      <c r="AT236" s="131">
        <f t="shared" si="1307"/>
        <v>2.7165949103663904E-6</v>
      </c>
      <c r="AU236" s="18">
        <v>8</v>
      </c>
      <c r="AV236" s="18">
        <f>AU236/2</f>
        <v>4</v>
      </c>
      <c r="AW236" s="18">
        <f t="shared" si="1309"/>
        <v>15.304</v>
      </c>
      <c r="AX236" s="135">
        <f t="shared" si="1310"/>
        <v>0.73884399909999998</v>
      </c>
      <c r="AY236" s="135">
        <f t="shared" si="1311"/>
        <v>0.7094821608462013</v>
      </c>
      <c r="AZ236" s="154">
        <f t="shared" si="1312"/>
        <v>4.8277835801097749E-2</v>
      </c>
      <c r="BA236" s="18" t="str">
        <f>Input!B236</f>
        <v>GeoB23225-1 24-28 La-07</v>
      </c>
      <c r="BB236" s="136">
        <f>Input!E236</f>
        <v>26</v>
      </c>
      <c r="BC236" s="18">
        <f>((U236-1)*EXP(Constants!$B$17*AW236*1000))*1000</f>
        <v>142.47879113035074</v>
      </c>
      <c r="BD236" s="132">
        <f>SQRT((EXP(Constants!$B$17*AW236*1000)*V236)^2+((U236-1)*Constants!$B$17*EXP(Constants!$B$17*AW236*1000)*AY236*1000)^2)*1000</f>
        <v>0.72905753187324007</v>
      </c>
      <c r="BE236" s="18">
        <f t="shared" si="1313"/>
        <v>15246</v>
      </c>
      <c r="BF236" s="137">
        <f t="shared" si="1314"/>
        <v>354.74108042310064</v>
      </c>
      <c r="BG236" s="20">
        <f t="shared" si="1315"/>
        <v>4.6359262993086858</v>
      </c>
      <c r="BH236" s="18"/>
      <c r="BI236" s="18"/>
      <c r="BJ236" s="18"/>
      <c r="BK236" s="18"/>
      <c r="BL236" s="18"/>
      <c r="BM236" s="18"/>
      <c r="BN236" s="159"/>
      <c r="BO236" s="18"/>
      <c r="BP236" s="18"/>
      <c r="BQ236" s="18"/>
      <c r="BR236" s="18"/>
      <c r="BS236" s="18"/>
      <c r="BT236" s="18"/>
      <c r="BU236" s="18"/>
      <c r="BV236" s="18"/>
      <c r="BW236" s="18"/>
      <c r="BX236" s="18"/>
      <c r="BY236" s="18"/>
      <c r="BZ236" s="18"/>
      <c r="CA236" s="18"/>
      <c r="CB236" s="18"/>
      <c r="CC236" s="18"/>
      <c r="CD236" s="18"/>
      <c r="CE236" s="1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  <c r="CY236" s="18"/>
      <c r="CZ236" s="18"/>
      <c r="DA236" s="18"/>
      <c r="DB236" s="18"/>
      <c r="DC236" s="18"/>
      <c r="DD236" s="18"/>
      <c r="DE236" s="18"/>
      <c r="DF236" s="18"/>
    </row>
    <row r="237" spans="1:110" ht="15" customHeight="1" x14ac:dyDescent="0.2">
      <c r="A237" s="138">
        <f>Input!A237</f>
        <v>10815</v>
      </c>
      <c r="B237" s="138" t="str">
        <f>Input!B237</f>
        <v>Hu1-13</v>
      </c>
      <c r="C237" s="138">
        <f>Input!O237</f>
        <v>2.0999859201789888</v>
      </c>
      <c r="D237" s="138">
        <f>C237*Input!P237/100</f>
        <v>1.6297379089254646E-2</v>
      </c>
      <c r="E237" s="139">
        <f>Input!M237</f>
        <v>2.7323246551034699</v>
      </c>
      <c r="F237" s="140">
        <f>E237*Input!N237/100</f>
        <v>3.59634006358791E-4</v>
      </c>
      <c r="G237" s="141">
        <f t="shared" ref="G237" si="1316">E237*137.88</f>
        <v>376.73292344566642</v>
      </c>
      <c r="H237" s="140">
        <f>G237*Input!L237/100</f>
        <v>2.3163551999961604E-2</v>
      </c>
      <c r="I237" s="138">
        <v>0</v>
      </c>
      <c r="J237" s="142">
        <f>(((C237*Constants!$B$24*0.000000001*Input!G237*(Constants!$B$4/Constants!$B$3))-(I237*0.000000000000001))/Input!F237)*1000000000000</f>
        <v>758.17375630366871</v>
      </c>
      <c r="K237" s="138">
        <f>J237*Input!P237/100</f>
        <v>5.8839656986613962</v>
      </c>
      <c r="L237" s="143">
        <f>(J237/Constants!$B$4)*602200000000*Constants!$B$17/(365.2425*24*60)</f>
        <v>10.467430517344834</v>
      </c>
      <c r="M237" s="144">
        <f>L237*Input!P237/100</f>
        <v>8.1234679524452028E-2</v>
      </c>
      <c r="N237" s="138">
        <v>0</v>
      </c>
      <c r="O237" s="142">
        <f>(((G237*Constants!$B$23*0.000000001*Input!G237*(Constants!$B$7/Constants!$B$6))-(N237*0.000000001))/Input!F237)*1000000</f>
        <v>13.7014787333865</v>
      </c>
      <c r="P237" s="138">
        <f>O237*Input!N237/100</f>
        <v>1.8034158864408301E-3</v>
      </c>
      <c r="Q237" s="145">
        <f>(O237/Constants!$B$7)*602200000000000000*Constants!$B$18/(365.2425*24*60)</f>
        <v>10.222957704666438</v>
      </c>
      <c r="R237" s="146">
        <f>Q237*Input!N237/100</f>
        <v>1.3455660290216998E-3</v>
      </c>
      <c r="S237" s="144">
        <f>Input!S237*Constants!$B$17/Constants!$B$18</f>
        <v>0.99866940491561917</v>
      </c>
      <c r="T237" s="138">
        <f>S237*Input!T237/100</f>
        <v>1.1980385006832327E-3</v>
      </c>
      <c r="U237" s="144">
        <f>S237</f>
        <v>0.99866940491561917</v>
      </c>
      <c r="V237" s="138">
        <f>U237*Input!T237/100</f>
        <v>1.1980385006832327E-3</v>
      </c>
      <c r="W237" s="147">
        <v>0</v>
      </c>
      <c r="X237" s="142">
        <f>(((Constants!$B$25*0.000000001*Input!G237/Input!W237*(Constants!$B$11/Constants!$B$9))-(W237*0.000000001))/Input!F237)*1000000000</f>
        <v>0.94998390655498621</v>
      </c>
      <c r="Y237" s="142">
        <f>X237*Input!X237/100</f>
        <v>4.318268650391483E-3</v>
      </c>
      <c r="Z237" s="142">
        <f>(X237/Constants!$B$11)*6.022E+23*0.000000001*Constants!$B$19/(365.2425*24*60)</f>
        <v>2.3192178336402318E-4</v>
      </c>
      <c r="AA237" s="142">
        <f>Z237*Input!X237/100</f>
        <v>1.054228981705153E-6</v>
      </c>
      <c r="AB237" s="143">
        <v>0</v>
      </c>
      <c r="AC237" s="143">
        <v>0.9</v>
      </c>
      <c r="AD237" s="142">
        <f>(((Input!G237*Constants!$B$25*0.000000001*Input!U237*(Constants!$B$10/Constants!$B$9))-((AB237*0.000000000000001)+(Input!G237*AC237*0.000000000000001)))/Input!F237)*1000000000000</f>
        <v>222.20542476127963</v>
      </c>
      <c r="AE237" s="142">
        <f>AD237*Input!V237/100</f>
        <v>0.60390088746990667</v>
      </c>
      <c r="AF237" s="142">
        <f>(AD237/Constants!$B$10)*602200000000*Constants!$B$16/(365.2425*24*60)</f>
        <v>10.142715149639598</v>
      </c>
      <c r="AG237" s="142">
        <f>AF237*Input!V237/100</f>
        <v>2.7565459694794833E-2</v>
      </c>
      <c r="AH237" s="138">
        <f t="shared" ref="AH237" si="1317">AF237/Z237</f>
        <v>43733.344071952255</v>
      </c>
      <c r="AI237" s="147">
        <f t="shared" ref="AI237" si="1318">AH237*SQRT((AG237/AF237)^2+(AA237/Z237)^2)</f>
        <v>231.61710950018156</v>
      </c>
      <c r="AJ237" s="144">
        <f t="shared" si="1299"/>
        <v>-1.3305950843808256</v>
      </c>
      <c r="AK237" s="147">
        <f t="shared" ref="AK237" si="1319">V237*1000</f>
        <v>1.1980385006832328</v>
      </c>
      <c r="AL237" s="147">
        <f t="shared" ref="AL237" si="1320">AF237/Q237</f>
        <v>0.99215074958294969</v>
      </c>
      <c r="AM237" s="147">
        <f t="shared" ref="AM237" si="1321">AL237*SQRT((R237/Q237)^2+(AG237/AF237)^2)</f>
        <v>2.6995874295539894E-3</v>
      </c>
      <c r="AN237" s="138">
        <f>AF237/Q237</f>
        <v>0.99215074958294969</v>
      </c>
      <c r="AO237" s="142">
        <f t="shared" ref="AO237" si="1322">AN237*SQRT((R237/Q237)^2+(AG237/AF237)^2)</f>
        <v>2.6995874295539894E-3</v>
      </c>
      <c r="AP237" s="138">
        <f t="shared" ref="AP237" si="1323">ThU_Alter_Kombi(AN237,U237)</f>
        <v>558.18970000000002</v>
      </c>
      <c r="AQ237" s="138" t="e">
        <f t="shared" si="1305"/>
        <v>#VALUE!</v>
      </c>
      <c r="AR237" s="138" t="e">
        <f>(AQ237/AP237)*100</f>
        <v>#VALUE!</v>
      </c>
      <c r="AS237" s="146">
        <f t="shared" si="1306"/>
        <v>2.2686368276585811E-5</v>
      </c>
      <c r="AT237" s="146">
        <f t="shared" si="1307"/>
        <v>1.0316689861269825E-7</v>
      </c>
      <c r="AU237" s="138">
        <v>0.75</v>
      </c>
      <c r="AV237" s="138">
        <f t="shared" ref="AV237" si="1324">AU237/2</f>
        <v>0.375</v>
      </c>
      <c r="AW237" s="138">
        <f t="shared" si="1309"/>
        <v>558.18780000000004</v>
      </c>
      <c r="AX237" s="148">
        <f t="shared" si="1310"/>
        <v>103.7762456958</v>
      </c>
      <c r="AY237" s="148">
        <f t="shared" si="1311"/>
        <v>58.017875550756472</v>
      </c>
      <c r="AZ237" s="149">
        <f t="shared" si="1312"/>
        <v>0.185916363087477</v>
      </c>
      <c r="BA237" s="138" t="str">
        <f>Input!B237</f>
        <v>Hu1-13</v>
      </c>
      <c r="BB237" s="150">
        <f>Input!E237</f>
        <v>0</v>
      </c>
      <c r="BC237" s="138">
        <f>((U237-1)*EXP(Constants!$B$17*AW237*1000))*1000</f>
        <v>-6.4293004453740403</v>
      </c>
      <c r="BD237" s="144">
        <f>SQRT((EXP(Constants!$B$17*AW237*1000)*V237)^2+((U237-1)*Constants!$B$17*EXP(Constants!$B$17*AW237*1000)*AY237*1000)^2)*1000</f>
        <v>5.883733746900373</v>
      </c>
      <c r="BE237" s="138">
        <f t="shared" si="1313"/>
        <v>558129.80000000005</v>
      </c>
      <c r="BF237" s="151">
        <f t="shared" si="1314"/>
        <v>29008.937775378236</v>
      </c>
      <c r="BG237" s="160">
        <f t="shared" si="1315"/>
        <v>10.393970550907145</v>
      </c>
      <c r="BH237" s="138"/>
      <c r="BI237" s="18"/>
      <c r="BJ237" s="18"/>
      <c r="BK237" s="18"/>
      <c r="BL237" s="18"/>
      <c r="BM237" s="18"/>
      <c r="BN237" s="159"/>
      <c r="BO237" s="18"/>
      <c r="BP237" s="18"/>
      <c r="BQ237" s="18"/>
      <c r="BR237" s="18"/>
      <c r="BS237" s="18"/>
      <c r="BT237" s="18"/>
      <c r="BU237" s="18"/>
      <c r="BV237" s="18"/>
      <c r="BW237" s="18"/>
      <c r="BX237" s="18"/>
      <c r="BY237" s="18"/>
      <c r="BZ237" s="18"/>
      <c r="CA237" s="18"/>
      <c r="CB237" s="18"/>
      <c r="CC237" s="18"/>
      <c r="CD237" s="18"/>
      <c r="CE237" s="1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  <c r="CY237" s="18"/>
      <c r="CZ237" s="18"/>
      <c r="DA237" s="18"/>
      <c r="DB237" s="18"/>
      <c r="DC237" s="18"/>
      <c r="DD237" s="18"/>
      <c r="DE237" s="18"/>
      <c r="DF237" s="18"/>
    </row>
    <row r="238" spans="1:110" ht="15" customHeight="1" x14ac:dyDescent="0.2">
      <c r="A238" s="18">
        <f>Input!A238</f>
        <v>11048</v>
      </c>
      <c r="B238" s="18" t="str">
        <f>Input!B238</f>
        <v>GeoB23225-1 24-28 La-08</v>
      </c>
      <c r="C238" s="18">
        <f>Input!O238</f>
        <v>3.534556738525624</v>
      </c>
      <c r="D238" s="18">
        <f>C238*Input!P238/100</f>
        <v>1.9314744472261235E-2</v>
      </c>
      <c r="E238" s="152">
        <f>Input!M238</f>
        <v>4.0725006300839492</v>
      </c>
      <c r="F238" s="153">
        <f>E238*Input!N238/100</f>
        <v>3.365716425578764E-4</v>
      </c>
      <c r="G238" s="21">
        <f>E238*137.88</f>
        <v>561.51638687597494</v>
      </c>
      <c r="H238" s="153">
        <f>G238*Input!L238/100</f>
        <v>2.8637686019584198E-2</v>
      </c>
      <c r="I238" s="18">
        <v>0.3</v>
      </c>
      <c r="J238" s="129">
        <f>(((C238*Constants!$B$24*0.000000001*Input!G238*(Constants!$B$4/Constants!$B$3))-(I238*0.000000000000001))/Input!F238)*1000000000000</f>
        <v>325.64356434641201</v>
      </c>
      <c r="K238" s="18">
        <f>J238*Input!P238/100</f>
        <v>1.7794939223442625</v>
      </c>
      <c r="L238" s="134">
        <f>(J238/Constants!$B$4)*602200000000*Constants!$B$17/(365.2425*24*60)</f>
        <v>4.4958709726841608</v>
      </c>
      <c r="M238" s="132">
        <f>L238*Input!P238/100</f>
        <v>2.4567889396471664E-2</v>
      </c>
      <c r="N238" s="18">
        <v>5.0000000000000001E-3</v>
      </c>
      <c r="O238" s="129">
        <f>(((G238*Constants!$B$23*0.000000001*Input!G238*(Constants!$B$7/Constants!$B$6))-(N238*0.000000001))/Input!F238)*1000000</f>
        <v>5.2113601857765834</v>
      </c>
      <c r="P238" s="18">
        <f>O238*Input!N238/100</f>
        <v>4.3069264243462822E-4</v>
      </c>
      <c r="Q238" s="130">
        <f>(O238/Constants!$B$7)*602200000000000000*Constants!$B$18/(365.2425*24*60)</f>
        <v>3.8883040144535483</v>
      </c>
      <c r="R238" s="131">
        <f>Q238*Input!N238/100</f>
        <v>3.2134872103924968E-4</v>
      </c>
      <c r="S238" s="132">
        <f>Input!S238*Constants!$B$17/Constants!$B$18</f>
        <v>1.1367775455218654</v>
      </c>
      <c r="T238" s="18">
        <f>S238*Input!T238/100</f>
        <v>5.4786637153582461E-4</v>
      </c>
      <c r="U238" s="18">
        <f>S238*1/((U237+U239)/2)</f>
        <v>1.1371609435299304</v>
      </c>
      <c r="V238" s="18">
        <f>U238*Input!T238/100</f>
        <v>5.4805114900293784E-4</v>
      </c>
      <c r="W238" s="133">
        <v>3.0000000000000001E-3</v>
      </c>
      <c r="X238" s="129">
        <f>IF((((Constants!$B$25*0.000000001*Input!G238/Input!W238*(Constants!$B$11/Constants!$B$9))-(W238*0.000000001))/Input!F238)*1000000000&lt;0, "n.d.", (((Constants!$B$25*0.000000001*Input!G238/Input!W238*(Constants!$B$11/Constants!$B$9))-(W238*0.000000001))/Input!F238)*1000000000)</f>
        <v>57.219763150260782</v>
      </c>
      <c r="Y238" s="129">
        <f>X238*Input!X238/100</f>
        <v>9.5980705913260328E-2</v>
      </c>
      <c r="Z238" s="129">
        <f>(X238/Constants!$B$11)*6.022E+23*0.000000001*Constants!$B$19/(365.2425*24*60)</f>
        <v>1.3969194027296277E-2</v>
      </c>
      <c r="AA238" s="129">
        <f>Z238*Input!X238/100</f>
        <v>2.343199324782745E-5</v>
      </c>
      <c r="AB238" s="134">
        <v>0.05</v>
      </c>
      <c r="AC238" s="134">
        <v>0.9</v>
      </c>
      <c r="AD238" s="129">
        <f>(((Input!G238*Constants!$B$25*0.000000001*Input!U238*(Constants!$B$10/Constants!$B$9))-((AB238*0.000000000000001)+(Input!G238*AC238*0.000000000000001)))/Input!F238)*1000000000000</f>
        <v>13.399043322355855</v>
      </c>
      <c r="AE238" s="129">
        <f>AD238*Input!V238/100</f>
        <v>3.7474899544111068E-2</v>
      </c>
      <c r="AF238" s="129">
        <f>(AD238/Constants!$B$10)*602200000000*Constants!$B$16/(365.2425*24*60)</f>
        <v>0.61160828923208943</v>
      </c>
      <c r="AG238" s="129">
        <f>AF238*Input!V238/100</f>
        <v>1.7105668403263532E-3</v>
      </c>
      <c r="AH238" s="18">
        <f>AF238/Z238</f>
        <v>43.782646875473716</v>
      </c>
      <c r="AI238" s="133">
        <f>AH238*SQRT((AG238/AF238)^2+(AA238/Z238)^2)</f>
        <v>0.14278760430666662</v>
      </c>
      <c r="AJ238" s="132">
        <f t="shared" si="1299"/>
        <v>137.16094352993036</v>
      </c>
      <c r="AK238" s="133">
        <f>V238*1000</f>
        <v>0.54805114900293783</v>
      </c>
      <c r="AL238" s="133">
        <f>AF238/Q238</f>
        <v>0.15729435943244865</v>
      </c>
      <c r="AM238" s="133">
        <f>AL238*SQRT((R238/Q238)^2+(AG238/AF238)^2)</f>
        <v>4.4011823143873599E-4</v>
      </c>
      <c r="AN238" s="18">
        <f>AL238*1/((AN237+AN239)/2)</f>
        <v>0.15841784690466137</v>
      </c>
      <c r="AO238" s="129">
        <f>AN238*SQRT((R238/Q238)^2+(AG238/AF238)^2)</f>
        <v>4.4326181091035836E-4</v>
      </c>
      <c r="AP238" s="18">
        <f>ThU_Alter_Kombi(AN238,U238)</f>
        <v>16.310700000000001</v>
      </c>
      <c r="AQ238" s="18">
        <f t="shared" si="1305"/>
        <v>5.2699999999999997E-2</v>
      </c>
      <c r="AR238" s="154">
        <f>(AQ238/AP238)</f>
        <v>3.2310078660020719E-3</v>
      </c>
      <c r="AS238" s="131">
        <f t="shared" si="1306"/>
        <v>3.5926187806740902E-3</v>
      </c>
      <c r="AT238" s="131">
        <f t="shared" si="1307"/>
        <v>6.0335859424010186E-6</v>
      </c>
      <c r="AU238" s="18">
        <v>8</v>
      </c>
      <c r="AV238" s="18">
        <f>AU238/2</f>
        <v>4</v>
      </c>
      <c r="AW238" s="18">
        <f t="shared" si="1309"/>
        <v>13.533799999999999</v>
      </c>
      <c r="AX238" s="135">
        <f t="shared" si="1310"/>
        <v>1.4379718400999999</v>
      </c>
      <c r="AY238" s="135">
        <f t="shared" si="1311"/>
        <v>1.4098166591775572</v>
      </c>
      <c r="AZ238" s="154">
        <f t="shared" si="1312"/>
        <v>0.10625041304733333</v>
      </c>
      <c r="BA238" s="18" t="str">
        <f>Input!B238</f>
        <v>GeoB23225-1 24-28 La-08</v>
      </c>
      <c r="BB238" s="136">
        <f>Input!E238</f>
        <v>26</v>
      </c>
      <c r="BC238" s="18">
        <f>((U238-1)*EXP(Constants!$B$17*AW238*1000))*1000</f>
        <v>142.50088386415177</v>
      </c>
      <c r="BD238" s="132">
        <f>SQRT((EXP(Constants!$B$17*AW238*1000)*V238)^2+((U238-1)*Constants!$B$17*EXP(Constants!$B$17*AW238*1000)*AY238*1000)^2)*1000</f>
        <v>0.80351558741120332</v>
      </c>
      <c r="BE238" s="18">
        <f t="shared" si="1313"/>
        <v>13475.8</v>
      </c>
      <c r="BF238" s="137">
        <f t="shared" si="1314"/>
        <v>704.90832958877854</v>
      </c>
      <c r="BG238" s="20">
        <f t="shared" si="1315"/>
        <v>10.417005269603195</v>
      </c>
      <c r="BH238" s="18"/>
      <c r="BI238" s="18"/>
      <c r="BJ238" s="18"/>
      <c r="BK238" s="18"/>
      <c r="BL238" s="18"/>
      <c r="BM238" s="18"/>
      <c r="BN238" s="159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18"/>
      <c r="CZ238" s="18"/>
      <c r="DA238" s="18"/>
      <c r="DB238" s="18"/>
      <c r="DC238" s="18"/>
      <c r="DD238" s="18"/>
      <c r="DE238" s="18"/>
      <c r="DF238" s="18"/>
    </row>
    <row r="239" spans="1:110" ht="15" customHeight="1" x14ac:dyDescent="0.2">
      <c r="A239" s="138">
        <f>Input!A239</f>
        <v>10815</v>
      </c>
      <c r="B239" s="138" t="str">
        <f>Input!B239</f>
        <v>Hu1-13</v>
      </c>
      <c r="C239" s="138">
        <f>Input!O239</f>
        <v>2.0804194674069576</v>
      </c>
      <c r="D239" s="138">
        <f>C239*Input!P239/100</f>
        <v>1.3327839976404013E-2</v>
      </c>
      <c r="E239" s="139">
        <f>Input!M239</f>
        <v>2.7321927301777245</v>
      </c>
      <c r="F239" s="140">
        <f>E239*Input!N239/100</f>
        <v>3.544019138405795E-4</v>
      </c>
      <c r="G239" s="141">
        <f t="shared" ref="G239" si="1325">E239*137.88</f>
        <v>376.71473363690461</v>
      </c>
      <c r="H239" s="140">
        <f>G239*Input!L239/100</f>
        <v>2.61204054413086E-2</v>
      </c>
      <c r="I239" s="138">
        <v>0</v>
      </c>
      <c r="J239" s="142">
        <f>(((C239*Constants!$B$24*0.000000001*Input!G239*(Constants!$B$4/Constants!$B$3))-(I239*0.000000000000001))/Input!F239)*1000000000000</f>
        <v>751.10953227570747</v>
      </c>
      <c r="K239" s="138">
        <f>J239*Input!P239/100</f>
        <v>4.8118505944378738</v>
      </c>
      <c r="L239" s="143">
        <f>(J239/Constants!$B$4)*602200000000*Constants!$B$17/(365.2425*24*60)</f>
        <v>10.369901061126059</v>
      </c>
      <c r="M239" s="144">
        <f>L239*Input!P239/100</f>
        <v>6.6432940125336223E-2</v>
      </c>
      <c r="N239" s="138">
        <v>0</v>
      </c>
      <c r="O239" s="142">
        <f>(((G239*Constants!$B$23*0.000000001*Input!G239*(Constants!$B$7/Constants!$B$6))-(N239*0.000000001))/Input!F239)*1000000</f>
        <v>13.700817184415323</v>
      </c>
      <c r="P239" s="138">
        <f>O239*Input!N239/100</f>
        <v>1.7771791051580913E-3</v>
      </c>
      <c r="Q239" s="145">
        <f>(O239/Constants!$B$7)*602200000000000000*Constants!$B$18/(365.2425*24*60)</f>
        <v>10.222464109246301</v>
      </c>
      <c r="R239" s="146">
        <f>Q239*Input!N239/100</f>
        <v>1.3259902218713039E-3</v>
      </c>
      <c r="S239" s="144">
        <f>Input!S239*Constants!$B$17/Constants!$B$18</f>
        <v>1.0006562877046798</v>
      </c>
      <c r="T239" s="138">
        <f>S239*Input!T239/100</f>
        <v>1.1591642237907414E-3</v>
      </c>
      <c r="U239" s="144">
        <f>S239</f>
        <v>1.0006562877046798</v>
      </c>
      <c r="V239" s="138">
        <f>U239*Input!T239/100</f>
        <v>1.1591642237907414E-3</v>
      </c>
      <c r="W239" s="147">
        <v>0</v>
      </c>
      <c r="X239" s="142">
        <f>(((Constants!$B$25*0.000000001*Input!G239/Input!W239*(Constants!$B$11/Constants!$B$9))-(W239*0.000000001))/Input!F239)*1000000000</f>
        <v>0.93730257889351165</v>
      </c>
      <c r="Y239" s="142">
        <f>X239*Input!X239/100</f>
        <v>4.3651007583838048E-3</v>
      </c>
      <c r="Z239" s="142">
        <f>(X239/Constants!$B$11)*6.022E+23*0.000000001*Constants!$B$19/(365.2425*24*60)</f>
        <v>2.2882586131062947E-4</v>
      </c>
      <c r="AA239" s="142">
        <f>Z239*Input!X239/100</f>
        <v>1.0656622132886894E-6</v>
      </c>
      <c r="AB239" s="143">
        <v>0</v>
      </c>
      <c r="AC239" s="143">
        <v>0.9</v>
      </c>
      <c r="AD239" s="142">
        <f>(((Input!G239*Constants!$B$25*0.000000001*Input!U239*(Constants!$B$10/Constants!$B$9))-((AB239*0.000000000000001)+(Input!G239*AC239*0.000000000000001)))/Input!F239)*1000000000000</f>
        <v>222.53390598157489</v>
      </c>
      <c r="AE239" s="142">
        <f>AD239*Input!V239/100</f>
        <v>0.49705402621045458</v>
      </c>
      <c r="AF239" s="142">
        <f>(AD239/Constants!$B$10)*602200000000*Constants!$B$16/(365.2425*24*60)</f>
        <v>10.157708894517969</v>
      </c>
      <c r="AG239" s="142">
        <f>AF239*Input!V239/100</f>
        <v>2.2688363289286521E-2</v>
      </c>
      <c r="AH239" s="138">
        <f t="shared" ref="AH239" si="1326">AF239/Z239</f>
        <v>44390.563358260239</v>
      </c>
      <c r="AI239" s="147">
        <f t="shared" ref="AI239" si="1327">AH239*SQRT((AG239/AF239)^2+(AA239/Z239)^2)</f>
        <v>229.27837829222301</v>
      </c>
      <c r="AJ239" s="144">
        <f t="shared" si="1299"/>
        <v>0.65628770467984765</v>
      </c>
      <c r="AK239" s="147">
        <f t="shared" ref="AK239" si="1328">V239*1000</f>
        <v>1.1591642237907414</v>
      </c>
      <c r="AL239" s="147">
        <f t="shared" ref="AL239" si="1329">AF239/Q239</f>
        <v>0.99366540062784259</v>
      </c>
      <c r="AM239" s="147">
        <f t="shared" ref="AM239" si="1330">AL239*SQRT((R239/Q239)^2+(AG239/AF239)^2)</f>
        <v>2.2232007207825624E-3</v>
      </c>
      <c r="AN239" s="138">
        <f>AF239/Q239</f>
        <v>0.99366540062784259</v>
      </c>
      <c r="AO239" s="142">
        <f t="shared" ref="AO239" si="1331">AN239*SQRT((R239/Q239)^2+(AG239/AF239)^2)</f>
        <v>2.2232007207825624E-3</v>
      </c>
      <c r="AP239" s="138">
        <f t="shared" ref="AP239" si="1332">ThU_Alter_Kombi(AN239,U239)</f>
        <v>537.22040000000004</v>
      </c>
      <c r="AQ239" s="138" t="e">
        <f t="shared" si="1305"/>
        <v>#VALUE!</v>
      </c>
      <c r="AR239" s="138" t="e">
        <f>(AQ239/AP239)*100</f>
        <v>#VALUE!</v>
      </c>
      <c r="AS239" s="146">
        <f t="shared" si="1306"/>
        <v>2.2384608922584001E-5</v>
      </c>
      <c r="AT239" s="146">
        <f t="shared" si="1307"/>
        <v>1.042875263079408E-7</v>
      </c>
      <c r="AU239" s="138">
        <v>0.75</v>
      </c>
      <c r="AV239" s="138">
        <f t="shared" ref="AV239" si="1333">AU239/2</f>
        <v>0.375</v>
      </c>
      <c r="AW239" s="138">
        <f t="shared" si="1309"/>
        <v>537.21860000000004</v>
      </c>
      <c r="AX239" s="148">
        <f t="shared" si="1310"/>
        <v>86.294703620700005</v>
      </c>
      <c r="AY239" s="148">
        <f t="shared" si="1311"/>
        <v>41.02465421638356</v>
      </c>
      <c r="AZ239" s="149">
        <f t="shared" si="1312"/>
        <v>0.16063238246162734</v>
      </c>
      <c r="BA239" s="138" t="str">
        <f>Input!B239</f>
        <v>Hu1-13</v>
      </c>
      <c r="BB239" s="150">
        <f>Input!E239</f>
        <v>0</v>
      </c>
      <c r="BC239" s="138">
        <f>((U239-1)*EXP(Constants!$B$17*AW239*1000))*1000</f>
        <v>2.9889050321243351</v>
      </c>
      <c r="BD239" s="144">
        <f>SQRT((EXP(Constants!$B$17*AW239*1000)*V239)^2+((U239-1)*Constants!$B$17*EXP(Constants!$B$17*AW239*1000)*AY239*1000)^2)*1000</f>
        <v>5.2904645010436582</v>
      </c>
      <c r="BE239" s="138">
        <f t="shared" si="1313"/>
        <v>537160.60000000009</v>
      </c>
      <c r="BF239" s="151">
        <f t="shared" si="1314"/>
        <v>20512.327108191781</v>
      </c>
      <c r="BG239" s="160">
        <f t="shared" si="1315"/>
        <v>7.6364917775340535</v>
      </c>
      <c r="BH239" s="138"/>
      <c r="BI239" s="18"/>
      <c r="BJ239" s="18"/>
      <c r="BK239" s="18"/>
      <c r="BL239" s="18"/>
      <c r="BM239" s="18"/>
      <c r="BN239" s="159"/>
      <c r="BO239" s="18"/>
      <c r="BP239" s="18"/>
      <c r="BQ239" s="18"/>
      <c r="BR239" s="18"/>
      <c r="BS239" s="18"/>
      <c r="BT239" s="18"/>
      <c r="BU239" s="18"/>
      <c r="BV239" s="18"/>
      <c r="BW239" s="18"/>
      <c r="BX239" s="18"/>
      <c r="BY239" s="18"/>
      <c r="BZ239" s="18"/>
      <c r="CA239" s="18"/>
      <c r="CB239" s="18"/>
      <c r="CC239" s="18"/>
      <c r="CD239" s="18"/>
      <c r="CE239" s="1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  <c r="CY239" s="18"/>
      <c r="CZ239" s="18"/>
      <c r="DA239" s="18"/>
      <c r="DB239" s="18"/>
      <c r="DC239" s="18"/>
      <c r="DD239" s="18"/>
      <c r="DE239" s="18"/>
      <c r="DF239" s="18"/>
    </row>
    <row r="240" spans="1:110" ht="15" customHeight="1" x14ac:dyDescent="0.2">
      <c r="A240" s="18">
        <f>Input!A240</f>
        <v>11049</v>
      </c>
      <c r="B240" s="18" t="str">
        <f>Input!B240</f>
        <v>GeoB23225-1 24-28 La-09</v>
      </c>
      <c r="C240" s="18">
        <f>Input!O240</f>
        <v>4.0792176408010103</v>
      </c>
      <c r="D240" s="18">
        <f>C240*Input!P240/100</f>
        <v>1.6344675306798315E-2</v>
      </c>
      <c r="E240" s="152">
        <f>Input!M240</f>
        <v>4.7125487854054873</v>
      </c>
      <c r="F240" s="153">
        <f>E240*Input!N240/100</f>
        <v>3.3195983475415734E-4</v>
      </c>
      <c r="G240" s="21">
        <f>E240*137.88</f>
        <v>649.76622653170853</v>
      </c>
      <c r="H240" s="153">
        <f>G240*Input!L240/100</f>
        <v>6.8259667490735185E-2</v>
      </c>
      <c r="I240" s="18">
        <v>0.3</v>
      </c>
      <c r="J240" s="129">
        <f>(((C240*Constants!$B$24*0.000000001*Input!G240*(Constants!$B$4/Constants!$B$3))-(I240*0.000000000000001))/Input!F240)*1000000000000</f>
        <v>334.25665039346313</v>
      </c>
      <c r="K240" s="18">
        <f>J240*Input!P240/100</f>
        <v>1.3393049601409248</v>
      </c>
      <c r="L240" s="134">
        <f>(J240/Constants!$B$4)*602200000000*Constants!$B$17/(365.2425*24*60)</f>
        <v>4.6147841888009564</v>
      </c>
      <c r="M240" s="132">
        <f>L240*Input!P240/100</f>
        <v>1.8490592024917585E-2</v>
      </c>
      <c r="N240" s="18">
        <v>5.0000000000000001E-3</v>
      </c>
      <c r="O240" s="129">
        <f>(((G240*Constants!$B$23*0.000000001*Input!G240*(Constants!$B$7/Constants!$B$6))-(N240*0.000000001))/Input!F240)*1000000</f>
        <v>5.3634160791278926</v>
      </c>
      <c r="P240" s="18">
        <f>O240*Input!N240/100</f>
        <v>3.7780801778838018E-4</v>
      </c>
      <c r="Q240" s="130">
        <f>(O240/Constants!$B$7)*602200000000000000*Constants!$B$18/(365.2425*24*60)</f>
        <v>4.0017560729301227</v>
      </c>
      <c r="R240" s="131">
        <f>Q240*Input!N240/100</f>
        <v>2.8189040478697691E-4</v>
      </c>
      <c r="S240" s="132">
        <f>Input!S240*Constants!$B$17/Constants!$B$18</f>
        <v>1.1354788883804914</v>
      </c>
      <c r="T240" s="18">
        <f>S240*Input!T240/100</f>
        <v>5.1321864891024722E-4</v>
      </c>
      <c r="U240" s="18">
        <f>S240*1/((U239+U241)/2)</f>
        <v>1.1353178932556123</v>
      </c>
      <c r="V240" s="18">
        <f>U240*Input!T240/100</f>
        <v>5.1314588163881914E-4</v>
      </c>
      <c r="W240" s="133">
        <v>3.0000000000000001E-3</v>
      </c>
      <c r="X240" s="129">
        <f>IF((((Constants!$B$25*0.000000001*Input!G240/Input!W240*(Constants!$B$11/Constants!$B$9))-(W240*0.000000001))/Input!F240)*1000000000&lt;0, "n.d.", (((Constants!$B$25*0.000000001*Input!G240/Input!W240*(Constants!$B$11/Constants!$B$9))-(W240*0.000000001))/Input!F240)*1000000000)</f>
        <v>38.479124673216511</v>
      </c>
      <c r="Y240" s="129">
        <f>X240*Input!X240/100</f>
        <v>6.1051839837254505E-2</v>
      </c>
      <c r="Z240" s="129">
        <f>(X240/Constants!$B$11)*6.022E+23*0.000000001*Constants!$B$19/(365.2425*24*60)</f>
        <v>9.3939983139939842E-3</v>
      </c>
      <c r="AA240" s="129">
        <f>Z240*Input!X240/100</f>
        <v>1.4904727832766951E-5</v>
      </c>
      <c r="AB240" s="134">
        <v>0.05</v>
      </c>
      <c r="AC240" s="134">
        <v>0.9</v>
      </c>
      <c r="AD240" s="129">
        <f>(((Input!G240*Constants!$B$25*0.000000001*Input!U240*(Constants!$B$10/Constants!$B$9))-((AB240*0.000000000000001)+(Input!G240*AC240*0.000000000000001)))/Input!F240)*1000000000000</f>
        <v>12.217111055770719</v>
      </c>
      <c r="AE240" s="129">
        <f>AD240*Input!V240/100</f>
        <v>2.8537508130925038E-2</v>
      </c>
      <c r="AF240" s="129">
        <f>(AD240/Constants!$B$10)*602200000000*Constants!$B$16/(365.2425*24*60)</f>
        <v>0.55765820084419382</v>
      </c>
      <c r="AG240" s="129">
        <f>AF240*Input!V240/100</f>
        <v>1.3026136349436877E-3</v>
      </c>
      <c r="AH240" s="18">
        <f>AF240/Z240</f>
        <v>59.363242594313171</v>
      </c>
      <c r="AI240" s="133">
        <f>AH240*SQRT((AG240/AF240)^2+(AA240/Z240)^2)</f>
        <v>0.16762765444975675</v>
      </c>
      <c r="AJ240" s="132">
        <f t="shared" si="1299"/>
        <v>135.31789325561226</v>
      </c>
      <c r="AK240" s="133">
        <f>V240*1000</f>
        <v>0.51314588163881913</v>
      </c>
      <c r="AL240" s="133">
        <f>AF240/Q240</f>
        <v>0.13935337154017768</v>
      </c>
      <c r="AM240" s="133">
        <f>AL240*SQRT((R240/Q240)^2+(AG240/AF240)^2)</f>
        <v>3.256584828691657E-4</v>
      </c>
      <c r="AN240" s="18">
        <f>AL240*1/((AN239+AN241)/2)</f>
        <v>0.14021858488209829</v>
      </c>
      <c r="AO240" s="129">
        <f>AN240*SQRT((R240/Q240)^2+(AG240/AF240)^2)</f>
        <v>3.2768042221066764E-4</v>
      </c>
      <c r="AP240" s="18">
        <f>ThU_Alter_Kombi(AN240,U240)</f>
        <v>14.3383</v>
      </c>
      <c r="AQ240" s="18">
        <f t="shared" si="1305"/>
        <v>3.6999999999999998E-2</v>
      </c>
      <c r="AR240" s="154">
        <f>(AQ240/AP240)</f>
        <v>2.5805011751741836E-3</v>
      </c>
      <c r="AS240" s="131">
        <f t="shared" si="1306"/>
        <v>2.3474689968085967E-3</v>
      </c>
      <c r="AT240" s="131">
        <f t="shared" si="1307"/>
        <v>3.728215764334557E-6</v>
      </c>
      <c r="AU240" s="18">
        <v>8</v>
      </c>
      <c r="AV240" s="18">
        <f>AU240/2</f>
        <v>4</v>
      </c>
      <c r="AW240" s="18">
        <f t="shared" si="1309"/>
        <v>12.527900000000001</v>
      </c>
      <c r="AX240" s="135">
        <f t="shared" si="1310"/>
        <v>0.90874735650000005</v>
      </c>
      <c r="AY240" s="135">
        <f t="shared" si="1311"/>
        <v>0.91506401391261949</v>
      </c>
      <c r="AZ240" s="154">
        <f t="shared" si="1312"/>
        <v>7.2537883962994598E-2</v>
      </c>
      <c r="BA240" s="18" t="str">
        <f>Input!B240</f>
        <v>GeoB23225-1 24-28 La-09</v>
      </c>
      <c r="BB240" s="136">
        <f>Input!E240</f>
        <v>26</v>
      </c>
      <c r="BC240" s="18">
        <f>((U240-1)*EXP(Constants!$B$17*AW240*1000))*1000</f>
        <v>140.18756285648328</v>
      </c>
      <c r="BD240" s="132">
        <f>SQRT((EXP(Constants!$B$17*AW240*1000)*V240)^2+((U240-1)*Constants!$B$17*EXP(Constants!$B$17*AW240*1000)*AY240*1000)^2)*1000</f>
        <v>0.64316949105313692</v>
      </c>
      <c r="BE240" s="18">
        <f t="shared" si="1313"/>
        <v>12469.900000000001</v>
      </c>
      <c r="BF240" s="137">
        <f t="shared" si="1314"/>
        <v>457.53200695630977</v>
      </c>
      <c r="BG240" s="20">
        <f t="shared" si="1315"/>
        <v>7.3042091165528094</v>
      </c>
      <c r="BH240" s="18"/>
      <c r="BI240" s="18"/>
      <c r="BJ240" s="18"/>
      <c r="BK240" s="18"/>
      <c r="BL240" s="18"/>
      <c r="BM240" s="18"/>
      <c r="BN240" s="159"/>
      <c r="BO240" s="18"/>
      <c r="BP240" s="18"/>
      <c r="BQ240" s="18"/>
      <c r="BR240" s="18"/>
      <c r="BS240" s="18"/>
      <c r="BT240" s="18"/>
      <c r="BU240" s="18"/>
      <c r="BV240" s="18"/>
      <c r="BW240" s="18"/>
      <c r="BX240" s="18"/>
      <c r="BY240" s="18"/>
      <c r="BZ240" s="18"/>
      <c r="CA240" s="18"/>
      <c r="CB240" s="18"/>
      <c r="CC240" s="18"/>
      <c r="CD240" s="18"/>
      <c r="CE240" s="18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  <c r="CT240" s="18"/>
      <c r="CU240" s="18"/>
      <c r="CV240" s="18"/>
      <c r="CW240" s="18"/>
      <c r="CX240" s="18"/>
      <c r="CY240" s="18"/>
      <c r="CZ240" s="18"/>
      <c r="DA240" s="18"/>
      <c r="DB240" s="18"/>
      <c r="DC240" s="18"/>
      <c r="DD240" s="18"/>
      <c r="DE240" s="18"/>
      <c r="DF240" s="18"/>
    </row>
    <row r="241" spans="1:110" ht="15" customHeight="1" x14ac:dyDescent="0.2">
      <c r="A241" s="138">
        <f>Input!A241</f>
        <v>10815</v>
      </c>
      <c r="B241" s="138" t="str">
        <f>Input!B241</f>
        <v>Hu1-13</v>
      </c>
      <c r="C241" s="138">
        <f>Input!O241</f>
        <v>2.0896539900818332</v>
      </c>
      <c r="D241" s="138">
        <f>C241*Input!P241/100</f>
        <v>1.8727357796677224E-2</v>
      </c>
      <c r="E241" s="139">
        <f>Input!M241</f>
        <v>2.7319937999092319</v>
      </c>
      <c r="F241" s="140">
        <f>E241*Input!N241/100</f>
        <v>2.6119058292411394E-4</v>
      </c>
      <c r="G241" s="141">
        <f t="shared" ref="G241" si="1334">E241*137.88</f>
        <v>376.68730513148489</v>
      </c>
      <c r="H241" s="140">
        <f>G241*Input!L241/100</f>
        <v>2.0200152456834305E-2</v>
      </c>
      <c r="I241" s="138">
        <v>0</v>
      </c>
      <c r="J241" s="142">
        <f>(((C241*Constants!$B$24*0.000000001*Input!G241*(Constants!$B$4/Constants!$B$3))-(I241*0.000000000000001))/Input!F241)*1000000000000</f>
        <v>754.44354165015352</v>
      </c>
      <c r="K241" s="138">
        <f>J241*Input!P241/100</f>
        <v>6.7612792399767025</v>
      </c>
      <c r="L241" s="143">
        <f>(J241/Constants!$B$4)*602200000000*Constants!$B$17/(365.2425*24*60)</f>
        <v>10.415930762340372</v>
      </c>
      <c r="M241" s="144">
        <f>L241*Input!P241/100</f>
        <v>9.3346967056553806E-2</v>
      </c>
      <c r="N241" s="138">
        <v>0</v>
      </c>
      <c r="O241" s="142">
        <f>(((G241*Constants!$B$23*0.000000001*Input!G241*(Constants!$B$7/Constants!$B$6))-(N241*0.000000001))/Input!F241)*1000000</f>
        <v>13.699819631347065</v>
      </c>
      <c r="P241" s="138">
        <f>O241*Input!N241/100</f>
        <v>1.3097628097053675E-3</v>
      </c>
      <c r="Q241" s="145">
        <f>(O241/Constants!$B$7)*602200000000000000*Constants!$B$18/(365.2425*24*60)</f>
        <v>10.221719814194403</v>
      </c>
      <c r="R241" s="146">
        <f>Q241*Input!N241/100</f>
        <v>9.7724122098853368E-4</v>
      </c>
      <c r="S241" s="144">
        <f>Input!S241*Constants!$B$17/Constants!$B$18</f>
        <v>0.99962732471054871</v>
      </c>
      <c r="T241" s="138">
        <f>S241*Input!T241/100</f>
        <v>1.4712262719702935E-3</v>
      </c>
      <c r="U241" s="144">
        <f>S241</f>
        <v>0.99962732471054871</v>
      </c>
      <c r="V241" s="138">
        <f>U241*Input!T241/100</f>
        <v>1.4712262719702935E-3</v>
      </c>
      <c r="W241" s="147">
        <v>0</v>
      </c>
      <c r="X241" s="142">
        <f>(((Constants!$B$25*0.000000001*Input!G241/Input!W241*(Constants!$B$11/Constants!$B$9))-(W241*0.000000001))/Input!F241)*1000000000</f>
        <v>0.9301872533233454</v>
      </c>
      <c r="Y241" s="142">
        <f>X241*Input!X241/100</f>
        <v>4.7324337861712716E-3</v>
      </c>
      <c r="Z241" s="142">
        <f>(X241/Constants!$B$11)*6.022E+23*0.000000001*Constants!$B$19/(365.2425*24*60)</f>
        <v>2.2708878030950719E-4</v>
      </c>
      <c r="AA241" s="142">
        <f>Z241*Input!X241/100</f>
        <v>1.1553400807821683E-6</v>
      </c>
      <c r="AB241" s="143">
        <v>0</v>
      </c>
      <c r="AC241" s="143">
        <v>0.9</v>
      </c>
      <c r="AD241" s="142">
        <f>(((Input!G241*Constants!$B$25*0.000000001*Input!U241*(Constants!$B$10/Constants!$B$9))-((AB241*0.000000000000001)+(Input!G241*AC241*0.000000000000001)))/Input!F241)*1000000000000</f>
        <v>222.59121630302977</v>
      </c>
      <c r="AE241" s="142">
        <f>AD241*Input!V241/100</f>
        <v>0.65810058427005358</v>
      </c>
      <c r="AF241" s="142">
        <f>(AD241/Constants!$B$10)*602200000000*Constants!$B$16/(365.2425*24*60)</f>
        <v>10.160324862450684</v>
      </c>
      <c r="AG241" s="142">
        <f>AF241*Input!V241/100</f>
        <v>3.0039441085804131E-2</v>
      </c>
      <c r="AH241" s="138">
        <f t="shared" ref="AH241" si="1335">AF241/Z241</f>
        <v>44741.641786982276</v>
      </c>
      <c r="AI241" s="147">
        <f t="shared" ref="AI241" si="1336">AH241*SQRT((AG241/AF241)^2+(AA241/Z241)^2)</f>
        <v>263.27316456966145</v>
      </c>
      <c r="AJ241" s="144">
        <f t="shared" si="1299"/>
        <v>-0.37267528945128525</v>
      </c>
      <c r="AK241" s="147">
        <f t="shared" ref="AK241" si="1337">V241*1000</f>
        <v>1.4712262719702935</v>
      </c>
      <c r="AL241" s="147">
        <f t="shared" ref="AL241" si="1338">AF241/Q241</f>
        <v>0.99399367690958795</v>
      </c>
      <c r="AM241" s="147">
        <f t="shared" ref="AM241" si="1339">AL241*SQRT((R241/Q241)^2+(AG241/AF241)^2)</f>
        <v>2.9403214847396881E-3</v>
      </c>
      <c r="AN241" s="138">
        <f>AF241/Q241</f>
        <v>0.99399367690958795</v>
      </c>
      <c r="AO241" s="142">
        <f t="shared" ref="AO241" si="1340">AN241*SQRT((R241/Q241)^2+(AG241/AF241)^2)</f>
        <v>2.9403214847396881E-3</v>
      </c>
      <c r="AP241" s="138">
        <f t="shared" ref="AP241" si="1341">ThU_Alter_Kombi(AN241,U241)</f>
        <v>567.70809999999994</v>
      </c>
      <c r="AQ241" s="138" t="e">
        <f t="shared" si="1305"/>
        <v>#VALUE!</v>
      </c>
      <c r="AR241" s="138" t="e">
        <f>(AQ241/AP241)*100</f>
        <v>#VALUE!</v>
      </c>
      <c r="AS241" s="146">
        <f t="shared" si="1306"/>
        <v>2.2216298669638753E-5</v>
      </c>
      <c r="AT241" s="146">
        <f t="shared" si="1307"/>
        <v>1.1304790905649873E-7</v>
      </c>
      <c r="AU241" s="138">
        <v>0.75</v>
      </c>
      <c r="AV241" s="138">
        <f t="shared" ref="AV241" si="1342">AU241/2</f>
        <v>0.375</v>
      </c>
      <c r="AW241" s="138">
        <f t="shared" si="1309"/>
        <v>567.70630000000006</v>
      </c>
      <c r="AX241" s="148">
        <f t="shared" si="1310"/>
        <v>172.816595423</v>
      </c>
      <c r="AY241" s="148">
        <f t="shared" si="1311"/>
        <v>71.226993572959515</v>
      </c>
      <c r="AZ241" s="149">
        <f t="shared" si="1312"/>
        <v>0.30441197397844622</v>
      </c>
      <c r="BA241" s="138" t="str">
        <f>Input!B241</f>
        <v>Hu1-13</v>
      </c>
      <c r="BB241" s="150">
        <f>Input!E241</f>
        <v>0</v>
      </c>
      <c r="BC241" s="138">
        <f>((U241-1)*EXP(Constants!$B$17*AW241*1000))*1000</f>
        <v>-1.849755493791696</v>
      </c>
      <c r="BD241" s="144">
        <f>SQRT((EXP(Constants!$B$17*AW241*1000)*V241)^2+((U241-1)*Constants!$B$17*EXP(Constants!$B$17*AW241*1000)*AY241*1000)^2)*1000</f>
        <v>7.3118190053828078</v>
      </c>
      <c r="BE241" s="138">
        <f t="shared" si="1313"/>
        <v>567648.30000000005</v>
      </c>
      <c r="BF241" s="151">
        <f t="shared" si="1314"/>
        <v>35613.496786479758</v>
      </c>
      <c r="BG241" s="160">
        <f t="shared" si="1315"/>
        <v>12.546451144361004</v>
      </c>
      <c r="BH241" s="138"/>
      <c r="BI241" s="18"/>
      <c r="BJ241" s="18"/>
      <c r="BK241" s="18"/>
      <c r="BL241" s="18"/>
      <c r="BM241" s="18"/>
      <c r="BN241" s="159"/>
      <c r="BO241" s="18"/>
      <c r="BP241" s="18"/>
      <c r="BQ241" s="18"/>
      <c r="BR241" s="18"/>
      <c r="BS241" s="18"/>
      <c r="BT241" s="18"/>
      <c r="BU241" s="18"/>
      <c r="BV241" s="18"/>
      <c r="BW241" s="18"/>
      <c r="BX241" s="18"/>
      <c r="BY241" s="18"/>
      <c r="BZ241" s="18"/>
      <c r="CA241" s="18"/>
      <c r="CB241" s="18"/>
      <c r="CC241" s="18"/>
      <c r="CD241" s="18"/>
      <c r="CE241" s="1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  <c r="CY241" s="18"/>
      <c r="CZ241" s="18"/>
      <c r="DA241" s="18"/>
      <c r="DB241" s="18"/>
      <c r="DC241" s="18"/>
      <c r="DD241" s="18"/>
      <c r="DE241" s="18"/>
      <c r="DF241" s="18"/>
    </row>
    <row r="242" spans="1:110" ht="15" customHeight="1" x14ac:dyDescent="0.2">
      <c r="A242" s="18">
        <f>Input!A242</f>
        <v>11050</v>
      </c>
      <c r="B242" s="18" t="str">
        <f>Input!B242</f>
        <v>GeoB23225-1 24-28 La-10</v>
      </c>
      <c r="C242" s="18">
        <f>Input!O242</f>
        <v>3.3175172691567436</v>
      </c>
      <c r="D242" s="18">
        <f>C242*Input!P242/100</f>
        <v>1.5349181280300453E-2</v>
      </c>
      <c r="E242" s="152">
        <f>Input!M242</f>
        <v>3.8576757290137182</v>
      </c>
      <c r="F242" s="153">
        <f>E242*Input!N242/100</f>
        <v>2.6361493524725899E-4</v>
      </c>
      <c r="G242" s="21">
        <f>E242*137.88</f>
        <v>531.89632951641147</v>
      </c>
      <c r="H242" s="153">
        <f>G242*Input!L242/100</f>
        <v>5.1765642524857179E-2</v>
      </c>
      <c r="I242" s="18">
        <v>0.3</v>
      </c>
      <c r="J242" s="129">
        <f>(((C242*Constants!$B$24*0.000000001*Input!G242*(Constants!$B$4/Constants!$B$3))-(I242*0.000000000000001))/Input!F242)*1000000000000</f>
        <v>322.99898316343752</v>
      </c>
      <c r="K242" s="18">
        <f>J242*Input!P242/100</f>
        <v>1.4944217448455053</v>
      </c>
      <c r="L242" s="134">
        <f>(J242/Constants!$B$4)*602200000000*Constants!$B$17/(365.2425*24*60)</f>
        <v>4.4593595931354661</v>
      </c>
      <c r="M242" s="132">
        <f>L242*Input!P242/100</f>
        <v>2.0632151466232256E-2</v>
      </c>
      <c r="N242" s="18">
        <v>5.0000000000000001E-3</v>
      </c>
      <c r="O242" s="129">
        <f>(((G242*Constants!$B$23*0.000000001*Input!G242*(Constants!$B$7/Constants!$B$6))-(N242*0.000000001))/Input!F242)*1000000</f>
        <v>5.2167033196009855</v>
      </c>
      <c r="P242" s="18">
        <f>O242*Input!N242/100</f>
        <v>3.5648431967929271E-4</v>
      </c>
      <c r="Q242" s="130">
        <f>(O242/Constants!$B$7)*602200000000000000*Constants!$B$18/(365.2425*24*60)</f>
        <v>3.8922906375151989</v>
      </c>
      <c r="R242" s="131">
        <f>Q242*Input!N242/100</f>
        <v>2.659803509805147E-4</v>
      </c>
      <c r="S242" s="132">
        <f>Input!S242*Constants!$B$17/Constants!$B$18</f>
        <v>1.1354657317540928</v>
      </c>
      <c r="T242" s="18">
        <f>S242*Input!T242/100</f>
        <v>7.4248728035473846E-4</v>
      </c>
      <c r="U242" s="18">
        <f>S242*1/((U241+U243)/2)</f>
        <v>1.1355006845955156</v>
      </c>
      <c r="V242" s="18">
        <f>U242*Input!T242/100</f>
        <v>7.4251013620977918E-4</v>
      </c>
      <c r="W242" s="133">
        <v>3.0000000000000001E-3</v>
      </c>
      <c r="X242" s="129">
        <f>IF((((Constants!$B$25*0.000000001*Input!G242/Input!W242*(Constants!$B$11/Constants!$B$9))-(W242*0.000000001))/Input!F242)*1000000000&lt;0, "n.d.", (((Constants!$B$25*0.000000001*Input!G242/Input!W242*(Constants!$B$11/Constants!$B$9))-(W242*0.000000001))/Input!F242)*1000000000)</f>
        <v>16.111626339303115</v>
      </c>
      <c r="Y242" s="129">
        <f>X242*Input!X242/100</f>
        <v>3.2695179725878432E-2</v>
      </c>
      <c r="Z242" s="129">
        <f>(X242/Constants!$B$11)*6.022E+23*0.000000001*Constants!$B$19/(365.2425*24*60)</f>
        <v>3.9333688578540842E-3</v>
      </c>
      <c r="AA242" s="129">
        <f>Z242*Input!X242/100</f>
        <v>7.9819503647497672E-6</v>
      </c>
      <c r="AB242" s="134">
        <v>0.05</v>
      </c>
      <c r="AC242" s="134">
        <v>0.9</v>
      </c>
      <c r="AD242" s="129">
        <f>(((Input!G242*Constants!$B$25*0.000000001*Input!U242*(Constants!$B$10/Constants!$B$9))-((AB242*0.000000000000001)+(Input!G242*AC242*0.000000000000001)))/Input!F242)*1000000000000</f>
        <v>11.867133498039909</v>
      </c>
      <c r="AE242" s="129">
        <f>AD242*Input!V242/100</f>
        <v>3.2451575302777563E-2</v>
      </c>
      <c r="AF242" s="129">
        <f>(AD242/Constants!$B$10)*602200000000*Constants!$B$16/(365.2425*24*60)</f>
        <v>0.54168324127404066</v>
      </c>
      <c r="AG242" s="129">
        <f>AF242*Input!V242/100</f>
        <v>1.4812738474173726E-3</v>
      </c>
      <c r="AH242" s="18">
        <f>AF242/Z242</f>
        <v>137.71483449674869</v>
      </c>
      <c r="AI242" s="133">
        <f>AH242*SQRT((AG242/AF242)^2+(AA242/Z242)^2)</f>
        <v>0.46895746818881989</v>
      </c>
      <c r="AJ242" s="132">
        <f t="shared" si="1299"/>
        <v>135.50068459551557</v>
      </c>
      <c r="AK242" s="133">
        <f>V242*1000</f>
        <v>0.74251013620977913</v>
      </c>
      <c r="AL242" s="133">
        <f>AF242/Q242</f>
        <v>0.1391682409461196</v>
      </c>
      <c r="AM242" s="133">
        <f>AL242*SQRT((R242/Q242)^2+(AG242/AF242)^2)</f>
        <v>3.8068490143072911E-4</v>
      </c>
      <c r="AN242" s="18">
        <f>AL242*1/((AN241+AN243)/2)</f>
        <v>0.13996482154988521</v>
      </c>
      <c r="AO242" s="129">
        <f>AN242*SQRT((R242/Q242)^2+(AG242/AF242)^2)</f>
        <v>3.8286389145434767E-4</v>
      </c>
      <c r="AP242" s="18">
        <f>ThU_Alter_Kombi(AN242,U242)</f>
        <v>14.308199999999999</v>
      </c>
      <c r="AQ242" s="18">
        <f t="shared" si="1305"/>
        <v>4.2000000000000003E-2</v>
      </c>
      <c r="AR242" s="154">
        <f>(AQ242/AP242)</f>
        <v>2.9353797123327884E-3</v>
      </c>
      <c r="AS242" s="131">
        <f t="shared" si="1306"/>
        <v>1.0105537392154018E-3</v>
      </c>
      <c r="AT242" s="131">
        <f t="shared" si="1307"/>
        <v>2.0518700824141071E-6</v>
      </c>
      <c r="AU242" s="18">
        <v>8</v>
      </c>
      <c r="AV242" s="18">
        <f>AU242/2</f>
        <v>4</v>
      </c>
      <c r="AW242" s="18">
        <f t="shared" si="1309"/>
        <v>13.5327</v>
      </c>
      <c r="AX242" s="135">
        <f t="shared" si="1310"/>
        <v>0.39883959060000002</v>
      </c>
      <c r="AY242" s="135">
        <f t="shared" si="1311"/>
        <v>0.39204379576510678</v>
      </c>
      <c r="AZ242" s="154">
        <f t="shared" si="1312"/>
        <v>2.9472284954221998E-2</v>
      </c>
      <c r="BA242" s="18" t="str">
        <f>Input!B242</f>
        <v>GeoB23225-1 24-28 La-10</v>
      </c>
      <c r="BB242" s="136">
        <f>Input!E242</f>
        <v>26</v>
      </c>
      <c r="BC242" s="18">
        <f>((U242-1)*EXP(Constants!$B$17*AW242*1000))*1000</f>
        <v>140.77555083869376</v>
      </c>
      <c r="BD242" s="132">
        <f>SQRT((EXP(Constants!$B$17*AW242*1000)*V242)^2+((U242-1)*Constants!$B$17*EXP(Constants!$B$17*AW242*1000)*AY242*1000)^2)*1000</f>
        <v>0.7869811380554147</v>
      </c>
      <c r="BE242" s="18">
        <f t="shared" si="1313"/>
        <v>13474.7</v>
      </c>
      <c r="BF242" s="137">
        <f t="shared" si="1314"/>
        <v>196.02189788255339</v>
      </c>
      <c r="BG242" s="20">
        <f t="shared" si="1315"/>
        <v>2.8970109125681258</v>
      </c>
      <c r="BH242" s="18"/>
      <c r="BI242" s="18"/>
      <c r="BJ242" s="18"/>
      <c r="BK242" s="18"/>
      <c r="BL242" s="18"/>
      <c r="BM242" s="18"/>
      <c r="BN242" s="159"/>
      <c r="BO242" s="18"/>
      <c r="BP242" s="18"/>
      <c r="BQ242" s="18"/>
      <c r="BR242" s="18"/>
      <c r="BS242" s="18"/>
      <c r="BT242" s="18"/>
      <c r="BU242" s="18"/>
      <c r="BV242" s="18"/>
      <c r="BW242" s="18"/>
      <c r="BX242" s="18"/>
      <c r="BY242" s="18"/>
      <c r="BZ242" s="18"/>
      <c r="CA242" s="18"/>
      <c r="CB242" s="18"/>
      <c r="CC242" s="18"/>
      <c r="CD242" s="18"/>
      <c r="CE242" s="1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  <c r="CY242" s="18"/>
      <c r="CZ242" s="18"/>
      <c r="DA242" s="18"/>
      <c r="DB242" s="18"/>
      <c r="DC242" s="18"/>
      <c r="DD242" s="18"/>
      <c r="DE242" s="18"/>
      <c r="DF242" s="18"/>
    </row>
    <row r="243" spans="1:110" ht="15" customHeight="1" x14ac:dyDescent="0.2">
      <c r="A243" s="138">
        <f>Input!A243</f>
        <v>10815</v>
      </c>
      <c r="B243" s="138" t="str">
        <f>Input!B243</f>
        <v>Hu1-13</v>
      </c>
      <c r="C243" s="138">
        <f>Input!O243</f>
        <v>2.0942872426260264</v>
      </c>
      <c r="D243" s="138">
        <f>C243*Input!P243/100</f>
        <v>1.5268516087284266E-2</v>
      </c>
      <c r="E243" s="139">
        <f>Input!M243</f>
        <v>2.7320596916235238</v>
      </c>
      <c r="F243" s="140">
        <f>E243*Input!N243/100</f>
        <v>3.2087192258250174E-4</v>
      </c>
      <c r="G243" s="141">
        <f t="shared" ref="G243" si="1343">E243*137.88</f>
        <v>376.69639028105144</v>
      </c>
      <c r="H243" s="140">
        <f>G243*Input!L243/100</f>
        <v>0.15429023713944681</v>
      </c>
      <c r="I243" s="138">
        <v>0</v>
      </c>
      <c r="J243" s="142">
        <f>(((C243*Constants!$B$24*0.000000001*Input!G243*(Constants!$B$4/Constants!$B$3))-(I243*0.000000000000001))/Input!F243)*1000000000000</f>
        <v>756.11631976336821</v>
      </c>
      <c r="K243" s="138">
        <f>J243*Input!P243/100</f>
        <v>5.5125075286660152</v>
      </c>
      <c r="L243" s="143">
        <f>(J243/Constants!$B$4)*602200000000*Constants!$B$17/(365.2425*24*60)</f>
        <v>10.439025321503665</v>
      </c>
      <c r="M243" s="144">
        <f>L243*Input!P243/100</f>
        <v>7.6106287052147337E-2</v>
      </c>
      <c r="N243" s="138">
        <v>0</v>
      </c>
      <c r="O243" s="142">
        <f>(((G243*Constants!$B$23*0.000000001*Input!G243*(Constants!$B$7/Constants!$B$6))-(N243*0.000000001))/Input!F243)*1000000</f>
        <v>13.700150051057765</v>
      </c>
      <c r="P243" s="138">
        <f>O243*Input!N243/100</f>
        <v>1.6090400586889627E-3</v>
      </c>
      <c r="Q243" s="145">
        <f>(O243/Constants!$B$7)*602200000000000000*Constants!$B$18/(365.2425*24*60)</f>
        <v>10.221966347199562</v>
      </c>
      <c r="R243" s="146">
        <f>Q243*Input!N243/100</f>
        <v>1.2005381889919299E-3</v>
      </c>
      <c r="S243" s="144">
        <f>Input!S243*Constants!$B$17/Constants!$B$18</f>
        <v>1.0003111115371841</v>
      </c>
      <c r="T243" s="138">
        <f>S243*Input!T243/100</f>
        <v>1.5014382593252498E-3</v>
      </c>
      <c r="U243" s="144">
        <f>S243</f>
        <v>1.0003111115371841</v>
      </c>
      <c r="V243" s="138">
        <f>U243*Input!T243/100</f>
        <v>1.5014382593252498E-3</v>
      </c>
      <c r="W243" s="147">
        <v>0</v>
      </c>
      <c r="X243" s="142">
        <f>(((Constants!$B$25*0.000000001*Input!G243/Input!W243*(Constants!$B$11/Constants!$B$9))-(W243*0.000000001))/Input!F243)*1000000000</f>
        <v>0.92152877700943103</v>
      </c>
      <c r="Y243" s="142">
        <f>X243*Input!X243/100</f>
        <v>6.3499820618085675E-3</v>
      </c>
      <c r="Z243" s="142">
        <f>(X243/Constants!$B$11)*6.022E+23*0.000000001*Constants!$B$19/(365.2425*24*60)</f>
        <v>2.2497496632373104E-4</v>
      </c>
      <c r="AA243" s="142">
        <f>Z243*Input!X243/100</f>
        <v>1.5502359081479432E-6</v>
      </c>
      <c r="AB243" s="143">
        <v>0</v>
      </c>
      <c r="AC243" s="143">
        <v>0.9</v>
      </c>
      <c r="AD243" s="142">
        <f>(((Input!G243*Constants!$B$25*0.000000001*Input!U243*(Constants!$B$10/Constants!$B$9))-((AB243*0.000000000000001)+(Input!G243*AC243*0.000000000000001)))/Input!F243)*1000000000000</f>
        <v>222.73768225336525</v>
      </c>
      <c r="AE243" s="142">
        <f>AD243*Input!V243/100</f>
        <v>0.67579786136949493</v>
      </c>
      <c r="AF243" s="142">
        <f>(AD243/Constants!$B$10)*602200000000*Constants!$B$16/(365.2425*24*60)</f>
        <v>10.167010398661018</v>
      </c>
      <c r="AG243" s="142">
        <f>AF243*Input!V243/100</f>
        <v>3.084724512900746E-2</v>
      </c>
      <c r="AH243" s="138">
        <f t="shared" ref="AH243" si="1344">AF243/Z243</f>
        <v>45191.740951440122</v>
      </c>
      <c r="AI243" s="147">
        <f t="shared" ref="AI243" si="1345">AH243*SQRT((AG243/AF243)^2+(AA243/Z243)^2)</f>
        <v>340.252929530968</v>
      </c>
      <c r="AJ243" s="144">
        <f t="shared" si="1299"/>
        <v>0.31111153718410556</v>
      </c>
      <c r="AK243" s="147">
        <f t="shared" ref="AK243" si="1346">V243*1000</f>
        <v>1.5014382593252498</v>
      </c>
      <c r="AL243" s="147">
        <f t="shared" ref="AL243" si="1347">AF243/Q243</f>
        <v>0.99462374002497089</v>
      </c>
      <c r="AM243" s="147">
        <f t="shared" ref="AM243" si="1348">AL243*SQRT((R243/Q243)^2+(AG243/AF243)^2)</f>
        <v>3.0200009144869338E-3</v>
      </c>
      <c r="AN243" s="138">
        <f>AF243/Q243</f>
        <v>0.99462374002497089</v>
      </c>
      <c r="AO243" s="142">
        <f t="shared" ref="AO243" si="1349">AN243*SQRT((R243/Q243)^2+(AG243/AF243)^2)</f>
        <v>3.0200009144869338E-3</v>
      </c>
      <c r="AP243" s="138">
        <f t="shared" ref="AP243" si="1350">ThU_Alter_Kombi(AN243,U243)</f>
        <v>561.32830000000001</v>
      </c>
      <c r="AQ243" s="138" t="e">
        <f t="shared" si="1305"/>
        <v>#VALUE!</v>
      </c>
      <c r="AR243" s="138" t="e">
        <f>(AQ243/AP243)*100</f>
        <v>#VALUE!</v>
      </c>
      <c r="AS243" s="146">
        <f t="shared" si="1306"/>
        <v>2.2008971530743282E-5</v>
      </c>
      <c r="AT243" s="146">
        <f t="shared" si="1307"/>
        <v>1.5167933604421982E-7</v>
      </c>
      <c r="AU243" s="138">
        <v>0.75</v>
      </c>
      <c r="AV243" s="138">
        <f t="shared" ref="AV243" si="1351">AU243/2</f>
        <v>0.375</v>
      </c>
      <c r="AW243" s="138">
        <f t="shared" si="1309"/>
        <v>561.32650000000001</v>
      </c>
      <c r="AX243" s="148">
        <f t="shared" si="1310"/>
        <v>159.87665194269999</v>
      </c>
      <c r="AY243" s="148">
        <f t="shared" si="1311"/>
        <v>68.601431585998228</v>
      </c>
      <c r="AZ243" s="149">
        <f t="shared" si="1312"/>
        <v>0.28481935547796156</v>
      </c>
      <c r="BA243" s="138" t="str">
        <f>Input!B243</f>
        <v>Hu1-13</v>
      </c>
      <c r="BB243" s="150">
        <f>Input!E243</f>
        <v>0</v>
      </c>
      <c r="BC243" s="138">
        <f>((U243-1)*EXP(Constants!$B$17*AW243*1000))*1000</f>
        <v>1.5166337973065587</v>
      </c>
      <c r="BD243" s="144">
        <f>SQRT((EXP(Constants!$B$17*AW243*1000)*V243)^2+((U243-1)*Constants!$B$17*EXP(Constants!$B$17*AW243*1000)*AY243*1000)^2)*1000</f>
        <v>7.3252297195681386</v>
      </c>
      <c r="BE243" s="138">
        <f t="shared" si="1313"/>
        <v>561268.5</v>
      </c>
      <c r="BF243" s="151">
        <f t="shared" si="1314"/>
        <v>34300.715792999115</v>
      </c>
      <c r="BG243" s="160">
        <f t="shared" si="1315"/>
        <v>12.221306420772621</v>
      </c>
      <c r="BH243" s="138"/>
      <c r="BI243" s="18"/>
      <c r="BJ243" s="18"/>
      <c r="BK243" s="18"/>
      <c r="BL243" s="18"/>
      <c r="BM243" s="18"/>
      <c r="BN243" s="159"/>
      <c r="BO243" s="18"/>
      <c r="BP243" s="18"/>
      <c r="BQ243" s="18"/>
      <c r="BR243" s="18"/>
      <c r="BS243" s="18"/>
      <c r="BT243" s="18"/>
      <c r="BU243" s="18"/>
      <c r="BV243" s="18"/>
      <c r="BW243" s="18"/>
      <c r="BX243" s="18"/>
      <c r="BY243" s="18"/>
      <c r="BZ243" s="18"/>
      <c r="CA243" s="18"/>
      <c r="CB243" s="18"/>
      <c r="CC243" s="18"/>
      <c r="CD243" s="18"/>
      <c r="CE243" s="1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  <c r="CY243" s="18"/>
      <c r="CZ243" s="18"/>
      <c r="DA243" s="18"/>
      <c r="DB243" s="18"/>
      <c r="DC243" s="18"/>
      <c r="DD243" s="18"/>
      <c r="DE243" s="18"/>
      <c r="DF243" s="18"/>
    </row>
    <row r="244" spans="1:110" ht="15" customHeight="1" x14ac:dyDescent="0.2">
      <c r="A244" s="18"/>
      <c r="B244" s="18"/>
      <c r="C244" s="18"/>
      <c r="D244" s="18"/>
      <c r="E244" s="152"/>
      <c r="F244" s="153"/>
      <c r="G244" s="21"/>
      <c r="H244" s="153"/>
      <c r="I244" s="18"/>
      <c r="J244" s="129"/>
      <c r="K244" s="18"/>
      <c r="L244" s="134"/>
      <c r="M244" s="132"/>
      <c r="N244" s="18"/>
      <c r="O244" s="129"/>
      <c r="P244" s="18"/>
      <c r="Q244" s="130"/>
      <c r="R244" s="131"/>
      <c r="S244" s="132"/>
      <c r="T244" s="18"/>
      <c r="U244" s="18"/>
      <c r="V244" s="18"/>
      <c r="W244" s="133"/>
      <c r="X244" s="129"/>
      <c r="Y244" s="129"/>
      <c r="Z244" s="129"/>
      <c r="AA244" s="129"/>
      <c r="AB244" s="134"/>
      <c r="AC244" s="134"/>
      <c r="AD244" s="129"/>
      <c r="AE244" s="129"/>
      <c r="AF244" s="129"/>
      <c r="AG244" s="129"/>
      <c r="AH244" s="18"/>
      <c r="AI244" s="133"/>
      <c r="AJ244" s="132"/>
      <c r="AK244" s="133"/>
      <c r="AL244" s="133"/>
      <c r="AM244" s="133"/>
      <c r="AN244" s="18"/>
      <c r="AO244" s="129"/>
      <c r="AP244" s="18"/>
      <c r="AQ244" s="18"/>
      <c r="AR244" s="154"/>
      <c r="AS244" s="131"/>
      <c r="AT244" s="131"/>
      <c r="AU244" s="18"/>
      <c r="AV244" s="18"/>
      <c r="AW244" s="18"/>
      <c r="AX244" s="135"/>
      <c r="AY244" s="135"/>
      <c r="AZ244" s="154"/>
      <c r="BA244" s="18"/>
      <c r="BB244" s="136"/>
      <c r="BC244" s="18"/>
      <c r="BD244" s="132"/>
      <c r="BE244" s="18"/>
      <c r="BF244" s="137"/>
      <c r="BG244" s="20"/>
      <c r="BH244" s="18"/>
      <c r="BI244" s="18"/>
      <c r="BJ244" s="18"/>
      <c r="BK244" s="18"/>
      <c r="BL244" s="18"/>
      <c r="BM244" s="18"/>
      <c r="BN244" s="159"/>
      <c r="BO244" s="18"/>
      <c r="BP244" s="18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  <c r="CY244" s="18"/>
      <c r="CZ244" s="18"/>
      <c r="DA244" s="18"/>
      <c r="DB244" s="18"/>
      <c r="DC244" s="18"/>
      <c r="DD244" s="18"/>
      <c r="DE244" s="18"/>
      <c r="DF244" s="18"/>
    </row>
    <row r="245" spans="1:110" ht="15" customHeight="1" x14ac:dyDescent="0.2">
      <c r="A245" s="138">
        <f>Input!A245</f>
        <v>10815</v>
      </c>
      <c r="B245" s="138" t="str">
        <f>Input!B245</f>
        <v>Hu1-13</v>
      </c>
      <c r="C245" s="138">
        <f>Input!O245</f>
        <v>2.1248711908418585</v>
      </c>
      <c r="D245" s="138">
        <f>C245*Input!P245/100</f>
        <v>2.398653228340987E-2</v>
      </c>
      <c r="E245" s="139">
        <f>Input!M245</f>
        <v>2.7315917439794979</v>
      </c>
      <c r="F245" s="140">
        <f>E245*Input!N245/100</f>
        <v>3.8572333647639572E-4</v>
      </c>
      <c r="G245" s="141">
        <f t="shared" ref="G245" si="1352">E245*137.88</f>
        <v>376.63186965989314</v>
      </c>
      <c r="H245" s="140">
        <f>G245*Input!L245/100</f>
        <v>3.387927418318528E-2</v>
      </c>
      <c r="I245" s="138">
        <v>0</v>
      </c>
      <c r="J245" s="142">
        <f>(((C245*Constants!$B$24*0.000000001*Input!G245*(Constants!$B$4/Constants!$B$3))-(I245*0.000000000000001))/Input!F245)*1000000000000</f>
        <v>767.15827327295096</v>
      </c>
      <c r="K245" s="138">
        <f>J245*Input!P245/100</f>
        <v>8.660038673241214</v>
      </c>
      <c r="L245" s="143">
        <f>(J245/Constants!$B$4)*602200000000*Constants!$B$17/(365.2425*24*60)</f>
        <v>10.591471749748294</v>
      </c>
      <c r="M245" s="144">
        <f>L245*Input!P245/100</f>
        <v>0.11956144925354616</v>
      </c>
      <c r="N245" s="138">
        <v>0</v>
      </c>
      <c r="O245" s="142">
        <f>(((G245*Constants!$B$23*0.000000001*Input!G245*(Constants!$B$7/Constants!$B$6))-(N245*0.000000001))/Input!F245)*1000000</f>
        <v>13.697803487050084</v>
      </c>
      <c r="P245" s="138">
        <f>O245*Input!N245/100</f>
        <v>1.934243092902913E-3</v>
      </c>
      <c r="Q245" s="145">
        <f>(O245/Constants!$B$7)*602200000000000000*Constants!$B$18/(365.2425*24*60)</f>
        <v>10.220215527082361</v>
      </c>
      <c r="R245" s="146">
        <f>Q245*Input!N245/100</f>
        <v>1.4431789235352377E-3</v>
      </c>
      <c r="S245" s="144">
        <f>Input!S245*Constants!$B$17/Constants!$B$18</f>
        <v>1.0008370532545845</v>
      </c>
      <c r="T245" s="138">
        <f>S245*Input!T245/100</f>
        <v>1.3118184642805062E-3</v>
      </c>
      <c r="U245" s="144">
        <f>S245</f>
        <v>1.0008370532545845</v>
      </c>
      <c r="V245" s="138">
        <f>U245*Input!T245/100</f>
        <v>1.3118184642805062E-3</v>
      </c>
      <c r="W245" s="147">
        <v>0</v>
      </c>
      <c r="X245" s="142">
        <f>(((Constants!$B$25*0.000000001*Input!G245/Input!W245*(Constants!$B$11/Constants!$B$9))-(W245*0.000000001))/Input!F245)*1000000000</f>
        <v>0.9957314656512114</v>
      </c>
      <c r="Y245" s="142">
        <f>X245*Input!X245/100</f>
        <v>5.6914661935231516E-3</v>
      </c>
      <c r="Z245" s="142">
        <f>(X245/Constants!$B$11)*6.022E+23*0.000000001*Constants!$B$19/(365.2425*24*60)</f>
        <v>2.4309024149993315E-4</v>
      </c>
      <c r="AA245" s="142">
        <f>Z245*Input!X245/100</f>
        <v>1.3894708957172592E-6</v>
      </c>
      <c r="AB245" s="143">
        <v>0</v>
      </c>
      <c r="AC245" s="143">
        <v>0.9</v>
      </c>
      <c r="AD245" s="142">
        <f>(((Input!G245*Constants!$B$25*0.000000001*Input!U245*(Constants!$B$10/Constants!$B$9))-((AB245*0.000000000000001)+(Input!G245*AC245*0.000000000000001)))/Input!F245)*1000000000000</f>
        <v>222.44442413548396</v>
      </c>
      <c r="AE245" s="142">
        <f>AD245*Input!V245/100</f>
        <v>0.65316822342494019</v>
      </c>
      <c r="AF245" s="142">
        <f>(AD245/Constants!$B$10)*602200000000*Constants!$B$16/(365.2425*24*60)</f>
        <v>10.153624435837722</v>
      </c>
      <c r="AG245" s="142">
        <f>AF245*Input!V245/100</f>
        <v>2.9814300177921416E-2</v>
      </c>
      <c r="AH245" s="138">
        <f t="shared" ref="AH245" si="1353">AF245/Z245</f>
        <v>41768.951205885882</v>
      </c>
      <c r="AI245" s="147">
        <f t="shared" ref="AI245" si="1354">AH245*SQRT((AG245/AF245)^2+(AA245/Z245)^2)</f>
        <v>268.40602068294169</v>
      </c>
      <c r="AJ245" s="144">
        <f t="shared" ref="AJ245:AJ251" si="1355">(U245-1)*1000</f>
        <v>0.83705325458449664</v>
      </c>
      <c r="AK245" s="147">
        <f t="shared" ref="AK245" si="1356">V245*1000</f>
        <v>1.3118184642805062</v>
      </c>
      <c r="AL245" s="147">
        <f t="shared" ref="AL245" si="1357">AF245/Q245</f>
        <v>0.99348437505371778</v>
      </c>
      <c r="AM245" s="147">
        <f t="shared" ref="AM245" si="1358">AL245*SQRT((R245/Q245)^2+(AG245/AF245)^2)</f>
        <v>2.920560282802766E-3</v>
      </c>
      <c r="AN245" s="138">
        <f>AF245/Q245</f>
        <v>0.99348437505371778</v>
      </c>
      <c r="AO245" s="142">
        <f t="shared" ref="AO245" si="1359">AN245*SQRT((R245/Q245)^2+(AG245/AF245)^2)</f>
        <v>2.920560282802766E-3</v>
      </c>
      <c r="AP245" s="138">
        <f t="shared" ref="AP245" si="1360">ThU_Alter_Kombi(AN245,U245)</f>
        <v>530.91020000000003</v>
      </c>
      <c r="AQ245" s="138" t="e">
        <f t="shared" ref="AQ245:AQ251" si="1361">Montealter(AN245,AO245,U245,V245)</f>
        <v>#VALUE!</v>
      </c>
      <c r="AR245" s="138" t="e">
        <f>(AQ245/AP245)*100</f>
        <v>#VALUE!</v>
      </c>
      <c r="AS245" s="146">
        <f t="shared" ref="AS245:AS251" si="1362">Z245/Q245</f>
        <v>2.3785236314808898E-5</v>
      </c>
      <c r="AT245" s="146">
        <f t="shared" ref="AT245:AT251" si="1363">AS245*SQRT((Y245/X245)^2+(P245/O245)^2)</f>
        <v>1.359946702799133E-7</v>
      </c>
      <c r="AU245" s="138">
        <v>0.75</v>
      </c>
      <c r="AV245" s="138">
        <f t="shared" ref="AV245" si="1364">AU245/2</f>
        <v>0.375</v>
      </c>
      <c r="AW245" s="138">
        <f t="shared" ref="AW245:AW251" si="1365">marincorr_age(AN245,U245,AS245,AU245)</f>
        <v>530.90830000000005</v>
      </c>
      <c r="AX245" s="148">
        <f t="shared" ref="AX245:AX251" si="1366">marincorr_age_error(AN245, AO245, U245, V245, AS245, AT245, AU245, AV245)</f>
        <v>73.570645846600002</v>
      </c>
      <c r="AY245" s="148">
        <f t="shared" ref="AY245:AY251" si="1367">SQRT(((AU245*EXP(-0.0000091577*AW245*1000))/(0.0000091577*(EXP(-0.0000091577*AW245*1000)+(AJ245/1000)*EXP(-(0.0000091577-0.0000028263)*AW245*1000)-AS245*AU245*EXP(-0.0000091577*AW245*1000))))^2*AT245^2+((AS245*EXP(-0.0000091577*AW245*1000))/(0.0000091577*(EXP(-0.0000091577*AW245*1000)+(AJ245/1000)*EXP(-(0.0000091577-0.0000028263)*AW245*1000)-AS245*AU245*EXP(-0.0000091577*AW245*1000))))^2*AV245^2+((0.0000091577/(0.0000091577-0.0000028263))*(EXP(-(0.0000091577-0.0000028263)*AW245*1000)-1)/(0.0000091577*(EXP(-0.0000091577*AW245*1000)+(AJ245/1000)*EXP(-(0.0000091577-0.0000028263)*AW245*1000)-AS245*AU245*EXP(-0.0000091577*AW245*1000))))^2*T245^2+(1/(0.0000091577*(EXP(-0.0000091577*AW245*1000)+(AJ245/1000)*EXP(-(0.0000091577-0.0000028263)*AW245*1000)-AS245*AU245*EXP(-0.0000091577*AW245*1000))))^2*AO245^2)/1000</f>
        <v>48.481808878202067</v>
      </c>
      <c r="AZ245" s="149">
        <f t="shared" ref="AZ245:AZ251" si="1368">AX245/AW245</f>
        <v>0.13857505306773316</v>
      </c>
      <c r="BA245" s="138" t="str">
        <f>Input!B245</f>
        <v>Hu1-13</v>
      </c>
      <c r="BB245" s="150">
        <f>Input!E245</f>
        <v>0</v>
      </c>
      <c r="BC245" s="138">
        <f>((U245-1)*EXP(Constants!$B$17*AW245*1000))*1000</f>
        <v>3.744872204658892</v>
      </c>
      <c r="BD245" s="144">
        <f>SQRT((EXP(Constants!$B$17*AW245*1000)*V245)^2+((U245-1)*Constants!$B$17*EXP(Constants!$B$17*AW245*1000)*AY245*1000)^2)*1000</f>
        <v>5.8912356696879149</v>
      </c>
      <c r="BE245" s="138">
        <f t="shared" ref="BE245:BE251" si="1369">AW245*1000-58</f>
        <v>530850.30000000005</v>
      </c>
      <c r="BF245" s="151">
        <f t="shared" ref="BF245:BF251" si="1370">AY245/2*1000</f>
        <v>24240.904439101032</v>
      </c>
      <c r="BG245" s="160">
        <f t="shared" ref="BG245:BG251" si="1371">AY245/AW245*100</f>
        <v>9.1318611666463045</v>
      </c>
      <c r="BH245" s="138"/>
      <c r="BI245" s="18"/>
      <c r="BJ245" s="18"/>
      <c r="BK245" s="18"/>
      <c r="BL245" s="18"/>
      <c r="BM245" s="18"/>
      <c r="BN245" s="159"/>
      <c r="BO245" s="18"/>
      <c r="BP245" s="18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  <c r="CY245" s="18"/>
      <c r="CZ245" s="18"/>
      <c r="DA245" s="18"/>
      <c r="DB245" s="18"/>
      <c r="DC245" s="18"/>
      <c r="DD245" s="18"/>
      <c r="DE245" s="18"/>
      <c r="DF245" s="18"/>
    </row>
    <row r="246" spans="1:110" ht="15" customHeight="1" x14ac:dyDescent="0.2">
      <c r="A246" s="18">
        <f>Input!A246</f>
        <v>11067</v>
      </c>
      <c r="B246" s="18" t="str">
        <f>Input!B246</f>
        <v>Geob23225-1_28</v>
      </c>
      <c r="C246" s="18">
        <f>Input!O246</f>
        <v>1.5619083171009496</v>
      </c>
      <c r="D246" s="18">
        <f>C246*Input!P246/100</f>
        <v>6.0454670730330619E-3</v>
      </c>
      <c r="E246" s="152">
        <f>Input!M246</f>
        <v>1.8117993992600427</v>
      </c>
      <c r="F246" s="153">
        <f>E246*Input!N246/100</f>
        <v>1.0641187148100507E-4</v>
      </c>
      <c r="G246" s="21">
        <f>E246*137.88</f>
        <v>249.8109011699747</v>
      </c>
      <c r="H246" s="153">
        <f>G246*Input!L246/100</f>
        <v>1.0460782635817572E-2</v>
      </c>
      <c r="I246" s="18">
        <v>0.3</v>
      </c>
      <c r="J246" s="129">
        <f>(((C246*Constants!$B$24*0.000000001*Input!G246*(Constants!$B$4/Constants!$B$3))-(I246*0.000000000000001))/Input!F246)*1000000000000</f>
        <v>74.532247035974606</v>
      </c>
      <c r="K246" s="18">
        <f>J246*Input!P246/100</f>
        <v>0.28848187848277423</v>
      </c>
      <c r="L246" s="134">
        <f>(J246/Constants!$B$4)*602200000000*Constants!$B$17/(365.2425*24*60)</f>
        <v>1.0290004245915489</v>
      </c>
      <c r="M246" s="132">
        <f>L246*Input!P246/100</f>
        <v>3.9828126381653596E-3</v>
      </c>
      <c r="N246" s="18">
        <v>5.0000000000000001E-3</v>
      </c>
      <c r="O246" s="129">
        <f>(((G246*Constants!$B$23*0.000000001*Input!G246*(Constants!$B$7/Constants!$B$6))-(N246*0.000000001))/Input!F246)*1000000</f>
        <v>1.2008280513156067</v>
      </c>
      <c r="P246" s="18">
        <f>O246*Input!N246/100</f>
        <v>7.0527874288715248E-5</v>
      </c>
      <c r="Q246" s="130">
        <f>(O246/Constants!$B$7)*602200000000000000*Constants!$B$18/(365.2425*24*60)</f>
        <v>0.89596273643540436</v>
      </c>
      <c r="R246" s="131">
        <f>Q246*Input!N246/100</f>
        <v>5.2622311057323527E-5</v>
      </c>
      <c r="S246" s="132">
        <f>Input!S246*Constants!$B$17/Constants!$B$18</f>
        <v>1.1252690384349526</v>
      </c>
      <c r="T246" s="18">
        <f>S246*Input!T246/100</f>
        <v>8.9202680740048206E-4</v>
      </c>
      <c r="U246" s="18">
        <f>S246*1/((U245+U247)/2)</f>
        <v>1.1245396990113694</v>
      </c>
      <c r="V246" s="18">
        <f>U246*Input!T246/100</f>
        <v>8.9144864316125709E-4</v>
      </c>
      <c r="W246" s="133">
        <v>3.0000000000000001E-3</v>
      </c>
      <c r="X246" s="129">
        <f>IF((((Constants!$B$25*0.000000001*Input!G246/Input!W246*(Constants!$B$11/Constants!$B$9))-(W246*0.000000001))/Input!F246)*1000000000&lt;0, "n.d.", (((Constants!$B$25*0.000000001*Input!G246/Input!W246*(Constants!$B$11/Constants!$B$9))-(W246*0.000000001))/Input!F246)*1000000000)</f>
        <v>17.64162304240525</v>
      </c>
      <c r="Y246" s="129">
        <f>X246*Input!X246/100</f>
        <v>2.8191481730112492E-2</v>
      </c>
      <c r="Z246" s="129">
        <f>(X246/Constants!$B$11)*6.022E+23*0.000000001*Constants!$B$19/(365.2425*24*60)</f>
        <v>4.3068905159328093E-3</v>
      </c>
      <c r="AA246" s="129">
        <f>Z246*Input!X246/100</f>
        <v>6.8824520851433251E-6</v>
      </c>
      <c r="AB246" s="134">
        <v>0.05</v>
      </c>
      <c r="AC246" s="134">
        <v>0.9</v>
      </c>
      <c r="AD246" s="129">
        <f>(((Input!G246*Constants!$B$25*0.000000001*Input!U246*(Constants!$B$10/Constants!$B$9))-((AB246*0.000000000000001)+(Input!G246*AC246*0.000000000000001)))/Input!F246)*1000000000000</f>
        <v>6.7362466261512584</v>
      </c>
      <c r="AE246" s="129">
        <f>AD246*Input!V246/100</f>
        <v>1.7134223368841989E-2</v>
      </c>
      <c r="AF246" s="129">
        <f>(AD246/Constants!$B$10)*602200000000*Constants!$B$16/(365.2425*24*60)</f>
        <v>0.30748048019158325</v>
      </c>
      <c r="AG246" s="129">
        <f>AF246*Input!V246/100</f>
        <v>7.8210307928875441E-4</v>
      </c>
      <c r="AH246" s="18">
        <f>AF246/Z246</f>
        <v>71.392685524300461</v>
      </c>
      <c r="AI246" s="133">
        <f>AH246*SQRT((AG246/AF246)^2+(AA246/Z246)^2)</f>
        <v>0.2144570769462848</v>
      </c>
      <c r="AJ246" s="132">
        <f t="shared" si="1355"/>
        <v>124.53969901136941</v>
      </c>
      <c r="AK246" s="133">
        <f>V246*1000</f>
        <v>0.89144864316125705</v>
      </c>
      <c r="AL246" s="133">
        <f>AF246/Q246</f>
        <v>0.3431844514146839</v>
      </c>
      <c r="AM246" s="133">
        <f>AL246*SQRT((R246/Q246)^2+(AG246/AF246)^2)</f>
        <v>8.7315188153057701E-4</v>
      </c>
      <c r="AN246" s="18">
        <f>AL246*1/((AN245+AN247)/2)</f>
        <v>0.34567951769484401</v>
      </c>
      <c r="AO246" s="129">
        <f>AN246*SQRT((R246/Q246)^2+(AG246/AF246)^2)</f>
        <v>8.794999891097075E-4</v>
      </c>
      <c r="AP246" s="18">
        <f>ThU_Alter_Kombi(AN246,U246)</f>
        <v>39.761200000000002</v>
      </c>
      <c r="AQ246" s="18">
        <f t="shared" si="1361"/>
        <v>0.13469999999999999</v>
      </c>
      <c r="AR246" s="154">
        <f>(AQ246/AP246)</f>
        <v>3.3877247165578499E-3</v>
      </c>
      <c r="AS246" s="131">
        <f t="shared" si="1362"/>
        <v>4.8069973680689125E-3</v>
      </c>
      <c r="AT246" s="131">
        <f t="shared" si="1363"/>
        <v>7.6868141421053579E-6</v>
      </c>
      <c r="AU246" s="18">
        <v>8</v>
      </c>
      <c r="AV246" s="18">
        <f>AU246/2</f>
        <v>4</v>
      </c>
      <c r="AW246" s="18">
        <f t="shared" si="1365"/>
        <v>36.014600000000002</v>
      </c>
      <c r="AX246" s="135">
        <f t="shared" si="1366"/>
        <v>1.7237003185999999</v>
      </c>
      <c r="AY246" s="135">
        <f t="shared" si="1367"/>
        <v>1.9139829549868201</v>
      </c>
      <c r="AZ246" s="154">
        <f t="shared" si="1368"/>
        <v>4.7861154048635828E-2</v>
      </c>
      <c r="BA246" s="18" t="str">
        <f>Input!B246</f>
        <v>Geob23225-1_28</v>
      </c>
      <c r="BB246" s="136">
        <f>Input!E246</f>
        <v>28</v>
      </c>
      <c r="BC246" s="18">
        <f>((U246-1)*EXP(Constants!$B$17*AW246*1000))*1000</f>
        <v>137.86292504208063</v>
      </c>
      <c r="BD246" s="132">
        <f>SQRT((EXP(Constants!$B$17*AW246*1000)*V246)^2+((U246-1)*Constants!$B$17*EXP(Constants!$B$17*AW246*1000)*AY246*1000)^2)*1000</f>
        <v>1.2362473999300203</v>
      </c>
      <c r="BE246" s="18">
        <f t="shared" si="1369"/>
        <v>35956.6</v>
      </c>
      <c r="BF246" s="137">
        <f t="shared" si="1370"/>
        <v>956.99147749341012</v>
      </c>
      <c r="BG246" s="20">
        <f t="shared" si="1371"/>
        <v>5.3144640090041824</v>
      </c>
      <c r="BH246" s="18"/>
      <c r="BI246" s="18"/>
      <c r="BJ246" s="18"/>
      <c r="BK246" s="18"/>
      <c r="BL246" s="18"/>
      <c r="BM246" s="18"/>
      <c r="BN246" s="159"/>
      <c r="BO246" s="18"/>
      <c r="BP246" s="18"/>
      <c r="BQ246" s="18"/>
      <c r="BR246" s="18"/>
      <c r="BS246" s="18"/>
      <c r="BT246" s="18"/>
      <c r="BU246" s="18"/>
      <c r="BV246" s="18"/>
      <c r="BW246" s="18"/>
      <c r="BX246" s="18"/>
      <c r="BY246" s="18"/>
      <c r="BZ246" s="18"/>
      <c r="CA246" s="18"/>
      <c r="CB246" s="18"/>
      <c r="CC246" s="18"/>
      <c r="CD246" s="18"/>
      <c r="CE246" s="1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  <c r="CY246" s="18"/>
      <c r="CZ246" s="18"/>
      <c r="DA246" s="18"/>
      <c r="DB246" s="18"/>
      <c r="DC246" s="18"/>
      <c r="DD246" s="18"/>
      <c r="DE246" s="18"/>
      <c r="DF246" s="18"/>
    </row>
    <row r="247" spans="1:110" ht="15" customHeight="1" x14ac:dyDescent="0.2">
      <c r="A247" s="138">
        <f>Input!A247</f>
        <v>10815</v>
      </c>
      <c r="B247" s="138" t="str">
        <f>Input!B247</f>
        <v>Hu1-13</v>
      </c>
      <c r="C247" s="138">
        <f>Input!O247</f>
        <v>2.0815240923745093</v>
      </c>
      <c r="D247" s="138">
        <f>C247*Input!P247/100</f>
        <v>2.0671084966980877E-2</v>
      </c>
      <c r="E247" s="139">
        <f>Input!M247</f>
        <v>2.7325764253513642</v>
      </c>
      <c r="F247" s="140">
        <f>E247*Input!N247/100</f>
        <v>3.9529875338042026E-4</v>
      </c>
      <c r="G247" s="141">
        <f t="shared" ref="G247" si="1372">E247*137.88</f>
        <v>376.76763752744608</v>
      </c>
      <c r="H247" s="140">
        <f>G247*Input!L247/100</f>
        <v>3.017546534744045E-2</v>
      </c>
      <c r="I247" s="138">
        <v>0</v>
      </c>
      <c r="J247" s="142">
        <f>(((C247*Constants!$B$24*0.000000001*Input!G247*(Constants!$B$4/Constants!$B$3))-(I247*0.000000000000001))/Input!F247)*1000000000000</f>
        <v>751.50834335958552</v>
      </c>
      <c r="K247" s="138">
        <f>J247*Input!P247/100</f>
        <v>7.4630377212016699</v>
      </c>
      <c r="L247" s="143">
        <f>(J247/Constants!$B$4)*602200000000*Constants!$B$17/(365.2425*24*60)</f>
        <v>10.375407090944861</v>
      </c>
      <c r="M247" s="144">
        <f>L247*Input!P247/100</f>
        <v>0.10303552206272007</v>
      </c>
      <c r="N247" s="138">
        <v>0</v>
      </c>
      <c r="O247" s="142">
        <f>(((G247*Constants!$B$23*0.000000001*Input!G247*(Constants!$B$7/Constants!$B$6))-(N247*0.000000001))/Input!F247)*1000000</f>
        <v>13.702741257109947</v>
      </c>
      <c r="P247" s="138">
        <f>O247*Input!N247/100</f>
        <v>1.9822598506585298E-3</v>
      </c>
      <c r="Q247" s="145">
        <f>(O247/Constants!$B$7)*602200000000000000*Constants!$B$18/(365.2425*24*60)</f>
        <v>10.22389969982456</v>
      </c>
      <c r="R247" s="146">
        <f>Q247*Input!N247/100</f>
        <v>1.4790052232509588E-3</v>
      </c>
      <c r="S247" s="144">
        <f>Input!S247*Constants!$B$17/Constants!$B$18</f>
        <v>1.000460080895903</v>
      </c>
      <c r="T247" s="138">
        <f>S247*Input!T247/100</f>
        <v>1.7965071967892252E-3</v>
      </c>
      <c r="U247" s="144">
        <f>S247</f>
        <v>1.000460080895903</v>
      </c>
      <c r="V247" s="138">
        <f>U247*Input!T247/100</f>
        <v>1.7965071967892252E-3</v>
      </c>
      <c r="W247" s="147">
        <v>0</v>
      </c>
      <c r="X247" s="142">
        <f>(((Constants!$B$25*0.000000001*Input!G247/Input!W247*(Constants!$B$11/Constants!$B$9))-(W247*0.000000001))/Input!F247)*1000000000</f>
        <v>0.99127974341716774</v>
      </c>
      <c r="Y247" s="142">
        <f>X247*Input!X247/100</f>
        <v>4.7460551586861448E-3</v>
      </c>
      <c r="Z247" s="142">
        <f>(X247/Constants!$B$11)*6.022E+23*0.000000001*Constants!$B$19/(365.2425*24*60)</f>
        <v>2.4200343218407352E-4</v>
      </c>
      <c r="AA247" s="142">
        <f>Z247*Input!X247/100</f>
        <v>1.1586654981747336E-6</v>
      </c>
      <c r="AB247" s="143">
        <v>0</v>
      </c>
      <c r="AC247" s="143">
        <v>0.9</v>
      </c>
      <c r="AD247" s="142">
        <f>(((Input!G247*Constants!$B$25*0.000000001*Input!U247*(Constants!$B$10/Constants!$B$9))-((AB247*0.000000000000001)+(Input!G247*AC247*0.000000000000001)))/Input!F247)*1000000000000</f>
        <v>222.2100319383629</v>
      </c>
      <c r="AE247" s="142">
        <f>AD247*Input!V247/100</f>
        <v>0.85969482445321854</v>
      </c>
      <c r="AF247" s="142">
        <f>(AD247/Constants!$B$10)*602200000000*Constants!$B$16/(365.2425*24*60)</f>
        <v>10.142925447317294</v>
      </c>
      <c r="AG247" s="142">
        <f>AF247*Input!V247/100</f>
        <v>3.9241344937533007E-2</v>
      </c>
      <c r="AH247" s="138">
        <f t="shared" ref="AH247" si="1373">AF247/Z247</f>
        <v>41912.320646768123</v>
      </c>
      <c r="AI247" s="147">
        <f t="shared" ref="AI247" si="1374">AH247*SQRT((AG247/AF247)^2+(AA247/Z247)^2)</f>
        <v>257.99408589256194</v>
      </c>
      <c r="AJ247" s="144">
        <f t="shared" si="1355"/>
        <v>0.46008089590299228</v>
      </c>
      <c r="AK247" s="147">
        <f t="shared" ref="AK247" si="1375">V247*1000</f>
        <v>1.7965071967892252</v>
      </c>
      <c r="AL247" s="147">
        <f t="shared" ref="AL247" si="1376">AF247/Q247</f>
        <v>0.99207990542897684</v>
      </c>
      <c r="AM247" s="147">
        <f t="shared" ref="AM247" si="1377">AL247*SQRT((R247/Q247)^2+(AG247/AF247)^2)</f>
        <v>3.8408795660526381E-3</v>
      </c>
      <c r="AN247" s="138">
        <f>AF247/Q247</f>
        <v>0.99207990542897684</v>
      </c>
      <c r="AO247" s="142">
        <f t="shared" ref="AO247" si="1378">AN247*SQRT((R247/Q247)^2+(AG247/AF247)^2)</f>
        <v>3.8408795660526381E-3</v>
      </c>
      <c r="AP247" s="138">
        <f t="shared" ref="AP247" si="1379">ThU_Alter_Kombi(AN247,U247)</f>
        <v>519.12720000000002</v>
      </c>
      <c r="AQ247" s="138" t="e">
        <f t="shared" si="1361"/>
        <v>#VALUE!</v>
      </c>
      <c r="AR247" s="138" t="e">
        <f>(AQ247/AP247)*100</f>
        <v>#VALUE!</v>
      </c>
      <c r="AS247" s="146">
        <f t="shared" si="1362"/>
        <v>2.3670364468484197E-5</v>
      </c>
      <c r="AT247" s="146">
        <f t="shared" si="1363"/>
        <v>1.1338083280726404E-7</v>
      </c>
      <c r="AU247" s="138">
        <v>0.75</v>
      </c>
      <c r="AV247" s="138">
        <f t="shared" ref="AV247" si="1380">AU247/2</f>
        <v>0.375</v>
      </c>
      <c r="AW247" s="138">
        <f t="shared" si="1365"/>
        <v>519.12530000000004</v>
      </c>
      <c r="AX247" s="148">
        <f t="shared" si="1366"/>
        <v>95.061160394799998</v>
      </c>
      <c r="AY247" s="148">
        <f t="shared" si="1367"/>
        <v>57.968529737028753</v>
      </c>
      <c r="AZ247" s="149">
        <f t="shared" si="1368"/>
        <v>0.18311794935596473</v>
      </c>
      <c r="BA247" s="138" t="str">
        <f>Input!B247</f>
        <v>Hu1-13</v>
      </c>
      <c r="BB247" s="150">
        <f>Input!E247</f>
        <v>0</v>
      </c>
      <c r="BC247" s="138">
        <f>((U247-1)*EXP(Constants!$B$17*AW247*1000))*1000</f>
        <v>1.9910254346577552</v>
      </c>
      <c r="BD247" s="144">
        <f>SQRT((EXP(Constants!$B$17*AW247*1000)*V247)^2+((U247-1)*Constants!$B$17*EXP(Constants!$B$17*AW247*1000)*AY247*1000)^2)*1000</f>
        <v>7.781303820024827</v>
      </c>
      <c r="BE247" s="138">
        <f t="shared" si="1369"/>
        <v>519067.30000000005</v>
      </c>
      <c r="BF247" s="151">
        <f t="shared" si="1370"/>
        <v>28984.264868514376</v>
      </c>
      <c r="BG247" s="160">
        <f t="shared" si="1371"/>
        <v>11.166577652260205</v>
      </c>
      <c r="BH247" s="138"/>
      <c r="BI247" s="18"/>
      <c r="BJ247" s="18"/>
      <c r="BK247" s="18"/>
      <c r="BL247" s="18"/>
      <c r="BM247" s="18"/>
      <c r="BN247" s="159"/>
      <c r="BO247" s="18"/>
      <c r="BP247" s="18"/>
      <c r="BQ247" s="18"/>
      <c r="BR247" s="18"/>
      <c r="BS247" s="18"/>
      <c r="BT247" s="18"/>
      <c r="BU247" s="18"/>
      <c r="BV247" s="18"/>
      <c r="BW247" s="18"/>
      <c r="BX247" s="18"/>
      <c r="BY247" s="18"/>
      <c r="BZ247" s="18"/>
      <c r="CA247" s="18"/>
      <c r="CB247" s="18"/>
      <c r="CC247" s="18"/>
      <c r="CD247" s="18"/>
      <c r="CE247" s="1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  <c r="CY247" s="18"/>
      <c r="CZ247" s="18"/>
      <c r="DA247" s="18"/>
      <c r="DB247" s="18"/>
      <c r="DC247" s="18"/>
      <c r="DD247" s="18"/>
      <c r="DE247" s="18"/>
      <c r="DF247" s="18"/>
    </row>
    <row r="248" spans="1:110" ht="15" customHeight="1" x14ac:dyDescent="0.2">
      <c r="A248" s="18">
        <f>Input!A248</f>
        <v>11068</v>
      </c>
      <c r="B248" s="18" t="str">
        <f>Input!B248</f>
        <v>Geob23225-1_85-86</v>
      </c>
      <c r="C248" s="18">
        <f>Input!O248</f>
        <v>0.96025861015594904</v>
      </c>
      <c r="D248" s="18">
        <f>C248*Input!P248/100</f>
        <v>6.1226846121961113E-3</v>
      </c>
      <c r="E248" s="152">
        <f>Input!M248</f>
        <v>1.1250309779593188</v>
      </c>
      <c r="F248" s="153">
        <f>E248*Input!N248/100</f>
        <v>1.4048854822374857E-3</v>
      </c>
      <c r="G248" s="21">
        <f>E248*137.88</f>
        <v>155.11927124103087</v>
      </c>
      <c r="H248" s="153">
        <f>G248*Input!L248/100</f>
        <v>1.060508618532288E-2</v>
      </c>
      <c r="I248" s="18">
        <v>0.3</v>
      </c>
      <c r="J248" s="129">
        <f>(((C248*Constants!$B$24*0.000000001*Input!G248*(Constants!$B$4/Constants!$B$3))-(I248*0.000000000000001))/Input!F248)*1000000000000</f>
        <v>78.71936025087939</v>
      </c>
      <c r="K248" s="18">
        <f>J248*Input!P248/100</f>
        <v>0.50192084777215096</v>
      </c>
      <c r="L248" s="134">
        <f>(J248/Constants!$B$4)*602200000000*Constants!$B$17/(365.2425*24*60)</f>
        <v>1.0868081715372475</v>
      </c>
      <c r="M248" s="132">
        <f>L248*Input!P248/100</f>
        <v>6.9295745936601757E-3</v>
      </c>
      <c r="N248" s="18">
        <v>5.0000000000000001E-3</v>
      </c>
      <c r="O248" s="129">
        <f>(((G248*Constants!$B$23*0.000000001*Input!G248*(Constants!$B$7/Constants!$B$6))-(N248*0.000000001))/Input!F248)*1000000</f>
        <v>1.2809723990913302</v>
      </c>
      <c r="P248" s="18">
        <f>O248*Input!N248/100</f>
        <v>1.5996177544325421E-3</v>
      </c>
      <c r="Q248" s="130">
        <f>(O248/Constants!$B$7)*602200000000000000*Constants!$B$18/(365.2425*24*60)</f>
        <v>0.95576009798462724</v>
      </c>
      <c r="R248" s="131">
        <f>Q248*Input!N248/100</f>
        <v>1.1935080121936276E-3</v>
      </c>
      <c r="S248" s="132">
        <f>Input!S248*Constants!$B$17/Constants!$B$18</f>
        <v>1.1249522501601221</v>
      </c>
      <c r="T248" s="18">
        <f>S248*Input!T248/100</f>
        <v>2.6377648061104587E-3</v>
      </c>
      <c r="U248" s="18">
        <f>S248*1/((U247+U249)/2)</f>
        <v>1.1237517974903404</v>
      </c>
      <c r="V248" s="18">
        <f>U248*Input!T248/100</f>
        <v>2.6349500094794897E-3</v>
      </c>
      <c r="W248" s="133">
        <v>3.0000000000000001E-3</v>
      </c>
      <c r="X248" s="129">
        <f>IF((((Constants!$B$25*0.000000001*Input!G248/Input!W248*(Constants!$B$11/Constants!$B$9))-(W248*0.000000001))/Input!F248)*1000000000&lt;0, "n.d.", (((Constants!$B$25*0.000000001*Input!G248/Input!W248*(Constants!$B$11/Constants!$B$9))-(W248*0.000000001))/Input!F248)*1000000000)</f>
        <v>2.9557364023043049</v>
      </c>
      <c r="Y248" s="129">
        <f>X248*Input!X248/100</f>
        <v>6.0781868686787081E-3</v>
      </c>
      <c r="Z248" s="129">
        <f>(X248/Constants!$B$11)*6.022E+23*0.000000001*Constants!$B$19/(365.2425*24*60)</f>
        <v>7.2159081100885863E-4</v>
      </c>
      <c r="AA248" s="129">
        <f>Z248*Input!X248/100</f>
        <v>1.483881914711321E-6</v>
      </c>
      <c r="AB248" s="134">
        <v>0.05</v>
      </c>
      <c r="AC248" s="134">
        <v>0.9</v>
      </c>
      <c r="AD248" s="129">
        <f>(((Input!G248*Constants!$B$25*0.000000001*Input!U248*(Constants!$B$10/Constants!$B$9))-((AB248*0.000000000000001)+(Input!G248*AC248*0.000000000000001)))/Input!F248)*1000000000000</f>
        <v>4.7165766302961618</v>
      </c>
      <c r="AE248" s="129">
        <f>AD248*Input!V248/100</f>
        <v>2.134835835096506E-2</v>
      </c>
      <c r="AF248" s="129">
        <f>(AD248/Constants!$B$10)*602200000000*Constants!$B$16/(365.2425*24*60)</f>
        <v>0.2152912931533304</v>
      </c>
      <c r="AG248" s="129">
        <f>AF248*Input!V248/100</f>
        <v>9.7446008754688035E-4</v>
      </c>
      <c r="AH248" s="18">
        <f>AF248/Z248</f>
        <v>298.3564783098206</v>
      </c>
      <c r="AI248" s="133">
        <f>AH248*SQRT((AG248/AF248)^2+(AA248/Z248)^2)</f>
        <v>1.4832742191389454</v>
      </c>
      <c r="AJ248" s="132">
        <f t="shared" si="1355"/>
        <v>123.75179749034038</v>
      </c>
      <c r="AK248" s="133">
        <f>V248*1000</f>
        <v>2.6349500094794895</v>
      </c>
      <c r="AL248" s="133">
        <f>AF248/Q248</f>
        <v>0.2252566241333013</v>
      </c>
      <c r="AM248" s="133">
        <f>AL248*SQRT((R248/Q248)^2+(AG248/AF248)^2)</f>
        <v>1.0576568020641615E-3</v>
      </c>
      <c r="AN248" s="18">
        <f>AL248*1/((AN247+AN249)/2)</f>
        <v>0.22659812583538544</v>
      </c>
      <c r="AO248" s="129">
        <f>AN248*SQRT((R248/Q248)^2+(AG248/AF248)^2)</f>
        <v>1.0639556108368185E-3</v>
      </c>
      <c r="AP248" s="18">
        <f>ThU_Alter_Kombi(AN248,U248)</f>
        <v>24.454499999999999</v>
      </c>
      <c r="AQ248" s="18">
        <f t="shared" si="1361"/>
        <v>0.1414</v>
      </c>
      <c r="AR248" s="154">
        <f>(AQ248/AP248)</f>
        <v>5.7821668813510807E-3</v>
      </c>
      <c r="AS248" s="131">
        <f t="shared" si="1362"/>
        <v>7.5499156381444261E-4</v>
      </c>
      <c r="AT248" s="131">
        <f t="shared" si="1363"/>
        <v>1.8164066089821922E-6</v>
      </c>
      <c r="AU248" s="18">
        <v>8</v>
      </c>
      <c r="AV248" s="18">
        <f>AU248/2</f>
        <v>4</v>
      </c>
      <c r="AW248" s="18">
        <f t="shared" si="1365"/>
        <v>23.871400000000001</v>
      </c>
      <c r="AX248" s="135">
        <f t="shared" si="1366"/>
        <v>0.33140916949999999</v>
      </c>
      <c r="AY248" s="135">
        <f t="shared" si="1367"/>
        <v>0.32613667089692566</v>
      </c>
      <c r="AZ248" s="154">
        <f t="shared" si="1368"/>
        <v>1.3883105703896712E-2</v>
      </c>
      <c r="BA248" s="18" t="str">
        <f>Input!B248</f>
        <v>Geob23225-1_85-86</v>
      </c>
      <c r="BB248" s="136">
        <f>Input!E248</f>
        <v>85.5</v>
      </c>
      <c r="BC248" s="18">
        <f>((U248-1)*EXP(Constants!$B$17*AW248*1000))*1000</f>
        <v>132.37574734902714</v>
      </c>
      <c r="BD248" s="132">
        <f>SQRT((EXP(Constants!$B$17*AW248*1000)*V248)^2+((U248-1)*Constants!$B$17*EXP(Constants!$B$17*AW248*1000)*AY248*1000)^2)*1000</f>
        <v>2.8212050174129426</v>
      </c>
      <c r="BE248" s="18">
        <f t="shared" si="1369"/>
        <v>23813.4</v>
      </c>
      <c r="BF248" s="137">
        <f t="shared" si="1370"/>
        <v>163.06833544846282</v>
      </c>
      <c r="BG248" s="20">
        <f t="shared" si="1371"/>
        <v>1.3662234761971466</v>
      </c>
      <c r="BH248" s="18"/>
      <c r="BI248" s="18"/>
      <c r="BJ248" s="18"/>
      <c r="BK248" s="18"/>
      <c r="BL248" s="18"/>
      <c r="BM248" s="18"/>
      <c r="BN248" s="159"/>
      <c r="BO248" s="18"/>
      <c r="BP248" s="18"/>
      <c r="BQ248" s="18"/>
      <c r="BR248" s="18"/>
      <c r="BS248" s="18"/>
      <c r="BT248" s="18"/>
      <c r="BU248" s="18"/>
      <c r="BV248" s="18"/>
      <c r="BW248" s="18"/>
      <c r="BX248" s="18"/>
      <c r="BY248" s="18"/>
      <c r="BZ248" s="18"/>
      <c r="CA248" s="18"/>
      <c r="CB248" s="18"/>
      <c r="CC248" s="18"/>
      <c r="CD248" s="18"/>
      <c r="CE248" s="18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  <c r="CT248" s="18"/>
      <c r="CU248" s="18"/>
      <c r="CV248" s="18"/>
      <c r="CW248" s="18"/>
      <c r="CX248" s="18"/>
      <c r="CY248" s="18"/>
      <c r="CZ248" s="18"/>
      <c r="DA248" s="18"/>
      <c r="DB248" s="18"/>
      <c r="DC248" s="18"/>
      <c r="DD248" s="18"/>
      <c r="DE248" s="18"/>
      <c r="DF248" s="18"/>
    </row>
    <row r="249" spans="1:110" ht="15" customHeight="1" x14ac:dyDescent="0.2">
      <c r="A249" s="138">
        <f>Input!A249</f>
        <v>10815</v>
      </c>
      <c r="B249" s="138" t="str">
        <f>Input!B249</f>
        <v>Hu1-13</v>
      </c>
      <c r="C249" s="138">
        <f>Input!O249</f>
        <v>2.1328191434850594</v>
      </c>
      <c r="D249" s="138">
        <f>C249*Input!P249/100</f>
        <v>2.2926365214084955E-2</v>
      </c>
      <c r="E249" s="139">
        <f>Input!M249</f>
        <v>2.7331291428665665</v>
      </c>
      <c r="F249" s="140">
        <f>E249*Input!N249/100</f>
        <v>4.4389597714832789E-4</v>
      </c>
      <c r="G249" s="141">
        <f t="shared" ref="G249" si="1381">E249*137.88</f>
        <v>376.8438462184422</v>
      </c>
      <c r="H249" s="140">
        <f>G249*Input!L249/100</f>
        <v>2.6007231643728975E-2</v>
      </c>
      <c r="I249" s="138">
        <v>0</v>
      </c>
      <c r="J249" s="142">
        <f>(((C249*Constants!$B$24*0.000000001*Input!G249*(Constants!$B$4/Constants!$B$3))-(I249*0.000000000000001))/Input!F249)*1000000000000</f>
        <v>770.02778256466343</v>
      </c>
      <c r="K249" s="138">
        <f>J249*Input!P249/100</f>
        <v>8.2772785596919682</v>
      </c>
      <c r="L249" s="143">
        <f>(J249/Constants!$B$4)*602200000000*Constants!$B$17/(365.2425*24*60)</f>
        <v>10.631088511579135</v>
      </c>
      <c r="M249" s="144">
        <f>L249*Input!P249/100</f>
        <v>0.11427702090176471</v>
      </c>
      <c r="N249" s="138">
        <v>0</v>
      </c>
      <c r="O249" s="142">
        <f>(((G249*Constants!$B$23*0.000000001*Input!G249*(Constants!$B$7/Constants!$B$6))-(N249*0.000000001))/Input!F249)*1000000</f>
        <v>13.705512906981776</v>
      </c>
      <c r="P249" s="138">
        <f>O249*Input!N249/100</f>
        <v>2.2259548400932298E-3</v>
      </c>
      <c r="Q249" s="145">
        <f>(O249/Constants!$B$7)*602200000000000000*Constants!$B$18/(365.2425*24*60)</f>
        <v>10.225967685329131</v>
      </c>
      <c r="R249" s="146">
        <f>Q249*Input!N249/100</f>
        <v>1.6608311136024534E-3</v>
      </c>
      <c r="S249" s="144">
        <f>Input!S249*Constants!$B$17/Constants!$B$18</f>
        <v>1.0016764276684664</v>
      </c>
      <c r="T249" s="138">
        <f>S249*Input!T249/100</f>
        <v>1.8380074548345238E-3</v>
      </c>
      <c r="U249" s="144">
        <f>S249</f>
        <v>1.0016764276684664</v>
      </c>
      <c r="V249" s="138">
        <f>U249*Input!T249/100</f>
        <v>1.8380074548345238E-3</v>
      </c>
      <c r="W249" s="147">
        <v>0</v>
      </c>
      <c r="X249" s="142">
        <f>(((Constants!$B$25*0.000000001*Input!G249/Input!W249*(Constants!$B$11/Constants!$B$9))-(W249*0.000000001))/Input!F249)*1000000000</f>
        <v>1.0001106712530927</v>
      </c>
      <c r="Y249" s="142">
        <f>X249*Input!X249/100</f>
        <v>5.8621796366845084E-3</v>
      </c>
      <c r="Z249" s="142">
        <f>(X249/Constants!$B$11)*6.022E+23*0.000000001*Constants!$B$19/(365.2425*24*60)</f>
        <v>2.4415934716151132E-4</v>
      </c>
      <c r="AA249" s="142">
        <f>Z249*Input!X249/100</f>
        <v>1.4311475661418896E-6</v>
      </c>
      <c r="AB249" s="143">
        <v>0</v>
      </c>
      <c r="AC249" s="143">
        <v>0.9</v>
      </c>
      <c r="AD249" s="142">
        <f>(((Input!G249*Constants!$B$25*0.000000001*Input!U249*(Constants!$B$10/Constants!$B$9))-((AB249*0.000000000000001)+(Input!G249*AC249*0.000000000000001)))/Input!F249)*1000000000000</f>
        <v>223.15105725373223</v>
      </c>
      <c r="AE249" s="142">
        <f>AD249*Input!V249/100</f>
        <v>0.76029939380596601</v>
      </c>
      <c r="AF249" s="142">
        <f>(AD249/Constants!$B$10)*602200000000*Constants!$B$16/(365.2425*24*60)</f>
        <v>10.185879176879231</v>
      </c>
      <c r="AG249" s="142">
        <f>AF249*Input!V249/100</f>
        <v>3.4704374063334473E-2</v>
      </c>
      <c r="AH249" s="138">
        <f t="shared" ref="AH249" si="1382">AF249/Z249</f>
        <v>41718.161910636481</v>
      </c>
      <c r="AI249" s="147">
        <f t="shared" ref="AI249" si="1383">AH249*SQRT((AG249/AF249)^2+(AA249/Z249)^2)</f>
        <v>282.84150427674734</v>
      </c>
      <c r="AJ249" s="144">
        <f t="shared" si="1355"/>
        <v>1.6764276684664292</v>
      </c>
      <c r="AK249" s="147">
        <f t="shared" ref="AK249" si="1384">V249*1000</f>
        <v>1.8380074548345238</v>
      </c>
      <c r="AL249" s="147">
        <f t="shared" ref="AL249" si="1385">AF249/Q249</f>
        <v>0.99607973448738607</v>
      </c>
      <c r="AM249" s="147">
        <f t="shared" ref="AM249" si="1386">AL249*SQRT((R249/Q249)^2+(AG249/AF249)^2)</f>
        <v>3.3976032970057671E-3</v>
      </c>
      <c r="AN249" s="138">
        <f>AF249/Q249</f>
        <v>0.99607973448738607</v>
      </c>
      <c r="AO249" s="142">
        <f t="shared" ref="AO249" si="1387">AN249*SQRT((R249/Q249)^2+(AG249/AF249)^2)</f>
        <v>3.3976032970057671E-3</v>
      </c>
      <c r="AP249" s="138">
        <f t="shared" ref="AP249" si="1388">ThU_Alter_Kombi(AN249,U249)</f>
        <v>553.08230000000003</v>
      </c>
      <c r="AQ249" s="138" t="e">
        <f t="shared" si="1361"/>
        <v>#VALUE!</v>
      </c>
      <c r="AR249" s="138" t="e">
        <f>(AQ249/AP249)*100</f>
        <v>#VALUE!</v>
      </c>
      <c r="AS249" s="146">
        <f t="shared" si="1362"/>
        <v>2.3876405116339153E-5</v>
      </c>
      <c r="AT249" s="146">
        <f t="shared" si="1363"/>
        <v>1.4000600107212191E-7</v>
      </c>
      <c r="AU249" s="138">
        <v>0.75</v>
      </c>
      <c r="AV249" s="138">
        <f t="shared" ref="AV249" si="1389">AU249/2</f>
        <v>0.375</v>
      </c>
      <c r="AW249" s="138">
        <f t="shared" si="1365"/>
        <v>553.08040000000005</v>
      </c>
      <c r="AX249" s="148">
        <f t="shared" si="1366"/>
        <v>180.6311972044</v>
      </c>
      <c r="AY249" s="148">
        <f t="shared" si="1367"/>
        <v>73.176559368804121</v>
      </c>
      <c r="AZ249" s="149">
        <f t="shared" si="1368"/>
        <v>0.32659121025514548</v>
      </c>
      <c r="BA249" s="138" t="str">
        <f>Input!B249</f>
        <v>Hu1-13</v>
      </c>
      <c r="BB249" s="150">
        <f>Input!E249</f>
        <v>0</v>
      </c>
      <c r="BC249" s="138">
        <f>((U249-1)*EXP(Constants!$B$17*AW249*1000))*1000</f>
        <v>7.9844125937596715</v>
      </c>
      <c r="BD249" s="144">
        <f>SQRT((EXP(Constants!$B$17*AW249*1000)*V249)^2+((U249-1)*Constants!$B$17*EXP(Constants!$B$17*AW249*1000)*AY249*1000)^2)*1000</f>
        <v>8.9079081009497756</v>
      </c>
      <c r="BE249" s="138">
        <f t="shared" si="1369"/>
        <v>553022.4</v>
      </c>
      <c r="BF249" s="151">
        <f t="shared" si="1370"/>
        <v>36588.279684402063</v>
      </c>
      <c r="BG249" s="160">
        <f t="shared" si="1371"/>
        <v>13.230727281025349</v>
      </c>
      <c r="BH249" s="138"/>
      <c r="BI249" s="18"/>
      <c r="BJ249" s="18"/>
      <c r="BK249" s="18"/>
      <c r="BL249" s="18"/>
      <c r="BM249" s="18"/>
      <c r="BN249" s="159"/>
      <c r="BO249" s="18"/>
      <c r="BP249" s="18"/>
      <c r="BQ249" s="18"/>
      <c r="BR249" s="18"/>
      <c r="BS249" s="18"/>
      <c r="BT249" s="18"/>
      <c r="BU249" s="18"/>
      <c r="BV249" s="18"/>
      <c r="BW249" s="18"/>
      <c r="BX249" s="18"/>
      <c r="BY249" s="18"/>
      <c r="BZ249" s="18"/>
      <c r="CA249" s="18"/>
      <c r="CB249" s="18"/>
      <c r="CC249" s="18"/>
      <c r="CD249" s="18"/>
      <c r="CE249" s="18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  <c r="CT249" s="18"/>
      <c r="CU249" s="18"/>
      <c r="CV249" s="18"/>
      <c r="CW249" s="18"/>
      <c r="CX249" s="18"/>
      <c r="CY249" s="18"/>
      <c r="CZ249" s="18"/>
      <c r="DA249" s="18"/>
      <c r="DB249" s="18"/>
      <c r="DC249" s="18"/>
      <c r="DD249" s="18"/>
      <c r="DE249" s="18"/>
      <c r="DF249" s="18"/>
    </row>
    <row r="250" spans="1:110" ht="15" customHeight="1" x14ac:dyDescent="0.2">
      <c r="A250" s="18">
        <f>Input!A250</f>
        <v>11073</v>
      </c>
      <c r="B250" s="18" t="str">
        <f>Input!B250</f>
        <v>Geob23213-1_8723</v>
      </c>
      <c r="C250" s="18">
        <f>Input!O250</f>
        <v>0.54351491268458252</v>
      </c>
      <c r="D250" s="18">
        <f>C250*Input!P250/100</f>
        <v>3.5611340445824858E-3</v>
      </c>
      <c r="E250" s="152">
        <f>Input!M250</f>
        <v>0.63226444503167079</v>
      </c>
      <c r="F250" s="153">
        <f>E250*Input!N250/100</f>
        <v>6.851714550400409E-5</v>
      </c>
      <c r="G250" s="21">
        <f>E250*137.88</f>
        <v>87.176621680966761</v>
      </c>
      <c r="H250" s="153">
        <f>G250*Input!L250/100</f>
        <v>1.1553165413464262E-2</v>
      </c>
      <c r="I250" s="18">
        <v>0.3</v>
      </c>
      <c r="J250" s="129">
        <f>(((C250*Constants!$B$24*0.000000001*Input!G250*(Constants!$B$4/Constants!$B$3))-(I250*0.000000000000001))/Input!F250)*1000000000000</f>
        <v>31.752149147622173</v>
      </c>
      <c r="K250" s="18">
        <f>J250*Input!P250/100</f>
        <v>0.20804150296401894</v>
      </c>
      <c r="L250" s="134">
        <f>(J250/Constants!$B$4)*602200000000*Constants!$B$17/(365.2425*24*60)</f>
        <v>0.43837367386531473</v>
      </c>
      <c r="M250" s="132">
        <f>L250*Input!P250/100</f>
        <v>2.8722439399862937E-3</v>
      </c>
      <c r="N250" s="18">
        <v>5.0000000000000001E-3</v>
      </c>
      <c r="O250" s="129">
        <f>(((G250*Constants!$B$23*0.000000001*Input!G250*(Constants!$B$7/Constants!$B$6))-(N250*0.000000001))/Input!F250)*1000000</f>
        <v>0.51302824041220429</v>
      </c>
      <c r="P250" s="18">
        <f>O250*Input!N250/100</f>
        <v>5.5595773053829452E-5</v>
      </c>
      <c r="Q250" s="130">
        <f>(O250/Constants!$B$7)*602200000000000000*Constants!$B$18/(365.2425*24*60)</f>
        <v>0.38278101985106844</v>
      </c>
      <c r="R250" s="131">
        <f>Q250*Input!N250/100</f>
        <v>4.1481160358452535E-5</v>
      </c>
      <c r="S250" s="132">
        <f>Input!S250*Constants!$B$17/Constants!$B$18</f>
        <v>1.1375864681683472</v>
      </c>
      <c r="T250" s="18">
        <f>S250*Input!T250/100</f>
        <v>5.8045020678514038E-3</v>
      </c>
      <c r="U250" s="18">
        <f>S250*1/((U249+U251)/2)</f>
        <v>1.1356825784712028</v>
      </c>
      <c r="V250" s="18">
        <f>U250*Input!T250/100</f>
        <v>5.7947875257104188E-3</v>
      </c>
      <c r="W250" s="133">
        <v>3.0000000000000001E-3</v>
      </c>
      <c r="X250" s="129">
        <f>IF((((Constants!$B$25*0.000000001*Input!G250/Input!W250*(Constants!$B$11/Constants!$B$9))-(W250*0.000000001))/Input!F250)*1000000000&lt;0, "n.d.", (((Constants!$B$25*0.000000001*Input!G250/Input!W250*(Constants!$B$11/Constants!$B$9))-(W250*0.000000001))/Input!F250)*1000000000)</f>
        <v>19.967155313767567</v>
      </c>
      <c r="Y250" s="129">
        <f>X250*Input!X250/100</f>
        <v>4.5412018993383992E-2</v>
      </c>
      <c r="Z250" s="129">
        <f>(X250/Constants!$B$11)*6.022E+23*0.000000001*Constants!$B$19/(365.2425*24*60)</f>
        <v>4.8746281248790478E-3</v>
      </c>
      <c r="AA250" s="129">
        <f>Z250*Input!X250/100</f>
        <v>1.10865419492208E-5</v>
      </c>
      <c r="AB250" s="134">
        <v>0.05</v>
      </c>
      <c r="AC250" s="134">
        <v>0.9</v>
      </c>
      <c r="AD250" s="129">
        <f>(((Input!G250*Constants!$B$25*0.000000001*Input!U250*(Constants!$B$10/Constants!$B$9))-((AB250*0.000000000000001)+(Input!G250*AC250*0.000000000000001)))/Input!F250)*1000000000000</f>
        <v>6.2119685089637899</v>
      </c>
      <c r="AE250" s="129">
        <f>AD250*Input!V250/100</f>
        <v>3.6664841923842027E-2</v>
      </c>
      <c r="AF250" s="129">
        <f>(AD250/Constants!$B$10)*602200000000*Constants!$B$16/(365.2425*24*60)</f>
        <v>0.2835494550713159</v>
      </c>
      <c r="AG250" s="129">
        <f>AF250*Input!V250/100</f>
        <v>1.6735912187545098E-3</v>
      </c>
      <c r="AH250" s="18">
        <f>AF250/Z250</f>
        <v>58.168427992309979</v>
      </c>
      <c r="AI250" s="133">
        <f>AH250*SQRT((AG250/AF250)^2+(AA250/Z250)^2)</f>
        <v>0.36793374859062911</v>
      </c>
      <c r="AJ250" s="132">
        <f t="shared" si="1355"/>
        <v>135.68257847120279</v>
      </c>
      <c r="AK250" s="133">
        <f>V250*1000</f>
        <v>5.7947875257104187</v>
      </c>
      <c r="AL250" s="133">
        <f>AF250/Q250</f>
        <v>0.74076153300819014</v>
      </c>
      <c r="AM250" s="133">
        <f>AL250*SQRT((R250/Q250)^2+(AG250/AF250)^2)</f>
        <v>4.3729265368382805E-3</v>
      </c>
      <c r="AN250" s="18">
        <f>AL250*1/((AN249+AN251)/2)</f>
        <v>0.74367694408461116</v>
      </c>
      <c r="AO250" s="129">
        <f>AN250*SQRT((R250/Q250)^2+(AG250/AF250)^2)</f>
        <v>4.3901370396705504E-3</v>
      </c>
      <c r="AP250" s="18">
        <f>ThU_Alter_Kombi(AN250,U250)</f>
        <v>112.51139999999999</v>
      </c>
      <c r="AQ250" s="18">
        <f t="shared" si="1361"/>
        <v>1.7039</v>
      </c>
      <c r="AR250" s="154">
        <f>(AQ250/AP250)</f>
        <v>1.5144243161137449E-2</v>
      </c>
      <c r="AS250" s="131">
        <f t="shared" si="1362"/>
        <v>1.2734769677910511E-2</v>
      </c>
      <c r="AT250" s="131">
        <f t="shared" si="1363"/>
        <v>2.8996003912598782E-5</v>
      </c>
      <c r="AU250" s="18">
        <v>8</v>
      </c>
      <c r="AV250" s="18">
        <f>AU250/2</f>
        <v>4</v>
      </c>
      <c r="AW250" s="18">
        <f t="shared" si="1365"/>
        <v>102.6982</v>
      </c>
      <c r="AX250" s="135">
        <f t="shared" si="1366"/>
        <v>5.3720356095000001</v>
      </c>
      <c r="AY250" s="135">
        <f t="shared" si="1367"/>
        <v>5.3783695044545121</v>
      </c>
      <c r="AZ250" s="154">
        <f t="shared" si="1368"/>
        <v>5.2308955848301142E-2</v>
      </c>
      <c r="BA250" s="18" t="str">
        <f>Input!B250</f>
        <v>Geob23213-1_8723</v>
      </c>
      <c r="BB250" s="136">
        <f>Input!E250</f>
        <v>0</v>
      </c>
      <c r="BC250" s="18">
        <f>((U250-1)*EXP(Constants!$B$17*AW250*1000))*1000</f>
        <v>181.29737850375861</v>
      </c>
      <c r="BD250" s="132">
        <f>SQRT((EXP(Constants!$B$17*AW250*1000)*V250)^2+((U250-1)*Constants!$B$17*EXP(Constants!$B$17*AW250*1000)*AY250*1000)^2)*1000</f>
        <v>8.2173577329701857</v>
      </c>
      <c r="BE250" s="18">
        <f t="shared" si="1369"/>
        <v>102640.2</v>
      </c>
      <c r="BF250" s="137">
        <f t="shared" si="1370"/>
        <v>2689.184752227256</v>
      </c>
      <c r="BG250" s="20">
        <f t="shared" si="1371"/>
        <v>5.2370630687339332</v>
      </c>
      <c r="BH250" s="18"/>
      <c r="BI250" s="18"/>
      <c r="BJ250" s="18"/>
      <c r="BK250" s="18"/>
      <c r="BL250" s="18"/>
      <c r="BM250" s="18"/>
      <c r="BN250" s="159"/>
      <c r="BO250" s="18"/>
      <c r="BP250" s="18"/>
      <c r="BQ250" s="18"/>
      <c r="BR250" s="18"/>
      <c r="BS250" s="18"/>
      <c r="BT250" s="18"/>
      <c r="BU250" s="18"/>
      <c r="BV250" s="18"/>
      <c r="BW250" s="18"/>
      <c r="BX250" s="18"/>
      <c r="BY250" s="18"/>
      <c r="BZ250" s="18"/>
      <c r="CA250" s="18"/>
      <c r="CB250" s="18"/>
      <c r="CC250" s="18"/>
      <c r="CD250" s="18"/>
      <c r="CE250" s="18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  <c r="CT250" s="18"/>
      <c r="CU250" s="18"/>
      <c r="CV250" s="18"/>
      <c r="CW250" s="18"/>
      <c r="CX250" s="18"/>
      <c r="CY250" s="18"/>
      <c r="CZ250" s="18"/>
      <c r="DA250" s="18"/>
      <c r="DB250" s="18"/>
      <c r="DC250" s="18"/>
      <c r="DD250" s="18"/>
      <c r="DE250" s="18"/>
      <c r="DF250" s="18"/>
    </row>
    <row r="251" spans="1:110" ht="15" customHeight="1" x14ac:dyDescent="0.2">
      <c r="A251" s="138">
        <f>Input!A251</f>
        <v>10815</v>
      </c>
      <c r="B251" s="138" t="str">
        <f>Input!B251</f>
        <v>Hu1-13</v>
      </c>
      <c r="C251" s="138">
        <f>Input!O251</f>
        <v>2.1328191434850594</v>
      </c>
      <c r="D251" s="138">
        <f>C251*Input!P251/100</f>
        <v>2.2926365214084955E-2</v>
      </c>
      <c r="E251" s="139">
        <f>Input!M251</f>
        <v>2.7331291428665665</v>
      </c>
      <c r="F251" s="140">
        <f>E251*Input!N251/100</f>
        <v>4.4389597714832789E-4</v>
      </c>
      <c r="G251" s="141">
        <f t="shared" ref="G251" si="1390">E251*137.88</f>
        <v>376.8438462184422</v>
      </c>
      <c r="H251" s="140">
        <f>G251*Input!L251/100</f>
        <v>2.6007231643728975E-2</v>
      </c>
      <c r="I251" s="138">
        <v>0</v>
      </c>
      <c r="J251" s="142">
        <f>(((C251*Constants!$B$24*0.000000001*Input!G251*(Constants!$B$4/Constants!$B$3))-(I251*0.000000000000001))/Input!F251)*1000000000000</f>
        <v>770.02778256466343</v>
      </c>
      <c r="K251" s="138">
        <f>J251*Input!P251/100</f>
        <v>8.2772785596919682</v>
      </c>
      <c r="L251" s="143">
        <f>(J251/Constants!$B$4)*602200000000*Constants!$B$17/(365.2425*24*60)</f>
        <v>10.631088511579135</v>
      </c>
      <c r="M251" s="144">
        <f>L251*Input!P251/100</f>
        <v>0.11427702090176471</v>
      </c>
      <c r="N251" s="138">
        <v>0</v>
      </c>
      <c r="O251" s="142">
        <f>(((G251*Constants!$B$23*0.000000001*Input!G251*(Constants!$B$7/Constants!$B$6))-(N251*0.000000001))/Input!F251)*1000000</f>
        <v>13.705512906981776</v>
      </c>
      <c r="P251" s="138">
        <f>O251*Input!N251/100</f>
        <v>2.2259548400932298E-3</v>
      </c>
      <c r="Q251" s="145">
        <f>(O251/Constants!$B$7)*602200000000000000*Constants!$B$18/(365.2425*24*60)</f>
        <v>10.225967685329131</v>
      </c>
      <c r="R251" s="146">
        <f>Q251*Input!N251/100</f>
        <v>1.6608311136024534E-3</v>
      </c>
      <c r="S251" s="144">
        <f>Input!S251*Constants!$B$17/Constants!$B$18</f>
        <v>1.0016764276684664</v>
      </c>
      <c r="T251" s="138">
        <f>S251*Input!T251/100</f>
        <v>1.8380074548345238E-3</v>
      </c>
      <c r="U251" s="144">
        <f>S251</f>
        <v>1.0016764276684664</v>
      </c>
      <c r="V251" s="138">
        <f>U251*Input!T251/100</f>
        <v>1.8380074548345238E-3</v>
      </c>
      <c r="W251" s="147">
        <v>0</v>
      </c>
      <c r="X251" s="142">
        <f>(((Constants!$B$25*0.000000001*Input!G251/Input!W251*(Constants!$B$11/Constants!$B$9))-(W251*0.000000001))/Input!F251)*1000000000</f>
        <v>1.0001106712530927</v>
      </c>
      <c r="Y251" s="142">
        <f>X251*Input!X251/100</f>
        <v>5.8621796366845084E-3</v>
      </c>
      <c r="Z251" s="142">
        <f>(X251/Constants!$B$11)*6.022E+23*0.000000001*Constants!$B$19/(365.2425*24*60)</f>
        <v>2.4415934716151132E-4</v>
      </c>
      <c r="AA251" s="142">
        <f>Z251*Input!X251/100</f>
        <v>1.4311475661418896E-6</v>
      </c>
      <c r="AB251" s="143">
        <v>0</v>
      </c>
      <c r="AC251" s="143">
        <v>0.9</v>
      </c>
      <c r="AD251" s="142">
        <f>(((Input!G251*Constants!$B$25*0.000000001*Input!U251*(Constants!$B$10/Constants!$B$9))-((AB251*0.000000000000001)+(Input!G251*AC251*0.000000000000001)))/Input!F251)*1000000000000</f>
        <v>223.15105725373223</v>
      </c>
      <c r="AE251" s="142">
        <f>AD251*Input!V251/100</f>
        <v>0.76029939380596601</v>
      </c>
      <c r="AF251" s="142">
        <f>(AD251/Constants!$B$10)*602200000000*Constants!$B$16/(365.2425*24*60)</f>
        <v>10.185879176879231</v>
      </c>
      <c r="AG251" s="142">
        <f>AF251*Input!V251/100</f>
        <v>3.4704374063334473E-2</v>
      </c>
      <c r="AH251" s="138">
        <f t="shared" ref="AH251" si="1391">AF251/Z251</f>
        <v>41718.161910636481</v>
      </c>
      <c r="AI251" s="147">
        <f t="shared" ref="AI251" si="1392">AH251*SQRT((AG251/AF251)^2+(AA251/Z251)^2)</f>
        <v>282.84150427674734</v>
      </c>
      <c r="AJ251" s="144">
        <f t="shared" si="1355"/>
        <v>1.6764276684664292</v>
      </c>
      <c r="AK251" s="147">
        <f t="shared" ref="AK251" si="1393">V251*1000</f>
        <v>1.8380074548345238</v>
      </c>
      <c r="AL251" s="147">
        <f t="shared" ref="AL251" si="1394">AF251/Q251</f>
        <v>0.99607973448738607</v>
      </c>
      <c r="AM251" s="147">
        <f t="shared" ref="AM251" si="1395">AL251*SQRT((R251/Q251)^2+(AG251/AF251)^2)</f>
        <v>3.3976032970057671E-3</v>
      </c>
      <c r="AN251" s="138">
        <f>AF251/Q251</f>
        <v>0.99607973448738607</v>
      </c>
      <c r="AO251" s="142">
        <f t="shared" ref="AO251" si="1396">AN251*SQRT((R251/Q251)^2+(AG251/AF251)^2)</f>
        <v>3.3976032970057671E-3</v>
      </c>
      <c r="AP251" s="138">
        <f t="shared" ref="AP251" si="1397">ThU_Alter_Kombi(AN251,U251)</f>
        <v>553.08230000000003</v>
      </c>
      <c r="AQ251" s="138" t="e">
        <f t="shared" si="1361"/>
        <v>#VALUE!</v>
      </c>
      <c r="AR251" s="138" t="e">
        <f>(AQ251/AP251)*100</f>
        <v>#VALUE!</v>
      </c>
      <c r="AS251" s="146">
        <f t="shared" si="1362"/>
        <v>2.3876405116339153E-5</v>
      </c>
      <c r="AT251" s="146">
        <f t="shared" si="1363"/>
        <v>1.4000600107212191E-7</v>
      </c>
      <c r="AU251" s="138">
        <v>0.75</v>
      </c>
      <c r="AV251" s="138">
        <f t="shared" ref="AV251" si="1398">AU251/2</f>
        <v>0.375</v>
      </c>
      <c r="AW251" s="138">
        <f t="shared" si="1365"/>
        <v>553.08040000000005</v>
      </c>
      <c r="AX251" s="148">
        <f t="shared" si="1366"/>
        <v>167.90717763379999</v>
      </c>
      <c r="AY251" s="148">
        <f t="shared" si="1367"/>
        <v>73.176559368804121</v>
      </c>
      <c r="AZ251" s="149">
        <f t="shared" si="1368"/>
        <v>0.30358547804948427</v>
      </c>
      <c r="BA251" s="138" t="str">
        <f>Input!B251</f>
        <v>Hu1-13</v>
      </c>
      <c r="BB251" s="150">
        <f>Input!E251</f>
        <v>0</v>
      </c>
      <c r="BC251" s="138">
        <f>((U251-1)*EXP(Constants!$B$17*AW251*1000))*1000</f>
        <v>7.9844125937596715</v>
      </c>
      <c r="BD251" s="144">
        <f>SQRT((EXP(Constants!$B$17*AW251*1000)*V251)^2+((U251-1)*Constants!$B$17*EXP(Constants!$B$17*AW251*1000)*AY251*1000)^2)*1000</f>
        <v>8.9079081009497756</v>
      </c>
      <c r="BE251" s="138">
        <f t="shared" si="1369"/>
        <v>553022.4</v>
      </c>
      <c r="BF251" s="151">
        <f t="shared" si="1370"/>
        <v>36588.279684402063</v>
      </c>
      <c r="BG251" s="160">
        <f t="shared" si="1371"/>
        <v>13.230727281025349</v>
      </c>
      <c r="BH251" s="138"/>
      <c r="BI251" s="18"/>
      <c r="BJ251" s="18"/>
      <c r="BK251" s="18"/>
      <c r="BL251" s="18"/>
      <c r="BM251" s="18"/>
      <c r="BN251" s="159"/>
      <c r="BO251" s="18"/>
      <c r="BP251" s="18"/>
      <c r="BQ251" s="18"/>
      <c r="BR251" s="18"/>
      <c r="BS251" s="18"/>
      <c r="BT251" s="18"/>
      <c r="BU251" s="18"/>
      <c r="BV251" s="18"/>
      <c r="BW251" s="18"/>
      <c r="BX251" s="18"/>
      <c r="BY251" s="18"/>
      <c r="BZ251" s="18"/>
      <c r="CA251" s="18"/>
      <c r="CB251" s="18"/>
      <c r="CC251" s="18"/>
      <c r="CD251" s="18"/>
      <c r="CE251" s="18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  <c r="CT251" s="18"/>
      <c r="CU251" s="18"/>
      <c r="CV251" s="18"/>
      <c r="CW251" s="18"/>
      <c r="CX251" s="18"/>
      <c r="CY251" s="18"/>
      <c r="CZ251" s="18"/>
      <c r="DA251" s="18"/>
      <c r="DB251" s="18"/>
      <c r="DC251" s="18"/>
      <c r="DD251" s="18"/>
      <c r="DE251" s="18"/>
      <c r="DF251" s="18"/>
    </row>
    <row r="253" spans="1:110" ht="15" customHeight="1" x14ac:dyDescent="0.2">
      <c r="A253" s="138">
        <f>Input!A253</f>
        <v>10815</v>
      </c>
      <c r="B253" s="138" t="str">
        <f>Input!B253</f>
        <v>Hu1-13</v>
      </c>
      <c r="C253" s="138">
        <f>Input!O253</f>
        <v>1.9675023508367928</v>
      </c>
      <c r="D253" s="138">
        <f>C253*Input!P253/100</f>
        <v>5.071353898851317E-2</v>
      </c>
      <c r="E253" s="139">
        <f>Input!M253</f>
        <v>2.7322052545620505</v>
      </c>
      <c r="F253" s="140">
        <f>E253*Input!N253/100</f>
        <v>6.3304310511499051E-4</v>
      </c>
      <c r="G253" s="141">
        <f t="shared" ref="G253" si="1399">E253*137.88</f>
        <v>376.71646049901551</v>
      </c>
      <c r="H253" s="140">
        <f>G253*Input!L253/100</f>
        <v>5.5711397199581236E-2</v>
      </c>
      <c r="I253" s="138">
        <v>0</v>
      </c>
      <c r="J253" s="142">
        <f>(((C253*Constants!$B$24*0.000000001*Input!G253*(Constants!$B$4/Constants!$B$3))-(I253*0.000000000000001))/Input!F253)*1000000000000</f>
        <v>710.34221398164743</v>
      </c>
      <c r="K253" s="138">
        <f>J253*Input!P253/100</f>
        <v>18.309491497493656</v>
      </c>
      <c r="L253" s="143">
        <f>(J253/Constants!$B$4)*602200000000*Constants!$B$17/(365.2425*24*60)</f>
        <v>9.8070629675180836</v>
      </c>
      <c r="M253" s="144">
        <f>L253*Input!P253/100</f>
        <v>0.25278285942301676</v>
      </c>
      <c r="N253" s="138">
        <v>0</v>
      </c>
      <c r="O253" s="142">
        <f>(((G253*Constants!$B$23*0.000000001*Input!G253*(Constants!$B$7/Constants!$B$6))-(N253*0.000000001))/Input!F253)*1000000</f>
        <v>13.70087998902574</v>
      </c>
      <c r="P253" s="138">
        <f>O253*Input!N253/100</f>
        <v>3.1744495024957193E-3</v>
      </c>
      <c r="Q253" s="145">
        <f>(O253/Constants!$B$7)*602200000000000000*Constants!$B$18/(365.2425*24*60)</f>
        <v>10.222510969069861</v>
      </c>
      <c r="R253" s="146">
        <f>Q253*Input!N253/100</f>
        <v>2.3685226705155897E-3</v>
      </c>
      <c r="S253" s="144">
        <f>Input!S253*Constants!$B$17/Constants!$B$18</f>
        <v>0.97227753509256709</v>
      </c>
      <c r="T253" s="138">
        <f>S253*Input!T253/100</f>
        <v>1.653942301291554E-3</v>
      </c>
      <c r="U253" s="144">
        <f>S253</f>
        <v>0.97227753509256709</v>
      </c>
      <c r="V253" s="138">
        <f>U253*Input!T253/100</f>
        <v>1.653942301291554E-3</v>
      </c>
      <c r="W253" s="147">
        <v>0</v>
      </c>
      <c r="X253" s="142">
        <f>(((Constants!$B$25*0.000000001*Input!G253/Input!W253*(Constants!$B$11/Constants!$B$9))-(W253*0.000000001))/Input!F253)*1000000000</f>
        <v>0.92225250306533757</v>
      </c>
      <c r="Y253" s="142">
        <f>X253*Input!X253/100</f>
        <v>1.4879319460701807E-2</v>
      </c>
      <c r="Z253" s="142">
        <f>(X253/Constants!$B$11)*6.022E+23*0.000000001*Constants!$B$19/(365.2425*24*60)</f>
        <v>2.2515165125112262E-4</v>
      </c>
      <c r="AA253" s="142">
        <f>Z253*Input!X253/100</f>
        <v>3.6325229098701997E-6</v>
      </c>
      <c r="AB253" s="143">
        <v>0</v>
      </c>
      <c r="AC253" s="143">
        <v>0.9</v>
      </c>
      <c r="AD253" s="142">
        <f>(((Input!G253*Constants!$B$25*0.000000001*Input!U253*(Constants!$B$10/Constants!$B$9))-((AB253*0.000000000000001)+(Input!G253*AC253*0.000000000000001)))/Input!F253)*1000000000000</f>
        <v>223.02675318610977</v>
      </c>
      <c r="AE253" s="142">
        <f>AD253*Input!V253/100</f>
        <v>1.1903777580850943</v>
      </c>
      <c r="AF253" s="142">
        <f>(AD253/Constants!$B$10)*602200000000*Constants!$B$16/(365.2425*24*60)</f>
        <v>10.180205234619763</v>
      </c>
      <c r="AG253" s="142">
        <f>AF253*Input!V253/100</f>
        <v>5.433558849292143E-2</v>
      </c>
      <c r="AH253" s="138">
        <f t="shared" ref="AH253" si="1400">AF253/Z253</f>
        <v>45214.881516748384</v>
      </c>
      <c r="AI253" s="147">
        <f t="shared" ref="AI253" si="1401">AH253*SQRT((AG253/AF253)^2+(AA253/Z253)^2)</f>
        <v>768.36430511354081</v>
      </c>
      <c r="AJ253" s="144">
        <f t="shared" ref="AJ253:AJ259" si="1402">(U253-1)*1000</f>
        <v>-27.722464907432908</v>
      </c>
      <c r="AK253" s="147">
        <f t="shared" ref="AK253" si="1403">V253*1000</f>
        <v>1.653942301291554</v>
      </c>
      <c r="AL253" s="147">
        <f t="shared" ref="AL253" si="1404">AF253/Q253</f>
        <v>0.99586151244267662</v>
      </c>
      <c r="AM253" s="147">
        <f t="shared" ref="AM253" si="1405">AL253*SQRT((R253/Q253)^2+(AG253/AF253)^2)</f>
        <v>5.3202936994623641E-3</v>
      </c>
      <c r="AN253" s="138">
        <f>AF253/Q253</f>
        <v>0.99586151244267662</v>
      </c>
      <c r="AO253" s="142">
        <f t="shared" ref="AO253" si="1406">AN253*SQRT((R253/Q253)^2+(AG253/AF253)^2)</f>
        <v>5.3202936994623641E-3</v>
      </c>
      <c r="AP253" s="138" t="str">
        <f t="shared" ref="AP253" si="1407">ThU_Alter_Kombi(AN253,U253)</f>
        <v>Out of range</v>
      </c>
      <c r="AQ253" s="138" t="e">
        <f t="shared" ref="AQ253:AQ259" si="1408">Montealter(AN253,AO253,U253,V253)</f>
        <v>#VALUE!</v>
      </c>
      <c r="AR253" s="138" t="e">
        <f>(AQ253/AP253)*100</f>
        <v>#VALUE!</v>
      </c>
      <c r="AS253" s="146">
        <f t="shared" ref="AS253:AS259" si="1409">Z253/Q253</f>
        <v>2.2025082871748587E-5</v>
      </c>
      <c r="AT253" s="146">
        <f t="shared" ref="AT253:AT259" si="1410">AS253*SQRT((Y253/X253)^2+(P253/O253)^2)</f>
        <v>3.5538210600162827E-7</v>
      </c>
      <c r="AU253" s="138">
        <v>0.75</v>
      </c>
      <c r="AV253" s="138">
        <f t="shared" ref="AV253" si="1411">AU253/2</f>
        <v>0.375</v>
      </c>
      <c r="AW253" s="138" t="str">
        <f t="shared" ref="AW253:AW259" si="1412">marincorr_age(AN253,U253,AS253,AU253)</f>
        <v>Out of range</v>
      </c>
      <c r="AX253" s="148">
        <f t="shared" ref="AX253:AX259" si="1413">marincorr_age_error(AN253, AO253, U253, V253, AS253, AT253, AU253, AV253)</f>
        <v>0</v>
      </c>
      <c r="AY253" s="148" t="e">
        <f t="shared" ref="AY253:AY259" si="1414">SQRT(((AU253*EXP(-0.0000091577*AW253*1000))/(0.0000091577*(EXP(-0.0000091577*AW253*1000)+(AJ253/1000)*EXP(-(0.0000091577-0.0000028263)*AW253*1000)-AS253*AU253*EXP(-0.0000091577*AW253*1000))))^2*AT253^2+((AS253*EXP(-0.0000091577*AW253*1000))/(0.0000091577*(EXP(-0.0000091577*AW253*1000)+(AJ253/1000)*EXP(-(0.0000091577-0.0000028263)*AW253*1000)-AS253*AU253*EXP(-0.0000091577*AW253*1000))))^2*AV253^2+((0.0000091577/(0.0000091577-0.0000028263))*(EXP(-(0.0000091577-0.0000028263)*AW253*1000)-1)/(0.0000091577*(EXP(-0.0000091577*AW253*1000)+(AJ253/1000)*EXP(-(0.0000091577-0.0000028263)*AW253*1000)-AS253*AU253*EXP(-0.0000091577*AW253*1000))))^2*T253^2+(1/(0.0000091577*(EXP(-0.0000091577*AW253*1000)+(AJ253/1000)*EXP(-(0.0000091577-0.0000028263)*AW253*1000)-AS253*AU253*EXP(-0.0000091577*AW253*1000))))^2*AO253^2)/1000</f>
        <v>#VALUE!</v>
      </c>
      <c r="AZ253" s="149" t="e">
        <f t="shared" ref="AZ253:AZ259" si="1415">AX253/AW253</f>
        <v>#VALUE!</v>
      </c>
      <c r="BA253" s="138" t="str">
        <f>Input!B253</f>
        <v>Hu1-13</v>
      </c>
      <c r="BB253" s="150">
        <f>Input!E253</f>
        <v>0</v>
      </c>
      <c r="BC253" s="138" t="e">
        <f>((U253-1)*EXP(Constants!$B$17*AW253*1000))*1000</f>
        <v>#VALUE!</v>
      </c>
      <c r="BD253" s="144" t="e">
        <f>SQRT((EXP(Constants!$B$17*AW253*1000)*V253)^2+((U253-1)*Constants!$B$17*EXP(Constants!$B$17*AW253*1000)*AY253*1000)^2)*1000</f>
        <v>#VALUE!</v>
      </c>
      <c r="BE253" s="138" t="e">
        <f t="shared" ref="BE253:BE259" si="1416">AW253*1000-58</f>
        <v>#VALUE!</v>
      </c>
      <c r="BF253" s="151" t="e">
        <f t="shared" ref="BF253:BF259" si="1417">AY253/2*1000</f>
        <v>#VALUE!</v>
      </c>
      <c r="BG253" s="160" t="e">
        <f t="shared" ref="BG253:BG259" si="1418">AY253/AW253*100</f>
        <v>#VALUE!</v>
      </c>
      <c r="BH253" s="138"/>
      <c r="BI253" s="18"/>
      <c r="BJ253" s="18"/>
      <c r="BK253" s="18"/>
      <c r="BL253" s="18"/>
      <c r="BM253" s="18"/>
      <c r="BN253" s="159"/>
      <c r="BO253" s="18"/>
      <c r="BP253" s="18"/>
      <c r="BQ253" s="18"/>
      <c r="BR253" s="18"/>
      <c r="BS253" s="18"/>
      <c r="BT253" s="18"/>
      <c r="BU253" s="18"/>
      <c r="BV253" s="18"/>
      <c r="BW253" s="18"/>
      <c r="BX253" s="18"/>
      <c r="BY253" s="18"/>
      <c r="BZ253" s="18"/>
      <c r="CA253" s="18"/>
      <c r="CB253" s="18"/>
      <c r="CC253" s="18"/>
      <c r="CD253" s="18"/>
      <c r="CE253" s="1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  <c r="CY253" s="18"/>
      <c r="CZ253" s="18"/>
      <c r="DA253" s="18"/>
      <c r="DB253" s="18"/>
      <c r="DC253" s="18"/>
      <c r="DD253" s="18"/>
      <c r="DE253" s="18"/>
      <c r="DF253" s="18"/>
    </row>
    <row r="254" spans="1:110" ht="15" customHeight="1" x14ac:dyDescent="0.2">
      <c r="A254" s="18">
        <f>Input!A254</f>
        <v>11069</v>
      </c>
      <c r="B254" s="18" t="str">
        <f>Input!B254</f>
        <v>Geob23225-1_62-63</v>
      </c>
      <c r="C254" s="18">
        <f>Input!O254</f>
        <v>0.17221527069100745</v>
      </c>
      <c r="D254" s="18">
        <f>C254*Input!P254/100</f>
        <v>5.7674591622114369E-4</v>
      </c>
      <c r="E254" s="152">
        <f>Input!M254</f>
        <v>0.2087539762195596</v>
      </c>
      <c r="F254" s="153">
        <f>E254*Input!N254/100</f>
        <v>7.2338850997921312E-5</v>
      </c>
      <c r="G254" s="21">
        <f>E254*137.88</f>
        <v>28.782998241152878</v>
      </c>
      <c r="H254" s="153">
        <f>G254*Input!L254/100</f>
        <v>6.6099284830995709E-3</v>
      </c>
      <c r="I254" s="18">
        <v>0.3</v>
      </c>
      <c r="J254" s="129">
        <f>(((C254*Constants!$B$24*0.000000001*Input!G254*(Constants!$B$4/Constants!$B$3))-(I254*0.000000000000001))/Input!F254)*1000000000000</f>
        <v>10.072271564559248</v>
      </c>
      <c r="K254" s="18">
        <f>J254*Input!P254/100</f>
        <v>3.3731860529097851E-2</v>
      </c>
      <c r="L254" s="134">
        <f>(J254/Constants!$B$4)*602200000000*Constants!$B$17/(365.2425*24*60)</f>
        <v>0.13905889234132796</v>
      </c>
      <c r="M254" s="132">
        <f>L254*Input!P254/100</f>
        <v>4.6570578758951169E-4</v>
      </c>
      <c r="N254" s="18">
        <v>5.0000000000000001E-3</v>
      </c>
      <c r="O254" s="129">
        <f>(((G254*Constants!$B$23*0.000000001*Input!G254*(Constants!$B$7/Constants!$B$6))-(N254*0.000000001))/Input!F254)*1000000</f>
        <v>0.16958023858002766</v>
      </c>
      <c r="P254" s="18">
        <f>O254*Input!N254/100</f>
        <v>5.8764100368226495E-5</v>
      </c>
      <c r="Q254" s="130">
        <f>(O254/Constants!$B$7)*602200000000000000*Constants!$B$18/(365.2425*24*60)</f>
        <v>0.12652733623025389</v>
      </c>
      <c r="R254" s="131">
        <f>Q254*Input!N254/100</f>
        <v>4.3845115137340483E-5</v>
      </c>
      <c r="S254" s="132">
        <f>Input!S254*Constants!$B$17/Constants!$B$18</f>
        <v>1.0889970008683612</v>
      </c>
      <c r="T254" s="18">
        <f>S254*Input!T254/100</f>
        <v>1.7027711160737514E-3</v>
      </c>
      <c r="U254" s="18">
        <f>S254*1/((U253+U255)/2)</f>
        <v>1.1192650965035211</v>
      </c>
      <c r="V254" s="18">
        <f>U254*Input!T254/100</f>
        <v>1.7500987385970558E-3</v>
      </c>
      <c r="W254" s="133">
        <v>3.0000000000000001E-3</v>
      </c>
      <c r="X254" s="129">
        <f>IF((((Constants!$B$25*0.000000001*Input!G254/Input!W254*(Constants!$B$11/Constants!$B$9))-(W254*0.000000001))/Input!F254)*1000000000&lt;0, "n.d.", (((Constants!$B$25*0.000000001*Input!G254/Input!W254*(Constants!$B$11/Constants!$B$9))-(W254*0.000000001))/Input!F254)*1000000000)</f>
        <v>3.2572529050634048E-2</v>
      </c>
      <c r="Y254" s="129">
        <f>X254*Input!X254/100</f>
        <v>1.4944872340091889E-4</v>
      </c>
      <c r="Z254" s="129">
        <f>(X254/Constants!$B$11)*6.022E+23*0.000000001*Constants!$B$19/(365.2425*24*60)</f>
        <v>7.9520073697819539E-6</v>
      </c>
      <c r="AA254" s="129">
        <f>Z254*Input!X254/100</f>
        <v>3.6485264869707077E-8</v>
      </c>
      <c r="AB254" s="134">
        <v>0.05</v>
      </c>
      <c r="AC254" s="134">
        <v>0.9</v>
      </c>
      <c r="AD254" s="129">
        <f>(((Input!G254*Constants!$B$25*0.000000001*Input!U254*(Constants!$B$10/Constants!$B$9))-((AB254*0.000000000000001)+(Input!G254*AC254*0.000000000000001)))/Input!F254)*1000000000000</f>
        <v>0.9644241646559768</v>
      </c>
      <c r="AE254" s="129">
        <f>AD254*Input!V254/100</f>
        <v>4.8678597163469891E-3</v>
      </c>
      <c r="AF254" s="129">
        <f>(AD254/Constants!$B$10)*602200000000*Constants!$B$16/(365.2425*24*60)</f>
        <v>4.4021785678921142E-2</v>
      </c>
      <c r="AG254" s="129">
        <f>AF254*Input!V254/100</f>
        <v>2.2219671074347441E-4</v>
      </c>
      <c r="AH254" s="18">
        <f>AF254/Z254</f>
        <v>5535.9337123109626</v>
      </c>
      <c r="AI254" s="133">
        <f>AH254*SQRT((AG254/AF254)^2+(AA254/Z254)^2)</f>
        <v>37.761371805967158</v>
      </c>
      <c r="AJ254" s="132">
        <f t="shared" si="1402"/>
        <v>119.26509650352114</v>
      </c>
      <c r="AK254" s="133">
        <f>V254*1000</f>
        <v>1.7500987385970557</v>
      </c>
      <c r="AL254" s="133">
        <f>AF254/Q254</f>
        <v>0.34792312073029413</v>
      </c>
      <c r="AM254" s="133">
        <f>AL254*SQRT((R254/Q254)^2+(AG254/AF254)^2)</f>
        <v>1.7602500149380056E-3</v>
      </c>
      <c r="AN254" s="18">
        <f>AL254*1/((AN253+AN255)/2)</f>
        <v>0.34947921743095994</v>
      </c>
      <c r="AO254" s="129">
        <f>AN254*SQRT((R254/Q254)^2+(AG254/AF254)^2)</f>
        <v>1.7681227864711033E-3</v>
      </c>
      <c r="AP254" s="18">
        <f>ThU_Alter_Kombi(AN254,U254)</f>
        <v>40.525700000000001</v>
      </c>
      <c r="AQ254" s="18">
        <f t="shared" si="1408"/>
        <v>0.2697</v>
      </c>
      <c r="AR254" s="154">
        <f>(AQ254/AP254)</f>
        <v>6.6550361869134895E-3</v>
      </c>
      <c r="AS254" s="131">
        <f t="shared" si="1409"/>
        <v>6.2848137064317285E-5</v>
      </c>
      <c r="AT254" s="131">
        <f t="shared" si="1410"/>
        <v>2.8918000657502988E-7</v>
      </c>
      <c r="AU254" s="18">
        <v>8</v>
      </c>
      <c r="AV254" s="18">
        <f>AU254/2</f>
        <v>4</v>
      </c>
      <c r="AW254" s="18">
        <f t="shared" si="1412"/>
        <v>40.4773</v>
      </c>
      <c r="AX254" s="135">
        <f t="shared" si="1413"/>
        <v>0.28119051280000001</v>
      </c>
      <c r="AY254" s="135">
        <f t="shared" si="1414"/>
        <v>0.25990988009633181</v>
      </c>
      <c r="AZ254" s="154">
        <f t="shared" si="1415"/>
        <v>6.9468693020532501E-3</v>
      </c>
      <c r="BA254" s="18" t="str">
        <f>Input!B254</f>
        <v>Geob23225-1_62-63</v>
      </c>
      <c r="BB254" s="136">
        <f>Input!E254</f>
        <v>62.5</v>
      </c>
      <c r="BC254" s="18">
        <f>((U254-1)*EXP(Constants!$B$17*AW254*1000))*1000</f>
        <v>133.69727285577807</v>
      </c>
      <c r="BD254" s="132">
        <f>SQRT((EXP(Constants!$B$17*AW254*1000)*V254)^2+((U254-1)*Constants!$B$17*EXP(Constants!$B$17*AW254*1000)*AY254*1000)^2)*1000</f>
        <v>1.9643261701656964</v>
      </c>
      <c r="BE254" s="18">
        <f t="shared" si="1416"/>
        <v>40419.300000000003</v>
      </c>
      <c r="BF254" s="137">
        <f t="shared" si="1417"/>
        <v>129.95494004816589</v>
      </c>
      <c r="BG254" s="20">
        <f t="shared" si="1418"/>
        <v>0.64211269056071385</v>
      </c>
      <c r="BH254" s="18"/>
      <c r="BI254" s="18"/>
      <c r="BJ254" s="18"/>
      <c r="BK254" s="18"/>
      <c r="BL254" s="18"/>
      <c r="BM254" s="18"/>
      <c r="BN254" s="159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</row>
    <row r="255" spans="1:110" ht="15" customHeight="1" x14ac:dyDescent="0.2">
      <c r="A255" s="138">
        <f>Input!A255</f>
        <v>10815</v>
      </c>
      <c r="B255" s="138" t="str">
        <f>Input!B255</f>
        <v>Hu1-13</v>
      </c>
      <c r="C255" s="138">
        <f>Input!O255</f>
        <v>2.0322523526340999</v>
      </c>
      <c r="D255" s="138">
        <f>C255*Input!P255/100</f>
        <v>6.1116385628788114E-2</v>
      </c>
      <c r="E255" s="139">
        <f>Input!M255</f>
        <v>2.7326512436170121</v>
      </c>
      <c r="F255" s="140">
        <f>E255*Input!N255/100</f>
        <v>7.749394864217193E-4</v>
      </c>
      <c r="G255" s="141">
        <f t="shared" ref="G255" si="1419">E255*137.88</f>
        <v>376.7779534699136</v>
      </c>
      <c r="H255" s="140">
        <f>G255*Input!L255/100</f>
        <v>4.6770969883318303E-2</v>
      </c>
      <c r="I255" s="138">
        <v>0</v>
      </c>
      <c r="J255" s="142">
        <f>(((C255*Constants!$B$24*0.000000001*Input!G255*(Constants!$B$4/Constants!$B$3))-(I255*0.000000000000001))/Input!F255)*1000000000000</f>
        <v>733.71939551967864</v>
      </c>
      <c r="K255" s="138">
        <f>J255*Input!P255/100</f>
        <v>22.065309685472748</v>
      </c>
      <c r="L255" s="143">
        <f>(J255/Constants!$B$4)*602200000000*Constants!$B$17/(365.2425*24*60)</f>
        <v>10.129810914682178</v>
      </c>
      <c r="M255" s="144">
        <f>L255*Input!P255/100</f>
        <v>0.30463609964873745</v>
      </c>
      <c r="N255" s="138">
        <v>0</v>
      </c>
      <c r="O255" s="142">
        <f>(((G255*Constants!$B$23*0.000000001*Input!G255*(Constants!$B$7/Constants!$B$6))-(N255*0.000000001))/Input!F255)*1000000</f>
        <v>13.703116439785886</v>
      </c>
      <c r="P255" s="138">
        <f>O255*Input!N255/100</f>
        <v>3.8860012015909428E-3</v>
      </c>
      <c r="Q255" s="145">
        <f>(O255/Constants!$B$7)*602200000000000000*Constants!$B$18/(365.2425*24*60)</f>
        <v>10.224179631407294</v>
      </c>
      <c r="R255" s="146">
        <f>Q255*Input!N255/100</f>
        <v>2.899426163932618E-3</v>
      </c>
      <c r="S255" s="144">
        <f>Input!S255*Constants!$B$17/Constants!$B$18</f>
        <v>0.97363680507632633</v>
      </c>
      <c r="T255" s="138">
        <f>S255*Input!T255/100</f>
        <v>1.2932053844639533E-3</v>
      </c>
      <c r="U255" s="144">
        <f>S255</f>
        <v>0.97363680507632633</v>
      </c>
      <c r="V255" s="138">
        <f>U255*Input!T255/100</f>
        <v>1.2932053844639533E-3</v>
      </c>
      <c r="W255" s="147">
        <v>0</v>
      </c>
      <c r="X255" s="142">
        <f>(((Constants!$B$25*0.000000001*Input!G255/Input!W255*(Constants!$B$11/Constants!$B$9))-(W255*0.000000001))/Input!F255)*1000000000</f>
        <v>0.91017691876079321</v>
      </c>
      <c r="Y255" s="142">
        <f>X255*Input!X255/100</f>
        <v>1.1701686158019262E-2</v>
      </c>
      <c r="Z255" s="142">
        <f>(X255/Constants!$B$11)*6.022E+23*0.000000001*Constants!$B$19/(365.2425*24*60)</f>
        <v>2.2220361073406946E-4</v>
      </c>
      <c r="AA255" s="142">
        <f>Z255*Input!X255/100</f>
        <v>2.8567598918338614E-6</v>
      </c>
      <c r="AB255" s="143">
        <v>0</v>
      </c>
      <c r="AC255" s="143">
        <v>0.9</v>
      </c>
      <c r="AD255" s="142">
        <f>(((Input!G255*Constants!$B$25*0.000000001*Input!U255*(Constants!$B$10/Constants!$B$9))-((AB255*0.000000000000001)+(Input!G255*AC255*0.000000000000001)))/Input!F255)*1000000000000</f>
        <v>222.92243547928851</v>
      </c>
      <c r="AE255" s="142">
        <f>AD255*Input!V255/100</f>
        <v>1.5609788409006873</v>
      </c>
      <c r="AF255" s="142">
        <f>(AD255/Constants!$B$10)*602200000000*Constants!$B$16/(365.2425*24*60)</f>
        <v>10.175443583159236</v>
      </c>
      <c r="AG255" s="142">
        <f>AF255*Input!V255/100</f>
        <v>7.1251922651661387E-2</v>
      </c>
      <c r="AH255" s="138">
        <f t="shared" ref="AH255" si="1420">AF255/Z255</f>
        <v>45793.331393417728</v>
      </c>
      <c r="AI255" s="147">
        <f t="shared" ref="AI255" si="1421">AH255*SQRT((AG255/AF255)^2+(AA255/Z255)^2)</f>
        <v>670.40290972970502</v>
      </c>
      <c r="AJ255" s="144">
        <f t="shared" si="1402"/>
        <v>-26.363194923673671</v>
      </c>
      <c r="AK255" s="147">
        <f t="shared" ref="AK255" si="1422">V255*1000</f>
        <v>1.2932053844639533</v>
      </c>
      <c r="AL255" s="147">
        <f t="shared" ref="AL255" si="1423">AF255/Q255</f>
        <v>0.99523325586941491</v>
      </c>
      <c r="AM255" s="147">
        <f t="shared" ref="AM255" si="1424">AL255*SQRT((R255/Q255)^2+(AG255/AF255)^2)</f>
        <v>6.9746750171130164E-3</v>
      </c>
      <c r="AN255" s="138">
        <f>AF255/Q255</f>
        <v>0.99523325586941491</v>
      </c>
      <c r="AO255" s="142">
        <f t="shared" ref="AO255" si="1425">AN255*SQRT((R255/Q255)^2+(AG255/AF255)^2)</f>
        <v>6.9746750171130164E-3</v>
      </c>
      <c r="AP255" s="138" t="str">
        <f t="shared" ref="AP255" si="1426">ThU_Alter_Kombi(AN255,U255)</f>
        <v>Out of range</v>
      </c>
      <c r="AQ255" s="138" t="e">
        <f t="shared" si="1408"/>
        <v>#VALUE!</v>
      </c>
      <c r="AR255" s="138" t="e">
        <f>(AQ255/AP255)*100</f>
        <v>#VALUE!</v>
      </c>
      <c r="AS255" s="146">
        <f t="shared" si="1409"/>
        <v>2.1733148159045454E-5</v>
      </c>
      <c r="AT255" s="146">
        <f t="shared" si="1410"/>
        <v>2.79480103019313E-7</v>
      </c>
      <c r="AU255" s="138">
        <v>0.75</v>
      </c>
      <c r="AV255" s="138">
        <f t="shared" ref="AV255" si="1427">AU255/2</f>
        <v>0.375</v>
      </c>
      <c r="AW255" s="138" t="str">
        <f t="shared" si="1412"/>
        <v>Out of range</v>
      </c>
      <c r="AX255" s="148">
        <f t="shared" si="1413"/>
        <v>0</v>
      </c>
      <c r="AY255" s="148" t="e">
        <f t="shared" si="1414"/>
        <v>#VALUE!</v>
      </c>
      <c r="AZ255" s="149" t="e">
        <f t="shared" si="1415"/>
        <v>#VALUE!</v>
      </c>
      <c r="BA255" s="138" t="str">
        <f>Input!B255</f>
        <v>Hu1-13</v>
      </c>
      <c r="BB255" s="150">
        <f>Input!E255</f>
        <v>0</v>
      </c>
      <c r="BC255" s="138" t="e">
        <f>((U255-1)*EXP(Constants!$B$17*AW255*1000))*1000</f>
        <v>#VALUE!</v>
      </c>
      <c r="BD255" s="144" t="e">
        <f>SQRT((EXP(Constants!$B$17*AW255*1000)*V255)^2+((U255-1)*Constants!$B$17*EXP(Constants!$B$17*AW255*1000)*AY255*1000)^2)*1000</f>
        <v>#VALUE!</v>
      </c>
      <c r="BE255" s="138" t="e">
        <f t="shared" si="1416"/>
        <v>#VALUE!</v>
      </c>
      <c r="BF255" s="151" t="e">
        <f t="shared" si="1417"/>
        <v>#VALUE!</v>
      </c>
      <c r="BG255" s="160" t="e">
        <f t="shared" si="1418"/>
        <v>#VALUE!</v>
      </c>
      <c r="BH255" s="138"/>
      <c r="BI255" s="18"/>
      <c r="BJ255" s="18"/>
      <c r="BK255" s="18"/>
      <c r="BL255" s="18"/>
      <c r="BM255" s="18"/>
      <c r="BN255" s="159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</row>
    <row r="256" spans="1:110" ht="15" customHeight="1" x14ac:dyDescent="0.2">
      <c r="A256" s="18">
        <f>Input!A256</f>
        <v>11070</v>
      </c>
      <c r="B256" s="18" t="str">
        <f>Input!B256</f>
        <v>Geob23225-1_99</v>
      </c>
      <c r="C256" s="18">
        <f>Input!O256</f>
        <v>2.8072246900410189E-2</v>
      </c>
      <c r="D256" s="18">
        <f>C256*Input!P256/100</f>
        <v>1.8384783472190233E-4</v>
      </c>
      <c r="E256" s="152">
        <f>Input!M256</f>
        <v>3.4110855998022785E-2</v>
      </c>
      <c r="F256" s="153">
        <f>E256*Input!N256/100</f>
        <v>3.8075457107287247E-5</v>
      </c>
      <c r="G256" s="21">
        <f>E256*137.88</f>
        <v>4.703204825007381</v>
      </c>
      <c r="H256" s="153">
        <f>G256*Input!L256/100</f>
        <v>5.8562603374471512E-3</v>
      </c>
      <c r="I256" s="18">
        <v>0.3</v>
      </c>
      <c r="J256" s="129">
        <f>(((C256*Constants!$B$24*0.000000001*Input!G256*(Constants!$B$4/Constants!$B$3))-(I256*0.000000000000001))/Input!F256)*1000000000000</f>
        <v>2.6753075734135217</v>
      </c>
      <c r="K256" s="18">
        <f>J256*Input!P256/100</f>
        <v>1.7520845635622985E-2</v>
      </c>
      <c r="L256" s="134">
        <f>(J256/Constants!$B$4)*602200000000*Constants!$B$17/(365.2425*24*60)</f>
        <v>3.6935591484673166E-2</v>
      </c>
      <c r="M256" s="132">
        <f>L256*Input!P256/100</f>
        <v>2.4189472765468847E-4</v>
      </c>
      <c r="N256" s="18">
        <v>5.0000000000000001E-3</v>
      </c>
      <c r="O256" s="129">
        <f>(((G256*Constants!$B$23*0.000000001*Input!G256*(Constants!$B$7/Constants!$B$6))-(N256*0.000000001))/Input!F256)*1000000</f>
        <v>4.5152981999476691E-2</v>
      </c>
      <c r="P256" s="18">
        <f>O256*Input!N256/100</f>
        <v>5.0400975850234934E-5</v>
      </c>
      <c r="Q256" s="130">
        <f>(O256/Constants!$B$7)*602200000000000000*Constants!$B$18/(365.2425*24*60)</f>
        <v>3.3689577176472064E-2</v>
      </c>
      <c r="R256" s="131">
        <f>Q256*Input!N256/100</f>
        <v>3.7605214328827137E-5</v>
      </c>
      <c r="S256" s="132">
        <f>Input!S256*Constants!$B$17/Constants!$B$18</f>
        <v>1.0866520485686144</v>
      </c>
      <c r="T256" s="18">
        <f>S256*Input!T256/100</f>
        <v>5.4007328446388173E-3</v>
      </c>
      <c r="U256" s="18">
        <f>S256*1/((U255+U257)/2)</f>
        <v>1.0905733116282272</v>
      </c>
      <c r="V256" s="18">
        <f>U256*Input!T256/100</f>
        <v>5.4202217824514468E-3</v>
      </c>
      <c r="W256" s="133">
        <v>3.0000000000000001E-3</v>
      </c>
      <c r="X256" s="129">
        <f>IF((((Constants!$B$25*0.000000001*Input!G256/Input!W256*(Constants!$B$11/Constants!$B$9))-(W256*0.000000001))/Input!F256)*1000000000&lt;0, "n.d.", (((Constants!$B$25*0.000000001*Input!G256/Input!W256*(Constants!$B$11/Constants!$B$9))-(W256*0.000000001))/Input!F256)*1000000000)</f>
        <v>0.11317395103792313</v>
      </c>
      <c r="Y256" s="129">
        <f>X256*Input!X256/100</f>
        <v>1.4995101088824351E-3</v>
      </c>
      <c r="Z256" s="129">
        <f>(X256/Constants!$B$11)*6.022E+23*0.000000001*Constants!$B$19/(365.2425*24*60)</f>
        <v>2.7629420218550341E-5</v>
      </c>
      <c r="AA256" s="129">
        <f>Z256*Input!X256/100</f>
        <v>3.6607889483679964E-7</v>
      </c>
      <c r="AB256" s="134">
        <v>0.05</v>
      </c>
      <c r="AC256" s="134">
        <v>0.9</v>
      </c>
      <c r="AD256" s="129">
        <f>(((Input!G256*Constants!$B$25*0.000000001*Input!U256*(Constants!$B$10/Constants!$B$9))-((AB256*0.000000000000001)+(Input!G256*AC256*0.000000000000001)))/Input!F256)*1000000000000</f>
        <v>0.25718287596392814</v>
      </c>
      <c r="AE256" s="129">
        <f>AD256*Input!V256/100</f>
        <v>7.1517820203481301E-3</v>
      </c>
      <c r="AF256" s="129">
        <f>(AD256/Constants!$B$10)*602200000000*Constants!$B$16/(365.2425*24*60)</f>
        <v>1.1739284290964639E-2</v>
      </c>
      <c r="AG256" s="129">
        <f>AF256*Input!V256/100</f>
        <v>3.2644787103030816E-4</v>
      </c>
      <c r="AH256" s="18">
        <f>AF256/Z256</f>
        <v>424.88348282758773</v>
      </c>
      <c r="AI256" s="133">
        <f>AH256*SQRT((AG256/AF256)^2+(AA256/Z256)^2)</f>
        <v>13.087829785040949</v>
      </c>
      <c r="AJ256" s="132">
        <f t="shared" si="1402"/>
        <v>90.573311628227231</v>
      </c>
      <c r="AK256" s="133">
        <f>V256*1000</f>
        <v>5.4202217824514465</v>
      </c>
      <c r="AL256" s="133">
        <f>AF256/Q256</f>
        <v>0.34845448577380939</v>
      </c>
      <c r="AM256" s="133">
        <f>AL256*SQRT((R256/Q256)^2+(AG256/AF256)^2)</f>
        <v>9.6976805795872725E-3</v>
      </c>
      <c r="AN256" s="18">
        <f>AL256*1/((AN255+AN257)/2)</f>
        <v>0.35035070818296643</v>
      </c>
      <c r="AO256" s="129">
        <f>AN256*SQRT((R256/Q256)^2+(AG256/AF256)^2)</f>
        <v>9.750453495370015E-3</v>
      </c>
      <c r="AP256" s="18">
        <f>ThU_Alter_Kombi(AN256,U256)</f>
        <v>42.010199999999998</v>
      </c>
      <c r="AQ256" s="18">
        <f t="shared" si="1408"/>
        <v>1.4552</v>
      </c>
      <c r="AR256" s="154">
        <f>(AQ256/AP256)</f>
        <v>3.4639206668856615E-2</v>
      </c>
      <c r="AS256" s="131">
        <f t="shared" si="1409"/>
        <v>8.201177495883213E-4</v>
      </c>
      <c r="AT256" s="131">
        <f t="shared" si="1410"/>
        <v>1.0904728778512592E-5</v>
      </c>
      <c r="AU256" s="18">
        <v>8</v>
      </c>
      <c r="AV256" s="18">
        <f>AU256/2</f>
        <v>4</v>
      </c>
      <c r="AW256" s="18">
        <f t="shared" si="1412"/>
        <v>41.359000000000002</v>
      </c>
      <c r="AX256" s="135">
        <f t="shared" si="1413"/>
        <v>1.5729067477000001</v>
      </c>
      <c r="AY256" s="135">
        <f t="shared" si="1414"/>
        <v>1.4803607091439259</v>
      </c>
      <c r="AZ256" s="154">
        <f t="shared" si="1415"/>
        <v>3.8030579745641821E-2</v>
      </c>
      <c r="BA256" s="18" t="str">
        <f>Input!B256</f>
        <v>Geob23225-1_99</v>
      </c>
      <c r="BB256" s="136">
        <f>Input!E256</f>
        <v>99</v>
      </c>
      <c r="BC256" s="18">
        <f>((U256-1)*EXP(Constants!$B$17*AW256*1000))*1000</f>
        <v>101.78646877168026</v>
      </c>
      <c r="BD256" s="132">
        <f>SQRT((EXP(Constants!$B$17*AW256*1000)*V256)^2+((U256-1)*Constants!$B$17*EXP(Constants!$B$17*AW256*1000)*AY256*1000)^2)*1000</f>
        <v>6.1060806697833785</v>
      </c>
      <c r="BE256" s="18">
        <f t="shared" si="1416"/>
        <v>41301</v>
      </c>
      <c r="BF256" s="137">
        <f t="shared" si="1417"/>
        <v>740.18035457196299</v>
      </c>
      <c r="BG256" s="20">
        <f t="shared" si="1418"/>
        <v>3.5792952178339075</v>
      </c>
      <c r="BH256" s="18"/>
      <c r="BI256" s="18"/>
      <c r="BJ256" s="18"/>
      <c r="BK256" s="18"/>
      <c r="BL256" s="18"/>
      <c r="BM256" s="18"/>
      <c r="BN256" s="159"/>
      <c r="BO256" s="18"/>
      <c r="BP256" s="18"/>
      <c r="BQ256" s="18"/>
      <c r="BR256" s="18"/>
      <c r="BS256" s="18"/>
      <c r="BT256" s="18"/>
      <c r="BU256" s="18"/>
      <c r="BV256" s="18"/>
      <c r="BW256" s="18"/>
      <c r="BX256" s="18"/>
      <c r="BY256" s="18"/>
      <c r="BZ256" s="18"/>
      <c r="CA256" s="18"/>
      <c r="CB256" s="18"/>
      <c r="CC256" s="18"/>
      <c r="CD256" s="18"/>
      <c r="CE256" s="18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  <c r="CT256" s="18"/>
      <c r="CU256" s="18"/>
      <c r="CV256" s="18"/>
      <c r="CW256" s="18"/>
      <c r="CX256" s="18"/>
      <c r="CY256" s="18"/>
      <c r="CZ256" s="18"/>
      <c r="DA256" s="18"/>
      <c r="DB256" s="18"/>
      <c r="DC256" s="18"/>
      <c r="DD256" s="18"/>
      <c r="DE256" s="18"/>
      <c r="DF256" s="18"/>
    </row>
    <row r="257" spans="1:110" ht="15" customHeight="1" x14ac:dyDescent="0.2">
      <c r="A257" s="138">
        <f>Input!A257</f>
        <v>10815</v>
      </c>
      <c r="B257" s="138" t="str">
        <f>Input!B257</f>
        <v>Hu1-13</v>
      </c>
      <c r="C257" s="138">
        <f>Input!O257</f>
        <v>2.1221693340518222</v>
      </c>
      <c r="D257" s="138">
        <f>C257*Input!P257/100</f>
        <v>5.5419786945304111E-2</v>
      </c>
      <c r="E257" s="139">
        <f>Input!M257</f>
        <v>2.7321755719658425</v>
      </c>
      <c r="F257" s="140">
        <f>E257*Input!N257/100</f>
        <v>1.0269205586257999E-3</v>
      </c>
      <c r="G257" s="141">
        <f t="shared" ref="G257" si="1428">E257*137.88</f>
        <v>376.71236786265035</v>
      </c>
      <c r="H257" s="140">
        <f>G257*Input!L257/100</f>
        <v>6.3164400918003613E-2</v>
      </c>
      <c r="I257" s="138">
        <v>0</v>
      </c>
      <c r="J257" s="142">
        <f>(((C257*Constants!$B$24*0.000000001*Input!G257*(Constants!$B$4/Constants!$B$3))-(I257*0.000000000000001))/Input!F257)*1000000000000</f>
        <v>766.18280153677745</v>
      </c>
      <c r="K257" s="138">
        <f>J257*Input!P257/100</f>
        <v>20.008623695100258</v>
      </c>
      <c r="L257" s="143">
        <f>(J257/Constants!$B$4)*602200000000*Constants!$B$17/(365.2425*24*60)</f>
        <v>10.578004279349674</v>
      </c>
      <c r="M257" s="144">
        <f>L257*Input!P257/100</f>
        <v>0.27624126598266957</v>
      </c>
      <c r="N257" s="138">
        <v>0</v>
      </c>
      <c r="O257" s="142">
        <f>(((G257*Constants!$B$23*0.000000001*Input!G257*(Constants!$B$7/Constants!$B$6))-(N257*0.000000001))/Input!F257)*1000000</f>
        <v>13.700731143075117</v>
      </c>
      <c r="P257" s="138">
        <f>O257*Input!N257/100</f>
        <v>5.1495821218053451E-3</v>
      </c>
      <c r="Q257" s="145">
        <f>(O257/Constants!$B$7)*602200000000000000*Constants!$B$18/(365.2425*24*60)</f>
        <v>10.222399912016288</v>
      </c>
      <c r="R257" s="146">
        <f>Q257*Input!N257/100</f>
        <v>3.8422101185067383E-3</v>
      </c>
      <c r="S257" s="144">
        <f>Input!S257*Constants!$B$17/Constants!$B$18</f>
        <v>1.0191719992144035</v>
      </c>
      <c r="T257" s="138">
        <f>S257*Input!T257/100</f>
        <v>1.4551388227584444E-3</v>
      </c>
      <c r="U257" s="144">
        <f>S257</f>
        <v>1.0191719992144035</v>
      </c>
      <c r="V257" s="138">
        <f>U257*Input!T257/100</f>
        <v>1.4551388227584444E-3</v>
      </c>
      <c r="W257" s="147">
        <v>0</v>
      </c>
      <c r="X257" s="142">
        <f>(((Constants!$B$25*0.000000001*Input!G257/Input!W257*(Constants!$B$11/Constants!$B$9))-(W257*0.000000001))/Input!F257)*1000000000</f>
        <v>0.86445307885407885</v>
      </c>
      <c r="Y257" s="142">
        <f>X257*Input!X257/100</f>
        <v>1.1035140478897951E-2</v>
      </c>
      <c r="Z257" s="142">
        <f>(X257/Constants!$B$11)*6.022E+23*0.000000001*Constants!$B$19/(365.2425*24*60)</f>
        <v>2.1104094321913036E-4</v>
      </c>
      <c r="AA257" s="142">
        <f>Z257*Input!X257/100</f>
        <v>2.6940345429845429E-6</v>
      </c>
      <c r="AB257" s="143">
        <v>0</v>
      </c>
      <c r="AC257" s="143">
        <v>0.9</v>
      </c>
      <c r="AD257" s="142">
        <f>(((Input!G257*Constants!$B$25*0.000000001*Input!U257*(Constants!$B$10/Constants!$B$9))-((AB257*0.000000000000001)+(Input!G257*AC257*0.000000000000001)))/Input!F257)*1000000000000</f>
        <v>222.59446085361151</v>
      </c>
      <c r="AE257" s="142">
        <f>AD257*Input!V257/100</f>
        <v>1.2041440416292724</v>
      </c>
      <c r="AF257" s="142">
        <f>(AD257/Constants!$B$10)*602200000000*Constants!$B$16/(365.2425*24*60)</f>
        <v>10.160472962130855</v>
      </c>
      <c r="AG257" s="142">
        <f>AF257*Input!V257/100</f>
        <v>5.496395970756561E-2</v>
      </c>
      <c r="AH257" s="138">
        <f t="shared" ref="AH257" si="1429">AF257/Z257</f>
        <v>48144.558146619544</v>
      </c>
      <c r="AI257" s="147">
        <f t="shared" ref="AI257" si="1430">AH257*SQRT((AG257/AF257)^2+(AA257/Z257)^2)</f>
        <v>667.49365650637571</v>
      </c>
      <c r="AJ257" s="144">
        <f t="shared" si="1402"/>
        <v>19.171999214403492</v>
      </c>
      <c r="AK257" s="147">
        <f t="shared" ref="AK257" si="1431">V257*1000</f>
        <v>1.4551388227584443</v>
      </c>
      <c r="AL257" s="147">
        <f t="shared" ref="AL257" si="1432">AF257/Q257</f>
        <v>0.99394203411934234</v>
      </c>
      <c r="AM257" s="147">
        <f t="shared" ref="AM257" si="1433">AL257*SQRT((R257/Q257)^2+(AG257/AF257)^2)</f>
        <v>5.389778481304318E-3</v>
      </c>
      <c r="AN257" s="138">
        <f>AF257/Q257</f>
        <v>0.99394203411934234</v>
      </c>
      <c r="AO257" s="142">
        <f t="shared" ref="AO257" si="1434">AN257*SQRT((R257/Q257)^2+(AG257/AF257)^2)</f>
        <v>5.389778481304318E-3</v>
      </c>
      <c r="AP257" s="138">
        <f t="shared" ref="AP257" si="1435">ThU_Alter_Kombi(AN257,U257)</f>
        <v>377.96179999999998</v>
      </c>
      <c r="AQ257" s="138">
        <f t="shared" si="1408"/>
        <v>20.357700000000001</v>
      </c>
      <c r="AR257" s="138">
        <f>(AQ257/AP257)*100</f>
        <v>5.386179238219313</v>
      </c>
      <c r="AS257" s="146">
        <f t="shared" si="1409"/>
        <v>2.0644950797811645E-5</v>
      </c>
      <c r="AT257" s="146">
        <f t="shared" si="1410"/>
        <v>2.6365648788344407E-7</v>
      </c>
      <c r="AU257" s="138">
        <v>0.75</v>
      </c>
      <c r="AV257" s="138">
        <f t="shared" ref="AV257" si="1436">AU257/2</f>
        <v>0.375</v>
      </c>
      <c r="AW257" s="138">
        <f t="shared" si="1412"/>
        <v>377.96019999999999</v>
      </c>
      <c r="AX257" s="148">
        <f t="shared" si="1413"/>
        <v>20.380501581499999</v>
      </c>
      <c r="AY257" s="148">
        <f t="shared" si="1414"/>
        <v>18.843502237123211</v>
      </c>
      <c r="AZ257" s="149">
        <f t="shared" si="1415"/>
        <v>5.3922348388798606E-2</v>
      </c>
      <c r="BA257" s="138" t="str">
        <f>Input!B257</f>
        <v>Hu1-13</v>
      </c>
      <c r="BB257" s="150">
        <f>Input!E257</f>
        <v>0</v>
      </c>
      <c r="BC257" s="138">
        <f>((U257-1)*EXP(Constants!$B$17*AW257*1000))*1000</f>
        <v>55.705406248123168</v>
      </c>
      <c r="BD257" s="144">
        <f>SQRT((EXP(Constants!$B$17*AW257*1000)*V257)^2+((U257-1)*Constants!$B$17*EXP(Constants!$B$17*AW257*1000)*AY257*1000)^2)*1000</f>
        <v>5.1624607167229399</v>
      </c>
      <c r="BE257" s="138">
        <f t="shared" si="1416"/>
        <v>377902.2</v>
      </c>
      <c r="BF257" s="151">
        <f t="shared" si="1417"/>
        <v>9421.7511185616058</v>
      </c>
      <c r="BG257" s="160">
        <f t="shared" si="1418"/>
        <v>4.9855784384501884</v>
      </c>
      <c r="BH257" s="138"/>
      <c r="BI257" s="18"/>
      <c r="BJ257" s="18"/>
      <c r="BK257" s="18"/>
      <c r="BL257" s="18"/>
      <c r="BM257" s="18"/>
      <c r="BN257" s="159"/>
      <c r="BO257" s="18"/>
      <c r="BP257" s="18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  <c r="CY257" s="18"/>
      <c r="CZ257" s="18"/>
      <c r="DA257" s="18"/>
      <c r="DB257" s="18"/>
      <c r="DC257" s="18"/>
      <c r="DD257" s="18"/>
      <c r="DE257" s="18"/>
      <c r="DF257" s="18"/>
    </row>
    <row r="258" spans="1:110" ht="15" customHeight="1" x14ac:dyDescent="0.2">
      <c r="A258" s="18">
        <f>Input!A258</f>
        <v>11071</v>
      </c>
      <c r="B258" s="18" t="str">
        <f>Input!B258</f>
        <v>Geob23225-1_98.5</v>
      </c>
      <c r="C258" s="18">
        <f>Input!O258</f>
        <v>0.10857048810348319</v>
      </c>
      <c r="D258" s="18">
        <f>C258*Input!P258/100</f>
        <v>4.390657794911243E-4</v>
      </c>
      <c r="E258" s="152">
        <f>Input!M258</f>
        <v>0.13027771666367677</v>
      </c>
      <c r="F258" s="153">
        <f>E258*Input!N258/100</f>
        <v>3.9667569998284912E-5</v>
      </c>
      <c r="G258" s="21">
        <f>E258*137.88</f>
        <v>17.962691573587751</v>
      </c>
      <c r="H258" s="153">
        <f>G258*Input!L258/100</f>
        <v>5.7794473968361629E-3</v>
      </c>
      <c r="I258" s="18">
        <v>0.3</v>
      </c>
      <c r="J258" s="129">
        <f>(((C258*Constants!$B$24*0.000000001*Input!G258*(Constants!$B$4/Constants!$B$3))-(I258*0.000000000000001))/Input!F258)*1000000000000</f>
        <v>4.3694325413481936</v>
      </c>
      <c r="K258" s="18">
        <f>J258*Input!P258/100</f>
        <v>1.7670255869830433E-2</v>
      </c>
      <c r="L258" s="134">
        <f>(J258/Constants!$B$4)*602200000000*Constants!$B$17/(365.2425*24*60)</f>
        <v>6.0324867679103493E-2</v>
      </c>
      <c r="M258" s="132">
        <f>L258*Input!P258/100</f>
        <v>2.4395750183032249E-4</v>
      </c>
      <c r="N258" s="18">
        <v>5.0000000000000001E-3</v>
      </c>
      <c r="O258" s="129">
        <f>(((G258*Constants!$B$23*0.000000001*Input!G258*(Constants!$B$7/Constants!$B$6))-(N258*0.000000001))/Input!F258)*1000000</f>
        <v>7.2822595981991839E-2</v>
      </c>
      <c r="P258" s="18">
        <f>O258*Input!N258/100</f>
        <v>2.2173365465330504E-5</v>
      </c>
      <c r="Q258" s="130">
        <f>(O258/Constants!$B$7)*602200000000000000*Constants!$B$18/(365.2425*24*60)</f>
        <v>5.4334450547580494E-2</v>
      </c>
      <c r="R258" s="131">
        <f>Q258*Input!N258/100</f>
        <v>1.6544008258746456E-5</v>
      </c>
      <c r="S258" s="132">
        <f>Input!S258*Constants!$B$17/Constants!$B$18</f>
        <v>1.0983015247661885</v>
      </c>
      <c r="T258" s="18">
        <f>S258*Input!T258/100</f>
        <v>2.1506947142082458E-3</v>
      </c>
      <c r="U258" s="18">
        <f>S258*1/((U257+U259)/2)</f>
        <v>1.0852697752769125</v>
      </c>
      <c r="V258" s="18">
        <f>U258*Input!T258/100</f>
        <v>2.1251759344274035E-3</v>
      </c>
      <c r="W258" s="133">
        <v>3.0000000000000001E-3</v>
      </c>
      <c r="X258" s="129">
        <f>IF((((Constants!$B$25*0.000000001*Input!G258/Input!W258*(Constants!$B$11/Constants!$B$9))-(W258*0.000000001))/Input!F258)*1000000000&lt;0, "n.d.", (((Constants!$B$25*0.000000001*Input!G258/Input!W258*(Constants!$B$11/Constants!$B$9))-(W258*0.000000001))/Input!F258)*1000000000)</f>
        <v>3.8935128820409705E-2</v>
      </c>
      <c r="Y258" s="129">
        <f>X258*Input!X258/100</f>
        <v>2.1787337996702295E-4</v>
      </c>
      <c r="Z258" s="129">
        <f>(X258/Constants!$B$11)*6.022E+23*0.000000001*Constants!$B$19/(365.2425*24*60)</f>
        <v>9.5053236683591464E-6</v>
      </c>
      <c r="AA258" s="129">
        <f>Z258*Input!X258/100</f>
        <v>5.3189935619793242E-8</v>
      </c>
      <c r="AB258" s="134">
        <v>0.05</v>
      </c>
      <c r="AC258" s="134">
        <v>0.9</v>
      </c>
      <c r="AD258" s="129">
        <f>(((Input!G258*Constants!$B$25*0.000000001*Input!U258*(Constants!$B$10/Constants!$B$9))-((AB258*0.000000000000001)+(Input!G258*AC258*0.000000000000001)))/Input!F258)*1000000000000</f>
        <v>0.33497981254334969</v>
      </c>
      <c r="AE258" s="129">
        <f>AD258*Input!V258/100</f>
        <v>3.3570047927540991E-3</v>
      </c>
      <c r="AF258" s="129">
        <f>(AD258/Constants!$B$10)*602200000000*Constants!$B$16/(365.2425*24*60)</f>
        <v>1.5290377465613134E-2</v>
      </c>
      <c r="AG258" s="129">
        <f>AF258*Input!V258/100</f>
        <v>1.5323272780338063E-4</v>
      </c>
      <c r="AH258" s="18">
        <f>AF258/Z258</f>
        <v>1608.6119735733976</v>
      </c>
      <c r="AI258" s="133">
        <f>AH258*SQRT((AG258/AF258)^2+(AA258/Z258)^2)</f>
        <v>18.463598109019202</v>
      </c>
      <c r="AJ258" s="132">
        <f t="shared" si="1402"/>
        <v>85.269775276912483</v>
      </c>
      <c r="AK258" s="133">
        <f>V258*1000</f>
        <v>2.1251759344274035</v>
      </c>
      <c r="AL258" s="133">
        <f>AF258/Q258</f>
        <v>0.28141220370349385</v>
      </c>
      <c r="AM258" s="133">
        <f>AL258*SQRT((R258/Q258)^2+(AG258/AF258)^2)</f>
        <v>2.8214776635320841E-3</v>
      </c>
      <c r="AN258" s="18">
        <f>AL258*1/((AN257+AN259)/2)</f>
        <v>0.28332370703033322</v>
      </c>
      <c r="AO258" s="129">
        <f>AN258*SQRT((R258/Q258)^2+(AG258/AF258)^2)</f>
        <v>2.8406426601792338E-3</v>
      </c>
      <c r="AP258" s="18">
        <f>ThU_Alter_Kombi(AN258,U258)</f>
        <v>32.853999999999999</v>
      </c>
      <c r="AQ258" s="18">
        <f t="shared" si="1408"/>
        <v>0.39219999999999999</v>
      </c>
      <c r="AR258" s="154">
        <f>(AQ258/AP258)</f>
        <v>1.1937663602605467E-2</v>
      </c>
      <c r="AS258" s="131">
        <f t="shared" si="1409"/>
        <v>1.7494101021662796E-4</v>
      </c>
      <c r="AT258" s="131">
        <f t="shared" si="1410"/>
        <v>9.8038387567354389E-7</v>
      </c>
      <c r="AU258" s="18">
        <v>8</v>
      </c>
      <c r="AV258" s="18">
        <f>AU258/2</f>
        <v>4</v>
      </c>
      <c r="AW258" s="18">
        <f t="shared" si="1412"/>
        <v>32.714399999999998</v>
      </c>
      <c r="AX258" s="135">
        <f t="shared" si="1413"/>
        <v>0.40233743719999998</v>
      </c>
      <c r="AY258" s="135">
        <f t="shared" si="1414"/>
        <v>0.3974037752209309</v>
      </c>
      <c r="AZ258" s="154">
        <f t="shared" si="1415"/>
        <v>1.2298481317095836E-2</v>
      </c>
      <c r="BA258" s="18" t="str">
        <f>Input!B258</f>
        <v>Geob23225-1_98.5</v>
      </c>
      <c r="BB258" s="136">
        <f>Input!E258</f>
        <v>98.5</v>
      </c>
      <c r="BC258" s="18">
        <f>((U258-1)*EXP(Constants!$B$17*AW258*1000))*1000</f>
        <v>93.516889559787828</v>
      </c>
      <c r="BD258" s="132">
        <f>SQRT((EXP(Constants!$B$17*AW258*1000)*V258)^2+((U258-1)*Constants!$B$17*EXP(Constants!$B$17*AW258*1000)*AY258*1000)^2)*1000</f>
        <v>2.3330770114545585</v>
      </c>
      <c r="BE258" s="18">
        <f t="shared" si="1416"/>
        <v>32656.399999999998</v>
      </c>
      <c r="BF258" s="137">
        <f t="shared" si="1417"/>
        <v>198.70188761046546</v>
      </c>
      <c r="BG258" s="20">
        <f t="shared" si="1418"/>
        <v>1.2147671215762201</v>
      </c>
      <c r="BH258" s="18"/>
      <c r="BI258" s="18"/>
      <c r="BJ258" s="18"/>
      <c r="BK258" s="18"/>
      <c r="BL258" s="18"/>
      <c r="BM258" s="18"/>
      <c r="BN258" s="159"/>
      <c r="BO258" s="18"/>
      <c r="BP258" s="18"/>
      <c r="BQ258" s="18"/>
      <c r="BR258" s="18"/>
      <c r="BS258" s="18"/>
      <c r="BT258" s="18"/>
      <c r="BU258" s="18"/>
      <c r="BV258" s="18"/>
      <c r="BW258" s="18"/>
      <c r="BX258" s="18"/>
      <c r="BY258" s="18"/>
      <c r="BZ258" s="18"/>
      <c r="CA258" s="18"/>
      <c r="CB258" s="18"/>
      <c r="CC258" s="18"/>
      <c r="CD258" s="18"/>
      <c r="CE258" s="1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  <c r="CY258" s="18"/>
      <c r="CZ258" s="18"/>
      <c r="DA258" s="18"/>
      <c r="DB258" s="18"/>
      <c r="DC258" s="18"/>
      <c r="DD258" s="18"/>
      <c r="DE258" s="18"/>
      <c r="DF258" s="18"/>
    </row>
    <row r="259" spans="1:110" ht="15" customHeight="1" x14ac:dyDescent="0.2">
      <c r="A259" s="138">
        <f>Input!A259</f>
        <v>10815</v>
      </c>
      <c r="B259" s="138" t="str">
        <f>Input!B259</f>
        <v>Hu1-13</v>
      </c>
      <c r="C259" s="138">
        <f>Input!O259</f>
        <v>2.0806490031389688</v>
      </c>
      <c r="D259" s="138">
        <f>C259*Input!P259/100</f>
        <v>4.276981732466606E-2</v>
      </c>
      <c r="E259" s="139">
        <f>Input!M259</f>
        <v>2.7319705937277359</v>
      </c>
      <c r="F259" s="140">
        <f>E259*Input!N259/100</f>
        <v>8.3260749844972796E-4</v>
      </c>
      <c r="G259" s="141">
        <f t="shared" ref="G259" si="1437">E259*137.88</f>
        <v>376.68410546318023</v>
      </c>
      <c r="H259" s="140">
        <f>G259*Input!L259/100</f>
        <v>5.1457622413428911E-2</v>
      </c>
      <c r="I259" s="138">
        <v>0</v>
      </c>
      <c r="J259" s="142">
        <f>(((C259*Constants!$B$24*0.000000001*Input!G259*(Constants!$B$4/Constants!$B$3))-(I259*0.000000000000001))/Input!F259)*1000000000000</f>
        <v>751.1924032923522</v>
      </c>
      <c r="K259" s="138">
        <f>J259*Input!P259/100</f>
        <v>15.441509748170095</v>
      </c>
      <c r="L259" s="143">
        <f>(J259/Constants!$B$4)*602200000000*Constants!$B$17/(365.2425*24*60)</f>
        <v>10.371045187523759</v>
      </c>
      <c r="M259" s="144">
        <f>L259*Input!P259/100</f>
        <v>0.21318718701090872</v>
      </c>
      <c r="N259" s="138">
        <v>0</v>
      </c>
      <c r="O259" s="142">
        <f>(((G259*Constants!$B$23*0.000000001*Input!G259*(Constants!$B$7/Constants!$B$6))-(N259*0.000000001))/Input!F259)*1000000</f>
        <v>13.699703261939186</v>
      </c>
      <c r="P259" s="138">
        <f>O259*Input!N259/100</f>
        <v>4.1751824447212611E-3</v>
      </c>
      <c r="Q259" s="145">
        <f>(O259/Constants!$B$7)*602200000000000000*Constants!$B$18/(365.2425*24*60)</f>
        <v>10.221632988563533</v>
      </c>
      <c r="R259" s="146">
        <f>Q259*Input!N259/100</f>
        <v>3.1151902923912855E-3</v>
      </c>
      <c r="S259" s="144">
        <f>Input!S259*Constants!$B$17/Constants!$B$18</f>
        <v>1.004843687550578</v>
      </c>
      <c r="T259" s="138">
        <f>S259*Input!T259/100</f>
        <v>1.4619995720917746E-3</v>
      </c>
      <c r="U259" s="144">
        <f>S259</f>
        <v>1.004843687550578</v>
      </c>
      <c r="V259" s="138">
        <f>U259*Input!T259/100</f>
        <v>1.4619995720917746E-3</v>
      </c>
      <c r="W259" s="147">
        <v>0</v>
      </c>
      <c r="X259" s="142">
        <f>(((Constants!$B$25*0.000000001*Input!G259/Input!W259*(Constants!$B$11/Constants!$B$9))-(W259*0.000000001))/Input!F259)*1000000000</f>
        <v>0.87383197965917447</v>
      </c>
      <c r="Y259" s="142">
        <f>X259*Input!X259/100</f>
        <v>1.194260756125682E-2</v>
      </c>
      <c r="Z259" s="142">
        <f>(X259/Constants!$B$11)*6.022E+23*0.000000001*Constants!$B$19/(365.2425*24*60)</f>
        <v>2.1333063611361322E-4</v>
      </c>
      <c r="AA259" s="142">
        <f>Z259*Input!X259/100</f>
        <v>2.9155765950473305E-6</v>
      </c>
      <c r="AB259" s="143">
        <v>0</v>
      </c>
      <c r="AC259" s="143">
        <v>0.9</v>
      </c>
      <c r="AD259" s="142">
        <f>(((Input!G259*Constants!$B$25*0.000000001*Input!U259*(Constants!$B$10/Constants!$B$9))-((AB259*0.000000000000001)+(Input!G259*AC259*0.000000000000001)))/Input!F259)*1000000000000</f>
        <v>222.26929334305777</v>
      </c>
      <c r="AE259" s="142">
        <f>AD259*Input!V259/100</f>
        <v>0.89014135191276156</v>
      </c>
      <c r="AF259" s="142">
        <f>(AD259/Constants!$B$10)*602200000000*Constants!$B$16/(365.2425*24*60)</f>
        <v>10.14563047374873</v>
      </c>
      <c r="AG259" s="142">
        <f>AF259*Input!V259/100</f>
        <v>4.0631097035842875E-2</v>
      </c>
      <c r="AH259" s="138">
        <f t="shared" ref="AH259" si="1438">AF259/Z259</f>
        <v>47558.244134918743</v>
      </c>
      <c r="AI259" s="147">
        <f t="shared" ref="AI259" si="1439">AH259*SQRT((AG259/AF259)^2+(AA259/Z259)^2)</f>
        <v>677.30607615420126</v>
      </c>
      <c r="AJ259" s="144">
        <f t="shared" si="1402"/>
        <v>4.8436875505779575</v>
      </c>
      <c r="AK259" s="147">
        <f t="shared" ref="AK259" si="1440">V259*1000</f>
        <v>1.4619995720917747</v>
      </c>
      <c r="AL259" s="147">
        <f t="shared" ref="AL259" si="1441">AF259/Q259</f>
        <v>0.99256454277904138</v>
      </c>
      <c r="AM259" s="147">
        <f t="shared" ref="AM259" si="1442">AL259*SQRT((R259/Q259)^2+(AG259/AF259)^2)</f>
        <v>3.9865038116649737E-3</v>
      </c>
      <c r="AN259" s="138">
        <f>AF259/Q259</f>
        <v>0.99256454277904138</v>
      </c>
      <c r="AO259" s="142">
        <f t="shared" ref="AO259" si="1443">AN259*SQRT((R259/Q259)^2+(AG259/AF259)^2)</f>
        <v>3.9865038116649737E-3</v>
      </c>
      <c r="AP259" s="138">
        <f t="shared" ref="AP259" si="1444">ThU_Alter_Kombi(AN259,U259)</f>
        <v>464.96280000000002</v>
      </c>
      <c r="AQ259" s="138">
        <f t="shared" si="1408"/>
        <v>41.9176</v>
      </c>
      <c r="AR259" s="138">
        <f>(AQ259/AP259)*100</f>
        <v>9.0152588551170112</v>
      </c>
      <c r="AS259" s="146">
        <f t="shared" si="1409"/>
        <v>2.0870504385385199E-5</v>
      </c>
      <c r="AT259" s="146">
        <f t="shared" si="1410"/>
        <v>2.8530680101603856E-7</v>
      </c>
      <c r="AU259" s="138">
        <v>0.75</v>
      </c>
      <c r="AV259" s="138">
        <f t="shared" ref="AV259" si="1445">AU259/2</f>
        <v>0.375</v>
      </c>
      <c r="AW259" s="138">
        <f t="shared" si="1412"/>
        <v>464.96109999999999</v>
      </c>
      <c r="AX259" s="148">
        <f t="shared" si="1413"/>
        <v>47.420300047700003</v>
      </c>
      <c r="AY259" s="148">
        <f t="shared" si="1414"/>
        <v>33.818980757751071</v>
      </c>
      <c r="AZ259" s="149">
        <f t="shared" si="1415"/>
        <v>0.10198767175942247</v>
      </c>
      <c r="BA259" s="138" t="str">
        <f>Input!B259</f>
        <v>Hu1-13</v>
      </c>
      <c r="BB259" s="150">
        <f>Input!E259</f>
        <v>0</v>
      </c>
      <c r="BC259" s="138">
        <f>((U259-1)*EXP(Constants!$B$17*AW259*1000))*1000</f>
        <v>17.990151029491475</v>
      </c>
      <c r="BD259" s="144">
        <f>SQRT((EXP(Constants!$B$17*AW259*1000)*V259)^2+((U259-1)*Constants!$B$17*EXP(Constants!$B$17*AW259*1000)*AY259*1000)^2)*1000</f>
        <v>5.6950592121001238</v>
      </c>
      <c r="BE259" s="138">
        <f t="shared" si="1416"/>
        <v>464903.1</v>
      </c>
      <c r="BF259" s="151">
        <f t="shared" si="1417"/>
        <v>16909.490378875536</v>
      </c>
      <c r="BG259" s="160">
        <f t="shared" si="1418"/>
        <v>7.2735075596111312</v>
      </c>
      <c r="BH259" s="138"/>
      <c r="BI259" s="18"/>
      <c r="BJ259" s="18"/>
      <c r="BK259" s="18"/>
      <c r="BL259" s="18"/>
      <c r="BM259" s="18"/>
      <c r="BN259" s="159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1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18"/>
      <c r="CZ259" s="18"/>
      <c r="DA259" s="18"/>
      <c r="DB259" s="18"/>
      <c r="DC259" s="18"/>
      <c r="DD259" s="18"/>
      <c r="DE259" s="18"/>
      <c r="DF259" s="18"/>
    </row>
    <row r="260" spans="1:110" ht="15" customHeight="1" x14ac:dyDescent="0.2">
      <c r="A260" s="18">
        <f>Input!A260</f>
        <v>11072</v>
      </c>
      <c r="B260" s="18" t="str">
        <f>Input!B260</f>
        <v>Geob23213-1_8835</v>
      </c>
      <c r="C260" s="18">
        <f>Input!O260</f>
        <v>0.32087280762435816</v>
      </c>
      <c r="D260" s="18">
        <f>C260*Input!P260/100</f>
        <v>7.8670195160203296E-4</v>
      </c>
      <c r="E260" s="152">
        <f>Input!M260</f>
        <v>0.38626541462316438</v>
      </c>
      <c r="F260" s="153">
        <f>E260*Input!N260/100</f>
        <v>3.2375843241972397E-5</v>
      </c>
      <c r="G260" s="21">
        <f>E260*137.88</f>
        <v>53.258275368241904</v>
      </c>
      <c r="H260" s="153">
        <f>G260*Input!L260/100</f>
        <v>7.2552675189292903E-3</v>
      </c>
      <c r="I260" s="18">
        <v>0.3</v>
      </c>
      <c r="J260" s="129">
        <f>(((C260*Constants!$B$24*0.000000001*Input!G260*(Constants!$B$4/Constants!$B$3))-(I260*0.000000000000001))/Input!F260)*1000000000000</f>
        <v>16.007363694599881</v>
      </c>
      <c r="K260" s="18">
        <f>J260*Input!P260/100</f>
        <v>3.9246155982428262E-2</v>
      </c>
      <c r="L260" s="134">
        <f>(J260/Constants!$B$4)*602200000000*Constants!$B$17/(365.2425*24*60)</f>
        <v>0.2209994290174058</v>
      </c>
      <c r="M260" s="132">
        <f>L260*Input!P260/100</f>
        <v>5.4183675892681025E-4</v>
      </c>
      <c r="N260" s="18">
        <v>5.0000000000000001E-3</v>
      </c>
      <c r="O260" s="129">
        <f>(((G260*Constants!$B$23*0.000000001*Input!G260*(Constants!$B$7/Constants!$B$6))-(N260*0.000000001))/Input!F260)*1000000</f>
        <v>0.2676429631436526</v>
      </c>
      <c r="P260" s="18">
        <f>O260*Input!N260/100</f>
        <v>2.243319306236495E-5</v>
      </c>
      <c r="Q260" s="130">
        <f>(O260/Constants!$B$7)*602200000000000000*Constants!$B$18/(365.2425*24*60)</f>
        <v>0.19969397065895347</v>
      </c>
      <c r="R260" s="131">
        <f>Q260*Input!N260/100</f>
        <v>1.6737871022516316E-5</v>
      </c>
      <c r="S260" s="132">
        <f>Input!S260*Constants!$B$17/Constants!$B$18</f>
        <v>1.1014107226754701</v>
      </c>
      <c r="T260" s="18">
        <f>S260*Input!T260/100</f>
        <v>1.7590309499660572E-3</v>
      </c>
      <c r="U260" s="18">
        <f>S260*1/((U259+U261)/2)</f>
        <v>1.0933874062089326</v>
      </c>
      <c r="V260" s="18">
        <f>U260*Input!T260/100</f>
        <v>1.7462171451832883E-3</v>
      </c>
      <c r="W260" s="133">
        <v>3.0000000000000001E-3</v>
      </c>
      <c r="X260" s="129">
        <f>IF((((Constants!$B$25*0.000000001*Input!G260/Input!W260*(Constants!$B$11/Constants!$B$9))-(W260*0.000000001))/Input!F260)*1000000000&lt;0, "n.d.", (((Constants!$B$25*0.000000001*Input!G260/Input!W260*(Constants!$B$11/Constants!$B$9))-(W260*0.000000001))/Input!F260)*1000000000)</f>
        <v>1.1327948183415455</v>
      </c>
      <c r="Y260" s="129">
        <f>X260*Input!X260/100</f>
        <v>3.0359297163946941E-3</v>
      </c>
      <c r="Z260" s="129">
        <f>(X260/Constants!$B$11)*6.022E+23*0.000000001*Constants!$B$19/(365.2425*24*60)</f>
        <v>2.7655183697587136E-4</v>
      </c>
      <c r="AA260" s="129">
        <f>Z260*Input!X260/100</f>
        <v>7.4116859152638363E-7</v>
      </c>
      <c r="AB260" s="134">
        <v>0.05</v>
      </c>
      <c r="AC260" s="134">
        <v>0.9</v>
      </c>
      <c r="AD260" s="129">
        <f>(((Input!G260*Constants!$B$25*0.000000001*Input!U260*(Constants!$B$10/Constants!$B$9))-((AB260*0.000000000000001)+(Input!G260*AC260*0.000000000000001)))/Input!F260)*1000000000000</f>
        <v>3.3683708022404693</v>
      </c>
      <c r="AE260" s="129">
        <f>AD260*Input!V260/100</f>
        <v>1.1926722198349067E-2</v>
      </c>
      <c r="AF260" s="129">
        <f>(AD260/Constants!$B$10)*602200000000*Constants!$B$16/(365.2425*24*60)</f>
        <v>0.15375153690415846</v>
      </c>
      <c r="AG260" s="129">
        <f>AF260*Input!V260/100</f>
        <v>5.4440320733257564E-4</v>
      </c>
      <c r="AH260" s="18">
        <f>AF260/Z260</f>
        <v>555.95919587969684</v>
      </c>
      <c r="AI260" s="133">
        <f>AH260*SQRT((AG260/AF260)^2+(AA260/Z260)^2)</f>
        <v>2.4688495496819711</v>
      </c>
      <c r="AJ260" s="132">
        <f t="shared" ref="AJ260:AJ263" si="1446">(U260-1)*1000</f>
        <v>93.387406208932603</v>
      </c>
      <c r="AK260" s="133">
        <f>V260*1000</f>
        <v>1.7462171451832884</v>
      </c>
      <c r="AL260" s="133">
        <f>AF260/Q260</f>
        <v>0.7699357992472512</v>
      </c>
      <c r="AM260" s="133">
        <f>AL260*SQRT((R260/Q260)^2+(AG260/AF260)^2)</f>
        <v>2.7269512214591011E-3</v>
      </c>
      <c r="AN260" s="18">
        <f>AL260*1/((AN259+AN261)/2)</f>
        <v>0.77519991866940297</v>
      </c>
      <c r="AO260" s="129">
        <f>AN260*SQRT((R260/Q260)^2+(AG260/AF260)^2)</f>
        <v>2.7455956290865654E-3</v>
      </c>
      <c r="AP260" s="18">
        <f>ThU_Alter_Kombi(AN260,U260)</f>
        <v>130.9419</v>
      </c>
      <c r="AQ260" s="18">
        <f t="shared" ref="AQ260:AQ263" si="1447">Montealter(AN260,AO260,U260,V260)</f>
        <v>0.97789999999999999</v>
      </c>
      <c r="AR260" s="154">
        <f>(AQ260/AP260)</f>
        <v>7.4681977273890173E-3</v>
      </c>
      <c r="AS260" s="131">
        <f t="shared" ref="AS260:AS263" si="1448">Z260/Q260</f>
        <v>1.3848782517734562E-3</v>
      </c>
      <c r="AT260" s="131">
        <f t="shared" ref="AT260:AT263" si="1449">AS260*SQRT((Y260/X260)^2+(P260/O260)^2)</f>
        <v>3.7133368337976405E-6</v>
      </c>
      <c r="AU260" s="18">
        <v>8</v>
      </c>
      <c r="AV260" s="18">
        <f>AU260/2</f>
        <v>4</v>
      </c>
      <c r="AW260" s="18">
        <f t="shared" ref="AW260:AW263" si="1450">marincorr_age(AN260,U260,AS260,AU260)</f>
        <v>129.87219999999999</v>
      </c>
      <c r="AX260" s="135">
        <f t="shared" ref="AX260:AX263" si="1451">marincorr_age_error(AN260, AO260, U260, V260, AS260, AT260, AU260, AV260)</f>
        <v>1.1014135468999999</v>
      </c>
      <c r="AY260" s="135">
        <f t="shared" ref="AY260:AY263" si="1452">SQRT(((AU260*EXP(-0.0000091577*AW260*1000))/(0.0000091577*(EXP(-0.0000091577*AW260*1000)+(AJ260/1000)*EXP(-(0.0000091577-0.0000028263)*AW260*1000)-AS260*AU260*EXP(-0.0000091577*AW260*1000))))^2*AT260^2+((AS260*EXP(-0.0000091577*AW260*1000))/(0.0000091577*(EXP(-0.0000091577*AW260*1000)+(AJ260/1000)*EXP(-(0.0000091577-0.0000028263)*AW260*1000)-AS260*AU260*EXP(-0.0000091577*AW260*1000))))^2*AV260^2+((0.0000091577/(0.0000091577-0.0000028263))*(EXP(-(0.0000091577-0.0000028263)*AW260*1000)-1)/(0.0000091577*(EXP(-0.0000091577*AW260*1000)+(AJ260/1000)*EXP(-(0.0000091577-0.0000028263)*AW260*1000)-AS260*AU260*EXP(-0.0000091577*AW260*1000))))^2*T260^2+(1/(0.0000091577*(EXP(-0.0000091577*AW260*1000)+(AJ260/1000)*EXP(-(0.0000091577-0.0000028263)*AW260*1000)-AS260*AU260*EXP(-0.0000091577*AW260*1000))))^2*AO260^2)/1000</f>
        <v>1.1247870930310262</v>
      </c>
      <c r="AZ260" s="154">
        <f t="shared" ref="AZ260:AZ263" si="1453">AX260/AW260</f>
        <v>8.4807491279889E-3</v>
      </c>
      <c r="BA260" s="18" t="str">
        <f>Input!B260</f>
        <v>Geob23213-1_8835</v>
      </c>
      <c r="BB260" s="136">
        <f>Input!E260</f>
        <v>0</v>
      </c>
      <c r="BC260" s="18">
        <f>((U260-1)*EXP(Constants!$B$17*AW260*1000))*1000</f>
        <v>134.72876910482896</v>
      </c>
      <c r="BD260" s="132">
        <f>SQRT((EXP(Constants!$B$17*AW260*1000)*V260)^2+((U260-1)*Constants!$B$17*EXP(Constants!$B$17*AW260*1000)*AY260*1000)^2)*1000</f>
        <v>2.5552853539645159</v>
      </c>
      <c r="BE260" s="18">
        <f t="shared" ref="BE260:BE263" si="1454">AW260*1000-58</f>
        <v>129814.2</v>
      </c>
      <c r="BF260" s="137">
        <f t="shared" ref="BF260:BF263" si="1455">AY260/2*1000</f>
        <v>562.39354651551309</v>
      </c>
      <c r="BG260" s="20">
        <f t="shared" ref="BG260:BG263" si="1456">AY260/AW260*100</f>
        <v>0.8660722564421226</v>
      </c>
      <c r="BH260" s="18"/>
      <c r="BI260" s="18"/>
      <c r="BJ260" s="18"/>
      <c r="BK260" s="18"/>
      <c r="BL260" s="18"/>
      <c r="BM260" s="18"/>
      <c r="BN260" s="159"/>
      <c r="BO260" s="18"/>
      <c r="BP260" s="18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  <c r="CY260" s="18"/>
      <c r="CZ260" s="18"/>
      <c r="DA260" s="18"/>
      <c r="DB260" s="18"/>
      <c r="DC260" s="18"/>
      <c r="DD260" s="18"/>
      <c r="DE260" s="18"/>
      <c r="DF260" s="18"/>
    </row>
    <row r="261" spans="1:110" ht="15" customHeight="1" x14ac:dyDescent="0.2">
      <c r="A261" s="138">
        <f>Input!A261</f>
        <v>10815</v>
      </c>
      <c r="B261" s="138" t="str">
        <f>Input!B261</f>
        <v>Hu1-13</v>
      </c>
      <c r="C261" s="138">
        <f>Input!O261</f>
        <v>2.1735503752699441</v>
      </c>
      <c r="D261" s="138">
        <f>C261*Input!P261/100</f>
        <v>6.4517860611966793E-2</v>
      </c>
      <c r="E261" s="139">
        <f>Input!M261</f>
        <v>2.7317064947348868</v>
      </c>
      <c r="F261" s="140">
        <f>E261*Input!N261/100</f>
        <v>8.1599403508804966E-4</v>
      </c>
      <c r="G261" s="141">
        <f t="shared" ref="G261" si="1457">E261*137.88</f>
        <v>376.64769149404617</v>
      </c>
      <c r="H261" s="140">
        <f>G261*Input!L261/100</f>
        <v>6.1913446727885006E-2</v>
      </c>
      <c r="I261" s="138">
        <v>0</v>
      </c>
      <c r="J261" s="142">
        <f>(((C261*Constants!$B$24*0.000000001*Input!G261*(Constants!$B$4/Constants!$B$3))-(I261*0.000000000000001))/Input!F261)*1000000000000</f>
        <v>784.73328639898875</v>
      </c>
      <c r="K261" s="138">
        <f>J261*Input!P261/100</f>
        <v>23.293369854918897</v>
      </c>
      <c r="L261" s="143">
        <f>(J261/Constants!$B$4)*602200000000*Constants!$B$17/(365.2425*24*60)</f>
        <v>10.834114319751128</v>
      </c>
      <c r="M261" s="144">
        <f>L261*Input!P261/100</f>
        <v>0.32159083382137171</v>
      </c>
      <c r="N261" s="138">
        <v>0</v>
      </c>
      <c r="O261" s="142">
        <f>(((G261*Constants!$B$23*0.000000001*Input!G261*(Constants!$B$7/Constants!$B$6))-(N261*0.000000001))/Input!F261)*1000000</f>
        <v>13.698378914655901</v>
      </c>
      <c r="P261" s="138">
        <f>O261*Input!N261/100</f>
        <v>4.0918727931713384E-3</v>
      </c>
      <c r="Q261" s="145">
        <f>(O261/Constants!$B$7)*602200000000000000*Constants!$B$18/(365.2425*24*60)</f>
        <v>10.220644865564056</v>
      </c>
      <c r="R261" s="146">
        <f>Q261*Input!N261/100</f>
        <v>3.0530312319892805E-3</v>
      </c>
      <c r="S261" s="144">
        <f>Input!S261*Constants!$B$17/Constants!$B$18</f>
        <v>1.0098323850307895</v>
      </c>
      <c r="T261" s="138">
        <f>S261*Input!T261/100</f>
        <v>1.4390180188110996E-3</v>
      </c>
      <c r="U261" s="144">
        <f>S261</f>
        <v>1.0098323850307895</v>
      </c>
      <c r="V261" s="138">
        <f>U261*Input!T261/100</f>
        <v>1.4390180188110996E-3</v>
      </c>
      <c r="W261" s="147">
        <v>0</v>
      </c>
      <c r="X261" s="142">
        <f>(((Constants!$B$25*0.000000001*Input!G261/Input!W261*(Constants!$B$11/Constants!$B$9))-(W261*0.000000001))/Input!F261)*1000000000</f>
        <v>0.88205423245758319</v>
      </c>
      <c r="Y261" s="142">
        <f>X261*Input!X261/100</f>
        <v>1.1895796458691148E-2</v>
      </c>
      <c r="Z261" s="142">
        <f>(X261/Constants!$B$11)*6.022E+23*0.000000001*Constants!$B$19/(365.2425*24*60)</f>
        <v>2.1533795383670191E-4</v>
      </c>
      <c r="AA261" s="142">
        <f>Z261*Input!X261/100</f>
        <v>2.9041484915675198E-6</v>
      </c>
      <c r="AB261" s="143">
        <v>0</v>
      </c>
      <c r="AC261" s="143">
        <v>0.9</v>
      </c>
      <c r="AD261" s="142">
        <f>(((Input!G261*Constants!$B$25*0.000000001*Input!U261*(Constants!$B$10/Constants!$B$9))-((AB261*0.000000000000001)+(Input!G261*AC261*0.000000000000001)))/Input!F261)*1000000000000</f>
        <v>222.53656299511576</v>
      </c>
      <c r="AE261" s="142">
        <f>AD261*Input!V261/100</f>
        <v>1.2467159082256405</v>
      </c>
      <c r="AF261" s="142">
        <f>(AD261/Constants!$B$10)*602200000000*Constants!$B$16/(365.2425*24*60)</f>
        <v>10.157830175677161</v>
      </c>
      <c r="AG261" s="142">
        <f>AF261*Input!V261/100</f>
        <v>5.6907181016133138E-2</v>
      </c>
      <c r="AH261" s="138">
        <f t="shared" ref="AH261" si="1458">AF261/Z261</f>
        <v>47171.573773660857</v>
      </c>
      <c r="AI261" s="147">
        <f t="shared" ref="AI261" si="1459">AH261*SQRT((AG261/AF261)^2+(AA261/Z261)^2)</f>
        <v>688.88355771561771</v>
      </c>
      <c r="AJ261" s="144">
        <f t="shared" si="1446"/>
        <v>9.8323850307895366</v>
      </c>
      <c r="AK261" s="147">
        <f t="shared" ref="AK261" si="1460">V261*1000</f>
        <v>1.4390180188110997</v>
      </c>
      <c r="AL261" s="147">
        <f t="shared" ref="AL261" si="1461">AF261/Q261</f>
        <v>0.99385413633746988</v>
      </c>
      <c r="AM261" s="147">
        <f t="shared" ref="AM261" si="1462">AL261*SQRT((R261/Q261)^2+(AG261/AF261)^2)</f>
        <v>5.5757750428297812E-3</v>
      </c>
      <c r="AN261" s="138">
        <f>AF261/Q261</f>
        <v>0.99385413633746988</v>
      </c>
      <c r="AO261" s="142">
        <f t="shared" ref="AO261" si="1463">AN261*SQRT((R261/Q261)^2+(AG261/AF261)^2)</f>
        <v>5.5757750428297812E-3</v>
      </c>
      <c r="AP261" s="138">
        <f t="shared" ref="AP261" si="1464">ThU_Alter_Kombi(AN261,U261)</f>
        <v>429.78969999999998</v>
      </c>
      <c r="AQ261" s="138">
        <f t="shared" si="1447"/>
        <v>38.868400000000001</v>
      </c>
      <c r="AR261" s="138">
        <f>(AQ261/AP261)*100</f>
        <v>9.043585735069966</v>
      </c>
      <c r="AS261" s="146">
        <f t="shared" si="1448"/>
        <v>2.106892047117595E-5</v>
      </c>
      <c r="AT261" s="146">
        <f t="shared" si="1449"/>
        <v>2.8421501777383471E-7</v>
      </c>
      <c r="AU261" s="138">
        <v>0.75</v>
      </c>
      <c r="AV261" s="138">
        <f t="shared" ref="AV261" si="1465">AU261/2</f>
        <v>0.375</v>
      </c>
      <c r="AW261" s="138">
        <f t="shared" si="1450"/>
        <v>429.78800000000001</v>
      </c>
      <c r="AX261" s="148">
        <f t="shared" si="1451"/>
        <v>35.166562641600002</v>
      </c>
      <c r="AY261" s="148">
        <f t="shared" si="1452"/>
        <v>31.960894859817053</v>
      </c>
      <c r="AZ261" s="149">
        <f t="shared" si="1453"/>
        <v>8.1823044481465282E-2</v>
      </c>
      <c r="BA261" s="138" t="str">
        <f>Input!B261</f>
        <v>Hu1-13</v>
      </c>
      <c r="BB261" s="150">
        <f>Input!E261</f>
        <v>0</v>
      </c>
      <c r="BC261" s="138">
        <f>((U261-1)*EXP(Constants!$B$17*AW261*1000))*1000</f>
        <v>33.068099480929106</v>
      </c>
      <c r="BD261" s="144">
        <f>SQRT((EXP(Constants!$B$17*AW261*1000)*V261)^2+((U261-1)*Constants!$B$17*EXP(Constants!$B$17*AW261*1000)*AY261*1000)^2)*1000</f>
        <v>5.6849251893120183</v>
      </c>
      <c r="BE261" s="138">
        <f t="shared" si="1454"/>
        <v>429730</v>
      </c>
      <c r="BF261" s="151">
        <f t="shared" si="1455"/>
        <v>15980.447429908527</v>
      </c>
      <c r="BG261" s="160">
        <f t="shared" si="1456"/>
        <v>7.4364325806716449</v>
      </c>
      <c r="BH261" s="138"/>
      <c r="BI261" s="18"/>
      <c r="BJ261" s="18"/>
      <c r="BK261" s="18"/>
      <c r="BL261" s="18"/>
      <c r="BM261" s="18"/>
      <c r="BN261" s="159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</row>
    <row r="262" spans="1:110" ht="15" customHeight="1" x14ac:dyDescent="0.2">
      <c r="A262" s="18">
        <f>Input!A262</f>
        <v>11074</v>
      </c>
      <c r="B262" s="18" t="str">
        <f>Input!B262</f>
        <v>Geob23213-1_8538</v>
      </c>
      <c r="C262" s="18">
        <f>Input!O262</f>
        <v>0.42155247915249006</v>
      </c>
      <c r="D262" s="18">
        <f>C262*Input!P262/100</f>
        <v>1.4155999556131201E-3</v>
      </c>
      <c r="E262" s="152">
        <f>Input!M262</f>
        <v>0.44930964891624275</v>
      </c>
      <c r="F262" s="153">
        <f>E262*Input!N262/100</f>
        <v>4.4235072251077285E-5</v>
      </c>
      <c r="G262" s="21">
        <f>E262*137.88</f>
        <v>61.950814392571552</v>
      </c>
      <c r="H262" s="153">
        <f>G262*Input!L262/100</f>
        <v>8.7316440877719167E-3</v>
      </c>
      <c r="I262" s="18">
        <v>0.3</v>
      </c>
      <c r="J262" s="129">
        <f>(((C262*Constants!$B$24*0.000000001*Input!G262*(Constants!$B$4/Constants!$B$3))-(I262*0.000000000000001))/Input!F262)*1000000000000</f>
        <v>23.031348588462009</v>
      </c>
      <c r="K262" s="18">
        <f>J262*Input!P262/100</f>
        <v>7.7340728976577622E-2</v>
      </c>
      <c r="L262" s="134">
        <f>(J262/Constants!$B$4)*602200000000*Constants!$B$17/(365.2425*24*60)</f>
        <v>0.31797333931183391</v>
      </c>
      <c r="M262" s="132">
        <f>L262*Input!P262/100</f>
        <v>1.0677746360807493E-3</v>
      </c>
      <c r="N262" s="18">
        <v>5.0000000000000001E-3</v>
      </c>
      <c r="O262" s="129">
        <f>(((G262*Constants!$B$23*0.000000001*Input!G262*(Constants!$B$7/Constants!$B$6))-(N262*0.000000001))/Input!F262)*1000000</f>
        <v>0.34094661990796382</v>
      </c>
      <c r="P262" s="18">
        <f>O262*Input!N262/100</f>
        <v>3.3566602457275097E-5</v>
      </c>
      <c r="Q262" s="130">
        <f>(O262/Constants!$B$7)*602200000000000000*Constants!$B$18/(365.2425*24*60)</f>
        <v>0.25438735064230661</v>
      </c>
      <c r="R262" s="131">
        <f>Q262*Input!N262/100</f>
        <v>2.5044738884564315E-5</v>
      </c>
      <c r="S262" s="132">
        <f>Input!S262*Constants!$B$17/Constants!$B$18</f>
        <v>1.1787130201912774</v>
      </c>
      <c r="T262" s="18">
        <f>S262*Input!T262/100</f>
        <v>1.3912465996145779E-3</v>
      </c>
      <c r="U262" s="18">
        <f>S262*1/((U261+U263)/2)</f>
        <v>1.1576801788564417</v>
      </c>
      <c r="V262" s="18">
        <f>U262*Input!T262/100</f>
        <v>1.3664213296073163E-3</v>
      </c>
      <c r="W262" s="133">
        <v>3.0000000000000001E-3</v>
      </c>
      <c r="X262" s="129">
        <f>IF((((Constants!$B$25*0.000000001*Input!G262/Input!W262*(Constants!$B$11/Constants!$B$9))-(W262*0.000000001))/Input!F262)*1000000000&lt;0, "n.d.", (((Constants!$B$25*0.000000001*Input!G262/Input!W262*(Constants!$B$11/Constants!$B$9))-(W262*0.000000001))/Input!F262)*1000000000)</f>
        <v>24.604586008184132</v>
      </c>
      <c r="Y262" s="129">
        <f>X262*Input!X262/100</f>
        <v>5.9612803352467908E-2</v>
      </c>
      <c r="Z262" s="129">
        <f>(X262/Constants!$B$11)*6.022E+23*0.000000001*Constants!$B$19/(365.2425*24*60)</f>
        <v>6.0067748796345166E-3</v>
      </c>
      <c r="AA262" s="129">
        <f>Z262*Input!X262/100</f>
        <v>1.4553412504607454E-5</v>
      </c>
      <c r="AB262" s="134">
        <v>0.05</v>
      </c>
      <c r="AC262" s="134">
        <v>0.9</v>
      </c>
      <c r="AD262" s="129">
        <f>(((Input!G262*Constants!$B$25*0.000000001*Input!U262*(Constants!$B$10/Constants!$B$9))-((AB262*0.000000000000001)+(Input!G262*AC262*0.000000000000001)))/Input!F262)*1000000000000</f>
        <v>3.6748110738486637</v>
      </c>
      <c r="AE262" s="129">
        <f>AD262*Input!V262/100</f>
        <v>1.2355658968018102E-2</v>
      </c>
      <c r="AF262" s="129">
        <f>(AD262/Constants!$B$10)*602200000000*Constants!$B$16/(365.2425*24*60)</f>
        <v>0.16773920794611991</v>
      </c>
      <c r="AG262" s="129">
        <f>AF262*Input!V262/100</f>
        <v>5.6398231291306946E-4</v>
      </c>
      <c r="AH262" s="18">
        <f>AF262/Z262</f>
        <v>27.925003235068139</v>
      </c>
      <c r="AI262" s="133">
        <f>AH262*SQRT((AG262/AF262)^2+(AA262/Z262)^2)</f>
        <v>0.11572847554721481</v>
      </c>
      <c r="AJ262" s="132">
        <f t="shared" si="1446"/>
        <v>157.6801788564417</v>
      </c>
      <c r="AK262" s="133">
        <f>V262*1000</f>
        <v>1.3664213296073162</v>
      </c>
      <c r="AL262" s="133">
        <f>AF262/Q262</f>
        <v>0.65938501864417609</v>
      </c>
      <c r="AM262" s="133">
        <f>AL262*SQRT((R262/Q262)^2+(AG262/AF262)^2)</f>
        <v>2.2179720692774504E-3</v>
      </c>
      <c r="AN262" s="18">
        <f>AL262*1/((AN261+AN263)/2)</f>
        <v>0.66341361597348059</v>
      </c>
      <c r="AO262" s="129">
        <f>AN262*SQRT((R262/Q262)^2+(AG262/AF262)^2)</f>
        <v>2.2315230540619329E-3</v>
      </c>
      <c r="AP262" s="18">
        <f>ThU_Alter_Kombi(AN262,U262)</f>
        <v>90.489400000000003</v>
      </c>
      <c r="AQ262" s="18">
        <f t="shared" si="1447"/>
        <v>0.4118</v>
      </c>
      <c r="AR262" s="154">
        <f>(AQ262/AP262)</f>
        <v>4.5508092660576814E-3</v>
      </c>
      <c r="AS262" s="131">
        <f t="shared" si="1448"/>
        <v>2.3612710555253304E-2</v>
      </c>
      <c r="AT262" s="131">
        <f t="shared" si="1449"/>
        <v>5.7256867059973809E-5</v>
      </c>
      <c r="AU262" s="18">
        <v>8</v>
      </c>
      <c r="AV262" s="18">
        <f>AU262/2</f>
        <v>4</v>
      </c>
      <c r="AW262" s="18">
        <f t="shared" si="1450"/>
        <v>71.779700000000005</v>
      </c>
      <c r="AX262" s="135">
        <f t="shared" si="1451"/>
        <v>10.64679516</v>
      </c>
      <c r="AY262" s="135">
        <f t="shared" si="1452"/>
        <v>10.282184736831679</v>
      </c>
      <c r="AZ262" s="154">
        <f t="shared" si="1453"/>
        <v>0.14832599133181107</v>
      </c>
      <c r="BA262" s="18" t="str">
        <f>Input!B262</f>
        <v>Geob23213-1_8538</v>
      </c>
      <c r="BB262" s="136">
        <f>Input!E262</f>
        <v>0</v>
      </c>
      <c r="BC262" s="18">
        <f>((U262-1)*EXP(Constants!$B$17*AW262*1000))*1000</f>
        <v>193.085948217137</v>
      </c>
      <c r="BD262" s="132">
        <f>SQRT((EXP(Constants!$B$17*AW262*1000)*V262)^2+((U262-1)*Constants!$B$17*EXP(Constants!$B$17*AW262*1000)*AY262*1000)^2)*1000</f>
        <v>5.8472808975241275</v>
      </c>
      <c r="BE262" s="18">
        <f t="shared" si="1454"/>
        <v>71721.700000000012</v>
      </c>
      <c r="BF262" s="137">
        <f t="shared" si="1455"/>
        <v>5141.0923684158397</v>
      </c>
      <c r="BG262" s="20">
        <f t="shared" si="1456"/>
        <v>14.324641558590631</v>
      </c>
      <c r="BH262" s="18"/>
      <c r="BI262" s="18"/>
      <c r="BJ262" s="18"/>
      <c r="BK262" s="18"/>
      <c r="BL262" s="18"/>
      <c r="BM262" s="18"/>
      <c r="BN262" s="159"/>
      <c r="BO262" s="18"/>
      <c r="BP262" s="18"/>
      <c r="BQ262" s="18"/>
      <c r="BR262" s="18"/>
      <c r="BS262" s="18"/>
      <c r="BT262" s="18"/>
      <c r="BU262" s="18"/>
      <c r="BV262" s="18"/>
      <c r="BW262" s="18"/>
      <c r="BX262" s="18"/>
      <c r="BY262" s="18"/>
      <c r="BZ262" s="18"/>
      <c r="CA262" s="18"/>
      <c r="CB262" s="18"/>
      <c r="CC262" s="18"/>
      <c r="CD262" s="18"/>
      <c r="CE262" s="1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  <c r="CY262" s="18"/>
      <c r="CZ262" s="18"/>
      <c r="DA262" s="18"/>
      <c r="DB262" s="18"/>
      <c r="DC262" s="18"/>
      <c r="DD262" s="18"/>
      <c r="DE262" s="18"/>
      <c r="DF262" s="18"/>
    </row>
    <row r="263" spans="1:110" ht="15" customHeight="1" x14ac:dyDescent="0.2">
      <c r="A263" s="138">
        <f>Input!A263</f>
        <v>10815</v>
      </c>
      <c r="B263" s="138" t="str">
        <f>Input!B263</f>
        <v>Hu1-13</v>
      </c>
      <c r="C263" s="138">
        <f>Input!O263</f>
        <v>2.1134085551448356</v>
      </c>
      <c r="D263" s="138">
        <f>C263*Input!P263/100</f>
        <v>6.1341632288520367E-2</v>
      </c>
      <c r="E263" s="139">
        <f>Input!M263</f>
        <v>2.7333560991019539</v>
      </c>
      <c r="F263" s="140">
        <f>E263*Input!N263/100</f>
        <v>8.470186861883859E-4</v>
      </c>
      <c r="G263" s="141">
        <f t="shared" ref="G263" si="1466">E263*137.88</f>
        <v>376.87513894417737</v>
      </c>
      <c r="H263" s="140">
        <f>G263*Input!L263/100</f>
        <v>6.605300695076273E-2</v>
      </c>
      <c r="I263" s="138">
        <v>0</v>
      </c>
      <c r="J263" s="142">
        <f>(((C263*Constants!$B$24*0.000000001*Input!G263*(Constants!$B$4/Constants!$B$3))-(I263*0.000000000000001))/Input!F263)*1000000000000</f>
        <v>763.01983144815426</v>
      </c>
      <c r="K263" s="138">
        <f>J263*Input!P263/100</f>
        <v>22.146632186001465</v>
      </c>
      <c r="L263" s="143">
        <f>(J263/Constants!$B$4)*602200000000*Constants!$B$17/(365.2425*24*60)</f>
        <v>10.534335965383606</v>
      </c>
      <c r="M263" s="144">
        <f>L263*Input!P263/100</f>
        <v>0.30575884706211559</v>
      </c>
      <c r="N263" s="138">
        <v>0</v>
      </c>
      <c r="O263" s="142">
        <f>(((G263*Constants!$B$23*0.000000001*Input!G263*(Constants!$B$7/Constants!$B$6))-(N263*0.000000001))/Input!F263)*1000000</f>
        <v>13.706650998689419</v>
      </c>
      <c r="P263" s="138">
        <f>O263*Input!N263/100</f>
        <v>4.2474485943368463E-3</v>
      </c>
      <c r="Q263" s="145">
        <f>(O263/Constants!$B$7)*602200000000000000*Constants!$B$18/(365.2425*24*60)</f>
        <v>10.226816839177243</v>
      </c>
      <c r="R263" s="146">
        <f>Q263*Input!N263/100</f>
        <v>3.169109566753917E-3</v>
      </c>
      <c r="S263" s="144">
        <f>Input!S263*Constants!$B$17/Constants!$B$18</f>
        <v>1.0265038012821042</v>
      </c>
      <c r="T263" s="138">
        <f>S263*Input!T263/100</f>
        <v>1.3882368840631371E-3</v>
      </c>
      <c r="U263" s="144">
        <f>S263</f>
        <v>1.0265038012821042</v>
      </c>
      <c r="V263" s="138">
        <f>U263*Input!T263/100</f>
        <v>1.3882368840631371E-3</v>
      </c>
      <c r="W263" s="147">
        <v>0</v>
      </c>
      <c r="X263" s="142">
        <f>(((Constants!$B$25*0.000000001*Input!G263/Input!W263*(Constants!$B$11/Constants!$B$9))-(W263*0.000000001))/Input!F263)*1000000000</f>
        <v>0.87894621865159228</v>
      </c>
      <c r="Y263" s="142">
        <f>X263*Input!X263/100</f>
        <v>1.137804981361209E-2</v>
      </c>
      <c r="Z263" s="142">
        <f>(X263/Constants!$B$11)*6.022E+23*0.000000001*Constants!$B$19/(365.2425*24*60)</f>
        <v>2.1457918718851798E-4</v>
      </c>
      <c r="AA263" s="142">
        <f>Z263*Input!X263/100</f>
        <v>2.7777497974118255E-6</v>
      </c>
      <c r="AB263" s="143">
        <v>0</v>
      </c>
      <c r="AC263" s="143">
        <v>0.9</v>
      </c>
      <c r="AD263" s="142">
        <f>(((Input!G263*Constants!$B$25*0.000000001*Input!U263*(Constants!$B$10/Constants!$B$9))-((AB263*0.000000000000001)+(Input!G263*AC263*0.000000000000001)))/Input!F263)*1000000000000</f>
        <v>222.703808558026</v>
      </c>
      <c r="AE263" s="142">
        <f>AD263*Input!V263/100</f>
        <v>1.011881731532789</v>
      </c>
      <c r="AF263" s="142">
        <f>(AD263/Constants!$B$10)*602200000000*Constants!$B$16/(365.2425*24*60)</f>
        <v>10.165464211193898</v>
      </c>
      <c r="AG263" s="142">
        <f>AF263*Input!V263/100</f>
        <v>4.6188018042706142E-2</v>
      </c>
      <c r="AH263" s="138">
        <f t="shared" ref="AH263" si="1467">AF263/Z263</f>
        <v>47373.95245263492</v>
      </c>
      <c r="AI263" s="147">
        <f t="shared" ref="AI263" si="1468">AH263*SQRT((AG263/AF263)^2+(AA263/Z263)^2)</f>
        <v>649.93920348060681</v>
      </c>
      <c r="AJ263" s="144">
        <f t="shared" si="1446"/>
        <v>26.503801282104167</v>
      </c>
      <c r="AK263" s="147">
        <f t="shared" ref="AK263" si="1469">V263*1000</f>
        <v>1.3882368840631372</v>
      </c>
      <c r="AL263" s="147">
        <f t="shared" ref="AL263" si="1470">AF263/Q263</f>
        <v>0.99400080895667231</v>
      </c>
      <c r="AM263" s="147">
        <f t="shared" ref="AM263" si="1471">AL263*SQRT((R263/Q263)^2+(AG263/AF263)^2)</f>
        <v>4.5268547402017578E-3</v>
      </c>
      <c r="AN263" s="138">
        <f>AF263/Q263</f>
        <v>0.99400080895667231</v>
      </c>
      <c r="AO263" s="142">
        <f t="shared" ref="AO263" si="1472">AN263*SQRT((R263/Q263)^2+(AG263/AF263)^2)</f>
        <v>4.5268547402017578E-3</v>
      </c>
      <c r="AP263" s="138">
        <f t="shared" ref="AP263" si="1473">ThU_Alter_Kombi(AN263,U263)</f>
        <v>350.59440000000001</v>
      </c>
      <c r="AQ263" s="138">
        <f t="shared" si="1447"/>
        <v>12.962400000000001</v>
      </c>
      <c r="AR263" s="138">
        <f>(AQ263/AP263)*100</f>
        <v>3.697263846769943</v>
      </c>
      <c r="AS263" s="146">
        <f t="shared" si="1448"/>
        <v>2.0982011369021552E-5</v>
      </c>
      <c r="AT263" s="146">
        <f t="shared" si="1449"/>
        <v>2.7169212116714939E-7</v>
      </c>
      <c r="AU263" s="138">
        <v>0.75</v>
      </c>
      <c r="AV263" s="138">
        <f t="shared" ref="AV263" si="1474">AU263/2</f>
        <v>0.375</v>
      </c>
      <c r="AW263" s="138">
        <f t="shared" si="1450"/>
        <v>350.59280000000001</v>
      </c>
      <c r="AX263" s="148">
        <f t="shared" si="1451"/>
        <v>12.133583312600001</v>
      </c>
      <c r="AY263" s="148">
        <f t="shared" si="1452"/>
        <v>12.301665980240998</v>
      </c>
      <c r="AZ263" s="149">
        <f t="shared" si="1453"/>
        <v>3.4608763535931147E-2</v>
      </c>
      <c r="BA263" s="138" t="str">
        <f>Input!B263</f>
        <v>Hu1-13</v>
      </c>
      <c r="BB263" s="150">
        <f>Input!E263</f>
        <v>0</v>
      </c>
      <c r="BC263" s="138">
        <f>((U263-1)*EXP(Constants!$B$17*AW263*1000))*1000</f>
        <v>71.284726114628612</v>
      </c>
      <c r="BD263" s="144">
        <f>SQRT((EXP(Constants!$B$17*AW263*1000)*V263)^2+((U263-1)*Constants!$B$17*EXP(Constants!$B$17*AW263*1000)*AY263*1000)^2)*1000</f>
        <v>4.4794611860251958</v>
      </c>
      <c r="BE263" s="138">
        <f t="shared" si="1454"/>
        <v>350534.8</v>
      </c>
      <c r="BF263" s="151">
        <f t="shared" si="1455"/>
        <v>6150.8329901204988</v>
      </c>
      <c r="BG263" s="160">
        <f t="shared" si="1456"/>
        <v>3.5088187721598953</v>
      </c>
      <c r="BH263" s="138"/>
      <c r="BI263" s="18"/>
      <c r="BJ263" s="18"/>
      <c r="BK263" s="18"/>
      <c r="BL263" s="18"/>
      <c r="BM263" s="18"/>
      <c r="BN263" s="159"/>
      <c r="BO263" s="18"/>
      <c r="BP263" s="18"/>
      <c r="BQ263" s="18"/>
      <c r="BR263" s="18"/>
      <c r="BS263" s="18"/>
      <c r="BT263" s="18"/>
      <c r="BU263" s="18"/>
      <c r="BV263" s="18"/>
      <c r="BW263" s="18"/>
      <c r="BX263" s="18"/>
      <c r="BY263" s="18"/>
      <c r="BZ263" s="18"/>
      <c r="CA263" s="18"/>
      <c r="CB263" s="18"/>
      <c r="CC263" s="18"/>
      <c r="CD263" s="18"/>
      <c r="CE263" s="1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  <c r="CY263" s="18"/>
      <c r="CZ263" s="18"/>
      <c r="DA263" s="18"/>
      <c r="DB263" s="18"/>
      <c r="DC263" s="18"/>
      <c r="DD263" s="18"/>
      <c r="DE263" s="18"/>
      <c r="DF263" s="18"/>
    </row>
    <row r="265" spans="1:110" ht="15" customHeight="1" x14ac:dyDescent="0.2">
      <c r="A265" s="138">
        <f>Input!A265</f>
        <v>10815</v>
      </c>
      <c r="B265" s="138" t="str">
        <f>Input!B265</f>
        <v>Hu1-13</v>
      </c>
      <c r="C265" s="138">
        <f>Input!O265</f>
        <v>2.0752188250586565</v>
      </c>
      <c r="D265" s="138">
        <f>C265*Input!P265/100</f>
        <v>1.030128095043048E-2</v>
      </c>
      <c r="E265" s="139">
        <f>Input!M265</f>
        <v>2.7320991309755733</v>
      </c>
      <c r="F265" s="140">
        <f>E265*Input!N265/100</f>
        <v>2.0800621526523001E-4</v>
      </c>
      <c r="G265" s="141">
        <f t="shared" ref="G265" si="1475">E265*137.88</f>
        <v>376.70182817891202</v>
      </c>
      <c r="H265" s="140">
        <f>G265*Input!L265/100</f>
        <v>1.9313339013460731E-2</v>
      </c>
      <c r="I265" s="138">
        <v>0</v>
      </c>
      <c r="J265" s="142">
        <f>(((C265*Constants!$B$24*0.000000001*Input!G265*(Constants!$B$4/Constants!$B$3))-(I265*0.000000000000001))/Input!F265)*1000000000000</f>
        <v>749.23190514187047</v>
      </c>
      <c r="K265" s="138">
        <f>J265*Input!P265/100</f>
        <v>3.7191491608960972</v>
      </c>
      <c r="L265" s="143">
        <f>(J265/Constants!$B$4)*602200000000*Constants!$B$17/(365.2425*24*60)</f>
        <v>10.34397833378617</v>
      </c>
      <c r="M265" s="144">
        <f>L265*Input!P265/100</f>
        <v>5.1346983592674984E-2</v>
      </c>
      <c r="N265" s="138">
        <v>0</v>
      </c>
      <c r="O265" s="142">
        <f>(((G265*Constants!$B$23*0.000000001*Input!G265*(Constants!$B$7/Constants!$B$6))-(N265*0.000000001))/Input!F265)*1000000</f>
        <v>13.700347823105956</v>
      </c>
      <c r="P265" s="138">
        <f>O265*Input!N265/100</f>
        <v>1.0430651897626849E-3</v>
      </c>
      <c r="Q265" s="145">
        <f>(O265/Constants!$B$7)*602200000000000000*Constants!$B$18/(365.2425*24*60)</f>
        <v>10.222113909030162</v>
      </c>
      <c r="R265" s="146">
        <f>Q265*Input!N265/100</f>
        <v>7.7825259051569884E-4</v>
      </c>
      <c r="S265" s="144">
        <f>Input!S265*Constants!$B$17/Constants!$B$18</f>
        <v>1.0001655519706314</v>
      </c>
      <c r="T265" s="138">
        <f>S265*Input!T265/100</f>
        <v>1.0668604177647895E-3</v>
      </c>
      <c r="U265" s="144">
        <f>S265</f>
        <v>1.0001655519706314</v>
      </c>
      <c r="V265" s="138">
        <f>U265*Input!T265/100</f>
        <v>1.0668604177647895E-3</v>
      </c>
      <c r="W265" s="147">
        <v>0</v>
      </c>
      <c r="X265" s="142">
        <f>(((Constants!$B$25*0.000000001*Input!G265/Input!W265*(Constants!$B$11/Constants!$B$9))-(W265*0.000000001))/Input!F265)*1000000000</f>
        <v>0.97687247845537983</v>
      </c>
      <c r="Y265" s="142">
        <f>X265*Input!X265/100</f>
        <v>4.4438303188081424E-3</v>
      </c>
      <c r="Z265" s="142">
        <f>(X265/Constants!$B$11)*6.022E+23*0.000000001*Constants!$B$19/(365.2425*24*60)</f>
        <v>2.3848615303831102E-4</v>
      </c>
      <c r="AA265" s="142">
        <f>Z265*Input!X265/100</f>
        <v>1.0848826442150328E-6</v>
      </c>
      <c r="AB265" s="143">
        <v>0</v>
      </c>
      <c r="AC265" s="143">
        <v>0.9</v>
      </c>
      <c r="AD265" s="142">
        <f>(((Input!G265*Constants!$B$25*0.000000001*Input!U265*(Constants!$B$10/Constants!$B$9))-((AB265*0.000000000000001)+(Input!G265*AC265*0.000000000000001)))/Input!F265)*1000000000000</f>
        <v>222.23831949731027</v>
      </c>
      <c r="AE265" s="142">
        <f>AD265*Input!V265/100</f>
        <v>0.76712217471677246</v>
      </c>
      <c r="AF265" s="142">
        <f>(AD265/Constants!$B$10)*602200000000*Constants!$B$16/(365.2425*24*60)</f>
        <v>10.144216651854675</v>
      </c>
      <c r="AG265" s="142">
        <f>AF265*Input!V265/100</f>
        <v>3.5015804458794236E-2</v>
      </c>
      <c r="AH265" s="138">
        <f t="shared" ref="AH265" si="1476">AF265/Z265</f>
        <v>42535.872723080414</v>
      </c>
      <c r="AI265" s="147">
        <f t="shared" ref="AI265" si="1477">AH265*SQRT((AG265/AF265)^2+(AA265/Z265)^2)</f>
        <v>242.8968579514947</v>
      </c>
      <c r="AJ265" s="144">
        <f t="shared" ref="AJ265:AJ275" si="1478">(U265-1)*1000</f>
        <v>0.1655519706313946</v>
      </c>
      <c r="AK265" s="147">
        <f t="shared" ref="AK265" si="1479">V265*1000</f>
        <v>1.0668604177647896</v>
      </c>
      <c r="AL265" s="147">
        <f t="shared" ref="AL265" si="1480">AF265/Q265</f>
        <v>0.9923795354005327</v>
      </c>
      <c r="AM265" s="147">
        <f t="shared" ref="AM265" si="1481">AL265*SQRT((R265/Q265)^2+(AG265/AF265)^2)</f>
        <v>3.4263285508852148E-3</v>
      </c>
      <c r="AN265" s="138">
        <f>AF265/Q265</f>
        <v>0.9923795354005327</v>
      </c>
      <c r="AO265" s="142">
        <f t="shared" ref="AO265" si="1482">AN265*SQRT((R265/Q265)^2+(AG265/AF265)^2)</f>
        <v>3.4263285508852148E-3</v>
      </c>
      <c r="AP265" s="138">
        <f t="shared" ref="AP265" si="1483">ThU_Alter_Kombi(AN265,U265)</f>
        <v>528.55100000000004</v>
      </c>
      <c r="AQ265" s="138" t="e">
        <f t="shared" ref="AQ265:AQ275" si="1484">Montealter(AN265,AO265,U265,V265)</f>
        <v>#VALUE!</v>
      </c>
      <c r="AR265" s="138" t="e">
        <f>(AQ265/AP265)*100</f>
        <v>#VALUE!</v>
      </c>
      <c r="AS265" s="146">
        <f t="shared" ref="AS265:AS275" si="1485">Z265/Q265</f>
        <v>2.3330414350757097E-5</v>
      </c>
      <c r="AT265" s="146">
        <f t="shared" ref="AT265:AT275" si="1486">AS265*SQRT((Y265/X265)^2+(P265/O265)^2)</f>
        <v>1.061458112914557E-7</v>
      </c>
      <c r="AU265" s="138">
        <v>0.75</v>
      </c>
      <c r="AV265" s="138">
        <f t="shared" ref="AV265" si="1487">AU265/2</f>
        <v>0.375</v>
      </c>
      <c r="AW265" s="138">
        <f t="shared" ref="AW265:AW275" si="1488">marincorr_age(AN265,U265,AS265,AU265)</f>
        <v>528.54909999999995</v>
      </c>
      <c r="AX265" s="148">
        <f t="shared" ref="AX265:AX275" si="1489">marincorr_age_error(AN265, AO265, U265, V265, AS265, AT265, AU265, AV265)</f>
        <v>108.7763340214</v>
      </c>
      <c r="AY265" s="148">
        <f t="shared" ref="AY265:AY275" si="1490">SQRT(((AU265*EXP(-0.0000091577*AW265*1000))/(0.0000091577*(EXP(-0.0000091577*AW265*1000)+(AJ265/1000)*EXP(-(0.0000091577-0.0000028263)*AW265*1000)-AS265*AU265*EXP(-0.0000091577*AW265*1000))))^2*AT265^2+((AS265*EXP(-0.0000091577*AW265*1000))/(0.0000091577*(EXP(-0.0000091577*AW265*1000)+(AJ265/1000)*EXP(-(0.0000091577-0.0000028263)*AW265*1000)-AS265*AU265*EXP(-0.0000091577*AW265*1000))))^2*AV265^2+((0.0000091577/(0.0000091577-0.0000028263))*(EXP(-(0.0000091577-0.0000028263)*AW265*1000)-1)/(0.0000091577*(EXP(-0.0000091577*AW265*1000)+(AJ265/1000)*EXP(-(0.0000091577-0.0000028263)*AW265*1000)-AS265*AU265*EXP(-0.0000091577*AW265*1000))))^2*T265^2+(1/(0.0000091577*(EXP(-0.0000091577*AW265*1000)+(AJ265/1000)*EXP(-(0.0000091577-0.0000028263)*AW265*1000)-AS265*AU265*EXP(-0.0000091577*AW265*1000))))^2*AO265^2)/1000</f>
        <v>51.569994053039885</v>
      </c>
      <c r="AZ265" s="149">
        <f t="shared" ref="AZ265:AZ275" si="1491">AX265/AW265</f>
        <v>0.20580175809853807</v>
      </c>
      <c r="BA265" s="138" t="str">
        <f>Input!B265</f>
        <v>Hu1-13</v>
      </c>
      <c r="BB265" s="150">
        <f>Input!E265</f>
        <v>0</v>
      </c>
      <c r="BC265" s="138">
        <f>((U265-1)*EXP(Constants!$B$17*AW265*1000))*1000</f>
        <v>0.73574415338359345</v>
      </c>
      <c r="BD265" s="144">
        <f>SQRT((EXP(Constants!$B$17*AW265*1000)*V265)^2+((U265-1)*Constants!$B$17*EXP(Constants!$B$17*AW265*1000)*AY265*1000)^2)*1000</f>
        <v>4.742537643594356</v>
      </c>
      <c r="BE265" s="138">
        <f t="shared" ref="BE265:BE275" si="1492">AW265*1000-58</f>
        <v>528491.1</v>
      </c>
      <c r="BF265" s="151">
        <f t="shared" ref="BF265:BF275" si="1493">AY265/2*1000</f>
        <v>25784.997026519941</v>
      </c>
      <c r="BG265" s="160">
        <f t="shared" ref="BG265:BG275" si="1494">AY265/AW265*100</f>
        <v>9.7568975243813476</v>
      </c>
      <c r="BH265" s="138"/>
      <c r="BI265" s="18"/>
      <c r="BJ265" s="18"/>
      <c r="BK265" s="18"/>
      <c r="BL265" s="18"/>
      <c r="BM265" s="18"/>
      <c r="BN265" s="159"/>
      <c r="BO265" s="18"/>
      <c r="BP265" s="18"/>
      <c r="BQ265" s="18"/>
      <c r="BR265" s="18"/>
      <c r="BS265" s="18"/>
      <c r="BT265" s="18"/>
      <c r="BU265" s="18"/>
      <c r="BV265" s="18"/>
      <c r="BW265" s="18"/>
      <c r="BX265" s="18"/>
      <c r="BY265" s="18"/>
      <c r="BZ265" s="18"/>
      <c r="CA265" s="18"/>
      <c r="CB265" s="18"/>
      <c r="CC265" s="18"/>
      <c r="CD265" s="18"/>
      <c r="CE265" s="1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  <c r="CY265" s="18"/>
      <c r="CZ265" s="18"/>
      <c r="DA265" s="18"/>
      <c r="DB265" s="18"/>
      <c r="DC265" s="18"/>
      <c r="DD265" s="18"/>
      <c r="DE265" s="18"/>
      <c r="DF265" s="18"/>
    </row>
    <row r="266" spans="1:110" ht="15" customHeight="1" x14ac:dyDescent="0.2">
      <c r="A266" s="18">
        <f>Input!A266</f>
        <v>11075</v>
      </c>
      <c r="B266" s="18" t="str">
        <f>Input!B266</f>
        <v>MeBo24 T10-La-06</v>
      </c>
      <c r="C266" s="18">
        <f>Input!O266</f>
        <v>3.3517882521113238</v>
      </c>
      <c r="D266" s="18">
        <f>C266*Input!P266/100</f>
        <v>2.0925472287706595E-2</v>
      </c>
      <c r="E266" s="152">
        <f>Input!M266</f>
        <v>3.9121424521992654</v>
      </c>
      <c r="F266" s="153">
        <f>E266*Input!N266/100</f>
        <v>3.2976589163870242E-4</v>
      </c>
      <c r="G266" s="21">
        <f>E266*137.88</f>
        <v>539.40620130923469</v>
      </c>
      <c r="H266" s="153">
        <f>G266*Input!L266/100</f>
        <v>2.8713045421700171E-2</v>
      </c>
      <c r="I266" s="18">
        <v>0.3</v>
      </c>
      <c r="J266" s="129">
        <f>(((C266*Constants!$B$24*0.000000001*Input!G266*(Constants!$B$4/Constants!$B$3))-(I266*0.000000000000001))/Input!F266)*1000000000000</f>
        <v>469.34817022392821</v>
      </c>
      <c r="K266" s="18">
        <f>J266*Input!P266/100</f>
        <v>2.9301767864124639</v>
      </c>
      <c r="L266" s="134">
        <f>(J266/Constants!$B$4)*602200000000*Constants!$B$17/(365.2425*24*60)</f>
        <v>6.4798726141797101</v>
      </c>
      <c r="M266" s="132">
        <f>L266*Input!P266/100</f>
        <v>4.0454343955192928E-2</v>
      </c>
      <c r="N266" s="18">
        <v>5.0000000000000001E-3</v>
      </c>
      <c r="O266" s="129">
        <f>(((G266*Constants!$B$23*0.000000001*Input!G266*(Constants!$B$7/Constants!$B$6))-(N266*0.000000001))/Input!F266)*1000000</f>
        <v>7.6087919462901166</v>
      </c>
      <c r="P266" s="18">
        <f>O266*Input!N266/100</f>
        <v>6.4136725365181971E-4</v>
      </c>
      <c r="Q266" s="130">
        <f>(O266/Constants!$B$7)*602200000000000000*Constants!$B$18/(365.2425*24*60)</f>
        <v>5.6770776179794904</v>
      </c>
      <c r="R266" s="131">
        <f>Q266*Input!N266/100</f>
        <v>4.7853742175024759E-4</v>
      </c>
      <c r="S266" s="132">
        <f>Input!S266*Constants!$B$17/Constants!$B$18</f>
        <v>1.1360893805659784</v>
      </c>
      <c r="T266" s="18">
        <f>S266*Input!T266/100</f>
        <v>8.7815551641712243E-4</v>
      </c>
      <c r="U266" s="18">
        <f>S266*1/((U265+U267)/2)</f>
        <v>1.1356461132668949</v>
      </c>
      <c r="V266" s="18">
        <f>U266*Input!T266/100</f>
        <v>8.7781288701612977E-4</v>
      </c>
      <c r="W266" s="133">
        <v>3.0000000000000001E-3</v>
      </c>
      <c r="X266" s="129">
        <f>(((Constants!$B$25*0.000000001*Input!G266/Input!W266*(Constants!$B$11/Constants!$B$9)-(W266*0.000000001))/Input!F266)*1000000000)</f>
        <v>19.552155384005477</v>
      </c>
      <c r="Y266" s="129">
        <f>X266*Input!X266/100</f>
        <v>5.6422052774764191E-2</v>
      </c>
      <c r="Z266" s="129">
        <f>(X266/Constants!$B$11)*6.022E+23*0.000000001*Constants!$B$19/(365.2425*24*60)</f>
        <v>4.7733132256031234E-3</v>
      </c>
      <c r="AA266" s="129">
        <f>Z266*Input!X266/100</f>
        <v>1.3774447135673597E-5</v>
      </c>
      <c r="AB266" s="134">
        <v>0.05</v>
      </c>
      <c r="AC266" s="134">
        <v>0.9</v>
      </c>
      <c r="AD266" s="129">
        <f>(((Input!G266*Constants!$B$25*0.000000001*Input!U266*(Constants!$B$10/Constants!$B$9))-((AB266*0.000000000000001)+(Input!G266*AC266*0.000000000000001)))/Input!F266)*1000000000000</f>
        <v>18.025785838772222</v>
      </c>
      <c r="AE266" s="129">
        <f>AD266*Input!V266/100</f>
        <v>8.0752820358511335E-2</v>
      </c>
      <c r="AF266" s="129">
        <f>(AD266/Constants!$B$10)*602200000000*Constants!$B$16/(365.2425*24*60)</f>
        <v>0.82279904420647154</v>
      </c>
      <c r="AG266" s="129">
        <f>AF266*Input!V266/100</f>
        <v>3.6860164656480595E-3</v>
      </c>
      <c r="AH266" s="18">
        <f>AF266/Z266</f>
        <v>172.37482757115907</v>
      </c>
      <c r="AI266" s="133">
        <f>AH266*SQRT((AG266/AF266)^2+(AA266/Z266)^2)</f>
        <v>0.91855632456133451</v>
      </c>
      <c r="AJ266" s="132">
        <f t="shared" si="1478"/>
        <v>135.6461132668949</v>
      </c>
      <c r="AK266" s="133">
        <f>V266*1000</f>
        <v>0.87781288701612981</v>
      </c>
      <c r="AL266" s="133">
        <f>AF266/Q266</f>
        <v>0.14493355553227599</v>
      </c>
      <c r="AM266" s="133">
        <f>AL266*SQRT((R266/Q266)^2+(AG266/AF266)^2)</f>
        <v>6.4939554448147487E-4</v>
      </c>
      <c r="AN266" s="18">
        <f>AL266*1/((AN265+AN267)/2)</f>
        <v>0.14585557060986201</v>
      </c>
      <c r="AO266" s="129">
        <f>AN266*SQRT((R266/Q266)^2+(AG266/AF266)^2)</f>
        <v>6.53526765033749E-4</v>
      </c>
      <c r="AP266" s="18">
        <f>ThU_Alter_Kombi(AN266,U266)</f>
        <v>14.9498</v>
      </c>
      <c r="AQ266" s="18">
        <f t="shared" si="1484"/>
        <v>7.9600000000000004E-2</v>
      </c>
      <c r="AR266" s="154">
        <f>(AQ266/AP266)</f>
        <v>5.324485946300285E-3</v>
      </c>
      <c r="AS266" s="131">
        <f t="shared" si="1485"/>
        <v>8.4080464401013017E-4</v>
      </c>
      <c r="AT266" s="131">
        <f t="shared" si="1486"/>
        <v>2.4273619805526695E-6</v>
      </c>
      <c r="AU266" s="18">
        <v>8</v>
      </c>
      <c r="AV266" s="18">
        <f>AU266/2</f>
        <v>4</v>
      </c>
      <c r="AW266" s="18">
        <f t="shared" si="1488"/>
        <v>14.305199999999999</v>
      </c>
      <c r="AX266" s="135">
        <f t="shared" si="1489"/>
        <v>0.34387444439999998</v>
      </c>
      <c r="AY266" s="135">
        <f t="shared" si="1490"/>
        <v>0.33178309433035069</v>
      </c>
      <c r="AZ266" s="154">
        <f t="shared" si="1491"/>
        <v>2.4038422699437966E-2</v>
      </c>
      <c r="BA266" s="18" t="str">
        <f>Input!B266</f>
        <v>MeBo24 T10-La-06</v>
      </c>
      <c r="BB266" s="136">
        <f>Input!E266</f>
        <v>0</v>
      </c>
      <c r="BC266" s="18">
        <f>((U266-1)*EXP(Constants!$B$17*AW266*1000))*1000</f>
        <v>141.23420189045419</v>
      </c>
      <c r="BD266" s="132">
        <f>SQRT((EXP(Constants!$B$17*AW266*1000)*V266)^2+((U266-1)*Constants!$B$17*EXP(Constants!$B$17*AW266*1000)*AY266*1000)^2)*1000</f>
        <v>0.92349236135095125</v>
      </c>
      <c r="BE266" s="18">
        <f t="shared" si="1492"/>
        <v>14247.199999999999</v>
      </c>
      <c r="BF266" s="137">
        <f t="shared" si="1493"/>
        <v>165.89154716517535</v>
      </c>
      <c r="BG266" s="20">
        <f t="shared" si="1494"/>
        <v>2.3193181104098559</v>
      </c>
      <c r="BH266" s="18"/>
      <c r="BI266" s="18"/>
      <c r="BJ266" s="18"/>
      <c r="BK266" s="18"/>
      <c r="BL266" s="18"/>
      <c r="BM266" s="18"/>
      <c r="BN266" s="159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1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18"/>
      <c r="CZ266" s="18"/>
      <c r="DA266" s="18"/>
      <c r="DB266" s="18"/>
      <c r="DC266" s="18"/>
      <c r="DD266" s="18"/>
      <c r="DE266" s="18"/>
      <c r="DF266" s="18"/>
    </row>
    <row r="267" spans="1:110" ht="15" customHeight="1" x14ac:dyDescent="0.2">
      <c r="A267" s="138">
        <f>Input!A267</f>
        <v>10815</v>
      </c>
      <c r="B267" s="138" t="str">
        <f>Input!B267</f>
        <v>Hu1-13</v>
      </c>
      <c r="C267" s="138">
        <f>Input!O267</f>
        <v>2.0859510034504707</v>
      </c>
      <c r="D267" s="138">
        <f>C267*Input!P267/100</f>
        <v>1.3290452998562113E-2</v>
      </c>
      <c r="E267" s="139">
        <f>Input!M267</f>
        <v>2.7322546709161961</v>
      </c>
      <c r="F267" s="140">
        <f>E267*Input!N267/100</f>
        <v>2.130592754700717E-4</v>
      </c>
      <c r="G267" s="141">
        <f t="shared" ref="G267" si="1495">E267*137.88</f>
        <v>376.72327402592509</v>
      </c>
      <c r="H267" s="140">
        <f>G267*Input!L267/100</f>
        <v>2.240150440789742E-2</v>
      </c>
      <c r="I267" s="138">
        <v>0</v>
      </c>
      <c r="J267" s="142">
        <f>(((C267*Constants!$B$24*0.000000001*Input!G267*(Constants!$B$4/Constants!$B$3))-(I267*0.000000000000001))/Input!F267)*1000000000000</f>
        <v>753.10662445615492</v>
      </c>
      <c r="K267" s="138">
        <f>J267*Input!P267/100</f>
        <v>4.7983524918292524</v>
      </c>
      <c r="L267" s="143">
        <f>(J267/Constants!$B$4)*602200000000*Constants!$B$17/(365.2425*24*60)</f>
        <v>10.397473136078222</v>
      </c>
      <c r="M267" s="144">
        <f>L267*Input!P267/100</f>
        <v>6.6246583831680569E-2</v>
      </c>
      <c r="N267" s="138">
        <v>0</v>
      </c>
      <c r="O267" s="142">
        <f>(((G267*Constants!$B$23*0.000000001*Input!G267*(Constants!$B$7/Constants!$B$6))-(N267*0.000000001))/Input!F267)*1000000</f>
        <v>13.701127791615427</v>
      </c>
      <c r="P267" s="138">
        <f>O267*Input!N267/100</f>
        <v>1.0684041979972453E-3</v>
      </c>
      <c r="Q267" s="145">
        <f>(O267/Constants!$B$7)*602200000000000000*Constants!$B$18/(365.2425*24*60)</f>
        <v>10.222695859726029</v>
      </c>
      <c r="R267" s="146">
        <f>Q267*Input!N267/100</f>
        <v>7.9715855055845718E-4</v>
      </c>
      <c r="S267" s="144">
        <f>Input!S267*Constants!$B$17/Constants!$B$18</f>
        <v>1.0006150913898397</v>
      </c>
      <c r="T267" s="138">
        <f>S267*Input!T267/100</f>
        <v>9.140461969858074E-4</v>
      </c>
      <c r="U267" s="144">
        <f>S267</f>
        <v>1.0006150913898397</v>
      </c>
      <c r="V267" s="138">
        <f>U267*Input!T267/100</f>
        <v>9.140461969858074E-4</v>
      </c>
      <c r="W267" s="147">
        <v>0</v>
      </c>
      <c r="X267" s="142">
        <f>(((Constants!$B$25*0.000000001*Input!G267/Input!W267*(Constants!$B$11/Constants!$B$9))-(W267*0.000000000001))/Input!F267)*1000000000</f>
        <v>0.94931106962560807</v>
      </c>
      <c r="Y267" s="142">
        <f>X267*Input!X267/100</f>
        <v>4.3911476634723636E-3</v>
      </c>
      <c r="Z267" s="142">
        <f>(X267/Constants!$B$11)*6.022E+23*0.000000001*Constants!$B$19/(365.2425*24*60)</f>
        <v>2.3175752211759804E-4</v>
      </c>
      <c r="AA267" s="142">
        <f>Z267*Input!X267/100</f>
        <v>1.0720211048841884E-6</v>
      </c>
      <c r="AB267" s="143">
        <v>0</v>
      </c>
      <c r="AC267" s="143">
        <v>0.9</v>
      </c>
      <c r="AD267" s="142">
        <f>(((Input!G267*Constants!$B$25*0.000000001*Input!U267*(Constants!$B$10/Constants!$B$9))-((AB267*0.000000000000001)+(Input!G267*AC267*0.000000000000001)))/Input!F267)*1000000000000</f>
        <v>222.8328312338991</v>
      </c>
      <c r="AE267" s="142">
        <f>AD267*Input!V267/100</f>
        <v>0.87573330206165945</v>
      </c>
      <c r="AF267" s="142">
        <f>(AD267/Constants!$B$10)*602200000000*Constants!$B$16/(365.2425*24*60)</f>
        <v>10.171353537481187</v>
      </c>
      <c r="AG267" s="142">
        <f>AF267*Input!V267/100</f>
        <v>3.9973431969121245E-2</v>
      </c>
      <c r="AH267" s="138">
        <f t="shared" ref="AH267" si="1496">AF267/Z267</f>
        <v>43887.911143268328</v>
      </c>
      <c r="AI267" s="147">
        <f t="shared" ref="AI267" si="1497">AH267*SQRT((AG267/AF267)^2+(AA267/Z267)^2)</f>
        <v>266.38633537655988</v>
      </c>
      <c r="AJ267" s="144">
        <f t="shared" si="1478"/>
        <v>0.61509138983972811</v>
      </c>
      <c r="AK267" s="147">
        <f t="shared" ref="AK267" si="1498">V267*1000</f>
        <v>0.91404619698580736</v>
      </c>
      <c r="AL267" s="147">
        <f t="shared" ref="AL267" si="1499">AF267/Q267</f>
        <v>0.99497761422726916</v>
      </c>
      <c r="AM267" s="147">
        <f t="shared" ref="AM267" si="1500">AL267*SQRT((R267/Q267)^2+(AG267/AF267)^2)</f>
        <v>3.9110329265255482E-3</v>
      </c>
      <c r="AN267" s="138">
        <f>AF267/Q267</f>
        <v>0.99497761422726916</v>
      </c>
      <c r="AO267" s="142">
        <f t="shared" ref="AO267" si="1501">AN267*SQRT((R267/Q267)^2+(AG267/AF267)^2)</f>
        <v>3.9110329265255482E-3</v>
      </c>
      <c r="AP267" s="138">
        <f t="shared" ref="AP267" si="1502">ThU_Alter_Kombi(AN267,U267)</f>
        <v>559.97519999999997</v>
      </c>
      <c r="AQ267" s="138" t="e">
        <f t="shared" si="1484"/>
        <v>#VALUE!</v>
      </c>
      <c r="AR267" s="138" t="e">
        <f>(AQ267/AP267)*100</f>
        <v>#VALUE!</v>
      </c>
      <c r="AS267" s="146">
        <f t="shared" si="1485"/>
        <v>2.2670881076550899E-5</v>
      </c>
      <c r="AT267" s="146">
        <f t="shared" si="1486"/>
        <v>1.0488167127195517E-7</v>
      </c>
      <c r="AU267" s="138">
        <v>0.75</v>
      </c>
      <c r="AV267" s="138">
        <f t="shared" ref="AV267" si="1503">AU267/2</f>
        <v>0.375</v>
      </c>
      <c r="AW267" s="138">
        <f t="shared" si="1488"/>
        <v>559.97329999999999</v>
      </c>
      <c r="AX267" s="148">
        <f t="shared" si="1489"/>
        <v>174.7756339158</v>
      </c>
      <c r="AY267" s="148">
        <f t="shared" si="1490"/>
        <v>75.601429154520872</v>
      </c>
      <c r="AZ267" s="149">
        <f t="shared" si="1491"/>
        <v>0.3121142274387011</v>
      </c>
      <c r="BA267" s="138" t="str">
        <f>Input!B267</f>
        <v>Hu1-13</v>
      </c>
      <c r="BB267" s="150">
        <f>Input!E267</f>
        <v>0</v>
      </c>
      <c r="BC267" s="138">
        <f>((U267-1)*EXP(Constants!$B$17*AW267*1000))*1000</f>
        <v>2.9870725578405568</v>
      </c>
      <c r="BD267" s="144">
        <f>SQRT((EXP(Constants!$B$17*AW267*1000)*V267)^2+((U267-1)*Constants!$B$17*EXP(Constants!$B$17*AW267*1000)*AY267*1000)^2)*1000</f>
        <v>4.4844043033395424</v>
      </c>
      <c r="BE267" s="138">
        <f t="shared" si="1492"/>
        <v>559915.30000000005</v>
      </c>
      <c r="BF267" s="151">
        <f t="shared" si="1493"/>
        <v>37800.714577260434</v>
      </c>
      <c r="BG267" s="160">
        <f t="shared" si="1494"/>
        <v>13.50089890973746</v>
      </c>
      <c r="BH267" s="138"/>
      <c r="BI267" s="18"/>
      <c r="BJ267" s="18"/>
      <c r="BK267" s="18"/>
      <c r="BL267" s="18"/>
      <c r="BM267" s="18"/>
      <c r="BN267" s="159"/>
      <c r="BO267" s="18"/>
      <c r="BP267" s="18"/>
      <c r="BQ267" s="18"/>
      <c r="BR267" s="18"/>
      <c r="BS267" s="18"/>
      <c r="BT267" s="18"/>
      <c r="BU267" s="18"/>
      <c r="BV267" s="18"/>
      <c r="BW267" s="18"/>
      <c r="BX267" s="18"/>
      <c r="BY267" s="18"/>
      <c r="BZ267" s="18"/>
      <c r="CA267" s="18"/>
      <c r="CB267" s="18"/>
      <c r="CC267" s="18"/>
      <c r="CD267" s="18"/>
      <c r="CE267" s="1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  <c r="CY267" s="18"/>
      <c r="CZ267" s="18"/>
      <c r="DA267" s="18"/>
      <c r="DB267" s="18"/>
      <c r="DC267" s="18"/>
      <c r="DD267" s="18"/>
      <c r="DE267" s="18"/>
      <c r="DF267" s="18"/>
    </row>
    <row r="268" spans="1:110" ht="15" customHeight="1" x14ac:dyDescent="0.2">
      <c r="A268" s="18">
        <f>Input!A268</f>
        <v>11076</v>
      </c>
      <c r="B268" s="18" t="str">
        <f>Input!B268</f>
        <v>MeBo24 T10-La-07</v>
      </c>
      <c r="C268" s="18">
        <f>Input!O268</f>
        <v>4.7543298885034693</v>
      </c>
      <c r="D268" s="18">
        <f>C268*Input!P268/100</f>
        <v>2.676300995267324E-2</v>
      </c>
      <c r="E268" s="152">
        <f>Input!M268</f>
        <v>5.5163510692374862</v>
      </c>
      <c r="F268" s="153">
        <f>E268*Input!N268/100</f>
        <v>4.5324951566027091E-4</v>
      </c>
      <c r="G268" s="21">
        <f>E268*137.88</f>
        <v>760.59448542646453</v>
      </c>
      <c r="H268" s="153">
        <f>G268*Input!L268/100</f>
        <v>4.3149756859038498E-2</v>
      </c>
      <c r="I268" s="18">
        <v>0.3</v>
      </c>
      <c r="J268" s="129">
        <f>(((C268*Constants!$B$24*0.000000001*Input!G268*(Constants!$B$4/Constants!$B$3))-(I268*0.000000000000001))/Input!F268)*1000000000000</f>
        <v>397.83753373592697</v>
      </c>
      <c r="K268" s="18">
        <f>J268*Input!P268/100</f>
        <v>2.2395017015264527</v>
      </c>
      <c r="L268" s="134">
        <f>(J268/Constants!$B$4)*602200000000*Constants!$B$17/(365.2425*24*60)</f>
        <v>5.4925888781419649</v>
      </c>
      <c r="M268" s="132">
        <f>L268*Input!P268/100</f>
        <v>3.0918807541545398E-2</v>
      </c>
      <c r="N268" s="18">
        <v>5.0000000000000001E-3</v>
      </c>
      <c r="O268" s="129">
        <f>(((G268*Constants!$B$23*0.000000001*Input!G268*(Constants!$B$7/Constants!$B$6))-(N268*0.000000001))/Input!F268)*1000000</f>
        <v>6.4113705451440905</v>
      </c>
      <c r="P268" s="18">
        <f>O268*Input!N268/100</f>
        <v>5.2678855240204461E-4</v>
      </c>
      <c r="Q268" s="130">
        <f>(O268/Constants!$B$7)*602200000000000000*Constants!$B$18/(365.2425*24*60)</f>
        <v>4.7836566539524448</v>
      </c>
      <c r="R268" s="131">
        <f>Q268*Input!N268/100</f>
        <v>3.9304787426966322E-4</v>
      </c>
      <c r="S268" s="132">
        <f>Input!S268*Constants!$B$17/Constants!$B$18</f>
        <v>1.1366498186539298</v>
      </c>
      <c r="T268" s="18">
        <f>S268*Input!T268/100</f>
        <v>7.09671724712205E-4</v>
      </c>
      <c r="U268" s="18">
        <f>S268*1/((U267+U269)/2)</f>
        <v>1.1364976411953891</v>
      </c>
      <c r="V268" s="18">
        <f>U268*Input!T268/100</f>
        <v>7.0957671212548516E-4</v>
      </c>
      <c r="W268" s="133">
        <v>3.0000000000000001E-3</v>
      </c>
      <c r="X268" s="129">
        <f>(((Constants!$B$25*0.000000001*Input!G268/Input!W268*(Constants!$B$11/Constants!$B$9)-(W268*0.000000001))/Input!F268)*1000000000)</f>
        <v>29.510174055076313</v>
      </c>
      <c r="Y268" s="129">
        <f>X268*Input!X268/100</f>
        <v>8.0857869689897208E-2</v>
      </c>
      <c r="Z268" s="129">
        <f>(X268/Constants!$B$11)*6.022E+23*0.000000001*Constants!$B$19/(365.2425*24*60)</f>
        <v>7.2043875133161357E-3</v>
      </c>
      <c r="AA268" s="129">
        <f>Z268*Input!X268/100</f>
        <v>1.9740020023603764E-5</v>
      </c>
      <c r="AB268" s="134">
        <v>0.05</v>
      </c>
      <c r="AC268" s="134">
        <v>0.9</v>
      </c>
      <c r="AD268" s="129">
        <f>(((Input!G268*Constants!$B$25*0.000000001*Input!U268*(Constants!$B$10/Constants!$B$9))-((AB268*0.000000000000001)+(Input!G268*AC268*0.000000000000001)))/Input!F268)*1000000000000</f>
        <v>13.501999433314008</v>
      </c>
      <c r="AE268" s="129">
        <f>AD268*Input!V268/100</f>
        <v>5.4949172170642012E-2</v>
      </c>
      <c r="AF268" s="129">
        <f>(AD268/Constants!$B$10)*602200000000*Constants!$B$16/(365.2425*24*60)</f>
        <v>0.61630778973926692</v>
      </c>
      <c r="AG268" s="129">
        <f>AF268*Input!V268/100</f>
        <v>2.5081916952931355E-3</v>
      </c>
      <c r="AH268" s="18">
        <f>AF268/Z268</f>
        <v>85.546174272292049</v>
      </c>
      <c r="AI268" s="133">
        <f>AH268*SQRT((AG268/AF268)^2+(AA268/Z268)^2)</f>
        <v>0.41970062111139006</v>
      </c>
      <c r="AJ268" s="132">
        <f t="shared" si="1478"/>
        <v>136.49764119538909</v>
      </c>
      <c r="AK268" s="133">
        <f>V268*1000</f>
        <v>0.70957671212548512</v>
      </c>
      <c r="AL268" s="133">
        <f>AF268/Q268</f>
        <v>0.12883612565087615</v>
      </c>
      <c r="AM268" s="133">
        <f>AL268*SQRT((R268/Q268)^2+(AG268/AF268)^2)</f>
        <v>5.2443204155803091E-4</v>
      </c>
      <c r="AN268" s="18">
        <f>AL268*1/((AN267+AN269)/2)</f>
        <v>0.12951495375129643</v>
      </c>
      <c r="AO268" s="129">
        <f>AN268*SQRT((R268/Q268)^2+(AG268/AF268)^2)</f>
        <v>5.2719523553620962E-4</v>
      </c>
      <c r="AP268" s="18">
        <f>ThU_Alter_Kombi(AN268,U268)</f>
        <v>13.162699999999999</v>
      </c>
      <c r="AQ268" s="18">
        <f t="shared" si="1484"/>
        <v>5.8999999999999997E-2</v>
      </c>
      <c r="AR268" s="154">
        <f>(AQ268/AP268)</f>
        <v>4.4823630410174209E-3</v>
      </c>
      <c r="AS268" s="131">
        <f t="shared" si="1485"/>
        <v>1.5060419328723328E-3</v>
      </c>
      <c r="AT268" s="131">
        <f t="shared" si="1486"/>
        <v>4.1284094674656808E-6</v>
      </c>
      <c r="AU268" s="18">
        <v>8</v>
      </c>
      <c r="AV268" s="18">
        <f>AU268/2</f>
        <v>4</v>
      </c>
      <c r="AW268" s="18">
        <f t="shared" si="1488"/>
        <v>12.005599999999999</v>
      </c>
      <c r="AX268" s="135">
        <f t="shared" si="1489"/>
        <v>0.61918319519999998</v>
      </c>
      <c r="AY268" s="135">
        <f t="shared" si="1490"/>
        <v>0.58541708616615473</v>
      </c>
      <c r="AZ268" s="154">
        <f t="shared" si="1491"/>
        <v>5.1574531485306857E-2</v>
      </c>
      <c r="BA268" s="18" t="str">
        <f>Input!B268</f>
        <v>MeBo24 T10-La-07</v>
      </c>
      <c r="BB268" s="136">
        <f>Input!E268</f>
        <v>0</v>
      </c>
      <c r="BC268" s="18">
        <f>((U268-1)*EXP(Constants!$B$17*AW268*1000))*1000</f>
        <v>141.20148717320905</v>
      </c>
      <c r="BD268" s="132">
        <f>SQRT((EXP(Constants!$B$17*AW268*1000)*V268)^2+((U268-1)*Constants!$B$17*EXP(Constants!$B$17*AW268*1000)*AY268*1000)^2)*1000</f>
        <v>0.77020589599550726</v>
      </c>
      <c r="BE268" s="18">
        <f t="shared" si="1492"/>
        <v>11947.599999999999</v>
      </c>
      <c r="BF268" s="137">
        <f t="shared" si="1493"/>
        <v>292.70854308307736</v>
      </c>
      <c r="BG268" s="20">
        <f t="shared" si="1494"/>
        <v>4.8762001579775669</v>
      </c>
      <c r="BH268" s="18"/>
      <c r="BI268" s="18"/>
      <c r="BJ268" s="18"/>
      <c r="BK268" s="18"/>
      <c r="BL268" s="18"/>
      <c r="BM268" s="18"/>
      <c r="BN268" s="159"/>
      <c r="BO268" s="18"/>
      <c r="BP268" s="18"/>
      <c r="BQ268" s="18"/>
      <c r="BR268" s="18"/>
      <c r="BS268" s="18"/>
      <c r="BT268" s="18"/>
      <c r="BU268" s="18"/>
      <c r="BV268" s="18"/>
      <c r="BW268" s="18"/>
      <c r="BX268" s="18"/>
      <c r="BY268" s="18"/>
      <c r="BZ268" s="18"/>
      <c r="CA268" s="18"/>
      <c r="CB268" s="18"/>
      <c r="CC268" s="18"/>
      <c r="CD268" s="18"/>
      <c r="CE268" s="1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  <c r="CY268" s="18"/>
      <c r="CZ268" s="18"/>
      <c r="DA268" s="18"/>
      <c r="DB268" s="18"/>
      <c r="DC268" s="18"/>
      <c r="DD268" s="18"/>
      <c r="DE268" s="18"/>
      <c r="DF268" s="18"/>
    </row>
    <row r="269" spans="1:110" ht="15" customHeight="1" x14ac:dyDescent="0.2">
      <c r="A269" s="138">
        <f>Input!A269</f>
        <v>10815</v>
      </c>
      <c r="B269" s="138" t="str">
        <f>Input!B269</f>
        <v>Hu1-13</v>
      </c>
      <c r="C269" s="138">
        <f>Input!O269</f>
        <v>2.0990741764517242</v>
      </c>
      <c r="D269" s="138">
        <f>C269*Input!P269/100</f>
        <v>9.123119574110241E-3</v>
      </c>
      <c r="E269" s="139">
        <f>Input!M269</f>
        <v>2.7318742685693067</v>
      </c>
      <c r="F269" s="140">
        <f>E269*Input!N269/100</f>
        <v>2.1101517770725088E-4</v>
      </c>
      <c r="G269" s="141">
        <f t="shared" ref="G269" si="1504">E269*137.88</f>
        <v>376.67082415033599</v>
      </c>
      <c r="H269" s="140">
        <f>G269*Input!L269/100</f>
        <v>5.8997636138777267E-2</v>
      </c>
      <c r="I269" s="138">
        <v>0</v>
      </c>
      <c r="J269" s="142">
        <f>(((C269*Constants!$B$24*0.000000001*Input!G269*(Constants!$B$4/Constants!$B$3))-(I269*0.000000000000001))/Input!F269)*1000000000000</f>
        <v>757.84458258881466</v>
      </c>
      <c r="K269" s="138">
        <f>J269*Input!P269/100</f>
        <v>3.2937886726979273</v>
      </c>
      <c r="L269" s="143">
        <f>(J269/Constants!$B$4)*602200000000*Constants!$B$17/(365.2425*24*60)</f>
        <v>10.462885908724813</v>
      </c>
      <c r="M269" s="144">
        <f>L269*Input!P269/100</f>
        <v>4.5474409769036994E-2</v>
      </c>
      <c r="N269" s="138">
        <v>0</v>
      </c>
      <c r="O269" s="142">
        <f>(((G269*Constants!$B$23*0.000000001*Input!G269*(Constants!$B$7/Constants!$B$6))-(N269*0.000000001))/Input!F269)*1000000</f>
        <v>13.699220231085862</v>
      </c>
      <c r="P269" s="138">
        <f>O269*Input!N269/100</f>
        <v>1.0581538926486697E-3</v>
      </c>
      <c r="Q269" s="145">
        <f>(O269/Constants!$B$7)*602200000000000000*Constants!$B$18/(365.2425*24*60)</f>
        <v>10.221272589216888</v>
      </c>
      <c r="R269" s="146">
        <f>Q269*Input!N269/100</f>
        <v>7.8951058495726491E-4</v>
      </c>
      <c r="S269" s="144">
        <f>Input!S269*Constants!$B$17/Constants!$B$18</f>
        <v>0.99965270935698936</v>
      </c>
      <c r="T269" s="138">
        <f>S269*Input!T269/100</f>
        <v>1.0219760658036776E-3</v>
      </c>
      <c r="U269" s="144">
        <f>S269</f>
        <v>0.99965270935698936</v>
      </c>
      <c r="V269" s="138">
        <f>U269*Input!T269/100</f>
        <v>1.0219760658036776E-3</v>
      </c>
      <c r="W269" s="147">
        <v>0</v>
      </c>
      <c r="X269" s="142">
        <f>(((Constants!$B$25*0.000000001*Input!G269/Input!W269*(Constants!$B$11/Constants!$B$9))-(W269*0.000000001))/Input!F269)*1000000000</f>
        <v>0.95198441529923727</v>
      </c>
      <c r="Y269" s="142">
        <f>X269*Input!X269/100</f>
        <v>4.35893702305141E-3</v>
      </c>
      <c r="Z269" s="142">
        <f>(X269/Constants!$B$11)*6.022E+23*0.000000001*Constants!$B$19/(365.2425*24*60)</f>
        <v>2.3241017222240344E-4</v>
      </c>
      <c r="AA269" s="142">
        <f>Z269*Input!X269/100</f>
        <v>1.0641574462283115E-6</v>
      </c>
      <c r="AB269" s="143">
        <v>0</v>
      </c>
      <c r="AC269" s="143">
        <v>0.9</v>
      </c>
      <c r="AD269" s="142">
        <f>(((Input!G269*Constants!$B$25*0.000000001*Input!U269*(Constants!$B$10/Constants!$B$9))-((AB269*0.000000000000001)+(Input!G269*AC269*0.000000000000001)))/Input!F269)*1000000000000</f>
        <v>222.70376086995583</v>
      </c>
      <c r="AE269" s="142">
        <f>AD269*Input!V269/100</f>
        <v>0.61811470559360182</v>
      </c>
      <c r="AF269" s="142">
        <f>(AD269/Constants!$B$10)*602200000000*Constants!$B$16/(365.2425*24*60)</f>
        <v>10.165462034440059</v>
      </c>
      <c r="AG269" s="142">
        <f>AF269*Input!V269/100</f>
        <v>2.821425892448199E-2</v>
      </c>
      <c r="AH269" s="138">
        <f t="shared" ref="AH269" si="1505">AF269/Z269</f>
        <v>43739.316301148319</v>
      </c>
      <c r="AI269" s="147">
        <f t="shared" ref="AI269" si="1506">AH269*SQRT((AG269/AF269)^2+(AA269/Z269)^2)</f>
        <v>234.19425014526041</v>
      </c>
      <c r="AJ269" s="144">
        <f t="shared" si="1478"/>
        <v>-0.34729064301064483</v>
      </c>
      <c r="AK269" s="147">
        <f t="shared" ref="AK269" si="1507">V269*1000</f>
        <v>1.0219760658036776</v>
      </c>
      <c r="AL269" s="147">
        <f t="shared" ref="AL269" si="1508">AF269/Q269</f>
        <v>0.99453976456554871</v>
      </c>
      <c r="AM269" s="147">
        <f t="shared" ref="AM269" si="1509">AL269*SQRT((R269/Q269)^2+(AG269/AF269)^2)</f>
        <v>2.761415721272485E-3</v>
      </c>
      <c r="AN269" s="138">
        <f>AF269/Q269</f>
        <v>0.99453976456554871</v>
      </c>
      <c r="AO269" s="142">
        <f t="shared" ref="AO269" si="1510">AN269*SQRT((R269/Q269)^2+(AG269/AF269)^2)</f>
        <v>2.761415721272485E-3</v>
      </c>
      <c r="AP269" s="138">
        <f t="shared" ref="AP269" si="1511">ThU_Alter_Kombi(AN269,U269)</f>
        <v>578.38409999999999</v>
      </c>
      <c r="AQ269" s="138" t="e">
        <f t="shared" si="1484"/>
        <v>#VALUE!</v>
      </c>
      <c r="AR269" s="138" t="e">
        <f>(AQ269/AP269)*100</f>
        <v>#VALUE!</v>
      </c>
      <c r="AS269" s="146">
        <f t="shared" si="1485"/>
        <v>2.2737890041949246E-5</v>
      </c>
      <c r="AT269" s="146">
        <f t="shared" si="1486"/>
        <v>1.0412684381131229E-7</v>
      </c>
      <c r="AU269" s="138">
        <v>0.75</v>
      </c>
      <c r="AV269" s="138">
        <f t="shared" ref="AV269" si="1512">AU269/2</f>
        <v>0.375</v>
      </c>
      <c r="AW269" s="138">
        <f t="shared" si="1488"/>
        <v>578.38229999999999</v>
      </c>
      <c r="AX269" s="148">
        <f t="shared" si="1489"/>
        <v>145.19414493560001</v>
      </c>
      <c r="AY269" s="148">
        <f t="shared" si="1490"/>
        <v>68.026725086856672</v>
      </c>
      <c r="AZ269" s="149">
        <f t="shared" si="1491"/>
        <v>0.25103490361928438</v>
      </c>
      <c r="BA269" s="138" t="str">
        <f>Input!B269</f>
        <v>Hu1-13</v>
      </c>
      <c r="BB269" s="150">
        <f>Input!E269</f>
        <v>0</v>
      </c>
      <c r="BC269" s="138">
        <f>((U269-1)*EXP(Constants!$B$17*AW269*1000))*1000</f>
        <v>-1.7764842875837359</v>
      </c>
      <c r="BD269" s="144">
        <f>SQRT((EXP(Constants!$B$17*AW269*1000)*V269)^2+((U269-1)*Constants!$B$17*EXP(Constants!$B$17*AW269*1000)*AY269*1000)^2)*1000</f>
        <v>5.2387927715271863</v>
      </c>
      <c r="BE269" s="138">
        <f t="shared" si="1492"/>
        <v>578324.29999999993</v>
      </c>
      <c r="BF269" s="151">
        <f t="shared" si="1493"/>
        <v>34013.362543428339</v>
      </c>
      <c r="BG269" s="160">
        <f t="shared" si="1494"/>
        <v>11.76155029067395</v>
      </c>
      <c r="BH269" s="138"/>
      <c r="BI269" s="18"/>
      <c r="BJ269" s="18"/>
      <c r="BK269" s="18"/>
      <c r="BL269" s="18"/>
      <c r="BM269" s="18"/>
      <c r="BN269" s="159"/>
      <c r="BO269" s="18"/>
      <c r="BP269" s="18"/>
      <c r="BQ269" s="18"/>
      <c r="BR269" s="18"/>
      <c r="BS269" s="18"/>
      <c r="BT269" s="18"/>
      <c r="BU269" s="18"/>
      <c r="BV269" s="18"/>
      <c r="BW269" s="18"/>
      <c r="BX269" s="18"/>
      <c r="BY269" s="18"/>
      <c r="BZ269" s="18"/>
      <c r="CA269" s="18"/>
      <c r="CB269" s="18"/>
      <c r="CC269" s="18"/>
      <c r="CD269" s="18"/>
      <c r="CE269" s="1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  <c r="CY269" s="18"/>
      <c r="CZ269" s="18"/>
      <c r="DA269" s="18"/>
      <c r="DB269" s="18"/>
      <c r="DC269" s="18"/>
      <c r="DD269" s="18"/>
      <c r="DE269" s="18"/>
      <c r="DF269" s="18"/>
    </row>
    <row r="270" spans="1:110" ht="15" customHeight="1" x14ac:dyDescent="0.2">
      <c r="A270" s="18">
        <f>Input!A270</f>
        <v>11077</v>
      </c>
      <c r="B270" s="18" t="str">
        <f>Input!B270</f>
        <v>MeBo24 T10-La-11</v>
      </c>
      <c r="C270" s="18">
        <f>Input!O270</f>
        <v>4.5648892314822929</v>
      </c>
      <c r="D270" s="18">
        <f>C270*Input!P270/100</f>
        <v>2.0963481207774623E-2</v>
      </c>
      <c r="E270" s="152">
        <f>Input!M270</f>
        <v>5.238702674592064</v>
      </c>
      <c r="F270" s="153">
        <f>E270*Input!N270/100</f>
        <v>4.1410332328550912E-4</v>
      </c>
      <c r="G270" s="21">
        <f>E270*137.88</f>
        <v>722.31232477275375</v>
      </c>
      <c r="H270" s="153">
        <f>G270*Input!L270/100</f>
        <v>4.7999760386466007E-2</v>
      </c>
      <c r="I270" s="18">
        <v>0.3</v>
      </c>
      <c r="J270" s="129">
        <f>(((C270*Constants!$B$24*0.000000001*Input!G270*(Constants!$B$4/Constants!$B$3))-(I270*0.000000000000001))/Input!F270)*1000000000000</f>
        <v>310.51946184029129</v>
      </c>
      <c r="K270" s="18">
        <f>J270*Input!P270/100</f>
        <v>1.4260080744223171</v>
      </c>
      <c r="L270" s="134">
        <f>(J270/Constants!$B$4)*602200000000*Constants!$B$17/(365.2425*24*60)</f>
        <v>4.2870659450717143</v>
      </c>
      <c r="M270" s="132">
        <f>L270*Input!P270/100</f>
        <v>1.9687624785326634E-2</v>
      </c>
      <c r="N270" s="18">
        <v>5.0000000000000001E-3</v>
      </c>
      <c r="O270" s="129">
        <f>(((G270*Constants!$B$23*0.000000001*Input!G270*(Constants!$B$7/Constants!$B$6))-(N270*0.000000001))/Input!F270)*1000000</f>
        <v>4.9495393768024245</v>
      </c>
      <c r="P270" s="18">
        <f>O270*Input!N270/100</f>
        <v>3.9124585455233436E-4</v>
      </c>
      <c r="Q270" s="130">
        <f>(O270/Constants!$B$7)*602200000000000000*Constants!$B$18/(365.2425*24*60)</f>
        <v>3.692954073879446</v>
      </c>
      <c r="R270" s="131">
        <f>Q270*Input!N270/100</f>
        <v>2.9191665374544691E-4</v>
      </c>
      <c r="S270" s="132">
        <f>Input!S270*Constants!$B$17/Constants!$B$18</f>
        <v>1.1384175298467079</v>
      </c>
      <c r="T270" s="18">
        <f>S270*Input!T270/100</f>
        <v>7.1794138210678755E-4</v>
      </c>
      <c r="U270" s="18">
        <f>S270*1/((U269+U271)/2)</f>
        <v>1.1386269620727443</v>
      </c>
      <c r="V270" s="18">
        <f>U270*Input!T270/100</f>
        <v>7.1807346023970123E-4</v>
      </c>
      <c r="W270" s="133">
        <v>3.0000000000000001E-3</v>
      </c>
      <c r="X270" s="129">
        <f>(((Constants!$B$25*0.000000001*Input!G270/Input!W270*(Constants!$B$11/Constants!$B$9)-(W270*0.000000001))/Input!F270)*1000000000)</f>
        <v>30.82532773778248</v>
      </c>
      <c r="Y270" s="129">
        <f>X270*Input!X270/100</f>
        <v>8.3624165950786006E-2</v>
      </c>
      <c r="Z270" s="129">
        <f>(X270/Constants!$B$11)*6.022E+23*0.000000001*Constants!$B$19/(365.2425*24*60)</f>
        <v>7.5254590445140409E-3</v>
      </c>
      <c r="AA270" s="129">
        <f>Z270*Input!X270/100</f>
        <v>2.0415362371733769E-5</v>
      </c>
      <c r="AB270" s="134">
        <v>0.05</v>
      </c>
      <c r="AC270" s="134">
        <v>0.9</v>
      </c>
      <c r="AD270" s="129">
        <f>(((Input!G270*Constants!$B$25*0.000000001*Input!U270*(Constants!$B$10/Constants!$B$9))-((AB270*0.000000000000001)+(Input!G270*AC270*0.000000000000001)))/Input!F270)*1000000000000</f>
        <v>9.3401777830724981</v>
      </c>
      <c r="AE270" s="129">
        <f>AD270*Input!V270/100</f>
        <v>3.2950267839834756E-2</v>
      </c>
      <c r="AF270" s="129">
        <f>(AD270/Constants!$B$10)*602200000000*Constants!$B$16/(365.2425*24*60)</f>
        <v>0.42633865848447361</v>
      </c>
      <c r="AG270" s="129">
        <f>AF270*Input!V270/100</f>
        <v>1.5040370016295443E-3</v>
      </c>
      <c r="AH270" s="18">
        <f>AF270/Z270</f>
        <v>56.652844160419527</v>
      </c>
      <c r="AI270" s="133">
        <f>AH270*SQRT((AG270/AF270)^2+(AA270/Z270)^2)</f>
        <v>0.25212019322192514</v>
      </c>
      <c r="AJ270" s="132">
        <f t="shared" si="1478"/>
        <v>138.62696207274428</v>
      </c>
      <c r="AK270" s="133">
        <f>V270*1000</f>
        <v>0.7180734602397012</v>
      </c>
      <c r="AL270" s="133">
        <f>AF270/Q270</f>
        <v>0.11544650974676354</v>
      </c>
      <c r="AM270" s="133">
        <f>AL270*SQRT((R270/Q270)^2+(AG270/AF270)^2)</f>
        <v>4.0737428313053367E-4</v>
      </c>
      <c r="AN270" s="18">
        <f>AL270*1/((AN269+AN271)/2)</f>
        <v>0.11597767186771044</v>
      </c>
      <c r="AO270" s="129">
        <f>AN270*SQRT((R270/Q270)^2+(AG270/AF270)^2)</f>
        <v>4.0924858655227829E-4</v>
      </c>
      <c r="AP270" s="18">
        <f>ThU_Alter_Kombi(AN270,U270)</f>
        <v>11.6898</v>
      </c>
      <c r="AQ270" s="18">
        <f t="shared" si="1484"/>
        <v>4.5600000000000002E-2</v>
      </c>
      <c r="AR270" s="154">
        <f>(AQ270/AP270)</f>
        <v>3.900836626802854E-3</v>
      </c>
      <c r="AS270" s="131">
        <f t="shared" si="1485"/>
        <v>2.0377884192338603E-3</v>
      </c>
      <c r="AT270" s="131">
        <f t="shared" si="1486"/>
        <v>5.5305391635048601E-6</v>
      </c>
      <c r="AU270" s="18">
        <v>8</v>
      </c>
      <c r="AV270" s="18">
        <f>AU270/2</f>
        <v>4</v>
      </c>
      <c r="AW270" s="18">
        <f t="shared" si="1488"/>
        <v>10.123200000000001</v>
      </c>
      <c r="AX270" s="135">
        <f t="shared" si="1489"/>
        <v>0.77419422059999998</v>
      </c>
      <c r="AY270" s="135">
        <f t="shared" si="1490"/>
        <v>0.79148112420845651</v>
      </c>
      <c r="AZ270" s="154">
        <f t="shared" si="1491"/>
        <v>7.647722267662399E-2</v>
      </c>
      <c r="BA270" s="18" t="str">
        <f>Input!B270</f>
        <v>MeBo24 T10-La-11</v>
      </c>
      <c r="BB270" s="136">
        <f>Input!E270</f>
        <v>0</v>
      </c>
      <c r="BC270" s="18">
        <f>((U270-1)*EXP(Constants!$B$17*AW270*1000))*1000</f>
        <v>142.64440816096848</v>
      </c>
      <c r="BD270" s="132">
        <f>SQRT((EXP(Constants!$B$17*AW270*1000)*V270)^2+((U270-1)*Constants!$B$17*EXP(Constants!$B$17*AW270*1000)*AY270*1000)^2)*1000</f>
        <v>0.80465026341770152</v>
      </c>
      <c r="BE270" s="18">
        <f t="shared" si="1492"/>
        <v>10065.200000000001</v>
      </c>
      <c r="BF270" s="137">
        <f t="shared" si="1493"/>
        <v>395.74056210422827</v>
      </c>
      <c r="BG270" s="20">
        <f t="shared" si="1494"/>
        <v>7.8184874763756174</v>
      </c>
      <c r="BH270" s="18"/>
      <c r="BI270" s="18"/>
      <c r="BJ270" s="18"/>
      <c r="BK270" s="18"/>
      <c r="BL270" s="18"/>
      <c r="BM270" s="18"/>
      <c r="BN270" s="159"/>
      <c r="BO270" s="18"/>
      <c r="BP270" s="18"/>
      <c r="BQ270" s="18"/>
      <c r="BR270" s="18"/>
      <c r="BS270" s="18"/>
      <c r="BT270" s="18"/>
      <c r="BU270" s="18"/>
      <c r="BV270" s="18"/>
      <c r="BW270" s="18"/>
      <c r="BX270" s="18"/>
      <c r="BY270" s="18"/>
      <c r="BZ270" s="18"/>
      <c r="CA270" s="18"/>
      <c r="CB270" s="18"/>
      <c r="CC270" s="18"/>
      <c r="CD270" s="18"/>
      <c r="CE270" s="18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  <c r="CT270" s="18"/>
      <c r="CU270" s="18"/>
      <c r="CV270" s="18"/>
      <c r="CW270" s="18"/>
      <c r="CX270" s="18"/>
      <c r="CY270" s="18"/>
      <c r="CZ270" s="18"/>
      <c r="DA270" s="18"/>
      <c r="DB270" s="18"/>
      <c r="DC270" s="18"/>
      <c r="DD270" s="18"/>
      <c r="DE270" s="18"/>
      <c r="DF270" s="18"/>
    </row>
    <row r="271" spans="1:110" ht="15" customHeight="1" x14ac:dyDescent="0.2">
      <c r="A271" s="138">
        <f>Input!A271</f>
        <v>10815</v>
      </c>
      <c r="B271" s="138" t="str">
        <f>Input!B271</f>
        <v>Hu1-13</v>
      </c>
      <c r="C271" s="138">
        <f>Input!O271</f>
        <v>2.0784215077031964</v>
      </c>
      <c r="D271" s="138">
        <f>C271*Input!P271/100</f>
        <v>1.0079287328469915E-2</v>
      </c>
      <c r="E271" s="139">
        <f>Input!M271</f>
        <v>2.7320068583264394</v>
      </c>
      <c r="F271" s="140">
        <f>E271*Input!N271/100</f>
        <v>1.8826485695148858E-4</v>
      </c>
      <c r="G271" s="141">
        <f t="shared" ref="G271" si="1513">E271*137.88</f>
        <v>376.68910562604947</v>
      </c>
      <c r="H271" s="140">
        <f>G271*Input!L271/100</f>
        <v>4.5355594313374381E-2</v>
      </c>
      <c r="I271" s="138">
        <v>0</v>
      </c>
      <c r="J271" s="142">
        <f>(((C271*Constants!$B$24*0.000000001*Input!G271*(Constants!$B$4/Constants!$B$3))-(I271*0.000000000000001))/Input!F271)*1000000000000</f>
        <v>750.38819381386907</v>
      </c>
      <c r="K271" s="138">
        <f>J271*Input!P271/100</f>
        <v>3.6390011291307447</v>
      </c>
      <c r="L271" s="143">
        <f>(J271/Constants!$B$4)*602200000000*Constants!$B$17/(365.2425*24*60)</f>
        <v>10.359942182747584</v>
      </c>
      <c r="M271" s="144">
        <f>L271*Input!P271/100</f>
        <v>5.0240451024605261E-2</v>
      </c>
      <c r="N271" s="138">
        <v>0</v>
      </c>
      <c r="O271" s="142">
        <f>(((G271*Constants!$B$23*0.000000001*Input!G271*(Constants!$B$7/Constants!$B$6))-(N271*0.000000001))/Input!F271)*1000000</f>
        <v>13.699885113911638</v>
      </c>
      <c r="P271" s="138">
        <f>O271*Input!N271/100</f>
        <v>9.4407043794991123E-4</v>
      </c>
      <c r="Q271" s="145">
        <f>(O271/Constants!$B$7)*602200000000000000*Constants!$B$18/(365.2425*24*60)</f>
        <v>10.221768672095147</v>
      </c>
      <c r="R271" s="146">
        <f>Q271*Input!N271/100</f>
        <v>7.0439055120895299E-4</v>
      </c>
      <c r="S271" s="144">
        <f>Input!S271*Constants!$B$17/Constants!$B$18</f>
        <v>0.99997942261772677</v>
      </c>
      <c r="T271" s="138">
        <f>S271*Input!T271/100</f>
        <v>1.3422139910491333E-3</v>
      </c>
      <c r="U271" s="144">
        <f>S271</f>
        <v>0.99997942261772677</v>
      </c>
      <c r="V271" s="138">
        <f>U271*Input!T271/100</f>
        <v>1.3422139910491333E-3</v>
      </c>
      <c r="W271" s="147">
        <v>0</v>
      </c>
      <c r="X271" s="142">
        <f>(((Constants!$B$25*0.000000001*Input!G271/Input!W271*(Constants!$B$11/Constants!$B$9))-(W271*0.000000001))/Input!F271)*1000000000</f>
        <v>0.93820186784389126</v>
      </c>
      <c r="Y271" s="142">
        <f>X271*Input!X271/100</f>
        <v>4.2473185712853627E-3</v>
      </c>
      <c r="Z271" s="142">
        <f>(X271/Constants!$B$11)*6.022E+23*0.000000001*Constants!$B$19/(365.2425*24*60)</f>
        <v>2.2904540681628748E-4</v>
      </c>
      <c r="AA271" s="142">
        <f>Z271*Input!X271/100</f>
        <v>1.0369077736693435E-6</v>
      </c>
      <c r="AB271" s="143">
        <v>0</v>
      </c>
      <c r="AC271" s="143">
        <v>0.9</v>
      </c>
      <c r="AD271" s="142">
        <f>(((Input!G271*Constants!$B$25*0.000000001*Input!U271*(Constants!$B$10/Constants!$B$9))-((AB271*0.000000000000001)+(Input!G271*AC271*0.000000000000001)))/Input!F271)*1000000000000</f>
        <v>223.10886508764804</v>
      </c>
      <c r="AE271" s="142">
        <f>AD271*Input!V271/100</f>
        <v>0.92489702150267705</v>
      </c>
      <c r="AF271" s="142">
        <f>(AD271/Constants!$B$10)*602200000000*Constants!$B$16/(365.2425*24*60)</f>
        <v>10.183953287254358</v>
      </c>
      <c r="AG271" s="142">
        <f>AF271*Input!V271/100</f>
        <v>4.2217542807201622E-2</v>
      </c>
      <c r="AH271" s="138">
        <f t="shared" ref="AH271" si="1514">AF271/Z271</f>
        <v>44462.59555609728</v>
      </c>
      <c r="AI271" s="147">
        <f t="shared" ref="AI271" si="1515">AH271*SQRT((AG271/AF271)^2+(AA271/Z271)^2)</f>
        <v>272.92802093961302</v>
      </c>
      <c r="AJ271" s="144">
        <f t="shared" si="1478"/>
        <v>-2.057738227323469E-2</v>
      </c>
      <c r="AK271" s="147">
        <f t="shared" ref="AK271" si="1516">V271*1000</f>
        <v>1.3422139910491333</v>
      </c>
      <c r="AL271" s="147">
        <f t="shared" ref="AL271" si="1517">AF271/Q271</f>
        <v>0.99630050473123866</v>
      </c>
      <c r="AM271" s="147">
        <f t="shared" ref="AM271" si="1518">AL271*SQRT((R271/Q271)^2+(AG271/AF271)^2)</f>
        <v>4.1307308610043208E-3</v>
      </c>
      <c r="AN271" s="138">
        <f>AF271/Q271</f>
        <v>0.99630050473123866</v>
      </c>
      <c r="AO271" s="142">
        <f t="shared" ref="AO271" si="1519">AN271*SQRT((R271/Q271)^2+(AG271/AF271)^2)</f>
        <v>4.1307308610043208E-3</v>
      </c>
      <c r="AP271" s="138">
        <f t="shared" ref="AP271" si="1520">ThU_Alter_Kombi(AN271,U271)</f>
        <v>611.46699999999998</v>
      </c>
      <c r="AQ271" s="138" t="e">
        <f t="shared" si="1484"/>
        <v>#VALUE!</v>
      </c>
      <c r="AR271" s="138" t="e">
        <f>(AQ271/AP271)*100</f>
        <v>#VALUE!</v>
      </c>
      <c r="AS271" s="146">
        <f t="shared" si="1485"/>
        <v>2.2407610088219718E-5</v>
      </c>
      <c r="AT271" s="146">
        <f t="shared" si="1486"/>
        <v>1.0145288247221744E-7</v>
      </c>
      <c r="AU271" s="138">
        <v>0.75</v>
      </c>
      <c r="AV271" s="138">
        <f t="shared" ref="AV271" si="1521">AU271/2</f>
        <v>0.375</v>
      </c>
      <c r="AW271" s="138">
        <f t="shared" si="1488"/>
        <v>611.46510000000001</v>
      </c>
      <c r="AX271" s="148">
        <f t="shared" si="1489"/>
        <v>269.44585921790002</v>
      </c>
      <c r="AY271" s="148">
        <f t="shared" si="1490"/>
        <v>134.24281417459548</v>
      </c>
      <c r="AZ271" s="149">
        <f t="shared" si="1491"/>
        <v>0.44065615391279078</v>
      </c>
      <c r="BA271" s="138" t="str">
        <f>Input!B271</f>
        <v>Hu1-13</v>
      </c>
      <c r="BB271" s="150">
        <f>Input!E271</f>
        <v>0</v>
      </c>
      <c r="BC271" s="138">
        <f>((U271-1)*EXP(Constants!$B$17*AW271*1000))*1000</f>
        <v>-0.11555928921757802</v>
      </c>
      <c r="BD271" s="144">
        <f>SQRT((EXP(Constants!$B$17*AW271*1000)*V271)^2+((U271-1)*Constants!$B$17*EXP(Constants!$B$17*AW271*1000)*AY271*1000)^2)*1000</f>
        <v>7.5377863308029749</v>
      </c>
      <c r="BE271" s="138">
        <f t="shared" si="1492"/>
        <v>611407.1</v>
      </c>
      <c r="BF271" s="151">
        <f t="shared" si="1493"/>
        <v>67121.407087297746</v>
      </c>
      <c r="BG271" s="160">
        <f t="shared" si="1494"/>
        <v>21.954288834243439</v>
      </c>
      <c r="BH271" s="138"/>
      <c r="BI271" s="18"/>
      <c r="BJ271" s="18"/>
      <c r="BK271" s="18"/>
      <c r="BL271" s="18"/>
      <c r="BM271" s="18"/>
      <c r="BN271" s="159"/>
      <c r="BO271" s="18"/>
      <c r="BP271" s="18"/>
      <c r="BQ271" s="18"/>
      <c r="BR271" s="18"/>
      <c r="BS271" s="18"/>
      <c r="BT271" s="18"/>
      <c r="BU271" s="18"/>
      <c r="BV271" s="18"/>
      <c r="BW271" s="18"/>
      <c r="BX271" s="18"/>
      <c r="BY271" s="18"/>
      <c r="BZ271" s="18"/>
      <c r="CA271" s="18"/>
      <c r="CB271" s="18"/>
      <c r="CC271" s="18"/>
      <c r="CD271" s="18"/>
      <c r="CE271" s="1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  <c r="CY271" s="18"/>
      <c r="CZ271" s="18"/>
      <c r="DA271" s="18"/>
      <c r="DB271" s="18"/>
      <c r="DC271" s="18"/>
      <c r="DD271" s="18"/>
      <c r="DE271" s="18"/>
      <c r="DF271" s="18"/>
    </row>
    <row r="272" spans="1:110" ht="15" customHeight="1" x14ac:dyDescent="0.2">
      <c r="A272" s="18">
        <f>Input!A272</f>
        <v>11078</v>
      </c>
      <c r="B272" s="18" t="str">
        <f>Input!B272</f>
        <v>MeBo24 T10-La-17</v>
      </c>
      <c r="C272" s="18">
        <f>Input!O272</f>
        <v>3.666678102226903</v>
      </c>
      <c r="D272" s="18">
        <f>C272*Input!P272/100</f>
        <v>1.6134078985352317E-2</v>
      </c>
      <c r="E272" s="152">
        <f>Input!M272</f>
        <v>4.1357815344481264</v>
      </c>
      <c r="F272" s="153">
        <f>E272*Input!N272/100</f>
        <v>2.7873109754593834E-4</v>
      </c>
      <c r="G272" s="21">
        <f>E272*137.88</f>
        <v>570.24155796970763</v>
      </c>
      <c r="H272" s="153">
        <f>G272*Input!L272/100</f>
        <v>4.0977940770108627E-2</v>
      </c>
      <c r="I272" s="18">
        <v>0.3</v>
      </c>
      <c r="J272" s="129">
        <f>(((C272*Constants!$B$24*0.000000001*Input!G272*(Constants!$B$4/Constants!$B$3))-(I272*0.000000000000001))/Input!F272)*1000000000000</f>
        <v>233.65251359725056</v>
      </c>
      <c r="K272" s="18">
        <f>J272*Input!P272/100</f>
        <v>1.0281153688442499</v>
      </c>
      <c r="L272" s="134">
        <f>(J272/Constants!$B$4)*602200000000*Constants!$B$17/(365.2425*24*60)</f>
        <v>3.2258323780632221</v>
      </c>
      <c r="M272" s="132">
        <f>L272*Input!P272/100</f>
        <v>1.4194274198645813E-2</v>
      </c>
      <c r="N272" s="18">
        <v>5.0000000000000001E-3</v>
      </c>
      <c r="O272" s="129">
        <f>(((G272*Constants!$B$23*0.000000001*Input!G272*(Constants!$B$7/Constants!$B$6))-(N272*0.000000001))/Input!F272)*1000000</f>
        <v>3.660475106797132</v>
      </c>
      <c r="P272" s="18">
        <f>O272*Input!N272/100</f>
        <v>2.4669780924327681E-4</v>
      </c>
      <c r="Q272" s="130">
        <f>(O272/Constants!$B$7)*602200000000000000*Constants!$B$18/(365.2425*24*60)</f>
        <v>2.7311564630310801</v>
      </c>
      <c r="R272" s="131">
        <f>Q272*Input!N272/100</f>
        <v>1.8406635654460827E-4</v>
      </c>
      <c r="S272" s="132">
        <f>Input!S272*Constants!$B$17/Constants!$B$18</f>
        <v>1.1423830129734247</v>
      </c>
      <c r="T272" s="18">
        <f>S272*Input!T272/100</f>
        <v>7.6273662394318149E-4</v>
      </c>
      <c r="U272" s="18">
        <f>S272*1/((U271+U273)/2)</f>
        <v>1.1424292429977232</v>
      </c>
      <c r="V272" s="18">
        <f>U272*Input!T272/100</f>
        <v>7.6276749041463449E-4</v>
      </c>
      <c r="W272" s="133">
        <v>3.0000000000000001E-3</v>
      </c>
      <c r="X272" s="129">
        <f>(((Constants!$B$25*0.000000001*Input!G272/Input!W272*(Constants!$B$11/Constants!$B$9)-(W272*0.000000001))/Input!F272)*1000000000)</f>
        <v>32.201456881796339</v>
      </c>
      <c r="Y272" s="129">
        <f>X272*Input!X272/100</f>
        <v>9.756865894898864E-2</v>
      </c>
      <c r="Z272" s="129">
        <f>(X272/Constants!$B$11)*6.022E+23*0.000000001*Constants!$B$19/(365.2425*24*60)</f>
        <v>7.8614166570764258E-3</v>
      </c>
      <c r="AA272" s="129">
        <f>Z272*Input!X272/100</f>
        <v>2.3819663920354898E-5</v>
      </c>
      <c r="AB272" s="134">
        <v>0.05</v>
      </c>
      <c r="AC272" s="134">
        <v>0.9</v>
      </c>
      <c r="AD272" s="129">
        <f>(((Input!G272*Constants!$B$25*0.000000001*Input!U272*(Constants!$B$10/Constants!$B$9))-((AB272*0.000000000000001)+(Input!G272*AC272*0.000000000000001)))/Input!F272)*1000000000000</f>
        <v>5.8497145866602374</v>
      </c>
      <c r="AE272" s="129">
        <f>AD272*Input!V272/100</f>
        <v>2.5921409763825901E-2</v>
      </c>
      <c r="AF272" s="129">
        <f>(AD272/Constants!$B$10)*602200000000*Constants!$B$16/(365.2425*24*60)</f>
        <v>0.26701413263392754</v>
      </c>
      <c r="AG272" s="129">
        <f>AF272*Input!V272/100</f>
        <v>1.1832000762088805E-3</v>
      </c>
      <c r="AH272" s="18">
        <f>AF272/Z272</f>
        <v>33.965141943414963</v>
      </c>
      <c r="AI272" s="133">
        <f>AH272*SQRT((AG272/AF272)^2+(AA272/Z272)^2)</f>
        <v>0.18232777081588603</v>
      </c>
      <c r="AJ272" s="132">
        <f t="shared" si="1478"/>
        <v>142.42924299772318</v>
      </c>
      <c r="AK272" s="133">
        <f>V272*1000</f>
        <v>0.76276749041463454</v>
      </c>
      <c r="AL272" s="133">
        <f>AF272/Q272</f>
        <v>9.7765959676140671E-2</v>
      </c>
      <c r="AM272" s="133">
        <f>AL272*SQRT((R272/Q272)^2+(AG272/AF272)^2)</f>
        <v>4.332732055210549E-4</v>
      </c>
      <c r="AN272" s="18">
        <f>AL272*1/((AN271+AN273)/2)</f>
        <v>9.8142321488182277E-2</v>
      </c>
      <c r="AO272" s="129">
        <f>AN272*SQRT((R272/Q272)^2+(AG272/AF272)^2)</f>
        <v>4.3494114279982919E-4</v>
      </c>
      <c r="AP272" s="18">
        <f>ThU_Alter_Kombi(AN272,U272)</f>
        <v>9.7772000000000006</v>
      </c>
      <c r="AQ272" s="18">
        <f t="shared" si="1484"/>
        <v>4.8300000000000003E-2</v>
      </c>
      <c r="AR272" s="154">
        <f>(AQ272/AP272)</f>
        <v>4.9400646401832832E-3</v>
      </c>
      <c r="AS272" s="131">
        <f t="shared" si="1485"/>
        <v>2.878420465282206E-3</v>
      </c>
      <c r="AT272" s="131">
        <f t="shared" si="1486"/>
        <v>8.7236143028800835E-6</v>
      </c>
      <c r="AU272" s="18">
        <v>8</v>
      </c>
      <c r="AV272" s="18">
        <f>AU272/2</f>
        <v>4</v>
      </c>
      <c r="AW272" s="18">
        <f t="shared" si="1488"/>
        <v>7.5636999999999999</v>
      </c>
      <c r="AX272" s="135">
        <f t="shared" si="1489"/>
        <v>1.1071391987000001</v>
      </c>
      <c r="AY272" s="135">
        <f t="shared" si="1490"/>
        <v>1.1210320292768563</v>
      </c>
      <c r="AZ272" s="154">
        <f t="shared" si="1491"/>
        <v>0.14637534522786469</v>
      </c>
      <c r="BA272" s="18" t="str">
        <f>Input!B272</f>
        <v>MeBo24 T10-La-17</v>
      </c>
      <c r="BB272" s="136">
        <f>Input!E272</f>
        <v>0</v>
      </c>
      <c r="BC272" s="18">
        <f>((U272-1)*EXP(Constants!$B$17*AW272*1000))*1000</f>
        <v>145.50210461965918</v>
      </c>
      <c r="BD272" s="132">
        <f>SQRT((EXP(Constants!$B$17*AW272*1000)*V272)^2+((U272-1)*Constants!$B$17*EXP(Constants!$B$17*AW272*1000)*AY272*1000)^2)*1000</f>
        <v>0.90502944194657564</v>
      </c>
      <c r="BE272" s="18">
        <f t="shared" si="1492"/>
        <v>7505.7</v>
      </c>
      <c r="BF272" s="137">
        <f t="shared" si="1493"/>
        <v>560.51601463842815</v>
      </c>
      <c r="BG272" s="20">
        <f t="shared" si="1494"/>
        <v>14.821212227836329</v>
      </c>
      <c r="BH272" s="18"/>
      <c r="BI272" s="18"/>
      <c r="BJ272" s="18"/>
      <c r="BK272" s="18"/>
      <c r="BL272" s="18"/>
      <c r="BM272" s="18"/>
      <c r="BN272" s="159"/>
      <c r="BO272" s="18"/>
      <c r="BP272" s="18"/>
      <c r="BQ272" s="18"/>
      <c r="BR272" s="18"/>
      <c r="BS272" s="18"/>
      <c r="BT272" s="18"/>
      <c r="BU272" s="18"/>
      <c r="BV272" s="18"/>
      <c r="BW272" s="18"/>
      <c r="BX272" s="18"/>
      <c r="BY272" s="18"/>
      <c r="BZ272" s="18"/>
      <c r="CA272" s="18"/>
      <c r="CB272" s="18"/>
      <c r="CC272" s="18"/>
      <c r="CD272" s="18"/>
      <c r="CE272" s="1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  <c r="CY272" s="18"/>
      <c r="CZ272" s="18"/>
      <c r="DA272" s="18"/>
      <c r="DB272" s="18"/>
      <c r="DC272" s="18"/>
      <c r="DD272" s="18"/>
      <c r="DE272" s="18"/>
      <c r="DF272" s="18"/>
    </row>
    <row r="273" spans="1:110" ht="15" customHeight="1" x14ac:dyDescent="0.2">
      <c r="A273" s="138">
        <f>Input!A273</f>
        <v>10815</v>
      </c>
      <c r="B273" s="138" t="str">
        <f>Input!B273</f>
        <v>Hu1-13</v>
      </c>
      <c r="C273" s="138">
        <f>Input!O273</f>
        <v>2.1005753019143616</v>
      </c>
      <c r="D273" s="138">
        <f>C273*Input!P273/100</f>
        <v>9.5161112112493503E-3</v>
      </c>
      <c r="E273" s="139">
        <f>Input!M273</f>
        <v>2.7321734793402785</v>
      </c>
      <c r="F273" s="140">
        <f>E273*Input!N273/100</f>
        <v>2.6135605183023148E-4</v>
      </c>
      <c r="G273" s="141">
        <f t="shared" ref="G273" si="1522">E273*137.88</f>
        <v>376.71207933143762</v>
      </c>
      <c r="H273" s="140">
        <f>G273*Input!L273/100</f>
        <v>2.5839621392078956E-2</v>
      </c>
      <c r="I273" s="138">
        <v>0</v>
      </c>
      <c r="J273" s="142">
        <f>(((C273*Constants!$B$24*0.000000001*Input!G273*(Constants!$B$4/Constants!$B$3))-(I273*0.000000000000001))/Input!F273)*1000000000000</f>
        <v>758.38654523711386</v>
      </c>
      <c r="K273" s="138">
        <f>J273*Input!P273/100</f>
        <v>3.4356734076680997</v>
      </c>
      <c r="L273" s="143">
        <f>(J273/Constants!$B$4)*602200000000*Constants!$B$17/(365.2425*24*60)</f>
        <v>10.470368304833755</v>
      </c>
      <c r="M273" s="144">
        <f>L273*Input!P273/100</f>
        <v>4.743328607202698E-2</v>
      </c>
      <c r="N273" s="138">
        <v>0</v>
      </c>
      <c r="O273" s="142">
        <f>(((G273*Constants!$B$23*0.000000001*Input!G273*(Constants!$B$7/Constants!$B$6))-(N273*0.000000001))/Input!F273)*1000000</f>
        <v>13.700720649422905</v>
      </c>
      <c r="P273" s="138">
        <f>O273*Input!N273/100</f>
        <v>1.310592567872638E-3</v>
      </c>
      <c r="Q273" s="145">
        <f>(O273/Constants!$B$7)*602200000000000000*Constants!$B$18/(365.2425*24*60)</f>
        <v>10.222392082484541</v>
      </c>
      <c r="R273" s="146">
        <f>Q273*Input!N273/100</f>
        <v>9.7786032078164115E-4</v>
      </c>
      <c r="S273" s="144">
        <f>Input!S273*Constants!$B$17/Constants!$B$18</f>
        <v>0.99993964453749207</v>
      </c>
      <c r="T273" s="138">
        <f>S273*Input!T273/100</f>
        <v>1.1124333028625106E-3</v>
      </c>
      <c r="U273" s="144">
        <f>S273</f>
        <v>0.99993964453749207</v>
      </c>
      <c r="V273" s="138">
        <f>U273*Input!T273/100</f>
        <v>1.1124333028625106E-3</v>
      </c>
      <c r="W273" s="147">
        <v>0</v>
      </c>
      <c r="X273" s="142">
        <f>(((Constants!$B$25*0.000000001*Input!G273/Input!W273*(Constants!$B$11/Constants!$B$9))-(W273*0.000000001))/Input!F273)*1000000000</f>
        <v>0.93779724345092319</v>
      </c>
      <c r="Y273" s="142">
        <f>X273*Input!X273/100</f>
        <v>3.9370935950893858E-3</v>
      </c>
      <c r="Z273" s="142">
        <f>(X273/Constants!$B$11)*6.022E+23*0.000000001*Constants!$B$19/(365.2425*24*60)</f>
        <v>2.289466249209709E-4</v>
      </c>
      <c r="AA273" s="142">
        <f>Z273*Input!X273/100</f>
        <v>9.6117182780017189E-7</v>
      </c>
      <c r="AB273" s="143">
        <v>0</v>
      </c>
      <c r="AC273" s="143">
        <v>0.9</v>
      </c>
      <c r="AD273" s="142">
        <f>(((Input!G273*Constants!$B$25*0.000000001*Input!U273*(Constants!$B$10/Constants!$B$9))-((AB273*0.000000000000001)+(Input!G273*AC273*0.000000000000001)))/Input!F273)*1000000000000</f>
        <v>223.06184318118994</v>
      </c>
      <c r="AE273" s="142">
        <f>AD273*Input!V273/100</f>
        <v>0.60629561460181236</v>
      </c>
      <c r="AF273" s="142">
        <f>(AD273/Constants!$B$10)*602200000000*Constants!$B$16/(365.2425*24*60)</f>
        <v>10.181806940901609</v>
      </c>
      <c r="AG273" s="142">
        <f>AF273*Input!V273/100</f>
        <v>2.7674768615520449E-2</v>
      </c>
      <c r="AH273" s="138">
        <f t="shared" ref="AH273" si="1523">AF273/Z273</f>
        <v>44472.40462451116</v>
      </c>
      <c r="AI273" s="147">
        <f t="shared" ref="AI273" si="1524">AH273*SQRT((AG273/AF273)^2+(AA273/Z273)^2)</f>
        <v>222.41998162507744</v>
      </c>
      <c r="AJ273" s="144">
        <f t="shared" si="1478"/>
        <v>-6.0355462507932778E-2</v>
      </c>
      <c r="AK273" s="147">
        <f t="shared" ref="AK273" si="1525">V273*1000</f>
        <v>1.1124333028625106</v>
      </c>
      <c r="AL273" s="147">
        <f t="shared" ref="AL273" si="1526">AF273/Q273</f>
        <v>0.99602978038257084</v>
      </c>
      <c r="AM273" s="147">
        <f t="shared" ref="AM273" si="1527">AL273*SQRT((R273/Q273)^2+(AG273/AF273)^2)</f>
        <v>2.7089454250828825E-3</v>
      </c>
      <c r="AN273" s="138">
        <f>AF273/Q273</f>
        <v>0.99602978038257084</v>
      </c>
      <c r="AO273" s="142">
        <f t="shared" ref="AO273" si="1528">AN273*SQRT((R273/Q273)^2+(AG273/AF273)^2)</f>
        <v>2.7089454250828825E-3</v>
      </c>
      <c r="AP273" s="138">
        <f t="shared" ref="AP273" si="1529">ThU_Alter_Kombi(AN273,U273)</f>
        <v>605.27449999999999</v>
      </c>
      <c r="AQ273" s="138" t="e">
        <f t="shared" si="1484"/>
        <v>#VALUE!</v>
      </c>
      <c r="AR273" s="138" t="e">
        <f>(AQ273/AP273)*100</f>
        <v>#VALUE!</v>
      </c>
      <c r="AS273" s="146">
        <f t="shared" si="1485"/>
        <v>2.239658027921442E-5</v>
      </c>
      <c r="AT273" s="146">
        <f t="shared" si="1486"/>
        <v>9.4050521303236189E-8</v>
      </c>
      <c r="AU273" s="138">
        <v>0.75</v>
      </c>
      <c r="AV273" s="138">
        <f t="shared" ref="AV273" si="1530">AU273/2</f>
        <v>0.375</v>
      </c>
      <c r="AW273" s="138">
        <f t="shared" si="1488"/>
        <v>605.27260000000001</v>
      </c>
      <c r="AX273" s="148">
        <f t="shared" si="1489"/>
        <v>220.32067109959999</v>
      </c>
      <c r="AY273" s="148">
        <f t="shared" si="1490"/>
        <v>87.416724855907091</v>
      </c>
      <c r="AZ273" s="149">
        <f t="shared" si="1491"/>
        <v>0.36400238685775632</v>
      </c>
      <c r="BA273" s="138" t="str">
        <f>Input!B273</f>
        <v>Hu1-13</v>
      </c>
      <c r="BB273" s="150">
        <f>Input!E273</f>
        <v>0</v>
      </c>
      <c r="BC273" s="138">
        <f>((U273-1)*EXP(Constants!$B$17*AW273*1000))*1000</f>
        <v>-0.3330747871514339</v>
      </c>
      <c r="BD273" s="144">
        <f>SQRT((EXP(Constants!$B$17*AW273*1000)*V273)^2+((U273-1)*Constants!$B$17*EXP(Constants!$B$17*AW273*1000)*AY273*1000)^2)*1000</f>
        <v>6.1395714250108284</v>
      </c>
      <c r="BE273" s="138">
        <f t="shared" si="1492"/>
        <v>605214.6</v>
      </c>
      <c r="BF273" s="151">
        <f t="shared" si="1493"/>
        <v>43708.362427953543</v>
      </c>
      <c r="BG273" s="160">
        <f t="shared" si="1494"/>
        <v>14.442537933471147</v>
      </c>
      <c r="BH273" s="138"/>
      <c r="BI273" s="18"/>
      <c r="BJ273" s="18"/>
      <c r="BK273" s="18"/>
      <c r="BL273" s="18"/>
      <c r="BM273" s="18"/>
      <c r="BN273" s="159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1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18"/>
      <c r="CZ273" s="18"/>
      <c r="DA273" s="18"/>
      <c r="DB273" s="18"/>
      <c r="DC273" s="18"/>
      <c r="DD273" s="18"/>
      <c r="DE273" s="18"/>
      <c r="DF273" s="18"/>
    </row>
    <row r="274" spans="1:110" ht="15" customHeight="1" x14ac:dyDescent="0.2">
      <c r="A274" s="18">
        <f>Input!A274</f>
        <v>11080</v>
      </c>
      <c r="B274" s="18" t="str">
        <f>Input!B274</f>
        <v>MeBo24 T09-La-04</v>
      </c>
      <c r="C274" s="18">
        <f>Input!O274</f>
        <v>1.393528156902448</v>
      </c>
      <c r="D274" s="18">
        <f>C274*Input!P274/100</f>
        <v>4.7707519465584108E-3</v>
      </c>
      <c r="E274" s="152">
        <f>Input!M274</f>
        <v>1.6165027783353492</v>
      </c>
      <c r="F274" s="153">
        <f>E274*Input!N274/100</f>
        <v>1.2769014292858609E-4</v>
      </c>
      <c r="G274" s="21">
        <f>E274*137.88</f>
        <v>222.88340307687793</v>
      </c>
      <c r="H274" s="153">
        <f>G274*Input!L274/100</f>
        <v>1.7575233868000598E-2</v>
      </c>
      <c r="I274" s="18">
        <v>0.3</v>
      </c>
      <c r="J274" s="129">
        <f>(((C274*Constants!$B$24*0.000000001*Input!G274*(Constants!$B$4/Constants!$B$3))-(I274*0.000000000000001))/Input!F274)*1000000000000</f>
        <v>119.76968065138229</v>
      </c>
      <c r="K274" s="18">
        <f>J274*Input!P274/100</f>
        <v>0.41003221519137251</v>
      </c>
      <c r="L274" s="134">
        <f>(J274/Constants!$B$4)*602200000000*Constants!$B$17/(365.2425*24*60)</f>
        <v>1.6535534234461047</v>
      </c>
      <c r="M274" s="132">
        <f>L274*Input!P274/100</f>
        <v>5.660949995570176E-3</v>
      </c>
      <c r="N274" s="18">
        <v>5.0000000000000001E-3</v>
      </c>
      <c r="O274" s="129">
        <f>(((G274*Constants!$B$23*0.000000001*Input!G274*(Constants!$B$7/Constants!$B$6))-(N274*0.000000001))/Input!F274)*1000000</f>
        <v>1.929699010003525</v>
      </c>
      <c r="P274" s="18">
        <f>O274*Input!N274/100</f>
        <v>1.5243001478181428E-4</v>
      </c>
      <c r="Q274" s="130">
        <f>(O274/Constants!$B$7)*602200000000000000*Constants!$B$18/(365.2425*24*60)</f>
        <v>1.4397884889558115</v>
      </c>
      <c r="R274" s="131">
        <f>Q274*Input!N274/100</f>
        <v>1.1373119824206134E-4</v>
      </c>
      <c r="S274" s="132">
        <f>Input!S274*Constants!$B$17/Constants!$B$18</f>
        <v>1.1391401122865059</v>
      </c>
      <c r="T274" s="18">
        <f>S274*Input!T274/100</f>
        <v>1.6705845304615962E-3</v>
      </c>
      <c r="U274" s="18">
        <f>S274*1/((U273+U275)/2)</f>
        <v>1.1392088697647338</v>
      </c>
      <c r="V274" s="18">
        <f>U274*Input!T274/100</f>
        <v>1.6706853654495331E-3</v>
      </c>
      <c r="W274" s="133">
        <v>3.0000000000000001E-3</v>
      </c>
      <c r="X274" s="129">
        <f>(((Constants!$B$25*0.000000001*Input!G274/Input!W274*(Constants!$B$11/Constants!$B$9)-(W274*0.000000001))/Input!F274)*1000000000)</f>
        <v>-7.3743198271460052E-3</v>
      </c>
      <c r="Y274" s="129">
        <f>X274*Input!X274/100</f>
        <v>-9.4767516637890315E-5</v>
      </c>
      <c r="Z274" s="129">
        <f>(X274/Constants!$B$11)*6.022E+23*0.000000001*Constants!$B$19/(365.2425*24*60)</f>
        <v>-1.8003098722066451E-6</v>
      </c>
      <c r="AA274" s="129">
        <f>Z274*Input!X274/100</f>
        <v>-2.3135814524840173E-8</v>
      </c>
      <c r="AB274" s="134">
        <v>0.05</v>
      </c>
      <c r="AC274" s="134">
        <v>0.9</v>
      </c>
      <c r="AD274" s="129">
        <f>(((Input!G274*Constants!$B$25*0.000000001*Input!U274*(Constants!$B$10/Constants!$B$9))-((AB274*0.000000000000001)+(Input!G274*AC274*0.000000000000001)))/Input!F274)*1000000000000</f>
        <v>2.1019213366943958</v>
      </c>
      <c r="AE274" s="129">
        <f>AD274*Input!V274/100</f>
        <v>1.1403849552503622E-2</v>
      </c>
      <c r="AF274" s="129">
        <f>(AD274/Constants!$B$10)*602200000000*Constants!$B$16/(365.2425*24*60)</f>
        <v>9.5943604472954025E-2</v>
      </c>
      <c r="AG274" s="129">
        <f>AF274*Input!V274/100</f>
        <v>5.2053633589122243E-4</v>
      </c>
      <c r="AH274" s="18">
        <f>AF274/Z274</f>
        <v>-53292.828059291627</v>
      </c>
      <c r="AI274" s="133">
        <f>AH274*SQRT((AG274/AF274)^2+(AA274/Z274)^2)</f>
        <v>-743.39974610026115</v>
      </c>
      <c r="AJ274" s="132">
        <f t="shared" si="1478"/>
        <v>139.20886976473378</v>
      </c>
      <c r="AK274" s="133">
        <f>V274*1000</f>
        <v>1.6706853654495331</v>
      </c>
      <c r="AL274" s="133">
        <f>AF274/Q274</f>
        <v>6.663729096940893E-2</v>
      </c>
      <c r="AM274" s="133">
        <f>AL274*SQRT((R274/Q274)^2+(AG274/AF274)^2)</f>
        <v>3.6157498703062447E-4</v>
      </c>
      <c r="AN274" s="18">
        <f>AL274*1/((AN273+AN275)/2)</f>
        <v>6.6902910216011635E-2</v>
      </c>
      <c r="AO274" s="129">
        <f>AN274*SQRT((R274/Q274)^2+(AG274/AF274)^2)</f>
        <v>3.6301624123301313E-4</v>
      </c>
      <c r="AP274" s="18">
        <f>ThU_Alter_Kombi(AN274,U274)</f>
        <v>6.5919999999999996</v>
      </c>
      <c r="AQ274" s="18">
        <f t="shared" si="1484"/>
        <v>3.9199999999999999E-2</v>
      </c>
      <c r="AR274" s="154">
        <f>(AQ274/AP274)</f>
        <v>5.9466019417475733E-3</v>
      </c>
      <c r="AS274" s="131">
        <f t="shared" si="1485"/>
        <v>-1.2503988509536545E-6</v>
      </c>
      <c r="AT274" s="131">
        <f t="shared" si="1486"/>
        <v>-1.6069201663089318E-8</v>
      </c>
      <c r="AU274" s="18">
        <v>8</v>
      </c>
      <c r="AV274" s="18">
        <f>AU274/2</f>
        <v>4</v>
      </c>
      <c r="AW274" s="18">
        <f t="shared" si="1488"/>
        <v>6.593</v>
      </c>
      <c r="AX274" s="135">
        <f t="shared" si="1489"/>
        <v>3.8678458800000003E-2</v>
      </c>
      <c r="AY274" s="135">
        <f t="shared" si="1490"/>
        <v>3.8221186062633583E-2</v>
      </c>
      <c r="AZ274" s="154">
        <f t="shared" si="1491"/>
        <v>5.8665946913392993E-3</v>
      </c>
      <c r="BA274" s="18" t="str">
        <f>Input!B274</f>
        <v>MeBo24 T09-La-04</v>
      </c>
      <c r="BB274" s="136">
        <f>Input!E274</f>
        <v>0</v>
      </c>
      <c r="BC274" s="18">
        <f>((U274-1)*EXP(Constants!$B$17*AW274*1000))*1000</f>
        <v>141.82321355687671</v>
      </c>
      <c r="BD274" s="132">
        <f>SQRT((EXP(Constants!$B$17*AW274*1000)*V274)^2+((U274-1)*Constants!$B$17*EXP(Constants!$B$17*AW274*1000)*AY274*1000)^2)*1000</f>
        <v>1.7021295931407336</v>
      </c>
      <c r="BE274" s="18">
        <f t="shared" si="1492"/>
        <v>6535</v>
      </c>
      <c r="BF274" s="137">
        <f t="shared" si="1493"/>
        <v>19.110593031316792</v>
      </c>
      <c r="BG274" s="20">
        <f t="shared" si="1494"/>
        <v>0.57972373824713452</v>
      </c>
      <c r="BH274" s="18"/>
      <c r="BI274" s="18"/>
      <c r="BJ274" s="18"/>
      <c r="BK274" s="18"/>
      <c r="BL274" s="18"/>
      <c r="BM274" s="18"/>
      <c r="BN274" s="159"/>
      <c r="BO274" s="18"/>
      <c r="BP274" s="18"/>
      <c r="BQ274" s="18"/>
      <c r="BR274" s="18"/>
      <c r="BS274" s="18"/>
      <c r="BT274" s="18"/>
      <c r="BU274" s="18"/>
      <c r="BV274" s="18"/>
      <c r="BW274" s="18"/>
      <c r="BX274" s="18"/>
      <c r="BY274" s="18"/>
      <c r="BZ274" s="18"/>
      <c r="CA274" s="18"/>
      <c r="CB274" s="18"/>
      <c r="CC274" s="18"/>
      <c r="CD274" s="18"/>
      <c r="CE274" s="18"/>
      <c r="CF274" s="18"/>
      <c r="CG274" s="18"/>
      <c r="CH274" s="18"/>
      <c r="CI274" s="18"/>
      <c r="CJ274" s="18"/>
      <c r="CK274" s="18"/>
      <c r="CL274" s="18"/>
      <c r="CM274" s="18"/>
      <c r="CN274" s="18"/>
      <c r="CO274" s="18"/>
      <c r="CP274" s="18"/>
      <c r="CQ274" s="18"/>
      <c r="CR274" s="18"/>
      <c r="CS274" s="18"/>
      <c r="CT274" s="18"/>
      <c r="CU274" s="18"/>
      <c r="CV274" s="18"/>
      <c r="CW274" s="18"/>
      <c r="CX274" s="18"/>
      <c r="CY274" s="18"/>
      <c r="CZ274" s="18"/>
      <c r="DA274" s="18"/>
      <c r="DB274" s="18"/>
      <c r="DC274" s="18"/>
      <c r="DD274" s="18"/>
      <c r="DE274" s="18"/>
      <c r="DF274" s="18"/>
    </row>
    <row r="275" spans="1:110" ht="15" customHeight="1" x14ac:dyDescent="0.2">
      <c r="A275" s="138">
        <f>Input!A275</f>
        <v>10815</v>
      </c>
      <c r="B275" s="138" t="str">
        <f>Input!B275</f>
        <v>Hu1-13</v>
      </c>
      <c r="C275" s="138">
        <f>Input!O275</f>
        <v>2.1005753019143616</v>
      </c>
      <c r="D275" s="138">
        <f>C275*Input!P275/100</f>
        <v>9.5161112112493503E-3</v>
      </c>
      <c r="E275" s="139">
        <f>Input!M275</f>
        <v>2.7321734793402785</v>
      </c>
      <c r="F275" s="140">
        <f>E275*Input!N275/100</f>
        <v>2.6135605183023148E-4</v>
      </c>
      <c r="G275" s="141">
        <f t="shared" ref="G275" si="1531">E275*137.88</f>
        <v>376.71207933143762</v>
      </c>
      <c r="H275" s="140">
        <f>G275*Input!L275/100</f>
        <v>2.5839621392078956E-2</v>
      </c>
      <c r="I275" s="138">
        <v>0</v>
      </c>
      <c r="J275" s="142">
        <f>(((C275*Constants!$B$24*0.000000001*Input!G275*(Constants!$B$4/Constants!$B$3))-(I275*0.000000000000001))/Input!F275)*1000000000000</f>
        <v>758.38654523711386</v>
      </c>
      <c r="K275" s="138">
        <f>J275*Input!P275/100</f>
        <v>3.4356734076680997</v>
      </c>
      <c r="L275" s="143">
        <f>(J275/Constants!$B$4)*602200000000*Constants!$B$17/(365.2425*24*60)</f>
        <v>10.470368304833755</v>
      </c>
      <c r="M275" s="144">
        <f>L275*Input!P275/100</f>
        <v>4.743328607202698E-2</v>
      </c>
      <c r="N275" s="138">
        <v>0</v>
      </c>
      <c r="O275" s="142">
        <f>(((G275*Constants!$B$23*0.000000001*Input!G275*(Constants!$B$7/Constants!$B$6))-(N275*0.000000001))/Input!F275)*1000000</f>
        <v>13.700720649422905</v>
      </c>
      <c r="P275" s="138">
        <f>O275*Input!N275/100</f>
        <v>1.310592567872638E-3</v>
      </c>
      <c r="Q275" s="145">
        <f>(O275/Constants!$B$7)*602200000000000000*Constants!$B$18/(365.2425*24*60)</f>
        <v>10.222392082484541</v>
      </c>
      <c r="R275" s="146">
        <f>Q275*Input!N275/100</f>
        <v>9.7786032078164115E-4</v>
      </c>
      <c r="S275" s="144">
        <f>Input!S275*Constants!$B$17/Constants!$B$18</f>
        <v>0.99993964453749207</v>
      </c>
      <c r="T275" s="138">
        <f>S275*Input!T275/100</f>
        <v>1.1124333028625106E-3</v>
      </c>
      <c r="U275" s="144">
        <f>S275</f>
        <v>0.99993964453749207</v>
      </c>
      <c r="V275" s="138">
        <f>U275*Input!T275/100</f>
        <v>1.1124333028625106E-3</v>
      </c>
      <c r="W275" s="147">
        <v>0</v>
      </c>
      <c r="X275" s="142">
        <f>(((Constants!$B$25*0.000000001*Input!G275/Input!W275*(Constants!$B$11/Constants!$B$9))-(W275*0.000000001))/Input!F275)*1000000000</f>
        <v>0.93779724345092319</v>
      </c>
      <c r="Y275" s="142">
        <f>X275*Input!X275/100</f>
        <v>3.9370935950893858E-3</v>
      </c>
      <c r="Z275" s="142">
        <f>(X275/Constants!$B$11)*6.022E+23*0.000000001*Constants!$B$19/(365.2425*24*60)</f>
        <v>2.289466249209709E-4</v>
      </c>
      <c r="AA275" s="142">
        <f>Z275*Input!X275/100</f>
        <v>9.6117182780017189E-7</v>
      </c>
      <c r="AB275" s="143">
        <v>0</v>
      </c>
      <c r="AC275" s="143">
        <v>0.9</v>
      </c>
      <c r="AD275" s="142">
        <f>(((Input!G275*Constants!$B$25*0.000000001*Input!U275*(Constants!$B$10/Constants!$B$9))-((AB275*0.000000000000001)+(Input!G275*AC275*0.000000000000001)))/Input!F275)*1000000000000</f>
        <v>223.06184318118994</v>
      </c>
      <c r="AE275" s="142">
        <f>AD275*Input!V275/100</f>
        <v>0.60629561460181236</v>
      </c>
      <c r="AF275" s="142">
        <f>(AD275/Constants!$B$10)*602200000000*Constants!$B$16/(365.2425*24*60)</f>
        <v>10.181806940901609</v>
      </c>
      <c r="AG275" s="142">
        <f>AF275*Input!V275/100</f>
        <v>2.7674768615520449E-2</v>
      </c>
      <c r="AH275" s="138">
        <f t="shared" ref="AH275" si="1532">AF275/Z275</f>
        <v>44472.40462451116</v>
      </c>
      <c r="AI275" s="147">
        <f t="shared" ref="AI275" si="1533">AH275*SQRT((AG275/AF275)^2+(AA275/Z275)^2)</f>
        <v>222.41998162507744</v>
      </c>
      <c r="AJ275" s="144">
        <f t="shared" si="1478"/>
        <v>-6.0355462507932778E-2</v>
      </c>
      <c r="AK275" s="147">
        <f t="shared" ref="AK275" si="1534">V275*1000</f>
        <v>1.1124333028625106</v>
      </c>
      <c r="AL275" s="147">
        <f t="shared" ref="AL275" si="1535">AF275/Q275</f>
        <v>0.99602978038257084</v>
      </c>
      <c r="AM275" s="147">
        <f t="shared" ref="AM275" si="1536">AL275*SQRT((R275/Q275)^2+(AG275/AF275)^2)</f>
        <v>2.7089454250828825E-3</v>
      </c>
      <c r="AN275" s="138">
        <f>AF275/Q275</f>
        <v>0.99602978038257084</v>
      </c>
      <c r="AO275" s="142">
        <f t="shared" ref="AO275" si="1537">AN275*SQRT((R275/Q275)^2+(AG275/AF275)^2)</f>
        <v>2.7089454250828825E-3</v>
      </c>
      <c r="AP275" s="138">
        <f t="shared" ref="AP275" si="1538">ThU_Alter_Kombi(AN275,U275)</f>
        <v>605.27449999999999</v>
      </c>
      <c r="AQ275" s="138" t="e">
        <f t="shared" si="1484"/>
        <v>#VALUE!</v>
      </c>
      <c r="AR275" s="138" t="e">
        <f>(AQ275/AP275)*100</f>
        <v>#VALUE!</v>
      </c>
      <c r="AS275" s="146">
        <f t="shared" si="1485"/>
        <v>2.239658027921442E-5</v>
      </c>
      <c r="AT275" s="146">
        <f t="shared" si="1486"/>
        <v>9.4050521303236189E-8</v>
      </c>
      <c r="AU275" s="138">
        <v>0.75</v>
      </c>
      <c r="AV275" s="138">
        <f t="shared" ref="AV275" si="1539">AU275/2</f>
        <v>0.375</v>
      </c>
      <c r="AW275" s="138">
        <f t="shared" si="1488"/>
        <v>605.27260000000001</v>
      </c>
      <c r="AX275" s="148">
        <f t="shared" si="1489"/>
        <v>209.07124360399999</v>
      </c>
      <c r="AY275" s="148">
        <f t="shared" si="1490"/>
        <v>87.416724855907091</v>
      </c>
      <c r="AZ275" s="149">
        <f t="shared" si="1491"/>
        <v>0.34541666615009498</v>
      </c>
      <c r="BA275" s="138" t="str">
        <f>Input!B275</f>
        <v>Hu1-13</v>
      </c>
      <c r="BB275" s="150">
        <f>Input!E275</f>
        <v>0</v>
      </c>
      <c r="BC275" s="138">
        <f>((U275-1)*EXP(Constants!$B$17*AW275*1000))*1000</f>
        <v>-0.3330747871514339</v>
      </c>
      <c r="BD275" s="144">
        <f>SQRT((EXP(Constants!$B$17*AW275*1000)*V275)^2+((U275-1)*Constants!$B$17*EXP(Constants!$B$17*AW275*1000)*AY275*1000)^2)*1000</f>
        <v>6.1395714250108284</v>
      </c>
      <c r="BE275" s="138">
        <f t="shared" si="1492"/>
        <v>605214.6</v>
      </c>
      <c r="BF275" s="151">
        <f t="shared" si="1493"/>
        <v>43708.362427953543</v>
      </c>
      <c r="BG275" s="160">
        <f t="shared" si="1494"/>
        <v>14.442537933471147</v>
      </c>
      <c r="BH275" s="138"/>
      <c r="BI275" s="18"/>
      <c r="BJ275" s="18"/>
      <c r="BK275" s="18"/>
      <c r="BL275" s="18"/>
      <c r="BM275" s="18"/>
      <c r="BN275" s="159"/>
      <c r="BO275" s="18"/>
      <c r="BP275" s="18"/>
      <c r="BQ275" s="18"/>
      <c r="BR275" s="18"/>
      <c r="BS275" s="18"/>
      <c r="BT275" s="18"/>
      <c r="BU275" s="18"/>
      <c r="BV275" s="18"/>
      <c r="BW275" s="18"/>
      <c r="BX275" s="18"/>
      <c r="BY275" s="18"/>
      <c r="BZ275" s="18"/>
      <c r="CA275" s="18"/>
      <c r="CB275" s="18"/>
      <c r="CC275" s="18"/>
      <c r="CD275" s="18"/>
      <c r="CE275" s="18"/>
      <c r="CF275" s="18"/>
      <c r="CG275" s="18"/>
      <c r="CH275" s="18"/>
      <c r="CI275" s="18"/>
      <c r="CJ275" s="18"/>
      <c r="CK275" s="18"/>
      <c r="CL275" s="18"/>
      <c r="CM275" s="18"/>
      <c r="CN275" s="18"/>
      <c r="CO275" s="18"/>
      <c r="CP275" s="18"/>
      <c r="CQ275" s="18"/>
      <c r="CR275" s="18"/>
      <c r="CS275" s="18"/>
      <c r="CT275" s="18"/>
      <c r="CU275" s="18"/>
      <c r="CV275" s="18"/>
      <c r="CW275" s="18"/>
      <c r="CX275" s="18"/>
      <c r="CY275" s="18"/>
      <c r="CZ275" s="18"/>
      <c r="DA275" s="18"/>
      <c r="DB275" s="18"/>
      <c r="DC275" s="18"/>
      <c r="DD275" s="18"/>
      <c r="DE275" s="18"/>
      <c r="DF275" s="18"/>
    </row>
    <row r="277" spans="1:110" ht="15" customHeight="1" x14ac:dyDescent="0.2">
      <c r="A277" s="138">
        <f>Input!A277</f>
        <v>10815</v>
      </c>
      <c r="B277" s="138" t="str">
        <f>Input!B277</f>
        <v>Hu1-13</v>
      </c>
      <c r="C277" s="138">
        <f>Input!O277</f>
        <v>2.0538294537272965</v>
      </c>
      <c r="D277" s="138">
        <f>C277*Input!P277/100</f>
        <v>1.7933686316228329E-2</v>
      </c>
      <c r="E277" s="139">
        <f>Input!M277</f>
        <v>2.7324920274643945</v>
      </c>
      <c r="F277" s="140">
        <f>E277*Input!N277/100</f>
        <v>3.6215765837316804E-4</v>
      </c>
      <c r="G277" s="141">
        <f t="shared" ref="G277" si="1540">E277*137.88</f>
        <v>376.75600074679068</v>
      </c>
      <c r="H277" s="140">
        <f>G277*Input!L277/100</f>
        <v>0.11975272605620337</v>
      </c>
      <c r="I277" s="138">
        <v>0</v>
      </c>
      <c r="J277" s="142">
        <f>(((C277*Constants!$B$24*0.000000001*Input!G277*(Constants!$B$4/Constants!$B$3))-(I277*0.000000000000001))/Input!F277)*1000000000000</f>
        <v>741.50953907672613</v>
      </c>
      <c r="K277" s="138">
        <f>J277*Input!P277/100</f>
        <v>6.4747340389728096</v>
      </c>
      <c r="L277" s="143">
        <f>(J277/Constants!$B$4)*602200000000*Constants!$B$17/(365.2425*24*60)</f>
        <v>10.237362495999214</v>
      </c>
      <c r="M277" s="144">
        <f>L277*Input!P277/100</f>
        <v>8.9390892401306168E-2</v>
      </c>
      <c r="N277" s="138">
        <v>0</v>
      </c>
      <c r="O277" s="142">
        <f>(((G277*Constants!$B$23*0.000000001*Input!G277*(Constants!$B$7/Constants!$B$6))-(N277*0.000000001))/Input!F277)*1000000</f>
        <v>13.702318036592828</v>
      </c>
      <c r="P277" s="138">
        <f>O277*Input!N277/100</f>
        <v>1.8160709581362341E-3</v>
      </c>
      <c r="Q277" s="145">
        <f>(O277/Constants!$B$7)*602200000000000000*Constants!$B$18/(365.2425*24*60)</f>
        <v>10.223583926211328</v>
      </c>
      <c r="R277" s="146">
        <f>Q277*Input!N277/100</f>
        <v>1.355008240713522E-3</v>
      </c>
      <c r="S277" s="144">
        <f>Input!S277*Constants!$B$17/Constants!$B$18</f>
        <v>0.99806322312350604</v>
      </c>
      <c r="T277" s="138">
        <f>S277*Input!T277/100</f>
        <v>1.9606072314398192E-3</v>
      </c>
      <c r="U277" s="144">
        <f>S277</f>
        <v>0.99806322312350604</v>
      </c>
      <c r="V277" s="138">
        <f>U277*Input!T277/100</f>
        <v>1.9606072314398192E-3</v>
      </c>
      <c r="W277" s="147">
        <v>0</v>
      </c>
      <c r="X277" s="142">
        <f>(((Constants!$B$25*0.000000001*Input!G277/Input!W277*(Constants!$B$11/Constants!$B$9))-(W277*0.000000001))/Input!F277)*1000000000</f>
        <v>0.9858160613319209</v>
      </c>
      <c r="Y277" s="142">
        <f>X277*Input!X277/100</f>
        <v>8.7987325127584504E-3</v>
      </c>
      <c r="Z277" s="142">
        <f>(X277/Constants!$B$11)*6.022E+23*0.000000001*Constants!$B$19/(365.2425*24*60)</f>
        <v>2.4066957075315762E-4</v>
      </c>
      <c r="AA277" s="142">
        <f>Z277*Input!X277/100</f>
        <v>2.1480550582188615E-6</v>
      </c>
      <c r="AB277" s="143">
        <v>0</v>
      </c>
      <c r="AC277" s="143">
        <v>0.9</v>
      </c>
      <c r="AD277" s="142">
        <f>(((Input!G277*Constants!$B$25*0.000000001*Input!U277*(Constants!$B$10/Constants!$B$9))-((AB277*0.000000000000001)+(Input!G277*AC277*0.000000000000001)))/Input!F277)*1000000000000</f>
        <v>222.01034483931025</v>
      </c>
      <c r="AE277" s="142">
        <f>AD277*Input!V277/100</f>
        <v>1.13052941232393</v>
      </c>
      <c r="AF277" s="142">
        <f>(AD277/Constants!$B$10)*602200000000*Constants!$B$16/(365.2425*24*60)</f>
        <v>10.133810596197325</v>
      </c>
      <c r="AG277" s="142">
        <f>AF277*Input!V277/100</f>
        <v>5.1603770744165882E-2</v>
      </c>
      <c r="AH277" s="138">
        <f t="shared" ref="AH277" si="1541">AF277/Z277</f>
        <v>42106.738149257151</v>
      </c>
      <c r="AI277" s="147">
        <f t="shared" ref="AI277" si="1542">AH277*SQRT((AG277/AF277)^2+(AA277/Z277)^2)</f>
        <v>432.68105960222783</v>
      </c>
      <c r="AJ277" s="144">
        <f t="shared" ref="AJ277:AJ287" si="1543">(U277-1)*1000</f>
        <v>-1.9367768764939619</v>
      </c>
      <c r="AK277" s="147">
        <f t="shared" ref="AK277" si="1544">V277*1000</f>
        <v>1.9606072314398193</v>
      </c>
      <c r="AL277" s="147">
        <f t="shared" ref="AL277" si="1545">AF277/Q277</f>
        <v>0.99121899613071685</v>
      </c>
      <c r="AM277" s="147">
        <f t="shared" ref="AM277" si="1546">AL277*SQRT((R277/Q277)^2+(AG277/AF277)^2)</f>
        <v>5.0492319484067476E-3</v>
      </c>
      <c r="AN277" s="138">
        <f>AF277/Q277</f>
        <v>0.99121899613071685</v>
      </c>
      <c r="AO277" s="142">
        <f t="shared" ref="AO277" si="1547">AN277*SQRT((R277/Q277)^2+(AG277/AF277)^2)</f>
        <v>5.0492319484067476E-3</v>
      </c>
      <c r="AP277" s="138">
        <f t="shared" ref="AP277" si="1548">ThU_Alter_Kombi(AN277,U277)</f>
        <v>556.702</v>
      </c>
      <c r="AQ277" s="138" t="e">
        <f t="shared" ref="AQ277:AQ287" si="1549">Montealter(AN277,AO277,U277,V277)</f>
        <v>#VALUE!</v>
      </c>
      <c r="AR277" s="138" t="e">
        <f>(AQ277/AP277)*100</f>
        <v>#VALUE!</v>
      </c>
      <c r="AS277" s="146">
        <f t="shared" ref="AS277:AS287" si="1550">Z277/Q277</f>
        <v>2.3540626505361446E-5</v>
      </c>
      <c r="AT277" s="146">
        <f t="shared" ref="AT277:AT287" si="1551">AS277*SQRT((Y277/X277)^2+(P277/O277)^2)</f>
        <v>2.1013099661684524E-7</v>
      </c>
      <c r="AU277" s="138">
        <v>0.75</v>
      </c>
      <c r="AV277" s="138">
        <f t="shared" ref="AV277" si="1552">AU277/2</f>
        <v>0.375</v>
      </c>
      <c r="AW277" s="138">
        <f t="shared" ref="AW277:AW287" si="1553">marincorr_age(AN277,U277,AS277,AU277)</f>
        <v>556.70010000000002</v>
      </c>
      <c r="AX277" s="148">
        <f t="shared" ref="AX277:AX287" si="1554">marincorr_age_error(AN277, AO277, U277, V277, AS277, AT277, AU277, AV277)</f>
        <v>223.1473902809</v>
      </c>
      <c r="AY277" s="148">
        <f t="shared" ref="AY277:AY287" si="1555">SQRT(((AU277*EXP(-0.0000091577*AW277*1000))/(0.0000091577*(EXP(-0.0000091577*AW277*1000)+(AJ277/1000)*EXP(-(0.0000091577-0.0000028263)*AW277*1000)-AS277*AU277*EXP(-0.0000091577*AW277*1000))))^2*AT277^2+((AS277*EXP(-0.0000091577*AW277*1000))/(0.0000091577*(EXP(-0.0000091577*AW277*1000)+(AJ277/1000)*EXP(-(0.0000091577-0.0000028263)*AW277*1000)-AS277*AU277*EXP(-0.0000091577*AW277*1000))))^2*AV277^2+((0.0000091577/(0.0000091577-0.0000028263))*(EXP(-(0.0000091577-0.0000028263)*AW277*1000)-1)/(0.0000091577*(EXP(-0.0000091577*AW277*1000)+(AJ277/1000)*EXP(-(0.0000091577-0.0000028263)*AW277*1000)-AS277*AU277*EXP(-0.0000091577*AW277*1000))))^2*T277^2+(1/(0.0000091577*(EXP(-0.0000091577*AW277*1000)+(AJ277/1000)*EXP(-(0.0000091577-0.0000028263)*AW277*1000)-AS277*AU277*EXP(-0.0000091577*AW277*1000))))^2*AO277^2)/1000</f>
        <v>103.77334440573955</v>
      </c>
      <c r="AZ277" s="149">
        <f t="shared" ref="AZ277:AZ287" si="1556">AX277/AW277</f>
        <v>0.40083950098248589</v>
      </c>
      <c r="BA277" s="138" t="str">
        <f>Input!B277</f>
        <v>Hu1-13</v>
      </c>
      <c r="BB277" s="150">
        <f>Input!E277</f>
        <v>0</v>
      </c>
      <c r="BC277" s="138">
        <f>((U277-1)*EXP(Constants!$B$17*AW277*1000))*1000</f>
        <v>-9.3191019965162294</v>
      </c>
      <c r="BD277" s="144">
        <f>SQRT((EXP(Constants!$B$17*AW277*1000)*V277)^2+((U277-1)*Constants!$B$17*EXP(Constants!$B$17*AW277*1000)*AY277*1000)^2)*1000</f>
        <v>9.82059805014209</v>
      </c>
      <c r="BE277" s="138">
        <f t="shared" ref="BE277:BE287" si="1557">AW277*1000-58</f>
        <v>556642.1</v>
      </c>
      <c r="BF277" s="151">
        <f t="shared" ref="BF277:BF287" si="1558">AY277/2*1000</f>
        <v>51886.672202869777</v>
      </c>
      <c r="BG277" s="160">
        <f t="shared" ref="BG277:BG287" si="1559">AY277/AW277*100</f>
        <v>18.640798592588638</v>
      </c>
      <c r="BH277" s="138"/>
      <c r="BI277" s="18"/>
      <c r="BJ277" s="18"/>
      <c r="BK277" s="18"/>
      <c r="BL277" s="18"/>
      <c r="BM277" s="18"/>
      <c r="BN277" s="159"/>
      <c r="BO277" s="18"/>
      <c r="BP277" s="18"/>
      <c r="BQ277" s="18"/>
      <c r="BR277" s="18"/>
      <c r="BS277" s="18"/>
      <c r="BT277" s="18"/>
      <c r="BU277" s="18"/>
      <c r="BV277" s="18"/>
      <c r="BW277" s="18"/>
      <c r="BX277" s="18"/>
      <c r="BY277" s="18"/>
      <c r="BZ277" s="18"/>
      <c r="CA277" s="18"/>
      <c r="CB277" s="18"/>
      <c r="CC277" s="18"/>
      <c r="CD277" s="18"/>
      <c r="CE277" s="18"/>
      <c r="CF277" s="18"/>
      <c r="CG277" s="18"/>
      <c r="CH277" s="18"/>
      <c r="CI277" s="18"/>
      <c r="CJ277" s="18"/>
      <c r="CK277" s="18"/>
      <c r="CL277" s="18"/>
      <c r="CM277" s="18"/>
      <c r="CN277" s="18"/>
      <c r="CO277" s="18"/>
      <c r="CP277" s="18"/>
      <c r="CQ277" s="18"/>
      <c r="CR277" s="18"/>
      <c r="CS277" s="18"/>
      <c r="CT277" s="18"/>
      <c r="CU277" s="18"/>
      <c r="CV277" s="18"/>
      <c r="CW277" s="18"/>
      <c r="CX277" s="18"/>
      <c r="CY277" s="18"/>
      <c r="CZ277" s="18"/>
      <c r="DA277" s="18"/>
      <c r="DB277" s="18"/>
      <c r="DC277" s="18"/>
      <c r="DD277" s="18"/>
      <c r="DE277" s="18"/>
      <c r="DF277" s="18"/>
    </row>
    <row r="278" spans="1:110" ht="15" customHeight="1" x14ac:dyDescent="0.2">
      <c r="A278" s="18">
        <f>Input!A278</f>
        <v>11079</v>
      </c>
      <c r="B278" s="18" t="str">
        <f>Input!B278</f>
        <v>MeBo24 T09-La-02</v>
      </c>
      <c r="C278" s="18">
        <f>Input!O278</f>
        <v>0.95740953364860948</v>
      </c>
      <c r="D278" s="18">
        <f>C278*Input!P278/100</f>
        <v>6.6435126649858674E-3</v>
      </c>
      <c r="E278" s="152">
        <f>Input!M278</f>
        <v>1.0967099060444416</v>
      </c>
      <c r="F278" s="153">
        <f>E278*Input!N278/100</f>
        <v>1.0307153982315784E-4</v>
      </c>
      <c r="G278" s="21">
        <f>E278*137.88</f>
        <v>151.21436184540761</v>
      </c>
      <c r="H278" s="153">
        <f>G278*Input!L278/100</f>
        <v>1.4812102650119723E-2</v>
      </c>
      <c r="I278" s="18">
        <v>0.3</v>
      </c>
      <c r="J278" s="129">
        <f>(((C278*Constants!$B$24*0.000000001*Input!G278*(Constants!$B$4/Constants!$B$3))-(I278*0.000000000000001))/Input!F278)*1000000000000</f>
        <v>91.349415331967109</v>
      </c>
      <c r="K278" s="18">
        <f>J278*Input!P278/100</f>
        <v>0.63387816432556687</v>
      </c>
      <c r="L278" s="134">
        <f>(J278/Constants!$B$4)*602200000000*Constants!$B$17/(365.2425*24*60)</f>
        <v>1.261180105269246</v>
      </c>
      <c r="M278" s="132">
        <f>L278*Input!P278/100</f>
        <v>8.7513918628468572E-3</v>
      </c>
      <c r="N278" s="18">
        <v>5.0000000000000001E-3</v>
      </c>
      <c r="O278" s="129">
        <f>(((G278*Constants!$B$23*0.000000001*Input!G278*(Constants!$B$7/Constants!$B$6))-(N278*0.000000001))/Input!F278)*1000000</f>
        <v>1.4533856834090961</v>
      </c>
      <c r="P278" s="18">
        <f>O278*Input!N278/100</f>
        <v>1.3659282142003168E-4</v>
      </c>
      <c r="Q278" s="130">
        <f>(O278/Constants!$B$7)*602200000000000000*Constants!$B$18/(365.2425*24*60)</f>
        <v>1.0844012284494924</v>
      </c>
      <c r="R278" s="131">
        <f>Q278*Input!N278/100</f>
        <v>1.0191473951898805E-4</v>
      </c>
      <c r="S278" s="132">
        <f>Input!S278*Constants!$B$17/Constants!$B$18</f>
        <v>1.1411172336525013</v>
      </c>
      <c r="T278" s="18">
        <f>S278*Input!T278/100</f>
        <v>3.2190709457907344E-3</v>
      </c>
      <c r="U278" s="18">
        <f>S278*1/((U277+U279)/2)</f>
        <v>1.141080065492132</v>
      </c>
      <c r="V278" s="18">
        <f>U278*Input!T278/100</f>
        <v>3.2189660950868587E-3</v>
      </c>
      <c r="W278" s="133">
        <v>3.0000000000000001E-3</v>
      </c>
      <c r="X278" s="129">
        <f>(((Constants!$B$25*0.000000001*Input!G278/Input!W278*(Constants!$B$11/Constants!$B$9)-(W278*0.000000001))/Input!F278)*1000000000)</f>
        <v>2.815583733102129E-2</v>
      </c>
      <c r="Y278" s="129">
        <f>X278*Input!X278/100</f>
        <v>2.3924551827109869E-4</v>
      </c>
      <c r="Z278" s="129">
        <f>(X278/Constants!$B$11)*6.022E+23*0.000000001*Constants!$B$19/(365.2425*24*60)</f>
        <v>6.8737501349869805E-6</v>
      </c>
      <c r="AA278" s="129">
        <f>Z278*Input!X278/100</f>
        <v>5.840756551392335E-8</v>
      </c>
      <c r="AB278" s="134">
        <v>0.05</v>
      </c>
      <c r="AC278" s="134">
        <v>0.9</v>
      </c>
      <c r="AD278" s="129">
        <f>(((Input!G278*Constants!$B$25*0.000000001*Input!U278*(Constants!$B$10/Constants!$B$9))-((AB278*0.000000000000001)+(Input!G278*AC278*0.000000000000001)))/Input!F278)*1000000000000</f>
        <v>1.8361326198207946</v>
      </c>
      <c r="AE278" s="129">
        <f>AD278*Input!V278/100</f>
        <v>1.3692927483682601E-2</v>
      </c>
      <c r="AF278" s="129">
        <f>(AD278/Constants!$B$10)*602200000000*Constants!$B$16/(365.2425*24*60)</f>
        <v>8.3811500820969276E-2</v>
      </c>
      <c r="AG278" s="129">
        <f>AF278*Input!V278/100</f>
        <v>6.2502282822694182E-4</v>
      </c>
      <c r="AH278" s="18">
        <f>AF278/Z278</f>
        <v>12192.980421905899</v>
      </c>
      <c r="AI278" s="133">
        <f>AH278*SQRT((AG278/AF278)^2+(AA278/Z278)^2)</f>
        <v>137.84880203136316</v>
      </c>
      <c r="AJ278" s="132">
        <f t="shared" si="1543"/>
        <v>141.08006549213204</v>
      </c>
      <c r="AK278" s="133">
        <f>V278*1000</f>
        <v>3.2189660950868588</v>
      </c>
      <c r="AL278" s="133">
        <f>AF278/Q278</f>
        <v>7.7288275429939657E-2</v>
      </c>
      <c r="AM278" s="133">
        <f>AL278*SQRT((R278/Q278)^2+(AG278/AF278)^2)</f>
        <v>5.7642175553605747E-4</v>
      </c>
      <c r="AN278" s="18">
        <f>AL278*1/((AN277+AN279)/2)</f>
        <v>7.7660637632808782E-2</v>
      </c>
      <c r="AO278" s="129">
        <f>AN278*SQRT((R278/Q278)^2+(AG278/AF278)^2)</f>
        <v>5.7919886077587696E-4</v>
      </c>
      <c r="AP278" s="18">
        <f>ThU_Alter_Kombi(AN278,U278)</f>
        <v>7.6755000000000004</v>
      </c>
      <c r="AQ278" s="18">
        <f t="shared" si="1549"/>
        <v>6.3299999999999995E-2</v>
      </c>
      <c r="AR278" s="154">
        <f>(AQ278/AP278)</f>
        <v>8.2470197381278084E-3</v>
      </c>
      <c r="AS278" s="131">
        <f t="shared" si="1550"/>
        <v>6.3387517043071438E-6</v>
      </c>
      <c r="AT278" s="131">
        <f t="shared" si="1551"/>
        <v>5.3864876261346794E-8</v>
      </c>
      <c r="AU278" s="18">
        <v>8</v>
      </c>
      <c r="AV278" s="18">
        <f>AU278/2</f>
        <v>4</v>
      </c>
      <c r="AW278" s="18">
        <f t="shared" si="1553"/>
        <v>7.6707000000000001</v>
      </c>
      <c r="AX278" s="135">
        <f t="shared" si="1554"/>
        <v>6.8654070100000006E-2</v>
      </c>
      <c r="AY278" s="135">
        <f t="shared" si="1555"/>
        <v>6.3509351212057683E-2</v>
      </c>
      <c r="AZ278" s="154">
        <f t="shared" si="1556"/>
        <v>8.9501701409258616E-3</v>
      </c>
      <c r="BA278" s="18" t="str">
        <f>Input!B278</f>
        <v>MeBo24 T09-La-02</v>
      </c>
      <c r="BB278" s="136">
        <f>Input!E278</f>
        <v>0</v>
      </c>
      <c r="BC278" s="18">
        <f>((U278-1)*EXP(Constants!$B$17*AW278*1000))*1000</f>
        <v>144.16734533655799</v>
      </c>
      <c r="BD278" s="132">
        <f>SQRT((EXP(Constants!$B$17*AW278*1000)*V278)^2+((U278-1)*Constants!$B$17*EXP(Constants!$B$17*AW278*1000)*AY278*1000)^2)*1000</f>
        <v>3.2895087769389479</v>
      </c>
      <c r="BE278" s="18">
        <f t="shared" si="1557"/>
        <v>7612.7</v>
      </c>
      <c r="BF278" s="137">
        <f t="shared" si="1558"/>
        <v>31.75467560602884</v>
      </c>
      <c r="BG278" s="20">
        <f t="shared" si="1559"/>
        <v>0.82794726963716059</v>
      </c>
      <c r="BH278" s="18"/>
      <c r="BI278" s="18"/>
      <c r="BJ278" s="18"/>
      <c r="BK278" s="18"/>
      <c r="BL278" s="18"/>
      <c r="BM278" s="18"/>
      <c r="BN278" s="159"/>
      <c r="BO278" s="18"/>
      <c r="BP278" s="18"/>
      <c r="BQ278" s="18"/>
      <c r="BR278" s="18"/>
      <c r="BS278" s="18"/>
      <c r="BT278" s="18"/>
      <c r="BU278" s="18"/>
      <c r="BV278" s="18"/>
      <c r="BW278" s="18"/>
      <c r="BX278" s="18"/>
      <c r="BY278" s="18"/>
      <c r="BZ278" s="18"/>
      <c r="CA278" s="18"/>
      <c r="CB278" s="18"/>
      <c r="CC278" s="18"/>
      <c r="CD278" s="18"/>
      <c r="CE278" s="18"/>
      <c r="CF278" s="18"/>
      <c r="CG278" s="18"/>
      <c r="CH278" s="18"/>
      <c r="CI278" s="18"/>
      <c r="CJ278" s="18"/>
      <c r="CK278" s="18"/>
      <c r="CL278" s="18"/>
      <c r="CM278" s="18"/>
      <c r="CN278" s="18"/>
      <c r="CO278" s="18"/>
      <c r="CP278" s="18"/>
      <c r="CQ278" s="18"/>
      <c r="CR278" s="18"/>
      <c r="CS278" s="18"/>
      <c r="CT278" s="18"/>
      <c r="CU278" s="18"/>
      <c r="CV278" s="18"/>
      <c r="CW278" s="18"/>
      <c r="CX278" s="18"/>
      <c r="CY278" s="18"/>
      <c r="CZ278" s="18"/>
      <c r="DA278" s="18"/>
      <c r="DB278" s="18"/>
      <c r="DC278" s="18"/>
      <c r="DD278" s="18"/>
      <c r="DE278" s="18"/>
      <c r="DF278" s="18"/>
    </row>
    <row r="279" spans="1:110" ht="15" customHeight="1" x14ac:dyDescent="0.2">
      <c r="A279" s="138">
        <f>Input!A279</f>
        <v>10815</v>
      </c>
      <c r="B279" s="138" t="str">
        <f>Input!B279</f>
        <v>Hu1-13</v>
      </c>
      <c r="C279" s="138">
        <f>Input!O279</f>
        <v>2.1058094711894815</v>
      </c>
      <c r="D279" s="138">
        <f>C279*Input!P279/100</f>
        <v>2.1706808915844582E-2</v>
      </c>
      <c r="E279" s="139">
        <f>Input!M279</f>
        <v>2.7321795790901615</v>
      </c>
      <c r="F279" s="140">
        <f>E279*Input!N279/100</f>
        <v>4.4396598151085002E-4</v>
      </c>
      <c r="G279" s="141">
        <f t="shared" ref="G279" si="1560">E279*137.88</f>
        <v>376.71292036495146</v>
      </c>
      <c r="H279" s="140">
        <f>G279*Input!L279/100</f>
        <v>3.0245707421796886E-2</v>
      </c>
      <c r="I279" s="138">
        <v>0</v>
      </c>
      <c r="J279" s="142">
        <f>(((C279*Constants!$B$24*0.000000001*Input!G279*(Constants!$B$4/Constants!$B$3))-(I279*0.000000000000001))/Input!F279)*1000000000000</f>
        <v>760.27627685022321</v>
      </c>
      <c r="K279" s="138">
        <f>J279*Input!P279/100</f>
        <v>7.8369729506039381</v>
      </c>
      <c r="L279" s="143">
        <f>(J279/Constants!$B$4)*602200000000*Constants!$B$17/(365.2425*24*60)</f>
        <v>10.496458147949783</v>
      </c>
      <c r="M279" s="144">
        <f>L279*Input!P279/100</f>
        <v>0.10819811309045267</v>
      </c>
      <c r="N279" s="138">
        <v>0</v>
      </c>
      <c r="O279" s="142">
        <f>(((G279*Constants!$B$23*0.000000001*Input!G279*(Constants!$B$7/Constants!$B$6))-(N279*0.000000001))/Input!F279)*1000000</f>
        <v>13.700751237147221</v>
      </c>
      <c r="P279" s="138">
        <f>O279*Input!N279/100</f>
        <v>2.2263058830348324E-3</v>
      </c>
      <c r="Q279" s="145">
        <f>(O279/Constants!$B$7)*602200000000000000*Constants!$B$18/(365.2425*24*60)</f>
        <v>10.222414904620607</v>
      </c>
      <c r="R279" s="146">
        <f>Q279*Input!N279/100</f>
        <v>1.6610930340282962E-3</v>
      </c>
      <c r="S279" s="144">
        <f>Input!S279*Constants!$B$17/Constants!$B$18</f>
        <v>1.0020019224547816</v>
      </c>
      <c r="T279" s="138">
        <f>S279*Input!T279/100</f>
        <v>1.9686446980333354E-3</v>
      </c>
      <c r="U279" s="144">
        <f>S279</f>
        <v>1.0020019224547816</v>
      </c>
      <c r="V279" s="138">
        <f>U279*Input!T279/100</f>
        <v>1.9686446980333354E-3</v>
      </c>
      <c r="W279" s="147">
        <v>0</v>
      </c>
      <c r="X279" s="142">
        <f>(((Constants!$B$25*0.000000001*Input!G279/Input!W279*(Constants!$B$11/Constants!$B$9))-(W279*0.000000000001))/Input!F279)*1000000000</f>
        <v>1.008381634151843</v>
      </c>
      <c r="Y279" s="142">
        <f>X279*Input!X279/100</f>
        <v>8.0210603759372362E-3</v>
      </c>
      <c r="Z279" s="142">
        <f>(X279/Constants!$B$11)*6.022E+23*0.000000001*Constants!$B$19/(365.2425*24*60)</f>
        <v>2.4617855659482898E-4</v>
      </c>
      <c r="AA279" s="142">
        <f>Z279*Input!X279/100</f>
        <v>1.9582001484676645E-6</v>
      </c>
      <c r="AB279" s="143">
        <v>0</v>
      </c>
      <c r="AC279" s="143">
        <v>0.9</v>
      </c>
      <c r="AD279" s="142">
        <f>(((Input!G279*Constants!$B$25*0.000000001*Input!U279*(Constants!$B$10/Constants!$B$9))-((AB279*0.000000000000001)+(Input!G279*AC279*0.000000000000001)))/Input!F279)*1000000000000</f>
        <v>223.77042039941122</v>
      </c>
      <c r="AE279" s="142">
        <f>AD279*Input!V279/100</f>
        <v>0.93273499639795499</v>
      </c>
      <c r="AF279" s="142">
        <f>(AD279/Constants!$B$10)*602200000000*Constants!$B$16/(365.2425*24*60)</f>
        <v>10.214150421685947</v>
      </c>
      <c r="AG279" s="142">
        <f>AF279*Input!V279/100</f>
        <v>4.2575312410703593E-2</v>
      </c>
      <c r="AH279" s="138">
        <f t="shared" ref="AH279" si="1561">AF279/Z279</f>
        <v>41490.820983635975</v>
      </c>
      <c r="AI279" s="147">
        <f t="shared" ref="AI279" si="1562">AH279*SQRT((AG279/AF279)^2+(AA279/Z279)^2)</f>
        <v>372.60228496690428</v>
      </c>
      <c r="AJ279" s="144">
        <f t="shared" si="1543"/>
        <v>2.0019224547815906</v>
      </c>
      <c r="AK279" s="147">
        <f t="shared" ref="AK279" si="1563">V279*1000</f>
        <v>1.9686446980333354</v>
      </c>
      <c r="AL279" s="147">
        <f t="shared" ref="AL279" si="1564">AF279/Q279</f>
        <v>0.99919153321286891</v>
      </c>
      <c r="AM279" s="147">
        <f t="shared" ref="AM279" si="1565">AL279*SQRT((R279/Q279)^2+(AG279/AF279)^2)</f>
        <v>4.1680612908195714E-3</v>
      </c>
      <c r="AN279" s="138">
        <f>AF279/Q279</f>
        <v>0.99919153321286891</v>
      </c>
      <c r="AO279" s="142">
        <f t="shared" ref="AO279" si="1566">AN279*SQRT((R279/Q279)^2+(AG279/AF279)^2)</f>
        <v>4.1680612908195714E-3</v>
      </c>
      <c r="AP279" s="138">
        <f t="shared" ref="AP279" si="1567">ThU_Alter_Kombi(AN279,U279)</f>
        <v>612.34429999999998</v>
      </c>
      <c r="AQ279" s="138" t="e">
        <f t="shared" si="1549"/>
        <v>#VALUE!</v>
      </c>
      <c r="AR279" s="138" t="e">
        <f>(AQ279/AP279)*100</f>
        <v>#VALUE!</v>
      </c>
      <c r="AS279" s="146">
        <f t="shared" si="1550"/>
        <v>2.4082230949514139E-5</v>
      </c>
      <c r="AT279" s="146">
        <f t="shared" si="1551"/>
        <v>1.9159941366842306E-7</v>
      </c>
      <c r="AU279" s="138">
        <v>0.75</v>
      </c>
      <c r="AV279" s="138">
        <f t="shared" ref="AV279" si="1568">AU279/2</f>
        <v>0.375</v>
      </c>
      <c r="AW279" s="138">
        <f t="shared" si="1553"/>
        <v>612.3424</v>
      </c>
      <c r="AX279" s="148">
        <f t="shared" si="1554"/>
        <v>283.00444085010002</v>
      </c>
      <c r="AY279" s="148">
        <f t="shared" si="1555"/>
        <v>147.55901464233372</v>
      </c>
      <c r="AZ279" s="149">
        <f t="shared" si="1556"/>
        <v>0.46216698508889803</v>
      </c>
      <c r="BA279" s="138" t="str">
        <f>Input!B279</f>
        <v>Hu1-13</v>
      </c>
      <c r="BB279" s="150">
        <f>Input!E279</f>
        <v>0</v>
      </c>
      <c r="BC279" s="138">
        <f>((U279-1)*EXP(Constants!$B$17*AW279*1000))*1000</f>
        <v>11.270344997559809</v>
      </c>
      <c r="BD279" s="144">
        <f>SQRT((EXP(Constants!$B$17*AW279*1000)*V279)^2+((U279-1)*Constants!$B$17*EXP(Constants!$B$17*AW279*1000)*AY279*1000)^2)*1000</f>
        <v>12.035738907971329</v>
      </c>
      <c r="BE279" s="138">
        <f t="shared" si="1557"/>
        <v>612284.4</v>
      </c>
      <c r="BF279" s="151">
        <f t="shared" si="1558"/>
        <v>73779.507321166864</v>
      </c>
      <c r="BG279" s="160">
        <f t="shared" si="1559"/>
        <v>24.09746812279106</v>
      </c>
      <c r="BH279" s="138"/>
      <c r="BI279" s="18"/>
      <c r="BJ279" s="18"/>
      <c r="BK279" s="18"/>
      <c r="BL279" s="18"/>
      <c r="BM279" s="18"/>
      <c r="BN279" s="159"/>
      <c r="BO279" s="18"/>
      <c r="BP279" s="18"/>
      <c r="BQ279" s="18"/>
      <c r="BR279" s="18"/>
      <c r="BS279" s="18"/>
      <c r="BT279" s="18"/>
      <c r="BU279" s="18"/>
      <c r="BV279" s="18"/>
      <c r="BW279" s="18"/>
      <c r="BX279" s="18"/>
      <c r="BY279" s="18"/>
      <c r="BZ279" s="18"/>
      <c r="CA279" s="18"/>
      <c r="CB279" s="18"/>
      <c r="CC279" s="18"/>
      <c r="CD279" s="18"/>
      <c r="CE279" s="18"/>
      <c r="CF279" s="18"/>
      <c r="CG279" s="18"/>
      <c r="CH279" s="18"/>
      <c r="CI279" s="18"/>
      <c r="CJ279" s="18"/>
      <c r="CK279" s="18"/>
      <c r="CL279" s="18"/>
      <c r="CM279" s="18"/>
      <c r="CN279" s="18"/>
      <c r="CO279" s="18"/>
      <c r="CP279" s="18"/>
      <c r="CQ279" s="18"/>
      <c r="CR279" s="18"/>
      <c r="CS279" s="18"/>
      <c r="CT279" s="18"/>
      <c r="CU279" s="18"/>
      <c r="CV279" s="18"/>
      <c r="CW279" s="18"/>
      <c r="CX279" s="18"/>
      <c r="CY279" s="18"/>
      <c r="CZ279" s="18"/>
      <c r="DA279" s="18"/>
      <c r="DB279" s="18"/>
      <c r="DC279" s="18"/>
      <c r="DD279" s="18"/>
      <c r="DE279" s="18"/>
      <c r="DF279" s="18"/>
    </row>
    <row r="280" spans="1:110" ht="15" customHeight="1" x14ac:dyDescent="0.2">
      <c r="A280" s="18">
        <f>Input!A280</f>
        <v>11081</v>
      </c>
      <c r="B280" s="18" t="str">
        <f>Input!B280</f>
        <v>MeBo24 T09-La-05</v>
      </c>
      <c r="C280" s="18">
        <f>Input!O280</f>
        <v>1.3628226343601941</v>
      </c>
      <c r="D280" s="18">
        <f>C280*Input!P280/100</f>
        <v>8.7466600159710802E-3</v>
      </c>
      <c r="E280" s="152">
        <f>Input!M280</f>
        <v>1.5835924796992289</v>
      </c>
      <c r="F280" s="153">
        <f>E280*Input!N280/100</f>
        <v>1.5473069327603739E-4</v>
      </c>
      <c r="G280" s="21">
        <f>E280*137.88</f>
        <v>218.34573110092967</v>
      </c>
      <c r="H280" s="153">
        <f>G280*Input!L280/100</f>
        <v>1.538663975569781E-2</v>
      </c>
      <c r="I280" s="18">
        <v>0.3</v>
      </c>
      <c r="J280" s="129">
        <f>(((C280*Constants!$B$24*0.000000001*Input!G280*(Constants!$B$4/Constants!$B$3))-(I280*0.000000000000001))/Input!F280)*1000000000000</f>
        <v>129.0983683556297</v>
      </c>
      <c r="K280" s="18">
        <f>J280*Input!P280/100</f>
        <v>0.82855942376786951</v>
      </c>
      <c r="L280" s="134">
        <f>(J280/Constants!$B$4)*602200000000*Constants!$B$17/(365.2425*24*60)</f>
        <v>1.7823463149836332</v>
      </c>
      <c r="M280" s="132">
        <f>L280*Input!P280/100</f>
        <v>1.1439182806939214E-2</v>
      </c>
      <c r="N280" s="18">
        <v>5.0000000000000001E-3</v>
      </c>
      <c r="O280" s="129">
        <f>(((G280*Constants!$B$23*0.000000001*Input!G280*(Constants!$B$7/Constants!$B$6))-(N280*0.000000001))/Input!F280)*1000000</f>
        <v>2.0835639577485963</v>
      </c>
      <c r="P280" s="18">
        <f>O280*Input!N280/100</f>
        <v>2.0358223457125546E-4</v>
      </c>
      <c r="Q280" s="130">
        <f>(O280/Constants!$B$7)*602200000000000000*Constants!$B$18/(365.2425*24*60)</f>
        <v>1.5545903204687663</v>
      </c>
      <c r="R280" s="131">
        <f>Q280*Input!N280/100</f>
        <v>1.5189693126860235E-4</v>
      </c>
      <c r="S280" s="132">
        <f>Input!S280*Constants!$B$17/Constants!$B$18</f>
        <v>1.1417515223657759</v>
      </c>
      <c r="T280" s="18">
        <f>S280*Input!T280/100</f>
        <v>2.4128690350468484E-3</v>
      </c>
      <c r="U280" s="18">
        <f>S280*1/((U279+U281)/2)</f>
        <v>1.1411326883853183</v>
      </c>
      <c r="V280" s="18">
        <f>U280*Input!T280/100</f>
        <v>2.4115612501917102E-3</v>
      </c>
      <c r="W280" s="133">
        <v>3.0000000000000001E-3</v>
      </c>
      <c r="X280" s="129">
        <f>(((Constants!$B$25*0.000000001*Input!G280/Input!W280*(Constants!$B$11/Constants!$B$9)-(W280*0.000000001))/Input!F280)*1000000000)</f>
        <v>1.3053716624986061E-2</v>
      </c>
      <c r="Y280" s="129">
        <f>X280*Input!X280/100</f>
        <v>1.0965169700698183E-4</v>
      </c>
      <c r="Z280" s="129">
        <f>(X280/Constants!$B$11)*6.022E+23*0.000000001*Constants!$B$19/(365.2425*24*60)</f>
        <v>3.1868342382494169E-6</v>
      </c>
      <c r="AA280" s="129">
        <f>Z280*Input!X280/100</f>
        <v>2.6769524139595296E-8</v>
      </c>
      <c r="AB280" s="134">
        <v>0.05</v>
      </c>
      <c r="AC280" s="134">
        <v>0.9</v>
      </c>
      <c r="AD280" s="129">
        <f>(((Input!G280*Constants!$B$25*0.000000001*Input!U280*(Constants!$B$10/Constants!$B$9))-((AB280*0.000000000000001)+(Input!G280*AC280*0.000000000000001)))/Input!F280)*1000000000000</f>
        <v>2.9515765735158115</v>
      </c>
      <c r="AE280" s="129">
        <f>AD280*Input!V280/100</f>
        <v>1.6419776833954035E-2</v>
      </c>
      <c r="AF280" s="129">
        <f>(AD280/Constants!$B$10)*602200000000*Constants!$B$16/(365.2425*24*60)</f>
        <v>0.13472668572192673</v>
      </c>
      <c r="AG280" s="129">
        <f>AF280*Input!V280/100</f>
        <v>7.494916896217355E-4</v>
      </c>
      <c r="AH280" s="18">
        <f>AF280/Z280</f>
        <v>42276.025563204195</v>
      </c>
      <c r="AI280" s="133">
        <f>AH280*SQRT((AG280/AF280)^2+(AA280/Z280)^2)</f>
        <v>425.93630284513466</v>
      </c>
      <c r="AJ280" s="132">
        <f t="shared" si="1543"/>
        <v>141.13268838531835</v>
      </c>
      <c r="AK280" s="133">
        <f>V280*1000</f>
        <v>2.4115612501917103</v>
      </c>
      <c r="AL280" s="133">
        <f>AF280/Q280</f>
        <v>8.6663787846885387E-2</v>
      </c>
      <c r="AM280" s="133">
        <f>AL280*SQRT((R280/Q280)^2+(AG280/AF280)^2)</f>
        <v>4.821896005722967E-4</v>
      </c>
      <c r="AN280" s="18">
        <f>AL280*1/((AN279+AN281)/2)</f>
        <v>8.6916538604301291E-2</v>
      </c>
      <c r="AO280" s="129">
        <f>AN280*SQRT((R280/Q280)^2+(AG280/AF280)^2)</f>
        <v>4.8359588328611072E-4</v>
      </c>
      <c r="AP280" s="18">
        <f>ThU_Alter_Kombi(AN280,U280)</f>
        <v>8.6255000000000006</v>
      </c>
      <c r="AQ280" s="18">
        <f t="shared" si="1549"/>
        <v>5.8299999999999998E-2</v>
      </c>
      <c r="AR280" s="154">
        <f>(AQ280/AP280)</f>
        <v>6.7590284621181374E-3</v>
      </c>
      <c r="AS280" s="131">
        <f t="shared" si="1550"/>
        <v>2.0499511648113624E-6</v>
      </c>
      <c r="AT280" s="131">
        <f t="shared" si="1551"/>
        <v>1.7220829635238699E-8</v>
      </c>
      <c r="AU280" s="18">
        <v>8</v>
      </c>
      <c r="AV280" s="18">
        <f>AU280/2</f>
        <v>4</v>
      </c>
      <c r="AW280" s="18">
        <f t="shared" si="1553"/>
        <v>8.6240000000000006</v>
      </c>
      <c r="AX280" s="135">
        <f t="shared" si="1554"/>
        <v>5.7107060199999997E-2</v>
      </c>
      <c r="AY280" s="135">
        <f t="shared" si="1555"/>
        <v>5.3478709856880864E-2</v>
      </c>
      <c r="AZ280" s="154">
        <f t="shared" si="1556"/>
        <v>6.621876182745825E-3</v>
      </c>
      <c r="BA280" s="18" t="str">
        <f>Input!B280</f>
        <v>MeBo24 T09-La-05</v>
      </c>
      <c r="BB280" s="136">
        <f>Input!E280</f>
        <v>0</v>
      </c>
      <c r="BC280" s="18">
        <f>((U280-1)*EXP(Constants!$B$17*AW280*1000))*1000</f>
        <v>144.60963588078175</v>
      </c>
      <c r="BD280" s="132">
        <f>SQRT((EXP(Constants!$B$17*AW280*1000)*V280)^2+((U280-1)*Constants!$B$17*EXP(Constants!$B$17*AW280*1000)*AY280*1000)^2)*1000</f>
        <v>2.4710688963112335</v>
      </c>
      <c r="BE280" s="18">
        <f t="shared" si="1557"/>
        <v>8566</v>
      </c>
      <c r="BF280" s="137">
        <f t="shared" si="1558"/>
        <v>26.739354928440431</v>
      </c>
      <c r="BG280" s="20">
        <f t="shared" si="1559"/>
        <v>0.62011491021429566</v>
      </c>
      <c r="BH280" s="18"/>
      <c r="BI280" s="18"/>
      <c r="BJ280" s="18"/>
      <c r="BK280" s="18"/>
      <c r="BL280" s="18"/>
      <c r="BM280" s="18"/>
      <c r="BN280" s="159"/>
      <c r="BO280" s="18"/>
      <c r="BP280" s="18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18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18"/>
      <c r="CZ280" s="18"/>
      <c r="DA280" s="18"/>
      <c r="DB280" s="18"/>
      <c r="DC280" s="18"/>
      <c r="DD280" s="18"/>
      <c r="DE280" s="18"/>
      <c r="DF280" s="18"/>
    </row>
    <row r="281" spans="1:110" ht="15" customHeight="1" x14ac:dyDescent="0.2">
      <c r="A281" s="138">
        <f>Input!A281</f>
        <v>10815</v>
      </c>
      <c r="B281" s="138" t="str">
        <f>Input!B281</f>
        <v>Hu1-13</v>
      </c>
      <c r="C281" s="138">
        <f>Input!O281</f>
        <v>2.0940570141020736</v>
      </c>
      <c r="D281" s="138">
        <f>C281*Input!P281/100</f>
        <v>3.2844840116505687E-2</v>
      </c>
      <c r="E281" s="139">
        <f>Input!M281</f>
        <v>2.7320564381427133</v>
      </c>
      <c r="F281" s="140">
        <f>E281*Input!N281/100</f>
        <v>4.7418758960727223E-4</v>
      </c>
      <c r="G281" s="141">
        <f t="shared" ref="G281" si="1569">E281*137.88</f>
        <v>376.6959416911173</v>
      </c>
      <c r="H281" s="140">
        <f>G281*Input!L281/100</f>
        <v>4.1502491793917955E-2</v>
      </c>
      <c r="I281" s="138">
        <v>0</v>
      </c>
      <c r="J281" s="142">
        <f>(((C281*Constants!$B$24*0.000000001*Input!G281*(Constants!$B$4/Constants!$B$3))-(I281*0.000000000000001))/Input!F281)*1000000000000</f>
        <v>756.03319862282331</v>
      </c>
      <c r="K281" s="138">
        <f>J281*Input!P281/100</f>
        <v>11.858220365688004</v>
      </c>
      <c r="L281" s="143">
        <f>(J281/Constants!$B$4)*602200000000*Constants!$B$17/(365.2425*24*60)</f>
        <v>10.437877741867805</v>
      </c>
      <c r="M281" s="144">
        <f>L281*Input!P281/100</f>
        <v>0.1637158985063672</v>
      </c>
      <c r="N281" s="138">
        <v>0</v>
      </c>
      <c r="O281" s="142">
        <f>(((G281*Constants!$B$23*0.000000001*Input!G281*(Constants!$B$7/Constants!$B$6))-(N281*0.000000001))/Input!F281)*1000000</f>
        <v>13.700133736196332</v>
      </c>
      <c r="P281" s="138">
        <f>O281*Input!N281/100</f>
        <v>2.3778547554751724E-3</v>
      </c>
      <c r="Q281" s="145">
        <f>(O281/Constants!$B$7)*602200000000000000*Constants!$B$18/(365.2425*24*60)</f>
        <v>10.221954174342775</v>
      </c>
      <c r="R281" s="146">
        <f>Q281*Input!N281/100</f>
        <v>1.7741667936782199E-3</v>
      </c>
      <c r="S281" s="144">
        <f>Input!S281*Constants!$B$17/Constants!$B$18</f>
        <v>0.99908267355540437</v>
      </c>
      <c r="T281" s="138">
        <f>S281*Input!T281/100</f>
        <v>2.0750279695311903E-3</v>
      </c>
      <c r="U281" s="144">
        <f>S281</f>
        <v>0.99908267355540437</v>
      </c>
      <c r="V281" s="138">
        <f>U281*Input!T281/100</f>
        <v>2.0750279695311903E-3</v>
      </c>
      <c r="W281" s="147">
        <v>0</v>
      </c>
      <c r="X281" s="142">
        <f>(((Constants!$B$25*0.000000001*Input!G281/Input!W281*(Constants!$B$11/Constants!$B$9))-(W281*0.000000001))/Input!F281)*1000000000</f>
        <v>0.99157374887364147</v>
      </c>
      <c r="Y281" s="142">
        <f>X281*Input!X281/100</f>
        <v>7.6890356584329057E-3</v>
      </c>
      <c r="Z281" s="142">
        <f>(X281/Constants!$B$11)*6.022E+23*0.000000001*Constants!$B$19/(365.2425*24*60)</f>
        <v>2.4207520842082199E-4</v>
      </c>
      <c r="AA281" s="142">
        <f>Z281*Input!X281/100</f>
        <v>1.8771421809871558E-6</v>
      </c>
      <c r="AB281" s="143">
        <v>0</v>
      </c>
      <c r="AC281" s="143">
        <v>0.9</v>
      </c>
      <c r="AD281" s="142">
        <f>(((Input!G281*Constants!$B$25*0.000000001*Input!U281*(Constants!$B$10/Constants!$B$9))-((AB281*0.000000000000001)+(Input!G281*AC281*0.000000000000001)))/Input!F281)*1000000000000</f>
        <v>222.8200032594759</v>
      </c>
      <c r="AE281" s="142">
        <f>AD281*Input!V281/100</f>
        <v>0.88873175888673916</v>
      </c>
      <c r="AF281" s="142">
        <f>(AD281/Constants!$B$10)*602200000000*Constants!$B$16/(365.2425*24*60)</f>
        <v>10.170767996013597</v>
      </c>
      <c r="AG281" s="142">
        <f>AF281*Input!V281/100</f>
        <v>4.0566755219907359E-2</v>
      </c>
      <c r="AH281" s="138">
        <f t="shared" ref="AH281" si="1570">AF281/Z281</f>
        <v>42014.90959095984</v>
      </c>
      <c r="AI281" s="147">
        <f t="shared" ref="AI281" si="1571">AH281*SQRT((AG281/AF281)^2+(AA281/Z281)^2)</f>
        <v>366.37142471392417</v>
      </c>
      <c r="AJ281" s="144">
        <f t="shared" si="1543"/>
        <v>-0.91732644459563417</v>
      </c>
      <c r="AK281" s="147">
        <f t="shared" ref="AK281" si="1572">V281*1000</f>
        <v>2.0750279695311904</v>
      </c>
      <c r="AL281" s="147">
        <f t="shared" ref="AL281" si="1573">AF281/Q281</f>
        <v>0.99499252516141612</v>
      </c>
      <c r="AM281" s="147">
        <f t="shared" ref="AM281" si="1574">AL281*SQRT((R281/Q281)^2+(AG281/AF281)^2)</f>
        <v>3.9723466709887254E-3</v>
      </c>
      <c r="AN281" s="138">
        <f>AF281/Q281</f>
        <v>0.99499252516141612</v>
      </c>
      <c r="AO281" s="142">
        <f t="shared" ref="AO281" si="1575">AN281*SQRT((R281/Q281)^2+(AG281/AF281)^2)</f>
        <v>3.9723466709887254E-3</v>
      </c>
      <c r="AP281" s="138">
        <f t="shared" ref="AP281" si="1576">ThU_Alter_Kombi(AN281,U281)</f>
        <v>610.30020000000002</v>
      </c>
      <c r="AQ281" s="138" t="e">
        <f t="shared" si="1549"/>
        <v>#VALUE!</v>
      </c>
      <c r="AR281" s="138" t="e">
        <f>(AQ281/AP281)*100</f>
        <v>#VALUE!</v>
      </c>
      <c r="AS281" s="146">
        <f t="shared" si="1550"/>
        <v>2.3681891377329159E-5</v>
      </c>
      <c r="AT281" s="146">
        <f t="shared" si="1551"/>
        <v>1.8368428413395772E-7</v>
      </c>
      <c r="AU281" s="138">
        <v>0.75</v>
      </c>
      <c r="AV281" s="138">
        <f t="shared" ref="AV281" si="1577">AU281/2</f>
        <v>0.375</v>
      </c>
      <c r="AW281" s="138">
        <f t="shared" si="1553"/>
        <v>610.29819999999995</v>
      </c>
      <c r="AX281" s="148">
        <f t="shared" si="1554"/>
        <v>274.47256516649998</v>
      </c>
      <c r="AY281" s="148">
        <f t="shared" si="1555"/>
        <v>145.0497137523659</v>
      </c>
      <c r="AZ281" s="149">
        <f t="shared" si="1556"/>
        <v>0.4497351707190026</v>
      </c>
      <c r="BA281" s="138" t="str">
        <f>Input!B281</f>
        <v>Hu1-13</v>
      </c>
      <c r="BB281" s="150">
        <f>Input!E281</f>
        <v>0</v>
      </c>
      <c r="BC281" s="138">
        <f>((U281-1)*EXP(Constants!$B$17*AW281*1000))*1000</f>
        <v>-5.1346221639699312</v>
      </c>
      <c r="BD281" s="144">
        <f>SQRT((EXP(Constants!$B$17*AW281*1000)*V281)^2+((U281-1)*Constants!$B$17*EXP(Constants!$B$17*AW281*1000)*AY281*1000)^2)*1000</f>
        <v>11.803353624440797</v>
      </c>
      <c r="BE281" s="138">
        <f t="shared" si="1557"/>
        <v>610240.19999999995</v>
      </c>
      <c r="BF281" s="151">
        <f t="shared" si="1558"/>
        <v>72524.856876182952</v>
      </c>
      <c r="BG281" s="160">
        <f t="shared" si="1559"/>
        <v>23.767023031096262</v>
      </c>
      <c r="BH281" s="138"/>
      <c r="BI281" s="18"/>
      <c r="BJ281" s="18"/>
      <c r="BK281" s="18"/>
      <c r="BL281" s="18"/>
      <c r="BM281" s="18"/>
      <c r="BN281" s="159"/>
      <c r="BO281" s="18"/>
      <c r="BP281" s="18"/>
      <c r="BQ281" s="18"/>
      <c r="BR281" s="18"/>
      <c r="BS281" s="18"/>
      <c r="BT281" s="18"/>
      <c r="BU281" s="18"/>
      <c r="BV281" s="18"/>
      <c r="BW281" s="18"/>
      <c r="BX281" s="18"/>
      <c r="BY281" s="18"/>
      <c r="BZ281" s="18"/>
      <c r="CA281" s="18"/>
      <c r="CB281" s="18"/>
      <c r="CC281" s="18"/>
      <c r="CD281" s="18"/>
      <c r="CE281" s="18"/>
      <c r="CF281" s="18"/>
      <c r="CG281" s="18"/>
      <c r="CH281" s="18"/>
      <c r="CI281" s="18"/>
      <c r="CJ281" s="18"/>
      <c r="CK281" s="18"/>
      <c r="CL281" s="18"/>
      <c r="CM281" s="18"/>
      <c r="CN281" s="18"/>
      <c r="CO281" s="18"/>
      <c r="CP281" s="18"/>
      <c r="CQ281" s="18"/>
      <c r="CR281" s="18"/>
      <c r="CS281" s="18"/>
      <c r="CT281" s="18"/>
      <c r="CU281" s="18"/>
      <c r="CV281" s="18"/>
      <c r="CW281" s="18"/>
      <c r="CX281" s="18"/>
      <c r="CY281" s="18"/>
      <c r="CZ281" s="18"/>
      <c r="DA281" s="18"/>
      <c r="DB281" s="18"/>
      <c r="DC281" s="18"/>
      <c r="DD281" s="18"/>
      <c r="DE281" s="18"/>
      <c r="DF281" s="18"/>
    </row>
    <row r="282" spans="1:110" ht="15" customHeight="1" x14ac:dyDescent="0.2">
      <c r="A282" s="18">
        <f>Input!A282</f>
        <v>11082</v>
      </c>
      <c r="B282" s="18" t="str">
        <f>Input!B282</f>
        <v>MeBo24 T09-La-06</v>
      </c>
      <c r="C282" s="18">
        <f>Input!O282</f>
        <v>1.9608274210683214</v>
      </c>
      <c r="D282" s="18">
        <f>C282*Input!P282/100</f>
        <v>1.2920318788038121E-2</v>
      </c>
      <c r="E282" s="152">
        <f>Input!M282</f>
        <v>2.2749096976514811</v>
      </c>
      <c r="F282" s="153">
        <f>E282*Input!N282/100</f>
        <v>1.942428576978814E-4</v>
      </c>
      <c r="G282" s="21">
        <f>E282*137.88</f>
        <v>313.66454911218619</v>
      </c>
      <c r="H282" s="153">
        <f>G282*Input!L282/100</f>
        <v>2.0002521554955854E-2</v>
      </c>
      <c r="I282" s="18">
        <v>0.3</v>
      </c>
      <c r="J282" s="129">
        <f>(((C282*Constants!$B$24*0.000000001*Input!G282*(Constants!$B$4/Constants!$B$3))-(I282*0.000000000000001))/Input!F282)*1000000000000</f>
        <v>195.49444940238408</v>
      </c>
      <c r="K282" s="18">
        <f>J282*Input!P282/100</f>
        <v>1.2881554900913343</v>
      </c>
      <c r="L282" s="134">
        <f>(J282/Constants!$B$4)*602200000000*Constants!$B$17/(365.2425*24*60)</f>
        <v>2.6990179343881606</v>
      </c>
      <c r="M282" s="132">
        <f>L282*Input!P282/100</f>
        <v>1.7784416798867345E-2</v>
      </c>
      <c r="N282" s="18">
        <v>5.0000000000000001E-3</v>
      </c>
      <c r="O282" s="129">
        <f>(((G282*Constants!$B$23*0.000000001*Input!G282*(Constants!$B$7/Constants!$B$6))-(N282*0.000000001))/Input!F282)*1000000</f>
        <v>3.1502239801060741</v>
      </c>
      <c r="P282" s="18">
        <f>O282*Input!N282/100</f>
        <v>2.6898144964431148E-4</v>
      </c>
      <c r="Q282" s="130">
        <f>(O282/Constants!$B$7)*602200000000000000*Constants!$B$18/(365.2425*24*60)</f>
        <v>2.3504475053759815</v>
      </c>
      <c r="R282" s="131">
        <f>Q282*Input!N282/100</f>
        <v>2.006926432220222E-4</v>
      </c>
      <c r="S282" s="132">
        <f>Input!S282*Constants!$B$17/Constants!$B$18</f>
        <v>1.1407559139607526</v>
      </c>
      <c r="T282" s="18">
        <f>S282*Input!T282/100</f>
        <v>1.4750904173795557E-3</v>
      </c>
      <c r="U282" s="18">
        <f>S282*1/((U281+U283)/2)</f>
        <v>1.1405427596978996</v>
      </c>
      <c r="V282" s="18">
        <f>U282*Input!T282/100</f>
        <v>1.4748147915364545E-3</v>
      </c>
      <c r="W282" s="133">
        <v>3.0000000000000001E-3</v>
      </c>
      <c r="X282" s="129">
        <f>(((Constants!$B$25*0.000000001*Input!G282/Input!W282*(Constants!$B$11/Constants!$B$9)-(W282*0.000000001))/Input!F282)*1000000000)</f>
        <v>1.927522134252955E-4</v>
      </c>
      <c r="Y282" s="129">
        <f>X282*Input!X282/100</f>
        <v>1.6703969617244152E-6</v>
      </c>
      <c r="Z282" s="129">
        <f>(X282/Constants!$B$11)*6.022E+23*0.000000001*Constants!$B$19/(365.2425*24*60)</f>
        <v>4.7057046731527819E-8</v>
      </c>
      <c r="AA282" s="129">
        <f>Z282*Input!X282/100</f>
        <v>4.0779790017058468E-10</v>
      </c>
      <c r="AB282" s="134">
        <v>0.05</v>
      </c>
      <c r="AC282" s="134">
        <v>0.9</v>
      </c>
      <c r="AD282" s="129">
        <f>(((Input!G282*Constants!$B$25*0.000000001*Input!U282*(Constants!$B$10/Constants!$B$9))-((AB282*0.000000000000001)+(Input!G282*AC282*0.000000000000001)))/Input!F282)*1000000000000</f>
        <v>4.6125574952834878</v>
      </c>
      <c r="AE282" s="129">
        <f>AD282*Input!V282/100</f>
        <v>2.3447780486453001E-2</v>
      </c>
      <c r="AF282" s="129">
        <f>(AD282/Constants!$B$10)*602200000000*Constants!$B$16/(365.2425*24*60)</f>
        <v>0.21054327020259053</v>
      </c>
      <c r="AG282" s="129">
        <f>AF282*Input!V282/100</f>
        <v>1.0702896143101389E-3</v>
      </c>
      <c r="AH282" s="18">
        <f>AF282/Z282</f>
        <v>4474213.424480129</v>
      </c>
      <c r="AI282" s="133">
        <f>AH282*SQRT((AG282/AF282)^2+(AA282/Z282)^2)</f>
        <v>44952.320098144133</v>
      </c>
      <c r="AJ282" s="132">
        <f t="shared" si="1543"/>
        <v>140.54275969789964</v>
      </c>
      <c r="AK282" s="133">
        <f>V282*1000</f>
        <v>1.4748147915364545</v>
      </c>
      <c r="AL282" s="133">
        <f>AF282/Q282</f>
        <v>8.9575823208573074E-2</v>
      </c>
      <c r="AM282" s="133">
        <f>AL282*SQRT((R282/Q282)^2+(AG282/AF282)^2)</f>
        <v>4.5541990580821835E-4</v>
      </c>
      <c r="AN282" s="18">
        <f>AL282*1/((AN281+AN283)/2)</f>
        <v>9.0004143580228194E-2</v>
      </c>
      <c r="AO282" s="129">
        <f>AN282*SQRT((R282/Q282)^2+(AG282/AF282)^2)</f>
        <v>4.5759756509537573E-4</v>
      </c>
      <c r="AP282" s="18">
        <f>ThU_Alter_Kombi(AN282,U282)</f>
        <v>8.9491999999999994</v>
      </c>
      <c r="AQ282" s="18">
        <f t="shared" si="1549"/>
        <v>4.7899999999999998E-2</v>
      </c>
      <c r="AR282" s="154">
        <f>(AQ282/AP282)</f>
        <v>5.3524337370938185E-3</v>
      </c>
      <c r="AS282" s="131">
        <f t="shared" si="1550"/>
        <v>2.0020462751836908E-8</v>
      </c>
      <c r="AT282" s="131">
        <f t="shared" si="1551"/>
        <v>1.7350640372742995E-10</v>
      </c>
      <c r="AU282" s="18">
        <v>8</v>
      </c>
      <c r="AV282" s="18">
        <f>AU282/2</f>
        <v>4</v>
      </c>
      <c r="AW282" s="18">
        <f t="shared" si="1553"/>
        <v>8.9491999999999994</v>
      </c>
      <c r="AX282" s="135">
        <f t="shared" si="1554"/>
        <v>4.3834423300000001E-2</v>
      </c>
      <c r="AY282" s="135">
        <f t="shared" si="1555"/>
        <v>4.8941917013003801E-2</v>
      </c>
      <c r="AZ282" s="154">
        <f t="shared" si="1556"/>
        <v>4.8981387498323878E-3</v>
      </c>
      <c r="BA282" s="18" t="str">
        <f>Input!B282</f>
        <v>MeBo24 T09-La-06</v>
      </c>
      <c r="BB282" s="136">
        <f>Input!E282</f>
        <v>0</v>
      </c>
      <c r="BC282" s="18">
        <f>((U282-1)*EXP(Constants!$B$17*AW282*1000))*1000</f>
        <v>144.13739279251735</v>
      </c>
      <c r="BD282" s="132">
        <f>SQRT((EXP(Constants!$B$17*AW282*1000)*V282)^2+((U282-1)*Constants!$B$17*EXP(Constants!$B$17*AW282*1000)*AY282*1000)^2)*1000</f>
        <v>1.5126668310401554</v>
      </c>
      <c r="BE282" s="18">
        <f t="shared" si="1557"/>
        <v>8891.1999999999989</v>
      </c>
      <c r="BF282" s="137">
        <f t="shared" si="1558"/>
        <v>24.470958506501901</v>
      </c>
      <c r="BG282" s="20">
        <f t="shared" si="1559"/>
        <v>0.54688594525771916</v>
      </c>
      <c r="BH282" s="18"/>
      <c r="BI282" s="18"/>
      <c r="BJ282" s="18"/>
      <c r="BK282" s="18"/>
      <c r="BL282" s="18"/>
      <c r="BM282" s="18"/>
      <c r="BN282" s="159"/>
      <c r="BO282" s="18"/>
      <c r="BP282" s="18"/>
      <c r="BQ282" s="18"/>
      <c r="BR282" s="18"/>
      <c r="BS282" s="18"/>
      <c r="BT282" s="18"/>
      <c r="BU282" s="18"/>
      <c r="BV282" s="18"/>
      <c r="BW282" s="18"/>
      <c r="BX282" s="18"/>
      <c r="BY282" s="18"/>
      <c r="BZ282" s="18"/>
      <c r="CA282" s="18"/>
      <c r="CB282" s="18"/>
      <c r="CC282" s="18"/>
      <c r="CD282" s="18"/>
      <c r="CE282" s="1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  <c r="CY282" s="18"/>
      <c r="CZ282" s="18"/>
      <c r="DA282" s="18"/>
      <c r="DB282" s="18"/>
      <c r="DC282" s="18"/>
      <c r="DD282" s="18"/>
      <c r="DE282" s="18"/>
      <c r="DF282" s="18"/>
    </row>
    <row r="283" spans="1:110" ht="15" customHeight="1" x14ac:dyDescent="0.2">
      <c r="A283" s="138">
        <f>Input!A283</f>
        <v>10815</v>
      </c>
      <c r="B283" s="138" t="str">
        <f>Input!B283</f>
        <v>Hu1-13</v>
      </c>
      <c r="C283" s="138">
        <f>Input!O283</f>
        <v>2.0787746002995124</v>
      </c>
      <c r="D283" s="138">
        <f>C283*Input!P283/100</f>
        <v>2.7521638529663096E-2</v>
      </c>
      <c r="E283" s="139">
        <f>Input!M283</f>
        <v>2.7325100555254833</v>
      </c>
      <c r="F283" s="140">
        <f>E283*Input!N283/100</f>
        <v>4.8915180342446363E-4</v>
      </c>
      <c r="G283" s="141">
        <f t="shared" ref="G283" si="1578">E283*137.88</f>
        <v>376.75848645585364</v>
      </c>
      <c r="H283" s="140">
        <f>G283*Input!L283/100</f>
        <v>2.2881572012654214E-2</v>
      </c>
      <c r="I283" s="138">
        <v>0</v>
      </c>
      <c r="J283" s="142">
        <f>(((C283*Constants!$B$24*0.000000001*Input!G283*(Constants!$B$4/Constants!$B$3))-(I283*0.000000000000001))/Input!F283)*1000000000000</f>
        <v>750.51567349718459</v>
      </c>
      <c r="K283" s="138">
        <f>J283*Input!P283/100</f>
        <v>9.9363447455342708</v>
      </c>
      <c r="L283" s="143">
        <f>(J283/Constants!$B$4)*602200000000*Constants!$B$17/(365.2425*24*60)</f>
        <v>10.361702181318337</v>
      </c>
      <c r="M283" s="144">
        <f>L283*Input!P283/100</f>
        <v>0.13718227168312386</v>
      </c>
      <c r="N283" s="138">
        <v>0</v>
      </c>
      <c r="O283" s="142">
        <f>(((G283*Constants!$B$23*0.000000001*Input!G283*(Constants!$B$7/Constants!$B$6))-(N283*0.000000001))/Input!F283)*1000000</f>
        <v>13.702408439867259</v>
      </c>
      <c r="P283" s="138">
        <f>O283*Input!N283/100</f>
        <v>2.4528941022801494E-3</v>
      </c>
      <c r="Q283" s="145">
        <f>(O283/Constants!$B$7)*602200000000000000*Constants!$B$18/(365.2425*24*60)</f>
        <v>10.223651377971015</v>
      </c>
      <c r="R283" s="146">
        <f>Q283*Input!N283/100</f>
        <v>1.8301552080311773E-3</v>
      </c>
      <c r="S283" s="144">
        <f>Input!S283*Constants!$B$17/Constants!$B$18</f>
        <v>1.0012911033346608</v>
      </c>
      <c r="T283" s="138">
        <f>S283*Input!T283/100</f>
        <v>2.4254252194906832E-3</v>
      </c>
      <c r="U283" s="144">
        <f>S283</f>
        <v>1.0012911033346608</v>
      </c>
      <c r="V283" s="138">
        <f>U283*Input!T283/100</f>
        <v>2.4254252194906832E-3</v>
      </c>
      <c r="W283" s="147">
        <v>0</v>
      </c>
      <c r="X283" s="142">
        <f>(((Constants!$B$25*0.000000001*Input!G283/Input!W283*(Constants!$B$11/Constants!$B$9))-(W283*0.000000001))/Input!F283)*1000000000</f>
        <v>1.0042568999541657</v>
      </c>
      <c r="Y283" s="142">
        <f>X283*Input!X283/100</f>
        <v>7.3408890813749413E-3</v>
      </c>
      <c r="Z283" s="142">
        <f>(X283/Constants!$B$11)*6.022E+23*0.000000001*Constants!$B$19/(365.2425*24*60)</f>
        <v>2.4517157562975461E-4</v>
      </c>
      <c r="AA283" s="142">
        <f>Z283*Input!X283/100</f>
        <v>1.7921483463903492E-6</v>
      </c>
      <c r="AB283" s="143">
        <v>0</v>
      </c>
      <c r="AC283" s="143">
        <v>0.9</v>
      </c>
      <c r="AD283" s="142">
        <f>(((Input!G283*Constants!$B$25*0.000000001*Input!U283*(Constants!$B$10/Constants!$B$9))-((AB283*0.000000000000001)+(Input!G283*AC283*0.000000000000001)))/Input!F283)*1000000000000</f>
        <v>222.96835181077731</v>
      </c>
      <c r="AE283" s="142">
        <f>AD283*Input!V283/100</f>
        <v>0.89875340456010167</v>
      </c>
      <c r="AF283" s="142">
        <f>(AD283/Constants!$B$10)*602200000000*Constants!$B$16/(365.2425*24*60)</f>
        <v>10.177539464803475</v>
      </c>
      <c r="AG283" s="142">
        <f>AF283*Input!V283/100</f>
        <v>4.1024199935781144E-2</v>
      </c>
      <c r="AH283" s="138">
        <f t="shared" ref="AH283" si="1579">AF283/Z283</f>
        <v>41511.906258550407</v>
      </c>
      <c r="AI283" s="147">
        <f t="shared" ref="AI283" si="1580">AH283*SQRT((AG283/AF283)^2+(AA283/Z283)^2)</f>
        <v>346.52017820888074</v>
      </c>
      <c r="AJ283" s="144">
        <f t="shared" si="1543"/>
        <v>1.2911033346607592</v>
      </c>
      <c r="AK283" s="147">
        <f t="shared" ref="AK283" si="1581">V283*1000</f>
        <v>2.4254252194906831</v>
      </c>
      <c r="AL283" s="147">
        <f t="shared" ref="AL283" si="1582">AF283/Q283</f>
        <v>0.99548968255442505</v>
      </c>
      <c r="AM283" s="147">
        <f t="shared" ref="AM283" si="1583">AL283*SQRT((R283/Q283)^2+(AG283/AF283)^2)</f>
        <v>4.0166310593372206E-3</v>
      </c>
      <c r="AN283" s="138">
        <f>AF283/Q283</f>
        <v>0.99548968255442505</v>
      </c>
      <c r="AO283" s="142">
        <f t="shared" ref="AO283" si="1584">AN283*SQRT((R283/Q283)^2+(AG283/AF283)^2)</f>
        <v>4.0166310593372206E-3</v>
      </c>
      <c r="AP283" s="138">
        <f t="shared" ref="AP283" si="1585">ThU_Alter_Kombi(AN283,U283)</f>
        <v>552.21879999999999</v>
      </c>
      <c r="AQ283" s="138" t="e">
        <f t="shared" si="1549"/>
        <v>#VALUE!</v>
      </c>
      <c r="AR283" s="138" t="e">
        <f>(AQ283/AP283)*100</f>
        <v>#VALUE!</v>
      </c>
      <c r="AS283" s="146">
        <f t="shared" si="1550"/>
        <v>2.3980823148765402E-5</v>
      </c>
      <c r="AT283" s="146">
        <f t="shared" si="1551"/>
        <v>1.7534690909713332E-7</v>
      </c>
      <c r="AU283" s="138">
        <v>0.75</v>
      </c>
      <c r="AV283" s="138">
        <f t="shared" ref="AV283" si="1586">AU283/2</f>
        <v>0.375</v>
      </c>
      <c r="AW283" s="138">
        <f t="shared" si="1553"/>
        <v>552.21690000000001</v>
      </c>
      <c r="AX283" s="148">
        <f t="shared" si="1554"/>
        <v>224.75671853259999</v>
      </c>
      <c r="AY283" s="148">
        <f t="shared" si="1555"/>
        <v>89.760548243331854</v>
      </c>
      <c r="AZ283" s="149">
        <f t="shared" si="1556"/>
        <v>0.40700804074015118</v>
      </c>
      <c r="BA283" s="138" t="str">
        <f>Input!B283</f>
        <v>Hu1-13</v>
      </c>
      <c r="BB283" s="150">
        <f>Input!E283</f>
        <v>0</v>
      </c>
      <c r="BC283" s="138">
        <f>((U283-1)*EXP(Constants!$B$17*AW283*1000))*1000</f>
        <v>6.134241133034477</v>
      </c>
      <c r="BD283" s="144">
        <f>SQRT((EXP(Constants!$B$17*AW283*1000)*V283)^2+((U283-1)*Constants!$B$17*EXP(Constants!$B$17*AW283*1000)*AY283*1000)^2)*1000</f>
        <v>11.627879150660563</v>
      </c>
      <c r="BE283" s="138">
        <f t="shared" si="1557"/>
        <v>552158.9</v>
      </c>
      <c r="BF283" s="151">
        <f t="shared" si="1558"/>
        <v>44880.274121665927</v>
      </c>
      <c r="BG283" s="160">
        <f t="shared" si="1559"/>
        <v>16.254581894058632</v>
      </c>
      <c r="BH283" s="138"/>
      <c r="BI283" s="18"/>
      <c r="BJ283" s="18"/>
      <c r="BK283" s="18"/>
      <c r="BL283" s="18"/>
      <c r="BM283" s="18"/>
      <c r="BN283" s="159"/>
      <c r="BO283" s="18"/>
      <c r="BP283" s="18"/>
      <c r="BQ283" s="18"/>
      <c r="BR283" s="18"/>
      <c r="BS283" s="18"/>
      <c r="BT283" s="18"/>
      <c r="BU283" s="18"/>
      <c r="BV283" s="18"/>
      <c r="BW283" s="18"/>
      <c r="BX283" s="18"/>
      <c r="BY283" s="18"/>
      <c r="BZ283" s="18"/>
      <c r="CA283" s="18"/>
      <c r="CB283" s="18"/>
      <c r="CC283" s="18"/>
      <c r="CD283" s="18"/>
      <c r="CE283" s="18"/>
      <c r="CF283" s="18"/>
      <c r="CG283" s="18"/>
      <c r="CH283" s="18"/>
      <c r="CI283" s="18"/>
      <c r="CJ283" s="18"/>
      <c r="CK283" s="18"/>
      <c r="CL283" s="18"/>
      <c r="CM283" s="18"/>
      <c r="CN283" s="18"/>
      <c r="CO283" s="18"/>
      <c r="CP283" s="18"/>
      <c r="CQ283" s="18"/>
      <c r="CR283" s="18"/>
      <c r="CS283" s="18"/>
      <c r="CT283" s="18"/>
      <c r="CU283" s="18"/>
      <c r="CV283" s="18"/>
      <c r="CW283" s="18"/>
      <c r="CX283" s="18"/>
      <c r="CY283" s="18"/>
      <c r="CZ283" s="18"/>
      <c r="DA283" s="18"/>
      <c r="DB283" s="18"/>
      <c r="DC283" s="18"/>
      <c r="DD283" s="18"/>
      <c r="DE283" s="18"/>
      <c r="DF283" s="18"/>
    </row>
    <row r="284" spans="1:110" ht="15" customHeight="1" x14ac:dyDescent="0.2">
      <c r="A284" s="18">
        <f>Input!A284</f>
        <v>11083</v>
      </c>
      <c r="B284" s="18" t="str">
        <f>Input!B284</f>
        <v>MeBo24 T08-La-09</v>
      </c>
      <c r="C284" s="18">
        <f>Input!O284</f>
        <v>1.5529215326486889</v>
      </c>
      <c r="D284" s="18">
        <f>C284*Input!P284/100</f>
        <v>7.6116941386047852E-3</v>
      </c>
      <c r="E284" s="152">
        <f>Input!M284</f>
        <v>1.827779835039306</v>
      </c>
      <c r="F284" s="153">
        <f>E284*Input!N284/100</f>
        <v>1.473671701720888E-4</v>
      </c>
      <c r="G284" s="21">
        <f>E284*137.88</f>
        <v>252.01428365521949</v>
      </c>
      <c r="H284" s="153">
        <f>G284*Input!L284/100</f>
        <v>1.4407940369262765E-2</v>
      </c>
      <c r="I284" s="18">
        <v>0.3</v>
      </c>
      <c r="J284" s="129">
        <f>(((C284*Constants!$B$24*0.000000001*Input!G284*(Constants!$B$4/Constants!$B$3))-(I284*0.000000000000001))/Input!F284)*1000000000000</f>
        <v>178.62708435621144</v>
      </c>
      <c r="K284" s="18">
        <f>J284*Input!P284/100</f>
        <v>0.87554631860322474</v>
      </c>
      <c r="L284" s="134">
        <f>(J284/Constants!$B$4)*602200000000*Constants!$B$17/(365.2425*24*60)</f>
        <v>2.4661452318400303</v>
      </c>
      <c r="M284" s="132">
        <f>L284*Input!P284/100</f>
        <v>1.2087889060387901E-2</v>
      </c>
      <c r="N284" s="18">
        <v>5.0000000000000001E-3</v>
      </c>
      <c r="O284" s="129">
        <f>(((G284*Constants!$B$23*0.000000001*Input!G284*(Constants!$B$7/Constants!$B$6))-(N284*0.000000001))/Input!F284)*1000000</f>
        <v>2.920142454393277</v>
      </c>
      <c r="P284" s="18">
        <f>O284*Input!N284/100</f>
        <v>2.3544035323820104E-4</v>
      </c>
      <c r="Q284" s="130">
        <f>(O284/Constants!$B$7)*602200000000000000*Constants!$B$18/(365.2425*24*60)</f>
        <v>2.1787789029020286</v>
      </c>
      <c r="R284" s="131">
        <f>Q284*Input!N284/100</f>
        <v>1.7566693493169835E-4</v>
      </c>
      <c r="S284" s="132">
        <f>Input!S284*Constants!$B$17/Constants!$B$18</f>
        <v>1.1308329930032754</v>
      </c>
      <c r="T284" s="18">
        <f>S284*Input!T284/100</f>
        <v>1.0985104752758074E-3</v>
      </c>
      <c r="U284" s="18">
        <f>S284*1/((U283+U285)/2)</f>
        <v>1.1301781490462148</v>
      </c>
      <c r="V284" s="18">
        <f>U284*Input!T284/100</f>
        <v>1.0978743486762541E-3</v>
      </c>
      <c r="W284" s="133">
        <v>3.0000000000000001E-3</v>
      </c>
      <c r="X284" s="129">
        <f>(((Constants!$B$25*0.000000001*Input!G284/Input!W284*(Constants!$B$11/Constants!$B$9)-(W284*0.000000001))/Input!F284)*1000000000)</f>
        <v>0.41680330958079331</v>
      </c>
      <c r="Y284" s="129">
        <f>X284*Input!X284/100</f>
        <v>1.322254411456599E-3</v>
      </c>
      <c r="Z284" s="129">
        <f>(X284/Constants!$B$11)*6.022E+23*0.000000001*Constants!$B$19/(365.2425*24*60)</f>
        <v>1.0175516259065122E-4</v>
      </c>
      <c r="AA284" s="129">
        <f>Z284*Input!X284/100</f>
        <v>3.2280504864343354E-7</v>
      </c>
      <c r="AB284" s="134">
        <v>0.05</v>
      </c>
      <c r="AC284" s="134">
        <v>0.9</v>
      </c>
      <c r="AD284" s="129">
        <f>(((Input!G284*Constants!$B$25*0.000000001*Input!U284*(Constants!$B$10/Constants!$B$9))-((AB284*0.000000000000001)+(Input!G284*AC284*0.000000000000001)))/Input!F284)*1000000000000</f>
        <v>8.0693873576214266</v>
      </c>
      <c r="AE284" s="129">
        <f>AD284*Input!V284/100</f>
        <v>3.1104822302200862E-2</v>
      </c>
      <c r="AF284" s="129">
        <f>(AD284/Constants!$B$10)*602200000000*Constants!$B$16/(365.2425*24*60)</f>
        <v>0.36833258003662855</v>
      </c>
      <c r="AG284" s="129">
        <f>AF284*Input!V284/100</f>
        <v>1.4198004064496425E-3</v>
      </c>
      <c r="AH284" s="18">
        <f>AF284/Z284</f>
        <v>3619.7925555717129</v>
      </c>
      <c r="AI284" s="133">
        <f>AH284*SQRT((AG284/AF284)^2+(AA284/Z284)^2)</f>
        <v>18.070855258587162</v>
      </c>
      <c r="AJ284" s="132">
        <f t="shared" si="1543"/>
        <v>130.17814904621483</v>
      </c>
      <c r="AK284" s="133">
        <f>V284*1000</f>
        <v>1.0978743486762541</v>
      </c>
      <c r="AL284" s="133">
        <f>AF284/Q284</f>
        <v>0.16905459271063589</v>
      </c>
      <c r="AM284" s="133">
        <f>AL284*SQRT((R284/Q284)^2+(AG284/AF284)^2)</f>
        <v>6.5179213590532681E-4</v>
      </c>
      <c r="AN284" s="18">
        <f>AL284*1/((AN283+AN285)/2)</f>
        <v>0.16960668829977513</v>
      </c>
      <c r="AO284" s="129">
        <f>AN284*SQRT((R284/Q284)^2+(AG284/AF284)^2)</f>
        <v>6.5392074748280059E-4</v>
      </c>
      <c r="AP284" s="18">
        <f>ThU_Alter_Kombi(AN284,U284)</f>
        <v>17.676500000000001</v>
      </c>
      <c r="AQ284" s="18">
        <f t="shared" si="1549"/>
        <v>6.7799999999999999E-2</v>
      </c>
      <c r="AR284" s="154">
        <f>(AQ284/AP284)</f>
        <v>3.8356009390999347E-3</v>
      </c>
      <c r="AS284" s="131">
        <f t="shared" si="1550"/>
        <v>4.6702840042703849E-5</v>
      </c>
      <c r="AT284" s="131">
        <f t="shared" si="1551"/>
        <v>1.4820654185926614E-7</v>
      </c>
      <c r="AU284" s="18">
        <v>8</v>
      </c>
      <c r="AV284" s="18">
        <f>AU284/2</f>
        <v>4</v>
      </c>
      <c r="AW284" s="18">
        <f t="shared" si="1553"/>
        <v>17.640599999999999</v>
      </c>
      <c r="AX284" s="135">
        <f t="shared" si="1554"/>
        <v>8.5360233399999999E-2</v>
      </c>
      <c r="AY284" s="135">
        <f t="shared" si="1555"/>
        <v>7.8329084739506602E-2</v>
      </c>
      <c r="AZ284" s="154">
        <f t="shared" si="1556"/>
        <v>4.8388509121004954E-3</v>
      </c>
      <c r="BA284" s="18" t="str">
        <f>Input!B284</f>
        <v>MeBo24 T08-La-09</v>
      </c>
      <c r="BB284" s="136">
        <f>Input!E284</f>
        <v>0</v>
      </c>
      <c r="BC284" s="18">
        <f>((U284-1)*EXP(Constants!$B$17*AW284*1000))*1000</f>
        <v>136.82280865984225</v>
      </c>
      <c r="BD284" s="132">
        <f>SQRT((EXP(Constants!$B$17*AW284*1000)*V284)^2+((U284-1)*Constants!$B$17*EXP(Constants!$B$17*AW284*1000)*AY284*1000)^2)*1000</f>
        <v>1.1543092440568175</v>
      </c>
      <c r="BE284" s="18">
        <f t="shared" si="1557"/>
        <v>17582.599999999999</v>
      </c>
      <c r="BF284" s="137">
        <f t="shared" si="1558"/>
        <v>39.164542369753299</v>
      </c>
      <c r="BG284" s="20">
        <f t="shared" si="1559"/>
        <v>0.4440273275257452</v>
      </c>
      <c r="BH284" s="18"/>
      <c r="BI284" s="18"/>
      <c r="BJ284" s="18"/>
      <c r="BK284" s="18"/>
      <c r="BL284" s="18"/>
      <c r="BM284" s="18"/>
      <c r="BN284" s="159"/>
      <c r="BO284" s="18"/>
      <c r="BP284" s="18"/>
      <c r="BQ284" s="18"/>
      <c r="BR284" s="18"/>
      <c r="BS284" s="18"/>
      <c r="BT284" s="18"/>
      <c r="BU284" s="18"/>
      <c r="BV284" s="18"/>
      <c r="BW284" s="18"/>
      <c r="BX284" s="18"/>
      <c r="BY284" s="18"/>
      <c r="BZ284" s="18"/>
      <c r="CA284" s="18"/>
      <c r="CB284" s="18"/>
      <c r="CC284" s="18"/>
      <c r="CD284" s="18"/>
      <c r="CE284" s="18"/>
      <c r="CF284" s="18"/>
      <c r="CG284" s="18"/>
      <c r="CH284" s="18"/>
      <c r="CI284" s="18"/>
      <c r="CJ284" s="18"/>
      <c r="CK284" s="18"/>
      <c r="CL284" s="18"/>
      <c r="CM284" s="18"/>
      <c r="CN284" s="18"/>
      <c r="CO284" s="18"/>
      <c r="CP284" s="18"/>
      <c r="CQ284" s="18"/>
      <c r="CR284" s="18"/>
      <c r="CS284" s="18"/>
      <c r="CT284" s="18"/>
      <c r="CU284" s="18"/>
      <c r="CV284" s="18"/>
      <c r="CW284" s="18"/>
      <c r="CX284" s="18"/>
      <c r="CY284" s="18"/>
      <c r="CZ284" s="18"/>
      <c r="DA284" s="18"/>
      <c r="DB284" s="18"/>
      <c r="DC284" s="18"/>
      <c r="DD284" s="18"/>
      <c r="DE284" s="18"/>
      <c r="DF284" s="18"/>
    </row>
    <row r="285" spans="1:110" ht="15" customHeight="1" x14ac:dyDescent="0.2">
      <c r="A285" s="138">
        <f>Input!A285</f>
        <v>10815</v>
      </c>
      <c r="B285" s="138" t="str">
        <f>Input!B285</f>
        <v>Hu1-13</v>
      </c>
      <c r="C285" s="138">
        <f>Input!O285</f>
        <v>2.0772506472146834</v>
      </c>
      <c r="D285" s="138">
        <f>C285*Input!P285/100</f>
        <v>1.6879493348259646E-2</v>
      </c>
      <c r="E285" s="139">
        <f>Input!M285</f>
        <v>2.7321149854592068</v>
      </c>
      <c r="F285" s="140">
        <f>E285*Input!N285/100</f>
        <v>4.0515655758179058E-4</v>
      </c>
      <c r="G285" s="141">
        <f t="shared" ref="G285" si="1587">E285*137.88</f>
        <v>376.70401419511541</v>
      </c>
      <c r="H285" s="140">
        <f>G285*Input!L285/100</f>
        <v>3.4901747421611562E-2</v>
      </c>
      <c r="I285" s="138">
        <v>0</v>
      </c>
      <c r="J285" s="142">
        <f>(((C285*Constants!$B$24*0.000000001*Input!G285*(Constants!$B$4/Constants!$B$3))-(I285*0.000000000000001))/Input!F285)*1000000000000</f>
        <v>749.96546922026437</v>
      </c>
      <c r="K285" s="138">
        <f>J285*Input!P285/100</f>
        <v>6.0941308002969983</v>
      </c>
      <c r="L285" s="143">
        <f>(J285/Constants!$B$4)*602200000000*Constants!$B$17/(365.2425*24*60)</f>
        <v>10.354106000375479</v>
      </c>
      <c r="M285" s="144">
        <f>L285*Input!P285/100</f>
        <v>8.4136242101962633E-2</v>
      </c>
      <c r="N285" s="138">
        <v>0</v>
      </c>
      <c r="O285" s="142">
        <f>(((G285*Constants!$B$23*0.000000001*Input!G285*(Constants!$B$7/Constants!$B$6))-(N285*0.000000001))/Input!F285)*1000000</f>
        <v>13.700427326787894</v>
      </c>
      <c r="P285" s="138">
        <f>O285*Input!N285/100</f>
        <v>2.031692663984971E-3</v>
      </c>
      <c r="Q285" s="145">
        <f>(O285/Constants!$B$7)*602200000000000000*Constants!$B$18/(365.2425*24*60)</f>
        <v>10.222173228377629</v>
      </c>
      <c r="R285" s="146">
        <f>Q285*Input!N285/100</f>
        <v>1.5158880714232137E-3</v>
      </c>
      <c r="S285" s="144">
        <f>Input!S285*Constants!$B$17/Constants!$B$18</f>
        <v>0.99986772982383421</v>
      </c>
      <c r="T285" s="138">
        <f>S285*Input!T285/100</f>
        <v>2.2131645711950293E-3</v>
      </c>
      <c r="U285" s="144">
        <f>S285</f>
        <v>0.99986772982383421</v>
      </c>
      <c r="V285" s="138">
        <f>U285*Input!T285/100</f>
        <v>2.2131645711950293E-3</v>
      </c>
      <c r="W285" s="147">
        <v>0</v>
      </c>
      <c r="X285" s="142">
        <f>(((Constants!$B$25*0.000000001*Input!G285/Input!W285*(Constants!$B$11/Constants!$B$9))-(W285*0.000000001))/Input!F285)*1000000000</f>
        <v>0.9622991228626524</v>
      </c>
      <c r="Y285" s="142">
        <f>X285*Input!X285/100</f>
        <v>7.9606401072724667E-3</v>
      </c>
      <c r="Z285" s="142">
        <f>(X285/Constants!$B$11)*6.022E+23*0.000000001*Constants!$B$19/(365.2425*24*60)</f>
        <v>2.3492832580003685E-4</v>
      </c>
      <c r="AA285" s="142">
        <f>Z285*Input!X285/100</f>
        <v>1.9434496075759955E-6</v>
      </c>
      <c r="AB285" s="143">
        <v>0</v>
      </c>
      <c r="AC285" s="143">
        <v>0.9</v>
      </c>
      <c r="AD285" s="142">
        <f>(((Input!G285*Constants!$B$25*0.000000001*Input!U285*(Constants!$B$10/Constants!$B$9))-((AB285*0.000000000000001)+(Input!G285*AC285*0.000000000000001)))/Input!F285)*1000000000000</f>
        <v>223.49829365920635</v>
      </c>
      <c r="AE285" s="142">
        <f>AD285*Input!V285/100</f>
        <v>1.100335977581967</v>
      </c>
      <c r="AF285" s="142">
        <f>(AD285/Constants!$B$10)*602200000000*Constants!$B$16/(365.2425*24*60)</f>
        <v>10.201729014722265</v>
      </c>
      <c r="AG285" s="142">
        <f>AF285*Input!V285/100</f>
        <v>5.022557123213342E-2</v>
      </c>
      <c r="AH285" s="138">
        <f t="shared" ref="AH285" si="1588">AF285/Z285</f>
        <v>43424.857262234254</v>
      </c>
      <c r="AI285" s="147">
        <f t="shared" ref="AI285" si="1589">AH285*SQRT((AG285/AF285)^2+(AA285/Z285)^2)</f>
        <v>418.03708184024669</v>
      </c>
      <c r="AJ285" s="144">
        <f t="shared" si="1543"/>
        <v>-0.13227017616579406</v>
      </c>
      <c r="AK285" s="147">
        <f t="shared" ref="AK285" si="1590">V285*1000</f>
        <v>2.2131645711950294</v>
      </c>
      <c r="AL285" s="147">
        <f t="shared" ref="AL285" si="1591">AF285/Q285</f>
        <v>0.99800001299150265</v>
      </c>
      <c r="AM285" s="147">
        <f t="shared" ref="AM285" si="1592">AL285*SQRT((R285/Q285)^2+(AG285/AF285)^2)</f>
        <v>4.9156230769451829E-3</v>
      </c>
      <c r="AN285" s="138">
        <f>AF285/Q285</f>
        <v>0.99800001299150265</v>
      </c>
      <c r="AO285" s="142">
        <f t="shared" ref="AO285" si="1593">AN285*SQRT((R285/Q285)^2+(AG285/AF285)^2)</f>
        <v>4.9156230769451829E-3</v>
      </c>
      <c r="AP285" s="138">
        <f t="shared" ref="AP285" si="1594">ThU_Alter_Kombi(AN285,U285)</f>
        <v>688.47860000000003</v>
      </c>
      <c r="AQ285" s="138" t="e">
        <f t="shared" si="1549"/>
        <v>#VALUE!</v>
      </c>
      <c r="AR285" s="138" t="e">
        <f>(AQ285/AP285)*100</f>
        <v>#VALUE!</v>
      </c>
      <c r="AS285" s="146">
        <f t="shared" si="1550"/>
        <v>2.2982228979240508E-5</v>
      </c>
      <c r="AT285" s="146">
        <f t="shared" si="1551"/>
        <v>1.9015152632409399E-7</v>
      </c>
      <c r="AU285" s="138">
        <v>0.75</v>
      </c>
      <c r="AV285" s="138">
        <f t="shared" ref="AV285" si="1595">AU285/2</f>
        <v>0.375</v>
      </c>
      <c r="AW285" s="138">
        <f t="shared" si="1553"/>
        <v>688.47670000000005</v>
      </c>
      <c r="AX285" s="148">
        <f t="shared" si="1554"/>
        <v>310.50440074099998</v>
      </c>
      <c r="AY285" s="148">
        <f t="shared" si="1555"/>
        <v>349.53110641659691</v>
      </c>
      <c r="AZ285" s="149">
        <f t="shared" si="1556"/>
        <v>0.45100204660666071</v>
      </c>
      <c r="BA285" s="138" t="str">
        <f>Input!B285</f>
        <v>Hu1-13</v>
      </c>
      <c r="BB285" s="150">
        <f>Input!E285</f>
        <v>0</v>
      </c>
      <c r="BC285" s="138">
        <f>((U285-1)*EXP(Constants!$B$17*AW285*1000))*1000</f>
        <v>-0.92312917495164759</v>
      </c>
      <c r="BD285" s="144">
        <f>SQRT((EXP(Constants!$B$17*AW285*1000)*V285)^2+((U285-1)*Constants!$B$17*EXP(Constants!$B$17*AW285*1000)*AY285*1000)^2)*1000</f>
        <v>15.472753688449222</v>
      </c>
      <c r="BE285" s="138">
        <f t="shared" si="1557"/>
        <v>688418.70000000007</v>
      </c>
      <c r="BF285" s="151">
        <f t="shared" si="1558"/>
        <v>174765.55320829846</v>
      </c>
      <c r="BG285" s="160">
        <f t="shared" si="1559"/>
        <v>50.768763331656231</v>
      </c>
      <c r="BH285" s="138"/>
      <c r="BI285" s="18"/>
      <c r="BJ285" s="18"/>
      <c r="BK285" s="18"/>
      <c r="BL285" s="18"/>
      <c r="BM285" s="18"/>
      <c r="BN285" s="159"/>
      <c r="BO285" s="18"/>
      <c r="BP285" s="18"/>
      <c r="BQ285" s="18"/>
      <c r="BR285" s="18"/>
      <c r="BS285" s="18"/>
      <c r="BT285" s="18"/>
      <c r="BU285" s="18"/>
      <c r="BV285" s="18"/>
      <c r="BW285" s="18"/>
      <c r="BX285" s="18"/>
      <c r="BY285" s="18"/>
      <c r="BZ285" s="18"/>
      <c r="CA285" s="18"/>
      <c r="CB285" s="18"/>
      <c r="CC285" s="18"/>
      <c r="CD285" s="18"/>
      <c r="CE285" s="1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  <c r="CY285" s="18"/>
      <c r="CZ285" s="18"/>
      <c r="DA285" s="18"/>
      <c r="DB285" s="18"/>
      <c r="DC285" s="18"/>
      <c r="DD285" s="18"/>
      <c r="DE285" s="18"/>
      <c r="DF285" s="18"/>
    </row>
    <row r="286" spans="1:110" ht="15" customHeight="1" x14ac:dyDescent="0.2">
      <c r="A286" s="18">
        <f>Input!A286</f>
        <v>11084</v>
      </c>
      <c r="B286" s="18" t="str">
        <f>Input!B286</f>
        <v>MeBo24 T05-La-03</v>
      </c>
      <c r="C286" s="18">
        <f>Input!O286</f>
        <v>2.7470716935487101</v>
      </c>
      <c r="D286" s="18">
        <f>C286*Input!P286/100</f>
        <v>1.308655793472367E-2</v>
      </c>
      <c r="E286" s="152">
        <f>Input!M286</f>
        <v>3.2308255081296351</v>
      </c>
      <c r="F286" s="153">
        <f>E286*Input!N286/100</f>
        <v>2.4269819961616131E-4</v>
      </c>
      <c r="G286" s="21">
        <f>E286*137.88</f>
        <v>445.46622106091405</v>
      </c>
      <c r="H286" s="153">
        <f>G286*Input!L286/100</f>
        <v>2.2510668291463837E-2</v>
      </c>
      <c r="I286" s="18">
        <v>0.3</v>
      </c>
      <c r="J286" s="129">
        <f>(((C286*Constants!$B$24*0.000000001*Input!G286*(Constants!$B$4/Constants!$B$3))-(I286*0.000000000000001))/Input!F286)*1000000000000</f>
        <v>288.74161011217302</v>
      </c>
      <c r="K286" s="18">
        <f>J286*Input!P286/100</f>
        <v>1.3755133576499592</v>
      </c>
      <c r="L286" s="134">
        <f>(J286/Constants!$B$4)*602200000000*Constants!$B$17/(365.2425*24*60)</f>
        <v>3.9863985216930917</v>
      </c>
      <c r="M286" s="132">
        <f>L286*Input!P286/100</f>
        <v>1.8990489155250877E-2</v>
      </c>
      <c r="N286" s="18">
        <v>5.0000000000000001E-3</v>
      </c>
      <c r="O286" s="129">
        <f>(((G286*Constants!$B$23*0.000000001*Input!G286*(Constants!$B$7/Constants!$B$6))-(N286*0.000000001))/Input!F286)*1000000</f>
        <v>4.71666922980575</v>
      </c>
      <c r="P286" s="18">
        <f>O286*Input!N286/100</f>
        <v>3.5431413036029249E-4</v>
      </c>
      <c r="Q286" s="130">
        <f>(O286/Constants!$B$7)*602200000000000000*Constants!$B$18/(365.2425*24*60)</f>
        <v>3.5192048231780908</v>
      </c>
      <c r="R286" s="131">
        <f>Q286*Input!N286/100</f>
        <v>2.6436112767980646E-4</v>
      </c>
      <c r="S286" s="132">
        <f>Input!S286*Constants!$B$17/Constants!$B$18</f>
        <v>1.1254828962100565</v>
      </c>
      <c r="T286" s="18">
        <f>S286*Input!T286/100</f>
        <v>8.0252632848366423E-4</v>
      </c>
      <c r="U286" s="18">
        <f>S286*1/((U285+U287)/2)</f>
        <v>1.1256317837243874</v>
      </c>
      <c r="V286" s="18">
        <f>U286*Input!T286/100</f>
        <v>8.0263249282488654E-4</v>
      </c>
      <c r="W286" s="133">
        <v>3.0000000000000001E-3</v>
      </c>
      <c r="X286" s="129">
        <f>(((Constants!$B$25*0.000000001*Input!G286/Input!W286*(Constants!$B$11/Constants!$B$9)-(W286*0.000000001))/Input!F286)*1000000000)</f>
        <v>2.5351583301925804</v>
      </c>
      <c r="Y286" s="129">
        <f>X286*Input!X286/100</f>
        <v>6.0716052332935866E-3</v>
      </c>
      <c r="Z286" s="129">
        <f>(X286/Constants!$B$11)*6.022E+23*0.000000001*Constants!$B$19/(365.2425*24*60)</f>
        <v>6.1891410685112542E-4</v>
      </c>
      <c r="AA286" s="129">
        <f>Z286*Input!X286/100</f>
        <v>1.4822751247378942E-6</v>
      </c>
      <c r="AB286" s="134">
        <v>0.05</v>
      </c>
      <c r="AC286" s="134">
        <v>0.9</v>
      </c>
      <c r="AD286" s="129">
        <f>(((Input!G286*Constants!$B$25*0.000000001*Input!U286*(Constants!$B$10/Constants!$B$9))-((AB286*0.000000000000001)+(Input!G286*AC286*0.000000000000001)))/Input!F286)*1000000000000</f>
        <v>21.875262749474988</v>
      </c>
      <c r="AE286" s="129">
        <f>AD286*Input!V286/100</f>
        <v>6.1007444332626982E-2</v>
      </c>
      <c r="AF286" s="129">
        <f>(AD286/Constants!$B$10)*602200000000*Constants!$B$16/(365.2425*24*60)</f>
        <v>0.99851099103368701</v>
      </c>
      <c r="AG286" s="129">
        <f>AF286*Input!V286/100</f>
        <v>2.7847255778660706E-3</v>
      </c>
      <c r="AH286" s="18">
        <f>AF286/Z286</f>
        <v>1613.3272452196188</v>
      </c>
      <c r="AI286" s="133">
        <f>AH286*SQRT((AG286/AF286)^2+(AA286/Z286)^2)</f>
        <v>5.9307454071797308</v>
      </c>
      <c r="AJ286" s="132">
        <f t="shared" si="1543"/>
        <v>125.63178372438743</v>
      </c>
      <c r="AK286" s="133">
        <f>V286*1000</f>
        <v>0.80263249282488658</v>
      </c>
      <c r="AL286" s="133">
        <f>AF286/Q286</f>
        <v>0.28373199094787582</v>
      </c>
      <c r="AM286" s="133">
        <f>AL286*SQRT((R286/Q286)^2+(AG286/AF286)^2)</f>
        <v>7.9158097245191354E-4</v>
      </c>
      <c r="AN286" s="18">
        <f>AL286*1/((AN285+AN287)/2)</f>
        <v>0.28430058843124645</v>
      </c>
      <c r="AO286" s="129">
        <f>AN286*SQRT((R286/Q286)^2+(AG286/AF286)^2)</f>
        <v>7.9316729674096037E-4</v>
      </c>
      <c r="AP286" s="18">
        <f>ThU_Alter_Kombi(AN286,U286)</f>
        <v>31.566199999999998</v>
      </c>
      <c r="AQ286" s="18">
        <f t="shared" si="1549"/>
        <v>0.10440000000000001</v>
      </c>
      <c r="AR286" s="154">
        <f>(AQ286/AP286)</f>
        <v>3.3073350609195916E-3</v>
      </c>
      <c r="AS286" s="131">
        <f t="shared" si="1550"/>
        <v>1.7586760019617221E-4</v>
      </c>
      <c r="AT286" s="131">
        <f t="shared" si="1551"/>
        <v>4.2140317349604518E-7</v>
      </c>
      <c r="AU286" s="18">
        <v>8</v>
      </c>
      <c r="AV286" s="18">
        <f>AU286/2</f>
        <v>4</v>
      </c>
      <c r="AW286" s="18">
        <f t="shared" si="1553"/>
        <v>31.4312</v>
      </c>
      <c r="AX286" s="135">
        <f t="shared" si="1554"/>
        <v>0.12982531310000001</v>
      </c>
      <c r="AY286" s="135">
        <f t="shared" si="1555"/>
        <v>0.12503573379656527</v>
      </c>
      <c r="AZ286" s="154">
        <f t="shared" si="1556"/>
        <v>4.130459960166968E-3</v>
      </c>
      <c r="BA286" s="18" t="str">
        <f>Input!B286</f>
        <v>MeBo24 T05-La-03</v>
      </c>
      <c r="BB286" s="136">
        <f>Input!E286</f>
        <v>0</v>
      </c>
      <c r="BC286" s="18">
        <f>((U286-1)*EXP(Constants!$B$17*AW286*1000))*1000</f>
        <v>137.28458161577402</v>
      </c>
      <c r="BD286" s="132">
        <f>SQRT((EXP(Constants!$B$17*AW286*1000)*V286)^2+((U286-1)*Constants!$B$17*EXP(Constants!$B$17*AW286*1000)*AY286*1000)^2)*1000</f>
        <v>0.87841626369459691</v>
      </c>
      <c r="BE286" s="18">
        <f t="shared" si="1557"/>
        <v>31373.200000000001</v>
      </c>
      <c r="BF286" s="137">
        <f t="shared" si="1558"/>
        <v>62.517866898282634</v>
      </c>
      <c r="BG286" s="20">
        <f t="shared" si="1559"/>
        <v>0.39780769998143645</v>
      </c>
      <c r="BH286" s="18"/>
      <c r="BI286" s="18"/>
      <c r="BJ286" s="18"/>
      <c r="BK286" s="18"/>
      <c r="BL286" s="18"/>
      <c r="BM286" s="18"/>
      <c r="BN286" s="159"/>
      <c r="BO286" s="18"/>
      <c r="BP286" s="18"/>
      <c r="BQ286" s="18"/>
      <c r="BR286" s="18"/>
      <c r="BS286" s="18"/>
      <c r="BT286" s="18"/>
      <c r="BU286" s="18"/>
      <c r="BV286" s="18"/>
      <c r="BW286" s="18"/>
      <c r="BX286" s="18"/>
      <c r="BY286" s="18"/>
      <c r="BZ286" s="18"/>
      <c r="CA286" s="18"/>
      <c r="CB286" s="18"/>
      <c r="CC286" s="18"/>
      <c r="CD286" s="18"/>
      <c r="CE286" s="18"/>
      <c r="CF286" s="18"/>
      <c r="CG286" s="18"/>
      <c r="CH286" s="18"/>
      <c r="CI286" s="18"/>
      <c r="CJ286" s="18"/>
      <c r="CK286" s="18"/>
      <c r="CL286" s="18"/>
      <c r="CM286" s="18"/>
      <c r="CN286" s="18"/>
      <c r="CO286" s="18"/>
      <c r="CP286" s="18"/>
      <c r="CQ286" s="18"/>
      <c r="CR286" s="18"/>
      <c r="CS286" s="18"/>
      <c r="CT286" s="18"/>
      <c r="CU286" s="18"/>
      <c r="CV286" s="18"/>
      <c r="CW286" s="18"/>
      <c r="CX286" s="18"/>
      <c r="CY286" s="18"/>
      <c r="CZ286" s="18"/>
      <c r="DA286" s="18"/>
      <c r="DB286" s="18"/>
      <c r="DC286" s="18"/>
      <c r="DD286" s="18"/>
      <c r="DE286" s="18"/>
      <c r="DF286" s="18"/>
    </row>
    <row r="287" spans="1:110" ht="15" customHeight="1" x14ac:dyDescent="0.2">
      <c r="A287" s="138">
        <f>Input!A287</f>
        <v>10815</v>
      </c>
      <c r="B287" s="138" t="str">
        <f>Input!B287</f>
        <v>Hu1-13</v>
      </c>
      <c r="C287" s="138">
        <f>Input!O287</f>
        <v>2.0772506472146834</v>
      </c>
      <c r="D287" s="138">
        <f>C287*Input!P287/100</f>
        <v>1.6879493348259646E-2</v>
      </c>
      <c r="E287" s="139">
        <f>Input!M287</f>
        <v>2.7321149854592068</v>
      </c>
      <c r="F287" s="140">
        <f>E287*Input!N287/100</f>
        <v>4.0515655758179058E-4</v>
      </c>
      <c r="G287" s="141">
        <f t="shared" ref="G287" si="1596">E287*137.88</f>
        <v>376.70401419511541</v>
      </c>
      <c r="H287" s="140">
        <f>G287*Input!L287/100</f>
        <v>3.4901747421611562E-2</v>
      </c>
      <c r="I287" s="138">
        <v>0</v>
      </c>
      <c r="J287" s="142">
        <f>(((C287*Constants!$B$24*0.000000001*Input!G287*(Constants!$B$4/Constants!$B$3))-(I287*0.000000000000001))/Input!F287)*1000000000000</f>
        <v>749.96546922026437</v>
      </c>
      <c r="K287" s="138">
        <f>J287*Input!P287/100</f>
        <v>6.0941308002969983</v>
      </c>
      <c r="L287" s="143">
        <f>(J287/Constants!$B$4)*602200000000*Constants!$B$17/(365.2425*24*60)</f>
        <v>10.354106000375479</v>
      </c>
      <c r="M287" s="144">
        <f>L287*Input!P287/100</f>
        <v>8.4136242101962633E-2</v>
      </c>
      <c r="N287" s="138">
        <v>0</v>
      </c>
      <c r="O287" s="142">
        <f>(((G287*Constants!$B$23*0.000000001*Input!G287*(Constants!$B$7/Constants!$B$6))-(N287*0.000000001))/Input!F287)*1000000</f>
        <v>13.700427326787894</v>
      </c>
      <c r="P287" s="138">
        <f>O287*Input!N287/100</f>
        <v>2.031692663984971E-3</v>
      </c>
      <c r="Q287" s="145">
        <f>(O287/Constants!$B$7)*602200000000000000*Constants!$B$18/(365.2425*24*60)</f>
        <v>10.222173228377629</v>
      </c>
      <c r="R287" s="146">
        <f>Q287*Input!N287/100</f>
        <v>1.5158880714232137E-3</v>
      </c>
      <c r="S287" s="144">
        <f>Input!S287*Constants!$B$17/Constants!$B$18</f>
        <v>0.99986772982383421</v>
      </c>
      <c r="T287" s="138">
        <f>S287*Input!T287/100</f>
        <v>2.2131645711950293E-3</v>
      </c>
      <c r="U287" s="144">
        <f>S287</f>
        <v>0.99986772982383421</v>
      </c>
      <c r="V287" s="138">
        <f>U287*Input!T287/100</f>
        <v>2.2131645711950293E-3</v>
      </c>
      <c r="W287" s="147">
        <v>0</v>
      </c>
      <c r="X287" s="142">
        <f>(((Constants!$B$25*0.000000001*Input!G287/Input!W287*(Constants!$B$11/Constants!$B$9))-(W287*0.000000001))/Input!F287)*1000000000</f>
        <v>0.9622991228626524</v>
      </c>
      <c r="Y287" s="142">
        <f>X287*Input!X287/100</f>
        <v>7.9606401072724667E-3</v>
      </c>
      <c r="Z287" s="142">
        <f>(X287/Constants!$B$11)*6.022E+23*0.000000001*Constants!$B$19/(365.2425*24*60)</f>
        <v>2.3492832580003685E-4</v>
      </c>
      <c r="AA287" s="142">
        <f>Z287*Input!X287/100</f>
        <v>1.9434496075759955E-6</v>
      </c>
      <c r="AB287" s="143">
        <v>0</v>
      </c>
      <c r="AC287" s="143">
        <v>0.9</v>
      </c>
      <c r="AD287" s="142">
        <f>(((Input!G287*Constants!$B$25*0.000000001*Input!U287*(Constants!$B$10/Constants!$B$9))-((AB287*0.000000000000001)+(Input!G287*AC287*0.000000000000001)))/Input!F287)*1000000000000</f>
        <v>223.49829365920635</v>
      </c>
      <c r="AE287" s="142">
        <f>AD287*Input!V287/100</f>
        <v>1.100335977581967</v>
      </c>
      <c r="AF287" s="142">
        <f>(AD287/Constants!$B$10)*602200000000*Constants!$B$16/(365.2425*24*60)</f>
        <v>10.201729014722265</v>
      </c>
      <c r="AG287" s="142">
        <f>AF287*Input!V287/100</f>
        <v>5.022557123213342E-2</v>
      </c>
      <c r="AH287" s="138">
        <f t="shared" ref="AH287" si="1597">AF287/Z287</f>
        <v>43424.857262234254</v>
      </c>
      <c r="AI287" s="147">
        <f t="shared" ref="AI287" si="1598">AH287*SQRT((AG287/AF287)^2+(AA287/Z287)^2)</f>
        <v>418.03708184024669</v>
      </c>
      <c r="AJ287" s="144">
        <f t="shared" si="1543"/>
        <v>-0.13227017616579406</v>
      </c>
      <c r="AK287" s="147">
        <f t="shared" ref="AK287" si="1599">V287*1000</f>
        <v>2.2131645711950294</v>
      </c>
      <c r="AL287" s="147">
        <f t="shared" ref="AL287" si="1600">AF287/Q287</f>
        <v>0.99800001299150265</v>
      </c>
      <c r="AM287" s="147">
        <f t="shared" ref="AM287" si="1601">AL287*SQRT((R287/Q287)^2+(AG287/AF287)^2)</f>
        <v>4.9156230769451829E-3</v>
      </c>
      <c r="AN287" s="138">
        <f>AF287/Q287</f>
        <v>0.99800001299150265</v>
      </c>
      <c r="AO287" s="142">
        <f t="shared" ref="AO287" si="1602">AN287*SQRT((R287/Q287)^2+(AG287/AF287)^2)</f>
        <v>4.9156230769451829E-3</v>
      </c>
      <c r="AP287" s="138">
        <f t="shared" ref="AP287" si="1603">ThU_Alter_Kombi(AN287,U287)</f>
        <v>688.47860000000003</v>
      </c>
      <c r="AQ287" s="138" t="e">
        <f t="shared" si="1549"/>
        <v>#VALUE!</v>
      </c>
      <c r="AR287" s="138" t="e">
        <f>(AQ287/AP287)*100</f>
        <v>#VALUE!</v>
      </c>
      <c r="AS287" s="146">
        <f t="shared" si="1550"/>
        <v>2.2982228979240508E-5</v>
      </c>
      <c r="AT287" s="146">
        <f t="shared" si="1551"/>
        <v>1.9015152632409399E-7</v>
      </c>
      <c r="AU287" s="138">
        <v>0.75</v>
      </c>
      <c r="AV287" s="138">
        <f t="shared" ref="AV287" si="1604">AU287/2</f>
        <v>0.375</v>
      </c>
      <c r="AW287" s="138">
        <f t="shared" si="1553"/>
        <v>688.47670000000005</v>
      </c>
      <c r="AX287" s="148">
        <f t="shared" si="1554"/>
        <v>315.40934020729998</v>
      </c>
      <c r="AY287" s="148">
        <f t="shared" si="1555"/>
        <v>349.53110641659691</v>
      </c>
      <c r="AZ287" s="149">
        <f t="shared" si="1556"/>
        <v>0.4581263827916035</v>
      </c>
      <c r="BA287" s="138" t="str">
        <f>Input!B287</f>
        <v>Hu1-13</v>
      </c>
      <c r="BB287" s="150">
        <f>Input!E287</f>
        <v>0</v>
      </c>
      <c r="BC287" s="138">
        <f>((U287-1)*EXP(Constants!$B$17*AW287*1000))*1000</f>
        <v>-0.92312917495164759</v>
      </c>
      <c r="BD287" s="144">
        <f>SQRT((EXP(Constants!$B$17*AW287*1000)*V287)^2+((U287-1)*Constants!$B$17*EXP(Constants!$B$17*AW287*1000)*AY287*1000)^2)*1000</f>
        <v>15.472753688449222</v>
      </c>
      <c r="BE287" s="138">
        <f t="shared" si="1557"/>
        <v>688418.70000000007</v>
      </c>
      <c r="BF287" s="151">
        <f t="shared" si="1558"/>
        <v>174765.55320829846</v>
      </c>
      <c r="BG287" s="160">
        <f t="shared" si="1559"/>
        <v>50.768763331656231</v>
      </c>
      <c r="BH287" s="138"/>
      <c r="BI287" s="18"/>
      <c r="BJ287" s="18"/>
      <c r="BK287" s="18"/>
      <c r="BL287" s="18"/>
      <c r="BM287" s="18"/>
      <c r="BN287" s="159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18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18"/>
      <c r="CZ287" s="18"/>
      <c r="DA287" s="18"/>
      <c r="DB287" s="18"/>
      <c r="DC287" s="18"/>
      <c r="DD287" s="18"/>
      <c r="DE287" s="18"/>
      <c r="DF287" s="18"/>
    </row>
    <row r="289" spans="1:110" ht="15" customHeight="1" x14ac:dyDescent="0.2">
      <c r="A289" s="138">
        <f>Input!A289</f>
        <v>10815</v>
      </c>
      <c r="B289" s="138" t="str">
        <f>Input!B289</f>
        <v>Hu1-13</v>
      </c>
      <c r="C289" s="138">
        <f>Input!O289</f>
        <v>2.0816241648067333</v>
      </c>
      <c r="D289" s="138">
        <f>C289*Input!P289/100</f>
        <v>1.1346233312856623E-2</v>
      </c>
      <c r="E289" s="139">
        <f>Input!M289</f>
        <v>2.732122646093563</v>
      </c>
      <c r="F289" s="140">
        <f>E289*Input!N289/100</f>
        <v>2.5295698024904245E-4</v>
      </c>
      <c r="G289" s="141">
        <f t="shared" ref="G289" si="1605">E289*137.88</f>
        <v>376.70507044338046</v>
      </c>
      <c r="H289" s="140">
        <f>G289*Input!L289/100</f>
        <v>2.1004790622864609E-2</v>
      </c>
      <c r="I289" s="138">
        <v>0</v>
      </c>
      <c r="J289" s="142">
        <f>(((C289*Constants!$B$24*0.000000001*Input!G289*(Constants!$B$4/Constants!$B$3))-(I289*0.000000000000001))/Input!F289)*1000000000000</f>
        <v>751.54447326460661</v>
      </c>
      <c r="K289" s="138">
        <f>J289*Input!P289/100</f>
        <v>4.0964161940538695</v>
      </c>
      <c r="L289" s="143">
        <f>(J289/Constants!$B$4)*602200000000*Constants!$B$17/(365.2425*24*60)</f>
        <v>10.375905904399247</v>
      </c>
      <c r="M289" s="144">
        <f>L289*Input!P289/100</f>
        <v>5.6555573870603476E-2</v>
      </c>
      <c r="N289" s="138">
        <v>0</v>
      </c>
      <c r="O289" s="142">
        <f>(((G289*Constants!$B$23*0.000000001*Input!G289*(Constants!$B$7/Constants!$B$6))-(N289*0.000000001))/Input!F289)*1000000</f>
        <v>13.700465741702653</v>
      </c>
      <c r="P289" s="138">
        <f>O289*Input!N289/100</f>
        <v>1.2684746956663079E-3</v>
      </c>
      <c r="Q289" s="145">
        <f>(O289/Constants!$B$7)*602200000000000000*Constants!$B$18/(365.2425*24*60)</f>
        <v>10.222201890542966</v>
      </c>
      <c r="R289" s="146">
        <f>Q289*Input!N289/100</f>
        <v>9.4643530202606066E-4</v>
      </c>
      <c r="S289" s="144">
        <f>Input!S289*Constants!$B$17/Constants!$B$18</f>
        <v>0.99780222250264294</v>
      </c>
      <c r="T289" s="138">
        <f>S289*Input!T289/100</f>
        <v>1.0921768914574966E-3</v>
      </c>
      <c r="U289" s="144">
        <f>S289</f>
        <v>0.99780222250264294</v>
      </c>
      <c r="V289" s="138">
        <f>U289*Input!T289/100</f>
        <v>1.0921768914574966E-3</v>
      </c>
      <c r="W289" s="147">
        <v>0</v>
      </c>
      <c r="X289" s="142">
        <f>(((Constants!$B$25*0.000000001*Input!G289/Input!W289*(Constants!$B$11/Constants!$B$9))-(W289*0.000000001))/Input!F289)*1000000000</f>
        <v>0.98400227955831199</v>
      </c>
      <c r="Y289" s="142">
        <f>X289*Input!X289/100</f>
        <v>4.3981957471082751E-3</v>
      </c>
      <c r="Z289" s="142">
        <f>(X289/Constants!$B$11)*6.022E+23*0.000000001*Constants!$B$19/(365.2425*24*60)</f>
        <v>2.40226767984957E-4</v>
      </c>
      <c r="AA289" s="142">
        <f>Z289*Input!X289/100</f>
        <v>1.0737417699553125E-6</v>
      </c>
      <c r="AB289" s="143">
        <v>0</v>
      </c>
      <c r="AC289" s="143">
        <v>0.9</v>
      </c>
      <c r="AD289" s="142">
        <f>(((Input!G289*Constants!$B$25*0.000000001*Input!U289*(Constants!$B$10/Constants!$B$9))-((AB289*0.000000000000001)+(Input!G289*AC289*0.000000000000001)))/Input!F289)*1000000000000</f>
        <v>223.90395105360017</v>
      </c>
      <c r="AE289" s="142">
        <f>AD289*Input!V289/100</f>
        <v>0.5451386962363427</v>
      </c>
      <c r="AF289" s="142">
        <f>(AD289/Constants!$B$10)*602200000000*Constants!$B$16/(365.2425*24*60)</f>
        <v>10.220245517656888</v>
      </c>
      <c r="AG289" s="142">
        <f>AF289*Input!V289/100</f>
        <v>2.4883220195507212E-2</v>
      </c>
      <c r="AH289" s="138">
        <f t="shared" ref="AH289" si="1606">AF289/Z289</f>
        <v>42544.157769699006</v>
      </c>
      <c r="AI289" s="147">
        <f t="shared" ref="AI289" si="1607">AH289*SQRT((AG289/AF289)^2+(AA289/Z289)^2)</f>
        <v>216.54091784898142</v>
      </c>
      <c r="AJ289" s="144">
        <f t="shared" ref="AJ289:AJ299" si="1608">(U289-1)*1000</f>
        <v>-2.1977774973570563</v>
      </c>
      <c r="AK289" s="147">
        <f t="shared" ref="AK289" si="1609">V289*1000</f>
        <v>1.0921768914574965</v>
      </c>
      <c r="AL289" s="147">
        <f t="shared" ref="AL289" si="1610">AF289/Q289</f>
        <v>0.9998086153152691</v>
      </c>
      <c r="AM289" s="147">
        <f t="shared" ref="AM289" si="1611">AL289*SQRT((R289/Q289)^2+(AG289/AF289)^2)</f>
        <v>2.4359923571535174E-3</v>
      </c>
      <c r="AN289" s="138">
        <f>AF289/Q289</f>
        <v>0.9998086153152691</v>
      </c>
      <c r="AO289" s="142">
        <f t="shared" ref="AO289" si="1612">AN289*SQRT((R289/Q289)^2+(AG289/AF289)^2)</f>
        <v>2.4359923571535174E-3</v>
      </c>
      <c r="AP289" s="138" t="str">
        <f t="shared" ref="AP289" si="1613">ThU_Alter_Kombi(AN289,U289)</f>
        <v>Out of range</v>
      </c>
      <c r="AQ289" s="138" t="e">
        <f t="shared" ref="AQ289:AQ299" si="1614">Montealter(AN289,AO289,U289,V289)</f>
        <v>#VALUE!</v>
      </c>
      <c r="AR289" s="138" t="e">
        <f>(AQ289/AP289)*100</f>
        <v>#VALUE!</v>
      </c>
      <c r="AS289" s="146">
        <f t="shared" ref="AS289:AS299" si="1615">Z289/Q289</f>
        <v>2.3500491435920666E-5</v>
      </c>
      <c r="AT289" s="146">
        <f t="shared" ref="AT289:AT299" si="1616">AS289*SQRT((Y289/X289)^2+(P289/O289)^2)</f>
        <v>1.0506269746313803E-7</v>
      </c>
      <c r="AU289" s="138">
        <v>0.75</v>
      </c>
      <c r="AV289" s="138">
        <f t="shared" ref="AV289" si="1617">AU289/2</f>
        <v>0.375</v>
      </c>
      <c r="AW289" s="138" t="str">
        <f t="shared" ref="AW289:AW299" si="1618">marincorr_age(AN289,U289,AS289,AU289)</f>
        <v>Out of range</v>
      </c>
      <c r="AX289" s="148">
        <f t="shared" ref="AX289:AX299" si="1619">marincorr_age_error(AN289, AO289, U289, V289, AS289, AT289, AU289, AV289)</f>
        <v>268.85615168840002</v>
      </c>
      <c r="AY289" s="148" t="e">
        <f t="shared" ref="AY289:AY299" si="1620">SQRT(((AU289*EXP(-0.0000091577*AW289*1000))/(0.0000091577*(EXP(-0.0000091577*AW289*1000)+(AJ289/1000)*EXP(-(0.0000091577-0.0000028263)*AW289*1000)-AS289*AU289*EXP(-0.0000091577*AW289*1000))))^2*AT289^2+((AS289*EXP(-0.0000091577*AW289*1000))/(0.0000091577*(EXP(-0.0000091577*AW289*1000)+(AJ289/1000)*EXP(-(0.0000091577-0.0000028263)*AW289*1000)-AS289*AU289*EXP(-0.0000091577*AW289*1000))))^2*AV289^2+((0.0000091577/(0.0000091577-0.0000028263))*(EXP(-(0.0000091577-0.0000028263)*AW289*1000)-1)/(0.0000091577*(EXP(-0.0000091577*AW289*1000)+(AJ289/1000)*EXP(-(0.0000091577-0.0000028263)*AW289*1000)-AS289*AU289*EXP(-0.0000091577*AW289*1000))))^2*T289^2+(1/(0.0000091577*(EXP(-0.0000091577*AW289*1000)+(AJ289/1000)*EXP(-(0.0000091577-0.0000028263)*AW289*1000)-AS289*AU289*EXP(-0.0000091577*AW289*1000))))^2*AO289^2)/1000</f>
        <v>#VALUE!</v>
      </c>
      <c r="AZ289" s="149" t="e">
        <f t="shared" ref="AZ289:AZ299" si="1621">AX289/AW289</f>
        <v>#VALUE!</v>
      </c>
      <c r="BA289" s="138" t="str">
        <f>Input!B289</f>
        <v>Hu1-13</v>
      </c>
      <c r="BB289" s="150">
        <f>Input!E289</f>
        <v>0</v>
      </c>
      <c r="BC289" s="138" t="e">
        <f>((U289-1)*EXP(Constants!$B$17*AW289*1000))*1000</f>
        <v>#VALUE!</v>
      </c>
      <c r="BD289" s="144" t="e">
        <f>SQRT((EXP(Constants!$B$17*AW289*1000)*V289)^2+((U289-1)*Constants!$B$17*EXP(Constants!$B$17*AW289*1000)*AY289*1000)^2)*1000</f>
        <v>#VALUE!</v>
      </c>
      <c r="BE289" s="138" t="e">
        <f t="shared" ref="BE289:BE299" si="1622">AW289*1000-58</f>
        <v>#VALUE!</v>
      </c>
      <c r="BF289" s="151" t="e">
        <f t="shared" ref="BF289:BF299" si="1623">AY289/2*1000</f>
        <v>#VALUE!</v>
      </c>
      <c r="BG289" s="160" t="e">
        <f t="shared" ref="BG289:BG299" si="1624">AY289/AW289*100</f>
        <v>#VALUE!</v>
      </c>
      <c r="BH289" s="138"/>
      <c r="BI289" s="18"/>
      <c r="BJ289" s="18"/>
      <c r="BK289" s="18"/>
      <c r="BL289" s="18"/>
      <c r="BM289" s="18"/>
      <c r="BN289" s="159"/>
      <c r="BO289" s="18"/>
      <c r="BP289" s="18"/>
      <c r="BQ289" s="18"/>
      <c r="BR289" s="18"/>
      <c r="BS289" s="18"/>
      <c r="BT289" s="18"/>
      <c r="BU289" s="18"/>
      <c r="BV289" s="18"/>
      <c r="BW289" s="18"/>
      <c r="BX289" s="18"/>
      <c r="BY289" s="18"/>
      <c r="BZ289" s="18"/>
      <c r="CA289" s="18"/>
      <c r="CB289" s="18"/>
      <c r="CC289" s="18"/>
      <c r="CD289" s="18"/>
      <c r="CE289" s="18"/>
      <c r="CF289" s="18"/>
      <c r="CG289" s="18"/>
      <c r="CH289" s="18"/>
      <c r="CI289" s="18"/>
      <c r="CJ289" s="18"/>
      <c r="CK289" s="18"/>
      <c r="CL289" s="18"/>
      <c r="CM289" s="18"/>
      <c r="CN289" s="18"/>
      <c r="CO289" s="18"/>
      <c r="CP289" s="18"/>
      <c r="CQ289" s="18"/>
      <c r="CR289" s="18"/>
      <c r="CS289" s="18"/>
      <c r="CT289" s="18"/>
      <c r="CU289" s="18"/>
      <c r="CV289" s="18"/>
      <c r="CW289" s="18"/>
      <c r="CX289" s="18"/>
      <c r="CY289" s="18"/>
      <c r="CZ289" s="18"/>
      <c r="DA289" s="18"/>
      <c r="DB289" s="18"/>
      <c r="DC289" s="18"/>
      <c r="DD289" s="18"/>
      <c r="DE289" s="18"/>
      <c r="DF289" s="18"/>
    </row>
    <row r="290" spans="1:110" ht="15" customHeight="1" x14ac:dyDescent="0.2">
      <c r="A290" s="18">
        <f>Input!A290</f>
        <v>11085</v>
      </c>
      <c r="B290" s="18" t="str">
        <f>Input!B290</f>
        <v>MeBo24 T02-La-10</v>
      </c>
      <c r="C290" s="18">
        <f>Input!O290</f>
        <v>3.282540537557614</v>
      </c>
      <c r="D290" s="18">
        <f>C290*Input!P290/100</f>
        <v>1.3387735162057433E-2</v>
      </c>
      <c r="E290" s="152">
        <f>Input!M290</f>
        <v>3.8223666425382419</v>
      </c>
      <c r="F290" s="153">
        <f>E290*Input!N290/100</f>
        <v>2.9906181506993937E-4</v>
      </c>
      <c r="G290" s="21">
        <f>E290*137.88</f>
        <v>527.02791267317275</v>
      </c>
      <c r="H290" s="153">
        <f>G290*Input!L290/100</f>
        <v>2.0519037949080502E-2</v>
      </c>
      <c r="I290" s="18">
        <v>0.3</v>
      </c>
      <c r="J290" s="129">
        <f>(((C290*Constants!$B$24*0.000000001*Input!G290*(Constants!$B$4/Constants!$B$3))-(I290*0.000000000000001))/Input!F290)*1000000000000</f>
        <v>315.56803767751688</v>
      </c>
      <c r="K290" s="18">
        <f>J290*Input!P290/100</f>
        <v>1.2870340109128373</v>
      </c>
      <c r="L290" s="134">
        <f>(J290/Constants!$B$4)*602200000000*Constants!$B$17/(365.2425*24*60)</f>
        <v>4.3567671400132868</v>
      </c>
      <c r="M290" s="132">
        <f>L290*Input!P290/100</f>
        <v>1.7768933533613227E-2</v>
      </c>
      <c r="N290" s="18">
        <v>5.0000000000000001E-3</v>
      </c>
      <c r="O290" s="129">
        <f>(((G290*Constants!$B$23*0.000000001*Input!G290*(Constants!$B$7/Constants!$B$6))-(N290*0.000000001))/Input!F290)*1000000</f>
        <v>5.1038479017462803</v>
      </c>
      <c r="P290" s="18">
        <f>O290*Input!N290/100</f>
        <v>3.9932485815216326E-4</v>
      </c>
      <c r="Q290" s="130">
        <f>(O290/Constants!$B$7)*602200000000000000*Constants!$B$18/(365.2425*24*60)</f>
        <v>3.8080868675483961</v>
      </c>
      <c r="R290" s="131">
        <f>Q290*Input!N290/100</f>
        <v>2.9794456603900453E-4</v>
      </c>
      <c r="S290" s="132">
        <f>Input!S290*Constants!$B$17/Constants!$B$18</f>
        <v>1.1348830874029869</v>
      </c>
      <c r="T290" s="18">
        <f>S290*Input!T290/100</f>
        <v>6.1250889488838626E-4</v>
      </c>
      <c r="U290" s="18">
        <f>S290*1/((U289+U291)/2)</f>
        <v>1.1377386659673405</v>
      </c>
      <c r="V290" s="18">
        <f>U290*Input!T290/100</f>
        <v>6.140500820733338E-4</v>
      </c>
      <c r="W290" s="133">
        <v>3.0000000000000001E-3</v>
      </c>
      <c r="X290" s="129">
        <f>(((Constants!$B$25*0.000000001*Input!G290/Input!W290*(Constants!$B$11/Constants!$B$9)-(W290*0.000000001))/Input!F290)*1000000000)</f>
        <v>0.3953536405749622</v>
      </c>
      <c r="Y290" s="129">
        <f>X290*Input!X290/100</f>
        <v>1.1691452633758694E-3</v>
      </c>
      <c r="Z290" s="129">
        <f>(X290/Constants!$B$11)*6.022E+23*0.000000001*Constants!$B$19/(365.2425*24*60)</f>
        <v>9.6518604945753443E-5</v>
      </c>
      <c r="AA290" s="129">
        <f>Z290*Input!X290/100</f>
        <v>2.8542615577250062E-7</v>
      </c>
      <c r="AB290" s="134">
        <v>0.05</v>
      </c>
      <c r="AC290" s="134">
        <v>0.9</v>
      </c>
      <c r="AD290" s="129">
        <f>(((Input!G290*Constants!$B$25*0.000000001*Input!U290*(Constants!$B$10/Constants!$B$9))-((AB290*0.000000000000001)+(Input!G290*AC290*0.000000000000001)))/Input!F290)*1000000000000</f>
        <v>9.6771982218996797</v>
      </c>
      <c r="AE290" s="129">
        <f>AD290*Input!V290/100</f>
        <v>4.6389664818750002E-2</v>
      </c>
      <c r="AF290" s="129">
        <f>(AD290/Constants!$B$10)*602200000000*Constants!$B$16/(365.2425*24*60)</f>
        <v>0.44172218170089822</v>
      </c>
      <c r="AG290" s="129">
        <f>AF290*Input!V290/100</f>
        <v>2.117487260490269E-3</v>
      </c>
      <c r="AH290" s="18">
        <f>AF290/Z290</f>
        <v>4576.549588021504</v>
      </c>
      <c r="AI290" s="133">
        <f>AH290*SQRT((AG290/AF290)^2+(AA290/Z290)^2)</f>
        <v>25.777292125429966</v>
      </c>
      <c r="AJ290" s="132">
        <f t="shared" si="1608"/>
        <v>137.73866596734052</v>
      </c>
      <c r="AK290" s="133">
        <f>V290*1000</f>
        <v>0.61405008207333378</v>
      </c>
      <c r="AL290" s="133">
        <f>AF290/Q290</f>
        <v>0.1159958260052177</v>
      </c>
      <c r="AM290" s="133">
        <f>AL290*SQRT((R290/Q290)^2+(AG290/AF290)^2)</f>
        <v>5.5612420398303388E-4</v>
      </c>
      <c r="AN290" s="18">
        <f>AL290*1/((AN289+AN291)/2)</f>
        <v>0.11623891510839639</v>
      </c>
      <c r="AO290" s="129">
        <f>AN290*SQRT((R290/Q290)^2+(AG290/AF290)^2)</f>
        <v>5.5728965741923004E-4</v>
      </c>
      <c r="AP290" s="18">
        <f>ThU_Alter_Kombi(AN290,U290)</f>
        <v>11.7273</v>
      </c>
      <c r="AQ290" s="18">
        <f t="shared" si="1614"/>
        <v>5.9799999999999999E-2</v>
      </c>
      <c r="AR290" s="154">
        <f>(AQ290/AP290)</f>
        <v>5.0992129475667886E-3</v>
      </c>
      <c r="AS290" s="131">
        <f t="shared" si="1615"/>
        <v>2.5345694124853575E-5</v>
      </c>
      <c r="AT290" s="131">
        <f t="shared" si="1616"/>
        <v>7.4978866276560363E-8</v>
      </c>
      <c r="AU290" s="18">
        <v>8</v>
      </c>
      <c r="AV290" s="18">
        <f>AU290/2</f>
        <v>4</v>
      </c>
      <c r="AW290" s="18">
        <f t="shared" si="1618"/>
        <v>11.7079</v>
      </c>
      <c r="AX290" s="135">
        <f t="shared" si="1619"/>
        <v>6.2333095099999999E-2</v>
      </c>
      <c r="AY290" s="135">
        <f t="shared" si="1620"/>
        <v>6.0473181348070587E-2</v>
      </c>
      <c r="AZ290" s="154">
        <f t="shared" si="1621"/>
        <v>5.3240201146234588E-3</v>
      </c>
      <c r="BA290" s="18" t="str">
        <f>Input!B290</f>
        <v>MeBo24 T02-La-10</v>
      </c>
      <c r="BB290" s="136">
        <f>Input!E290</f>
        <v>0</v>
      </c>
      <c r="BC290" s="18">
        <f>((U290-1)*EXP(Constants!$B$17*AW290*1000))*1000</f>
        <v>142.36562340949556</v>
      </c>
      <c r="BD290" s="132">
        <f>SQRT((EXP(Constants!$B$17*AW290*1000)*V290)^2+((U290-1)*Constants!$B$17*EXP(Constants!$B$17*AW290*1000)*AY290*1000)^2)*1000</f>
        <v>0.63514229596463689</v>
      </c>
      <c r="BE290" s="18">
        <f t="shared" si="1622"/>
        <v>11649.9</v>
      </c>
      <c r="BF290" s="137">
        <f t="shared" si="1623"/>
        <v>30.236590674035295</v>
      </c>
      <c r="BG290" s="20">
        <f t="shared" si="1624"/>
        <v>0.51651603915365329</v>
      </c>
      <c r="BH290" s="18"/>
      <c r="BI290" s="18"/>
      <c r="BJ290" s="18"/>
      <c r="BK290" s="18"/>
      <c r="BL290" s="18"/>
      <c r="BM290" s="18"/>
      <c r="BN290" s="159"/>
      <c r="BO290" s="18"/>
      <c r="BP290" s="18"/>
      <c r="BQ290" s="18"/>
      <c r="BR290" s="18"/>
      <c r="BS290" s="18"/>
      <c r="BT290" s="18"/>
      <c r="BU290" s="18"/>
      <c r="BV290" s="18"/>
      <c r="BW290" s="18"/>
      <c r="BX290" s="18"/>
      <c r="BY290" s="18"/>
      <c r="BZ290" s="18"/>
      <c r="CA290" s="18"/>
      <c r="CB290" s="18"/>
      <c r="CC290" s="18"/>
      <c r="CD290" s="18"/>
      <c r="CE290" s="18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  <c r="CT290" s="18"/>
      <c r="CU290" s="18"/>
      <c r="CV290" s="18"/>
      <c r="CW290" s="18"/>
      <c r="CX290" s="18"/>
      <c r="CY290" s="18"/>
      <c r="CZ290" s="18"/>
      <c r="DA290" s="18"/>
      <c r="DB290" s="18"/>
      <c r="DC290" s="18"/>
      <c r="DD290" s="18"/>
      <c r="DE290" s="18"/>
      <c r="DF290" s="18"/>
    </row>
    <row r="291" spans="1:110" ht="15" customHeight="1" x14ac:dyDescent="0.2">
      <c r="A291" s="138">
        <f>Input!A291</f>
        <v>10815</v>
      </c>
      <c r="B291" s="138" t="str">
        <f>Input!B291</f>
        <v>Hu1-13</v>
      </c>
      <c r="C291" s="138">
        <f>Input!O291</f>
        <v>2.083453020298085</v>
      </c>
      <c r="D291" s="138">
        <f>C291*Input!P291/100</f>
        <v>1.3454402249837533E-2</v>
      </c>
      <c r="E291" s="139">
        <f>Input!M291</f>
        <v>2.7324332638130322</v>
      </c>
      <c r="F291" s="140">
        <f>E291*Input!N291/100</f>
        <v>2.4950821041173395E-4</v>
      </c>
      <c r="G291" s="141">
        <f t="shared" ref="G291" si="1625">E291*137.88</f>
        <v>376.74789841454088</v>
      </c>
      <c r="H291" s="140">
        <f>G291*Input!L291/100</f>
        <v>2.0762291450769164E-2</v>
      </c>
      <c r="I291" s="138">
        <v>0</v>
      </c>
      <c r="J291" s="142">
        <f>(((C291*Constants!$B$24*0.000000001*Input!G291*(Constants!$B$4/Constants!$B$3))-(I291*0.000000000000001))/Input!F291)*1000000000000</f>
        <v>752.20475875713817</v>
      </c>
      <c r="K291" s="138">
        <f>J291*Input!P291/100</f>
        <v>4.8575443266354901</v>
      </c>
      <c r="L291" s="143">
        <f>(J291/Constants!$B$4)*602200000000*Constants!$B$17/(365.2425*24*60)</f>
        <v>10.385021878748427</v>
      </c>
      <c r="M291" s="144">
        <f>L291*Input!P291/100</f>
        <v>6.7063792832753266E-2</v>
      </c>
      <c r="N291" s="138">
        <v>0</v>
      </c>
      <c r="O291" s="142">
        <f>(((G291*Constants!$B$23*0.000000001*Input!G291*(Constants!$B$7/Constants!$B$6))-(N291*0.000000001))/Input!F291)*1000000</f>
        <v>13.702023361171326</v>
      </c>
      <c r="P291" s="138">
        <f>O291*Input!N291/100</f>
        <v>1.2511805404882377E-3</v>
      </c>
      <c r="Q291" s="145">
        <f>(O291/Constants!$B$7)*602200000000000000*Constants!$B$18/(365.2425*24*60)</f>
        <v>10.223364062762334</v>
      </c>
      <c r="R291" s="146">
        <f>Q291*Input!N291/100</f>
        <v>9.3353177384756212E-4</v>
      </c>
      <c r="S291" s="144">
        <f>Input!S291*Constants!$B$17/Constants!$B$18</f>
        <v>0.99717803324541043</v>
      </c>
      <c r="T291" s="138">
        <f>S291*Input!T291/100</f>
        <v>1.111998852855005E-3</v>
      </c>
      <c r="U291" s="144">
        <f>S291</f>
        <v>0.99717803324541043</v>
      </c>
      <c r="V291" s="138">
        <f>U291*Input!T291/100</f>
        <v>1.111998852855005E-3</v>
      </c>
      <c r="W291" s="147">
        <v>0</v>
      </c>
      <c r="X291" s="142">
        <f>(((Constants!$B$25*0.000000001*Input!G291/Input!W291*(Constants!$B$11/Constants!$B$9))-(W291*0.000000000001))/Input!F291)*1000000000</f>
        <v>0.9987920567931714</v>
      </c>
      <c r="Y291" s="142">
        <f>X291*Input!X291/100</f>
        <v>4.6613224011157499E-3</v>
      </c>
      <c r="Z291" s="142">
        <f>(X291/Constants!$B$11)*6.022E+23*0.000000001*Constants!$B$19/(365.2425*24*60)</f>
        <v>2.4383743074271261E-4</v>
      </c>
      <c r="AA291" s="142">
        <f>Z291*Input!X291/100</f>
        <v>1.1379794927492931E-6</v>
      </c>
      <c r="AB291" s="143">
        <v>0</v>
      </c>
      <c r="AC291" s="143">
        <v>0.9</v>
      </c>
      <c r="AD291" s="142">
        <f>(((Input!G291*Constants!$B$25*0.000000001*Input!U291*(Constants!$B$10/Constants!$B$9))-((AB291*0.000000000000001)+(Input!G291*AC291*0.000000000000001)))/Input!F291)*1000000000000</f>
        <v>223.07835537988274</v>
      </c>
      <c r="AE291" s="142">
        <f>AD291*Input!V291/100</f>
        <v>0.86003386376695101</v>
      </c>
      <c r="AF291" s="142">
        <f>(AD291/Constants!$B$10)*602200000000*Constants!$B$16/(365.2425*24*60)</f>
        <v>10.182560651248759</v>
      </c>
      <c r="AG291" s="142">
        <f>AF291*Input!V291/100</f>
        <v>3.9256820613644036E-2</v>
      </c>
      <c r="AH291" s="138">
        <f t="shared" ref="AH291" si="1626">AF291/Z291</f>
        <v>41759.629029199314</v>
      </c>
      <c r="AI291" s="147">
        <f t="shared" ref="AI291" si="1627">AH291*SQRT((AG291/AF291)^2+(AA291/Z291)^2)</f>
        <v>252.78841575314999</v>
      </c>
      <c r="AJ291" s="144">
        <f t="shared" si="1608"/>
        <v>-2.8219667545895666</v>
      </c>
      <c r="AK291" s="147">
        <f t="shared" ref="AK291" si="1628">V291*1000</f>
        <v>1.1119988528550051</v>
      </c>
      <c r="AL291" s="147">
        <f t="shared" ref="AL291" si="1629">AF291/Q291</f>
        <v>0.99600880774047773</v>
      </c>
      <c r="AM291" s="147">
        <f t="shared" ref="AM291" si="1630">AL291*SQRT((R291/Q291)^2+(AG291/AF291)^2)</f>
        <v>3.8409891450903724E-3</v>
      </c>
      <c r="AN291" s="138">
        <f>AF291/Q291</f>
        <v>0.99600880774047773</v>
      </c>
      <c r="AO291" s="142">
        <f t="shared" ref="AO291" si="1631">AN291*SQRT((R291/Q291)^2+(AG291/AF291)^2)</f>
        <v>3.8409891450903724E-3</v>
      </c>
      <c r="AP291" s="138" t="str">
        <f t="shared" ref="AP291" si="1632">ThU_Alter_Kombi(AN291,U291)</f>
        <v>Out of range</v>
      </c>
      <c r="AQ291" s="138" t="e">
        <f t="shared" si="1614"/>
        <v>#VALUE!</v>
      </c>
      <c r="AR291" s="138" t="e">
        <f>(AQ291/AP291)*100</f>
        <v>#VALUE!</v>
      </c>
      <c r="AS291" s="146">
        <f t="shared" si="1615"/>
        <v>2.3850997503930049E-5</v>
      </c>
      <c r="AT291" s="146">
        <f t="shared" si="1616"/>
        <v>1.1133295160881335E-7</v>
      </c>
      <c r="AU291" s="138">
        <v>0.75</v>
      </c>
      <c r="AV291" s="138">
        <f t="shared" ref="AV291" si="1633">AU291/2</f>
        <v>0.375</v>
      </c>
      <c r="AW291" s="138" t="str">
        <f t="shared" si="1618"/>
        <v>Out of range</v>
      </c>
      <c r="AX291" s="148">
        <f t="shared" si="1619"/>
        <v>341.64017899049998</v>
      </c>
      <c r="AY291" s="148" t="e">
        <f t="shared" si="1620"/>
        <v>#VALUE!</v>
      </c>
      <c r="AZ291" s="149" t="e">
        <f t="shared" si="1621"/>
        <v>#VALUE!</v>
      </c>
      <c r="BA291" s="138" t="str">
        <f>Input!B291</f>
        <v>Hu1-13</v>
      </c>
      <c r="BB291" s="150">
        <f>Input!E291</f>
        <v>0</v>
      </c>
      <c r="BC291" s="138" t="e">
        <f>((U291-1)*EXP(Constants!$B$17*AW291*1000))*1000</f>
        <v>#VALUE!</v>
      </c>
      <c r="BD291" s="144" t="e">
        <f>SQRT((EXP(Constants!$B$17*AW291*1000)*V291)^2+((U291-1)*Constants!$B$17*EXP(Constants!$B$17*AW291*1000)*AY291*1000)^2)*1000</f>
        <v>#VALUE!</v>
      </c>
      <c r="BE291" s="138" t="e">
        <f t="shared" si="1622"/>
        <v>#VALUE!</v>
      </c>
      <c r="BF291" s="151" t="e">
        <f t="shared" si="1623"/>
        <v>#VALUE!</v>
      </c>
      <c r="BG291" s="160" t="e">
        <f t="shared" si="1624"/>
        <v>#VALUE!</v>
      </c>
      <c r="BH291" s="138"/>
      <c r="BI291" s="18"/>
      <c r="BJ291" s="18"/>
      <c r="BK291" s="18"/>
      <c r="BL291" s="18"/>
      <c r="BM291" s="18"/>
      <c r="BN291" s="159"/>
      <c r="BO291" s="18"/>
      <c r="BP291" s="18"/>
      <c r="BQ291" s="18"/>
      <c r="BR291" s="18"/>
      <c r="BS291" s="18"/>
      <c r="BT291" s="18"/>
      <c r="BU291" s="18"/>
      <c r="BV291" s="18"/>
      <c r="BW291" s="18"/>
      <c r="BX291" s="18"/>
      <c r="BY291" s="18"/>
      <c r="BZ291" s="18"/>
      <c r="CA291" s="18"/>
      <c r="CB291" s="18"/>
      <c r="CC291" s="18"/>
      <c r="CD291" s="18"/>
      <c r="CE291" s="1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  <c r="CY291" s="18"/>
      <c r="CZ291" s="18"/>
      <c r="DA291" s="18"/>
      <c r="DB291" s="18"/>
      <c r="DC291" s="18"/>
      <c r="DD291" s="18"/>
      <c r="DE291" s="18"/>
      <c r="DF291" s="18"/>
    </row>
    <row r="292" spans="1:110" ht="15" customHeight="1" x14ac:dyDescent="0.2">
      <c r="A292" s="18">
        <f>Input!A292</f>
        <v>11086</v>
      </c>
      <c r="B292" s="18" t="str">
        <f>Input!B292</f>
        <v>MeBo24 T06-Lf-01</v>
      </c>
      <c r="C292" s="18">
        <f>Input!O292</f>
        <v>2.773633491785882</v>
      </c>
      <c r="D292" s="18">
        <f>C292*Input!P292/100</f>
        <v>1.5020139101792694E-2</v>
      </c>
      <c r="E292" s="152">
        <f>Input!M292</f>
        <v>3.2624830979480755</v>
      </c>
      <c r="F292" s="153">
        <f>E292*Input!N292/100</f>
        <v>2.0359599133832959E-4</v>
      </c>
      <c r="G292" s="21">
        <f>E292*137.88</f>
        <v>449.83116954508063</v>
      </c>
      <c r="H292" s="153">
        <f>G292*Input!L292/100</f>
        <v>3.5380781579909787E-2</v>
      </c>
      <c r="I292" s="18">
        <v>0.3</v>
      </c>
      <c r="J292" s="129">
        <f>(((C292*Constants!$B$24*0.000000001*Input!G292*(Constants!$B$4/Constants!$B$3))-(I292*0.000000000000001))/Input!F292)*1000000000000</f>
        <v>198.07582079432623</v>
      </c>
      <c r="K292" s="18">
        <f>J292*Input!P292/100</f>
        <v>1.0726458235536098</v>
      </c>
      <c r="L292" s="134">
        <f>(J292/Constants!$B$4)*602200000000*Constants!$B$17/(365.2425*24*60)</f>
        <v>2.7346566325888859</v>
      </c>
      <c r="M292" s="132">
        <f>L292*Input!P292/100</f>
        <v>1.4809066568733207E-2</v>
      </c>
      <c r="N292" s="18">
        <v>5.0000000000000001E-3</v>
      </c>
      <c r="O292" s="129">
        <f>(((G292*Constants!$B$23*0.000000001*Input!G292*(Constants!$B$7/Constants!$B$6))-(N292*0.000000001))/Input!F292)*1000000</f>
        <v>3.2360348695454983</v>
      </c>
      <c r="P292" s="18">
        <f>O292*Input!N292/100</f>
        <v>2.0194548369764572E-4</v>
      </c>
      <c r="Q292" s="130">
        <f>(O292/Constants!$B$7)*602200000000000000*Constants!$B$18/(365.2425*24*60)</f>
        <v>2.4144727912892066</v>
      </c>
      <c r="R292" s="131">
        <f>Q292*Input!N292/100</f>
        <v>1.5067571746536402E-4</v>
      </c>
      <c r="S292" s="132">
        <f>Input!S292*Constants!$B$17/Constants!$B$18</f>
        <v>1.1257188899571691</v>
      </c>
      <c r="T292" s="18">
        <f>S292*Input!T292/100</f>
        <v>8.3388055922210575E-4</v>
      </c>
      <c r="U292" s="18">
        <f>S292*1/((U291+U293)/2)</f>
        <v>1.1280102328700632</v>
      </c>
      <c r="V292" s="18">
        <f>U292*Input!T292/100</f>
        <v>8.3557788021993177E-4</v>
      </c>
      <c r="W292" s="133">
        <v>3.0000000000000001E-3</v>
      </c>
      <c r="X292" s="129">
        <f>(((Constants!$B$25*0.000000001*Input!G292/Input!W292*(Constants!$B$11/Constants!$B$9)-(W292*0.000000001))/Input!F292)*1000000000)</f>
        <v>0.56899091542560021</v>
      </c>
      <c r="Y292" s="129">
        <f>X292*Input!X292/100</f>
        <v>1.9129276120196065E-3</v>
      </c>
      <c r="Z292" s="129">
        <f>(X292/Constants!$B$11)*6.022E+23*0.000000001*Constants!$B$19/(365.2425*24*60)</f>
        <v>1.3890907720950446E-4</v>
      </c>
      <c r="AA292" s="129">
        <f>Z292*Input!X292/100</f>
        <v>4.6700747261573778E-7</v>
      </c>
      <c r="AB292" s="134">
        <v>0.05</v>
      </c>
      <c r="AC292" s="134">
        <v>0.9</v>
      </c>
      <c r="AD292" s="129">
        <f>(((Input!G292*Constants!$B$25*0.000000001*Input!U292*(Constants!$B$10/Constants!$B$9))-((AB292*0.000000000000001)+(Input!G292*AC292*0.000000000000001)))/Input!F292)*1000000000000</f>
        <v>12.461243392631722</v>
      </c>
      <c r="AE292" s="129">
        <f>AD292*Input!V292/100</f>
        <v>4.3925881566835877E-2</v>
      </c>
      <c r="AF292" s="129">
        <f>(AD292/Constants!$B$10)*602200000000*Constants!$B$16/(365.2425*24*60)</f>
        <v>0.568801784553985</v>
      </c>
      <c r="AG292" s="129">
        <f>AF292*Input!V292/100</f>
        <v>2.0050262270053108E-3</v>
      </c>
      <c r="AH292" s="18">
        <f>AF292/Z292</f>
        <v>4094.7776486637431</v>
      </c>
      <c r="AI292" s="133">
        <f>AH292*SQRT((AG292/AF292)^2+(AA292/Z292)^2)</f>
        <v>19.946415419362069</v>
      </c>
      <c r="AJ292" s="132">
        <f t="shared" si="1608"/>
        <v>128.01023287006319</v>
      </c>
      <c r="AK292" s="133">
        <f>V292*1000</f>
        <v>0.83557788021993173</v>
      </c>
      <c r="AL292" s="133">
        <f>AF292/Q292</f>
        <v>0.23558011778226481</v>
      </c>
      <c r="AM292" s="133">
        <f>AL292*SQRT((R292/Q292)^2+(AG292/AF292)^2)</f>
        <v>8.3055001286495779E-4</v>
      </c>
      <c r="AN292" s="18">
        <f>AL292*1/((AN291+AN293)/2)</f>
        <v>0.23610222442513548</v>
      </c>
      <c r="AO292" s="129">
        <f>AN292*SQRT((R292/Q292)^2+(AG292/AF292)^2)</f>
        <v>8.3239072711128439E-4</v>
      </c>
      <c r="AP292" s="18">
        <f>ThU_Alter_Kombi(AN292,U292)</f>
        <v>25.493600000000001</v>
      </c>
      <c r="AQ292" s="18">
        <f t="shared" si="1614"/>
        <v>0.10290000000000001</v>
      </c>
      <c r="AR292" s="154">
        <f>(AQ292/AP292)</f>
        <v>4.0363071515988327E-3</v>
      </c>
      <c r="AS292" s="131">
        <f t="shared" si="1615"/>
        <v>5.7531846169752873E-5</v>
      </c>
      <c r="AT292" s="131">
        <f t="shared" si="1616"/>
        <v>1.9345337900890187E-7</v>
      </c>
      <c r="AU292" s="18">
        <v>8</v>
      </c>
      <c r="AV292" s="18">
        <f>AU292/2</f>
        <v>4</v>
      </c>
      <c r="AW292" s="18">
        <f t="shared" si="1618"/>
        <v>25.4495</v>
      </c>
      <c r="AX292" s="135">
        <f t="shared" si="1619"/>
        <v>0.106323283</v>
      </c>
      <c r="AY292" s="135">
        <f t="shared" si="1620"/>
        <v>0.10557453689846268</v>
      </c>
      <c r="AZ292" s="154">
        <f t="shared" si="1621"/>
        <v>4.1778142203186706E-3</v>
      </c>
      <c r="BA292" s="18" t="str">
        <f>Input!B292</f>
        <v>MeBo24 T06-Lf-01</v>
      </c>
      <c r="BB292" s="136">
        <f>Input!E292</f>
        <v>0</v>
      </c>
      <c r="BC292" s="18">
        <f>((U292-1)*EXP(Constants!$B$17*AW292*1000))*1000</f>
        <v>137.54212323511135</v>
      </c>
      <c r="BD292" s="132">
        <f>SQRT((EXP(Constants!$B$17*AW292*1000)*V292)^2+((U292-1)*Constants!$B$17*EXP(Constants!$B$17*AW292*1000)*AY292*1000)^2)*1000</f>
        <v>0.89873136535431075</v>
      </c>
      <c r="BE292" s="18">
        <f t="shared" si="1622"/>
        <v>25391.5</v>
      </c>
      <c r="BF292" s="137">
        <f t="shared" si="1623"/>
        <v>52.787268449231341</v>
      </c>
      <c r="BG292" s="20">
        <f t="shared" si="1624"/>
        <v>0.41483933632669673</v>
      </c>
      <c r="BH292" s="18"/>
      <c r="BI292" s="18"/>
      <c r="BJ292" s="18"/>
      <c r="BK292" s="18"/>
      <c r="BL292" s="18"/>
      <c r="BM292" s="18"/>
      <c r="BN292" s="159"/>
      <c r="BO292" s="18"/>
      <c r="BP292" s="18"/>
      <c r="BQ292" s="18"/>
      <c r="BR292" s="18"/>
      <c r="BS292" s="18"/>
      <c r="BT292" s="18"/>
      <c r="BU292" s="18"/>
      <c r="BV292" s="18"/>
      <c r="BW292" s="18"/>
      <c r="BX292" s="18"/>
      <c r="BY292" s="18"/>
      <c r="BZ292" s="18"/>
      <c r="CA292" s="18"/>
      <c r="CB292" s="18"/>
      <c r="CC292" s="18"/>
      <c r="CD292" s="18"/>
      <c r="CE292" s="18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  <c r="CT292" s="18"/>
      <c r="CU292" s="18"/>
      <c r="CV292" s="18"/>
      <c r="CW292" s="18"/>
      <c r="CX292" s="18"/>
      <c r="CY292" s="18"/>
      <c r="CZ292" s="18"/>
      <c r="DA292" s="18"/>
      <c r="DB292" s="18"/>
      <c r="DC292" s="18"/>
      <c r="DD292" s="18"/>
      <c r="DE292" s="18"/>
      <c r="DF292" s="18"/>
    </row>
    <row r="293" spans="1:110" ht="15" customHeight="1" x14ac:dyDescent="0.2">
      <c r="A293" s="138">
        <f>Input!A293</f>
        <v>10815</v>
      </c>
      <c r="B293" s="138" t="str">
        <f>Input!B293</f>
        <v>Hu1-13</v>
      </c>
      <c r="C293" s="138">
        <f>Input!O293</f>
        <v>2.0761418201232376</v>
      </c>
      <c r="D293" s="138">
        <f>C293*Input!P293/100</f>
        <v>1.2250848776228283E-2</v>
      </c>
      <c r="E293" s="139">
        <f>Input!M293</f>
        <v>2.7320747760285209</v>
      </c>
      <c r="F293" s="140">
        <f>E293*Input!N293/100</f>
        <v>2.7946294524512486E-4</v>
      </c>
      <c r="G293" s="141">
        <f t="shared" ref="G293" si="1634">E293*137.88</f>
        <v>376.69847011881245</v>
      </c>
      <c r="H293" s="140">
        <f>G293*Input!L293/100</f>
        <v>2.9973240735816566E-2</v>
      </c>
      <c r="I293" s="138">
        <v>0</v>
      </c>
      <c r="J293" s="142">
        <f>(((C293*Constants!$B$24*0.000000001*Input!G293*(Constants!$B$4/Constants!$B$3))-(I293*0.000000000000001))/Input!F293)*1000000000000</f>
        <v>749.56514101190135</v>
      </c>
      <c r="K293" s="138">
        <f>J293*Input!P293/100</f>
        <v>4.4230163380283676</v>
      </c>
      <c r="L293" s="143">
        <f>(J293/Constants!$B$4)*602200000000*Constants!$B$17/(365.2425*24*60)</f>
        <v>10.348579024968679</v>
      </c>
      <c r="M293" s="144">
        <f>L293*Input!P293/100</f>
        <v>6.1064651487157916E-2</v>
      </c>
      <c r="N293" s="138">
        <v>0</v>
      </c>
      <c r="O293" s="142">
        <f>(((G293*Constants!$B$23*0.000000001*Input!G293*(Constants!$B$7/Constants!$B$6))-(N293*0.000000001))/Input!F293)*1000000</f>
        <v>13.700225693113653</v>
      </c>
      <c r="P293" s="138">
        <f>O293*Input!N293/100</f>
        <v>1.4013911538270816E-3</v>
      </c>
      <c r="Q293" s="145">
        <f>(O293/Constants!$B$7)*602200000000000000*Constants!$B$18/(365.2425*24*60)</f>
        <v>10.222022785307674</v>
      </c>
      <c r="R293" s="146">
        <f>Q293*Input!N293/100</f>
        <v>1.0456070306016528E-3</v>
      </c>
      <c r="S293" s="144">
        <f>Input!S293*Constants!$B$17/Constants!$B$18</f>
        <v>0.99875933887032964</v>
      </c>
      <c r="T293" s="138">
        <f>S293*Input!T293/100</f>
        <v>1.158142507036165E-3</v>
      </c>
      <c r="U293" s="144">
        <f>S293</f>
        <v>0.99875933887032964</v>
      </c>
      <c r="V293" s="138">
        <f>U293*Input!T293/100</f>
        <v>1.158142507036165E-3</v>
      </c>
      <c r="W293" s="147">
        <v>0</v>
      </c>
      <c r="X293" s="142">
        <f>(((Constants!$B$25*0.000000001*Input!G293/Input!W293*(Constants!$B$11/Constants!$B$9))-(W293*0.000000001))/Input!F293)*1000000000</f>
        <v>0.98688942244338174</v>
      </c>
      <c r="Y293" s="142">
        <f>X293*Input!X293/100</f>
        <v>4.0566594833745624E-3</v>
      </c>
      <c r="Z293" s="142">
        <f>(X293/Constants!$B$11)*6.022E+23*0.000000001*Constants!$B$19/(365.2425*24*60)</f>
        <v>2.4093161290086762E-4</v>
      </c>
      <c r="AA293" s="142">
        <f>Z293*Input!X293/100</f>
        <v>9.9036172654399521E-7</v>
      </c>
      <c r="AB293" s="143">
        <v>0</v>
      </c>
      <c r="AC293" s="143">
        <v>0.9</v>
      </c>
      <c r="AD293" s="142">
        <f>(((Input!G293*Constants!$B$25*0.000000001*Input!U293*(Constants!$B$10/Constants!$B$9))-((AB293*0.000000000000001)+(Input!G293*AC293*0.000000000000001)))/Input!F293)*1000000000000</f>
        <v>223.84625036456532</v>
      </c>
      <c r="AE293" s="142">
        <f>AD293*Input!V293/100</f>
        <v>0.55838087518474633</v>
      </c>
      <c r="AF293" s="142">
        <f>(AD293/Constants!$B$10)*602200000000*Constants!$B$16/(365.2425*24*60)</f>
        <v>10.217611731135037</v>
      </c>
      <c r="AG293" s="142">
        <f>AF293*Input!V293/100</f>
        <v>2.5487668305532001E-2</v>
      </c>
      <c r="AH293" s="138">
        <f t="shared" ref="AH293" si="1635">AF293/Z293</f>
        <v>42408.763250753313</v>
      </c>
      <c r="AI293" s="147">
        <f t="shared" ref="AI293" si="1636">AH293*SQRT((AG293/AF293)^2+(AA293/Z293)^2)</f>
        <v>203.91111151800371</v>
      </c>
      <c r="AJ293" s="144">
        <f t="shared" si="1608"/>
        <v>-1.2406611296703618</v>
      </c>
      <c r="AK293" s="147">
        <f t="shared" ref="AK293" si="1637">V293*1000</f>
        <v>1.1581425070361651</v>
      </c>
      <c r="AL293" s="147">
        <f t="shared" ref="AL293" si="1638">AF293/Q293</f>
        <v>0.99956847541183558</v>
      </c>
      <c r="AM293" s="147">
        <f t="shared" ref="AM293" si="1639">AL293*SQRT((R293/Q293)^2+(AG293/AF293)^2)</f>
        <v>2.4955029786849383E-3</v>
      </c>
      <c r="AN293" s="138">
        <f>AF293/Q293</f>
        <v>0.99956847541183558</v>
      </c>
      <c r="AO293" s="142">
        <f t="shared" ref="AO293" si="1640">AN293*SQRT((R293/Q293)^2+(AG293/AF293)^2)</f>
        <v>2.4955029786849383E-3</v>
      </c>
      <c r="AP293" s="138" t="str">
        <f t="shared" ref="AP293" si="1641">ThU_Alter_Kombi(AN293,U293)</f>
        <v>Out of range</v>
      </c>
      <c r="AQ293" s="138" t="e">
        <f t="shared" si="1614"/>
        <v>#VALUE!</v>
      </c>
      <c r="AR293" s="138" t="e">
        <f>(AQ293/AP293)*100</f>
        <v>#VALUE!</v>
      </c>
      <c r="AS293" s="146">
        <f t="shared" si="1615"/>
        <v>2.3569856765254294E-5</v>
      </c>
      <c r="AT293" s="146">
        <f t="shared" si="1616"/>
        <v>9.6915095831990627E-8</v>
      </c>
      <c r="AU293" s="138">
        <v>0.75</v>
      </c>
      <c r="AV293" s="138">
        <f t="shared" ref="AV293" si="1642">AU293/2</f>
        <v>0.375</v>
      </c>
      <c r="AW293" s="138" t="str">
        <f t="shared" si="1618"/>
        <v>Out of range</v>
      </c>
      <c r="AX293" s="148">
        <f t="shared" si="1619"/>
        <v>343.74687822649997</v>
      </c>
      <c r="AY293" s="148" t="e">
        <f t="shared" si="1620"/>
        <v>#VALUE!</v>
      </c>
      <c r="AZ293" s="149" t="e">
        <f t="shared" si="1621"/>
        <v>#VALUE!</v>
      </c>
      <c r="BA293" s="138" t="str">
        <f>Input!B293</f>
        <v>Hu1-13</v>
      </c>
      <c r="BB293" s="150">
        <f>Input!E293</f>
        <v>0</v>
      </c>
      <c r="BC293" s="138" t="e">
        <f>((U293-1)*EXP(Constants!$B$17*AW293*1000))*1000</f>
        <v>#VALUE!</v>
      </c>
      <c r="BD293" s="144" t="e">
        <f>SQRT((EXP(Constants!$B$17*AW293*1000)*V293)^2+((U293-1)*Constants!$B$17*EXP(Constants!$B$17*AW293*1000)*AY293*1000)^2)*1000</f>
        <v>#VALUE!</v>
      </c>
      <c r="BE293" s="138" t="e">
        <f t="shared" si="1622"/>
        <v>#VALUE!</v>
      </c>
      <c r="BF293" s="151" t="e">
        <f t="shared" si="1623"/>
        <v>#VALUE!</v>
      </c>
      <c r="BG293" s="160" t="e">
        <f t="shared" si="1624"/>
        <v>#VALUE!</v>
      </c>
      <c r="BH293" s="138"/>
      <c r="BI293" s="18"/>
      <c r="BJ293" s="18"/>
      <c r="BK293" s="18"/>
      <c r="BL293" s="18"/>
      <c r="BM293" s="18"/>
      <c r="BN293" s="159"/>
      <c r="BO293" s="18"/>
      <c r="BP293" s="18"/>
      <c r="BQ293" s="18"/>
      <c r="BR293" s="18"/>
      <c r="BS293" s="18"/>
      <c r="BT293" s="18"/>
      <c r="BU293" s="18"/>
      <c r="BV293" s="18"/>
      <c r="BW293" s="18"/>
      <c r="BX293" s="18"/>
      <c r="BY293" s="18"/>
      <c r="BZ293" s="18"/>
      <c r="CA293" s="18"/>
      <c r="CB293" s="18"/>
      <c r="CC293" s="18"/>
      <c r="CD293" s="18"/>
      <c r="CE293" s="18"/>
      <c r="CF293" s="18"/>
      <c r="CG293" s="18"/>
      <c r="CH293" s="18"/>
      <c r="CI293" s="18"/>
      <c r="CJ293" s="18"/>
      <c r="CK293" s="18"/>
      <c r="CL293" s="18"/>
      <c r="CM293" s="18"/>
      <c r="CN293" s="18"/>
      <c r="CO293" s="18"/>
      <c r="CP293" s="18"/>
      <c r="CQ293" s="18"/>
      <c r="CR293" s="18"/>
      <c r="CS293" s="18"/>
      <c r="CT293" s="18"/>
      <c r="CU293" s="18"/>
      <c r="CV293" s="18"/>
      <c r="CW293" s="18"/>
      <c r="CX293" s="18"/>
      <c r="CY293" s="18"/>
      <c r="CZ293" s="18"/>
      <c r="DA293" s="18"/>
      <c r="DB293" s="18"/>
      <c r="DC293" s="18"/>
      <c r="DD293" s="18"/>
      <c r="DE293" s="18"/>
      <c r="DF293" s="18"/>
    </row>
    <row r="294" spans="1:110" ht="15" customHeight="1" x14ac:dyDescent="0.2">
      <c r="A294" s="18">
        <f>Input!A294</f>
        <v>11087</v>
      </c>
      <c r="B294" s="18" t="str">
        <f>Input!B294</f>
        <v>MeBo24 T06-Lf-07</v>
      </c>
      <c r="C294" s="18">
        <f>Input!O294</f>
        <v>4.5842454555112013</v>
      </c>
      <c r="D294" s="18">
        <f>C294*Input!P294/100</f>
        <v>1.8779261666465784E-2</v>
      </c>
      <c r="E294" s="152">
        <f>Input!M294</f>
        <v>5.3666997044359706</v>
      </c>
      <c r="F294" s="153">
        <f>E294*Input!N294/100</f>
        <v>6.5693960907417461E-4</v>
      </c>
      <c r="G294" s="21">
        <f>E294*137.88</f>
        <v>739.96055524763165</v>
      </c>
      <c r="H294" s="153">
        <f>G294*Input!L294/100</f>
        <v>3.8670885040723746E-2</v>
      </c>
      <c r="I294" s="18">
        <v>0.3</v>
      </c>
      <c r="J294" s="129">
        <f>(((C294*Constants!$B$24*0.000000001*Input!G294*(Constants!$B$4/Constants!$B$3))-(I294*0.000000000000001))/Input!F294)*1000000000000</f>
        <v>298.65224210935156</v>
      </c>
      <c r="K294" s="18">
        <f>J294*Input!P294/100</f>
        <v>1.2234224053395042</v>
      </c>
      <c r="L294" s="134">
        <f>(J294/Constants!$B$4)*602200000000*Constants!$B$17/(365.2425*24*60)</f>
        <v>4.1232258003359199</v>
      </c>
      <c r="M294" s="132">
        <f>L294*Input!P294/100</f>
        <v>1.6890704689763714E-2</v>
      </c>
      <c r="N294" s="18">
        <v>5.0000000000000001E-3</v>
      </c>
      <c r="O294" s="129">
        <f>(((G294*Constants!$B$23*0.000000001*Input!G294*(Constants!$B$7/Constants!$B$6))-(N294*0.000000001))/Input!F294)*1000000</f>
        <v>4.856102001093225</v>
      </c>
      <c r="P294" s="18">
        <f>O294*Input!N294/100</f>
        <v>5.9443716360458817E-4</v>
      </c>
      <c r="Q294" s="130">
        <f>(O294/Constants!$B$7)*602200000000000000*Constants!$B$18/(365.2425*24*60)</f>
        <v>3.6232385082461827</v>
      </c>
      <c r="R294" s="131">
        <f>Q294*Input!N294/100</f>
        <v>4.4352190736930789E-4</v>
      </c>
      <c r="S294" s="132">
        <f>Input!S294*Constants!$B$17/Constants!$B$18</f>
        <v>1.1242083806890943</v>
      </c>
      <c r="T294" s="18">
        <f>S294*Input!T294/100</f>
        <v>6.1928424194453375E-4</v>
      </c>
      <c r="U294" s="18">
        <f>S294*1/((U293+U295)/2)</f>
        <v>1.1269629185281811</v>
      </c>
      <c r="V294" s="18">
        <f>U294*Input!T294/100</f>
        <v>6.2080161355186939E-4</v>
      </c>
      <c r="W294" s="133">
        <v>3.0000000000000001E-3</v>
      </c>
      <c r="X294" s="129">
        <f>(((Constants!$B$25*0.000000001*Input!G294/Input!W294*(Constants!$B$11/Constants!$B$9)-(W294*0.000000001))/Input!F294)*1000000000)</f>
        <v>3.1421441600098081</v>
      </c>
      <c r="Y294" s="129">
        <f>X294*Input!X294/100</f>
        <v>5.5811911714217302E-3</v>
      </c>
      <c r="Z294" s="129">
        <f>(X294/Constants!$B$11)*6.022E+23*0.000000001*Constants!$B$19/(365.2425*24*60)</f>
        <v>7.6709897099098425E-4</v>
      </c>
      <c r="AA294" s="129">
        <f>Z294*Input!X294/100</f>
        <v>1.362549197770802E-6</v>
      </c>
      <c r="AB294" s="134">
        <v>0.05</v>
      </c>
      <c r="AC294" s="134">
        <v>0.9</v>
      </c>
      <c r="AD294" s="129">
        <f>(((Input!G294*Constants!$B$25*0.000000001*Input!U294*(Constants!$B$10/Constants!$B$9))-((AB294*0.000000000000001)+(Input!G294*AC294*0.000000000000001)))/Input!F294)*1000000000000</f>
        <v>19.103782861153711</v>
      </c>
      <c r="AE294" s="129">
        <f>AD294*Input!V294/100</f>
        <v>4.1981467240397474E-2</v>
      </c>
      <c r="AF294" s="129">
        <f>(AD294/Constants!$B$10)*602200000000*Constants!$B$16/(365.2425*24*60)</f>
        <v>0.87200493889568342</v>
      </c>
      <c r="AG294" s="129">
        <f>AF294*Input!V294/100</f>
        <v>1.9162721353033175E-3</v>
      </c>
      <c r="AH294" s="18">
        <f>AF294/Z294</f>
        <v>1136.756757435322</v>
      </c>
      <c r="AI294" s="133">
        <f>AH294*SQRT((AG294/AF294)^2+(AA294/Z294)^2)</f>
        <v>3.2120631599389844</v>
      </c>
      <c r="AJ294" s="132">
        <f t="shared" si="1608"/>
        <v>126.96291852818109</v>
      </c>
      <c r="AK294" s="133">
        <f>V294*1000</f>
        <v>0.62080161355186936</v>
      </c>
      <c r="AL294" s="133">
        <f>AF294/Q294</f>
        <v>0.24067003508355145</v>
      </c>
      <c r="AM294" s="133">
        <f>AL294*SQRT((R294/Q294)^2+(AG294/AF294)^2)</f>
        <v>5.2970368202906871E-4</v>
      </c>
      <c r="AN294" s="18">
        <f>AL294*1/((AN293+AN295)/2)</f>
        <v>0.2410619028918323</v>
      </c>
      <c r="AO294" s="129">
        <f>AN294*SQRT((R294/Q294)^2+(AG294/AF294)^2)</f>
        <v>5.3056616505834557E-4</v>
      </c>
      <c r="AP294" s="18">
        <f>ThU_Alter_Kombi(AN294,U294)</f>
        <v>26.123999999999999</v>
      </c>
      <c r="AQ294" s="18">
        <f t="shared" si="1614"/>
        <v>6.7599999999999993E-2</v>
      </c>
      <c r="AR294" s="154">
        <f>(AQ294/AP294)</f>
        <v>2.5876588577553208E-3</v>
      </c>
      <c r="AS294" s="131">
        <f t="shared" si="1615"/>
        <v>2.1171638832087158E-4</v>
      </c>
      <c r="AT294" s="131">
        <f t="shared" si="1616"/>
        <v>3.7695033809292608E-7</v>
      </c>
      <c r="AU294" s="18">
        <v>8</v>
      </c>
      <c r="AV294" s="18">
        <f>AU294/2</f>
        <v>4</v>
      </c>
      <c r="AW294" s="18">
        <f t="shared" si="1618"/>
        <v>25.961400000000001</v>
      </c>
      <c r="AX294" s="135">
        <f t="shared" si="1619"/>
        <v>0.1076715726</v>
      </c>
      <c r="AY294" s="135">
        <f t="shared" si="1620"/>
        <v>0.10538614023115572</v>
      </c>
      <c r="AZ294" s="154">
        <f t="shared" si="1621"/>
        <v>4.147371582426217E-3</v>
      </c>
      <c r="BA294" s="18" t="str">
        <f>Input!B294</f>
        <v>MeBo24 T06-Lf-07</v>
      </c>
      <c r="BB294" s="136">
        <f>Input!E294</f>
        <v>0</v>
      </c>
      <c r="BC294" s="18">
        <f>((U294-1)*EXP(Constants!$B$17*AW294*1000))*1000</f>
        <v>136.61403569874014</v>
      </c>
      <c r="BD294" s="132">
        <f>SQRT((EXP(Constants!$B$17*AW294*1000)*V294)^2+((U294-1)*Constants!$B$17*EXP(Constants!$B$17*AW294*1000)*AY294*1000)^2)*1000</f>
        <v>0.66922648988849709</v>
      </c>
      <c r="BE294" s="18">
        <f t="shared" si="1622"/>
        <v>25903.4</v>
      </c>
      <c r="BF294" s="137">
        <f t="shared" si="1623"/>
        <v>52.693070115577861</v>
      </c>
      <c r="BG294" s="20">
        <f t="shared" si="1624"/>
        <v>0.40593396439003954</v>
      </c>
      <c r="BH294" s="18"/>
      <c r="BI294" s="18"/>
      <c r="BJ294" s="18"/>
      <c r="BK294" s="18"/>
      <c r="BL294" s="18"/>
      <c r="BM294" s="18"/>
      <c r="BN294" s="159"/>
      <c r="BO294" s="18"/>
      <c r="BP294" s="18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18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  <c r="CY294" s="18"/>
      <c r="CZ294" s="18"/>
      <c r="DA294" s="18"/>
      <c r="DB294" s="18"/>
      <c r="DC294" s="18"/>
      <c r="DD294" s="18"/>
      <c r="DE294" s="18"/>
      <c r="DF294" s="18"/>
    </row>
    <row r="295" spans="1:110" ht="15" customHeight="1" x14ac:dyDescent="0.2">
      <c r="A295" s="138">
        <f>Input!A295</f>
        <v>10815</v>
      </c>
      <c r="B295" s="138" t="str">
        <f>Input!B295</f>
        <v>Hu1-13</v>
      </c>
      <c r="C295" s="138">
        <f>Input!O295</f>
        <v>2.07474349459816</v>
      </c>
      <c r="D295" s="138">
        <f>C295*Input!P295/100</f>
        <v>9.1266367053802772E-3</v>
      </c>
      <c r="E295" s="139">
        <f>Input!M295</f>
        <v>2.7323183373074738</v>
      </c>
      <c r="F295" s="140">
        <f>E295*Input!N295/100</f>
        <v>2.3337057848979117E-4</v>
      </c>
      <c r="G295" s="141">
        <f t="shared" ref="G295" si="1643">E295*137.88</f>
        <v>376.73205234795449</v>
      </c>
      <c r="H295" s="140">
        <f>G295*Input!L295/100</f>
        <v>4.4654466792857068E-2</v>
      </c>
      <c r="I295" s="138">
        <v>0</v>
      </c>
      <c r="J295" s="142">
        <f>(((C295*Constants!$B$24*0.000000001*Input!G295*(Constants!$B$4/Constants!$B$3))-(I295*0.000000000000001))/Input!F295)*1000000000000</f>
        <v>749.06029300044736</v>
      </c>
      <c r="K295" s="138">
        <f>J295*Input!P295/100</f>
        <v>3.2950584891289778</v>
      </c>
      <c r="L295" s="143">
        <f>(J295/Constants!$B$4)*602200000000*Constants!$B$17/(365.2425*24*60)</f>
        <v>10.341609037630317</v>
      </c>
      <c r="M295" s="144">
        <f>L295*Input!P295/100</f>
        <v>4.5491940994763669E-2</v>
      </c>
      <c r="N295" s="138">
        <v>0</v>
      </c>
      <c r="O295" s="142">
        <f>(((G295*Constants!$B$23*0.000000001*Input!G295*(Constants!$B$7/Constants!$B$6))-(N295*0.000000001))/Input!F295)*1000000</f>
        <v>13.701447052251055</v>
      </c>
      <c r="P295" s="138">
        <f>O295*Input!N295/100</f>
        <v>1.1702569869226952E-3</v>
      </c>
      <c r="Q295" s="145">
        <f>(O295/Constants!$B$7)*602200000000000000*Constants!$B$18/(365.2425*24*60)</f>
        <v>10.222934066713632</v>
      </c>
      <c r="R295" s="146">
        <f>Q295*Input!N295/100</f>
        <v>8.7315303068343831E-4</v>
      </c>
      <c r="S295" s="144">
        <f>Input!S295*Constants!$B$17/Constants!$B$18</f>
        <v>0.99635223437879872</v>
      </c>
      <c r="T295" s="138">
        <f>S295*Input!T295/100</f>
        <v>1.1399516501373749E-3</v>
      </c>
      <c r="U295" s="144">
        <f>S295</f>
        <v>0.99635223437879872</v>
      </c>
      <c r="V295" s="138">
        <f>U295*Input!T295/100</f>
        <v>1.1399516501373749E-3</v>
      </c>
      <c r="W295" s="147">
        <v>0</v>
      </c>
      <c r="X295" s="142">
        <f>(((Constants!$B$25*0.000000001*Input!G295/Input!W295*(Constants!$B$11/Constants!$B$9))-(W295*0.000000001))/Input!F295)*1000000000</f>
        <v>1.0007101821060371</v>
      </c>
      <c r="Y295" s="142">
        <f>X295*Input!X295/100</f>
        <v>5.1231076174626904E-3</v>
      </c>
      <c r="Z295" s="142">
        <f>(X295/Constants!$B$11)*6.022E+23*0.000000001*Constants!$B$19/(365.2425*24*60)</f>
        <v>2.4430570714213998E-4</v>
      </c>
      <c r="AA295" s="142">
        <f>Z295*Input!X295/100</f>
        <v>1.2507161929895143E-6</v>
      </c>
      <c r="AB295" s="143">
        <v>0</v>
      </c>
      <c r="AC295" s="143">
        <v>0.9</v>
      </c>
      <c r="AD295" s="142">
        <f>(((Input!G295*Constants!$B$25*0.000000001*Input!U295*(Constants!$B$10/Constants!$B$9))-((AB295*0.000000000000001)+(Input!G295*AC295*0.000000000000001)))/Input!F295)*1000000000000</f>
        <v>223.33135342707769</v>
      </c>
      <c r="AE295" s="142">
        <f>AD295*Input!V295/100</f>
        <v>0.88160261380248284</v>
      </c>
      <c r="AF295" s="142">
        <f>(AD295/Constants!$B$10)*602200000000*Constants!$B$16/(365.2425*24*60)</f>
        <v>10.194108916233153</v>
      </c>
      <c r="AG295" s="142">
        <f>AF295*Input!V295/100</f>
        <v>4.0241340626956959E-2</v>
      </c>
      <c r="AH295" s="138">
        <f t="shared" ref="AH295" si="1644">AF295/Z295</f>
        <v>41726.855403758942</v>
      </c>
      <c r="AI295" s="147">
        <f t="shared" ref="AI295" si="1645">AH295*SQRT((AG295/AF295)^2+(AA295/Z295)^2)</f>
        <v>269.74991227869322</v>
      </c>
      <c r="AJ295" s="144">
        <f t="shared" si="1608"/>
        <v>-3.6477656212012821</v>
      </c>
      <c r="AK295" s="147">
        <f t="shared" ref="AK295" si="1646">V295*1000</f>
        <v>1.1399516501373748</v>
      </c>
      <c r="AL295" s="147">
        <f t="shared" ref="AL295" si="1647">AF295/Q295</f>
        <v>0.99718034467479011</v>
      </c>
      <c r="AM295" s="147">
        <f t="shared" ref="AM295" si="1648">AL295*SQRT((R295/Q295)^2+(AG295/AF295)^2)</f>
        <v>3.9373000662811988E-3</v>
      </c>
      <c r="AN295" s="138">
        <f>AF295/Q295</f>
        <v>0.99718034467479011</v>
      </c>
      <c r="AO295" s="142">
        <f t="shared" ref="AO295" si="1649">AN295*SQRT((R295/Q295)^2+(AG295/AF295)^2)</f>
        <v>3.9373000662811988E-3</v>
      </c>
      <c r="AP295" s="138" t="str">
        <f t="shared" ref="AP295" si="1650">ThU_Alter_Kombi(AN295,U295)</f>
        <v>Out of range</v>
      </c>
      <c r="AQ295" s="138" t="e">
        <f t="shared" si="1614"/>
        <v>#VALUE!</v>
      </c>
      <c r="AR295" s="138" t="e">
        <f>(AQ295/AP295)*100</f>
        <v>#VALUE!</v>
      </c>
      <c r="AS295" s="146">
        <f t="shared" si="1615"/>
        <v>2.3897807180192151E-5</v>
      </c>
      <c r="AT295" s="146">
        <f t="shared" si="1616"/>
        <v>1.2236117697313471E-7</v>
      </c>
      <c r="AU295" s="138">
        <v>0.75</v>
      </c>
      <c r="AV295" s="138">
        <f t="shared" ref="AV295" si="1651">AU295/2</f>
        <v>0.375</v>
      </c>
      <c r="AW295" s="138" t="str">
        <f t="shared" si="1618"/>
        <v>Out of range</v>
      </c>
      <c r="AX295" s="148">
        <f t="shared" si="1619"/>
        <v>305.02047460919999</v>
      </c>
      <c r="AY295" s="148" t="e">
        <f t="shared" si="1620"/>
        <v>#VALUE!</v>
      </c>
      <c r="AZ295" s="149" t="e">
        <f t="shared" si="1621"/>
        <v>#VALUE!</v>
      </c>
      <c r="BA295" s="138" t="str">
        <f>Input!B295</f>
        <v>Hu1-13</v>
      </c>
      <c r="BB295" s="150">
        <f>Input!E295</f>
        <v>0</v>
      </c>
      <c r="BC295" s="138" t="e">
        <f>((U295-1)*EXP(Constants!$B$17*AW295*1000))*1000</f>
        <v>#VALUE!</v>
      </c>
      <c r="BD295" s="144" t="e">
        <f>SQRT((EXP(Constants!$B$17*AW295*1000)*V295)^2+((U295-1)*Constants!$B$17*EXP(Constants!$B$17*AW295*1000)*AY295*1000)^2)*1000</f>
        <v>#VALUE!</v>
      </c>
      <c r="BE295" s="138" t="e">
        <f t="shared" si="1622"/>
        <v>#VALUE!</v>
      </c>
      <c r="BF295" s="151" t="e">
        <f t="shared" si="1623"/>
        <v>#VALUE!</v>
      </c>
      <c r="BG295" s="160" t="e">
        <f t="shared" si="1624"/>
        <v>#VALUE!</v>
      </c>
      <c r="BH295" s="138"/>
      <c r="BI295" s="18"/>
      <c r="BJ295" s="18"/>
      <c r="BK295" s="18"/>
      <c r="BL295" s="18"/>
      <c r="BM295" s="18"/>
      <c r="BN295" s="159"/>
      <c r="BO295" s="18"/>
      <c r="BP295" s="18"/>
      <c r="BQ295" s="18"/>
      <c r="BR295" s="18"/>
      <c r="BS295" s="18"/>
      <c r="BT295" s="18"/>
      <c r="BU295" s="18"/>
      <c r="BV295" s="18"/>
      <c r="BW295" s="18"/>
      <c r="BX295" s="18"/>
      <c r="BY295" s="18"/>
      <c r="BZ295" s="18"/>
      <c r="CA295" s="18"/>
      <c r="CB295" s="18"/>
      <c r="CC295" s="18"/>
      <c r="CD295" s="18"/>
      <c r="CE295" s="18"/>
      <c r="CF295" s="18"/>
      <c r="CG295" s="18"/>
      <c r="CH295" s="18"/>
      <c r="CI295" s="18"/>
      <c r="CJ295" s="18"/>
      <c r="CK295" s="18"/>
      <c r="CL295" s="18"/>
      <c r="CM295" s="18"/>
      <c r="CN295" s="18"/>
      <c r="CO295" s="18"/>
      <c r="CP295" s="18"/>
      <c r="CQ295" s="18"/>
      <c r="CR295" s="18"/>
      <c r="CS295" s="18"/>
      <c r="CT295" s="18"/>
      <c r="CU295" s="18"/>
      <c r="CV295" s="18"/>
      <c r="CW295" s="18"/>
      <c r="CX295" s="18"/>
      <c r="CY295" s="18"/>
      <c r="CZ295" s="18"/>
      <c r="DA295" s="18"/>
      <c r="DB295" s="18"/>
      <c r="DC295" s="18"/>
      <c r="DD295" s="18"/>
      <c r="DE295" s="18"/>
      <c r="DF295" s="18"/>
    </row>
    <row r="296" spans="1:110" ht="15" customHeight="1" x14ac:dyDescent="0.2">
      <c r="A296" s="18">
        <f>Input!A296</f>
        <v>11088</v>
      </c>
      <c r="B296" s="18" t="str">
        <f>Input!B296</f>
        <v>MeBo24 T06-Lf-08</v>
      </c>
      <c r="C296" s="18">
        <f>Input!O296</f>
        <v>4.4026861970264646</v>
      </c>
      <c r="D296" s="18">
        <f>C296*Input!P296/100</f>
        <v>2.9279127479908372E-2</v>
      </c>
      <c r="E296" s="152">
        <f>Input!M296</f>
        <v>5.1730398077648339</v>
      </c>
      <c r="F296" s="153">
        <f>E296*Input!N296/100</f>
        <v>4.5745544039789768E-4</v>
      </c>
      <c r="G296" s="21">
        <f>E296*137.88</f>
        <v>713.25872869461523</v>
      </c>
      <c r="H296" s="153">
        <f>G296*Input!L296/100</f>
        <v>3.1910661815090877E-2</v>
      </c>
      <c r="I296" s="18">
        <v>0.3</v>
      </c>
      <c r="J296" s="129">
        <f>(((C296*Constants!$B$24*0.000000001*Input!G296*(Constants!$B$4/Constants!$B$3))-(I296*0.000000000000001))/Input!F296)*1000000000000</f>
        <v>326.51841693795927</v>
      </c>
      <c r="K296" s="18">
        <f>J296*Input!P296/100</f>
        <v>2.1714412352443473</v>
      </c>
      <c r="L296" s="134">
        <f>(J296/Constants!$B$4)*602200000000*Constants!$B$17/(365.2425*24*60)</f>
        <v>4.5079492840722866</v>
      </c>
      <c r="M296" s="132">
        <f>L296*Input!P296/100</f>
        <v>2.9979157235975221E-2</v>
      </c>
      <c r="N296" s="18">
        <v>5.0000000000000001E-3</v>
      </c>
      <c r="O296" s="129">
        <f>(((G296*Constants!$B$23*0.000000001*Input!G296*(Constants!$B$7/Constants!$B$6))-(N296*0.000000001))/Input!F296)*1000000</f>
        <v>5.3286645332195368</v>
      </c>
      <c r="P296" s="18">
        <f>O296*Input!N296/100</f>
        <v>4.7121744107162596E-4</v>
      </c>
      <c r="Q296" s="130">
        <f>(O296/Constants!$B$7)*602200000000000000*Constants!$B$18/(365.2425*24*60)</f>
        <v>3.9758272231390981</v>
      </c>
      <c r="R296" s="131">
        <f>Q296*Input!N296/100</f>
        <v>3.5158511453498709E-4</v>
      </c>
      <c r="S296" s="132">
        <f>Input!S296*Constants!$B$17/Constants!$B$18</f>
        <v>1.1243997946213133</v>
      </c>
      <c r="T296" s="18">
        <f>S296*Input!T296/100</f>
        <v>7.4905728377481205E-4</v>
      </c>
      <c r="U296" s="18">
        <f>S296*1/((U295+U297)/2)</f>
        <v>1.1278443462434529</v>
      </c>
      <c r="V296" s="18">
        <f>U296*Input!T296/100</f>
        <v>7.5135198935395242E-4</v>
      </c>
      <c r="W296" s="133">
        <v>3.0000000000000001E-3</v>
      </c>
      <c r="X296" s="129">
        <f>(((Constants!$B$25*0.000000001*Input!G296/Input!W296*(Constants!$B$11/Constants!$B$9)-(W296*0.000000001))/Input!F296)*1000000000)</f>
        <v>3.0461106478675015</v>
      </c>
      <c r="Y296" s="129">
        <f>X296*Input!X296/100</f>
        <v>6.1275398113225642E-3</v>
      </c>
      <c r="Z296" s="129">
        <f>(X296/Constants!$B$11)*6.022E+23*0.000000001*Constants!$B$19/(365.2425*24*60)</f>
        <v>7.4365408603548826E-4</v>
      </c>
      <c r="AA296" s="129">
        <f>Z296*Input!X296/100</f>
        <v>1.4959305635286817E-6</v>
      </c>
      <c r="AB296" s="134">
        <v>0.05</v>
      </c>
      <c r="AC296" s="134">
        <v>0.9</v>
      </c>
      <c r="AD296" s="129">
        <f>(((Input!G296*Constants!$B$25*0.000000001*Input!U296*(Constants!$B$10/Constants!$B$9))-((AB296*0.000000000000001)+(Input!G296*AC296*0.000000000000001)))/Input!F296)*1000000000000</f>
        <v>19.114989500678696</v>
      </c>
      <c r="AE296" s="129">
        <f>AD296*Input!V296/100</f>
        <v>4.6176615770659853E-2</v>
      </c>
      <c r="AF296" s="129">
        <f>(AD296/Constants!$B$10)*602200000000*Constants!$B$16/(365.2425*24*60)</f>
        <v>0.87251647344804073</v>
      </c>
      <c r="AG296" s="129">
        <f>AF296*Input!V296/100</f>
        <v>2.107762494274495E-3</v>
      </c>
      <c r="AH296" s="18">
        <f>AF296/Z296</f>
        <v>1173.2826993522401</v>
      </c>
      <c r="AI296" s="133">
        <f>AH296*SQRT((AG296/AF296)^2+(AA296/Z296)^2)</f>
        <v>3.688337811790368</v>
      </c>
      <c r="AJ296" s="132">
        <f t="shared" si="1608"/>
        <v>127.84434624345286</v>
      </c>
      <c r="AK296" s="133">
        <f>V296*1000</f>
        <v>0.75135198935395242</v>
      </c>
      <c r="AL296" s="133">
        <f>AF296/Q296</f>
        <v>0.21945532953998664</v>
      </c>
      <c r="AM296" s="133">
        <f>AL296*SQRT((R296/Q296)^2+(AG296/AF296)^2)</f>
        <v>5.304994710558518E-4</v>
      </c>
      <c r="AN296" s="18">
        <f>AL296*1/((AN295+AN297)/2)</f>
        <v>0.22038115901800173</v>
      </c>
      <c r="AO296" s="129">
        <f>AN296*SQRT((R296/Q296)^2+(AG296/AF296)^2)</f>
        <v>5.3273752127502155E-4</v>
      </c>
      <c r="AP296" s="18">
        <f>ThU_Alter_Kombi(AN296,U296)</f>
        <v>23.609500000000001</v>
      </c>
      <c r="AQ296" s="18">
        <f t="shared" si="1614"/>
        <v>6.6900000000000001E-2</v>
      </c>
      <c r="AR296" s="154">
        <f>(AQ296/AP296)</f>
        <v>2.8336051165844256E-3</v>
      </c>
      <c r="AS296" s="131">
        <f t="shared" si="1615"/>
        <v>1.8704386390521751E-4</v>
      </c>
      <c r="AT296" s="131">
        <f t="shared" si="1616"/>
        <v>3.7661981848926621E-7</v>
      </c>
      <c r="AU296" s="18">
        <v>8</v>
      </c>
      <c r="AV296" s="18">
        <f>AU296/2</f>
        <v>4</v>
      </c>
      <c r="AW296" s="18">
        <f t="shared" si="1618"/>
        <v>23.465800000000002</v>
      </c>
      <c r="AX296" s="135">
        <f t="shared" si="1619"/>
        <v>9.9508036899999999E-2</v>
      </c>
      <c r="AY296" s="135">
        <f t="shared" si="1620"/>
        <v>9.7649040086305969E-2</v>
      </c>
      <c r="AZ296" s="154">
        <f t="shared" si="1621"/>
        <v>4.2405559111558097E-3</v>
      </c>
      <c r="BA296" s="18" t="str">
        <f>Input!B296</f>
        <v>MeBo24 T06-Lf-08</v>
      </c>
      <c r="BB296" s="136">
        <f>Input!E296</f>
        <v>0</v>
      </c>
      <c r="BC296" s="18">
        <f>((U296-1)*EXP(Constants!$B$17*AW296*1000))*1000</f>
        <v>136.5970532112446</v>
      </c>
      <c r="BD296" s="132">
        <f>SQRT((EXP(Constants!$B$17*AW296*1000)*V296)^2+((U296-1)*Constants!$B$17*EXP(Constants!$B$17*AW296*1000)*AY296*1000)^2)*1000</f>
        <v>0.80367440718278838</v>
      </c>
      <c r="BE296" s="18">
        <f t="shared" si="1622"/>
        <v>23407.800000000003</v>
      </c>
      <c r="BF296" s="137">
        <f t="shared" si="1623"/>
        <v>48.824520043152987</v>
      </c>
      <c r="BG296" s="20">
        <f t="shared" si="1624"/>
        <v>0.41613343711403816</v>
      </c>
      <c r="BH296" s="18"/>
      <c r="BI296" s="18"/>
      <c r="BJ296" s="18"/>
      <c r="BK296" s="18"/>
      <c r="BL296" s="18"/>
      <c r="BM296" s="18"/>
      <c r="BN296" s="159"/>
      <c r="BO296" s="18"/>
      <c r="BP296" s="18"/>
      <c r="BQ296" s="18"/>
      <c r="BR296" s="18"/>
      <c r="BS296" s="18"/>
      <c r="BT296" s="18"/>
      <c r="BU296" s="18"/>
      <c r="BV296" s="18"/>
      <c r="BW296" s="18"/>
      <c r="BX296" s="18"/>
      <c r="BY296" s="18"/>
      <c r="BZ296" s="18"/>
      <c r="CA296" s="18"/>
      <c r="CB296" s="18"/>
      <c r="CC296" s="18"/>
      <c r="CD296" s="18"/>
      <c r="CE296" s="18"/>
      <c r="CF296" s="18"/>
      <c r="CG296" s="18"/>
      <c r="CH296" s="18"/>
      <c r="CI296" s="18"/>
      <c r="CJ296" s="18"/>
      <c r="CK296" s="18"/>
      <c r="CL296" s="18"/>
      <c r="CM296" s="18"/>
      <c r="CN296" s="18"/>
      <c r="CO296" s="18"/>
      <c r="CP296" s="18"/>
      <c r="CQ296" s="18"/>
      <c r="CR296" s="18"/>
      <c r="CS296" s="18"/>
      <c r="CT296" s="18"/>
      <c r="CU296" s="18"/>
      <c r="CV296" s="18"/>
      <c r="CW296" s="18"/>
      <c r="CX296" s="18"/>
      <c r="CY296" s="18"/>
      <c r="CZ296" s="18"/>
      <c r="DA296" s="18"/>
      <c r="DB296" s="18"/>
      <c r="DC296" s="18"/>
      <c r="DD296" s="18"/>
      <c r="DE296" s="18"/>
      <c r="DF296" s="18"/>
    </row>
    <row r="297" spans="1:110" ht="15" customHeight="1" x14ac:dyDescent="0.2">
      <c r="A297" s="138">
        <f>Input!A297</f>
        <v>10815</v>
      </c>
      <c r="B297" s="138" t="str">
        <f>Input!B297</f>
        <v>Hu1-13</v>
      </c>
      <c r="C297" s="138">
        <f>Input!O297</f>
        <v>2.0722014078864919</v>
      </c>
      <c r="D297" s="138">
        <f>C297*Input!P297/100</f>
        <v>8.2789270124141463E-3</v>
      </c>
      <c r="E297" s="139">
        <f>Input!M297</f>
        <v>2.7320883921189449</v>
      </c>
      <c r="F297" s="140">
        <f>E297*Input!N297/100</f>
        <v>2.6600499512831425E-4</v>
      </c>
      <c r="G297" s="141">
        <f t="shared" ref="G297" si="1652">E297*137.88</f>
        <v>376.70034750536013</v>
      </c>
      <c r="H297" s="140">
        <f>G297*Input!L297/100</f>
        <v>4.4908269173268317E-2</v>
      </c>
      <c r="I297" s="138">
        <v>0</v>
      </c>
      <c r="J297" s="142">
        <f>(((C297*Constants!$B$24*0.000000001*Input!G297*(Constants!$B$4/Constants!$B$3))-(I297*0.000000000000001))/Input!F297)*1000000000000</f>
        <v>748.14250426076353</v>
      </c>
      <c r="K297" s="138">
        <f>J297*Input!P297/100</f>
        <v>2.9890034646665367</v>
      </c>
      <c r="L297" s="143">
        <f>(J297/Constants!$B$4)*602200000000*Constants!$B$17/(365.2425*24*60)</f>
        <v>10.328937945044524</v>
      </c>
      <c r="M297" s="144">
        <f>L297*Input!P297/100</f>
        <v>4.1266511564624249E-2</v>
      </c>
      <c r="N297" s="138">
        <v>0</v>
      </c>
      <c r="O297" s="142">
        <f>(((G297*Constants!$B$23*0.000000001*Input!G297*(Constants!$B$7/Constants!$B$6))-(N297*0.000000001))/Input!F297)*1000000</f>
        <v>13.700293972178892</v>
      </c>
      <c r="P297" s="138">
        <f>O297*Input!N297/100</f>
        <v>1.3339050968623487E-3</v>
      </c>
      <c r="Q297" s="145">
        <f>(O297/Constants!$B$7)*602200000000000000*Constants!$B$18/(365.2425*24*60)</f>
        <v>10.222073729735616</v>
      </c>
      <c r="R297" s="146">
        <f>Q297*Input!N297/100</f>
        <v>9.9525428259321543E-4</v>
      </c>
      <c r="S297" s="144">
        <f>Input!S297*Constants!$B$17/Constants!$B$18</f>
        <v>0.99753956171236857</v>
      </c>
      <c r="T297" s="138">
        <f>S297*Input!T297/100</f>
        <v>1.1665440575526732E-3</v>
      </c>
      <c r="U297" s="144">
        <f>S297</f>
        <v>0.99753956171236857</v>
      </c>
      <c r="V297" s="138">
        <f>U297*Input!T297/100</f>
        <v>1.1665440575526732E-3</v>
      </c>
      <c r="W297" s="147">
        <v>0</v>
      </c>
      <c r="X297" s="142">
        <f>(((Constants!$B$25*0.000000001*Input!G297/Input!W297*(Constants!$B$11/Constants!$B$9))-(W297*0.000000001))/Input!F297)*1000000000</f>
        <v>0.99504600658935272</v>
      </c>
      <c r="Y297" s="142">
        <f>X297*Input!X297/100</f>
        <v>5.1714431966889858E-3</v>
      </c>
      <c r="Z297" s="142">
        <f>(X297/Constants!$B$11)*6.022E+23*0.000000001*Constants!$B$19/(365.2425*24*60)</f>
        <v>2.4292289878291196E-4</v>
      </c>
      <c r="AA297" s="142">
        <f>Z297*Input!X297/100</f>
        <v>1.2625164705065806E-6</v>
      </c>
      <c r="AB297" s="143">
        <v>0</v>
      </c>
      <c r="AC297" s="143">
        <v>0.9</v>
      </c>
      <c r="AD297" s="142">
        <f>(((Input!G297*Constants!$B$25*0.000000001*Input!U297*(Constants!$B$10/Constants!$B$9))-((AB297*0.000000000000001)+(Input!G297*AC297*0.000000000000001)))/Input!F297)*1000000000000</f>
        <v>222.69385397298623</v>
      </c>
      <c r="AE297" s="142">
        <f>AD297*Input!V297/100</f>
        <v>0.9691182588253352</v>
      </c>
      <c r="AF297" s="142">
        <f>(AD297/Constants!$B$10)*602200000000*Constants!$B$16/(365.2425*24*60)</f>
        <v>10.165009827505473</v>
      </c>
      <c r="AG297" s="142">
        <f>AF297*Input!V297/100</f>
        <v>4.4236050745116245E-2</v>
      </c>
      <c r="AH297" s="138">
        <f t="shared" ref="AH297" si="1653">AF297/Z297</f>
        <v>41844.592989932309</v>
      </c>
      <c r="AI297" s="147">
        <f t="shared" ref="AI297" si="1654">AH297*SQRT((AG297/AF297)^2+(AA297/Z297)^2)</f>
        <v>283.64620304669347</v>
      </c>
      <c r="AJ297" s="144">
        <f t="shared" si="1608"/>
        <v>-2.4604382876314279</v>
      </c>
      <c r="AK297" s="147">
        <f t="shared" ref="AK297" si="1655">V297*1000</f>
        <v>1.1665440575526731</v>
      </c>
      <c r="AL297" s="147">
        <f t="shared" ref="AL297" si="1656">AF297/Q297</f>
        <v>0.99441758064568198</v>
      </c>
      <c r="AM297" s="147">
        <f t="shared" ref="AM297" si="1657">AL297*SQRT((R297/Q297)^2+(AG297/AF297)^2)</f>
        <v>4.3285855540288829E-3</v>
      </c>
      <c r="AN297" s="138">
        <f>AF297/Q297</f>
        <v>0.99441758064568198</v>
      </c>
      <c r="AO297" s="142">
        <f t="shared" ref="AO297" si="1658">AN297*SQRT((R297/Q297)^2+(AG297/AF297)^2)</f>
        <v>4.3285855540288829E-3</v>
      </c>
      <c r="AP297" s="138">
        <f t="shared" ref="AP297" si="1659">ThU_Alter_Kombi(AN297,U297)</f>
        <v>673.52020000000005</v>
      </c>
      <c r="AQ297" s="138" t="e">
        <f t="shared" si="1614"/>
        <v>#VALUE!</v>
      </c>
      <c r="AR297" s="138" t="e">
        <f>(AQ297/AP297)*100</f>
        <v>#VALUE!</v>
      </c>
      <c r="AS297" s="146">
        <f t="shared" si="1615"/>
        <v>2.3764541834232587E-5</v>
      </c>
      <c r="AT297" s="146">
        <f t="shared" si="1616"/>
        <v>1.2353051136567886E-7</v>
      </c>
      <c r="AU297" s="138">
        <v>0.75</v>
      </c>
      <c r="AV297" s="138">
        <f t="shared" ref="AV297" si="1660">AU297/2</f>
        <v>0.375</v>
      </c>
      <c r="AW297" s="138">
        <f t="shared" si="1618"/>
        <v>673.51819999999998</v>
      </c>
      <c r="AX297" s="148">
        <f t="shared" si="1619"/>
        <v>308.22339660210002</v>
      </c>
      <c r="AY297" s="148">
        <f t="shared" si="1620"/>
        <v>245.68952695866997</v>
      </c>
      <c r="AZ297" s="149">
        <f t="shared" si="1621"/>
        <v>0.45763187483589907</v>
      </c>
      <c r="BA297" s="138" t="str">
        <f>Input!B297</f>
        <v>Hu1-13</v>
      </c>
      <c r="BB297" s="150">
        <f>Input!E297</f>
        <v>0</v>
      </c>
      <c r="BC297" s="138">
        <f>((U297-1)*EXP(Constants!$B$17*AW297*1000))*1000</f>
        <v>-16.461894260304689</v>
      </c>
      <c r="BD297" s="144">
        <f>SQRT((EXP(Constants!$B$17*AW297*1000)*V297)^2+((U297-1)*Constants!$B$17*EXP(Constants!$B$17*AW297*1000)*AY297*1000)^2)*1000</f>
        <v>13.827258382958572</v>
      </c>
      <c r="BE297" s="138">
        <f t="shared" si="1622"/>
        <v>673460.2</v>
      </c>
      <c r="BF297" s="151">
        <f t="shared" si="1623"/>
        <v>122844.76347933499</v>
      </c>
      <c r="BG297" s="160">
        <f t="shared" si="1624"/>
        <v>36.478528265259939</v>
      </c>
      <c r="BH297" s="138"/>
      <c r="BI297" s="18"/>
      <c r="BJ297" s="18"/>
      <c r="BK297" s="18"/>
      <c r="BL297" s="18"/>
      <c r="BM297" s="18"/>
      <c r="BN297" s="159"/>
      <c r="BO297" s="18"/>
      <c r="BP297" s="18"/>
      <c r="BQ297" s="18"/>
      <c r="BR297" s="18"/>
      <c r="BS297" s="18"/>
      <c r="BT297" s="18"/>
      <c r="BU297" s="18"/>
      <c r="BV297" s="18"/>
      <c r="BW297" s="18"/>
      <c r="BX297" s="18"/>
      <c r="BY297" s="18"/>
      <c r="BZ297" s="18"/>
      <c r="CA297" s="18"/>
      <c r="CB297" s="18"/>
      <c r="CC297" s="18"/>
      <c r="CD297" s="18"/>
      <c r="CE297" s="18"/>
      <c r="CF297" s="18"/>
      <c r="CG297" s="18"/>
      <c r="CH297" s="18"/>
      <c r="CI297" s="18"/>
      <c r="CJ297" s="18"/>
      <c r="CK297" s="18"/>
      <c r="CL297" s="18"/>
      <c r="CM297" s="18"/>
      <c r="CN297" s="18"/>
      <c r="CO297" s="18"/>
      <c r="CP297" s="18"/>
      <c r="CQ297" s="18"/>
      <c r="CR297" s="18"/>
      <c r="CS297" s="18"/>
      <c r="CT297" s="18"/>
      <c r="CU297" s="18"/>
      <c r="CV297" s="18"/>
      <c r="CW297" s="18"/>
      <c r="CX297" s="18"/>
      <c r="CY297" s="18"/>
      <c r="CZ297" s="18"/>
      <c r="DA297" s="18"/>
      <c r="DB297" s="18"/>
      <c r="DC297" s="18"/>
      <c r="DD297" s="18"/>
      <c r="DE297" s="18"/>
      <c r="DF297" s="18"/>
    </row>
    <row r="298" spans="1:110" ht="15" customHeight="1" x14ac:dyDescent="0.2">
      <c r="A298" s="18">
        <f>Input!A298</f>
        <v>11089</v>
      </c>
      <c r="B298" s="18" t="str">
        <f>Input!B298</f>
        <v>MeBo24 T06-Lf-09</v>
      </c>
      <c r="C298" s="18">
        <f>Input!O298</f>
        <v>1.9367324747347558</v>
      </c>
      <c r="D298" s="18">
        <f>C298*Input!P298/100</f>
        <v>6.5664845489184975E-3</v>
      </c>
      <c r="E298" s="152">
        <f>Input!M298</f>
        <v>2.2630531510503373</v>
      </c>
      <c r="F298" s="153">
        <f>E298*Input!N298/100</f>
        <v>1.3536433575122526E-4</v>
      </c>
      <c r="G298" s="21">
        <f>E298*137.88</f>
        <v>312.02976846682049</v>
      </c>
      <c r="H298" s="153">
        <f>G298*Input!L298/100</f>
        <v>2.5142481285325004E-2</v>
      </c>
      <c r="I298" s="18">
        <v>0.3</v>
      </c>
      <c r="J298" s="129">
        <f>(((C298*Constants!$B$24*0.000000001*Input!G298*(Constants!$B$4/Constants!$B$3))-(I298*0.000000000000001))/Input!F298)*1000000000000</f>
        <v>294.03551717947607</v>
      </c>
      <c r="K298" s="18">
        <f>J298*Input!P298/100</f>
        <v>0.99692637242359339</v>
      </c>
      <c r="L298" s="134">
        <f>(J298/Constants!$B$4)*602200000000*Constants!$B$17/(365.2425*24*60)</f>
        <v>4.0594867866607878</v>
      </c>
      <c r="M298" s="132">
        <f>L298*Input!P298/100</f>
        <v>1.3763675473453087E-2</v>
      </c>
      <c r="N298" s="18">
        <v>5.0000000000000001E-3</v>
      </c>
      <c r="O298" s="129">
        <f>(((G298*Constants!$B$23*0.000000001*Input!G298*(Constants!$B$7/Constants!$B$6))-(N298*0.000000001))/Input!F298)*1000000</f>
        <v>4.7720747572440017</v>
      </c>
      <c r="P298" s="18">
        <f>O298*Input!N298/100</f>
        <v>2.8544125416131487E-4</v>
      </c>
      <c r="Q298" s="130">
        <f>(O298/Constants!$B$7)*602200000000000000*Constants!$B$18/(365.2425*24*60)</f>
        <v>3.5605440373335537</v>
      </c>
      <c r="R298" s="131">
        <f>Q298*Input!N298/100</f>
        <v>2.1297364505245851E-4</v>
      </c>
      <c r="S298" s="132">
        <f>Input!S298*Constants!$B$17/Constants!$B$18</f>
        <v>1.1236531764828885</v>
      </c>
      <c r="T298" s="18">
        <f>S298*Input!T298/100</f>
        <v>9.2055181180576815E-4</v>
      </c>
      <c r="U298" s="18">
        <f>S298*1/((U297+U299)/2)</f>
        <v>1.1264246748810989</v>
      </c>
      <c r="V298" s="18">
        <f>U298*Input!T298/100</f>
        <v>9.2282235927120145E-4</v>
      </c>
      <c r="W298" s="133">
        <v>3.0000000000000001E-3</v>
      </c>
      <c r="X298" s="129">
        <f>(((Constants!$B$25*0.000000001*Input!G298/Input!W298*(Constants!$B$11/Constants!$B$9)-(W298*0.000000001))/Input!F298)*1000000000)</f>
        <v>6.2046132847143509</v>
      </c>
      <c r="Y298" s="129">
        <f>X298*Input!X298/100</f>
        <v>1.3680328762935377E-2</v>
      </c>
      <c r="Z298" s="129">
        <f>(X298/Constants!$B$11)*6.022E+23*0.000000001*Constants!$B$19/(365.2425*24*60)</f>
        <v>1.5147466900711877E-3</v>
      </c>
      <c r="AA298" s="129">
        <f>Z298*Input!X298/100</f>
        <v>3.3398105186979497E-6</v>
      </c>
      <c r="AB298" s="134">
        <v>0.05</v>
      </c>
      <c r="AC298" s="134">
        <v>0.9</v>
      </c>
      <c r="AD298" s="129">
        <f>(((Input!G298*Constants!$B$25*0.000000001*Input!U298*(Constants!$B$10/Constants!$B$9))-((AB298*0.000000000000001)+(Input!G298*AC298*0.000000000000001)))/Input!F298)*1000000000000</f>
        <v>18.337062105094468</v>
      </c>
      <c r="AE298" s="129">
        <f>AD298*Input!V298/100</f>
        <v>5.8615878400750256E-2</v>
      </c>
      <c r="AF298" s="129">
        <f>(AD298/Constants!$B$10)*602200000000*Constants!$B$16/(365.2425*24*60)</f>
        <v>0.83700745745984617</v>
      </c>
      <c r="AG298" s="129">
        <f>AF298*Input!V298/100</f>
        <v>2.6755609522289246E-3</v>
      </c>
      <c r="AH298" s="18">
        <f>AF298/Z298</f>
        <v>552.57256077615841</v>
      </c>
      <c r="AI298" s="133">
        <f>AH298*SQRT((AG298/AF298)^2+(AA298/Z298)^2)</f>
        <v>2.1457714173320515</v>
      </c>
      <c r="AJ298" s="132">
        <f t="shared" si="1608"/>
        <v>126.42467488109888</v>
      </c>
      <c r="AK298" s="133">
        <f>V298*1000</f>
        <v>0.92282235927120149</v>
      </c>
      <c r="AL298" s="133">
        <f>AF298/Q298</f>
        <v>0.23507852976498234</v>
      </c>
      <c r="AM298" s="133">
        <f>AL298*SQRT((R298/Q298)^2+(AG298/AF298)^2)</f>
        <v>7.5157877570199876E-4</v>
      </c>
      <c r="AN298" s="18">
        <f>AL298*1/((AN297+AN299)/2)</f>
        <v>0.23639820367248965</v>
      </c>
      <c r="AO298" s="129">
        <f>AN298*SQRT((R298/Q298)^2+(AG298/AF298)^2)</f>
        <v>7.5579795684424002E-4</v>
      </c>
      <c r="AP298" s="18">
        <f>ThU_Alter_Kombi(AN298,U298)</f>
        <v>25.571000000000002</v>
      </c>
      <c r="AQ298" s="18">
        <f t="shared" si="1614"/>
        <v>9.5799999999999996E-2</v>
      </c>
      <c r="AR298" s="154">
        <f>(AQ298/AP298)</f>
        <v>3.7464315044386217E-3</v>
      </c>
      <c r="AS298" s="131">
        <f t="shared" si="1615"/>
        <v>4.2542562995669678E-4</v>
      </c>
      <c r="AT298" s="131">
        <f t="shared" si="1616"/>
        <v>9.383507813385208E-7</v>
      </c>
      <c r="AU298" s="18">
        <v>8</v>
      </c>
      <c r="AV298" s="18">
        <f>AU298/2</f>
        <v>4</v>
      </c>
      <c r="AW298" s="18">
        <f t="shared" si="1618"/>
        <v>25.2438</v>
      </c>
      <c r="AX298" s="135">
        <f t="shared" si="1619"/>
        <v>0.19476940340000001</v>
      </c>
      <c r="AY298" s="135">
        <f t="shared" si="1620"/>
        <v>0.18956510214376268</v>
      </c>
      <c r="AZ298" s="154">
        <f t="shared" si="1621"/>
        <v>7.7155342460326895E-3</v>
      </c>
      <c r="BA298" s="18" t="str">
        <f>Input!B298</f>
        <v>MeBo24 T06-Lf-09</v>
      </c>
      <c r="BB298" s="136">
        <f>Input!E298</f>
        <v>0</v>
      </c>
      <c r="BC298" s="18">
        <f>((U298-1)*EXP(Constants!$B$17*AW298*1000))*1000</f>
        <v>135.75967046067512</v>
      </c>
      <c r="BD298" s="132">
        <f>SQRT((EXP(Constants!$B$17*AW298*1000)*V298)^2+((U298-1)*Constants!$B$17*EXP(Constants!$B$17*AW298*1000)*AY298*1000)^2)*1000</f>
        <v>0.99361988158452852</v>
      </c>
      <c r="BE298" s="18">
        <f t="shared" si="1622"/>
        <v>25185.8</v>
      </c>
      <c r="BF298" s="137">
        <f t="shared" si="1623"/>
        <v>94.782551071881343</v>
      </c>
      <c r="BG298" s="20">
        <f t="shared" si="1624"/>
        <v>0.750937268334255</v>
      </c>
      <c r="BH298" s="18"/>
      <c r="BI298" s="18"/>
      <c r="BJ298" s="18"/>
      <c r="BK298" s="18"/>
      <c r="BL298" s="18"/>
      <c r="BM298" s="18"/>
      <c r="BN298" s="159"/>
      <c r="BO298" s="18"/>
      <c r="BP298" s="18"/>
      <c r="BQ298" s="18"/>
      <c r="BR298" s="18"/>
      <c r="BS298" s="18"/>
      <c r="BT298" s="18"/>
      <c r="BU298" s="18"/>
      <c r="BV298" s="18"/>
      <c r="BW298" s="18"/>
      <c r="BX298" s="18"/>
      <c r="BY298" s="18"/>
      <c r="BZ298" s="18"/>
      <c r="CA298" s="18"/>
      <c r="CB298" s="18"/>
      <c r="CC298" s="18"/>
      <c r="CD298" s="18"/>
      <c r="CE298" s="18"/>
      <c r="CF298" s="18"/>
      <c r="CG298" s="18"/>
      <c r="CH298" s="18"/>
      <c r="CI298" s="18"/>
      <c r="CJ298" s="18"/>
      <c r="CK298" s="18"/>
      <c r="CL298" s="18"/>
      <c r="CM298" s="18"/>
      <c r="CN298" s="18"/>
      <c r="CO298" s="18"/>
      <c r="CP298" s="18"/>
      <c r="CQ298" s="18"/>
      <c r="CR298" s="18"/>
      <c r="CS298" s="18"/>
      <c r="CT298" s="18"/>
      <c r="CU298" s="18"/>
      <c r="CV298" s="18"/>
      <c r="CW298" s="18"/>
      <c r="CX298" s="18"/>
      <c r="CY298" s="18"/>
      <c r="CZ298" s="18"/>
      <c r="DA298" s="18"/>
      <c r="DB298" s="18"/>
      <c r="DC298" s="18"/>
      <c r="DD298" s="18"/>
      <c r="DE298" s="18"/>
      <c r="DF298" s="18"/>
    </row>
    <row r="299" spans="1:110" ht="15" customHeight="1" x14ac:dyDescent="0.2">
      <c r="A299" s="138">
        <f>Input!A299</f>
        <v>10815</v>
      </c>
      <c r="B299" s="138" t="str">
        <f>Input!B299</f>
        <v>Hu1-13</v>
      </c>
      <c r="C299" s="138">
        <f>Input!O299</f>
        <v>2.0722014078864919</v>
      </c>
      <c r="D299" s="138">
        <f>C299*Input!P299/100</f>
        <v>8.2789270124141463E-3</v>
      </c>
      <c r="E299" s="139">
        <f>Input!M299</f>
        <v>2.7320883921189449</v>
      </c>
      <c r="F299" s="140">
        <f>E299*Input!N299/100</f>
        <v>2.6600499512831425E-4</v>
      </c>
      <c r="G299" s="141">
        <f t="shared" ref="G299" si="1661">E299*137.88</f>
        <v>376.70034750536013</v>
      </c>
      <c r="H299" s="140">
        <f>G299*Input!L299/100</f>
        <v>4.4908269173268317E-2</v>
      </c>
      <c r="I299" s="138">
        <v>0</v>
      </c>
      <c r="J299" s="142">
        <f>(((C299*Constants!$B$24*0.000000001*Input!G299*(Constants!$B$4/Constants!$B$3))-(I299*0.000000000000001))/Input!F299)*1000000000000</f>
        <v>748.14250426076353</v>
      </c>
      <c r="K299" s="138">
        <f>J299*Input!P299/100</f>
        <v>2.9890034646665367</v>
      </c>
      <c r="L299" s="143">
        <f>(J299/Constants!$B$4)*602200000000*Constants!$B$17/(365.2425*24*60)</f>
        <v>10.328937945044524</v>
      </c>
      <c r="M299" s="144">
        <f>L299*Input!P299/100</f>
        <v>4.1266511564624249E-2</v>
      </c>
      <c r="N299" s="138">
        <v>0</v>
      </c>
      <c r="O299" s="142">
        <f>(((G299*Constants!$B$23*0.000000001*Input!G299*(Constants!$B$7/Constants!$B$6))-(N299*0.000000001))/Input!F299)*1000000</f>
        <v>13.700293972178892</v>
      </c>
      <c r="P299" s="138">
        <f>O299*Input!N299/100</f>
        <v>1.3339050968623487E-3</v>
      </c>
      <c r="Q299" s="145">
        <f>(O299/Constants!$B$7)*602200000000000000*Constants!$B$18/(365.2425*24*60)</f>
        <v>10.222073729735616</v>
      </c>
      <c r="R299" s="146">
        <f>Q299*Input!N299/100</f>
        <v>9.9525428259321543E-4</v>
      </c>
      <c r="S299" s="144">
        <f>Input!S299*Constants!$B$17/Constants!$B$18</f>
        <v>0.99753956171236857</v>
      </c>
      <c r="T299" s="138">
        <f>S299*Input!T299/100</f>
        <v>1.1665440575526732E-3</v>
      </c>
      <c r="U299" s="144">
        <f>S299</f>
        <v>0.99753956171236857</v>
      </c>
      <c r="V299" s="138">
        <f>U299*Input!T299/100</f>
        <v>1.1665440575526732E-3</v>
      </c>
      <c r="W299" s="147">
        <v>0</v>
      </c>
      <c r="X299" s="142">
        <f>(((Constants!$B$25*0.000000001*Input!G299/Input!W299*(Constants!$B$11/Constants!$B$9))-(W299*0.000000001))/Input!F299)*1000000000</f>
        <v>0.99504600658935272</v>
      </c>
      <c r="Y299" s="142">
        <f>X299*Input!X299/100</f>
        <v>5.1714431966889858E-3</v>
      </c>
      <c r="Z299" s="142">
        <f>(X299/Constants!$B$11)*6.022E+23*0.000000001*Constants!$B$19/(365.2425*24*60)</f>
        <v>2.4292289878291196E-4</v>
      </c>
      <c r="AA299" s="142">
        <f>Z299*Input!X299/100</f>
        <v>1.2625164705065806E-6</v>
      </c>
      <c r="AB299" s="143">
        <v>0</v>
      </c>
      <c r="AC299" s="143">
        <v>0.9</v>
      </c>
      <c r="AD299" s="142">
        <f>(((Input!G299*Constants!$B$25*0.000000001*Input!U299*(Constants!$B$10/Constants!$B$9))-((AB299*0.000000000000001)+(Input!G299*AC299*0.000000000000001)))/Input!F299)*1000000000000</f>
        <v>222.69385397298623</v>
      </c>
      <c r="AE299" s="142">
        <f>AD299*Input!V299/100</f>
        <v>0.9691182588253352</v>
      </c>
      <c r="AF299" s="142">
        <f>(AD299/Constants!$B$10)*602200000000*Constants!$B$16/(365.2425*24*60)</f>
        <v>10.165009827505473</v>
      </c>
      <c r="AG299" s="142">
        <f>AF299*Input!V299/100</f>
        <v>4.4236050745116245E-2</v>
      </c>
      <c r="AH299" s="138">
        <f t="shared" ref="AH299" si="1662">AF299/Z299</f>
        <v>41844.592989932309</v>
      </c>
      <c r="AI299" s="147">
        <f t="shared" ref="AI299" si="1663">AH299*SQRT((AG299/AF299)^2+(AA299/Z299)^2)</f>
        <v>283.64620304669347</v>
      </c>
      <c r="AJ299" s="144">
        <f t="shared" si="1608"/>
        <v>-2.4604382876314279</v>
      </c>
      <c r="AK299" s="147">
        <f t="shared" ref="AK299" si="1664">V299*1000</f>
        <v>1.1665440575526731</v>
      </c>
      <c r="AL299" s="147">
        <f t="shared" ref="AL299" si="1665">AF299/Q299</f>
        <v>0.99441758064568198</v>
      </c>
      <c r="AM299" s="147">
        <f t="shared" ref="AM299" si="1666">AL299*SQRT((R299/Q299)^2+(AG299/AF299)^2)</f>
        <v>4.3285855540288829E-3</v>
      </c>
      <c r="AN299" s="138">
        <f>AF299/Q299</f>
        <v>0.99441758064568198</v>
      </c>
      <c r="AO299" s="142">
        <f t="shared" ref="AO299" si="1667">AN299*SQRT((R299/Q299)^2+(AG299/AF299)^2)</f>
        <v>4.3285855540288829E-3</v>
      </c>
      <c r="AP299" s="138">
        <f t="shared" ref="AP299" si="1668">ThU_Alter_Kombi(AN299,U299)</f>
        <v>673.52020000000005</v>
      </c>
      <c r="AQ299" s="138" t="e">
        <f t="shared" si="1614"/>
        <v>#VALUE!</v>
      </c>
      <c r="AR299" s="138" t="e">
        <f>(AQ299/AP299)*100</f>
        <v>#VALUE!</v>
      </c>
      <c r="AS299" s="146">
        <f t="shared" si="1615"/>
        <v>2.3764541834232587E-5</v>
      </c>
      <c r="AT299" s="146">
        <f t="shared" si="1616"/>
        <v>1.2353051136567886E-7</v>
      </c>
      <c r="AU299" s="138">
        <v>0.75</v>
      </c>
      <c r="AV299" s="138">
        <f t="shared" ref="AV299" si="1669">AU299/2</f>
        <v>0.375</v>
      </c>
      <c r="AW299" s="138">
        <f t="shared" si="1618"/>
        <v>673.51819999999998</v>
      </c>
      <c r="AX299" s="148">
        <f t="shared" si="1619"/>
        <v>307.155259027</v>
      </c>
      <c r="AY299" s="148">
        <f t="shared" si="1620"/>
        <v>245.68952695866997</v>
      </c>
      <c r="AZ299" s="149">
        <f t="shared" si="1621"/>
        <v>0.45604596732055647</v>
      </c>
      <c r="BA299" s="138" t="str">
        <f>Input!B299</f>
        <v>Hu1-13</v>
      </c>
      <c r="BB299" s="150">
        <f>Input!E299</f>
        <v>0</v>
      </c>
      <c r="BC299" s="138">
        <f>((U299-1)*EXP(Constants!$B$17*AW299*1000))*1000</f>
        <v>-16.461894260304689</v>
      </c>
      <c r="BD299" s="144">
        <f>SQRT((EXP(Constants!$B$17*AW299*1000)*V299)^2+((U299-1)*Constants!$B$17*EXP(Constants!$B$17*AW299*1000)*AY299*1000)^2)*1000</f>
        <v>13.827258382958572</v>
      </c>
      <c r="BE299" s="138">
        <f t="shared" si="1622"/>
        <v>673460.2</v>
      </c>
      <c r="BF299" s="151">
        <f t="shared" si="1623"/>
        <v>122844.76347933499</v>
      </c>
      <c r="BG299" s="160">
        <f t="shared" si="1624"/>
        <v>36.478528265259939</v>
      </c>
      <c r="BH299" s="138"/>
      <c r="BI299" s="18"/>
      <c r="BJ299" s="18"/>
      <c r="BK299" s="18"/>
      <c r="BL299" s="18"/>
      <c r="BM299" s="18"/>
      <c r="BN299" s="159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B386"/>
  <sheetViews>
    <sheetView tabSelected="1" zoomScale="95" zoomScaleNormal="95" workbookViewId="0">
      <pane ySplit="3" topLeftCell="A271" activePane="bottomLeft" state="frozenSplit"/>
      <selection pane="bottomLeft" activeCell="A289" sqref="A289:XFD299"/>
    </sheetView>
  </sheetViews>
  <sheetFormatPr baseColWidth="10" defaultRowHeight="14.25" x14ac:dyDescent="0.2"/>
  <cols>
    <col min="1" max="1" width="23.85546875" style="17" bestFit="1" customWidth="1"/>
    <col min="2" max="2" width="42.28515625" style="17" bestFit="1" customWidth="1"/>
    <col min="3" max="3" width="12.140625" style="76" bestFit="1" customWidth="1"/>
    <col min="4" max="6" width="11.5703125" style="76" bestFit="1" customWidth="1"/>
    <col min="7" max="7" width="12.85546875" style="76" bestFit="1" customWidth="1"/>
    <col min="8" max="8" width="11.5703125" style="76" bestFit="1" customWidth="1"/>
    <col min="9" max="9" width="14" style="75" bestFit="1" customWidth="1"/>
    <col min="10" max="10" width="11.5703125" style="75" bestFit="1" customWidth="1"/>
    <col min="11" max="12" width="11.5703125" style="73" bestFit="1" customWidth="1"/>
    <col min="13" max="13" width="14.28515625" style="73" bestFit="1" customWidth="1"/>
    <col min="14" max="14" width="11.5703125" style="73" bestFit="1" customWidth="1"/>
    <col min="15" max="15" width="14.5703125" style="78" bestFit="1" customWidth="1"/>
    <col min="16" max="16" width="11.5703125" style="78" bestFit="1" customWidth="1"/>
    <col min="17" max="17" width="14.5703125" style="179" bestFit="1" customWidth="1"/>
    <col min="18" max="18" width="13.7109375" style="78" bestFit="1" customWidth="1"/>
    <col min="19" max="19" width="11.5703125" style="73" bestFit="1" customWidth="1"/>
    <col min="20" max="20" width="11.42578125" style="17"/>
    <col min="21" max="21" width="11.5703125" style="68" bestFit="1" customWidth="1"/>
    <col min="22" max="22" width="11.42578125" style="68"/>
    <col min="23" max="23" width="11.5703125" style="68" bestFit="1" customWidth="1"/>
    <col min="24" max="24" width="14.28515625" style="68" bestFit="1" customWidth="1"/>
    <col min="25" max="28" width="11.5703125" style="68" bestFit="1" customWidth="1"/>
    <col min="29" max="16384" width="11.42578125" style="68"/>
  </cols>
  <sheetData>
    <row r="1" spans="1:28" ht="17.25" x14ac:dyDescent="0.25">
      <c r="A1" s="161" t="s">
        <v>65</v>
      </c>
      <c r="B1" s="161" t="s">
        <v>0</v>
      </c>
      <c r="C1" s="162" t="s">
        <v>120</v>
      </c>
      <c r="D1" s="162" t="s">
        <v>109</v>
      </c>
      <c r="E1" s="163" t="s">
        <v>121</v>
      </c>
      <c r="F1" s="162" t="s">
        <v>109</v>
      </c>
      <c r="G1" s="164" t="s">
        <v>122</v>
      </c>
      <c r="H1" s="162" t="s">
        <v>109</v>
      </c>
      <c r="I1" s="165" t="s">
        <v>123</v>
      </c>
      <c r="J1" s="162" t="s">
        <v>109</v>
      </c>
      <c r="K1" s="22" t="s">
        <v>117</v>
      </c>
      <c r="L1" s="22" t="s">
        <v>49</v>
      </c>
      <c r="M1" s="23" t="s">
        <v>113</v>
      </c>
      <c r="N1" s="24" t="s">
        <v>4</v>
      </c>
      <c r="O1" s="23" t="s">
        <v>114</v>
      </c>
      <c r="P1" s="24" t="s">
        <v>4</v>
      </c>
      <c r="Q1" s="22" t="s">
        <v>118</v>
      </c>
      <c r="R1" s="22" t="s">
        <v>49</v>
      </c>
      <c r="S1" s="180" t="s">
        <v>2</v>
      </c>
      <c r="T1" s="25"/>
      <c r="U1" s="36" t="s">
        <v>82</v>
      </c>
      <c r="W1" s="164" t="s">
        <v>124</v>
      </c>
      <c r="X1" s="162" t="s">
        <v>109</v>
      </c>
      <c r="Y1" s="164" t="s">
        <v>122</v>
      </c>
      <c r="Z1" s="162" t="s">
        <v>109</v>
      </c>
      <c r="AA1" s="164" t="s">
        <v>125</v>
      </c>
      <c r="AB1" s="162" t="s">
        <v>109</v>
      </c>
    </row>
    <row r="2" spans="1:28" ht="18.75" thickBot="1" x14ac:dyDescent="0.35">
      <c r="A2" s="166"/>
      <c r="B2" s="166"/>
      <c r="C2" s="167" t="s">
        <v>35</v>
      </c>
      <c r="D2" s="167" t="s">
        <v>33</v>
      </c>
      <c r="E2" s="168" t="s">
        <v>36</v>
      </c>
      <c r="F2" s="168" t="s">
        <v>37</v>
      </c>
      <c r="G2" s="169" t="s">
        <v>76</v>
      </c>
      <c r="H2" s="169" t="s">
        <v>77</v>
      </c>
      <c r="I2" s="170" t="s">
        <v>76</v>
      </c>
      <c r="J2" s="170" t="s">
        <v>37</v>
      </c>
      <c r="K2" s="26" t="s">
        <v>115</v>
      </c>
      <c r="L2" s="26" t="s">
        <v>116</v>
      </c>
      <c r="M2" s="27" t="s">
        <v>39</v>
      </c>
      <c r="N2" s="28" t="s">
        <v>39</v>
      </c>
      <c r="O2" s="27" t="s">
        <v>78</v>
      </c>
      <c r="P2" s="28" t="s">
        <v>39</v>
      </c>
      <c r="Q2" s="26" t="s">
        <v>115</v>
      </c>
      <c r="R2" s="26" t="s">
        <v>116</v>
      </c>
      <c r="S2" s="181" t="s">
        <v>12</v>
      </c>
      <c r="T2" s="29"/>
      <c r="U2" s="53" t="s">
        <v>14</v>
      </c>
      <c r="W2" s="169" t="s">
        <v>76</v>
      </c>
      <c r="X2" s="169" t="s">
        <v>77</v>
      </c>
      <c r="Y2" s="169" t="s">
        <v>76</v>
      </c>
      <c r="Z2" s="169" t="s">
        <v>77</v>
      </c>
      <c r="AA2" s="169" t="s">
        <v>76</v>
      </c>
      <c r="AB2" s="169" t="s">
        <v>77</v>
      </c>
    </row>
    <row r="7" spans="1:28" x14ac:dyDescent="0.2">
      <c r="A7" s="13">
        <f>Input!A7</f>
        <v>10815</v>
      </c>
      <c r="B7" s="13" t="str">
        <f>Input!B7</f>
        <v>Hu1-13</v>
      </c>
      <c r="C7" s="171">
        <f>Calc!O7</f>
        <v>13.702861900025455</v>
      </c>
      <c r="D7" s="171">
        <f>Calc!P7</f>
        <v>9.7819057911655537E-4</v>
      </c>
      <c r="E7" s="171">
        <f>Calc!X7</f>
        <v>0.89229610430290107</v>
      </c>
      <c r="F7" s="171">
        <f>Calc!Y7</f>
        <v>5.0855753775715263E-3</v>
      </c>
      <c r="G7" s="171">
        <f>Calc!AN7</f>
        <v>0.99446189820055109</v>
      </c>
      <c r="H7" s="172">
        <f>Calc!AO7</f>
        <v>2.7501623590841409E-3</v>
      </c>
      <c r="I7" s="15">
        <f>Calc!AH7</f>
        <v>46673.91827400303</v>
      </c>
      <c r="J7" s="15">
        <f>Calc!AI7</f>
        <v>295.65717044756207</v>
      </c>
      <c r="K7" s="15">
        <f>Calc!AJ7</f>
        <v>-0.17222370134106768</v>
      </c>
      <c r="L7" s="15">
        <f>Calc!AK7</f>
        <v>0.98937845435632243</v>
      </c>
      <c r="M7" s="173">
        <f>Calc!AP7</f>
        <v>571.48569999999995</v>
      </c>
      <c r="N7" s="173" t="e">
        <f>Calc!AQ7</f>
        <v>#VALUE!</v>
      </c>
      <c r="O7" s="173">
        <f>Calc!AW7</f>
        <v>571.48389999999995</v>
      </c>
      <c r="P7" s="173">
        <f>Calc!AX7</f>
        <v>151.35194514119999</v>
      </c>
      <c r="Q7" s="174">
        <f>Calc!BC7</f>
        <v>-0.86398557737022996</v>
      </c>
      <c r="R7" s="173">
        <f>Calc!BD7</f>
        <v>4.9657507541367227</v>
      </c>
      <c r="S7" s="15">
        <f>Input!E7</f>
        <v>0</v>
      </c>
      <c r="T7" s="68"/>
      <c r="U7" s="68">
        <f>Input!K7</f>
        <v>7.1451118307029431E-3</v>
      </c>
      <c r="W7" s="68">
        <f>Calc!AS7</f>
        <v>2.1306586954248875E-5</v>
      </c>
      <c r="X7" s="68">
        <f>Calc!AT7</f>
        <v>1.2144483484556861E-7</v>
      </c>
      <c r="Y7" s="68">
        <f>Calc!AN7</f>
        <v>0.99446189820055109</v>
      </c>
      <c r="Z7" s="68">
        <f>Calc!AO7</f>
        <v>2.7501623590841409E-3</v>
      </c>
      <c r="AA7" s="68">
        <f t="shared" ref="AA7:AA21" si="0">1+K7/1000</f>
        <v>0.99982777629865893</v>
      </c>
      <c r="AB7" s="68">
        <f t="shared" ref="AB7:AB21" si="1">J7/1000</f>
        <v>0.29565717044756207</v>
      </c>
    </row>
    <row r="8" spans="1:28" x14ac:dyDescent="0.2">
      <c r="A8" s="68">
        <f>Input!A8</f>
        <v>10919</v>
      </c>
      <c r="B8" s="68" t="str">
        <f>Input!B8</f>
        <v>SO236_7_1</v>
      </c>
      <c r="C8" s="175">
        <f>Calc!O8</f>
        <v>3.8147254189337043</v>
      </c>
      <c r="D8" s="175">
        <f>Calc!P8</f>
        <v>1.7364668324675343E-4</v>
      </c>
      <c r="E8" s="175">
        <f>Calc!X8</f>
        <v>0.58122792514230925</v>
      </c>
      <c r="F8" s="175">
        <f>Calc!Y8</f>
        <v>8.5350946863662139E-4</v>
      </c>
      <c r="G8" s="175">
        <f>Calc!AN8</f>
        <v>0.20340381245177225</v>
      </c>
      <c r="H8" s="71">
        <f>Calc!AO8</f>
        <v>4.7991479742083765E-4</v>
      </c>
      <c r="I8" s="70">
        <f>Calc!AH8</f>
        <v>4067.1632348477315</v>
      </c>
      <c r="J8" s="70">
        <f>Calc!AI8</f>
        <v>11.301414788374437</v>
      </c>
      <c r="K8" s="70">
        <f>Calc!AJ8</f>
        <v>138.45634292234044</v>
      </c>
      <c r="L8" s="70">
        <f>Calc!AK8</f>
        <v>0.64086369740470472</v>
      </c>
      <c r="M8" s="176">
        <f>Calc!AP8</f>
        <v>21.377400000000002</v>
      </c>
      <c r="N8" s="176">
        <f>Calc!AQ8</f>
        <v>5.9700000000000003E-2</v>
      </c>
      <c r="O8" s="176">
        <f>Calc!AW8</f>
        <v>21.339500000000001</v>
      </c>
      <c r="P8" s="176">
        <f>Calc!AY8</f>
        <v>6.0267997113946759E-2</v>
      </c>
      <c r="Q8" s="177">
        <f>Calc!BC8</f>
        <v>147.05055096062623</v>
      </c>
      <c r="R8" s="176">
        <f>Calc!BD8</f>
        <v>0.68110248809862017</v>
      </c>
      <c r="S8" s="70">
        <f>Input!E8</f>
        <v>0</v>
      </c>
      <c r="T8" s="68"/>
      <c r="U8" s="68">
        <f>Input!K8</f>
        <v>7.1418199923043296E-3</v>
      </c>
      <c r="W8" s="68">
        <f>Calc!AS8</f>
        <v>4.9853925386868484E-5</v>
      </c>
      <c r="X8" s="68">
        <f>Calc!AT8</f>
        <v>7.3243618136125468E-8</v>
      </c>
      <c r="Y8" s="68">
        <f>Calc!AN8</f>
        <v>0.20340381245177225</v>
      </c>
      <c r="Z8" s="68">
        <f>Calc!AO8</f>
        <v>4.7991479742083765E-4</v>
      </c>
      <c r="AA8" s="68">
        <f t="shared" si="0"/>
        <v>1.1384563429223404</v>
      </c>
      <c r="AB8" s="68">
        <f t="shared" si="1"/>
        <v>1.1301414788374438E-2</v>
      </c>
    </row>
    <row r="9" spans="1:28" x14ac:dyDescent="0.2">
      <c r="A9" s="13">
        <f>Input!A9</f>
        <v>10815</v>
      </c>
      <c r="B9" s="13" t="str">
        <f>Input!B9</f>
        <v>Hu1-13</v>
      </c>
      <c r="C9" s="171">
        <f>Calc!O9</f>
        <v>13.700380749040338</v>
      </c>
      <c r="D9" s="171">
        <f>Calc!P9</f>
        <v>1.2947057341594326E-3</v>
      </c>
      <c r="E9" s="171">
        <f>Calc!X9</f>
        <v>0.88429858064144207</v>
      </c>
      <c r="F9" s="171">
        <f>Calc!Y9</f>
        <v>2.9087921548889462E-3</v>
      </c>
      <c r="G9" s="171">
        <f>Calc!AN9</f>
        <v>0.99924756085287259</v>
      </c>
      <c r="H9" s="172">
        <f>Calc!AO9</f>
        <v>2.2611832835853639E-3</v>
      </c>
      <c r="I9" s="15">
        <f>Calc!AH9</f>
        <v>47314.105615742403</v>
      </c>
      <c r="J9" s="15">
        <f>Calc!AI9</f>
        <v>188.85221787826225</v>
      </c>
      <c r="K9" s="15">
        <f>Calc!AJ9</f>
        <v>0.20777937156157833</v>
      </c>
      <c r="L9" s="15">
        <f>Calc!AK9</f>
        <v>1.3966135550658039</v>
      </c>
      <c r="M9" s="173">
        <f>Calc!AP9</f>
        <v>747.93859999999995</v>
      </c>
      <c r="N9" s="173" t="e">
        <f>Calc!AQ9</f>
        <v>#VALUE!</v>
      </c>
      <c r="O9" s="173">
        <f>Calc!AW9</f>
        <v>747.93690000000004</v>
      </c>
      <c r="P9" s="173">
        <f>Calc!AX9</f>
        <v>351.6343621474</v>
      </c>
      <c r="Q9" s="178">
        <f>Calc!BC9</f>
        <v>1.7150535971843033</v>
      </c>
      <c r="R9" s="173">
        <f>Calc!BD9</f>
        <v>11.625528046469926</v>
      </c>
      <c r="S9" s="15">
        <f>Input!E9</f>
        <v>0</v>
      </c>
      <c r="T9" s="68"/>
      <c r="U9" s="68">
        <f>Input!K9</f>
        <v>7.1363371025790151E-3</v>
      </c>
      <c r="W9" s="68">
        <f>Calc!AS9</f>
        <v>2.1119443088878802E-5</v>
      </c>
      <c r="X9" s="68">
        <f>Calc!AT9</f>
        <v>6.9498491371204141E-8</v>
      </c>
      <c r="Y9" s="68">
        <f>Calc!AN9</f>
        <v>0.99924756085287259</v>
      </c>
      <c r="Z9" s="68">
        <f>Calc!AO9</f>
        <v>2.2611832835853639E-3</v>
      </c>
      <c r="AA9" s="68">
        <f t="shared" si="0"/>
        <v>1.0002077793715616</v>
      </c>
      <c r="AB9" s="68">
        <f t="shared" si="1"/>
        <v>0.18885221787826226</v>
      </c>
    </row>
    <row r="10" spans="1:28" x14ac:dyDescent="0.2">
      <c r="A10" s="68">
        <f>Input!A10</f>
        <v>10920</v>
      </c>
      <c r="B10" s="68" t="str">
        <f>Input!B10</f>
        <v>SO236_7_2</v>
      </c>
      <c r="C10" s="175">
        <f>Calc!O10</f>
        <v>3.4927182914369013</v>
      </c>
      <c r="D10" s="175">
        <f>Calc!P10</f>
        <v>1.2704613927150751E-4</v>
      </c>
      <c r="E10" s="175">
        <f>Calc!X10</f>
        <v>0.60711287808861247</v>
      </c>
      <c r="F10" s="175">
        <f>Calc!Y10</f>
        <v>1.0373494272064312E-3</v>
      </c>
      <c r="G10" s="175">
        <f>Calc!AN10</f>
        <v>0.20391537379313579</v>
      </c>
      <c r="H10" s="71">
        <f>Calc!AO10</f>
        <v>3.8305837766760929E-4</v>
      </c>
      <c r="I10" s="70">
        <f>Calc!AH10</f>
        <v>3577.8464610308392</v>
      </c>
      <c r="J10" s="70">
        <f>Calc!AI10</f>
        <v>9.0845033657348413</v>
      </c>
      <c r="K10" s="70">
        <f>Calc!AJ10</f>
        <v>138.00064033088734</v>
      </c>
      <c r="L10" s="70">
        <f>Calc!AK10</f>
        <v>0.48954865240567758</v>
      </c>
      <c r="M10" s="176">
        <f>Calc!AP10</f>
        <v>21.446300000000001</v>
      </c>
      <c r="N10" s="176">
        <f>Calc!AQ10</f>
        <v>4.3799999999999999E-2</v>
      </c>
      <c r="O10" s="176">
        <f>Calc!AW10</f>
        <v>21.402999999999999</v>
      </c>
      <c r="P10" s="176">
        <f>Calc!AY10</f>
        <v>5.0488177099105983E-2</v>
      </c>
      <c r="Q10" s="177">
        <f>Calc!BC10</f>
        <v>146.59282937605138</v>
      </c>
      <c r="R10" s="176">
        <f>Calc!BD10</f>
        <v>0.5204481870261809</v>
      </c>
      <c r="S10" s="70">
        <f>Input!E10</f>
        <v>0</v>
      </c>
      <c r="T10" s="68"/>
      <c r="U10" s="68">
        <f>Input!K10</f>
        <v>7.1374549083888265E-3</v>
      </c>
      <c r="W10" s="68">
        <f>Calc!AS10</f>
        <v>5.6875084824573174E-5</v>
      </c>
      <c r="X10" s="68">
        <f>Calc!AT10</f>
        <v>9.7202194791576497E-8</v>
      </c>
      <c r="Y10" s="68">
        <f>Calc!AN10</f>
        <v>0.20391537379313579</v>
      </c>
      <c r="Z10" s="68">
        <f>Calc!AO10</f>
        <v>3.8305837766760929E-4</v>
      </c>
      <c r="AA10" s="68">
        <f t="shared" si="0"/>
        <v>1.1380006403308873</v>
      </c>
      <c r="AB10" s="68">
        <f t="shared" si="1"/>
        <v>9.0845033657348407E-3</v>
      </c>
    </row>
    <row r="11" spans="1:28" x14ac:dyDescent="0.2">
      <c r="A11" s="13">
        <f>Input!A11</f>
        <v>10815</v>
      </c>
      <c r="B11" s="13" t="str">
        <f>Input!B11</f>
        <v>Hu1-13</v>
      </c>
      <c r="C11" s="171">
        <f>Calc!O11</f>
        <v>13.703520799991026</v>
      </c>
      <c r="D11" s="171">
        <f>Calc!P11</f>
        <v>1.1789478159669473E-3</v>
      </c>
      <c r="E11" s="171">
        <f>Calc!X11</f>
        <v>0.88616901671194959</v>
      </c>
      <c r="F11" s="171">
        <f>Calc!Y11</f>
        <v>3.5375119090326002E-3</v>
      </c>
      <c r="G11" s="171">
        <f>Calc!AN11</f>
        <v>0.99658352510400017</v>
      </c>
      <c r="H11" s="172">
        <f>Calc!AO11</f>
        <v>3.0997725384570595E-3</v>
      </c>
      <c r="I11" s="15">
        <f>Calc!AH11</f>
        <v>47099.157034498974</v>
      </c>
      <c r="J11" s="15">
        <f>Calc!AI11</f>
        <v>238.31694671015887</v>
      </c>
      <c r="K11" s="15">
        <f>Calc!AJ11</f>
        <v>-0.77485174961022807</v>
      </c>
      <c r="L11" s="15">
        <f>Calc!AK11</f>
        <v>1.1365339556203324</v>
      </c>
      <c r="M11" s="173">
        <f>Calc!AP11</f>
        <v>661.77480000000003</v>
      </c>
      <c r="N11" s="173" t="e">
        <f>Calc!AQ11</f>
        <v>#VALUE!</v>
      </c>
      <c r="O11" s="173">
        <f>Calc!AW11</f>
        <v>661.7731</v>
      </c>
      <c r="P11" s="173">
        <f>Calc!AX11</f>
        <v>295.31374530319999</v>
      </c>
      <c r="Q11" s="178">
        <f>Calc!BC11</f>
        <v>-5.0152327737151534</v>
      </c>
      <c r="R11" s="173">
        <f>Calc!BD11</f>
        <v>7.7157299253778895</v>
      </c>
      <c r="S11" s="15">
        <f>Input!E11</f>
        <v>0</v>
      </c>
      <c r="T11" s="68"/>
      <c r="U11" s="68">
        <f>Input!K11</f>
        <v>7.1345534342550261E-3</v>
      </c>
      <c r="W11" s="68">
        <f>Calc!AS11</f>
        <v>2.1159264578217979E-5</v>
      </c>
      <c r="X11" s="68">
        <f>Calc!AT11</f>
        <v>8.4485611929274643E-8</v>
      </c>
      <c r="Y11" s="68">
        <f>Calc!AN11</f>
        <v>0.99658352510400017</v>
      </c>
      <c r="Z11" s="68">
        <f>Calc!AO11</f>
        <v>3.0997725384570595E-3</v>
      </c>
      <c r="AA11" s="68">
        <f t="shared" si="0"/>
        <v>0.99922514825038977</v>
      </c>
      <c r="AB11" s="68">
        <f t="shared" si="1"/>
        <v>0.23831694671015888</v>
      </c>
    </row>
    <row r="12" spans="1:28" x14ac:dyDescent="0.2">
      <c r="A12" s="68">
        <f>Input!A12</f>
        <v>10921</v>
      </c>
      <c r="B12" s="68" t="str">
        <f>Input!B12</f>
        <v>SO236_7_3</v>
      </c>
      <c r="C12" s="175">
        <f>Calc!O12</f>
        <v>3.2887116280623627</v>
      </c>
      <c r="D12" s="175">
        <f>Calc!P12</f>
        <v>1.328881727637328E-4</v>
      </c>
      <c r="E12" s="175">
        <f>Calc!X12</f>
        <v>3.3584100855210015</v>
      </c>
      <c r="F12" s="175">
        <f>Calc!Y12</f>
        <v>6.2470489109364953E-3</v>
      </c>
      <c r="G12" s="175">
        <f>Calc!AN12</f>
        <v>0.20823800136506845</v>
      </c>
      <c r="H12" s="71">
        <f>Calc!AO12</f>
        <v>6.0681238887394561E-4</v>
      </c>
      <c r="I12" s="70">
        <f>Calc!AH12</f>
        <v>622.31066567185439</v>
      </c>
      <c r="J12" s="70">
        <f>Calc!AI12</f>
        <v>2.1512519978473001</v>
      </c>
      <c r="K12" s="70">
        <f>Calc!AJ12</f>
        <v>139.31390111870502</v>
      </c>
      <c r="L12" s="70">
        <f>Calc!AK12</f>
        <v>0.50436282791830911</v>
      </c>
      <c r="M12" s="176">
        <f>Calc!AP12</f>
        <v>21.9192</v>
      </c>
      <c r="N12" s="176">
        <f>Calc!AQ12</f>
        <v>7.2300000000000003E-2</v>
      </c>
      <c r="O12" s="176">
        <f>Calc!AW12</f>
        <v>21.664999999999999</v>
      </c>
      <c r="P12" s="176">
        <f>Calc!AY12</f>
        <v>0.14604722985048035</v>
      </c>
      <c r="Q12" s="177">
        <f>Calc!BC12</f>
        <v>148.0973160230422</v>
      </c>
      <c r="R12" s="176">
        <f>Calc!BD12</f>
        <v>0.53962499976682132</v>
      </c>
      <c r="S12" s="70">
        <f>Input!E12</f>
        <v>0</v>
      </c>
      <c r="T12" s="68"/>
      <c r="U12" s="68">
        <f>Input!K12</f>
        <v>7.1344008474642957E-3</v>
      </c>
      <c r="W12" s="68">
        <f>Calc!AS12</f>
        <v>3.3413664092832134E-4</v>
      </c>
      <c r="X12" s="68">
        <f>Calc!AT12</f>
        <v>6.2168119117340996E-7</v>
      </c>
      <c r="Y12" s="68">
        <f>Calc!AN12</f>
        <v>0.20823800136506845</v>
      </c>
      <c r="Z12" s="68">
        <f>Calc!AO12</f>
        <v>6.0681238887394561E-4</v>
      </c>
      <c r="AA12" s="68">
        <f t="shared" si="0"/>
        <v>1.139313901118705</v>
      </c>
      <c r="AB12" s="68">
        <f t="shared" si="1"/>
        <v>2.1512519978473003E-3</v>
      </c>
    </row>
    <row r="13" spans="1:28" x14ac:dyDescent="0.2">
      <c r="A13" s="13">
        <f>Input!A13</f>
        <v>10815</v>
      </c>
      <c r="B13" s="13" t="str">
        <f>Input!B13</f>
        <v>Hu1-13</v>
      </c>
      <c r="C13" s="171">
        <f>Calc!O13</f>
        <v>13.701453944006955</v>
      </c>
      <c r="D13" s="171">
        <f>Calc!P13</f>
        <v>1.3164298770741367E-3</v>
      </c>
      <c r="E13" s="171">
        <f>Calc!X13</f>
        <v>0.87395135404264557</v>
      </c>
      <c r="F13" s="171">
        <f>Calc!Y13</f>
        <v>3.160340986070243E-3</v>
      </c>
      <c r="G13" s="171">
        <f>Calc!AN13</f>
        <v>1.0005235742569916</v>
      </c>
      <c r="H13" s="172">
        <f>Calc!AO13</f>
        <v>2.5908726953707746E-3</v>
      </c>
      <c r="I13" s="15">
        <f>Calc!AH13</f>
        <v>47939.174440838397</v>
      </c>
      <c r="J13" s="15">
        <f>Calc!AI13</f>
        <v>213.1699478202774</v>
      </c>
      <c r="K13" s="15">
        <f>Calc!AJ13</f>
        <v>8.0877036342963393E-2</v>
      </c>
      <c r="L13" s="15">
        <f>Calc!AK13</f>
        <v>0.99529605777082364</v>
      </c>
      <c r="M13" s="173" t="str">
        <f>Calc!AP13</f>
        <v>Out of range</v>
      </c>
      <c r="N13" s="173" t="e">
        <f>Calc!AQ13</f>
        <v>#VALUE!</v>
      </c>
      <c r="O13" s="173" t="str">
        <f>Calc!AW13</f>
        <v>Out of range</v>
      </c>
      <c r="P13" s="173">
        <f>Calc!AX13</f>
        <v>351.36440772219999</v>
      </c>
      <c r="Q13" s="178" t="e">
        <f>Calc!BC13</f>
        <v>#VALUE!</v>
      </c>
      <c r="R13" s="173" t="e">
        <f>Calc!BD13</f>
        <v>#VALUE!</v>
      </c>
      <c r="S13" s="15">
        <f>Input!E13</f>
        <v>0</v>
      </c>
      <c r="T13" s="68"/>
      <c r="U13" s="68">
        <f>Input!K13</f>
        <v>7.1264027137097783E-3</v>
      </c>
      <c r="W13" s="68">
        <f>Calc!AS13</f>
        <v>2.0870688448999782E-5</v>
      </c>
      <c r="X13" s="68">
        <f>Calc!AT13</f>
        <v>7.5498217517948523E-8</v>
      </c>
      <c r="Y13" s="68">
        <f>Calc!AN13</f>
        <v>1.0005235742569916</v>
      </c>
      <c r="Z13" s="68">
        <f>Calc!AO13</f>
        <v>2.5908726953707746E-3</v>
      </c>
      <c r="AA13" s="68">
        <f t="shared" si="0"/>
        <v>1.000080877036343</v>
      </c>
      <c r="AB13" s="68">
        <f t="shared" si="1"/>
        <v>0.2131699478202774</v>
      </c>
    </row>
    <row r="14" spans="1:28" x14ac:dyDescent="0.2">
      <c r="A14" s="68">
        <f>Input!A14</f>
        <v>10922</v>
      </c>
      <c r="B14" s="68" t="str">
        <f>Input!B14</f>
        <v>SO236_7_4</v>
      </c>
      <c r="C14" s="175">
        <f>Calc!O14</f>
        <v>3.6049054588093097</v>
      </c>
      <c r="D14" s="175">
        <f>Calc!P14</f>
        <v>1.3504435937712682E-4</v>
      </c>
      <c r="E14" s="175">
        <f>Calc!X14</f>
        <v>1.074998092112174</v>
      </c>
      <c r="F14" s="175">
        <f>Calc!Y14</f>
        <v>1.8917298414796824E-3</v>
      </c>
      <c r="G14" s="175">
        <f>Calc!AN14</f>
        <v>0.20376166233265955</v>
      </c>
      <c r="H14" s="71">
        <f>Calc!AO14</f>
        <v>6.2495074915911396E-4</v>
      </c>
      <c r="I14" s="70">
        <f>Calc!AH14</f>
        <v>2087.2121515726672</v>
      </c>
      <c r="J14" s="70">
        <f>Calc!AI14</f>
        <v>7.3800662015403189</v>
      </c>
      <c r="K14" s="70">
        <f>Calc!AJ14</f>
        <v>137.90890271945489</v>
      </c>
      <c r="L14" s="70">
        <f>Calc!AK14</f>
        <v>0.80633139346097649</v>
      </c>
      <c r="M14" s="176">
        <f>Calc!AP14</f>
        <v>21.430399999999999</v>
      </c>
      <c r="N14" s="176">
        <f>Calc!AQ14</f>
        <v>7.85E-2</v>
      </c>
      <c r="O14" s="176">
        <f>Calc!AW14</f>
        <v>21.356200000000001</v>
      </c>
      <c r="P14" s="176">
        <f>Calc!AY14</f>
        <v>8.3199521358228987E-2</v>
      </c>
      <c r="Q14" s="177">
        <f>Calc!BC14</f>
        <v>146.47603328200603</v>
      </c>
      <c r="R14" s="176">
        <f>Calc!BD14</f>
        <v>0.85711230442223196</v>
      </c>
      <c r="S14" s="70">
        <f>Input!E14</f>
        <v>0</v>
      </c>
      <c r="T14" s="68"/>
      <c r="U14" s="68">
        <f>Input!K14</f>
        <v>7.1270408547796501E-3</v>
      </c>
      <c r="W14" s="68">
        <f>Calc!AS14</f>
        <v>9.7573073377687182E-5</v>
      </c>
      <c r="X14" s="68">
        <f>Calc!AT14</f>
        <v>1.7174329410417413E-7</v>
      </c>
      <c r="Y14" s="68">
        <f>Calc!AN14</f>
        <v>0.20376166233265955</v>
      </c>
      <c r="Z14" s="68">
        <f>Calc!AO14</f>
        <v>6.2495074915911396E-4</v>
      </c>
      <c r="AA14" s="68">
        <f t="shared" si="0"/>
        <v>1.1379089027194549</v>
      </c>
      <c r="AB14" s="68">
        <f t="shared" si="1"/>
        <v>7.3800662015403185E-3</v>
      </c>
    </row>
    <row r="15" spans="1:28" x14ac:dyDescent="0.2">
      <c r="A15" s="13">
        <f>Input!A15</f>
        <v>10815</v>
      </c>
      <c r="B15" s="13" t="str">
        <f>Input!B15</f>
        <v>Hu1-13</v>
      </c>
      <c r="C15" s="171">
        <f>Calc!O15</f>
        <v>13.702027153644027</v>
      </c>
      <c r="D15" s="171">
        <f>Calc!P15</f>
        <v>1.2117358771100758E-3</v>
      </c>
      <c r="E15" s="171">
        <f>Calc!X15</f>
        <v>0.87243836729960267</v>
      </c>
      <c r="F15" s="171">
        <f>Calc!Y15</f>
        <v>3.201317208215601E-3</v>
      </c>
      <c r="G15" s="171">
        <f>Calc!AN15</f>
        <v>0.99843640760371444</v>
      </c>
      <c r="H15" s="172">
        <f>Calc!AO15</f>
        <v>2.4191271474515428E-3</v>
      </c>
      <c r="I15" s="15">
        <f>Calc!AH15</f>
        <v>47924.137523885212</v>
      </c>
      <c r="J15" s="15">
        <f>Calc!AI15</f>
        <v>210.68710629219734</v>
      </c>
      <c r="K15" s="15">
        <f>Calc!AJ15</f>
        <v>-0.19268461533117343</v>
      </c>
      <c r="L15" s="15">
        <f>Calc!AK15</f>
        <v>1.064768832407891</v>
      </c>
      <c r="M15" s="173">
        <f>Calc!AP15</f>
        <v>725.65790000000004</v>
      </c>
      <c r="N15" s="173" t="e">
        <f>Calc!AQ15</f>
        <v>#VALUE!</v>
      </c>
      <c r="O15" s="173">
        <f>Calc!AW15</f>
        <v>725.65620000000001</v>
      </c>
      <c r="P15" s="173">
        <f>Calc!AX15</f>
        <v>346.17127907370002</v>
      </c>
      <c r="Q15" s="178">
        <f>Calc!BC15</f>
        <v>-1.493533503970786</v>
      </c>
      <c r="R15" s="173">
        <f>Calc!BD15</f>
        <v>8.3152538576565114</v>
      </c>
      <c r="S15" s="15">
        <f>Input!E15</f>
        <v>0</v>
      </c>
      <c r="T15" s="68"/>
      <c r="U15" s="68">
        <f>Input!K15</f>
        <v>7.1271127397094253E-3</v>
      </c>
      <c r="W15" s="68">
        <f>Calc!AS15</f>
        <v>2.0833685470210024E-5</v>
      </c>
      <c r="X15" s="68">
        <f>Calc!AT15</f>
        <v>7.6469129750047661E-8</v>
      </c>
      <c r="Y15" s="68">
        <f>Calc!AN15</f>
        <v>0.99843640760371444</v>
      </c>
      <c r="Z15" s="68">
        <f>Calc!AO15</f>
        <v>2.4191271474515428E-3</v>
      </c>
      <c r="AA15" s="68">
        <f t="shared" si="0"/>
        <v>0.99980731538466883</v>
      </c>
      <c r="AB15" s="68">
        <f t="shared" si="1"/>
        <v>0.21068710629219733</v>
      </c>
    </row>
    <row r="16" spans="1:28" x14ac:dyDescent="0.2">
      <c r="A16" s="68">
        <f>Input!A16</f>
        <v>10923</v>
      </c>
      <c r="B16" s="68" t="str">
        <f>Input!B16</f>
        <v>SO236_7_5</v>
      </c>
      <c r="C16" s="175">
        <f>Calc!O16</f>
        <v>3.0433235701837313</v>
      </c>
      <c r="D16" s="175">
        <f>Calc!P16</f>
        <v>1.3352472054979731E-4</v>
      </c>
      <c r="E16" s="175">
        <f>Calc!X16</f>
        <v>0.6405521633508362</v>
      </c>
      <c r="F16" s="175">
        <f>Calc!Y16</f>
        <v>1.1708413987909659E-3</v>
      </c>
      <c r="G16" s="175">
        <f>Calc!AN16</f>
        <v>0.19679543424410956</v>
      </c>
      <c r="H16" s="71">
        <f>Calc!AO16</f>
        <v>4.4655804512477165E-4</v>
      </c>
      <c r="I16" s="70">
        <f>Calc!AH16</f>
        <v>2852.7443819436594</v>
      </c>
      <c r="J16" s="70">
        <f>Calc!AI16</f>
        <v>8.3113284074705032</v>
      </c>
      <c r="K16" s="70">
        <f>Calc!AJ16</f>
        <v>142.36916306246948</v>
      </c>
      <c r="L16" s="70">
        <f>Calc!AK16</f>
        <v>0.63123253830309156</v>
      </c>
      <c r="M16" s="176">
        <f>Calc!AP16</f>
        <v>20.536300000000001</v>
      </c>
      <c r="N16" s="176">
        <f>Calc!AQ16</f>
        <v>4.8000000000000001E-2</v>
      </c>
      <c r="O16" s="176">
        <f>Calc!AW16</f>
        <v>20.484100000000002</v>
      </c>
      <c r="P16" s="176">
        <f>Calc!AY16</f>
        <v>5.8828610587434993E-2</v>
      </c>
      <c r="Q16" s="177">
        <f>Calc!BC16</f>
        <v>150.84167597074673</v>
      </c>
      <c r="R16" s="176">
        <f>Calc!BD16</f>
        <v>0.66926641544112475</v>
      </c>
      <c r="S16" s="70">
        <f>Input!E16</f>
        <v>0</v>
      </c>
      <c r="T16" s="68"/>
      <c r="U16" s="68">
        <f>Input!K16</f>
        <v>7.1307848266255729E-3</v>
      </c>
      <c r="W16" s="68">
        <f>Calc!AS16</f>
        <v>6.8868804400315487E-5</v>
      </c>
      <c r="X16" s="68">
        <f>Calc!AT16</f>
        <v>1.2591897670556603E-7</v>
      </c>
      <c r="Y16" s="68">
        <f>Calc!AN16</f>
        <v>0.19679543424410956</v>
      </c>
      <c r="Z16" s="68">
        <f>Calc!AO16</f>
        <v>4.4655804512477165E-4</v>
      </c>
      <c r="AA16" s="68">
        <f t="shared" si="0"/>
        <v>1.1423691630624695</v>
      </c>
      <c r="AB16" s="68">
        <f t="shared" si="1"/>
        <v>8.3113284074705033E-3</v>
      </c>
    </row>
    <row r="17" spans="1:28" x14ac:dyDescent="0.2">
      <c r="A17" s="13">
        <f>Input!A17</f>
        <v>10815</v>
      </c>
      <c r="B17" s="13" t="str">
        <f>Input!B17</f>
        <v>Hu1-13</v>
      </c>
      <c r="C17" s="171">
        <f>Calc!O17</f>
        <v>13.700367868468739</v>
      </c>
      <c r="D17" s="171">
        <f>Calc!P17</f>
        <v>1.0667754238565493E-3</v>
      </c>
      <c r="E17" s="171">
        <f>Calc!X17</f>
        <v>0.87156652156889303</v>
      </c>
      <c r="F17" s="171">
        <f>Calc!Y17</f>
        <v>2.9356958270897022E-3</v>
      </c>
      <c r="G17" s="171">
        <f>Calc!AN17</f>
        <v>0.99820640678675532</v>
      </c>
      <c r="H17" s="172">
        <f>Calc!AO17</f>
        <v>2.4256276555951928E-3</v>
      </c>
      <c r="I17" s="15">
        <f>Calc!AH17</f>
        <v>47955.218143900769</v>
      </c>
      <c r="J17" s="15">
        <f>Calc!AI17</f>
        <v>199.13949961199137</v>
      </c>
      <c r="K17" s="15">
        <f>Calc!AJ17</f>
        <v>0.59654396113772989</v>
      </c>
      <c r="L17" s="15">
        <f>Calc!AK17</f>
        <v>0.9861509628153653</v>
      </c>
      <c r="M17" s="173">
        <f>Calc!AP17</f>
        <v>647.35090000000002</v>
      </c>
      <c r="N17" s="173" t="e">
        <f>Calc!AQ17</f>
        <v>#VALUE!</v>
      </c>
      <c r="O17" s="173">
        <f>Calc!AW17</f>
        <v>647.3492</v>
      </c>
      <c r="P17" s="173">
        <f>Calc!AX17</f>
        <v>264.3328159596</v>
      </c>
      <c r="Q17" s="178">
        <f>Calc!BC17</f>
        <v>3.7071223978718764</v>
      </c>
      <c r="R17" s="173">
        <f>Calc!BD17</f>
        <v>6.2441743104821272</v>
      </c>
      <c r="S17" s="15">
        <f>Input!E17</f>
        <v>0</v>
      </c>
      <c r="T17" s="68"/>
      <c r="U17" s="68">
        <f>Input!K17</f>
        <v>7.1283475088166235E-3</v>
      </c>
      <c r="W17" s="68">
        <f>Calc!AS17</f>
        <v>2.081538663407609E-5</v>
      </c>
      <c r="X17" s="68">
        <f>Calc!AT17</f>
        <v>7.0131157779455145E-8</v>
      </c>
      <c r="Y17" s="68">
        <f>Calc!AN17</f>
        <v>0.99820640678675532</v>
      </c>
      <c r="Z17" s="68">
        <f>Calc!AO17</f>
        <v>2.4256276555951928E-3</v>
      </c>
      <c r="AA17" s="68">
        <f t="shared" si="0"/>
        <v>1.0005965439611377</v>
      </c>
      <c r="AB17" s="68">
        <f t="shared" si="1"/>
        <v>0.19913949961199137</v>
      </c>
    </row>
    <row r="18" spans="1:28" x14ac:dyDescent="0.2">
      <c r="A18" s="68">
        <f>Input!A18</f>
        <v>10924</v>
      </c>
      <c r="B18" s="68" t="str">
        <f>Input!B18</f>
        <v>SO236_7_6</v>
      </c>
      <c r="C18" s="175">
        <f>Calc!O18</f>
        <v>4.2937913114267356</v>
      </c>
      <c r="D18" s="175">
        <f>Calc!P18</f>
        <v>1.7488645029041896E-4</v>
      </c>
      <c r="E18" s="175">
        <f>Calc!X18</f>
        <v>0.64112588458067343</v>
      </c>
      <c r="F18" s="175">
        <f>Calc!Y18</f>
        <v>8.2309200463894503E-4</v>
      </c>
      <c r="G18" s="175">
        <f>Calc!AN18</f>
        <v>0.20505664301971913</v>
      </c>
      <c r="H18" s="71">
        <f>Calc!AO18</f>
        <v>3.7650753857272748E-4</v>
      </c>
      <c r="I18" s="70">
        <f>Calc!AH18</f>
        <v>4190.0994302677709</v>
      </c>
      <c r="J18" s="70">
        <f>Calc!AI18</f>
        <v>9.3860654595609656</v>
      </c>
      <c r="K18" s="70">
        <f>Calc!AJ18</f>
        <v>134.31197423559672</v>
      </c>
      <c r="L18" s="70">
        <f>Calc!AK18</f>
        <v>0.58340712661829397</v>
      </c>
      <c r="M18" s="176">
        <f>Calc!AP18</f>
        <v>21.657900000000001</v>
      </c>
      <c r="N18" s="176">
        <f>Calc!AQ18</f>
        <v>4.6300000000000001E-2</v>
      </c>
      <c r="O18" s="176">
        <f>Calc!AW18</f>
        <v>21.6205</v>
      </c>
      <c r="P18" s="176">
        <f>Calc!AY18</f>
        <v>4.9313529144669299E-2</v>
      </c>
      <c r="Q18" s="177">
        <f>Calc!BC18</f>
        <v>142.76209994610431</v>
      </c>
      <c r="R18" s="176">
        <f>Calc!BD18</f>
        <v>0.62042988347300387</v>
      </c>
      <c r="S18" s="70">
        <f>Input!E18</f>
        <v>0</v>
      </c>
      <c r="T18" s="68"/>
      <c r="U18" s="68">
        <f>Input!K18</f>
        <v>7.1302432327520846E-3</v>
      </c>
      <c r="W18" s="68">
        <f>Calc!AS18</f>
        <v>4.8856072243899388E-5</v>
      </c>
      <c r="X18" s="68">
        <f>Calc!AT18</f>
        <v>6.2754095315904109E-8</v>
      </c>
      <c r="Y18" s="68">
        <f>Calc!AN18</f>
        <v>0.20505664301971913</v>
      </c>
      <c r="Z18" s="68">
        <f>Calc!AO18</f>
        <v>3.7650753857272748E-4</v>
      </c>
      <c r="AA18" s="68">
        <f t="shared" si="0"/>
        <v>1.1343119742355967</v>
      </c>
      <c r="AB18" s="68">
        <f t="shared" si="1"/>
        <v>9.3860654595609664E-3</v>
      </c>
    </row>
    <row r="19" spans="1:28" x14ac:dyDescent="0.2">
      <c r="A19" s="13">
        <f>Input!A19</f>
        <v>10815</v>
      </c>
      <c r="B19" s="13" t="str">
        <f>Input!B19</f>
        <v>Hu1-13</v>
      </c>
      <c r="C19" s="171">
        <f>Calc!O19</f>
        <v>13.701672332615363</v>
      </c>
      <c r="D19" s="171">
        <f>Calc!P19</f>
        <v>1.2564876231254012E-3</v>
      </c>
      <c r="E19" s="171">
        <f>Calc!X19</f>
        <v>0.87537977334447981</v>
      </c>
      <c r="F19" s="171">
        <f>Calc!Y19</f>
        <v>3.7818377260980529E-3</v>
      </c>
      <c r="G19" s="171">
        <f>Calc!AN19</f>
        <v>0.99843020502589286</v>
      </c>
      <c r="H19" s="172">
        <f>Calc!AO19</f>
        <v>2.769372135308628E-3</v>
      </c>
      <c r="I19" s="15">
        <f>Calc!AH19</f>
        <v>47761.571743606779</v>
      </c>
      <c r="J19" s="15">
        <f>Calc!AI19</f>
        <v>245.16854370872568</v>
      </c>
      <c r="K19" s="15">
        <f>Calc!AJ19</f>
        <v>0.184636873856725</v>
      </c>
      <c r="L19" s="15">
        <f>Calc!AK19</f>
        <v>1.2317722675703675</v>
      </c>
      <c r="M19" s="173">
        <f>Calc!AP19</f>
        <v>687.17309999999998</v>
      </c>
      <c r="N19" s="173" t="e">
        <f>Calc!AQ19</f>
        <v>#VALUE!</v>
      </c>
      <c r="O19" s="173">
        <f>Calc!AW19</f>
        <v>687.17139999999995</v>
      </c>
      <c r="P19" s="173">
        <f>Calc!AX19</f>
        <v>308.32495222940003</v>
      </c>
      <c r="Q19" s="178">
        <f>Calc!BC19</f>
        <v>1.283864531012451</v>
      </c>
      <c r="R19" s="173">
        <f>Calc!BD19</f>
        <v>8.5937080476453271</v>
      </c>
      <c r="S19" s="15">
        <f>Input!E19</f>
        <v>0</v>
      </c>
      <c r="T19" s="68"/>
      <c r="U19" s="68">
        <f>Input!K19</f>
        <v>7.125145106045375E-3</v>
      </c>
      <c r="W19" s="68">
        <f>Calc!AS19</f>
        <v>2.0904467097223193E-5</v>
      </c>
      <c r="X19" s="68">
        <f>Calc!AT19</f>
        <v>9.0332348201860058E-8</v>
      </c>
      <c r="Y19" s="68">
        <f>Calc!AN19</f>
        <v>0.99843020502589286</v>
      </c>
      <c r="Z19" s="68">
        <f>Calc!AO19</f>
        <v>2.769372135308628E-3</v>
      </c>
      <c r="AA19" s="68">
        <f t="shared" si="0"/>
        <v>1.0001846368738567</v>
      </c>
      <c r="AB19" s="68">
        <f t="shared" si="1"/>
        <v>0.24516854370872568</v>
      </c>
    </row>
    <row r="20" spans="1:28" x14ac:dyDescent="0.2">
      <c r="A20" s="68">
        <f>Input!A20</f>
        <v>10925</v>
      </c>
      <c r="B20" s="68" t="str">
        <f>Input!B20</f>
        <v>SO236_7_7</v>
      </c>
      <c r="C20" s="175">
        <f>Calc!O20</f>
        <v>4.2831359392568382</v>
      </c>
      <c r="D20" s="175">
        <f>Calc!P20</f>
        <v>1.7029996151760786E-4</v>
      </c>
      <c r="E20" s="175">
        <f>Calc!X20</f>
        <v>0.25122212931430821</v>
      </c>
      <c r="F20" s="175">
        <f>Calc!Y20</f>
        <v>5.4797381990894694E-4</v>
      </c>
      <c r="G20" s="175">
        <f>Calc!AN20</f>
        <v>0.20555689855185197</v>
      </c>
      <c r="H20" s="71">
        <f>Calc!AO20</f>
        <v>4.9566768375050737E-4</v>
      </c>
      <c r="I20" s="70">
        <f>Calc!AH20</f>
        <v>10707.385794500162</v>
      </c>
      <c r="J20" s="70">
        <f>Calc!AI20</f>
        <v>34.812602213307997</v>
      </c>
      <c r="K20" s="70">
        <f>Calc!AJ20</f>
        <v>134.35251285967519</v>
      </c>
      <c r="L20" s="70">
        <f>Calc!AK20</f>
        <v>0.4779999348416562</v>
      </c>
      <c r="M20" s="176">
        <f>Calc!AP20</f>
        <v>21.715199999999999</v>
      </c>
      <c r="N20" s="176">
        <f>Calc!AQ20</f>
        <v>5.91E-2</v>
      </c>
      <c r="O20" s="176">
        <f>Calc!AW20</f>
        <v>21.700600000000001</v>
      </c>
      <c r="P20" s="176">
        <f>Calc!AY20</f>
        <v>5.9156133997690041E-2</v>
      </c>
      <c r="Q20" s="177">
        <f>Calc!BC20</f>
        <v>142.83747335803872</v>
      </c>
      <c r="R20" s="176">
        <f>Calc!BD20</f>
        <v>0.50874690650893339</v>
      </c>
      <c r="S20" s="70">
        <f>Input!E20</f>
        <v>0</v>
      </c>
      <c r="T20" s="68"/>
      <c r="U20" s="68">
        <f>Input!K20</f>
        <v>7.1278401773334256E-3</v>
      </c>
      <c r="W20" s="68">
        <f>Calc!AS20</f>
        <v>1.9191645135812318E-5</v>
      </c>
      <c r="X20" s="68">
        <f>Calc!AT20</f>
        <v>4.1868390268028052E-8</v>
      </c>
      <c r="Y20" s="68">
        <f>Calc!AN20</f>
        <v>0.20555689855185197</v>
      </c>
      <c r="Z20" s="68">
        <f>Calc!AO20</f>
        <v>4.9566768375050737E-4</v>
      </c>
      <c r="AA20" s="68">
        <f t="shared" si="0"/>
        <v>1.1343525128596752</v>
      </c>
      <c r="AB20" s="68">
        <f t="shared" si="1"/>
        <v>3.4812602213307994E-2</v>
      </c>
    </row>
    <row r="21" spans="1:28" x14ac:dyDescent="0.2">
      <c r="A21" s="13">
        <f>Input!A21</f>
        <v>10815</v>
      </c>
      <c r="B21" s="13" t="str">
        <f>Input!B21</f>
        <v>Hu1-13</v>
      </c>
      <c r="C21" s="171">
        <f>Calc!O21</f>
        <v>13.702178238950953</v>
      </c>
      <c r="D21" s="171">
        <f>Calc!P21</f>
        <v>1.5497964650941073E-3</v>
      </c>
      <c r="E21" s="171">
        <f>Calc!X21</f>
        <v>0.87478922546792048</v>
      </c>
      <c r="F21" s="171">
        <f>Calc!Y21</f>
        <v>2.5026163648607176E-3</v>
      </c>
      <c r="G21" s="171">
        <f>Calc!AN21</f>
        <v>1.0009417445216846</v>
      </c>
      <c r="H21" s="172">
        <f>Calc!AO21</f>
        <v>2.4171352420251993E-3</v>
      </c>
      <c r="I21" s="15">
        <f>Calc!AH21</f>
        <v>47915.808270503279</v>
      </c>
      <c r="J21" s="15">
        <f>Calc!AI21</f>
        <v>179.30415699817513</v>
      </c>
      <c r="K21" s="15">
        <f>Calc!AJ21</f>
        <v>0.10324381005055727</v>
      </c>
      <c r="L21" s="15">
        <f>Calc!AK21</f>
        <v>1.3651207750964327</v>
      </c>
      <c r="M21" s="173" t="str">
        <f>Calc!AP21</f>
        <v>Out of range</v>
      </c>
      <c r="N21" s="173" t="e">
        <f>Calc!AQ21</f>
        <v>#VALUE!</v>
      </c>
      <c r="O21" s="173" t="str">
        <f>Calc!AW21</f>
        <v>Out of range</v>
      </c>
      <c r="P21" s="173">
        <f>Calc!AX21</f>
        <v>331.78530328020003</v>
      </c>
      <c r="Q21" s="178" t="e">
        <f>Calc!BC21</f>
        <v>#VALUE!</v>
      </c>
      <c r="R21" s="173" t="e">
        <f>Calc!BD21</f>
        <v>#VALUE!</v>
      </c>
      <c r="S21" s="15">
        <f>Input!E21</f>
        <v>0</v>
      </c>
      <c r="T21" s="68"/>
      <c r="U21" s="68">
        <f>Input!K21</f>
        <v>7.1255880207402224E-3</v>
      </c>
      <c r="W21" s="68">
        <f>Calc!AS21</f>
        <v>2.0889593239687852E-5</v>
      </c>
      <c r="X21" s="68">
        <f>Calc!AT21</f>
        <v>5.9808098845805927E-8</v>
      </c>
      <c r="Y21" s="68">
        <f>Calc!AN21</f>
        <v>1.0009417445216846</v>
      </c>
      <c r="Z21" s="68">
        <f>Calc!AO21</f>
        <v>2.4171352420251993E-3</v>
      </c>
      <c r="AA21" s="68">
        <f t="shared" si="0"/>
        <v>1.0001032438100506</v>
      </c>
      <c r="AB21" s="68">
        <f t="shared" si="1"/>
        <v>0.17930415699817512</v>
      </c>
    </row>
    <row r="22" spans="1:28" x14ac:dyDescent="0.2">
      <c r="H22" s="74"/>
    </row>
    <row r="23" spans="1:28" x14ac:dyDescent="0.2">
      <c r="A23" s="13">
        <f>Input!A23</f>
        <v>10815</v>
      </c>
      <c r="B23" s="13" t="str">
        <f>Input!B23</f>
        <v>Hu1-13</v>
      </c>
      <c r="C23" s="171">
        <f>Calc!O23</f>
        <v>13.70183980953089</v>
      </c>
      <c r="D23" s="171">
        <f>Calc!P23</f>
        <v>1.1509642608650236E-3</v>
      </c>
      <c r="E23" s="171">
        <f>Calc!X23</f>
        <v>0.92021136172936513</v>
      </c>
      <c r="F23" s="171">
        <f>Calc!Y23</f>
        <v>3.8820953922032559E-3</v>
      </c>
      <c r="G23" s="171">
        <f>Calc!AN23</f>
        <v>0.9944459782613575</v>
      </c>
      <c r="H23" s="172">
        <f>Calc!AO23</f>
        <v>3.3576407680548761E-3</v>
      </c>
      <c r="I23" s="15">
        <f>Calc!AH23</f>
        <v>45253.931968806653</v>
      </c>
      <c r="J23" s="15">
        <f>Calc!AI23</f>
        <v>244.49859314497832</v>
      </c>
      <c r="K23" s="15">
        <f>Calc!AJ23</f>
        <v>-0.60583894804144833</v>
      </c>
      <c r="L23" s="15">
        <f>Calc!AK23</f>
        <v>1.3070429023914232</v>
      </c>
      <c r="M23" s="173">
        <f>Calc!AP23</f>
        <v>584.49689999999998</v>
      </c>
      <c r="N23" s="173" t="e">
        <f>Calc!AQ23</f>
        <v>#VALUE!</v>
      </c>
      <c r="O23" s="173">
        <f>Calc!AW23</f>
        <v>584.49509999999998</v>
      </c>
      <c r="P23" s="173">
        <f>Calc!AX23</f>
        <v>229.347972943</v>
      </c>
      <c r="Q23" s="178">
        <f>Calc!BC23</f>
        <v>-3.1529519827022963</v>
      </c>
      <c r="R23" s="173">
        <f>Calc!BD23</f>
        <v>6.8477494378251063</v>
      </c>
      <c r="S23" s="15">
        <f>Input!E23</f>
        <v>0</v>
      </c>
      <c r="T23" s="68"/>
      <c r="U23" s="68">
        <f>Input!K23</f>
        <v>7.1522258117899164E-3</v>
      </c>
      <c r="W23" s="68">
        <f>Calc!AS23</f>
        <v>2.1974797216445741E-5</v>
      </c>
      <c r="X23" s="68">
        <f>Calc!AT23</f>
        <v>9.2723445840623517E-8</v>
      </c>
      <c r="Y23" s="68">
        <f>Calc!AN23</f>
        <v>0.9944459782613575</v>
      </c>
      <c r="Z23" s="68">
        <f>Calc!AO23</f>
        <v>3.3576407680548761E-3</v>
      </c>
      <c r="AA23" s="68">
        <f t="shared" ref="AA23:AA33" si="2">1+K23/1000</f>
        <v>0.99939416105195855</v>
      </c>
      <c r="AB23" s="68">
        <f t="shared" ref="AB23:AB33" si="3">J23/1000</f>
        <v>0.24449859314497832</v>
      </c>
    </row>
    <row r="24" spans="1:28" x14ac:dyDescent="0.2">
      <c r="A24" s="68">
        <f>Input!A24</f>
        <v>10926</v>
      </c>
      <c r="B24" s="68" t="str">
        <f>Input!B24</f>
        <v>SO236_17_1</v>
      </c>
      <c r="C24" s="175">
        <f>Calc!O24</f>
        <v>2.8564578305902981</v>
      </c>
      <c r="D24" s="175">
        <f>Calc!P24</f>
        <v>1.0892051194323404E-4</v>
      </c>
      <c r="E24" s="175">
        <f>Calc!X24</f>
        <v>0.13569668456692102</v>
      </c>
      <c r="F24" s="175">
        <f>Calc!Y24</f>
        <v>3.8493658121024942E-4</v>
      </c>
      <c r="G24" s="175">
        <f>Calc!AN24</f>
        <v>0.20034622794197593</v>
      </c>
      <c r="H24" s="71">
        <f>Calc!AO24</f>
        <v>5.1213523066613023E-4</v>
      </c>
      <c r="I24" s="70">
        <f>Calc!AH24</f>
        <v>12796.402528029825</v>
      </c>
      <c r="J24" s="70">
        <f>Calc!AI24</f>
        <v>48.861608245679925</v>
      </c>
      <c r="K24" s="70">
        <f>Calc!AJ24</f>
        <v>134.68123642226271</v>
      </c>
      <c r="L24" s="70">
        <f>Calc!AK24</f>
        <v>0.88241039394846144</v>
      </c>
      <c r="M24" s="176">
        <f>Calc!AP24</f>
        <v>21.103200000000001</v>
      </c>
      <c r="N24" s="176">
        <f>Calc!AQ24</f>
        <v>6.3799999999999996E-2</v>
      </c>
      <c r="O24" s="176">
        <f>Calc!AW24</f>
        <v>21.0913</v>
      </c>
      <c r="P24" s="176">
        <f>Calc!AY24</f>
        <v>6.2453621610467684E-2</v>
      </c>
      <c r="Q24" s="177">
        <f>Calc!BC24</f>
        <v>142.9409615579529</v>
      </c>
      <c r="R24" s="176">
        <f>Calc!BD24</f>
        <v>0.93686561243640787</v>
      </c>
      <c r="S24" s="70">
        <f>Input!E24</f>
        <v>0</v>
      </c>
      <c r="T24" s="68"/>
      <c r="U24" s="68">
        <f>Input!K24</f>
        <v>7.1472394036698767E-3</v>
      </c>
      <c r="W24" s="68">
        <f>Calc!AS24</f>
        <v>1.5543813991590423E-5</v>
      </c>
      <c r="X24" s="68">
        <f>Calc!AT24</f>
        <v>4.4097784462864654E-8</v>
      </c>
      <c r="Y24" s="68">
        <f>Calc!AN24</f>
        <v>0.20034622794197593</v>
      </c>
      <c r="Z24" s="68">
        <f>Calc!AO24</f>
        <v>5.1213523066613023E-4</v>
      </c>
      <c r="AA24" s="68">
        <f t="shared" si="2"/>
        <v>1.1346812364222627</v>
      </c>
      <c r="AB24" s="68">
        <f t="shared" si="3"/>
        <v>4.8861608245679922E-2</v>
      </c>
    </row>
    <row r="25" spans="1:28" x14ac:dyDescent="0.2">
      <c r="A25" s="13">
        <f>Input!A25</f>
        <v>10815</v>
      </c>
      <c r="B25" s="13" t="str">
        <f>Input!B25</f>
        <v>Hu1-13</v>
      </c>
      <c r="C25" s="171">
        <f>Calc!O25</f>
        <v>13.700713880353272</v>
      </c>
      <c r="D25" s="171">
        <f>Calc!P25</f>
        <v>1.4711789700644646E-3</v>
      </c>
      <c r="E25" s="171">
        <f>Calc!X25</f>
        <v>0.90515967516923346</v>
      </c>
      <c r="F25" s="171">
        <f>Calc!Y25</f>
        <v>4.3958393014367683E-3</v>
      </c>
      <c r="G25" s="171">
        <f>Calc!AN25</f>
        <v>0.99116565716029537</v>
      </c>
      <c r="H25" s="172">
        <f>Calc!AO25</f>
        <v>3.8192644889512069E-3</v>
      </c>
      <c r="I25" s="15">
        <f>Calc!AH25</f>
        <v>45850.922079850992</v>
      </c>
      <c r="J25" s="15">
        <f>Calc!AI25</f>
        <v>284.20653103976616</v>
      </c>
      <c r="K25" s="15">
        <f>Calc!AJ25</f>
        <v>-0.93736201473648695</v>
      </c>
      <c r="L25" s="15">
        <f>Calc!AK25</f>
        <v>1.3594536563765391</v>
      </c>
      <c r="M25" s="173">
        <f>Calc!AP25</f>
        <v>533.16189999999995</v>
      </c>
      <c r="N25" s="173" t="e">
        <f>Calc!AQ25</f>
        <v>#VALUE!</v>
      </c>
      <c r="O25" s="173">
        <f>Calc!AW25</f>
        <v>533.16020000000003</v>
      </c>
      <c r="P25" s="173">
        <f>Calc!AX25</f>
        <v>110.36785715809999</v>
      </c>
      <c r="Q25" s="178">
        <f>Calc!BC25</f>
        <v>-4.2203765661880377</v>
      </c>
      <c r="R25" s="173">
        <f>Calc!BD25</f>
        <v>6.164793209829087</v>
      </c>
      <c r="S25" s="15">
        <f>Input!E25</f>
        <v>0</v>
      </c>
      <c r="T25" s="68"/>
      <c r="U25" s="68">
        <f>Input!K25</f>
        <v>7.1489098775691737E-3</v>
      </c>
      <c r="W25" s="68">
        <f>Calc!AS25</f>
        <v>2.1617136846978685E-5</v>
      </c>
      <c r="X25" s="68">
        <f>Calc!AT25</f>
        <v>1.0500764452659304E-7</v>
      </c>
      <c r="Y25" s="68">
        <f>Calc!AN25</f>
        <v>0.99116565716029537</v>
      </c>
      <c r="Z25" s="68">
        <f>Calc!AO25</f>
        <v>3.8192644889512069E-3</v>
      </c>
      <c r="AA25" s="68">
        <f t="shared" si="2"/>
        <v>0.99906263798526351</v>
      </c>
      <c r="AB25" s="68">
        <f t="shared" si="3"/>
        <v>0.28420653103976617</v>
      </c>
    </row>
    <row r="26" spans="1:28" x14ac:dyDescent="0.2">
      <c r="A26" s="68">
        <f>Input!A26</f>
        <v>10927</v>
      </c>
      <c r="B26" s="68" t="str">
        <f>Input!B26</f>
        <v>SO236_17_2</v>
      </c>
      <c r="C26" s="175">
        <f>Calc!O26</f>
        <v>3.3550585145594733</v>
      </c>
      <c r="D26" s="175">
        <f>Calc!P26</f>
        <v>1.3367974975359815E-4</v>
      </c>
      <c r="E26" s="175">
        <f>Calc!X26</f>
        <v>19.32459954822956</v>
      </c>
      <c r="F26" s="175">
        <f>Calc!Y26</f>
        <v>3.7061658421585049E-2</v>
      </c>
      <c r="G26" s="175">
        <f>Calc!AN26</f>
        <v>0.20665467013709907</v>
      </c>
      <c r="H26" s="71">
        <f>Calc!AO26</f>
        <v>5.2873425766413352E-4</v>
      </c>
      <c r="I26" s="70">
        <f>Calc!AH26</f>
        <v>108.9856346752312</v>
      </c>
      <c r="J26" s="70">
        <f>Calc!AI26</f>
        <v>0.34845902355198266</v>
      </c>
      <c r="K26" s="70">
        <f>Calc!AJ26</f>
        <v>135.33179180754763</v>
      </c>
      <c r="L26" s="70">
        <f>Calc!AK26</f>
        <v>0.45670758451248483</v>
      </c>
      <c r="M26" s="176">
        <f>Calc!AP26</f>
        <v>21.8218</v>
      </c>
      <c r="N26" s="176">
        <f>Calc!AQ26</f>
        <v>6.2300000000000001E-2</v>
      </c>
      <c r="O26" s="176">
        <f>Calc!AW26</f>
        <v>20.374600000000001</v>
      </c>
      <c r="P26" s="176">
        <f>Calc!AY26</f>
        <v>0.73226588694754635</v>
      </c>
      <c r="Q26" s="177">
        <f>Calc!BC26</f>
        <v>143.34120311419568</v>
      </c>
      <c r="R26" s="176">
        <f>Calc!BD26</f>
        <v>0.56722532185168406</v>
      </c>
      <c r="S26" s="70">
        <f>Input!E26</f>
        <v>0</v>
      </c>
      <c r="T26" s="68"/>
      <c r="U26" s="68">
        <f>Input!K26</f>
        <v>7.142789303482458E-3</v>
      </c>
      <c r="W26" s="68">
        <f>Calc!AS26</f>
        <v>1.8846320604589551E-3</v>
      </c>
      <c r="X26" s="68">
        <f>Calc!AT26</f>
        <v>3.6152191257857086E-6</v>
      </c>
      <c r="Y26" s="68">
        <f>Calc!AN26</f>
        <v>0.20665467013709907</v>
      </c>
      <c r="Z26" s="68">
        <f>Calc!AO26</f>
        <v>5.2873425766413352E-4</v>
      </c>
      <c r="AA26" s="68">
        <f t="shared" si="2"/>
        <v>1.1353317918075476</v>
      </c>
      <c r="AB26" s="68">
        <f t="shared" si="3"/>
        <v>3.4845902355198265E-4</v>
      </c>
    </row>
    <row r="27" spans="1:28" x14ac:dyDescent="0.2">
      <c r="A27" s="13">
        <f>Input!A27</f>
        <v>10815</v>
      </c>
      <c r="B27" s="13" t="str">
        <f>Input!B27</f>
        <v>Hu1-13</v>
      </c>
      <c r="C27" s="171">
        <f>Calc!O27</f>
        <v>13.700384203656332</v>
      </c>
      <c r="D27" s="171">
        <f>Calc!P27</f>
        <v>1.0876782935001611E-3</v>
      </c>
      <c r="E27" s="171">
        <f>Calc!X27</f>
        <v>0.89184242563721405</v>
      </c>
      <c r="F27" s="171">
        <f>Calc!Y27</f>
        <v>3.8190947132012792E-3</v>
      </c>
      <c r="G27" s="171">
        <f>Calc!AN27</f>
        <v>0.99667058290282695</v>
      </c>
      <c r="H27" s="172">
        <f>Calc!AO27</f>
        <v>2.9541234033057767E-3</v>
      </c>
      <c r="I27" s="15">
        <f>Calc!AH27</f>
        <v>46792.913570223274</v>
      </c>
      <c r="J27" s="15">
        <f>Calc!AI27</f>
        <v>243.66770429463321</v>
      </c>
      <c r="K27" s="15">
        <f>Calc!AJ27</f>
        <v>-0.77248123882045494</v>
      </c>
      <c r="L27" s="15">
        <f>Calc!AK27</f>
        <v>1.2489566944205122</v>
      </c>
      <c r="M27" s="173">
        <f>Calc!AP27</f>
        <v>665.8125</v>
      </c>
      <c r="N27" s="173" t="e">
        <f>Calc!AQ27</f>
        <v>#VALUE!</v>
      </c>
      <c r="O27" s="173">
        <f>Calc!AW27</f>
        <v>665.81079999999997</v>
      </c>
      <c r="P27" s="173">
        <f>Calc!AX27</f>
        <v>312.43777459080002</v>
      </c>
      <c r="Q27" s="178">
        <f>Calc!BC27</f>
        <v>-5.0571873518103256</v>
      </c>
      <c r="R27" s="173">
        <f>Calc!BD27</f>
        <v>8.522077234939621</v>
      </c>
      <c r="S27" s="15">
        <f>Input!E27</f>
        <v>0</v>
      </c>
      <c r="T27" s="68"/>
      <c r="U27" s="68">
        <f>Input!K27</f>
        <v>7.1400045252179396E-3</v>
      </c>
      <c r="W27" s="68">
        <f>Calc!AS27</f>
        <v>2.1299605150833341E-5</v>
      </c>
      <c r="X27" s="68">
        <f>Calc!AT27</f>
        <v>9.1225967079935993E-8</v>
      </c>
      <c r="Y27" s="68">
        <f>Calc!AN27</f>
        <v>0.99667058290282695</v>
      </c>
      <c r="Z27" s="68">
        <f>Calc!AO27</f>
        <v>2.9541234033057767E-3</v>
      </c>
      <c r="AA27" s="68">
        <f t="shared" si="2"/>
        <v>0.99922751876117955</v>
      </c>
      <c r="AB27" s="68">
        <f t="shared" si="3"/>
        <v>0.24366770429463322</v>
      </c>
    </row>
    <row r="28" spans="1:28" x14ac:dyDescent="0.2">
      <c r="A28" s="68">
        <f>Input!A28</f>
        <v>10928</v>
      </c>
      <c r="B28" s="68" t="str">
        <f>Input!B28</f>
        <v>SO236_17_3</v>
      </c>
      <c r="C28" s="175">
        <f>Calc!O28</f>
        <v>3.7831683302731678</v>
      </c>
      <c r="D28" s="175">
        <f>Calc!P28</f>
        <v>1.5546235425188494E-4</v>
      </c>
      <c r="E28" s="175">
        <f>Calc!X28</f>
        <v>2.1313447798500622</v>
      </c>
      <c r="F28" s="175">
        <f>Calc!Y28</f>
        <v>4.4829859338107554E-3</v>
      </c>
      <c r="G28" s="175">
        <f>Calc!AN28</f>
        <v>0.20046893493168416</v>
      </c>
      <c r="H28" s="71">
        <f>Calc!AO28</f>
        <v>5.5353858816027874E-4</v>
      </c>
      <c r="I28" s="70">
        <f>Calc!AH28</f>
        <v>1083.3374893265423</v>
      </c>
      <c r="J28" s="70">
        <f>Calc!AI28</f>
        <v>3.7600964963985337</v>
      </c>
      <c r="K28" s="70">
        <f>Calc!AJ28</f>
        <v>134.45351688400109</v>
      </c>
      <c r="L28" s="70">
        <f>Calc!AK28</f>
        <v>0.57315705036492859</v>
      </c>
      <c r="M28" s="176">
        <f>Calc!AP28</f>
        <v>21.122199999999999</v>
      </c>
      <c r="N28" s="176">
        <f>Calc!AQ28</f>
        <v>6.8599999999999994E-2</v>
      </c>
      <c r="O28" s="176">
        <f>Calc!AW28</f>
        <v>20.981400000000001</v>
      </c>
      <c r="P28" s="176">
        <f>Calc!AY28</f>
        <v>9.6130312810769378E-2</v>
      </c>
      <c r="Q28" s="177">
        <f>Calc!BC28</f>
        <v>142.6550259273022</v>
      </c>
      <c r="R28" s="176">
        <f>Calc!BD28</f>
        <v>0.60934915071198437</v>
      </c>
      <c r="S28" s="70">
        <f>Input!E28</f>
        <v>0</v>
      </c>
      <c r="T28" s="68"/>
      <c r="U28" s="68">
        <f>Input!K28</f>
        <v>7.1430915570957028E-3</v>
      </c>
      <c r="W28" s="68">
        <f>Calc!AS28</f>
        <v>1.8433772142830207E-4</v>
      </c>
      <c r="X28" s="68">
        <f>Calc!AT28</f>
        <v>3.8780262889400529E-7</v>
      </c>
      <c r="Y28" s="68">
        <f>Calc!AN28</f>
        <v>0.20046893493168416</v>
      </c>
      <c r="Z28" s="68">
        <f>Calc!AO28</f>
        <v>5.5353858816027874E-4</v>
      </c>
      <c r="AA28" s="68">
        <f t="shared" si="2"/>
        <v>1.1344535168840011</v>
      </c>
      <c r="AB28" s="68">
        <f t="shared" si="3"/>
        <v>3.7600964963985339E-3</v>
      </c>
    </row>
    <row r="29" spans="1:28" x14ac:dyDescent="0.2">
      <c r="A29" s="13">
        <f>Input!A29</f>
        <v>10815</v>
      </c>
      <c r="B29" s="13" t="str">
        <f>Input!B29</f>
        <v>Hu1-13</v>
      </c>
      <c r="C29" s="171">
        <f>Calc!O29</f>
        <v>13.701943409683194</v>
      </c>
      <c r="D29" s="171">
        <f>Calc!P29</f>
        <v>1.353229056861812E-3</v>
      </c>
      <c r="E29" s="171">
        <f>Calc!X29</f>
        <v>0.89289623879196056</v>
      </c>
      <c r="F29" s="171">
        <f>Calc!Y29</f>
        <v>3.2956125629927564E-3</v>
      </c>
      <c r="G29" s="171">
        <f>Calc!AN29</f>
        <v>0.99565769866724374</v>
      </c>
      <c r="H29" s="172">
        <f>Calc!AO29</f>
        <v>2.7479277694831658E-3</v>
      </c>
      <c r="I29" s="15">
        <f>Calc!AH29</f>
        <v>46695.503366503894</v>
      </c>
      <c r="J29" s="15">
        <f>Calc!AI29</f>
        <v>215.1557553572741</v>
      </c>
      <c r="K29" s="15">
        <f>Calc!AJ29</f>
        <v>0.25412370818855834</v>
      </c>
      <c r="L29" s="15">
        <f>Calc!AK29</f>
        <v>1.5393084103798291</v>
      </c>
      <c r="M29" s="173">
        <f>Calc!AP29</f>
        <v>584.49300000000005</v>
      </c>
      <c r="N29" s="173" t="e">
        <f>Calc!AQ29</f>
        <v>#VALUE!</v>
      </c>
      <c r="O29" s="173">
        <f>Calc!AW29</f>
        <v>584.49130000000002</v>
      </c>
      <c r="P29" s="173">
        <f>Calc!AX29</f>
        <v>201.36958005880001</v>
      </c>
      <c r="Q29" s="178">
        <f>Calc!BC29</f>
        <v>1.3225152655878714</v>
      </c>
      <c r="R29" s="173">
        <f>Calc!BD29</f>
        <v>8.016550053615946</v>
      </c>
      <c r="S29" s="15">
        <f>Input!E29</f>
        <v>0</v>
      </c>
      <c r="T29" s="68"/>
      <c r="U29" s="68">
        <f>Input!K29</f>
        <v>7.1399846919592471E-3</v>
      </c>
      <c r="W29" s="68">
        <f>Calc!AS29</f>
        <v>2.132234641208428E-5</v>
      </c>
      <c r="X29" s="68">
        <f>Calc!AT29</f>
        <v>7.8727338731643074E-8</v>
      </c>
      <c r="Y29" s="68">
        <f>Calc!AN29</f>
        <v>0.99565769866724374</v>
      </c>
      <c r="Z29" s="68">
        <f>Calc!AO29</f>
        <v>2.7479277694831658E-3</v>
      </c>
      <c r="AA29" s="68">
        <f t="shared" si="2"/>
        <v>1.0002541237081886</v>
      </c>
      <c r="AB29" s="68">
        <f t="shared" si="3"/>
        <v>0.2151557553572741</v>
      </c>
    </row>
    <row r="30" spans="1:28" x14ac:dyDescent="0.2">
      <c r="A30" s="68">
        <f>Input!A30</f>
        <v>10917</v>
      </c>
      <c r="B30" s="68" t="str">
        <f>Input!B30</f>
        <v>GeoB20582-1_3_163-166</v>
      </c>
      <c r="C30" s="175">
        <f>Calc!O30</f>
        <v>3.6221993805900121</v>
      </c>
      <c r="D30" s="175">
        <f>Calc!P30</f>
        <v>1.643345832893274E-4</v>
      </c>
      <c r="E30" s="175">
        <f>Calc!X30</f>
        <v>0.18544731426857522</v>
      </c>
      <c r="F30" s="175">
        <f>Calc!Y30</f>
        <v>4.0476520449484051E-4</v>
      </c>
      <c r="G30" s="175">
        <f>Calc!AN30</f>
        <v>6.5777580166013302E-2</v>
      </c>
      <c r="H30" s="71">
        <f>Calc!AO30</f>
        <v>2.5646871416514351E-4</v>
      </c>
      <c r="I30" s="70">
        <f>Calc!AH30</f>
        <v>3914.7838635330691</v>
      </c>
      <c r="J30" s="70">
        <f>Calc!AI30</f>
        <v>17.491813301527092</v>
      </c>
      <c r="K30" s="70">
        <f>Calc!AJ30</f>
        <v>143.75750459063229</v>
      </c>
      <c r="L30" s="70">
        <f>Calc!AK30</f>
        <v>0.56498985605789309</v>
      </c>
      <c r="M30" s="176">
        <f>Calc!AP30</f>
        <v>6.4512</v>
      </c>
      <c r="N30" s="176">
        <f>Calc!AQ30</f>
        <v>2.53E-2</v>
      </c>
      <c r="O30" s="176">
        <f>Calc!AW30</f>
        <v>6.4383999999999997</v>
      </c>
      <c r="P30" s="176">
        <f>Calc!AY30</f>
        <v>2.6894086231263738E-2</v>
      </c>
      <c r="Q30" s="177">
        <f>Calc!BC30</f>
        <v>146.39338780878023</v>
      </c>
      <c r="R30" s="176">
        <f>Calc!BD30</f>
        <v>0.57545656844881465</v>
      </c>
      <c r="S30" s="70">
        <f>Input!E30</f>
        <v>164.5</v>
      </c>
      <c r="T30" s="68"/>
      <c r="U30" s="68">
        <f>Input!K30</f>
        <v>7.1431085512177533E-3</v>
      </c>
      <c r="W30" s="68">
        <f>Calc!AS30</f>
        <v>1.6751911379530406E-5</v>
      </c>
      <c r="X30" s="68">
        <f>Calc!AT30</f>
        <v>3.6571333092886084E-8</v>
      </c>
      <c r="Y30" s="68">
        <f>Calc!AN30</f>
        <v>6.5777580166013302E-2</v>
      </c>
      <c r="Z30" s="68">
        <f>Calc!AO30</f>
        <v>2.5646871416514351E-4</v>
      </c>
      <c r="AA30" s="68">
        <f t="shared" si="2"/>
        <v>1.1437575045906323</v>
      </c>
      <c r="AB30" s="68">
        <f t="shared" si="3"/>
        <v>1.7491813301527093E-2</v>
      </c>
    </row>
    <row r="31" spans="1:28" x14ac:dyDescent="0.2">
      <c r="A31" s="13">
        <f>Input!A31</f>
        <v>10815</v>
      </c>
      <c r="B31" s="13" t="str">
        <f>Input!B31</f>
        <v>Hu1-13</v>
      </c>
      <c r="C31" s="171">
        <f>Calc!O31</f>
        <v>13.699419693658582</v>
      </c>
      <c r="D31" s="171">
        <f>Calc!P31</f>
        <v>9.9799039367776121E-4</v>
      </c>
      <c r="E31" s="171">
        <f>Calc!X31</f>
        <v>0.90265222560497738</v>
      </c>
      <c r="F31" s="171">
        <f>Calc!Y31</f>
        <v>3.4493927116620638E-3</v>
      </c>
      <c r="G31" s="171">
        <f>Calc!AN31</f>
        <v>0.99833819435304361</v>
      </c>
      <c r="H31" s="172">
        <f>Calc!AO31</f>
        <v>2.8109669781135028E-3</v>
      </c>
      <c r="I31" s="15">
        <f>Calc!AH31</f>
        <v>46306.635695254532</v>
      </c>
      <c r="J31" s="15">
        <f>Calc!AI31</f>
        <v>219.77673912119809</v>
      </c>
      <c r="K31" s="15">
        <f>Calc!AJ31</f>
        <v>1.3576652410662859</v>
      </c>
      <c r="L31" s="15">
        <f>Calc!AK31</f>
        <v>1.3575304680934919</v>
      </c>
      <c r="M31" s="173">
        <f>Calc!AP31</f>
        <v>614.08799999999997</v>
      </c>
      <c r="N31" s="173" t="e">
        <f>Calc!AQ31</f>
        <v>#VALUE!</v>
      </c>
      <c r="O31" s="173">
        <f>Calc!AW31</f>
        <v>614.08630000000005</v>
      </c>
      <c r="P31" s="173">
        <f>Calc!AX31</f>
        <v>257.71446804369998</v>
      </c>
      <c r="Q31" s="178">
        <f>Calc!BC31</f>
        <v>7.6810393784523265</v>
      </c>
      <c r="R31" s="173">
        <f>Calc!BD31</f>
        <v>7.9933702345706594</v>
      </c>
      <c r="S31" s="15">
        <f>Input!E31</f>
        <v>0</v>
      </c>
      <c r="T31" s="68"/>
      <c r="U31" s="68">
        <f>Input!K31</f>
        <v>7.1413939448779764E-3</v>
      </c>
      <c r="W31" s="68">
        <f>Calc!AS31</f>
        <v>2.1559290139822285E-5</v>
      </c>
      <c r="X31" s="68">
        <f>Calc!AT31</f>
        <v>8.2401580496829383E-8</v>
      </c>
      <c r="Y31" s="68">
        <f>Calc!AN31</f>
        <v>0.99833819435304361</v>
      </c>
      <c r="Z31" s="68">
        <f>Calc!AO31</f>
        <v>2.8109669781135028E-3</v>
      </c>
      <c r="AA31" s="68">
        <f t="shared" si="2"/>
        <v>1.0013576652410663</v>
      </c>
      <c r="AB31" s="68">
        <f t="shared" si="3"/>
        <v>0.21977673912119808</v>
      </c>
    </row>
    <row r="32" spans="1:28" x14ac:dyDescent="0.2">
      <c r="A32" s="68">
        <f>Input!A32</f>
        <v>10918</v>
      </c>
      <c r="B32" s="68" t="str">
        <f>Input!B32</f>
        <v>GeoB20582-1_3_184-186</v>
      </c>
      <c r="C32" s="175">
        <f>Calc!O32</f>
        <v>3.8043844169528795</v>
      </c>
      <c r="D32" s="175">
        <f>Calc!P32</f>
        <v>1.6784509805748373E-4</v>
      </c>
      <c r="E32" s="175">
        <f>Calc!X32</f>
        <v>0.95307994635579685</v>
      </c>
      <c r="F32" s="175">
        <f>Calc!Y32</f>
        <v>2.041104812653842E-3</v>
      </c>
      <c r="G32" s="175">
        <f>Calc!AN32</f>
        <v>6.7341282309237388E-2</v>
      </c>
      <c r="H32" s="71">
        <f>Calc!AO32</f>
        <v>2.7581476890166894E-4</v>
      </c>
      <c r="I32" s="70">
        <f>Calc!AH32</f>
        <v>820.42090674592089</v>
      </c>
      <c r="J32" s="70">
        <f>Calc!AI32</f>
        <v>3.7917143779980242</v>
      </c>
      <c r="K32" s="70">
        <f>Calc!AJ32</f>
        <v>143.32795805063282</v>
      </c>
      <c r="L32" s="70">
        <f>Calc!AK32</f>
        <v>0.74873874658257533</v>
      </c>
      <c r="M32" s="176">
        <f>Calc!AP32</f>
        <v>6.6116999999999999</v>
      </c>
      <c r="N32" s="176">
        <f>Calc!AQ32</f>
        <v>2.7099999999999999E-2</v>
      </c>
      <c r="O32" s="176">
        <f>Calc!AW32</f>
        <v>6.5492999999999997</v>
      </c>
      <c r="P32" s="176">
        <f>Calc!AY32</f>
        <v>4.2151186201027001E-2</v>
      </c>
      <c r="Q32" s="177">
        <f>Calc!BC32</f>
        <v>146.00165173561115</v>
      </c>
      <c r="R32" s="176">
        <f>Calc!BD32</f>
        <v>0.76290370899462501</v>
      </c>
      <c r="S32" s="70">
        <f>Input!E32</f>
        <v>185</v>
      </c>
      <c r="T32" s="68"/>
      <c r="U32" s="68">
        <f>Input!K32</f>
        <v>7.1431323843443237E-3</v>
      </c>
      <c r="W32" s="68">
        <f>Calc!AS32</f>
        <v>8.197116516946497E-5</v>
      </c>
      <c r="X32" s="68">
        <f>Calc!AT32</f>
        <v>1.7558573155390769E-7</v>
      </c>
      <c r="Y32" s="68">
        <f>Calc!AN32</f>
        <v>6.7341282309237388E-2</v>
      </c>
      <c r="Z32" s="68">
        <f>Calc!AO32</f>
        <v>2.7581476890166894E-4</v>
      </c>
      <c r="AA32" s="68">
        <f t="shared" si="2"/>
        <v>1.1433279580506328</v>
      </c>
      <c r="AB32" s="68">
        <f t="shared" si="3"/>
        <v>3.7917143779980242E-3</v>
      </c>
    </row>
    <row r="33" spans="1:28" x14ac:dyDescent="0.2">
      <c r="A33" s="13">
        <f>Input!A33</f>
        <v>10815</v>
      </c>
      <c r="B33" s="13" t="str">
        <f>Input!B33</f>
        <v>Hu1-13</v>
      </c>
      <c r="C33" s="171">
        <f>Calc!O33</f>
        <v>13.700220823261565</v>
      </c>
      <c r="D33" s="171">
        <f>Calc!P33</f>
        <v>1.3802262160074188E-3</v>
      </c>
      <c r="E33" s="171">
        <f>Calc!X33</f>
        <v>0.89404631683249858</v>
      </c>
      <c r="F33" s="171">
        <f>Calc!Y33</f>
        <v>3.2727161108091927E-3</v>
      </c>
      <c r="G33" s="171">
        <f>Calc!AN33</f>
        <v>0.99897624188028933</v>
      </c>
      <c r="H33" s="172">
        <f>Calc!AO33</f>
        <v>1.7038904108179684E-3</v>
      </c>
      <c r="I33" s="15">
        <f>Calc!AH33</f>
        <v>46784.989666707974</v>
      </c>
      <c r="J33" s="15">
        <f>Calc!AI33</f>
        <v>188.87926392625099</v>
      </c>
      <c r="K33" s="15">
        <f>Calc!AJ33</f>
        <v>0.5122642436650171</v>
      </c>
      <c r="L33" s="15">
        <f>Calc!AK33</f>
        <v>0.95761687003003615</v>
      </c>
      <c r="M33" s="173">
        <f>Calc!AP33</f>
        <v>691.95060000000001</v>
      </c>
      <c r="N33" s="173" t="e">
        <f>Calc!AQ33</f>
        <v>#VALUE!</v>
      </c>
      <c r="O33" s="173">
        <f>Calc!AW33</f>
        <v>691.94889999999998</v>
      </c>
      <c r="P33" s="173">
        <f>Calc!AX33</f>
        <v>314.33299623750003</v>
      </c>
      <c r="Q33" s="178">
        <f>Calc!BC33</f>
        <v>3.6103568813755067</v>
      </c>
      <c r="R33" s="173">
        <f>Calc!BD33</f>
        <v>6.8864399112346932</v>
      </c>
      <c r="S33" s="15">
        <f>Input!E33</f>
        <v>0</v>
      </c>
      <c r="T33" s="68"/>
      <c r="U33" s="68">
        <f>Input!K33</f>
        <v>7.1344270357680921E-3</v>
      </c>
      <c r="W33" s="68">
        <f>Calc!AS33</f>
        <v>2.135249465687404E-5</v>
      </c>
      <c r="X33" s="68">
        <f>Calc!AT33</f>
        <v>7.8191825387329959E-8</v>
      </c>
      <c r="Y33" s="68">
        <f>Calc!AN33</f>
        <v>0.99897624188028933</v>
      </c>
      <c r="Z33" s="68">
        <f>Calc!AO33</f>
        <v>1.7038904108179684E-3</v>
      </c>
      <c r="AA33" s="68">
        <f t="shared" si="2"/>
        <v>1.000512264243665</v>
      </c>
      <c r="AB33" s="68">
        <f t="shared" si="3"/>
        <v>0.18887926392625098</v>
      </c>
    </row>
    <row r="34" spans="1:28" x14ac:dyDescent="0.2">
      <c r="H34" s="74"/>
    </row>
    <row r="35" spans="1:28" x14ac:dyDescent="0.2">
      <c r="A35" s="13">
        <f>Input!A35</f>
        <v>10815</v>
      </c>
      <c r="B35" s="13" t="str">
        <f>Input!B35</f>
        <v>Hu1-13</v>
      </c>
      <c r="C35" s="171">
        <f>Calc!O35</f>
        <v>13.701005572461899</v>
      </c>
      <c r="D35" s="171">
        <f>Calc!P35</f>
        <v>1.2679556474339518E-3</v>
      </c>
      <c r="E35" s="171">
        <f>Calc!X35</f>
        <v>0.923992502149387</v>
      </c>
      <c r="F35" s="171">
        <f>Calc!Y35</f>
        <v>4.4315826103448778E-3</v>
      </c>
      <c r="G35" s="171">
        <f>Calc!AN35</f>
        <v>0.99668782126488986</v>
      </c>
      <c r="H35" s="172">
        <f>Calc!AO35</f>
        <v>4.2913021460228157E-3</v>
      </c>
      <c r="I35" s="15">
        <f>Calc!AH35</f>
        <v>45167.596039208824</v>
      </c>
      <c r="J35" s="15">
        <f>Calc!AI35</f>
        <v>291.08443988416491</v>
      </c>
      <c r="K35" s="15">
        <f>Calc!AJ35</f>
        <v>0.57479931162940368</v>
      </c>
      <c r="L35" s="15">
        <f>Calc!AK35</f>
        <v>1.1940973290673589</v>
      </c>
      <c r="M35" s="173">
        <f>Calc!AP35</f>
        <v>598.76110000000006</v>
      </c>
      <c r="N35" s="173" t="e">
        <f>Calc!AQ35</f>
        <v>#VALUE!</v>
      </c>
      <c r="O35" s="173">
        <f>Calc!AW35</f>
        <v>598.75930000000005</v>
      </c>
      <c r="P35" s="173">
        <f>Calc!AX35</f>
        <v>276.64760331100001</v>
      </c>
      <c r="Q35" s="178">
        <f>Calc!BC35</f>
        <v>3.1142873556937296</v>
      </c>
      <c r="R35" s="173">
        <f>Calc!BD35</f>
        <v>6.5561957434879927</v>
      </c>
      <c r="S35" s="15">
        <f>Input!E35</f>
        <v>0</v>
      </c>
      <c r="T35" s="68"/>
      <c r="U35" s="68">
        <f>Input!K35</f>
        <v>7.1415547944141799E-3</v>
      </c>
      <c r="W35" s="68">
        <f>Calc!AS35</f>
        <v>2.2066434981389997E-5</v>
      </c>
      <c r="X35" s="68">
        <f>Calc!AT35</f>
        <v>1.058530586681609E-7</v>
      </c>
      <c r="Y35" s="68">
        <f>Calc!AN35</f>
        <v>0.99668782126488986</v>
      </c>
      <c r="Z35" s="68">
        <f>Calc!AO35</f>
        <v>4.2913021460228157E-3</v>
      </c>
      <c r="AA35" s="68">
        <f t="shared" ref="AA35:AA43" si="4">1+K35/1000</f>
        <v>1.0005747993116294</v>
      </c>
      <c r="AB35" s="68">
        <f t="shared" ref="AB35:AB43" si="5">J35/1000</f>
        <v>0.29108443988416488</v>
      </c>
    </row>
    <row r="36" spans="1:28" x14ac:dyDescent="0.2">
      <c r="A36" s="68">
        <f>Input!A36</f>
        <v>10913</v>
      </c>
      <c r="B36" s="68" t="str">
        <f>Input!B36</f>
        <v>GeoB20582-1_2_17-21</v>
      </c>
      <c r="C36" s="175">
        <f>Calc!O36</f>
        <v>2.9514683711748964</v>
      </c>
      <c r="D36" s="175">
        <f>Calc!P36</f>
        <v>1.3665109506582457E-4</v>
      </c>
      <c r="E36" s="175">
        <f>Calc!X36</f>
        <v>0.33054518849619285</v>
      </c>
      <c r="F36" s="175">
        <f>Calc!Y36</f>
        <v>6.3420728199211176E-4</v>
      </c>
      <c r="G36" s="175">
        <f>Calc!AN36</f>
        <v>5.3171585152214665E-2</v>
      </c>
      <c r="H36" s="71">
        <f>Calc!AO36</f>
        <v>1.8802633480558608E-4</v>
      </c>
      <c r="I36" s="70">
        <f>Calc!AH36</f>
        <v>1445.5763699607048</v>
      </c>
      <c r="J36" s="70">
        <f>Calc!AI36</f>
        <v>5.8154573999985626</v>
      </c>
      <c r="K36" s="70">
        <f>Calc!AJ36</f>
        <v>144.68643893330201</v>
      </c>
      <c r="L36" s="70">
        <f>Calc!AK36</f>
        <v>0.66381381026504616</v>
      </c>
      <c r="M36" s="176">
        <f>Calc!AP36</f>
        <v>5.1818</v>
      </c>
      <c r="N36" s="176">
        <f>Calc!AQ36</f>
        <v>1.77E-2</v>
      </c>
      <c r="O36" s="176">
        <f>Calc!AW36</f>
        <v>5.1539000000000001</v>
      </c>
      <c r="P36" s="176">
        <f>Calc!AY36</f>
        <v>2.3597143157142984E-2</v>
      </c>
      <c r="Q36" s="177">
        <f>Calc!BC36</f>
        <v>146.80622586143107</v>
      </c>
      <c r="R36" s="176">
        <f>Calc!BD36</f>
        <v>0.67361022720187291</v>
      </c>
      <c r="S36" s="70">
        <f>Input!E36</f>
        <v>19</v>
      </c>
      <c r="T36" s="68"/>
      <c r="U36" s="68">
        <f>Input!K36</f>
        <v>7.1385282790529187E-3</v>
      </c>
      <c r="W36" s="68">
        <f>Calc!AS36</f>
        <v>3.664450647624189E-5</v>
      </c>
      <c r="X36" s="68">
        <f>Calc!AT36</f>
        <v>7.0329198856970547E-8</v>
      </c>
      <c r="Y36" s="68">
        <f>Calc!AN36</f>
        <v>5.3171585152214665E-2</v>
      </c>
      <c r="Z36" s="68">
        <f>Calc!AO36</f>
        <v>1.8802633480558608E-4</v>
      </c>
      <c r="AA36" s="68">
        <f t="shared" si="4"/>
        <v>1.144686438933302</v>
      </c>
      <c r="AB36" s="68">
        <f t="shared" si="5"/>
        <v>5.8154573999985625E-3</v>
      </c>
    </row>
    <row r="37" spans="1:28" x14ac:dyDescent="0.2">
      <c r="A37" s="13">
        <f>Input!A37</f>
        <v>10815</v>
      </c>
      <c r="B37" s="13" t="str">
        <f>Input!B37</f>
        <v>Hu1-13</v>
      </c>
      <c r="C37" s="171">
        <f>Calc!O37</f>
        <v>13.699121719216944</v>
      </c>
      <c r="D37" s="171">
        <f>Calc!P37</f>
        <v>1.0905861148760088E-3</v>
      </c>
      <c r="E37" s="171">
        <f>Calc!X37</f>
        <v>0.90665134518507651</v>
      </c>
      <c r="F37" s="171">
        <f>Calc!Y37</f>
        <v>3.4527118140236564E-3</v>
      </c>
      <c r="G37" s="171">
        <f>Calc!AN37</f>
        <v>0.99582124158447749</v>
      </c>
      <c r="H37" s="172">
        <f>Calc!AO37</f>
        <v>2.6764773628969521E-3</v>
      </c>
      <c r="I37" s="15">
        <f>Calc!AH37</f>
        <v>45985.152315560488</v>
      </c>
      <c r="J37" s="15">
        <f>Calc!AI37</f>
        <v>214.31175585188092</v>
      </c>
      <c r="K37" s="15">
        <f>Calc!AJ37</f>
        <v>-0.4331851659570285</v>
      </c>
      <c r="L37" s="15">
        <f>Calc!AK37</f>
        <v>1.267566250175634</v>
      </c>
      <c r="M37" s="173">
        <f>Calc!AP37</f>
        <v>614.62469999999996</v>
      </c>
      <c r="N37" s="173" t="e">
        <f>Calc!AQ37</f>
        <v>#VALUE!</v>
      </c>
      <c r="O37" s="173">
        <f>Calc!AW37</f>
        <v>614.62289999999996</v>
      </c>
      <c r="P37" s="173">
        <f>Calc!AX37</f>
        <v>245.60493961029999</v>
      </c>
      <c r="Q37" s="178">
        <f>Calc!BC37</f>
        <v>-2.4544745206385072</v>
      </c>
      <c r="R37" s="173">
        <f>Calc!BD37</f>
        <v>7.2142931163983732</v>
      </c>
      <c r="S37" s="15">
        <f>Input!E37</f>
        <v>0</v>
      </c>
      <c r="T37" s="68"/>
      <c r="U37" s="68">
        <f>Input!K37</f>
        <v>7.1342590684235997E-3</v>
      </c>
      <c r="W37" s="68">
        <f>Calc!AS37</f>
        <v>2.1655277658991483E-5</v>
      </c>
      <c r="X37" s="68">
        <f>Calc!AT37</f>
        <v>8.2485697762392784E-8</v>
      </c>
      <c r="Y37" s="68">
        <f>Calc!AN37</f>
        <v>0.99582124158447749</v>
      </c>
      <c r="Z37" s="68">
        <f>Calc!AO37</f>
        <v>2.6764773628969521E-3</v>
      </c>
      <c r="AA37" s="68">
        <f t="shared" si="4"/>
        <v>0.99956681483404297</v>
      </c>
      <c r="AB37" s="68">
        <f t="shared" si="5"/>
        <v>0.21431175585188092</v>
      </c>
    </row>
    <row r="38" spans="1:28" x14ac:dyDescent="0.2">
      <c r="A38" s="68">
        <f>Input!A38</f>
        <v>10914</v>
      </c>
      <c r="B38" s="68" t="str">
        <f>Input!B38</f>
        <v>GeoB20582-1_2_62-63</v>
      </c>
      <c r="C38" s="175">
        <f>Calc!O38</f>
        <v>3.6330279988626386</v>
      </c>
      <c r="D38" s="175">
        <f>Calc!P38</f>
        <v>2.0740715266052469E-4</v>
      </c>
      <c r="E38" s="175">
        <f>Calc!X38</f>
        <v>0.20566864091740897</v>
      </c>
      <c r="F38" s="175">
        <f>Calc!Y38</f>
        <v>6.2923918657789069E-4</v>
      </c>
      <c r="G38" s="175">
        <f>Calc!AN38</f>
        <v>6.0772157991844829E-2</v>
      </c>
      <c r="H38" s="71">
        <f>Calc!AO38</f>
        <v>2.2973031439579787E-4</v>
      </c>
      <c r="I38" s="70">
        <f>Calc!AH38</f>
        <v>3267.3956204229612</v>
      </c>
      <c r="J38" s="70">
        <f>Calc!AI38</f>
        <v>15.888750331976093</v>
      </c>
      <c r="K38" s="70">
        <f>Calc!AJ38</f>
        <v>144.85119438081284</v>
      </c>
      <c r="L38" s="70">
        <f>Calc!AK38</f>
        <v>0.67537395336348971</v>
      </c>
      <c r="M38" s="176">
        <f>Calc!AP38</f>
        <v>5.9413</v>
      </c>
      <c r="N38" s="176">
        <f>Calc!AQ38</f>
        <v>2.2700000000000001E-2</v>
      </c>
      <c r="O38" s="176">
        <f>Calc!AW38</f>
        <v>5.9272</v>
      </c>
      <c r="P38" s="176">
        <f>Calc!AY38</f>
        <v>2.4410301076127842E-2</v>
      </c>
      <c r="Q38" s="177">
        <f>Calc!BC38</f>
        <v>147.29448524777024</v>
      </c>
      <c r="R38" s="176">
        <f>Calc!BD38</f>
        <v>0.68684083879927205</v>
      </c>
      <c r="S38" s="70">
        <f>Input!E38</f>
        <v>62.5</v>
      </c>
      <c r="T38" s="68"/>
      <c r="U38" s="68">
        <f>Input!K38</f>
        <v>7.1379152296661185E-3</v>
      </c>
      <c r="W38" s="68">
        <f>Calc!AS38</f>
        <v>1.8523178168497722E-5</v>
      </c>
      <c r="X38" s="68">
        <f>Calc!AT38</f>
        <v>5.6681166817752934E-8</v>
      </c>
      <c r="Y38" s="68">
        <f>Calc!AN38</f>
        <v>6.0772157991844829E-2</v>
      </c>
      <c r="Z38" s="68">
        <f>Calc!AO38</f>
        <v>2.2973031439579787E-4</v>
      </c>
      <c r="AA38" s="68">
        <f t="shared" si="4"/>
        <v>1.1448511943808128</v>
      </c>
      <c r="AB38" s="68">
        <f t="shared" si="5"/>
        <v>1.5888750331976093E-2</v>
      </c>
    </row>
    <row r="39" spans="1:28" x14ac:dyDescent="0.2">
      <c r="A39" s="13">
        <f>Input!A39</f>
        <v>10815</v>
      </c>
      <c r="B39" s="13" t="str">
        <f>Input!B39</f>
        <v>Hu1-13</v>
      </c>
      <c r="C39" s="171">
        <f>Calc!O39</f>
        <v>13.701356569488018</v>
      </c>
      <c r="D39" s="171">
        <f>Calc!P39</f>
        <v>1.239606789361347E-3</v>
      </c>
      <c r="E39" s="171">
        <f>Calc!X39</f>
        <v>0.90774838004753911</v>
      </c>
      <c r="F39" s="171">
        <f>Calc!Y39</f>
        <v>2.797105370354895E-3</v>
      </c>
      <c r="G39" s="171">
        <f>Calc!AN39</f>
        <v>0.99596424782287063</v>
      </c>
      <c r="H39" s="172">
        <f>Calc!AO39</f>
        <v>2.5088467651444286E-3</v>
      </c>
      <c r="I39" s="15">
        <f>Calc!AH39</f>
        <v>45943.667921758883</v>
      </c>
      <c r="J39" s="15">
        <f>Calc!AI39</f>
        <v>182.80765175949335</v>
      </c>
      <c r="K39" s="15">
        <f>Calc!AJ39</f>
        <v>-0.35889387334220313</v>
      </c>
      <c r="L39" s="15">
        <f>Calc!AK39</f>
        <v>1.2771945161313358</v>
      </c>
      <c r="M39" s="173">
        <f>Calc!AP39</f>
        <v>615.78909999999996</v>
      </c>
      <c r="N39" s="173" t="e">
        <f>Calc!AQ39</f>
        <v>#VALUE!</v>
      </c>
      <c r="O39" s="173">
        <f>Calc!AW39</f>
        <v>615.78729999999996</v>
      </c>
      <c r="P39" s="173">
        <f>Calc!AX39</f>
        <v>224.63962610639999</v>
      </c>
      <c r="Q39" s="178">
        <f>Calc!BC39</f>
        <v>-2.0402251230616493</v>
      </c>
      <c r="R39" s="173">
        <f>Calc!BD39</f>
        <v>7.2812036295482283</v>
      </c>
      <c r="S39" s="15">
        <f>Input!E39</f>
        <v>0</v>
      </c>
      <c r="T39" s="68"/>
      <c r="U39" s="68">
        <f>Input!K39</f>
        <v>7.1304685354482101E-3</v>
      </c>
      <c r="W39" s="68">
        <f>Calc!AS39</f>
        <v>2.1677943727065437E-5</v>
      </c>
      <c r="X39" s="68">
        <f>Calc!AT39</f>
        <v>6.6826474421451121E-8</v>
      </c>
      <c r="Y39" s="68">
        <f>Calc!AN39</f>
        <v>0.99596424782287063</v>
      </c>
      <c r="Z39" s="68">
        <f>Calc!AO39</f>
        <v>2.5088467651444286E-3</v>
      </c>
      <c r="AA39" s="68">
        <f t="shared" si="4"/>
        <v>0.9996411061266578</v>
      </c>
      <c r="AB39" s="68">
        <f t="shared" si="5"/>
        <v>0.18280765175949334</v>
      </c>
    </row>
    <row r="40" spans="1:28" x14ac:dyDescent="0.2">
      <c r="A40" s="68">
        <f>Input!A40</f>
        <v>10915</v>
      </c>
      <c r="B40" s="68" t="str">
        <f>Input!B40</f>
        <v>GeoB20582-1_2_83-86</v>
      </c>
      <c r="C40" s="175">
        <f>Calc!O40</f>
        <v>3.2734272863394054</v>
      </c>
      <c r="D40" s="175">
        <f>Calc!P40</f>
        <v>1.3032214299262264E-4</v>
      </c>
      <c r="E40" s="175">
        <f>Calc!X40</f>
        <v>0.10157726791933541</v>
      </c>
      <c r="F40" s="175">
        <f>Calc!Y40</f>
        <v>3.6832804354381944E-4</v>
      </c>
      <c r="G40" s="175">
        <f>Calc!AN40</f>
        <v>6.4094301163011749E-2</v>
      </c>
      <c r="H40" s="71">
        <f>Calc!AO40</f>
        <v>2.036598324730884E-4</v>
      </c>
      <c r="I40" s="70">
        <f>Calc!AH40</f>
        <v>6293.0482583512121</v>
      </c>
      <c r="J40" s="70">
        <f>Calc!AI40</f>
        <v>30.3397048679048</v>
      </c>
      <c r="K40" s="70">
        <f>Calc!AJ40</f>
        <v>144.56041371457019</v>
      </c>
      <c r="L40" s="70">
        <f>Calc!AK40</f>
        <v>0.64823059521018589</v>
      </c>
      <c r="M40" s="176">
        <f>Calc!AP40</f>
        <v>6.2769000000000004</v>
      </c>
      <c r="N40" s="176">
        <f>Calc!AQ40</f>
        <v>1.8499999999999999E-2</v>
      </c>
      <c r="O40" s="176">
        <f>Calc!AW40</f>
        <v>6.2691999999999997</v>
      </c>
      <c r="P40" s="176">
        <f>Calc!AY40</f>
        <v>2.1215828962480018E-2</v>
      </c>
      <c r="Q40" s="177">
        <f>Calc!BC40</f>
        <v>147.14074338494635</v>
      </c>
      <c r="R40" s="176">
        <f>Calc!BD40</f>
        <v>0.65985999143415475</v>
      </c>
      <c r="S40" s="70">
        <f>Input!E40</f>
        <v>84.5</v>
      </c>
      <c r="T40" s="68"/>
      <c r="U40" s="68">
        <f>Input!K40</f>
        <v>7.1347332906887108E-3</v>
      </c>
      <c r="W40" s="68">
        <f>Calc!AS40</f>
        <v>1.0153365031598631E-5</v>
      </c>
      <c r="X40" s="68">
        <f>Calc!AT40</f>
        <v>3.6819207242711246E-8</v>
      </c>
      <c r="Y40" s="68">
        <f>Calc!AN40</f>
        <v>6.4094301163011749E-2</v>
      </c>
      <c r="Z40" s="68">
        <f>Calc!AO40</f>
        <v>2.036598324730884E-4</v>
      </c>
      <c r="AA40" s="68">
        <f t="shared" si="4"/>
        <v>1.1445604137145702</v>
      </c>
      <c r="AB40" s="68">
        <f t="shared" si="5"/>
        <v>3.0339704867904799E-2</v>
      </c>
    </row>
    <row r="41" spans="1:28" x14ac:dyDescent="0.2">
      <c r="A41" s="13">
        <f>Input!A41</f>
        <v>10815</v>
      </c>
      <c r="B41" s="13" t="str">
        <f>Input!B41</f>
        <v>Hu1-13</v>
      </c>
      <c r="C41" s="171">
        <f>Calc!O41</f>
        <v>13.70117894067667</v>
      </c>
      <c r="D41" s="171">
        <f>Calc!P41</f>
        <v>1.2396758710580622E-3</v>
      </c>
      <c r="E41" s="171">
        <f>Calc!X41</f>
        <v>0.90346338532373882</v>
      </c>
      <c r="F41" s="171">
        <f>Calc!Y41</f>
        <v>2.8342690585403825E-3</v>
      </c>
      <c r="G41" s="171">
        <f>Calc!AN41</f>
        <v>0.99783597993839102</v>
      </c>
      <c r="H41" s="172">
        <f>Calc!AO41</f>
        <v>2.6355055305248192E-3</v>
      </c>
      <c r="I41" s="15">
        <f>Calc!AH41</f>
        <v>46247.7246494547</v>
      </c>
      <c r="J41" s="15">
        <f>Calc!AI41</f>
        <v>189.61204425593328</v>
      </c>
      <c r="K41" s="15">
        <f>Calc!AJ41</f>
        <v>0.41286613523894289</v>
      </c>
      <c r="L41" s="15">
        <f>Calc!AK41</f>
        <v>1.2544549337094719</v>
      </c>
      <c r="M41" s="173">
        <f>Calc!AP41</f>
        <v>642.93719999999996</v>
      </c>
      <c r="N41" s="173" t="e">
        <f>Calc!AQ41</f>
        <v>#VALUE!</v>
      </c>
      <c r="O41" s="173">
        <f>Calc!AW41</f>
        <v>642.93539999999996</v>
      </c>
      <c r="P41" s="173">
        <f>Calc!AX41</f>
        <v>282.52734767520002</v>
      </c>
      <c r="Q41" s="178">
        <f>Calc!BC41</f>
        <v>2.5339273429310154</v>
      </c>
      <c r="R41" s="173">
        <f>Calc!BD41</f>
        <v>7.7508111699887214</v>
      </c>
      <c r="S41" s="15">
        <f>Input!E41</f>
        <v>0</v>
      </c>
      <c r="T41" s="68"/>
      <c r="U41" s="68">
        <f>Input!K41</f>
        <v>7.1256524542655329E-3</v>
      </c>
      <c r="W41" s="68">
        <f>Calc!AS41</f>
        <v>2.1575893462904805E-5</v>
      </c>
      <c r="X41" s="68">
        <f>Calc!AT41</f>
        <v>6.7714217562545761E-8</v>
      </c>
      <c r="Y41" s="68">
        <f>Calc!AN41</f>
        <v>0.99783597993839102</v>
      </c>
      <c r="Z41" s="68">
        <f>Calc!AO41</f>
        <v>2.6355055305248192E-3</v>
      </c>
      <c r="AA41" s="68">
        <f t="shared" si="4"/>
        <v>1.0004128661352389</v>
      </c>
      <c r="AB41" s="68">
        <f t="shared" si="5"/>
        <v>0.18961204425593328</v>
      </c>
    </row>
    <row r="42" spans="1:28" x14ac:dyDescent="0.2">
      <c r="A42" s="68">
        <f>Input!A42</f>
        <v>10916</v>
      </c>
      <c r="B42" s="68" t="str">
        <f>Input!B42</f>
        <v>GeoB20582-1_3_124-125</v>
      </c>
      <c r="C42" s="175">
        <f>Calc!O42</f>
        <v>3.5231993395208079</v>
      </c>
      <c r="D42" s="175">
        <f>Calc!P42</f>
        <v>1.2165441936086783E-4</v>
      </c>
      <c r="E42" s="175">
        <f>Calc!X42</f>
        <v>0.85364705447840628</v>
      </c>
      <c r="F42" s="175">
        <f>Calc!Y42</f>
        <v>1.6837529909736102E-3</v>
      </c>
      <c r="G42" s="175">
        <f>Calc!AN42</f>
        <v>6.4829317452443247E-2</v>
      </c>
      <c r="H42" s="71">
        <f>Calc!AO42</f>
        <v>2.2123007959856891E-4</v>
      </c>
      <c r="I42" s="70">
        <f>Calc!AH42</f>
        <v>816.87406222838865</v>
      </c>
      <c r="J42" s="70">
        <f>Calc!AI42</f>
        <v>3.2196052130907633</v>
      </c>
      <c r="K42" s="70">
        <f>Calc!AJ42</f>
        <v>145.01974626278869</v>
      </c>
      <c r="L42" s="70">
        <f>Calc!AK42</f>
        <v>0.51748358369422609</v>
      </c>
      <c r="M42" s="176">
        <f>Calc!AP42</f>
        <v>6.3483000000000001</v>
      </c>
      <c r="N42" s="176">
        <f>Calc!AQ42</f>
        <v>2.4E-2</v>
      </c>
      <c r="O42" s="176">
        <f>Calc!AW42</f>
        <v>6.2880000000000003</v>
      </c>
      <c r="P42" s="176">
        <f>Calc!AY42</f>
        <v>3.765540917677003E-2</v>
      </c>
      <c r="Q42" s="177">
        <f>Calc!BC42</f>
        <v>147.61610630954425</v>
      </c>
      <c r="R42" s="176">
        <f>Calc!BD42</f>
        <v>0.52698186818378634</v>
      </c>
      <c r="S42" s="70">
        <f>Input!E42</f>
        <v>124.5</v>
      </c>
      <c r="T42" s="68"/>
      <c r="U42" s="68">
        <f>Input!K42</f>
        <v>7.1317945133495533E-3</v>
      </c>
      <c r="W42" s="68">
        <f>Calc!AS42</f>
        <v>7.9278842562608762E-5</v>
      </c>
      <c r="X42" s="68">
        <f>Calc!AT42</f>
        <v>1.563953631994012E-7</v>
      </c>
      <c r="Y42" s="68">
        <f>Calc!AN42</f>
        <v>6.4829317452443247E-2</v>
      </c>
      <c r="Z42" s="68">
        <f>Calc!AO42</f>
        <v>2.2123007959856891E-4</v>
      </c>
      <c r="AA42" s="68">
        <f t="shared" si="4"/>
        <v>1.1450197462627887</v>
      </c>
      <c r="AB42" s="68">
        <f t="shared" si="5"/>
        <v>3.2196052130907633E-3</v>
      </c>
    </row>
    <row r="43" spans="1:28" x14ac:dyDescent="0.2">
      <c r="A43" s="13">
        <f>Input!A43</f>
        <v>10815</v>
      </c>
      <c r="B43" s="13" t="str">
        <f>Input!B43</f>
        <v>Hu1-13</v>
      </c>
      <c r="C43" s="171">
        <f>Calc!O43</f>
        <v>13.700144950652199</v>
      </c>
      <c r="D43" s="171">
        <f>Calc!P43</f>
        <v>1.288291461593526E-3</v>
      </c>
      <c r="E43" s="171">
        <f>Calc!X43</f>
        <v>0.89550613558157555</v>
      </c>
      <c r="F43" s="171">
        <f>Calc!Y43</f>
        <v>2.7387519987047528E-3</v>
      </c>
      <c r="G43" s="171">
        <f>Calc!AN43</f>
        <v>1.0000511710528133</v>
      </c>
      <c r="H43" s="172">
        <f>Calc!AO43</f>
        <v>2.5669052225243197E-3</v>
      </c>
      <c r="I43" s="15">
        <f>Calc!AH43</f>
        <v>46758.723692285399</v>
      </c>
      <c r="J43" s="15">
        <f>Calc!AI43</f>
        <v>186.64205508265613</v>
      </c>
      <c r="K43" s="15">
        <f>Calc!AJ43</f>
        <v>5.7031931106843459E-2</v>
      </c>
      <c r="L43" s="15">
        <f>Calc!AK43</f>
        <v>1.1588482562016964</v>
      </c>
      <c r="M43" s="173" t="str">
        <f>Calc!AP43</f>
        <v>Out of range</v>
      </c>
      <c r="N43" s="173" t="e">
        <f>Calc!AQ43</f>
        <v>#VALUE!</v>
      </c>
      <c r="O43" s="173" t="str">
        <f>Calc!AW43</f>
        <v>Out of range</v>
      </c>
      <c r="P43" s="173">
        <f>Calc!AX43</f>
        <v>351.41048907779998</v>
      </c>
      <c r="Q43" s="178" t="e">
        <f>Calc!BC43</f>
        <v>#VALUE!</v>
      </c>
      <c r="R43" s="173" t="e">
        <f>Calc!BD43</f>
        <v>#VALUE!</v>
      </c>
      <c r="S43" s="15">
        <f>Input!E43</f>
        <v>0</v>
      </c>
      <c r="T43" s="68"/>
      <c r="U43" s="68">
        <f>Input!K43</f>
        <v>7.1198640135254855E-3</v>
      </c>
      <c r="W43" s="68">
        <f>Calc!AS43</f>
        <v>2.138747793104988E-5</v>
      </c>
      <c r="X43" s="68">
        <f>Calc!AT43</f>
        <v>6.5440846336841069E-8</v>
      </c>
      <c r="Y43" s="68">
        <f>Calc!AN43</f>
        <v>1.0000511710528133</v>
      </c>
      <c r="Z43" s="68">
        <f>Calc!AO43</f>
        <v>2.5669052225243197E-3</v>
      </c>
      <c r="AA43" s="68">
        <f t="shared" si="4"/>
        <v>1.0000570319311068</v>
      </c>
      <c r="AB43" s="68">
        <f t="shared" si="5"/>
        <v>0.18664205508265613</v>
      </c>
    </row>
    <row r="44" spans="1:28" x14ac:dyDescent="0.2">
      <c r="H44" s="74"/>
    </row>
    <row r="45" spans="1:28" x14ac:dyDescent="0.2">
      <c r="A45" s="13">
        <f>Input!A45</f>
        <v>10815</v>
      </c>
      <c r="B45" s="13" t="str">
        <f>Input!B45</f>
        <v>Hu1-13</v>
      </c>
      <c r="C45" s="171">
        <f>Calc!O45</f>
        <v>13.700032109856787</v>
      </c>
      <c r="D45" s="171">
        <f>Calc!P45</f>
        <v>1.9604289623395819E-3</v>
      </c>
      <c r="E45" s="171">
        <f>Calc!X45</f>
        <v>0.96730852134492029</v>
      </c>
      <c r="F45" s="171">
        <f>Calc!Y45</f>
        <v>5.7651845563179973E-3</v>
      </c>
      <c r="G45" s="171">
        <f>Calc!AN45</f>
        <v>1.0006806842222686</v>
      </c>
      <c r="H45" s="172">
        <f>Calc!AO45</f>
        <v>4.4539030730577295E-3</v>
      </c>
      <c r="I45" s="15">
        <f>Calc!AH45</f>
        <v>43314.76050901998</v>
      </c>
      <c r="J45" s="15">
        <f>Calc!AI45</f>
        <v>322.13987109599321</v>
      </c>
      <c r="K45" s="15">
        <f>Calc!AJ45</f>
        <v>0.28884946810570078</v>
      </c>
      <c r="L45" s="15">
        <f>Calc!AK45</f>
        <v>2.3760174189235799</v>
      </c>
      <c r="M45" s="173" t="str">
        <f>Calc!AP45</f>
        <v>Out of range</v>
      </c>
      <c r="N45" s="173" t="e">
        <f>Calc!AQ45</f>
        <v>#VALUE!</v>
      </c>
      <c r="O45" s="173" t="str">
        <f>Calc!AW45</f>
        <v>Out of range</v>
      </c>
      <c r="P45" s="173">
        <f>Calc!AX45</f>
        <v>330.63900313400001</v>
      </c>
      <c r="Q45" s="178" t="e">
        <f>Calc!BC45</f>
        <v>#VALUE!</v>
      </c>
      <c r="R45" s="173" t="e">
        <f>Calc!BD45</f>
        <v>#VALUE!</v>
      </c>
      <c r="S45" s="15">
        <f>Input!E45</f>
        <v>0</v>
      </c>
      <c r="T45" s="68"/>
      <c r="U45" s="68">
        <f>Input!K45</f>
        <v>7.1967627141539502E-3</v>
      </c>
      <c r="W45" s="68">
        <f>Calc!AS45</f>
        <v>2.3102533004052607E-5</v>
      </c>
      <c r="X45" s="68">
        <f>Calc!AT45</f>
        <v>1.3773139272356942E-7</v>
      </c>
      <c r="Y45" s="68">
        <f>Calc!AN45</f>
        <v>1.0006806842222686</v>
      </c>
      <c r="Z45" s="68">
        <f>Calc!AO45</f>
        <v>4.4539030730577295E-3</v>
      </c>
      <c r="AA45" s="68">
        <f t="shared" ref="AA45:AA53" si="6">1+K45/1000</f>
        <v>1.0002888494681057</v>
      </c>
      <c r="AB45" s="68">
        <f t="shared" ref="AB45:AB53" si="7">J45/1000</f>
        <v>0.32213987109599324</v>
      </c>
    </row>
    <row r="46" spans="1:28" x14ac:dyDescent="0.2">
      <c r="A46" s="68">
        <f>Input!A46</f>
        <v>10929</v>
      </c>
      <c r="B46" s="68" t="str">
        <f>Input!B46</f>
        <v>CSM_1779</v>
      </c>
      <c r="C46" s="175">
        <f>Calc!O46</f>
        <v>2.5764858698788724</v>
      </c>
      <c r="D46" s="175">
        <f>Calc!P46</f>
        <v>2.956034561138519E-4</v>
      </c>
      <c r="E46" s="175">
        <f>Calc!X46</f>
        <v>2.2835160186741321E-2</v>
      </c>
      <c r="F46" s="175">
        <f>Calc!Y46</f>
        <v>3.0993590292964203E-4</v>
      </c>
      <c r="G46" s="175">
        <f>Calc!AN46</f>
        <v>3.486318685116088E-3</v>
      </c>
      <c r="H46" s="71">
        <f>Calc!AO46</f>
        <v>8.5470621617307873E-5</v>
      </c>
      <c r="I46" s="70">
        <f>Calc!AH46</f>
        <v>1202.9242104126008</v>
      </c>
      <c r="J46" s="70">
        <f>Calc!AI46</f>
        <v>33.708526617367205</v>
      </c>
      <c r="K46" s="70">
        <f>Calc!AJ46</f>
        <v>146.70643828413387</v>
      </c>
      <c r="L46" s="70">
        <f>Calc!AK46</f>
        <v>0.96602926566451919</v>
      </c>
      <c r="M46" s="176">
        <f>Calc!AP46</f>
        <v>0.33200000000000002</v>
      </c>
      <c r="N46" s="176">
        <f>Calc!AQ46</f>
        <v>8.5000000000000006E-3</v>
      </c>
      <c r="O46" s="176">
        <f>Calc!AW46</f>
        <v>0.32979999999999998</v>
      </c>
      <c r="P46" s="176">
        <f>Calc!AY46</f>
        <v>8.2420880833175263E-3</v>
      </c>
      <c r="Q46" s="177">
        <f>Calc!BC46</f>
        <v>146.84304378432313</v>
      </c>
      <c r="R46" s="176">
        <f>Calc!BD46</f>
        <v>0.96693481486858213</v>
      </c>
      <c r="S46" s="70">
        <f>Input!E46</f>
        <v>0</v>
      </c>
      <c r="T46" s="68"/>
      <c r="U46" s="68">
        <f>Input!K46</f>
        <v>7.1986156521683681E-3</v>
      </c>
      <c r="W46" s="68">
        <f>Calc!AS46</f>
        <v>2.8999630759005881E-6</v>
      </c>
      <c r="X46" s="68">
        <f>Calc!AT46</f>
        <v>3.9361877827271638E-8</v>
      </c>
      <c r="Y46" s="68">
        <f>Calc!AN46</f>
        <v>3.486318685116088E-3</v>
      </c>
      <c r="Z46" s="68">
        <f>Calc!AO46</f>
        <v>8.5470621617307873E-5</v>
      </c>
      <c r="AA46" s="68">
        <f t="shared" si="6"/>
        <v>1.1467064382841339</v>
      </c>
      <c r="AB46" s="68">
        <f t="shared" si="7"/>
        <v>3.3708526617367209E-2</v>
      </c>
    </row>
    <row r="47" spans="1:28" x14ac:dyDescent="0.2">
      <c r="A47" s="13">
        <f>Input!A47</f>
        <v>10815</v>
      </c>
      <c r="B47" s="13" t="str">
        <f>Input!B47</f>
        <v>Hu1-13</v>
      </c>
      <c r="C47" s="171">
        <f>Calc!O47</f>
        <v>13.699752908313</v>
      </c>
      <c r="D47" s="171">
        <f>Calc!P47</f>
        <v>1.8173038519825712E-3</v>
      </c>
      <c r="E47" s="171">
        <f>Calc!X47</f>
        <v>0.96449011187312872</v>
      </c>
      <c r="F47" s="171">
        <f>Calc!Y47</f>
        <v>4.9870676926998033E-3</v>
      </c>
      <c r="G47" s="171">
        <f>Calc!AN47</f>
        <v>1.0005338393933505</v>
      </c>
      <c r="H47" s="172">
        <f>Calc!AO47</f>
        <v>2.9911601492320292E-3</v>
      </c>
      <c r="I47" s="15">
        <f>Calc!AH47</f>
        <v>43434.073861042794</v>
      </c>
      <c r="J47" s="15">
        <f>Calc!AI47</f>
        <v>259.3556434277329</v>
      </c>
      <c r="K47" s="15">
        <f>Calc!AJ47</f>
        <v>3.6907438664579573E-2</v>
      </c>
      <c r="L47" s="15">
        <f>Calc!AK47</f>
        <v>1.5847350839424175</v>
      </c>
      <c r="M47" s="173" t="str">
        <f>Calc!AP47</f>
        <v>Out of range</v>
      </c>
      <c r="N47" s="173" t="e">
        <f>Calc!AQ47</f>
        <v>#VALUE!</v>
      </c>
      <c r="O47" s="173" t="str">
        <f>Calc!AW47</f>
        <v>Out of range</v>
      </c>
      <c r="P47" s="173">
        <f>Calc!AX47</f>
        <v>344.33247331780001</v>
      </c>
      <c r="Q47" s="178" t="e">
        <f>Calc!BC47</f>
        <v>#VALUE!</v>
      </c>
      <c r="R47" s="173" t="e">
        <f>Calc!BD47</f>
        <v>#VALUE!</v>
      </c>
      <c r="S47" s="15">
        <f>Input!E47</f>
        <v>0</v>
      </c>
      <c r="T47" s="68"/>
      <c r="U47" s="68">
        <f>Input!K47</f>
        <v>7.1839665870836429E-3</v>
      </c>
      <c r="W47" s="68">
        <f>Calc!AS47</f>
        <v>2.3035689504841879E-5</v>
      </c>
      <c r="X47" s="68">
        <f>Calc!AT47</f>
        <v>1.1914932091153239E-7</v>
      </c>
      <c r="Y47" s="68">
        <f>Calc!AN47</f>
        <v>1.0005338393933505</v>
      </c>
      <c r="Z47" s="68">
        <f>Calc!AO47</f>
        <v>2.9911601492320292E-3</v>
      </c>
      <c r="AA47" s="68">
        <f t="shared" si="6"/>
        <v>1.0000369074386646</v>
      </c>
      <c r="AB47" s="68">
        <f t="shared" si="7"/>
        <v>0.25935564342773287</v>
      </c>
    </row>
    <row r="48" spans="1:28" x14ac:dyDescent="0.2">
      <c r="A48" s="68">
        <f>Input!A48</f>
        <v>10930</v>
      </c>
      <c r="B48" s="68" t="str">
        <f>Input!B48</f>
        <v>CSM_1781</v>
      </c>
      <c r="C48" s="175">
        <f>Calc!O48</f>
        <v>2.5327967269574465</v>
      </c>
      <c r="D48" s="175">
        <f>Calc!P48</f>
        <v>2.9930804214836799E-4</v>
      </c>
      <c r="E48" s="175">
        <f>Calc!X48</f>
        <v>5.5013428300199514E-2</v>
      </c>
      <c r="F48" s="175">
        <f>Calc!Y48</f>
        <v>3.1714191246577032E-4</v>
      </c>
      <c r="G48" s="175">
        <f>Calc!AN48</f>
        <v>3.454968067591423E-3</v>
      </c>
      <c r="H48" s="71">
        <f>Calc!AO48</f>
        <v>7.4566096290104963E-5</v>
      </c>
      <c r="I48" s="70">
        <f>Calc!AH48</f>
        <v>485.65583103137965</v>
      </c>
      <c r="J48" s="70">
        <f>Calc!AI48</f>
        <v>10.848881347599139</v>
      </c>
      <c r="K48" s="70">
        <f>Calc!AJ48</f>
        <v>145.93400296331026</v>
      </c>
      <c r="L48" s="70">
        <f>Calc!AK48</f>
        <v>1.0410591644043607</v>
      </c>
      <c r="M48" s="176">
        <f>Calc!AP48</f>
        <v>0.32919999999999999</v>
      </c>
      <c r="N48" s="176">
        <f>Calc!AQ48</f>
        <v>7.3000000000000001E-3</v>
      </c>
      <c r="O48" s="176">
        <f>Calc!AW48</f>
        <v>0.32379999999999998</v>
      </c>
      <c r="P48" s="176">
        <f>Calc!AY48</f>
        <v>7.6293539359477015E-3</v>
      </c>
      <c r="Q48" s="177">
        <f>Calc!BC48</f>
        <v>146.06741592439275</v>
      </c>
      <c r="R48" s="176">
        <f>Calc!BD48</f>
        <v>1.042015647196388</v>
      </c>
      <c r="S48" s="70">
        <f>Input!E48</f>
        <v>0</v>
      </c>
      <c r="T48" s="68"/>
      <c r="U48" s="68">
        <f>Input!K48</f>
        <v>7.1997368384756179E-3</v>
      </c>
      <c r="W48" s="68">
        <f>Calc!AS48</f>
        <v>7.1069710180299828E-6</v>
      </c>
      <c r="X48" s="68">
        <f>Calc!AT48</f>
        <v>4.0978938411538342E-8</v>
      </c>
      <c r="Y48" s="68">
        <f>Calc!AN48</f>
        <v>3.454968067591423E-3</v>
      </c>
      <c r="Z48" s="68">
        <f>Calc!AO48</f>
        <v>7.4566096290104963E-5</v>
      </c>
      <c r="AA48" s="68">
        <f t="shared" si="6"/>
        <v>1.1459340029633103</v>
      </c>
      <c r="AB48" s="68">
        <f t="shared" si="7"/>
        <v>1.084888134759914E-2</v>
      </c>
    </row>
    <row r="49" spans="1:28" x14ac:dyDescent="0.2">
      <c r="A49" s="13">
        <f>Input!A49</f>
        <v>10815</v>
      </c>
      <c r="B49" s="13" t="str">
        <f>Input!B49</f>
        <v>Hu1-13</v>
      </c>
      <c r="C49" s="171">
        <f>Calc!O49</f>
        <v>13.698925124556183</v>
      </c>
      <c r="D49" s="171">
        <f>Calc!P49</f>
        <v>1.4516987481115213E-3</v>
      </c>
      <c r="E49" s="171">
        <f>Calc!X49</f>
        <v>0.95989985722327131</v>
      </c>
      <c r="F49" s="171">
        <f>Calc!Y49</f>
        <v>5.1873801485708979E-3</v>
      </c>
      <c r="G49" s="171">
        <f>Calc!AN49</f>
        <v>0.99748284171795709</v>
      </c>
      <c r="H49" s="172">
        <f>Calc!AO49</f>
        <v>4.1881807565490748E-3</v>
      </c>
      <c r="I49" s="15">
        <f>Calc!AH49</f>
        <v>43506.067362749694</v>
      </c>
      <c r="J49" s="15">
        <f>Calc!AI49</f>
        <v>297.6985130541359</v>
      </c>
      <c r="K49" s="15">
        <f>Calc!AJ49</f>
        <v>0.55586865695800292</v>
      </c>
      <c r="L49" s="15">
        <f>Calc!AK49</f>
        <v>1.70658465147872</v>
      </c>
      <c r="M49" s="173">
        <f>Calc!AP49</f>
        <v>622.91</v>
      </c>
      <c r="N49" s="173" t="e">
        <f>Calc!AQ49</f>
        <v>#VALUE!</v>
      </c>
      <c r="O49" s="173">
        <f>Calc!AW49</f>
        <v>622.90809999999999</v>
      </c>
      <c r="P49" s="173">
        <f>Calc!AX49</f>
        <v>288.82743876019998</v>
      </c>
      <c r="Q49" s="178">
        <f>Calc!BC49</f>
        <v>3.2241224076445034</v>
      </c>
      <c r="R49" s="173">
        <f>Calc!BD49</f>
        <v>10.002375285025947</v>
      </c>
      <c r="S49" s="15">
        <f>Input!E49</f>
        <v>0</v>
      </c>
      <c r="T49" s="68"/>
      <c r="U49" s="68">
        <f>Input!K49</f>
        <v>7.176829466209911E-3</v>
      </c>
      <c r="W49" s="68">
        <f>Calc!AS49</f>
        <v>2.2927442128957197E-5</v>
      </c>
      <c r="X49" s="68">
        <f>Calc!AT49</f>
        <v>1.2392565961512274E-7</v>
      </c>
      <c r="Y49" s="68">
        <f>Calc!AN49</f>
        <v>0.99748284171795709</v>
      </c>
      <c r="Z49" s="68">
        <f>Calc!AO49</f>
        <v>4.1881807565490748E-3</v>
      </c>
      <c r="AA49" s="68">
        <f t="shared" si="6"/>
        <v>1.000555868656958</v>
      </c>
      <c r="AB49" s="68">
        <f t="shared" si="7"/>
        <v>0.29769851305413592</v>
      </c>
    </row>
    <row r="50" spans="1:28" x14ac:dyDescent="0.2">
      <c r="A50" s="68">
        <f>Input!A50</f>
        <v>10931</v>
      </c>
      <c r="B50" s="68" t="str">
        <f>Input!B50</f>
        <v>CSM_1784</v>
      </c>
      <c r="C50" s="175">
        <f>Calc!O50</f>
        <v>2.7086587530690109</v>
      </c>
      <c r="D50" s="175">
        <f>Calc!P50</f>
        <v>3.7151237803397061E-4</v>
      </c>
      <c r="E50" s="175">
        <f>Calc!X50</f>
        <v>4.1148005872277849E-2</v>
      </c>
      <c r="F50" s="175">
        <f>Calc!Y50</f>
        <v>1.0551369021389746E-3</v>
      </c>
      <c r="G50" s="175">
        <f>Calc!AN50</f>
        <v>4.7342813202689319E-3</v>
      </c>
      <c r="H50" s="71">
        <f>Calc!AO50</f>
        <v>1.7683474547325594E-4</v>
      </c>
      <c r="I50" s="70">
        <f>Calc!AH50</f>
        <v>950.94661952419722</v>
      </c>
      <c r="J50" s="70">
        <f>Calc!AI50</f>
        <v>43.084155928349936</v>
      </c>
      <c r="K50" s="70">
        <f>Calc!AJ50</f>
        <v>147.35071820715518</v>
      </c>
      <c r="L50" s="70">
        <f>Calc!AK50</f>
        <v>1.1276537285420354</v>
      </c>
      <c r="M50" s="176">
        <f>Calc!AP50</f>
        <v>0.45079999999999998</v>
      </c>
      <c r="N50" s="176">
        <f>Calc!AQ50</f>
        <v>1.6899999999999998E-2</v>
      </c>
      <c r="O50" s="176">
        <f>Calc!AW50</f>
        <v>0.4471</v>
      </c>
      <c r="P50" s="176">
        <f>Calc!AY50</f>
        <v>1.7008511939731904E-2</v>
      </c>
      <c r="Q50" s="177">
        <f>Calc!BC50</f>
        <v>147.53675428841248</v>
      </c>
      <c r="R50" s="176">
        <f>Calc!BD50</f>
        <v>1.1290996436616356</v>
      </c>
      <c r="S50" s="70">
        <f>Input!E50</f>
        <v>0</v>
      </c>
      <c r="T50" s="68"/>
      <c r="U50" s="68">
        <f>Input!K50</f>
        <v>7.162721170414609E-3</v>
      </c>
      <c r="W50" s="68">
        <f>Calc!AS50</f>
        <v>4.9706212191802303E-6</v>
      </c>
      <c r="X50" s="68">
        <f>Calc!AT50</f>
        <v>1.2746087661944743E-7</v>
      </c>
      <c r="Y50" s="68">
        <f>Calc!AN50</f>
        <v>4.7342813202689319E-3</v>
      </c>
      <c r="Z50" s="68">
        <f>Calc!AO50</f>
        <v>1.7683474547325594E-4</v>
      </c>
      <c r="AA50" s="68">
        <f t="shared" si="6"/>
        <v>1.1473507182071552</v>
      </c>
      <c r="AB50" s="68">
        <f t="shared" si="7"/>
        <v>4.3084155928349938E-2</v>
      </c>
    </row>
    <row r="51" spans="1:28" x14ac:dyDescent="0.2">
      <c r="A51" s="13">
        <f>Input!A51</f>
        <v>10815</v>
      </c>
      <c r="B51" s="13" t="str">
        <f>Input!B51</f>
        <v>Hu1-13</v>
      </c>
      <c r="C51" s="171">
        <f>Calc!O51</f>
        <v>13.704301222483362</v>
      </c>
      <c r="D51" s="171">
        <f>Calc!P51</f>
        <v>1.6623947743714144E-3</v>
      </c>
      <c r="E51" s="171">
        <f>Calc!X51</f>
        <v>0.95932086688495977</v>
      </c>
      <c r="F51" s="171">
        <f>Calc!Y51</f>
        <v>4.5982921017020013E-3</v>
      </c>
      <c r="G51" s="171">
        <f>Calc!AN51</f>
        <v>0.9993547458912968</v>
      </c>
      <c r="H51" s="172">
        <f>Calc!AO51</f>
        <v>3.0580721248974459E-3</v>
      </c>
      <c r="I51" s="15">
        <f>Calc!AH51</f>
        <v>43631.135252746069</v>
      </c>
      <c r="J51" s="15">
        <f>Calc!AI51</f>
        <v>248.06397254282771</v>
      </c>
      <c r="K51" s="15">
        <f>Calc!AJ51</f>
        <v>-0.49083695633667102</v>
      </c>
      <c r="L51" s="15">
        <f>Calc!AK51</f>
        <v>1.2731968596531447</v>
      </c>
      <c r="M51" s="173" t="str">
        <f>Calc!AP51</f>
        <v>Out of range</v>
      </c>
      <c r="N51" s="173" t="e">
        <f>Calc!AQ51</f>
        <v>#VALUE!</v>
      </c>
      <c r="O51" s="173" t="str">
        <f>Calc!AW51</f>
        <v>Out of range</v>
      </c>
      <c r="P51" s="173">
        <f>Calc!AX51</f>
        <v>332.29453099099999</v>
      </c>
      <c r="Q51" s="178" t="e">
        <f>Calc!BC51</f>
        <v>#VALUE!</v>
      </c>
      <c r="R51" s="173" t="e">
        <f>Calc!BD51</f>
        <v>#VALUE!</v>
      </c>
      <c r="S51" s="15">
        <f>Input!E51</f>
        <v>0</v>
      </c>
      <c r="T51" s="68"/>
      <c r="U51" s="68">
        <f>Input!K51</f>
        <v>7.1660680764826876E-3</v>
      </c>
      <c r="W51" s="68">
        <f>Calc!AS51</f>
        <v>2.2904623959524388E-5</v>
      </c>
      <c r="X51" s="68">
        <f>Calc!AT51</f>
        <v>1.0982339358898026E-7</v>
      </c>
      <c r="Y51" s="68">
        <f>Calc!AN51</f>
        <v>0.9993547458912968</v>
      </c>
      <c r="Z51" s="68">
        <f>Calc!AO51</f>
        <v>3.0580721248974459E-3</v>
      </c>
      <c r="AA51" s="68">
        <f t="shared" si="6"/>
        <v>0.99950916304366333</v>
      </c>
      <c r="AB51" s="68">
        <f t="shared" si="7"/>
        <v>0.24806397254282772</v>
      </c>
    </row>
    <row r="52" spans="1:28" x14ac:dyDescent="0.2">
      <c r="A52" s="68">
        <f>Input!A52</f>
        <v>10932</v>
      </c>
      <c r="B52" s="68" t="str">
        <f>Input!B52</f>
        <v>CSM_1788</v>
      </c>
      <c r="C52" s="175">
        <f>Calc!O52</f>
        <v>2.7311680119456883</v>
      </c>
      <c r="D52" s="175">
        <f>Calc!P52</f>
        <v>2.9407739563951411E-4</v>
      </c>
      <c r="E52" s="175">
        <f>Calc!X52</f>
        <v>2.1529148062399032E-2</v>
      </c>
      <c r="F52" s="175">
        <f>Calc!Y52</f>
        <v>4.6599574614427313E-4</v>
      </c>
      <c r="G52" s="175">
        <f>Calc!AN52</f>
        <v>8.218309560629692E-3</v>
      </c>
      <c r="H52" s="71">
        <f>Calc!AO52</f>
        <v>2.3339173444268969E-4</v>
      </c>
      <c r="I52" s="70">
        <f>Calc!AH52</f>
        <v>3182.0756544434448</v>
      </c>
      <c r="J52" s="70">
        <f>Calc!AI52</f>
        <v>113.62247160558435</v>
      </c>
      <c r="K52" s="70">
        <f>Calc!AJ52</f>
        <v>147.78678426166846</v>
      </c>
      <c r="L52" s="70">
        <f>Calc!AK52</f>
        <v>1.0594870082832366</v>
      </c>
      <c r="M52" s="176">
        <f>Calc!AP52</f>
        <v>0.78349999999999997</v>
      </c>
      <c r="N52" s="176">
        <f>Calc!AQ52</f>
        <v>2.2499999999999999E-2</v>
      </c>
      <c r="O52" s="176">
        <f>Calc!AW52</f>
        <v>0.78149999999999997</v>
      </c>
      <c r="P52" s="176">
        <f>Calc!AY52</f>
        <v>2.239112813148679E-2</v>
      </c>
      <c r="Q52" s="177">
        <f>Calc!BC52</f>
        <v>148.11307881014343</v>
      </c>
      <c r="R52" s="176">
        <f>Calc!BD52</f>
        <v>1.0618674675099733</v>
      </c>
      <c r="S52" s="70">
        <f>Input!E52</f>
        <v>0</v>
      </c>
      <c r="T52" s="68"/>
      <c r="U52" s="68">
        <f>Input!K52</f>
        <v>7.156650258553208E-3</v>
      </c>
      <c r="W52" s="68">
        <f>Calc!AS52</f>
        <v>2.5792568822935377E-6</v>
      </c>
      <c r="X52" s="68">
        <f>Calc!AT52</f>
        <v>5.5828386871649378E-8</v>
      </c>
      <c r="Y52" s="68">
        <f>Calc!AN52</f>
        <v>8.218309560629692E-3</v>
      </c>
      <c r="Z52" s="68">
        <f>Calc!AO52</f>
        <v>2.3339173444268969E-4</v>
      </c>
      <c r="AA52" s="68">
        <f t="shared" si="6"/>
        <v>1.1477867842616685</v>
      </c>
      <c r="AB52" s="68">
        <f t="shared" si="7"/>
        <v>0.11362247160558435</v>
      </c>
    </row>
    <row r="53" spans="1:28" x14ac:dyDescent="0.2">
      <c r="A53" s="13">
        <f>Input!A53</f>
        <v>10815</v>
      </c>
      <c r="B53" s="13" t="str">
        <f>Input!B53</f>
        <v>Hu1-13</v>
      </c>
      <c r="C53" s="171">
        <f>Calc!O53</f>
        <v>13.699951306606421</v>
      </c>
      <c r="D53" s="171">
        <f>Calc!P53</f>
        <v>1.537110550127066E-3</v>
      </c>
      <c r="E53" s="171">
        <f>Calc!X53</f>
        <v>0.95232152905175749</v>
      </c>
      <c r="F53" s="171">
        <f>Calc!Y53</f>
        <v>5.9525466094430979E-3</v>
      </c>
      <c r="G53" s="171">
        <f>Calc!AN53</f>
        <v>0.9979880096116035</v>
      </c>
      <c r="H53" s="172">
        <f>Calc!AO53</f>
        <v>3.6112502400297902E-3</v>
      </c>
      <c r="I53" s="15">
        <f>Calc!AH53</f>
        <v>43877.772671954532</v>
      </c>
      <c r="J53" s="15">
        <f>Calc!AI53</f>
        <v>316.86535022453177</v>
      </c>
      <c r="K53" s="15">
        <f>Calc!AJ53</f>
        <v>-1.0398853364911309</v>
      </c>
      <c r="L53" s="15">
        <f>Calc!AK53</f>
        <v>1.6577745771463064</v>
      </c>
      <c r="M53" s="173">
        <f>Calc!AP53</f>
        <v>825.0104</v>
      </c>
      <c r="N53" s="173" t="e">
        <f>Calc!AQ53</f>
        <v>#VALUE!</v>
      </c>
      <c r="O53" s="173">
        <f>Calc!AW53</f>
        <v>825.00850000000003</v>
      </c>
      <c r="P53" s="173">
        <f>Calc!AX53</f>
        <v>331.2713865577</v>
      </c>
      <c r="Q53" s="178">
        <f>Calc!BC53</f>
        <v>-10.668910391463388</v>
      </c>
      <c r="R53" s="173">
        <f>Calc!BD53</f>
        <v>32.317290001376819</v>
      </c>
      <c r="S53" s="15">
        <f>Input!E53</f>
        <v>0</v>
      </c>
      <c r="T53" s="68"/>
      <c r="U53" s="68">
        <f>Input!K53</f>
        <v>7.1584383766013443E-3</v>
      </c>
      <c r="W53" s="68">
        <f>Calc!AS53</f>
        <v>2.2744728112634805E-5</v>
      </c>
      <c r="X53" s="68">
        <f>Calc!AT53</f>
        <v>1.421902791351892E-7</v>
      </c>
      <c r="Y53" s="68">
        <f>Calc!AN53</f>
        <v>0.9979880096116035</v>
      </c>
      <c r="Z53" s="68">
        <f>Calc!AO53</f>
        <v>3.6112502400297902E-3</v>
      </c>
      <c r="AA53" s="68">
        <f t="shared" si="6"/>
        <v>0.99896011466350887</v>
      </c>
      <c r="AB53" s="68">
        <f t="shared" si="7"/>
        <v>0.31686535022453177</v>
      </c>
    </row>
    <row r="54" spans="1:28" x14ac:dyDescent="0.2">
      <c r="A54" s="68">
        <f>Input!A54</f>
        <v>10933</v>
      </c>
      <c r="B54" s="68" t="str">
        <f>Input!B54</f>
        <v>CSM_1818</v>
      </c>
      <c r="C54" s="175">
        <f>Calc!O54</f>
        <v>2.7791756778260579</v>
      </c>
      <c r="D54" s="175">
        <f>Calc!P54</f>
        <v>2.3809361738789402E-4</v>
      </c>
      <c r="E54" s="175">
        <f>Calc!X54</f>
        <v>2.4663049485901176E-2</v>
      </c>
      <c r="F54" s="175">
        <f>Calc!Y54</f>
        <v>3.777824613378547E-4</v>
      </c>
      <c r="G54" s="175">
        <f>Calc!AN54</f>
        <v>6.3456774200649838E-3</v>
      </c>
      <c r="H54" s="71">
        <f>Calc!AO54</f>
        <v>2.4005652148501318E-4</v>
      </c>
      <c r="I54" s="70">
        <f>Calc!AH54</f>
        <v>2180.7157360785518</v>
      </c>
      <c r="J54" s="70">
        <f>Calc!AI54</f>
        <v>89.002317317325094</v>
      </c>
      <c r="K54" s="70">
        <f>Calc!AJ54</f>
        <v>147.07076165531862</v>
      </c>
      <c r="L54" s="70">
        <f>Calc!AK54</f>
        <v>0.8114234806217413</v>
      </c>
      <c r="M54" s="176">
        <f>Calc!AP54</f>
        <v>0.60489999999999999</v>
      </c>
      <c r="N54" s="176">
        <f>Calc!AQ54</f>
        <v>2.3699999999999999E-2</v>
      </c>
      <c r="O54" s="176">
        <f>Calc!AW54</f>
        <v>0.60260000000000002</v>
      </c>
      <c r="P54" s="176">
        <f>Calc!AY54</f>
        <v>2.3005149815235274E-2</v>
      </c>
      <c r="Q54" s="177">
        <f>Calc!BC54</f>
        <v>147.32107905526127</v>
      </c>
      <c r="R54" s="176">
        <f>Calc!BD54</f>
        <v>0.81286081029845159</v>
      </c>
      <c r="S54" s="70">
        <f>Input!E54</f>
        <v>0</v>
      </c>
      <c r="T54" s="68"/>
      <c r="U54" s="68">
        <f>Input!K54</f>
        <v>7.1396781349709901E-3</v>
      </c>
      <c r="W54" s="68">
        <f>Calc!AS54</f>
        <v>2.9036679083088073E-6</v>
      </c>
      <c r="X54" s="68">
        <f>Calc!AT54</f>
        <v>4.4478358868010993E-8</v>
      </c>
      <c r="Y54" s="68">
        <f>Calc!AN54</f>
        <v>6.3456774200649838E-3</v>
      </c>
      <c r="Z54" s="68">
        <f>Calc!AO54</f>
        <v>2.4005652148501318E-4</v>
      </c>
      <c r="AA54" s="68">
        <f t="shared" ref="AA54:AA55" si="8">1+K54/1000</f>
        <v>1.1470707616553186</v>
      </c>
      <c r="AB54" s="68">
        <f t="shared" ref="AB54:AB55" si="9">J54/1000</f>
        <v>8.9002317317325094E-2</v>
      </c>
    </row>
    <row r="55" spans="1:28" x14ac:dyDescent="0.2">
      <c r="A55" s="13">
        <f>Input!A55</f>
        <v>10815</v>
      </c>
      <c r="B55" s="13" t="str">
        <f>Input!B55</f>
        <v>Hu1-13</v>
      </c>
      <c r="C55" s="171">
        <f>Calc!O55</f>
        <v>13.702547745008772</v>
      </c>
      <c r="D55" s="171">
        <f>Calc!P55</f>
        <v>1.6860236614527587E-3</v>
      </c>
      <c r="E55" s="171">
        <f>Calc!X55</f>
        <v>0.95161499199434807</v>
      </c>
      <c r="F55" s="171">
        <f>Calc!Y55</f>
        <v>6.9705582302425177E-3</v>
      </c>
      <c r="G55" s="171">
        <f>Calc!AN55</f>
        <v>0.99772462462137501</v>
      </c>
      <c r="H55" s="172">
        <f>Calc!AO55</f>
        <v>2.6089317158205722E-3</v>
      </c>
      <c r="I55" s="15">
        <f>Calc!AH55</f>
        <v>43907.081334333117</v>
      </c>
      <c r="J55" s="15">
        <f>Calc!AI55</f>
        <v>341.45416243538858</v>
      </c>
      <c r="K55" s="15">
        <f>Calc!AJ55</f>
        <v>0.42971705148242556</v>
      </c>
      <c r="L55" s="15">
        <f>Calc!AK55</f>
        <v>1.9492210332213411</v>
      </c>
      <c r="M55" s="173">
        <f>Calc!AP55</f>
        <v>637.71069999999997</v>
      </c>
      <c r="N55" s="173" t="e">
        <f>Calc!AQ55</f>
        <v>#VALUE!</v>
      </c>
      <c r="O55" s="173">
        <f>Calc!AW55</f>
        <v>637.70889999999997</v>
      </c>
      <c r="P55" s="173">
        <f>Calc!AX55</f>
        <v>290.32042679400001</v>
      </c>
      <c r="Q55" s="178">
        <f>Calc!BC55</f>
        <v>2.5987341774315054</v>
      </c>
      <c r="R55" s="173">
        <f>Calc!BD55</f>
        <v>11.834214266987704</v>
      </c>
      <c r="S55" s="15">
        <f>Input!E55</f>
        <v>0</v>
      </c>
      <c r="T55" s="68"/>
      <c r="U55" s="68">
        <f>Input!K55</f>
        <v>7.1567329281879959E-3</v>
      </c>
      <c r="W55" s="68">
        <f>Calc!AS55</f>
        <v>2.272354696100478E-5</v>
      </c>
      <c r="X55" s="68">
        <f>Calc!AT55</f>
        <v>1.6647294797156985E-7</v>
      </c>
      <c r="Y55" s="68">
        <f>Calc!AN55</f>
        <v>0.99772462462137501</v>
      </c>
      <c r="Z55" s="68">
        <f>Calc!AO55</f>
        <v>2.6089317158205722E-3</v>
      </c>
      <c r="AA55" s="68">
        <f t="shared" si="8"/>
        <v>1.0004297170514824</v>
      </c>
      <c r="AB55" s="68">
        <f t="shared" si="9"/>
        <v>0.34145416243538856</v>
      </c>
    </row>
    <row r="56" spans="1:28" x14ac:dyDescent="0.2">
      <c r="A56" s="68">
        <f>Input!A56</f>
        <v>10934</v>
      </c>
      <c r="B56" s="68" t="str">
        <f>Input!B56</f>
        <v>CSM_1820</v>
      </c>
      <c r="C56" s="175">
        <f>Calc!O56</f>
        <v>2.8207336388616575</v>
      </c>
      <c r="D56" s="175">
        <f>Calc!P56</f>
        <v>2.4881735019322807E-4</v>
      </c>
      <c r="E56" s="175">
        <f>Calc!X56</f>
        <v>1.3391259792750928E-2</v>
      </c>
      <c r="F56" s="175">
        <f>Calc!Y56</f>
        <v>2.5671724718233303E-4</v>
      </c>
      <c r="G56" s="175">
        <f>Calc!AN56</f>
        <v>5.1847800814322281E-3</v>
      </c>
      <c r="H56" s="71">
        <f>Calc!AO56</f>
        <v>1.3378067362131412E-4</v>
      </c>
      <c r="I56" s="70">
        <f>Calc!AH56</f>
        <v>3332.9693015370817</v>
      </c>
      <c r="J56" s="70">
        <f>Calc!AI56</f>
        <v>107.13686723706712</v>
      </c>
      <c r="K56" s="70">
        <f>Calc!AJ56</f>
        <v>146.06142407305089</v>
      </c>
      <c r="L56" s="70">
        <f>Calc!AK56</f>
        <v>0.58046174057640032</v>
      </c>
      <c r="M56" s="176">
        <f>Calc!AP56</f>
        <v>0.49440000000000001</v>
      </c>
      <c r="N56" s="176">
        <f>Calc!AQ56</f>
        <v>1.32E-2</v>
      </c>
      <c r="O56" s="176">
        <f>Calc!AW56</f>
        <v>0.49320000000000003</v>
      </c>
      <c r="P56" s="176">
        <f>Calc!AY56</f>
        <v>1.2818452330588105E-2</v>
      </c>
      <c r="Q56" s="177">
        <f>Calc!BC56</f>
        <v>146.26485974647565</v>
      </c>
      <c r="R56" s="176">
        <f>Calc!BD56</f>
        <v>0.5812942935038613</v>
      </c>
      <c r="S56" s="70">
        <f>Input!E56</f>
        <v>0</v>
      </c>
      <c r="T56" s="68"/>
      <c r="U56" s="68">
        <f>Input!K56</f>
        <v>7.1375221947554508E-3</v>
      </c>
      <c r="W56" s="68">
        <f>Calc!AS56</f>
        <v>1.5533721999127124E-6</v>
      </c>
      <c r="X56" s="68">
        <f>Calc!AT56</f>
        <v>2.9779248756037933E-8</v>
      </c>
      <c r="Y56" s="68">
        <f>Calc!AN56</f>
        <v>5.1847800814322281E-3</v>
      </c>
      <c r="Z56" s="68">
        <f>Calc!AO56</f>
        <v>1.3378067362131412E-4</v>
      </c>
      <c r="AA56" s="68">
        <f t="shared" ref="AA56:AA57" si="10">1+K56/1000</f>
        <v>1.1460614240730509</v>
      </c>
      <c r="AB56" s="68">
        <f t="shared" ref="AB56:AB57" si="11">J56/1000</f>
        <v>0.10713686723706713</v>
      </c>
    </row>
    <row r="57" spans="1:28" x14ac:dyDescent="0.2">
      <c r="A57" s="13">
        <f>Input!A57</f>
        <v>10815</v>
      </c>
      <c r="B57" s="13" t="str">
        <f>Input!B57</f>
        <v>Hu1-13</v>
      </c>
      <c r="C57" s="171">
        <f>Calc!O57</f>
        <v>13.700697025492161</v>
      </c>
      <c r="D57" s="171">
        <f>Calc!P57</f>
        <v>1.9746099382283592E-3</v>
      </c>
      <c r="E57" s="171">
        <f>Calc!X57</f>
        <v>0.94427283537441153</v>
      </c>
      <c r="F57" s="171">
        <f>Calc!Y57</f>
        <v>5.4073244309255095E-3</v>
      </c>
      <c r="G57" s="171">
        <f>Calc!AN57</f>
        <v>0.99940612146805996</v>
      </c>
      <c r="H57" s="172">
        <f>Calc!AO57</f>
        <v>2.7922424502575074E-3</v>
      </c>
      <c r="I57" s="15">
        <f>Calc!AH57</f>
        <v>44317.066049838068</v>
      </c>
      <c r="J57" s="15">
        <f>Calc!AI57</f>
        <v>282.30097157921745</v>
      </c>
      <c r="K57" s="15">
        <f>Calc!AJ57</f>
        <v>1.3906186811047938</v>
      </c>
      <c r="L57" s="15">
        <f>Calc!AK57</f>
        <v>2.3475758660355663</v>
      </c>
      <c r="M57" s="173">
        <f>Calc!AP57</f>
        <v>650.31820000000005</v>
      </c>
      <c r="N57" s="173" t="e">
        <f>Calc!AQ57</f>
        <v>#VALUE!</v>
      </c>
      <c r="O57" s="173">
        <f>Calc!AW57</f>
        <v>650.31640000000004</v>
      </c>
      <c r="P57" s="173">
        <f>Calc!AX57</f>
        <v>278.26218976220002</v>
      </c>
      <c r="Q57" s="178">
        <f>Calc!BC57</f>
        <v>8.7144332231504062</v>
      </c>
      <c r="R57" s="173">
        <f>Calc!BD57</f>
        <v>15.375954635078386</v>
      </c>
      <c r="S57" s="15">
        <f>Input!E57</f>
        <v>0</v>
      </c>
      <c r="T57" s="68"/>
      <c r="U57" s="68">
        <f>Input!K57</f>
        <v>7.1544116034076575E-3</v>
      </c>
      <c r="W57" s="68">
        <f>Calc!AS57</f>
        <v>2.2551269985791666E-5</v>
      </c>
      <c r="X57" s="68">
        <f>Calc!AT57</f>
        <v>1.2917945334675027E-7</v>
      </c>
      <c r="Y57" s="68">
        <f>Calc!AN57</f>
        <v>0.99940612146805996</v>
      </c>
      <c r="Z57" s="68">
        <f>Calc!AO57</f>
        <v>2.7922424502575074E-3</v>
      </c>
      <c r="AA57" s="68">
        <f t="shared" si="10"/>
        <v>1.0013906186811048</v>
      </c>
      <c r="AB57" s="68">
        <f t="shared" si="11"/>
        <v>0.28230097157921746</v>
      </c>
    </row>
    <row r="58" spans="1:28" x14ac:dyDescent="0.2">
      <c r="H58" s="74"/>
    </row>
    <row r="59" spans="1:28" x14ac:dyDescent="0.2">
      <c r="A59" s="13">
        <f>Input!A59</f>
        <v>10815</v>
      </c>
      <c r="B59" s="13" t="str">
        <f>Input!B59</f>
        <v>Hu1-13</v>
      </c>
      <c r="C59" s="171">
        <f>Calc!O59</f>
        <v>13.702050787620308</v>
      </c>
      <c r="D59" s="171">
        <f>Calc!P59</f>
        <v>1.8189785188268319E-3</v>
      </c>
      <c r="E59" s="171">
        <f>Calc!X59</f>
        <v>0.96030000489508915</v>
      </c>
      <c r="F59" s="171">
        <f>Calc!Y59</f>
        <v>6.3453964300676166E-3</v>
      </c>
      <c r="G59" s="171">
        <f>Calc!AN59</f>
        <v>0.99973813602172001</v>
      </c>
      <c r="H59" s="172">
        <f>Calc!AO59</f>
        <v>3.1642419531928969E-3</v>
      </c>
      <c r="I59" s="15">
        <f>Calc!AH59</f>
        <v>43596.209421560568</v>
      </c>
      <c r="J59" s="15">
        <f>Calc!AI59</f>
        <v>319.36136242801081</v>
      </c>
      <c r="K59" s="15">
        <f>Calc!AJ59</f>
        <v>-1.8994854604055256</v>
      </c>
      <c r="L59" s="15">
        <f>Calc!AK59</f>
        <v>1.7225892450143583</v>
      </c>
      <c r="M59" s="173" t="str">
        <f>Calc!AP59</f>
        <v>Out of range</v>
      </c>
      <c r="N59" s="173" t="e">
        <f>Calc!AQ59</f>
        <v>#VALUE!</v>
      </c>
      <c r="O59" s="173" t="str">
        <f>Calc!AW59</f>
        <v>Out of range</v>
      </c>
      <c r="P59" s="173">
        <f>Calc!AX59</f>
        <v>281.7549487631</v>
      </c>
      <c r="Q59" s="178" t="e">
        <f>Calc!BC59</f>
        <v>#VALUE!</v>
      </c>
      <c r="R59" s="173" t="e">
        <f>Calc!BD59</f>
        <v>#VALUE!</v>
      </c>
      <c r="S59" s="15">
        <f>Input!E59</f>
        <v>0</v>
      </c>
      <c r="T59" s="68"/>
      <c r="U59" s="68">
        <f>Input!K59</f>
        <v>7.1680797363174288E-3</v>
      </c>
      <c r="W59" s="68">
        <f>Calc!AS59</f>
        <v>2.2931767446903263E-5</v>
      </c>
      <c r="X59" s="68">
        <f>Calc!AT59</f>
        <v>1.5155734428024764E-7</v>
      </c>
      <c r="Y59" s="68">
        <f>Calc!AN59</f>
        <v>0.99973813602172001</v>
      </c>
      <c r="Z59" s="68">
        <f>Calc!AO59</f>
        <v>3.1642419531928969E-3</v>
      </c>
      <c r="AA59" s="68">
        <f t="shared" ref="AA59:AA69" si="12">1+K59/1000</f>
        <v>0.99810051453959447</v>
      </c>
      <c r="AB59" s="68">
        <f t="shared" ref="AB59:AB69" si="13">J59/1000</f>
        <v>0.31936136242801083</v>
      </c>
    </row>
    <row r="60" spans="1:28" x14ac:dyDescent="0.2">
      <c r="A60" s="68">
        <f>Input!A60</f>
        <v>10935</v>
      </c>
      <c r="B60" s="68" t="str">
        <f>Input!B60</f>
        <v>CSM_1821</v>
      </c>
      <c r="C60" s="175">
        <f>Calc!O60</f>
        <v>2.7921082977802829</v>
      </c>
      <c r="D60" s="175">
        <f>Calc!P60</f>
        <v>2.0673560282886676E-4</v>
      </c>
      <c r="E60" s="175">
        <f>Calc!X60</f>
        <v>1.3874262515132581E-2</v>
      </c>
      <c r="F60" s="175">
        <f>Calc!Y60</f>
        <v>1.4008206562291469E-4</v>
      </c>
      <c r="G60" s="175">
        <f>Calc!AN60</f>
        <v>3.8796584600791291E-3</v>
      </c>
      <c r="H60" s="71">
        <f>Calc!AO60</f>
        <v>7.350836590849422E-5</v>
      </c>
      <c r="I60" s="70">
        <f>Calc!AH60</f>
        <v>2386.9837763905998</v>
      </c>
      <c r="J60" s="70">
        <f>Calc!AI60</f>
        <v>51.246720235304032</v>
      </c>
      <c r="K60" s="70">
        <f>Calc!AJ60</f>
        <v>145.48906018242613</v>
      </c>
      <c r="L60" s="70">
        <f>Calc!AK60</f>
        <v>0.6983396903546496</v>
      </c>
      <c r="M60" s="176">
        <f>Calc!AP60</f>
        <v>0.36990000000000001</v>
      </c>
      <c r="N60" s="176">
        <f>Calc!AQ60</f>
        <v>7.3000000000000001E-3</v>
      </c>
      <c r="O60" s="176">
        <f>Calc!AW60</f>
        <v>0.36870000000000003</v>
      </c>
      <c r="P60" s="176">
        <f>Calc!AY60</f>
        <v>7.0611724614081193E-3</v>
      </c>
      <c r="Q60" s="177">
        <f>Calc!BC60</f>
        <v>145.64051938956527</v>
      </c>
      <c r="R60" s="176">
        <f>Calc!BD60</f>
        <v>0.69907271064018517</v>
      </c>
      <c r="S60" s="70">
        <f>Input!E60</f>
        <v>0</v>
      </c>
      <c r="T60" s="68"/>
      <c r="U60" s="68">
        <f>Input!K60</f>
        <v>7.1484480985278881E-3</v>
      </c>
      <c r="W60" s="68">
        <f>Calc!AS60</f>
        <v>1.6258999548198923E-6</v>
      </c>
      <c r="X60" s="68">
        <f>Calc!AT60</f>
        <v>1.6416407595514213E-8</v>
      </c>
      <c r="Y60" s="68">
        <f>Calc!AN60</f>
        <v>3.8796584600791291E-3</v>
      </c>
      <c r="Z60" s="68">
        <f>Calc!AO60</f>
        <v>7.350836590849422E-5</v>
      </c>
      <c r="AA60" s="68">
        <f t="shared" si="12"/>
        <v>1.1454890601824261</v>
      </c>
      <c r="AB60" s="68">
        <f t="shared" si="13"/>
        <v>5.1246720235304029E-2</v>
      </c>
    </row>
    <row r="61" spans="1:28" x14ac:dyDescent="0.2">
      <c r="A61" s="13">
        <f>Input!A61</f>
        <v>10815</v>
      </c>
      <c r="B61" s="13" t="str">
        <f>Input!B61</f>
        <v>Hu1-13</v>
      </c>
      <c r="C61" s="171">
        <f>Calc!O61</f>
        <v>13.696264974524073</v>
      </c>
      <c r="D61" s="171">
        <f>Calc!P61</f>
        <v>1.8779454950452596E-3</v>
      </c>
      <c r="E61" s="171">
        <f>Calc!X61</f>
        <v>0.94485176304261109</v>
      </c>
      <c r="F61" s="171">
        <f>Calc!Y61</f>
        <v>4.8894026863692576E-3</v>
      </c>
      <c r="G61" s="171">
        <f>Calc!AN61</f>
        <v>1.0009517979628997</v>
      </c>
      <c r="H61" s="172">
        <f>Calc!AO61</f>
        <v>2.4451368158572217E-3</v>
      </c>
      <c r="I61" s="15">
        <f>Calc!AH61</f>
        <v>44344.06119976117</v>
      </c>
      <c r="J61" s="15">
        <f>Calc!AI61</f>
        <v>253.68100105371786</v>
      </c>
      <c r="K61" s="15">
        <f>Calc!AJ61</f>
        <v>2.186689068781611</v>
      </c>
      <c r="L61" s="15">
        <f>Calc!AK61</f>
        <v>2.1064664945051552</v>
      </c>
      <c r="M61" s="173">
        <f>Calc!AP61</f>
        <v>669.19150000000002</v>
      </c>
      <c r="N61" s="173" t="e">
        <f>Calc!AQ61</f>
        <v>#VALUE!</v>
      </c>
      <c r="O61" s="173">
        <f>Calc!AW61</f>
        <v>669.18960000000004</v>
      </c>
      <c r="P61" s="173">
        <f>Calc!AX61</f>
        <v>295.69018720290001</v>
      </c>
      <c r="Q61" s="178">
        <f>Calc!BC61</f>
        <v>14.452707419527391</v>
      </c>
      <c r="R61" s="173">
        <f>Calc!BD61</f>
        <v>15.957048946737096</v>
      </c>
      <c r="S61" s="15">
        <f>Input!E61</f>
        <v>0</v>
      </c>
      <c r="T61" s="68"/>
      <c r="U61" s="68">
        <f>Input!K61</f>
        <v>7.1593270284844085E-3</v>
      </c>
      <c r="W61" s="68">
        <f>Calc!AS61</f>
        <v>2.2572397991555422E-5</v>
      </c>
      <c r="X61" s="68">
        <f>Calc!AT61</f>
        <v>1.1684825366159513E-7</v>
      </c>
      <c r="Y61" s="68">
        <f>Calc!AN61</f>
        <v>1.0009517979628997</v>
      </c>
      <c r="Z61" s="68">
        <f>Calc!AO61</f>
        <v>2.4451368158572217E-3</v>
      </c>
      <c r="AA61" s="68">
        <f t="shared" si="12"/>
        <v>1.0021866890687816</v>
      </c>
      <c r="AB61" s="68">
        <f t="shared" si="13"/>
        <v>0.25368100105371788</v>
      </c>
    </row>
    <row r="62" spans="1:28" x14ac:dyDescent="0.2">
      <c r="A62" s="68">
        <f>Input!A62</f>
        <v>10936</v>
      </c>
      <c r="B62" s="68" t="str">
        <f>Input!B62</f>
        <v>CSM_1823</v>
      </c>
      <c r="C62" s="175">
        <f>Calc!O62</f>
        <v>2.8159830631302278</v>
      </c>
      <c r="D62" s="175">
        <f>Calc!P62</f>
        <v>2.8052110511043722E-4</v>
      </c>
      <c r="E62" s="175">
        <f>Calc!X62</f>
        <v>2.185897516488184E-2</v>
      </c>
      <c r="F62" s="175">
        <f>Calc!Y62</f>
        <v>2.8573195816357599E-4</v>
      </c>
      <c r="G62" s="175">
        <f>Calc!AN62</f>
        <v>5.2452970201426101E-3</v>
      </c>
      <c r="H62" s="71">
        <f>Calc!AO62</f>
        <v>1.4108403178800954E-4</v>
      </c>
      <c r="I62" s="70">
        <f>Calc!AH62</f>
        <v>2064.2918828433549</v>
      </c>
      <c r="J62" s="70">
        <f>Calc!AI62</f>
        <v>61.732983729624699</v>
      </c>
      <c r="K62" s="70">
        <f>Calc!AJ62</f>
        <v>143.75881110957823</v>
      </c>
      <c r="L62" s="70">
        <f>Calc!AK62</f>
        <v>0.72210591203998387</v>
      </c>
      <c r="M62" s="176">
        <f>Calc!AP62</f>
        <v>0.50119999999999998</v>
      </c>
      <c r="N62" s="176">
        <f>Calc!AQ62</f>
        <v>1.29E-2</v>
      </c>
      <c r="O62" s="176">
        <f>Calc!AW62</f>
        <v>0.49930000000000002</v>
      </c>
      <c r="P62" s="176">
        <f>Calc!AY62</f>
        <v>1.3567671641935822E-2</v>
      </c>
      <c r="Q62" s="177">
        <f>Calc!BC62</f>
        <v>143.96151789654749</v>
      </c>
      <c r="R62" s="176">
        <f>Calc!BD62</f>
        <v>0.72314512395271802</v>
      </c>
      <c r="S62" s="70">
        <f>Input!E62</f>
        <v>0</v>
      </c>
      <c r="T62" s="68"/>
      <c r="U62" s="68">
        <f>Input!K62</f>
        <v>7.1425767954834459E-3</v>
      </c>
      <c r="W62" s="68">
        <f>Calc!AS62</f>
        <v>2.5398959701493963E-6</v>
      </c>
      <c r="X62" s="68">
        <f>Calc!AT62</f>
        <v>3.32014889912892E-8</v>
      </c>
      <c r="Y62" s="68">
        <f>Calc!AN62</f>
        <v>5.2452970201426101E-3</v>
      </c>
      <c r="Z62" s="68">
        <f>Calc!AO62</f>
        <v>1.4108403178800954E-4</v>
      </c>
      <c r="AA62" s="68">
        <f t="shared" si="12"/>
        <v>1.1437588111095782</v>
      </c>
      <c r="AB62" s="68">
        <f t="shared" si="13"/>
        <v>6.1732983729624699E-2</v>
      </c>
    </row>
    <row r="63" spans="1:28" x14ac:dyDescent="0.2">
      <c r="A63" s="13">
        <f>Input!A63</f>
        <v>10815</v>
      </c>
      <c r="B63" s="13" t="str">
        <f>Input!B63</f>
        <v>Hu1-13</v>
      </c>
      <c r="C63" s="171">
        <f>Calc!O63</f>
        <v>13.700742981865135</v>
      </c>
      <c r="D63" s="171">
        <f>Calc!P63</f>
        <v>2.1040418329198412E-3</v>
      </c>
      <c r="E63" s="171">
        <f>Calc!X63</f>
        <v>0.95170300544458475</v>
      </c>
      <c r="F63" s="171">
        <f>Calc!Y63</f>
        <v>5.9082678220188697E-3</v>
      </c>
      <c r="G63" s="171">
        <f>Calc!AN63</f>
        <v>0.99820539535211161</v>
      </c>
      <c r="H63" s="172">
        <f>Calc!AO63</f>
        <v>3.4340661277455658E-3</v>
      </c>
      <c r="I63" s="15">
        <f>Calc!AH63</f>
        <v>43918.390978283212</v>
      </c>
      <c r="J63" s="15">
        <f>Calc!AI63</f>
        <v>311.64168966064636</v>
      </c>
      <c r="K63" s="15">
        <f>Calc!AJ63</f>
        <v>0.40813427544805769</v>
      </c>
      <c r="L63" s="15">
        <f>Calc!AK63</f>
        <v>1.89939084496097</v>
      </c>
      <c r="M63" s="173">
        <f>Calc!AP63</f>
        <v>658.92520000000002</v>
      </c>
      <c r="N63" s="173" t="e">
        <f>Calc!AQ63</f>
        <v>#VALUE!</v>
      </c>
      <c r="O63" s="173">
        <f>Calc!AW63</f>
        <v>658.92330000000004</v>
      </c>
      <c r="P63" s="173">
        <f>Calc!AX63</f>
        <v>277.56206426469998</v>
      </c>
      <c r="Q63" s="178">
        <f>Calc!BC63</f>
        <v>2.6204918673082078</v>
      </c>
      <c r="R63" s="173">
        <f>Calc!BD63</f>
        <v>12.283606276303226</v>
      </c>
      <c r="S63" s="15">
        <f>Input!E63</f>
        <v>0</v>
      </c>
      <c r="T63" s="68"/>
      <c r="U63" s="68">
        <f>Input!K63</f>
        <v>7.1555699800963657E-3</v>
      </c>
      <c r="W63" s="68">
        <f>Calc!AS63</f>
        <v>2.2728642218375092E-5</v>
      </c>
      <c r="X63" s="68">
        <f>Calc!AT63</f>
        <v>1.4114485886877398E-7</v>
      </c>
      <c r="Y63" s="68">
        <f>Calc!AN63</f>
        <v>0.99820539535211161</v>
      </c>
      <c r="Z63" s="68">
        <f>Calc!AO63</f>
        <v>3.4340661277455658E-3</v>
      </c>
      <c r="AA63" s="68">
        <f t="shared" si="12"/>
        <v>1.0004081342754481</v>
      </c>
      <c r="AB63" s="68">
        <f t="shared" si="13"/>
        <v>0.31164168966064637</v>
      </c>
    </row>
    <row r="64" spans="1:28" x14ac:dyDescent="0.2">
      <c r="A64" s="68">
        <f>Input!A64</f>
        <v>10937</v>
      </c>
      <c r="B64" s="68" t="str">
        <f>Input!B64</f>
        <v>CSM_1928</v>
      </c>
      <c r="C64" s="175">
        <f>Calc!O64</f>
        <v>2.9787826482004895</v>
      </c>
      <c r="D64" s="175">
        <f>Calc!P64</f>
        <v>2.2521405719988499E-4</v>
      </c>
      <c r="E64" s="175">
        <f>Calc!X64</f>
        <v>2.1350263213451081E-2</v>
      </c>
      <c r="F64" s="175">
        <f>Calc!Y64</f>
        <v>3.4391327309485874E-4</v>
      </c>
      <c r="G64" s="175">
        <f>Calc!AN64</f>
        <v>5.4206453261521062E-3</v>
      </c>
      <c r="H64" s="71">
        <f>Calc!AO64</f>
        <v>1.1783379064397796E-4</v>
      </c>
      <c r="I64" s="70">
        <f>Calc!AH64</f>
        <v>2307.1628388154368</v>
      </c>
      <c r="J64" s="70">
        <f>Calc!AI64</f>
        <v>62.421691762619183</v>
      </c>
      <c r="K64" s="70">
        <f>Calc!AJ64</f>
        <v>145.74255952806081</v>
      </c>
      <c r="L64" s="70">
        <f>Calc!AK64</f>
        <v>0.56186044651488387</v>
      </c>
      <c r="M64" s="176">
        <f>Calc!AP64</f>
        <v>0.5171</v>
      </c>
      <c r="N64" s="176">
        <f>Calc!AQ64</f>
        <v>1.1900000000000001E-2</v>
      </c>
      <c r="O64" s="176">
        <f>Calc!AW64</f>
        <v>0.51529999999999998</v>
      </c>
      <c r="P64" s="176">
        <f>Calc!AY64</f>
        <v>1.1319879643941161E-2</v>
      </c>
      <c r="Q64" s="177">
        <f>Calc!BC64</f>
        <v>145.95465363086188</v>
      </c>
      <c r="R64" s="176">
        <f>Calc!BD64</f>
        <v>0.56269742023765112</v>
      </c>
      <c r="S64" s="70">
        <f>Input!E64</f>
        <v>0</v>
      </c>
      <c r="T64" s="68"/>
      <c r="U64" s="68">
        <f>Input!K64</f>
        <v>7.136414890243162E-3</v>
      </c>
      <c r="W64" s="68">
        <f>Calc!AS64</f>
        <v>2.3452037984643634E-6</v>
      </c>
      <c r="X64" s="68">
        <f>Calc!AT64</f>
        <v>3.77773140572723E-8</v>
      </c>
      <c r="Y64" s="68">
        <f>Calc!AN64</f>
        <v>5.4206453261521062E-3</v>
      </c>
      <c r="Z64" s="68">
        <f>Calc!AO64</f>
        <v>1.1783379064397796E-4</v>
      </c>
      <c r="AA64" s="68">
        <f t="shared" si="12"/>
        <v>1.1457425595280608</v>
      </c>
      <c r="AB64" s="68">
        <f t="shared" si="13"/>
        <v>6.2421691762619184E-2</v>
      </c>
    </row>
    <row r="65" spans="1:28" x14ac:dyDescent="0.2">
      <c r="A65" s="13">
        <f>Input!A65</f>
        <v>10815</v>
      </c>
      <c r="B65" s="13" t="str">
        <f>Input!B65</f>
        <v>Hu1-13</v>
      </c>
      <c r="C65" s="171">
        <f>Calc!O65</f>
        <v>13.703957305772938</v>
      </c>
      <c r="D65" s="171">
        <f>Calc!P65</f>
        <v>2.5447361813376386E-3</v>
      </c>
      <c r="E65" s="171">
        <f>Calc!X65</f>
        <v>0.94054954777081556</v>
      </c>
      <c r="F65" s="171">
        <f>Calc!Y65</f>
        <v>5.3987633771604591E-3</v>
      </c>
      <c r="G65" s="171">
        <f>Calc!AN65</f>
        <v>0.99814991945195353</v>
      </c>
      <c r="H65" s="172">
        <f>Calc!AO65</f>
        <v>2.6478179080185586E-3</v>
      </c>
      <c r="I65" s="15">
        <f>Calc!AH65</f>
        <v>44447.150462751466</v>
      </c>
      <c r="J65" s="15">
        <f>Calc!AI65</f>
        <v>280.93335020184378</v>
      </c>
      <c r="K65" s="15">
        <f>Calc!AJ65</f>
        <v>0.16230599947686386</v>
      </c>
      <c r="L65" s="15">
        <f>Calc!AK65</f>
        <v>1.9137115924959509</v>
      </c>
      <c r="M65" s="173">
        <f>Calc!AP65</f>
        <v>673.32669999999996</v>
      </c>
      <c r="N65" s="173" t="e">
        <f>Calc!AQ65</f>
        <v>#VALUE!</v>
      </c>
      <c r="O65" s="173">
        <f>Calc!AW65</f>
        <v>673.32489999999996</v>
      </c>
      <c r="P65" s="173">
        <f>Calc!AX65</f>
        <v>297.38334286470001</v>
      </c>
      <c r="Q65" s="178">
        <f>Calc!BC65</f>
        <v>1.0853379655789503</v>
      </c>
      <c r="R65" s="173">
        <f>Calc!BD65</f>
        <v>12.811262140201647</v>
      </c>
      <c r="S65" s="15">
        <f>Input!E65</f>
        <v>0</v>
      </c>
      <c r="T65" s="68"/>
      <c r="U65" s="68">
        <f>Input!K65</f>
        <v>7.1515762981294115E-3</v>
      </c>
      <c r="W65" s="68">
        <f>Calc!AS65</f>
        <v>2.245700588361551E-5</v>
      </c>
      <c r="X65" s="68">
        <f>Calc!AT65</f>
        <v>1.289708636093954E-7</v>
      </c>
      <c r="Y65" s="68">
        <f>Calc!AN65</f>
        <v>0.99814991945195353</v>
      </c>
      <c r="Z65" s="68">
        <f>Calc!AO65</f>
        <v>2.6478179080185586E-3</v>
      </c>
      <c r="AA65" s="68">
        <f t="shared" si="12"/>
        <v>1.0001623059994769</v>
      </c>
      <c r="AB65" s="68">
        <f t="shared" si="13"/>
        <v>0.28093335020184379</v>
      </c>
    </row>
    <row r="66" spans="1:28" x14ac:dyDescent="0.2">
      <c r="A66" s="68">
        <f>Input!A66</f>
        <v>10938</v>
      </c>
      <c r="B66" s="68" t="str">
        <f>Input!B66</f>
        <v>CSM_1929</v>
      </c>
      <c r="C66" s="175">
        <f>Calc!O66</f>
        <v>2.9353550986804344</v>
      </c>
      <c r="D66" s="175">
        <f>Calc!P66</f>
        <v>2.2129559566353988E-4</v>
      </c>
      <c r="E66" s="175">
        <f>Calc!X66</f>
        <v>1.4099633484867922E-2</v>
      </c>
      <c r="F66" s="175">
        <f>Calc!Y66</f>
        <v>9.0145434148465508E-5</v>
      </c>
      <c r="G66" s="175">
        <f>Calc!AN66</f>
        <v>3.3136149610351359E-3</v>
      </c>
      <c r="H66" s="71">
        <f>Calc!AO66</f>
        <v>8.286580682054073E-5</v>
      </c>
      <c r="I66" s="70">
        <f>Calc!AH66</f>
        <v>2106.3162206343054</v>
      </c>
      <c r="J66" s="70">
        <f>Calc!AI66</f>
        <v>54.368035029747027</v>
      </c>
      <c r="K66" s="70">
        <f>Calc!AJ66</f>
        <v>145.51580194238346</v>
      </c>
      <c r="L66" s="70">
        <f>Calc!AK66</f>
        <v>0.55718723786288782</v>
      </c>
      <c r="M66" s="176">
        <f>Calc!AP66</f>
        <v>0.31590000000000001</v>
      </c>
      <c r="N66" s="176">
        <f>Calc!AQ66</f>
        <v>8.6E-3</v>
      </c>
      <c r="O66" s="176">
        <f>Calc!AW66</f>
        <v>0.31469999999999998</v>
      </c>
      <c r="P66" s="176">
        <f>Calc!AY66</f>
        <v>7.9453940459586359E-3</v>
      </c>
      <c r="Q66" s="177">
        <f>Calc!BC66</f>
        <v>145.64509226117124</v>
      </c>
      <c r="R66" s="176">
        <f>Calc!BD66</f>
        <v>0.55769185860583059</v>
      </c>
      <c r="S66" s="70">
        <f>Input!E66</f>
        <v>0</v>
      </c>
      <c r="T66" s="68"/>
      <c r="U66" s="68">
        <f>Input!K66</f>
        <v>7.134664002028405E-3</v>
      </c>
      <c r="W66" s="68">
        <f>Calc!AS66</f>
        <v>1.5716771803445215E-6</v>
      </c>
      <c r="X66" s="68">
        <f>Calc!AT66</f>
        <v>1.0049152796823254E-8</v>
      </c>
      <c r="Y66" s="68">
        <f>Calc!AN66</f>
        <v>3.3136149610351359E-3</v>
      </c>
      <c r="Z66" s="68">
        <f>Calc!AO66</f>
        <v>8.286580682054073E-5</v>
      </c>
      <c r="AA66" s="68">
        <f t="shared" si="12"/>
        <v>1.1455158019423834</v>
      </c>
      <c r="AB66" s="68">
        <f t="shared" si="13"/>
        <v>5.4368035029747026E-2</v>
      </c>
    </row>
    <row r="67" spans="1:28" x14ac:dyDescent="0.2">
      <c r="A67" s="13">
        <f>Input!A67</f>
        <v>10815</v>
      </c>
      <c r="B67" s="13" t="str">
        <f>Input!B67</f>
        <v>Hu1-13</v>
      </c>
      <c r="C67" s="171">
        <f>Calc!O67</f>
        <v>13.701244780860586</v>
      </c>
      <c r="D67" s="171">
        <f>Calc!P67</f>
        <v>1.8729627498528386E-3</v>
      </c>
      <c r="E67" s="171">
        <f>Calc!X67</f>
        <v>0.94020753803890922</v>
      </c>
      <c r="F67" s="171">
        <f>Calc!Y67</f>
        <v>5.9145711530300014E-3</v>
      </c>
      <c r="G67" s="171">
        <f>Calc!AN67</f>
        <v>0.99993928372227825</v>
      </c>
      <c r="H67" s="172">
        <f>Calc!AO67</f>
        <v>3.1133575106384753E-3</v>
      </c>
      <c r="I67" s="15">
        <f>Calc!AH67</f>
        <v>44534.210362835191</v>
      </c>
      <c r="J67" s="15">
        <f>Calc!AI67</f>
        <v>312.52893383656033</v>
      </c>
      <c r="K67" s="15">
        <f>Calc!AJ67</f>
        <v>0.89634585398057354</v>
      </c>
      <c r="L67" s="15">
        <f>Calc!AK67</f>
        <v>1.8275178670045609</v>
      </c>
      <c r="M67" s="173">
        <f>Calc!AP67</f>
        <v>721.16380000000004</v>
      </c>
      <c r="N67" s="173" t="e">
        <f>Calc!AQ67</f>
        <v>#VALUE!</v>
      </c>
      <c r="O67" s="173">
        <f>Calc!AW67</f>
        <v>721.16200000000003</v>
      </c>
      <c r="P67" s="173">
        <f>Calc!AX67</f>
        <v>311.70969922699999</v>
      </c>
      <c r="Q67" s="178">
        <f>Calc!BC67</f>
        <v>6.860178700135914</v>
      </c>
      <c r="R67" s="173">
        <f>Calc!BD67</f>
        <v>15.341288562527227</v>
      </c>
      <c r="S67" s="15">
        <f>Input!E67</f>
        <v>0</v>
      </c>
      <c r="T67" s="68"/>
      <c r="U67" s="68">
        <f>Input!K67</f>
        <v>7.1511696499337038E-3</v>
      </c>
      <c r="W67" s="68">
        <f>Calc!AS67</f>
        <v>2.2453284240933806E-5</v>
      </c>
      <c r="X67" s="68">
        <f>Calc!AT67</f>
        <v>1.412804020223013E-7</v>
      </c>
      <c r="Y67" s="68">
        <f>Calc!AN67</f>
        <v>0.99993928372227825</v>
      </c>
      <c r="Z67" s="68">
        <f>Calc!AO67</f>
        <v>3.1133575106384753E-3</v>
      </c>
      <c r="AA67" s="68">
        <f t="shared" si="12"/>
        <v>1.0008963458539806</v>
      </c>
      <c r="AB67" s="68">
        <f t="shared" si="13"/>
        <v>0.31252893383656033</v>
      </c>
    </row>
    <row r="68" spans="1:28" x14ac:dyDescent="0.2">
      <c r="A68" s="68">
        <f>Input!A68</f>
        <v>10939</v>
      </c>
      <c r="B68" s="68" t="str">
        <f>Input!B68</f>
        <v>CSM_1936</v>
      </c>
      <c r="C68" s="175">
        <f>Calc!O68</f>
        <v>2.9222773577135266</v>
      </c>
      <c r="D68" s="175">
        <f>Calc!P68</f>
        <v>1.6916401952651796E-4</v>
      </c>
      <c r="E68" s="175">
        <f>Calc!X68</f>
        <v>3.4684323719746987E-2</v>
      </c>
      <c r="F68" s="175">
        <f>Calc!Y68</f>
        <v>2.0464767444165505E-4</v>
      </c>
      <c r="G68" s="175">
        <f>Calc!AN68</f>
        <v>2.4518987154067595E-3</v>
      </c>
      <c r="H68" s="71">
        <f>Calc!AO68</f>
        <v>5.4377552116356667E-5</v>
      </c>
      <c r="I68" s="70">
        <f>Calc!AH68</f>
        <v>630.5716245629128</v>
      </c>
      <c r="J68" s="70">
        <f>Calc!AI68</f>
        <v>14.471060944593653</v>
      </c>
      <c r="K68" s="70">
        <f>Calc!AJ68</f>
        <v>146.06780384789465</v>
      </c>
      <c r="L68" s="70">
        <f>Calc!AK68</f>
        <v>0.48327459844830029</v>
      </c>
      <c r="M68" s="176">
        <f>Calc!AP68</f>
        <v>0.23350000000000001</v>
      </c>
      <c r="N68" s="176">
        <f>Calc!AQ68</f>
        <v>6.1999999999999998E-3</v>
      </c>
      <c r="O68" s="176">
        <f>Calc!AW68</f>
        <v>0.2306</v>
      </c>
      <c r="P68" s="176">
        <f>Calc!AY68</f>
        <v>5.3995134317894686E-3</v>
      </c>
      <c r="Q68" s="177">
        <f>Calc!BC68</f>
        <v>146.16289089606224</v>
      </c>
      <c r="R68" s="176">
        <f>Calc!BD68</f>
        <v>0.48359432867897639</v>
      </c>
      <c r="S68" s="70">
        <f>Input!E68</f>
        <v>0</v>
      </c>
      <c r="T68" s="68"/>
      <c r="U68" s="68">
        <f>Input!K68</f>
        <v>7.1367636962325186E-3</v>
      </c>
      <c r="W68" s="68">
        <f>Calc!AS68</f>
        <v>3.8835416627764005E-6</v>
      </c>
      <c r="X68" s="68">
        <f>Calc!AT68</f>
        <v>2.2915136686103405E-8</v>
      </c>
      <c r="Y68" s="68">
        <f>Calc!AN68</f>
        <v>2.4518987154067595E-3</v>
      </c>
      <c r="Z68" s="68">
        <f>Calc!AO68</f>
        <v>5.4377552116356667E-5</v>
      </c>
      <c r="AA68" s="68">
        <f t="shared" si="12"/>
        <v>1.1460678038478946</v>
      </c>
      <c r="AB68" s="68">
        <f t="shared" si="13"/>
        <v>1.4471060944593652E-2</v>
      </c>
    </row>
    <row r="69" spans="1:28" x14ac:dyDescent="0.2">
      <c r="A69" s="13">
        <f>Input!A69</f>
        <v>10815</v>
      </c>
      <c r="B69" s="13" t="str">
        <f>Input!B69</f>
        <v>Hu1-13</v>
      </c>
      <c r="C69" s="171">
        <f>Calc!O69</f>
        <v>13.697338910526337</v>
      </c>
      <c r="D69" s="171">
        <f>Calc!P69</f>
        <v>1.7262639605285027E-3</v>
      </c>
      <c r="E69" s="171">
        <f>Calc!X69</f>
        <v>0.94149948205893641</v>
      </c>
      <c r="F69" s="171">
        <f>Calc!Y69</f>
        <v>4.1400380405935515E-3</v>
      </c>
      <c r="G69" s="171">
        <f>Calc!AN69</f>
        <v>0.99757485498749865</v>
      </c>
      <c r="H69" s="172">
        <f>Calc!AO69</f>
        <v>3.2155097777647077E-3</v>
      </c>
      <c r="I69" s="15">
        <f>Calc!AH69</f>
        <v>44355.291636423157</v>
      </c>
      <c r="J69" s="15">
        <f>Calc!AI69</f>
        <v>241.76699953583702</v>
      </c>
      <c r="K69" s="15">
        <f>Calc!AJ69</f>
        <v>-1.5118787166513714</v>
      </c>
      <c r="L69" s="15">
        <f>Calc!AK69</f>
        <v>1.1573076772538626</v>
      </c>
      <c r="M69" s="173">
        <f>Calc!AP69</f>
        <v>905.23009999999999</v>
      </c>
      <c r="N69" s="173" t="e">
        <f>Calc!AQ69</f>
        <v>#VALUE!</v>
      </c>
      <c r="O69" s="173">
        <f>Calc!AW69</f>
        <v>905.22820000000002</v>
      </c>
      <c r="P69" s="173">
        <f>Calc!AX69</f>
        <v>336.76294537370001</v>
      </c>
      <c r="Q69" s="178">
        <f>Calc!BC69</f>
        <v>-19.452222964684434</v>
      </c>
      <c r="R69" s="173">
        <f>Calc!BD69</f>
        <v>89.466736012646194</v>
      </c>
      <c r="S69" s="15">
        <f>Input!E69</f>
        <v>0</v>
      </c>
      <c r="T69" s="68"/>
      <c r="U69" s="68">
        <f>Input!K69</f>
        <v>7.1501917565576691E-3</v>
      </c>
      <c r="W69" s="68">
        <f>Calc!AS69</f>
        <v>2.2490548887932955E-5</v>
      </c>
      <c r="X69" s="68">
        <f>Calc!AT69</f>
        <v>9.8937879964861616E-8</v>
      </c>
      <c r="Y69" s="68">
        <f>Calc!AN69</f>
        <v>0.99757485498749865</v>
      </c>
      <c r="Z69" s="68">
        <f>Calc!AO69</f>
        <v>3.2155097777647077E-3</v>
      </c>
      <c r="AA69" s="68">
        <f t="shared" si="12"/>
        <v>0.99848812128334863</v>
      </c>
      <c r="AB69" s="68">
        <f t="shared" si="13"/>
        <v>0.24176699953583702</v>
      </c>
    </row>
    <row r="70" spans="1:28" ht="13.5" customHeight="1" x14ac:dyDescent="0.2">
      <c r="H70" s="74"/>
    </row>
    <row r="71" spans="1:28" x14ac:dyDescent="0.2">
      <c r="A71" s="13">
        <f>Input!A71</f>
        <v>10815</v>
      </c>
      <c r="B71" s="13" t="str">
        <f>Input!B71</f>
        <v>Hu1-13</v>
      </c>
      <c r="C71" s="171">
        <f>Calc!O71</f>
        <v>13.700771973940263</v>
      </c>
      <c r="D71" s="171">
        <f>Calc!P71</f>
        <v>1.430548603276848E-3</v>
      </c>
      <c r="E71" s="171">
        <f>Calc!X71</f>
        <v>0.95790087437193339</v>
      </c>
      <c r="F71" s="171">
        <f>Calc!Y71</f>
        <v>4.5873459349590187E-3</v>
      </c>
      <c r="G71" s="171">
        <f>Calc!AN71</f>
        <v>0.99531905004449728</v>
      </c>
      <c r="H71" s="172">
        <f>Calc!AO71</f>
        <v>2.6516456811940467E-3</v>
      </c>
      <c r="I71" s="15">
        <f>Calc!AH71</f>
        <v>43508.149708433841</v>
      </c>
      <c r="J71" s="15">
        <f>Calc!AI71</f>
        <v>238.38623368965364</v>
      </c>
      <c r="K71" s="15">
        <f>Calc!AJ71</f>
        <v>-8.8714009410795214E-2</v>
      </c>
      <c r="L71" s="15">
        <f>Calc!AK71</f>
        <v>1.4813968647374902</v>
      </c>
      <c r="M71" s="173">
        <f>Calc!AP71</f>
        <v>587.9</v>
      </c>
      <c r="N71" s="173" t="e">
        <f>Calc!AQ71</f>
        <v>#VALUE!</v>
      </c>
      <c r="O71" s="173">
        <f>Calc!AW71</f>
        <v>587.8981</v>
      </c>
      <c r="P71" s="173">
        <f>Calc!AX71</f>
        <v>194.26105539860001</v>
      </c>
      <c r="Q71" s="178">
        <f>Calc!BC71</f>
        <v>-0.46614723093016058</v>
      </c>
      <c r="R71" s="173">
        <f>Calc!BD71</f>
        <v>7.7847089048558731</v>
      </c>
      <c r="S71" s="15">
        <f>Input!E71</f>
        <v>0</v>
      </c>
      <c r="T71" s="68"/>
      <c r="U71" s="68">
        <f>Input!K71</f>
        <v>7.1675305326714314E-3</v>
      </c>
      <c r="W71" s="68">
        <f>Calc!AS71</f>
        <v>2.2876611777667932E-5</v>
      </c>
      <c r="X71" s="68">
        <f>Calc!AT71</f>
        <v>1.0958114282814276E-7</v>
      </c>
      <c r="Y71" s="68">
        <f>Calc!AN71</f>
        <v>0.99531905004449728</v>
      </c>
      <c r="Z71" s="68">
        <f>Calc!AO71</f>
        <v>2.6516456811940467E-3</v>
      </c>
      <c r="AA71" s="68">
        <f t="shared" ref="AA71:AA81" si="14">1+K71/1000</f>
        <v>0.9999112859905892</v>
      </c>
      <c r="AB71" s="68">
        <f t="shared" ref="AB71:AB81" si="15">J71/1000</f>
        <v>0.23838623368965364</v>
      </c>
    </row>
    <row r="72" spans="1:28" x14ac:dyDescent="0.2">
      <c r="A72" s="68">
        <f>Input!A72</f>
        <v>10944</v>
      </c>
      <c r="B72" s="68" t="str">
        <f>Input!B72</f>
        <v>CSM_2012</v>
      </c>
      <c r="C72" s="175">
        <f>Calc!O72</f>
        <v>2.8750625059897379</v>
      </c>
      <c r="D72" s="175">
        <f>Calc!P72</f>
        <v>1.5642138701362762E-4</v>
      </c>
      <c r="E72" s="175">
        <f>Calc!X72</f>
        <v>2.8106733756751712E-2</v>
      </c>
      <c r="F72" s="175">
        <f>Calc!Y72</f>
        <v>1.3616356087338438E-4</v>
      </c>
      <c r="G72" s="175">
        <f>Calc!AN72</f>
        <v>8.1784588862790497E-4</v>
      </c>
      <c r="H72" s="71">
        <f>Calc!AO72</f>
        <v>2.7831552170143554E-5</v>
      </c>
      <c r="I72" s="70">
        <f>Calc!AH72</f>
        <v>255.09130243904721</v>
      </c>
      <c r="J72" s="70">
        <f>Calc!AI72</f>
        <v>8.768348004628308</v>
      </c>
      <c r="K72" s="70">
        <f>Calc!AJ72</f>
        <v>144.38629443836516</v>
      </c>
      <c r="L72" s="70">
        <f>Calc!AK72</f>
        <v>0.50766757522882577</v>
      </c>
      <c r="M72" s="176">
        <f>Calc!AP72</f>
        <v>7.8E-2</v>
      </c>
      <c r="N72" s="176">
        <f>Calc!AQ72</f>
        <v>3.3E-3</v>
      </c>
      <c r="O72" s="176">
        <f>Calc!AW72</f>
        <v>7.5499999999999998E-2</v>
      </c>
      <c r="P72" s="176">
        <f>Calc!AY72</f>
        <v>2.9247673729207871E-3</v>
      </c>
      <c r="Q72" s="177">
        <f>Calc!BC72</f>
        <v>144.41706145829369</v>
      </c>
      <c r="R72" s="176">
        <f>Calc!BD72</f>
        <v>0.50777715231661202</v>
      </c>
      <c r="S72" s="70">
        <f>Input!E72</f>
        <v>0</v>
      </c>
      <c r="T72" s="68"/>
      <c r="U72" s="68">
        <f>Input!K72</f>
        <v>7.1570730812226995E-3</v>
      </c>
      <c r="W72" s="68">
        <f>Calc!AS72</f>
        <v>3.1987423447927007E-6</v>
      </c>
      <c r="X72" s="68">
        <f>Calc!AT72</f>
        <v>1.5497340160814607E-8</v>
      </c>
      <c r="Y72" s="68">
        <f>Calc!AN72</f>
        <v>8.1784588862790497E-4</v>
      </c>
      <c r="Z72" s="68">
        <f>Calc!AO72</f>
        <v>2.7831552170143554E-5</v>
      </c>
      <c r="AA72" s="68">
        <f t="shared" si="14"/>
        <v>1.1443862944383651</v>
      </c>
      <c r="AB72" s="68">
        <f t="shared" si="15"/>
        <v>8.7683480046283086E-3</v>
      </c>
    </row>
    <row r="73" spans="1:28" x14ac:dyDescent="0.2">
      <c r="A73" s="13">
        <f>Input!A73</f>
        <v>10815</v>
      </c>
      <c r="B73" s="13" t="str">
        <f>Input!B73</f>
        <v>Hu1-13</v>
      </c>
      <c r="C73" s="171">
        <f>Calc!O73</f>
        <v>13.700518996414631</v>
      </c>
      <c r="D73" s="171">
        <f>Calc!P73</f>
        <v>1.7141835586571405E-3</v>
      </c>
      <c r="E73" s="171">
        <f>Calc!X73</f>
        <v>0.96082226549435135</v>
      </c>
      <c r="F73" s="171">
        <f>Calc!Y73</f>
        <v>4.2656856582973862E-3</v>
      </c>
      <c r="G73" s="171">
        <f>Calc!AN73</f>
        <v>1.0000968644844661</v>
      </c>
      <c r="H73" s="172">
        <f>Calc!AO73</f>
        <v>3.2668339386151112E-3</v>
      </c>
      <c r="I73" s="15">
        <f>Calc!AH73</f>
        <v>43583.274396973859</v>
      </c>
      <c r="J73" s="15">
        <f>Calc!AI73</f>
        <v>240.16206216025125</v>
      </c>
      <c r="K73" s="15">
        <f>Calc!AJ73</f>
        <v>1.1625587150974059</v>
      </c>
      <c r="L73" s="15">
        <f>Calc!AK73</f>
        <v>2.0373538662324058</v>
      </c>
      <c r="M73" s="173">
        <f>Calc!AP73</f>
        <v>704.54269999999997</v>
      </c>
      <c r="N73" s="173" t="e">
        <f>Calc!AQ73</f>
        <v>#VALUE!</v>
      </c>
      <c r="O73" s="173">
        <f>Calc!AW73</f>
        <v>704.54089999999997</v>
      </c>
      <c r="P73" s="173">
        <f>Calc!AX73</f>
        <v>320.36448822149998</v>
      </c>
      <c r="Q73" s="178">
        <f>Calc!BC73</f>
        <v>8.4899240721073177</v>
      </c>
      <c r="R73" s="173">
        <f>Calc!BD73</f>
        <v>16.528148549710711</v>
      </c>
      <c r="S73" s="15">
        <f>Input!E73</f>
        <v>0</v>
      </c>
      <c r="T73" s="68"/>
      <c r="U73" s="68">
        <f>Input!K73</f>
        <v>7.1661064372126647E-3</v>
      </c>
      <c r="W73" s="68">
        <f>Calc!AS73</f>
        <v>2.2946804211523547E-5</v>
      </c>
      <c r="X73" s="68">
        <f>Calc!AT73</f>
        <v>1.0191553716279689E-7</v>
      </c>
      <c r="Y73" s="68">
        <f>Calc!AN73</f>
        <v>1.0000968644844661</v>
      </c>
      <c r="Z73" s="68">
        <f>Calc!AO73</f>
        <v>3.2668339386151112E-3</v>
      </c>
      <c r="AA73" s="68">
        <f t="shared" si="14"/>
        <v>1.0011625587150974</v>
      </c>
      <c r="AB73" s="68">
        <f t="shared" si="15"/>
        <v>0.24016206216025127</v>
      </c>
    </row>
    <row r="74" spans="1:28" x14ac:dyDescent="0.2">
      <c r="A74" s="68">
        <f>Input!A74</f>
        <v>10943</v>
      </c>
      <c r="B74" s="68" t="str">
        <f>Input!B74</f>
        <v>CSM_1999</v>
      </c>
      <c r="C74" s="175">
        <f>Calc!O74</f>
        <v>2.8668279166290493</v>
      </c>
      <c r="D74" s="175">
        <f>Calc!P74</f>
        <v>3.1640549993687409E-4</v>
      </c>
      <c r="E74" s="175">
        <f>Calc!X74</f>
        <v>1.416003104818451E-2</v>
      </c>
      <c r="F74" s="175">
        <f>Calc!Y74</f>
        <v>5.7574885566146069E-4</v>
      </c>
      <c r="G74" s="175">
        <f>Calc!AN74</f>
        <v>5.2348321264552647E-3</v>
      </c>
      <c r="H74" s="71">
        <f>Calc!AO74</f>
        <v>1.7386379128940006E-4</v>
      </c>
      <c r="I74" s="70">
        <f>Calc!AH74</f>
        <v>3237.2077199310229</v>
      </c>
      <c r="J74" s="70">
        <f>Calc!AI74</f>
        <v>169.95585640695316</v>
      </c>
      <c r="K74" s="70">
        <f>Calc!AJ74</f>
        <v>144.52952536992925</v>
      </c>
      <c r="L74" s="70">
        <f>Calc!AK74</f>
        <v>0.82059419410068402</v>
      </c>
      <c r="M74" s="176">
        <f>Calc!AP74</f>
        <v>0.49980000000000002</v>
      </c>
      <c r="N74" s="176">
        <f>Calc!AQ74</f>
        <v>1.6500000000000001E-2</v>
      </c>
      <c r="O74" s="176">
        <f>Calc!AW74</f>
        <v>0.49859999999999999</v>
      </c>
      <c r="P74" s="176">
        <f>Calc!AY74</f>
        <v>1.6676538176560458E-2</v>
      </c>
      <c r="Q74" s="177">
        <f>Calc!BC74</f>
        <v>144.73303298880631</v>
      </c>
      <c r="R74" s="176">
        <f>Calc!BD74</f>
        <v>0.82177787723480378</v>
      </c>
      <c r="S74" s="70">
        <f>Input!E74</f>
        <v>0</v>
      </c>
      <c r="T74" s="68"/>
      <c r="U74" s="68">
        <f>Input!K74</f>
        <v>7.1507569381026401E-3</v>
      </c>
      <c r="W74" s="68">
        <f>Calc!AS74</f>
        <v>1.6161391520938214E-6</v>
      </c>
      <c r="X74" s="68">
        <f>Calc!AT74</f>
        <v>6.5712687503359087E-8</v>
      </c>
      <c r="Y74" s="68">
        <f>Calc!AN74</f>
        <v>5.2348321264552647E-3</v>
      </c>
      <c r="Z74" s="68">
        <f>Calc!AO74</f>
        <v>1.7386379128940006E-4</v>
      </c>
      <c r="AA74" s="68">
        <f t="shared" si="14"/>
        <v>1.1445295253699292</v>
      </c>
      <c r="AB74" s="68">
        <f t="shared" si="15"/>
        <v>0.16995585640695315</v>
      </c>
    </row>
    <row r="75" spans="1:28" x14ac:dyDescent="0.2">
      <c r="A75" s="13">
        <f>Input!A75</f>
        <v>10815</v>
      </c>
      <c r="B75" s="13" t="str">
        <f>Input!B75</f>
        <v>Hu1-13</v>
      </c>
      <c r="C75" s="171">
        <f>Calc!O75</f>
        <v>13.700131942554654</v>
      </c>
      <c r="D75" s="171">
        <f>Calc!P75</f>
        <v>1.6609984394232403E-3</v>
      </c>
      <c r="E75" s="171">
        <f>Calc!X75</f>
        <v>0.94901322608509198</v>
      </c>
      <c r="F75" s="171">
        <f>Calc!Y75</f>
        <v>4.3621653404056528E-3</v>
      </c>
      <c r="G75" s="171">
        <f>Calc!AN75</f>
        <v>0.99873634095914898</v>
      </c>
      <c r="H75" s="172">
        <f>Calc!AO75</f>
        <v>3.5356668171026007E-3</v>
      </c>
      <c r="I75" s="15">
        <f>Calc!AH75</f>
        <v>44064.329561722487</v>
      </c>
      <c r="J75" s="15">
        <f>Calc!AI75</f>
        <v>255.59574737725677</v>
      </c>
      <c r="K75" s="15">
        <f>Calc!AJ75</f>
        <v>-1.2594601599051902</v>
      </c>
      <c r="L75" s="15">
        <f>Calc!AK75</f>
        <v>1.4443702259575353</v>
      </c>
      <c r="M75" s="173" t="str">
        <f>Calc!AP75</f>
        <v>Out of range</v>
      </c>
      <c r="N75" s="173" t="e">
        <f>Calc!AQ75</f>
        <v>#VALUE!</v>
      </c>
      <c r="O75" s="173" t="str">
        <f>Calc!AW75</f>
        <v>Out of range</v>
      </c>
      <c r="P75" s="173">
        <f>Calc!AX75</f>
        <v>339.44348206230001</v>
      </c>
      <c r="Q75" s="178" t="e">
        <f>Calc!BC75</f>
        <v>#VALUE!</v>
      </c>
      <c r="R75" s="173" t="e">
        <f>Calc!BD75</f>
        <v>#VALUE!</v>
      </c>
      <c r="S75" s="15">
        <f>Input!E75</f>
        <v>0</v>
      </c>
      <c r="T75" s="68"/>
      <c r="U75" s="68">
        <f>Input!K75</f>
        <v>7.1557192752056409E-3</v>
      </c>
      <c r="W75" s="68">
        <f>Calc!AS75</f>
        <v>2.2665415561586682E-5</v>
      </c>
      <c r="X75" s="68">
        <f>Calc!AT75</f>
        <v>1.0421843878819541E-7</v>
      </c>
      <c r="Y75" s="68">
        <f>Calc!AN75</f>
        <v>0.99873634095914898</v>
      </c>
      <c r="Z75" s="68">
        <f>Calc!AO75</f>
        <v>3.5356668171026007E-3</v>
      </c>
      <c r="AA75" s="68">
        <f t="shared" si="14"/>
        <v>0.99874053984009481</v>
      </c>
      <c r="AB75" s="68">
        <f t="shared" si="15"/>
        <v>0.25559574737725677</v>
      </c>
    </row>
    <row r="76" spans="1:28" x14ac:dyDescent="0.2">
      <c r="A76" s="68">
        <f>Input!A76</f>
        <v>10942</v>
      </c>
      <c r="B76" s="68" t="str">
        <f>Input!B76</f>
        <v>CSM_1972</v>
      </c>
      <c r="C76" s="175">
        <f>Calc!O76</f>
        <v>2.8299631196892241</v>
      </c>
      <c r="D76" s="175">
        <f>Calc!P76</f>
        <v>1.9430831660982248E-4</v>
      </c>
      <c r="E76" s="175">
        <f>Calc!X76</f>
        <v>2.8040516691259704E-2</v>
      </c>
      <c r="F76" s="175">
        <f>Calc!Y76</f>
        <v>2.7300171577424146E-4</v>
      </c>
      <c r="G76" s="175">
        <f>Calc!AN76</f>
        <v>2.8419242165163227E-3</v>
      </c>
      <c r="H76" s="71">
        <f>Calc!AO76</f>
        <v>6.5782114551714104E-5</v>
      </c>
      <c r="I76" s="70">
        <f>Calc!AH76</f>
        <v>875.6574282830087</v>
      </c>
      <c r="J76" s="70">
        <f>Calc!AI76</f>
        <v>21.988760759531878</v>
      </c>
      <c r="K76" s="70">
        <f>Calc!AJ76</f>
        <v>145.72666580866377</v>
      </c>
      <c r="L76" s="70">
        <f>Calc!AK76</f>
        <v>0.4796377585361194</v>
      </c>
      <c r="M76" s="176">
        <f>Calc!AP76</f>
        <v>0.27079999999999999</v>
      </c>
      <c r="N76" s="176">
        <f>Calc!AQ76</f>
        <v>6.6E-3</v>
      </c>
      <c r="O76" s="176">
        <f>Calc!AW76</f>
        <v>0.26829999999999998</v>
      </c>
      <c r="P76" s="176">
        <f>Calc!AY76</f>
        <v>6.4059698570925507E-3</v>
      </c>
      <c r="Q76" s="177">
        <f>Calc!BC76</f>
        <v>145.83704580352463</v>
      </c>
      <c r="R76" s="176">
        <f>Calc!BD76</f>
        <v>0.48000829835650133</v>
      </c>
      <c r="S76" s="70">
        <f>Input!E76</f>
        <v>0</v>
      </c>
      <c r="T76" s="68"/>
      <c r="U76" s="68">
        <f>Input!K76</f>
        <v>7.1373376673724009E-3</v>
      </c>
      <c r="W76" s="68">
        <f>Calc!AS76</f>
        <v>3.2420626794410353E-6</v>
      </c>
      <c r="X76" s="68">
        <f>Calc!AT76</f>
        <v>3.1565419908931392E-8</v>
      </c>
      <c r="Y76" s="68">
        <f>Calc!AN76</f>
        <v>2.8419242165163227E-3</v>
      </c>
      <c r="Z76" s="68">
        <f>Calc!AO76</f>
        <v>6.5782114551714104E-5</v>
      </c>
      <c r="AA76" s="68">
        <f t="shared" si="14"/>
        <v>1.1457266658086638</v>
      </c>
      <c r="AB76" s="68">
        <f t="shared" si="15"/>
        <v>2.1988760759531878E-2</v>
      </c>
    </row>
    <row r="77" spans="1:28" x14ac:dyDescent="0.2">
      <c r="A77" s="13">
        <f>Input!A77</f>
        <v>10815</v>
      </c>
      <c r="B77" s="13" t="str">
        <f>Input!B77</f>
        <v>Hu1-13</v>
      </c>
      <c r="C77" s="171">
        <f>Calc!O77</f>
        <v>13.69995613972401</v>
      </c>
      <c r="D77" s="171">
        <f>Calc!P77</f>
        <v>1.7385313609363756E-3</v>
      </c>
      <c r="E77" s="171">
        <f>Calc!X77</f>
        <v>0.94736665711519685</v>
      </c>
      <c r="F77" s="171">
        <f>Calc!Y77</f>
        <v>4.5139047123154913E-3</v>
      </c>
      <c r="G77" s="171">
        <f>Calc!AN77</f>
        <v>0.99916089480294457</v>
      </c>
      <c r="H77" s="172">
        <f>Calc!AO77</f>
        <v>2.80175691192353E-3</v>
      </c>
      <c r="I77" s="15">
        <f>Calc!AH77</f>
        <v>44159.112733732632</v>
      </c>
      <c r="J77" s="15">
        <f>Calc!AI77</f>
        <v>244.07313930452426</v>
      </c>
      <c r="K77" s="15">
        <f>Calc!AJ77</f>
        <v>0.43143516285670813</v>
      </c>
      <c r="L77" s="15">
        <f>Calc!AK77</f>
        <v>1.8506086814348002</v>
      </c>
      <c r="M77" s="173">
        <f>Calc!AP77</f>
        <v>712.32529999999997</v>
      </c>
      <c r="N77" s="173" t="e">
        <f>Calc!AQ77</f>
        <v>#VALUE!</v>
      </c>
      <c r="O77" s="173">
        <f>Calc!AW77</f>
        <v>712.32349999999997</v>
      </c>
      <c r="P77" s="173">
        <f>Calc!AX77</f>
        <v>326.02788790440002</v>
      </c>
      <c r="Q77" s="178">
        <f>Calc!BC77</f>
        <v>3.2206448927963276</v>
      </c>
      <c r="R77" s="173">
        <f>Calc!BD77</f>
        <v>14.056526002870438</v>
      </c>
      <c r="S77" s="15">
        <f>Input!E77</f>
        <v>0</v>
      </c>
      <c r="T77" s="68"/>
      <c r="U77" s="68">
        <f>Input!K77</f>
        <v>7.1512414198939148E-3</v>
      </c>
      <c r="W77" s="68">
        <f>Calc!AS77</f>
        <v>2.2626380670907302E-5</v>
      </c>
      <c r="X77" s="68">
        <f>Calc!AT77</f>
        <v>1.0784583041553961E-7</v>
      </c>
      <c r="Y77" s="68">
        <f>Calc!AN77</f>
        <v>0.99916089480294457</v>
      </c>
      <c r="Z77" s="68">
        <f>Calc!AO77</f>
        <v>2.80175691192353E-3</v>
      </c>
      <c r="AA77" s="68">
        <f t="shared" si="14"/>
        <v>1.0004314351628567</v>
      </c>
      <c r="AB77" s="68">
        <f t="shared" si="15"/>
        <v>0.24407313930452426</v>
      </c>
    </row>
    <row r="78" spans="1:28" x14ac:dyDescent="0.2">
      <c r="A78" s="68">
        <f>Input!A78</f>
        <v>10941</v>
      </c>
      <c r="B78" s="68" t="str">
        <f>Input!B78</f>
        <v>CSM_1968</v>
      </c>
      <c r="C78" s="175">
        <f>Calc!O78</f>
        <v>2.8735083808834632</v>
      </c>
      <c r="D78" s="175">
        <f>Calc!P78</f>
        <v>1.5941675070839481E-4</v>
      </c>
      <c r="E78" s="175">
        <f>Calc!X78</f>
        <v>8.5536899919259352E-3</v>
      </c>
      <c r="F78" s="175">
        <f>Calc!Y78</f>
        <v>6.3595520990063242E-5</v>
      </c>
      <c r="G78" s="175">
        <f>Calc!AN78</f>
        <v>2.6511926598078942E-3</v>
      </c>
      <c r="H78" s="71">
        <f>Calc!AO78</f>
        <v>6.7860491765913924E-5</v>
      </c>
      <c r="I78" s="70">
        <f>Calc!AH78</f>
        <v>2718.9166161525995</v>
      </c>
      <c r="J78" s="70">
        <f>Calc!AI78</f>
        <v>72.470234148782453</v>
      </c>
      <c r="K78" s="70">
        <f>Calc!AJ78</f>
        <v>144.98163903749472</v>
      </c>
      <c r="L78" s="70">
        <f>Calc!AK78</f>
        <v>0.45237370056421494</v>
      </c>
      <c r="M78" s="176">
        <f>Calc!AP78</f>
        <v>0.25280000000000002</v>
      </c>
      <c r="N78" s="176">
        <f>Calc!AQ78</f>
        <v>7.1000000000000004E-3</v>
      </c>
      <c r="O78" s="176">
        <f>Calc!AW78</f>
        <v>0.252</v>
      </c>
      <c r="P78" s="176">
        <f>Calc!AY78</f>
        <v>6.4977154290589284E-3</v>
      </c>
      <c r="Q78" s="177">
        <f>Calc!BC78</f>
        <v>145.08478072305698</v>
      </c>
      <c r="R78" s="176">
        <f>Calc!BD78</f>
        <v>0.45270334198283951</v>
      </c>
      <c r="S78" s="70">
        <f>Input!E78</f>
        <v>0</v>
      </c>
      <c r="T78" s="68"/>
      <c r="U78" s="68">
        <f>Input!K78</f>
        <v>7.1336285130344981E-3</v>
      </c>
      <c r="W78" s="68">
        <f>Calc!AS78</f>
        <v>9.7399607969749963E-7</v>
      </c>
      <c r="X78" s="68">
        <f>Calc!AT78</f>
        <v>7.241729898481597E-9</v>
      </c>
      <c r="Y78" s="68">
        <f>Calc!AN78</f>
        <v>2.6511926598078942E-3</v>
      </c>
      <c r="Z78" s="68">
        <f>Calc!AO78</f>
        <v>6.7860491765913924E-5</v>
      </c>
      <c r="AA78" s="68">
        <f t="shared" si="14"/>
        <v>1.1449816390374947</v>
      </c>
      <c r="AB78" s="68">
        <f t="shared" si="15"/>
        <v>7.2470234148782453E-2</v>
      </c>
    </row>
    <row r="79" spans="1:28" x14ac:dyDescent="0.2">
      <c r="A79" s="13">
        <f>Input!A79</f>
        <v>10815</v>
      </c>
      <c r="B79" s="13" t="str">
        <f>Input!B79</f>
        <v>Hu1-13</v>
      </c>
      <c r="C79" s="171">
        <f>Calc!O79</f>
        <v>13.698791392219791</v>
      </c>
      <c r="D79" s="171">
        <f>Calc!P79</f>
        <v>1.7745565378518191E-3</v>
      </c>
      <c r="E79" s="171">
        <f>Calc!X79</f>
        <v>0.94620847779062667</v>
      </c>
      <c r="F79" s="171">
        <f>Calc!Y79</f>
        <v>3.6884475151890712E-3</v>
      </c>
      <c r="G79" s="171">
        <f>Calc!AN79</f>
        <v>0.99859216577539378</v>
      </c>
      <c r="H79" s="172">
        <f>Calc!AO79</f>
        <v>2.732326307877972E-3</v>
      </c>
      <c r="I79" s="15">
        <f>Calc!AH79</f>
        <v>44184.241210557317</v>
      </c>
      <c r="J79" s="15">
        <f>Calc!AI79</f>
        <v>210.3529108675441</v>
      </c>
      <c r="K79" s="15">
        <f>Calc!AJ79</f>
        <v>0.24585898673135098</v>
      </c>
      <c r="L79" s="15">
        <f>Calc!AK79</f>
        <v>1.883531804353334</v>
      </c>
      <c r="M79" s="173">
        <f>Calc!AP79</f>
        <v>691.7038</v>
      </c>
      <c r="N79" s="173" t="e">
        <f>Calc!AQ79</f>
        <v>#VALUE!</v>
      </c>
      <c r="O79" s="173">
        <f>Calc!AW79</f>
        <v>691.702</v>
      </c>
      <c r="P79" s="173">
        <f>Calc!AX79</f>
        <v>315.49638527180002</v>
      </c>
      <c r="Q79" s="178">
        <f>Calc!BC79</f>
        <v>1.7315680998221235</v>
      </c>
      <c r="R79" s="173">
        <f>Calc!BD79</f>
        <v>13.315447276766442</v>
      </c>
      <c r="S79" s="15">
        <f>Input!E79</f>
        <v>0</v>
      </c>
      <c r="T79" s="68"/>
      <c r="U79" s="68">
        <f>Input!K79</f>
        <v>7.1485534464905843E-3</v>
      </c>
      <c r="W79" s="68">
        <f>Calc!AS79</f>
        <v>2.2600640826141237E-5</v>
      </c>
      <c r="X79" s="68">
        <f>Calc!AT79</f>
        <v>8.814896106507125E-8</v>
      </c>
      <c r="Y79" s="68">
        <f>Calc!AN79</f>
        <v>0.99859216577539378</v>
      </c>
      <c r="Z79" s="68">
        <f>Calc!AO79</f>
        <v>2.732326307877972E-3</v>
      </c>
      <c r="AA79" s="68">
        <f t="shared" si="14"/>
        <v>1.0002458589867314</v>
      </c>
      <c r="AB79" s="68">
        <f t="shared" si="15"/>
        <v>0.2103529108675441</v>
      </c>
    </row>
    <row r="80" spans="1:28" x14ac:dyDescent="0.2">
      <c r="A80" s="68">
        <f>Input!A80</f>
        <v>10940</v>
      </c>
      <c r="B80" s="68" t="str">
        <f>Input!B80</f>
        <v>CSM_1937</v>
      </c>
      <c r="C80" s="175">
        <f>Calc!O80</f>
        <v>2.9124322070815798</v>
      </c>
      <c r="D80" s="175">
        <f>Calc!P80</f>
        <v>1.8754379531352397E-4</v>
      </c>
      <c r="E80" s="175">
        <f>Calc!X80</f>
        <v>2.1762640054719579E-2</v>
      </c>
      <c r="F80" s="175">
        <f>Calc!Y80</f>
        <v>1.4291914869865273E-4</v>
      </c>
      <c r="G80" s="175">
        <f>Calc!AN80</f>
        <v>2.6752785168803052E-3</v>
      </c>
      <c r="H80" s="71">
        <f>Calc!AO80</f>
        <v>5.0505059201203583E-5</v>
      </c>
      <c r="I80" s="70">
        <f>Calc!AH80</f>
        <v>1092.4164730786331</v>
      </c>
      <c r="J80" s="70">
        <f>Calc!AI80</f>
        <v>21.835184397679001</v>
      </c>
      <c r="K80" s="70">
        <f>Calc!AJ80</f>
        <v>145.40564645973109</v>
      </c>
      <c r="L80" s="70">
        <f>Calc!AK80</f>
        <v>0.4526090685522462</v>
      </c>
      <c r="M80" s="176">
        <f>Calc!AP80</f>
        <v>0.255</v>
      </c>
      <c r="N80" s="176">
        <f>Calc!AQ80</f>
        <v>6.7999999999999996E-3</v>
      </c>
      <c r="O80" s="176">
        <f>Calc!AW80</f>
        <v>0.25309999999999999</v>
      </c>
      <c r="P80" s="176">
        <f>Calc!AY80</f>
        <v>4.9160046217124288E-3</v>
      </c>
      <c r="Q80" s="177">
        <f>Calc!BC80</f>
        <v>145.50954148890557</v>
      </c>
      <c r="R80" s="176">
        <f>Calc!BD80</f>
        <v>0.45293696468890959</v>
      </c>
      <c r="S80" s="70">
        <f>Input!E80</f>
        <v>0</v>
      </c>
      <c r="T80" s="68"/>
      <c r="U80" s="68">
        <f>Input!K80</f>
        <v>7.1369269489976175E-3</v>
      </c>
      <c r="W80" s="68">
        <f>Calc!AS80</f>
        <v>2.4449609367636138E-6</v>
      </c>
      <c r="X80" s="68">
        <f>Calc!AT80</f>
        <v>1.6057267538341804E-8</v>
      </c>
      <c r="Y80" s="68">
        <f>Calc!AN80</f>
        <v>2.6752785168803052E-3</v>
      </c>
      <c r="Z80" s="68">
        <f>Calc!AO80</f>
        <v>5.0505059201203583E-5</v>
      </c>
      <c r="AA80" s="68">
        <f t="shared" si="14"/>
        <v>1.1454056464597311</v>
      </c>
      <c r="AB80" s="68">
        <f t="shared" si="15"/>
        <v>2.1835184397679001E-2</v>
      </c>
    </row>
    <row r="81" spans="1:28" x14ac:dyDescent="0.2">
      <c r="A81" s="13">
        <f>Input!A81</f>
        <v>10815</v>
      </c>
      <c r="B81" s="13" t="str">
        <f>Input!B81</f>
        <v>Hu1-13</v>
      </c>
      <c r="C81" s="171">
        <f>Calc!O81</f>
        <v>13.700754876698941</v>
      </c>
      <c r="D81" s="171">
        <f>Calc!P81</f>
        <v>2.0596640628144855E-3</v>
      </c>
      <c r="E81" s="171">
        <f>Calc!X81</f>
        <v>0.94031188624915174</v>
      </c>
      <c r="F81" s="171">
        <f>Calc!Y81</f>
        <v>4.6760901262300134E-3</v>
      </c>
      <c r="G81" s="171">
        <f>Calc!AN81</f>
        <v>0.99814618240148711</v>
      </c>
      <c r="H81" s="172">
        <f>Calc!AO81</f>
        <v>3.5773500619646599E-3</v>
      </c>
      <c r="I81" s="15">
        <f>Calc!AH81</f>
        <v>44447.82863685544</v>
      </c>
      <c r="J81" s="15">
        <f>Calc!AI81</f>
        <v>272.37594449326463</v>
      </c>
      <c r="K81" s="15">
        <f>Calc!AJ81</f>
        <v>-0.6003881009377654</v>
      </c>
      <c r="L81" s="15">
        <f>Calc!AK81</f>
        <v>1.419025976535357</v>
      </c>
      <c r="M81" s="173">
        <f>Calc!AP81</f>
        <v>753.94</v>
      </c>
      <c r="N81" s="173" t="e">
        <f>Calc!AQ81</f>
        <v>#VALUE!</v>
      </c>
      <c r="O81" s="173">
        <f>Calc!AW81</f>
        <v>753.93820000000005</v>
      </c>
      <c r="P81" s="173">
        <f>Calc!AX81</f>
        <v>339.88743825479997</v>
      </c>
      <c r="Q81" s="178">
        <f>Calc!BC81</f>
        <v>-5.0403717471319167</v>
      </c>
      <c r="R81" s="173">
        <f>Calc!BD81</f>
        <v>13.524923545971186</v>
      </c>
      <c r="S81" s="15">
        <f>Input!E81</f>
        <v>0</v>
      </c>
      <c r="T81" s="68"/>
      <c r="U81" s="68">
        <f>Input!K81</f>
        <v>7.1476080565217948E-3</v>
      </c>
      <c r="W81" s="68">
        <f>Calc!AS81</f>
        <v>2.2456579162875912E-5</v>
      </c>
      <c r="X81" s="68">
        <f>Calc!AT81</f>
        <v>1.1172565259943366E-7</v>
      </c>
      <c r="Y81" s="68">
        <f>Calc!AN81</f>
        <v>0.99814618240148711</v>
      </c>
      <c r="Z81" s="68">
        <f>Calc!AO81</f>
        <v>3.5773500619646599E-3</v>
      </c>
      <c r="AA81" s="68">
        <f t="shared" si="14"/>
        <v>0.99939961189906223</v>
      </c>
      <c r="AB81" s="68">
        <f t="shared" si="15"/>
        <v>0.27237594449326463</v>
      </c>
    </row>
    <row r="82" spans="1:28" ht="13.5" customHeight="1" x14ac:dyDescent="0.2">
      <c r="H82" s="74"/>
    </row>
    <row r="83" spans="1:28" x14ac:dyDescent="0.2">
      <c r="A83" s="13">
        <f>Input!A83</f>
        <v>10815</v>
      </c>
      <c r="B83" s="13" t="str">
        <f>Input!B83</f>
        <v>Hu1-13</v>
      </c>
      <c r="C83" s="171">
        <f>Calc!O83</f>
        <v>13.700324962530242</v>
      </c>
      <c r="D83" s="171">
        <f>Calc!P83</f>
        <v>9.5875861237516944E-4</v>
      </c>
      <c r="E83" s="171">
        <f>Calc!X83</f>
        <v>0.96609093385655898</v>
      </c>
      <c r="F83" s="171">
        <f>Calc!Y83</f>
        <v>4.685310944168913E-3</v>
      </c>
      <c r="G83" s="171">
        <f>Calc!AN83</f>
        <v>0.99807115324838702</v>
      </c>
      <c r="H83" s="172">
        <f>Calc!AO83</f>
        <v>3.4903925905795056E-3</v>
      </c>
      <c r="I83" s="15">
        <f>Calc!AH83</f>
        <v>43257.179102880327</v>
      </c>
      <c r="J83" s="15">
        <f>Calc!AI83</f>
        <v>258.6231919764769</v>
      </c>
      <c r="K83" s="15">
        <f>Calc!AJ83</f>
        <v>-0.40821120808687272</v>
      </c>
      <c r="L83" s="15">
        <f>Calc!AK83</f>
        <v>1.0420481625277644</v>
      </c>
      <c r="M83" s="173">
        <f>Calc!AP83</f>
        <v>720.91930000000002</v>
      </c>
      <c r="N83" s="173" t="e">
        <f>Calc!AQ83</f>
        <v>#VALUE!</v>
      </c>
      <c r="O83" s="173">
        <f>Calc!AW83</f>
        <v>720.91740000000004</v>
      </c>
      <c r="P83" s="173">
        <f>Calc!AX83</f>
        <v>323.67362463360001</v>
      </c>
      <c r="Q83" s="178">
        <f>Calc!BC83</f>
        <v>-3.1220866807519063</v>
      </c>
      <c r="R83" s="173">
        <f>Calc!BD83</f>
        <v>8.4141661649065416</v>
      </c>
      <c r="S83" s="15">
        <f>Input!E83</f>
        <v>0</v>
      </c>
      <c r="T83" s="68"/>
      <c r="U83" s="68">
        <f>Input!K83</f>
        <v>7.1686630929116979E-3</v>
      </c>
      <c r="W83" s="68">
        <f>Calc!AS83</f>
        <v>2.3072959771015889E-5</v>
      </c>
      <c r="X83" s="68">
        <f>Calc!AT83</f>
        <v>1.1191000877274869E-7</v>
      </c>
      <c r="Y83" s="68">
        <f>Calc!AN83</f>
        <v>0.99807115324838702</v>
      </c>
      <c r="Z83" s="68">
        <f>Calc!AO83</f>
        <v>3.4903925905795056E-3</v>
      </c>
      <c r="AA83" s="68">
        <f t="shared" ref="AA83:AA93" si="16">1+K83/1000</f>
        <v>0.99959178879191313</v>
      </c>
      <c r="AB83" s="68">
        <f t="shared" ref="AB83:AB93" si="17">J83/1000</f>
        <v>0.25862319197647693</v>
      </c>
    </row>
    <row r="84" spans="1:28" x14ac:dyDescent="0.2">
      <c r="A84" s="68">
        <f>Input!A84</f>
        <v>10945</v>
      </c>
      <c r="B84" s="68" t="str">
        <f>Input!B84</f>
        <v>GeoB20960-1_8-13</v>
      </c>
      <c r="C84" s="175">
        <f>Calc!O84</f>
        <v>3.4248808267348942</v>
      </c>
      <c r="D84" s="175">
        <f>Calc!P84</f>
        <v>1.4256624756963927E-4</v>
      </c>
      <c r="E84" s="175">
        <f>Calc!X84</f>
        <v>0.63007448169456426</v>
      </c>
      <c r="F84" s="175">
        <f>Calc!Y84</f>
        <v>1.160546992566855E-3</v>
      </c>
      <c r="G84" s="175">
        <f>Calc!AN84</f>
        <v>0.19569162494354675</v>
      </c>
      <c r="H84" s="71">
        <f>Calc!AO84</f>
        <v>4.8550493192270501E-4</v>
      </c>
      <c r="I84" s="70">
        <f>Calc!AH84</f>
        <v>3245.4116502150709</v>
      </c>
      <c r="J84" s="70">
        <f>Calc!AI84</f>
        <v>10.027296242564301</v>
      </c>
      <c r="K84" s="70">
        <f>Calc!AJ84</f>
        <v>134.39865954782348</v>
      </c>
      <c r="L84" s="70">
        <f>Calc!AK84</f>
        <v>0.56325642328425574</v>
      </c>
      <c r="M84" s="176">
        <f>Calc!AP84</f>
        <v>20.571300000000001</v>
      </c>
      <c r="N84" s="176">
        <f>Calc!AQ84</f>
        <v>6.2700000000000006E-2</v>
      </c>
      <c r="O84" s="176">
        <f>Calc!AW84</f>
        <v>20.525400000000001</v>
      </c>
      <c r="P84" s="176">
        <f>Calc!AY84</f>
        <v>6.1645662844783448E-2</v>
      </c>
      <c r="Q84" s="177">
        <f>Calc!BC84</f>
        <v>142.41343832153856</v>
      </c>
      <c r="R84" s="176">
        <f>Calc!BD84</f>
        <v>0.59735985935397196</v>
      </c>
      <c r="S84" s="70">
        <f>Input!E84</f>
        <v>10.5</v>
      </c>
      <c r="T84" s="68"/>
      <c r="U84" s="68">
        <f>Input!K84</f>
        <v>7.1535805488168328E-3</v>
      </c>
      <c r="W84" s="68">
        <f>Calc!AS84</f>
        <v>6.0195301960128331E-5</v>
      </c>
      <c r="X84" s="68">
        <f>Calc!AT84</f>
        <v>1.1090326058772597E-7</v>
      </c>
      <c r="Y84" s="68">
        <f>Calc!AN84</f>
        <v>0.19569162494354675</v>
      </c>
      <c r="Z84" s="68">
        <f>Calc!AO84</f>
        <v>4.8550493192270501E-4</v>
      </c>
      <c r="AA84" s="68">
        <f t="shared" si="16"/>
        <v>1.1343986595478235</v>
      </c>
      <c r="AB84" s="68">
        <f t="shared" si="17"/>
        <v>1.00272962425643E-2</v>
      </c>
    </row>
    <row r="85" spans="1:28" x14ac:dyDescent="0.2">
      <c r="A85" s="13">
        <f>Input!A85</f>
        <v>10815</v>
      </c>
      <c r="B85" s="13" t="str">
        <f>Input!B85</f>
        <v>Hu1-13</v>
      </c>
      <c r="C85" s="171">
        <f>Calc!O85</f>
        <v>13.698595945896615</v>
      </c>
      <c r="D85" s="171">
        <f>Calc!P85</f>
        <v>9.0381661116645403E-4</v>
      </c>
      <c r="E85" s="171">
        <f>Calc!X85</f>
        <v>0.95721305147439195</v>
      </c>
      <c r="F85" s="171">
        <f>Calc!Y85</f>
        <v>3.2798933480418808E-3</v>
      </c>
      <c r="G85" s="171">
        <f>Calc!AN85</f>
        <v>0.9985246062888109</v>
      </c>
      <c r="H85" s="172">
        <f>Calc!AO85</f>
        <v>2.6634382714562851E-3</v>
      </c>
      <c r="I85" s="15">
        <f>Calc!AH85</f>
        <v>43672.700276796138</v>
      </c>
      <c r="J85" s="15">
        <f>Calc!AI85</f>
        <v>189.61925912041966</v>
      </c>
      <c r="K85" s="15">
        <f>Calc!AJ85</f>
        <v>-1.1067166512460647</v>
      </c>
      <c r="L85" s="15">
        <f>Calc!AK85</f>
        <v>0.93489779134332618</v>
      </c>
      <c r="M85" s="173" t="str">
        <f>Calc!AP85</f>
        <v>Out of range</v>
      </c>
      <c r="N85" s="173" t="e">
        <f>Calc!AQ85</f>
        <v>#VALUE!</v>
      </c>
      <c r="O85" s="173" t="str">
        <f>Calc!AW85</f>
        <v>Out of range</v>
      </c>
      <c r="P85" s="173">
        <f>Calc!AX85</f>
        <v>338.70073982039997</v>
      </c>
      <c r="Q85" s="178" t="e">
        <f>Calc!BC85</f>
        <v>#VALUE!</v>
      </c>
      <c r="R85" s="173" t="e">
        <f>Calc!BD85</f>
        <v>#VALUE!</v>
      </c>
      <c r="S85" s="15">
        <f>Input!E85</f>
        <v>0</v>
      </c>
      <c r="T85" s="68"/>
      <c r="U85" s="68">
        <f>Input!K85</f>
        <v>7.1576037016930407E-3</v>
      </c>
      <c r="W85" s="68">
        <f>Calc!AS85</f>
        <v>2.2863816525202122E-5</v>
      </c>
      <c r="X85" s="68">
        <f>Calc!AT85</f>
        <v>7.8357457169193807E-8</v>
      </c>
      <c r="Y85" s="68">
        <f>Calc!AN85</f>
        <v>0.9985246062888109</v>
      </c>
      <c r="Z85" s="68">
        <f>Calc!AO85</f>
        <v>2.6634382714562851E-3</v>
      </c>
      <c r="AA85" s="68">
        <f t="shared" si="16"/>
        <v>0.99889328334875394</v>
      </c>
      <c r="AB85" s="68">
        <f t="shared" si="17"/>
        <v>0.18961925912041966</v>
      </c>
    </row>
    <row r="86" spans="1:28" x14ac:dyDescent="0.2">
      <c r="A86" s="68">
        <f>Input!A86</f>
        <v>10946</v>
      </c>
      <c r="B86" s="68" t="str">
        <f>Input!B86</f>
        <v>GeoB20960-1_68</v>
      </c>
      <c r="C86" s="175">
        <f>Calc!O86</f>
        <v>2.934981121732712</v>
      </c>
      <c r="D86" s="175">
        <f>Calc!P86</f>
        <v>1.168898522529661E-4</v>
      </c>
      <c r="E86" s="175">
        <f>Calc!X86</f>
        <v>0.90494028166442153</v>
      </c>
      <c r="F86" s="175">
        <f>Calc!Y86</f>
        <v>1.5354796187717101E-3</v>
      </c>
      <c r="G86" s="175">
        <f>Calc!AN86</f>
        <v>0.19042595747417798</v>
      </c>
      <c r="H86" s="71">
        <f>Calc!AO86</f>
        <v>3.8981570783540347E-4</v>
      </c>
      <c r="I86" s="70">
        <f>Calc!AH86</f>
        <v>1886.7364083754255</v>
      </c>
      <c r="J86" s="70">
        <f>Calc!AI86</f>
        <v>5.0160095709596337</v>
      </c>
      <c r="K86" s="70">
        <f>Calc!AJ86</f>
        <v>135.20242939202043</v>
      </c>
      <c r="L86" s="70">
        <f>Calc!AK86</f>
        <v>0.62772863557456537</v>
      </c>
      <c r="M86" s="176">
        <f>Calc!AP86</f>
        <v>19.950199999999999</v>
      </c>
      <c r="N86" s="176">
        <f>Calc!AQ86</f>
        <v>5.0799999999999998E-2</v>
      </c>
      <c r="O86" s="176">
        <f>Calc!AW86</f>
        <v>19.873100000000001</v>
      </c>
      <c r="P86" s="176">
        <f>Calc!AY86</f>
        <v>6.0320680637376028E-2</v>
      </c>
      <c r="Q86" s="177">
        <f>Calc!BC86</f>
        <v>143.00165632845778</v>
      </c>
      <c r="R86" s="176">
        <f>Calc!BD86</f>
        <v>0.66438561995225875</v>
      </c>
      <c r="S86" s="70">
        <f>Input!E86</f>
        <v>68</v>
      </c>
      <c r="T86" s="68"/>
      <c r="U86" s="68">
        <f>Input!K86</f>
        <v>7.1508524282695839E-3</v>
      </c>
      <c r="W86" s="68">
        <f>Calc!AS86</f>
        <v>1.0088597116698786E-4</v>
      </c>
      <c r="X86" s="68">
        <f>Calc!AT86</f>
        <v>1.7122789367795806E-7</v>
      </c>
      <c r="Y86" s="68">
        <f>Calc!AN86</f>
        <v>0.19042595747417798</v>
      </c>
      <c r="Z86" s="68">
        <f>Calc!AO86</f>
        <v>3.8981570783540347E-4</v>
      </c>
      <c r="AA86" s="68">
        <f t="shared" si="16"/>
        <v>1.1352024293920204</v>
      </c>
      <c r="AB86" s="68">
        <f t="shared" si="17"/>
        <v>5.0160095709596338E-3</v>
      </c>
    </row>
    <row r="87" spans="1:28" x14ac:dyDescent="0.2">
      <c r="A87" s="13">
        <f>Input!A87</f>
        <v>10815</v>
      </c>
      <c r="B87" s="13" t="str">
        <f>Input!B87</f>
        <v>Hu1-13</v>
      </c>
      <c r="C87" s="171">
        <f>Calc!O87</f>
        <v>13.69854798372041</v>
      </c>
      <c r="D87" s="171">
        <f>Calc!P87</f>
        <v>1.20112766739233E-3</v>
      </c>
      <c r="E87" s="171">
        <f>Calc!X87</f>
        <v>0.95906727924247681</v>
      </c>
      <c r="F87" s="171">
        <f>Calc!Y87</f>
        <v>3.5354026986304482E-3</v>
      </c>
      <c r="G87" s="171">
        <f>Calc!AN87</f>
        <v>1.0006275830431555</v>
      </c>
      <c r="H87" s="172">
        <f>Calc!AO87</f>
        <v>2.3901603308010243E-3</v>
      </c>
      <c r="I87" s="15">
        <f>Calc!AH87</f>
        <v>43679.912591911248</v>
      </c>
      <c r="J87" s="15">
        <f>Calc!AI87</f>
        <v>191.82777498839889</v>
      </c>
      <c r="K87" s="15">
        <f>Calc!AJ87</f>
        <v>0.94424691592309706</v>
      </c>
      <c r="L87" s="15">
        <f>Calc!AK87</f>
        <v>1.0007236992173381</v>
      </c>
      <c r="M87" s="173">
        <f>Calc!AP87</f>
        <v>787.99490000000003</v>
      </c>
      <c r="N87" s="173" t="e">
        <f>Calc!AQ87</f>
        <v>#VALUE!</v>
      </c>
      <c r="O87" s="173">
        <f>Calc!AW87</f>
        <v>787.99310000000003</v>
      </c>
      <c r="P87" s="173">
        <f>Calc!AX87</f>
        <v>354.67167379839998</v>
      </c>
      <c r="Q87" s="178">
        <f>Calc!BC87</f>
        <v>8.7267779534233512</v>
      </c>
      <c r="R87" s="173">
        <f>Calc!BD87</f>
        <v>13.711479283717642</v>
      </c>
      <c r="S87" s="15">
        <f>Input!E87</f>
        <v>0</v>
      </c>
      <c r="T87" s="68"/>
      <c r="U87" s="68">
        <f>Input!K87</f>
        <v>7.1561339957367538E-3</v>
      </c>
      <c r="W87" s="68">
        <f>Calc!AS87</f>
        <v>2.2908186479028215E-5</v>
      </c>
      <c r="X87" s="68">
        <f>Calc!AT87</f>
        <v>8.4470166052561513E-8</v>
      </c>
      <c r="Y87" s="68">
        <f>Calc!AN87</f>
        <v>1.0006275830431555</v>
      </c>
      <c r="Z87" s="68">
        <f>Calc!AO87</f>
        <v>2.3901603308010243E-3</v>
      </c>
      <c r="AA87" s="68">
        <f t="shared" si="16"/>
        <v>1.0009442469159231</v>
      </c>
      <c r="AB87" s="68">
        <f t="shared" si="17"/>
        <v>0.1918277749883989</v>
      </c>
    </row>
    <row r="88" spans="1:28" x14ac:dyDescent="0.2">
      <c r="A88" s="68">
        <f>Input!A88</f>
        <v>10947</v>
      </c>
      <c r="B88" s="68" t="str">
        <f>Input!B88</f>
        <v>GeoB20960-1_113-116</v>
      </c>
      <c r="C88" s="175">
        <f>Calc!O88</f>
        <v>3.4738085950493418</v>
      </c>
      <c r="D88" s="175">
        <f>Calc!P88</f>
        <v>1.2813242915385615E-4</v>
      </c>
      <c r="E88" s="175">
        <f>Calc!X88</f>
        <v>0.59711704134494425</v>
      </c>
      <c r="F88" s="175">
        <f>Calc!Y88</f>
        <v>8.1379575518146345E-4</v>
      </c>
      <c r="G88" s="175">
        <f>Calc!AN88</f>
        <v>0.24336050716937649</v>
      </c>
      <c r="H88" s="71">
        <f>Calc!AO88</f>
        <v>4.8633111973233283E-4</v>
      </c>
      <c r="I88" s="70">
        <f>Calc!AH88</f>
        <v>4325.2319410027312</v>
      </c>
      <c r="J88" s="70">
        <f>Calc!AI88</f>
        <v>10.461037475708672</v>
      </c>
      <c r="K88" s="70">
        <f>Calc!AJ88</f>
        <v>129.98475968865742</v>
      </c>
      <c r="L88" s="70">
        <f>Calc!AK88</f>
        <v>0.50150978750271025</v>
      </c>
      <c r="M88" s="176">
        <f>Calc!AP88</f>
        <v>26.322500000000002</v>
      </c>
      <c r="N88" s="176">
        <f>Calc!AQ88</f>
        <v>6.83E-2</v>
      </c>
      <c r="O88" s="176">
        <f>Calc!AW88</f>
        <v>26.279399999999999</v>
      </c>
      <c r="P88" s="176">
        <f>Calc!AY88</f>
        <v>6.4522132662262449E-2</v>
      </c>
      <c r="Q88" s="177">
        <f>Calc!BC88</f>
        <v>139.99115667163977</v>
      </c>
      <c r="R88" s="176">
        <f>Calc!BD88</f>
        <v>0.54071783009711105</v>
      </c>
      <c r="S88" s="70">
        <f>Input!E88</f>
        <v>114.5</v>
      </c>
      <c r="T88" s="68"/>
      <c r="U88" s="68">
        <f>Input!K88</f>
        <v>7.1486880292047621E-3</v>
      </c>
      <c r="W88" s="68">
        <f>Calc!AS88</f>
        <v>5.624316490336845E-5</v>
      </c>
      <c r="X88" s="68">
        <f>Calc!AT88</f>
        <v>7.6680458830176108E-8</v>
      </c>
      <c r="Y88" s="68">
        <f>Calc!AN88</f>
        <v>0.24336050716937649</v>
      </c>
      <c r="Z88" s="68">
        <f>Calc!AO88</f>
        <v>4.8633111973233283E-4</v>
      </c>
      <c r="AA88" s="68">
        <f t="shared" si="16"/>
        <v>1.1299847596886574</v>
      </c>
      <c r="AB88" s="68">
        <f t="shared" si="17"/>
        <v>1.0461037475708672E-2</v>
      </c>
    </row>
    <row r="89" spans="1:28" x14ac:dyDescent="0.2">
      <c r="A89" s="13">
        <f>Input!A89</f>
        <v>10815</v>
      </c>
      <c r="B89" s="13" t="str">
        <f>Input!B89</f>
        <v>Hu1-13</v>
      </c>
      <c r="C89" s="171">
        <f>Calc!O89</f>
        <v>13.698833660919192</v>
      </c>
      <c r="D89" s="171">
        <f>Calc!P89</f>
        <v>9.86331855832287E-4</v>
      </c>
      <c r="E89" s="171">
        <f>Calc!X89</f>
        <v>0.9600529852041978</v>
      </c>
      <c r="F89" s="171">
        <f>Calc!Y89</f>
        <v>4.1231380606195156E-3</v>
      </c>
      <c r="G89" s="171">
        <f>Calc!AN89</f>
        <v>0.9985853223920157</v>
      </c>
      <c r="H89" s="172">
        <f>Calc!AO89</f>
        <v>3.125055224044253E-3</v>
      </c>
      <c r="I89" s="15">
        <f>Calc!AH89</f>
        <v>43546.915382604515</v>
      </c>
      <c r="J89" s="15">
        <f>Calc!AI89</f>
        <v>231.38501295396313</v>
      </c>
      <c r="K89" s="15">
        <f>Calc!AJ89</f>
        <v>0.4147566000873848</v>
      </c>
      <c r="L89" s="15">
        <f>Calc!AK89</f>
        <v>0.9748845766077886</v>
      </c>
      <c r="M89" s="173">
        <f>Calc!AP89</f>
        <v>677.36800000000005</v>
      </c>
      <c r="N89" s="173" t="e">
        <f>Calc!AQ89</f>
        <v>#VALUE!</v>
      </c>
      <c r="O89" s="173">
        <f>Calc!AW89</f>
        <v>677.36620000000005</v>
      </c>
      <c r="P89" s="173">
        <f>Calc!AX89</f>
        <v>308.86617588130002</v>
      </c>
      <c r="Q89" s="178">
        <f>Calc!BC89</f>
        <v>2.8052835515022538</v>
      </c>
      <c r="R89" s="173">
        <f>Calc!BD89</f>
        <v>6.7529821620019508</v>
      </c>
      <c r="S89" s="15">
        <f>Input!E89</f>
        <v>0</v>
      </c>
      <c r="T89" s="68"/>
      <c r="U89" s="68">
        <f>Input!K89</f>
        <v>7.1569614489018218E-3</v>
      </c>
      <c r="W89" s="68">
        <f>Calc!AS89</f>
        <v>2.2931252733251364E-5</v>
      </c>
      <c r="X89" s="68">
        <f>Calc!AT89</f>
        <v>9.8496654687470178E-8</v>
      </c>
      <c r="Y89" s="68">
        <f>Calc!AN89</f>
        <v>0.9985853223920157</v>
      </c>
      <c r="Z89" s="68">
        <f>Calc!AO89</f>
        <v>3.125055224044253E-3</v>
      </c>
      <c r="AA89" s="68">
        <f t="shared" si="16"/>
        <v>1.0004147566000874</v>
      </c>
      <c r="AB89" s="68">
        <f t="shared" si="17"/>
        <v>0.23138501295396313</v>
      </c>
    </row>
    <row r="90" spans="1:28" x14ac:dyDescent="0.2">
      <c r="A90" s="68">
        <f>Input!A90</f>
        <v>10948</v>
      </c>
      <c r="B90" s="68" t="str">
        <f>Input!B90</f>
        <v>GeoB20960-1_181-185</v>
      </c>
      <c r="C90" s="175">
        <f>Calc!O90</f>
        <v>3.3821354294771298</v>
      </c>
      <c r="D90" s="175">
        <f>Calc!P90</f>
        <v>1.3289782303724061E-4</v>
      </c>
      <c r="E90" s="175">
        <f>Calc!X90</f>
        <v>0.88981979468804173</v>
      </c>
      <c r="F90" s="175">
        <f>Calc!Y90</f>
        <v>1.4838149460734073E-3</v>
      </c>
      <c r="G90" s="175">
        <f>Calc!AN90</f>
        <v>0.27911194143119966</v>
      </c>
      <c r="H90" s="71">
        <f>Calc!AO90</f>
        <v>4.7626552852910494E-4</v>
      </c>
      <c r="I90" s="70">
        <f>Calc!AH90</f>
        <v>3238.3419281476795</v>
      </c>
      <c r="J90" s="70">
        <f>Calc!AI90</f>
        <v>7.725213261988201</v>
      </c>
      <c r="K90" s="70">
        <f>Calc!AJ90</f>
        <v>127.44304197527279</v>
      </c>
      <c r="L90" s="70">
        <f>Calc!AK90</f>
        <v>0.55994441866023847</v>
      </c>
      <c r="M90" s="176">
        <f>Calc!AP90</f>
        <v>30.8444</v>
      </c>
      <c r="N90" s="176">
        <f>Calc!AQ90</f>
        <v>6.6400000000000001E-2</v>
      </c>
      <c r="O90" s="176">
        <f>Calc!AW90</f>
        <v>30.778400000000001</v>
      </c>
      <c r="P90" s="176">
        <f>Calc!AY90</f>
        <v>7.1356350150784884E-2</v>
      </c>
      <c r="Q90" s="177">
        <f>Calc!BC90</f>
        <v>139.00751920719208</v>
      </c>
      <c r="R90" s="176">
        <f>Calc!BD90</f>
        <v>0.61139620880947032</v>
      </c>
      <c r="S90" s="70">
        <f>Input!E90</f>
        <v>183</v>
      </c>
      <c r="T90" s="68"/>
      <c r="U90" s="68">
        <f>Input!K90</f>
        <v>7.1506096989728436E-3</v>
      </c>
      <c r="W90" s="68">
        <f>Calc!AS90</f>
        <v>8.6084951591888916E-5</v>
      </c>
      <c r="X90" s="68">
        <f>Calc!AT90</f>
        <v>1.4359041756246811E-7</v>
      </c>
      <c r="Y90" s="68">
        <f>Calc!AN90</f>
        <v>0.27911194143119966</v>
      </c>
      <c r="Z90" s="68">
        <f>Calc!AO90</f>
        <v>4.7626552852910494E-4</v>
      </c>
      <c r="AA90" s="68">
        <f t="shared" si="16"/>
        <v>1.1274430419752728</v>
      </c>
      <c r="AB90" s="68">
        <f t="shared" si="17"/>
        <v>7.725213261988201E-3</v>
      </c>
    </row>
    <row r="91" spans="1:28" x14ac:dyDescent="0.2">
      <c r="A91" s="13">
        <f>Input!A91</f>
        <v>10815</v>
      </c>
      <c r="B91" s="13" t="str">
        <f>Input!B91</f>
        <v>Hu1-13</v>
      </c>
      <c r="C91" s="171">
        <f>Calc!O91</f>
        <v>13.699436030349791</v>
      </c>
      <c r="D91" s="171">
        <f>Calc!P91</f>
        <v>9.9045312550234644E-4</v>
      </c>
      <c r="E91" s="171">
        <f>Calc!X91</f>
        <v>0.95719268976694316</v>
      </c>
      <c r="F91" s="171">
        <f>Calc!Y91</f>
        <v>2.8987259027446729E-3</v>
      </c>
      <c r="G91" s="171">
        <f>Calc!AN91</f>
        <v>0.99898243979772128</v>
      </c>
      <c r="H91" s="172">
        <f>Calc!AO91</f>
        <v>2.6130298988443169E-3</v>
      </c>
      <c r="I91" s="15">
        <f>Calc!AH91</f>
        <v>43696.33366270861</v>
      </c>
      <c r="J91" s="15">
        <f>Calc!AI91</f>
        <v>174.82679213808967</v>
      </c>
      <c r="K91" s="15">
        <f>Calc!AJ91</f>
        <v>0.59511211128948638</v>
      </c>
      <c r="L91" s="15">
        <f>Calc!AK91</f>
        <v>0.88475267295347393</v>
      </c>
      <c r="M91" s="173">
        <f>Calc!AP91</f>
        <v>685.23</v>
      </c>
      <c r="N91" s="173" t="e">
        <f>Calc!AQ91</f>
        <v>#VALUE!</v>
      </c>
      <c r="O91" s="173">
        <f>Calc!AW91</f>
        <v>685.22820000000002</v>
      </c>
      <c r="P91" s="173">
        <f>Calc!AX91</f>
        <v>310.11225084009999</v>
      </c>
      <c r="Q91" s="178">
        <f>Calc!BC91</f>
        <v>4.1154559306838898</v>
      </c>
      <c r="R91" s="173">
        <f>Calc!BD91</f>
        <v>6.4208065848514222</v>
      </c>
      <c r="S91" s="15">
        <f>Input!E91</f>
        <v>0</v>
      </c>
      <c r="T91" s="68"/>
      <c r="U91" s="68">
        <f>Input!K91</f>
        <v>7.154140350097476E-3</v>
      </c>
      <c r="W91" s="68">
        <f>Calc!AS91</f>
        <v>2.2861928131290207E-5</v>
      </c>
      <c r="X91" s="68">
        <f>Calc!AT91</f>
        <v>6.9253920497304393E-8</v>
      </c>
      <c r="Y91" s="68">
        <f>Calc!AN91</f>
        <v>0.99898243979772128</v>
      </c>
      <c r="Z91" s="68">
        <f>Calc!AO91</f>
        <v>2.6130298988443169E-3</v>
      </c>
      <c r="AA91" s="68">
        <f t="shared" si="16"/>
        <v>1.0005951121112895</v>
      </c>
      <c r="AB91" s="68">
        <f t="shared" si="17"/>
        <v>0.17482679213808966</v>
      </c>
    </row>
    <row r="92" spans="1:28" x14ac:dyDescent="0.2">
      <c r="A92" s="68">
        <f>Input!A92</f>
        <v>10949</v>
      </c>
      <c r="B92" s="68" t="str">
        <f>Input!B92</f>
        <v>GeoB20960-1_338-340</v>
      </c>
      <c r="C92" s="175">
        <f>Calc!O92</f>
        <v>3.7959925390228837</v>
      </c>
      <c r="D92" s="175">
        <f>Calc!P92</f>
        <v>1.2602635429406013E-4</v>
      </c>
      <c r="E92" s="175">
        <f>Calc!X92</f>
        <v>0.68702245161512177</v>
      </c>
      <c r="F92" s="175">
        <f>Calc!Y92</f>
        <v>8.3838517051435413E-4</v>
      </c>
      <c r="G92" s="175">
        <f>Calc!AN92</f>
        <v>0.29738217663892813</v>
      </c>
      <c r="H92" s="71">
        <f>Calc!AO92</f>
        <v>4.6632395964406543E-4</v>
      </c>
      <c r="I92" s="70">
        <f>Calc!AH92</f>
        <v>5021.0782631142492</v>
      </c>
      <c r="J92" s="70">
        <f>Calc!AI92</f>
        <v>9.9754029358940386</v>
      </c>
      <c r="K92" s="70">
        <f>Calc!AJ92</f>
        <v>126.65680447707261</v>
      </c>
      <c r="L92" s="70">
        <f>Calc!AK92</f>
        <v>0.55446414862490956</v>
      </c>
      <c r="M92" s="176">
        <f>Calc!AP92</f>
        <v>33.217399999999998</v>
      </c>
      <c r="N92" s="176">
        <f>Calc!AQ92</f>
        <v>6.0100000000000001E-2</v>
      </c>
      <c r="O92" s="176">
        <f>Calc!AW92</f>
        <v>33.171999999999997</v>
      </c>
      <c r="P92" s="176">
        <f>Calc!AY92</f>
        <v>6.7659509811010779E-2</v>
      </c>
      <c r="Q92" s="177">
        <f>Calc!BC92</f>
        <v>139.08628221996412</v>
      </c>
      <c r="R92" s="176">
        <f>Calc!BD92</f>
        <v>0.60945542753434245</v>
      </c>
      <c r="S92" s="70">
        <f>Input!E92</f>
        <v>339</v>
      </c>
      <c r="T92" s="68"/>
      <c r="U92" s="68">
        <f>Input!K92</f>
        <v>7.1448367542508717E-3</v>
      </c>
      <c r="W92" s="68">
        <f>Calc!AS92</f>
        <v>5.9219092865570102E-5</v>
      </c>
      <c r="X92" s="68">
        <f>Calc!AT92</f>
        <v>7.2292804529197613E-8</v>
      </c>
      <c r="Y92" s="68">
        <f>Calc!AN92</f>
        <v>0.29738217663892813</v>
      </c>
      <c r="Z92" s="68">
        <f>Calc!AO92</f>
        <v>4.6632395964406543E-4</v>
      </c>
      <c r="AA92" s="68">
        <f t="shared" si="16"/>
        <v>1.1266568044770726</v>
      </c>
      <c r="AB92" s="68">
        <f t="shared" si="17"/>
        <v>9.9754029358940389E-3</v>
      </c>
    </row>
    <row r="93" spans="1:28" x14ac:dyDescent="0.2">
      <c r="A93" s="13">
        <f>Input!A93</f>
        <v>10815</v>
      </c>
      <c r="B93" s="13" t="str">
        <f>Input!B93</f>
        <v>Hu1-13</v>
      </c>
      <c r="C93" s="171">
        <f>Calc!O93</f>
        <v>13.699707606291343</v>
      </c>
      <c r="D93" s="171">
        <f>Calc!P93</f>
        <v>9.1703519003008755E-4</v>
      </c>
      <c r="E93" s="171">
        <f>Calc!X93</f>
        <v>0.95519716922709064</v>
      </c>
      <c r="F93" s="171">
        <f>Calc!Y93</f>
        <v>2.8778667259537994E-3</v>
      </c>
      <c r="G93" s="171">
        <f>Calc!AN93</f>
        <v>1.0007587908926656</v>
      </c>
      <c r="H93" s="172">
        <f>Calc!AO93</f>
        <v>2.2742358976307222E-3</v>
      </c>
      <c r="I93" s="15">
        <f>Calc!AH93</f>
        <v>43866.351503145241</v>
      </c>
      <c r="J93" s="15">
        <f>Calc!AI93</f>
        <v>165.51687048399037</v>
      </c>
      <c r="K93" s="15">
        <f>Calc!AJ93</f>
        <v>-0.40418764755001391</v>
      </c>
      <c r="L93" s="15">
        <f>Calc!AK93</f>
        <v>0.61322118491652355</v>
      </c>
      <c r="M93" s="173" t="str">
        <f>Calc!AP93</f>
        <v>Out of range</v>
      </c>
      <c r="N93" s="173" t="e">
        <f>Calc!AQ93</f>
        <v>#VALUE!</v>
      </c>
      <c r="O93" s="173" t="str">
        <f>Calc!AW93</f>
        <v>Out of range</v>
      </c>
      <c r="P93" s="173">
        <f>Calc!AX93</f>
        <v>347.38844567870001</v>
      </c>
      <c r="Q93" s="178" t="e">
        <f>Calc!BC93</f>
        <v>#VALUE!</v>
      </c>
      <c r="R93" s="173" t="e">
        <f>Calc!BD93</f>
        <v>#VALUE!</v>
      </c>
      <c r="S93" s="15">
        <f>Input!E93</f>
        <v>0</v>
      </c>
      <c r="T93" s="68"/>
      <c r="U93" s="68">
        <f>Input!K93</f>
        <v>7.1526890110555014E-3</v>
      </c>
      <c r="W93" s="68">
        <f>Calc!AS93</f>
        <v>2.2813814155957573E-5</v>
      </c>
      <c r="X93" s="68">
        <f>Calc!AT93</f>
        <v>6.8751584654938599E-8</v>
      </c>
      <c r="Y93" s="68">
        <f>Calc!AN93</f>
        <v>1.0007587908926656</v>
      </c>
      <c r="Z93" s="68">
        <f>Calc!AO93</f>
        <v>2.2742358976307222E-3</v>
      </c>
      <c r="AA93" s="68">
        <f t="shared" si="16"/>
        <v>0.99959581235244999</v>
      </c>
      <c r="AB93" s="68">
        <f t="shared" si="17"/>
        <v>0.16551687048399039</v>
      </c>
    </row>
    <row r="94" spans="1:28" x14ac:dyDescent="0.2">
      <c r="A94" s="68">
        <f>Input!A94</f>
        <v>10950</v>
      </c>
      <c r="B94" s="68" t="str">
        <f>Input!B94</f>
        <v>GeoB20960-1_381-386</v>
      </c>
      <c r="C94" s="175">
        <f>Calc!O94</f>
        <v>3.6542682264295916</v>
      </c>
      <c r="D94" s="175">
        <f>Calc!P94</f>
        <v>1.1226401146529344E-4</v>
      </c>
      <c r="E94" s="175">
        <f>Calc!X94</f>
        <v>1.4912280853166084</v>
      </c>
      <c r="F94" s="175">
        <f>Calc!Y94</f>
        <v>2.8196542019011529E-3</v>
      </c>
      <c r="G94" s="175">
        <f>Calc!AN94</f>
        <v>0.29358453113904437</v>
      </c>
      <c r="H94" s="71">
        <f>Calc!AO94</f>
        <v>5.7174452881310637E-4</v>
      </c>
      <c r="I94" s="70">
        <f>Calc!AH94</f>
        <v>2202.0565946781003</v>
      </c>
      <c r="J94" s="70">
        <f>Calc!AI94</f>
        <v>5.9768247334490008</v>
      </c>
      <c r="K94" s="70">
        <f>Calc!AJ94</f>
        <v>127.18941127125794</v>
      </c>
      <c r="L94" s="70">
        <f>Calc!AK94</f>
        <v>0.40433770039353922</v>
      </c>
      <c r="M94" s="176">
        <f>Calc!AP94</f>
        <v>32.706800000000001</v>
      </c>
      <c r="N94" s="176">
        <f>Calc!AQ94</f>
        <v>7.5300000000000006E-2</v>
      </c>
      <c r="O94" s="176">
        <f>Calc!AW94</f>
        <v>32.604500000000002</v>
      </c>
      <c r="P94" s="176">
        <f>Calc!AY94</f>
        <v>9.104199409505391E-2</v>
      </c>
      <c r="Q94" s="177">
        <f>Calc!BC94</f>
        <v>139.44764943871206</v>
      </c>
      <c r="R94" s="176">
        <f>Calc!BD94</f>
        <v>0.44475231452332298</v>
      </c>
      <c r="S94" s="70">
        <f>Input!E94</f>
        <v>383.5</v>
      </c>
      <c r="T94" s="68"/>
      <c r="U94" s="68">
        <f>Input!K94</f>
        <v>7.1448965404055584E-3</v>
      </c>
      <c r="W94" s="68">
        <f>Calc!AS94</f>
        <v>1.3352415044740596E-4</v>
      </c>
      <c r="X94" s="68">
        <f>Calc!AT94</f>
        <v>2.5250437952067753E-7</v>
      </c>
      <c r="Y94" s="68">
        <f>Calc!AN94</f>
        <v>0.29358453113904437</v>
      </c>
      <c r="Z94" s="68">
        <f>Calc!AO94</f>
        <v>5.7174452881310637E-4</v>
      </c>
      <c r="AA94" s="68">
        <f t="shared" ref="AA94:AA95" si="18">1+K94/1000</f>
        <v>1.1271894112712579</v>
      </c>
      <c r="AB94" s="68">
        <f t="shared" ref="AB94:AB95" si="19">J94/1000</f>
        <v>5.9768247334490007E-3</v>
      </c>
    </row>
    <row r="95" spans="1:28" x14ac:dyDescent="0.2">
      <c r="A95" s="13">
        <f>Input!A95</f>
        <v>10815</v>
      </c>
      <c r="B95" s="13" t="str">
        <f>Input!B95</f>
        <v>Hu1-13</v>
      </c>
      <c r="C95" s="171">
        <f>Calc!O95</f>
        <v>13.698797950685877</v>
      </c>
      <c r="D95" s="171">
        <f>Calc!P95</f>
        <v>1.0752870101987419E-3</v>
      </c>
      <c r="E95" s="171">
        <f>Calc!X95</f>
        <v>0.95804880266212489</v>
      </c>
      <c r="F95" s="171">
        <f>Calc!Y95</f>
        <v>2.9328296611444925E-3</v>
      </c>
      <c r="G95" s="171">
        <f>Calc!AN95</f>
        <v>1.0022604751479336</v>
      </c>
      <c r="H95" s="172">
        <f>Calc!AO95</f>
        <v>2.5411788794608542E-3</v>
      </c>
      <c r="I95" s="15">
        <f>Calc!AH95</f>
        <v>43798.502395915653</v>
      </c>
      <c r="J95" s="15">
        <f>Calc!AI95</f>
        <v>174.06035189023109</v>
      </c>
      <c r="K95" s="15">
        <f>Calc!AJ95</f>
        <v>0.52573062711780416</v>
      </c>
      <c r="L95" s="15">
        <f>Calc!AK95</f>
        <v>0.92288298021948478</v>
      </c>
      <c r="M95" s="173" t="str">
        <f>Calc!AP95</f>
        <v>Out of range</v>
      </c>
      <c r="N95" s="173" t="e">
        <f>Calc!AQ95</f>
        <v>#VALUE!</v>
      </c>
      <c r="O95" s="173" t="str">
        <f>Calc!AW95</f>
        <v>Out of range</v>
      </c>
      <c r="P95" s="173">
        <f>Calc!AX95</f>
        <v>334.88747391269999</v>
      </c>
      <c r="Q95" s="178" t="e">
        <f>Calc!BC95</f>
        <v>#VALUE!</v>
      </c>
      <c r="R95" s="173" t="e">
        <f>Calc!BD95</f>
        <v>#VALUE!</v>
      </c>
      <c r="S95" s="15">
        <f>Input!E95</f>
        <v>0</v>
      </c>
      <c r="T95" s="68"/>
      <c r="U95" s="68">
        <f>Input!K95</f>
        <v>7.1509200973456713E-3</v>
      </c>
      <c r="W95" s="68">
        <f>Calc!AS95</f>
        <v>2.2883441677708995E-5</v>
      </c>
      <c r="X95" s="68">
        <f>Calc!AT95</f>
        <v>7.007502712090976E-8</v>
      </c>
      <c r="Y95" s="68">
        <f>Calc!AN95</f>
        <v>1.0022604751479336</v>
      </c>
      <c r="Z95" s="68">
        <f>Calc!AO95</f>
        <v>2.5411788794608542E-3</v>
      </c>
      <c r="AA95" s="68">
        <f t="shared" si="18"/>
        <v>1.0005257306271178</v>
      </c>
      <c r="AB95" s="68">
        <f t="shared" si="19"/>
        <v>0.17406035189023109</v>
      </c>
    </row>
    <row r="96" spans="1:28" ht="13.5" customHeight="1" x14ac:dyDescent="0.2">
      <c r="H96" s="74"/>
    </row>
    <row r="97" spans="1:28" x14ac:dyDescent="0.2">
      <c r="A97" s="13">
        <f>Input!A97</f>
        <v>10815</v>
      </c>
      <c r="B97" s="13" t="str">
        <f>Input!B97</f>
        <v>Hu1-13</v>
      </c>
      <c r="C97" s="171">
        <f>Calc!O97</f>
        <v>13.699951943312584</v>
      </c>
      <c r="D97" s="171">
        <f>Calc!P97</f>
        <v>9.5519424085760874E-4</v>
      </c>
      <c r="E97" s="171">
        <f>Calc!X97</f>
        <v>0.96529158525730485</v>
      </c>
      <c r="F97" s="171">
        <f>Calc!Y97</f>
        <v>3.629257203130406E-3</v>
      </c>
      <c r="G97" s="171">
        <f>Calc!AN97</f>
        <v>0.99835058572832602</v>
      </c>
      <c r="H97" s="172">
        <f>Calc!AO97</f>
        <v>3.1300225340701441E-3</v>
      </c>
      <c r="I97" s="15">
        <f>Calc!AH97</f>
        <v>43303.941732930958</v>
      </c>
      <c r="J97" s="15">
        <f>Calc!AI97</f>
        <v>211.96965719246737</v>
      </c>
      <c r="K97" s="15">
        <f>Calc!AJ97</f>
        <v>-7.6580319191554835E-3</v>
      </c>
      <c r="L97" s="15">
        <f>Calc!AK97</f>
        <v>0.98228282937639821</v>
      </c>
      <c r="M97" s="173">
        <f>Calc!AP97</f>
        <v>699.41060000000004</v>
      </c>
      <c r="N97" s="173" t="e">
        <f>Calc!AQ97</f>
        <v>#VALUE!</v>
      </c>
      <c r="O97" s="173">
        <f>Calc!AW97</f>
        <v>699.40869999999995</v>
      </c>
      <c r="P97" s="173">
        <f>Calc!AX97</f>
        <v>321.2608625913</v>
      </c>
      <c r="Q97" s="178">
        <f>Calc!BC97</f>
        <v>-5.5120865960900801E-2</v>
      </c>
      <c r="R97" s="173">
        <f>Calc!BD97</f>
        <v>7.0703483018757227</v>
      </c>
      <c r="S97" s="15">
        <f>Input!E97</f>
        <v>0</v>
      </c>
      <c r="T97" s="68"/>
      <c r="U97" s="68">
        <f>Input!K97</f>
        <v>7.1558161321157209E-3</v>
      </c>
      <c r="W97" s="68">
        <f>Calc!AS97</f>
        <v>2.3054496791203637E-5</v>
      </c>
      <c r="X97" s="68">
        <f>Calc!AT97</f>
        <v>8.66940990531551E-8</v>
      </c>
      <c r="Y97" s="68">
        <f>Calc!AN97</f>
        <v>0.99835058572832602</v>
      </c>
      <c r="Z97" s="68">
        <f>Calc!AO97</f>
        <v>3.1300225340701441E-3</v>
      </c>
      <c r="AA97" s="68">
        <f t="shared" ref="AA97:AA105" si="20">1+K97/1000</f>
        <v>0.99999234196808084</v>
      </c>
      <c r="AB97" s="68">
        <f t="shared" ref="AB97:AB105" si="21">J97/1000</f>
        <v>0.21196965719246735</v>
      </c>
    </row>
    <row r="98" spans="1:28" x14ac:dyDescent="0.2">
      <c r="A98" s="68">
        <f>Input!A98</f>
        <v>10951</v>
      </c>
      <c r="B98" s="68" t="str">
        <f>Input!B98</f>
        <v>GeoB20960-1_499-502</v>
      </c>
      <c r="C98" s="175">
        <f>Calc!O98</f>
        <v>2.8409903816618907</v>
      </c>
      <c r="D98" s="175">
        <f>Calc!P98</f>
        <v>9.1610557667013234E-5</v>
      </c>
      <c r="E98" s="175">
        <f>Calc!X98</f>
        <v>0.31628095551568619</v>
      </c>
      <c r="F98" s="175">
        <f>Calc!Y98</f>
        <v>5.9777053982014276E-4</v>
      </c>
      <c r="G98" s="175">
        <f>Calc!AN98</f>
        <v>0.3048503029496365</v>
      </c>
      <c r="H98" s="71">
        <f>Calc!AO98</f>
        <v>6.0287771377320594E-4</v>
      </c>
      <c r="I98" s="70">
        <f>Calc!AH98</f>
        <v>8353.9002991373745</v>
      </c>
      <c r="J98" s="70">
        <f>Calc!AI98</f>
        <v>22.850675386538587</v>
      </c>
      <c r="K98" s="70">
        <f>Calc!AJ98</f>
        <v>125.65519995525332</v>
      </c>
      <c r="L98" s="70">
        <f>Calc!AK98</f>
        <v>0.4319062986294146</v>
      </c>
      <c r="M98" s="176">
        <f>Calc!AP98</f>
        <v>34.228099999999998</v>
      </c>
      <c r="N98" s="176">
        <f>Calc!AQ98</f>
        <v>8.0500000000000002E-2</v>
      </c>
      <c r="O98" s="176">
        <f>Calc!AW98</f>
        <v>34.200200000000002</v>
      </c>
      <c r="P98" s="176">
        <f>Calc!AY98</f>
        <v>8.1913256657628206E-2</v>
      </c>
      <c r="Q98" s="177">
        <f>Calc!BC98</f>
        <v>138.38735369717585</v>
      </c>
      <c r="R98" s="176">
        <f>Calc!BD98</f>
        <v>0.4767441914589331</v>
      </c>
      <c r="S98" s="70">
        <f>Input!E98</f>
        <v>500.5</v>
      </c>
      <c r="T98" s="68"/>
      <c r="U98" s="68">
        <f>Input!K98</f>
        <v>7.1440195322111629E-3</v>
      </c>
      <c r="W98" s="68">
        <f>Calc!AS98</f>
        <v>3.6426668169500407E-5</v>
      </c>
      <c r="X98" s="68">
        <f>Calc!AT98</f>
        <v>6.8856368701240872E-8</v>
      </c>
      <c r="Y98" s="68">
        <f>Calc!AN98</f>
        <v>0.3048503029496365</v>
      </c>
      <c r="Z98" s="68">
        <f>Calc!AO98</f>
        <v>6.0287771377320594E-4</v>
      </c>
      <c r="AA98" s="68">
        <f t="shared" si="20"/>
        <v>1.1256551999552533</v>
      </c>
      <c r="AB98" s="68">
        <f t="shared" si="21"/>
        <v>2.2850675386538587E-2</v>
      </c>
    </row>
    <row r="99" spans="1:28" x14ac:dyDescent="0.2">
      <c r="A99" s="13">
        <f>Input!A99</f>
        <v>10815</v>
      </c>
      <c r="B99" s="13" t="str">
        <f>Input!B99</f>
        <v>Hu1-13</v>
      </c>
      <c r="C99" s="171">
        <f>Calc!O99</f>
        <v>13.699497418878869</v>
      </c>
      <c r="D99" s="171">
        <f>Calc!P99</f>
        <v>1.1259354032865663E-3</v>
      </c>
      <c r="E99" s="171">
        <f>Calc!X99</f>
        <v>0.96151456973256544</v>
      </c>
      <c r="F99" s="171">
        <f>Calc!Y99</f>
        <v>3.6195817723673278E-3</v>
      </c>
      <c r="G99" s="171">
        <f>Calc!AN99</f>
        <v>0.99807028821150234</v>
      </c>
      <c r="H99" s="172">
        <f>Calc!AO99</f>
        <v>2.3676034457482706E-3</v>
      </c>
      <c r="I99" s="15">
        <f>Calc!AH99</f>
        <v>43460.400269017875</v>
      </c>
      <c r="J99" s="15">
        <f>Calc!AI99</f>
        <v>193.34572566797598</v>
      </c>
      <c r="K99" s="15">
        <f>Calc!AJ99</f>
        <v>-0.35319027686886439</v>
      </c>
      <c r="L99" s="15">
        <f>Calc!AK99</f>
        <v>1.1659656197858803</v>
      </c>
      <c r="M99" s="173">
        <f>Calc!AP99</f>
        <v>714.64279999999997</v>
      </c>
      <c r="N99" s="173" t="e">
        <f>Calc!AQ99</f>
        <v>#VALUE!</v>
      </c>
      <c r="O99" s="173">
        <f>Calc!AW99</f>
        <v>714.64089999999999</v>
      </c>
      <c r="P99" s="173">
        <f>Calc!AX99</f>
        <v>311.32692890660002</v>
      </c>
      <c r="Q99" s="178">
        <f>Calc!BC99</f>
        <v>-2.6538493181963196</v>
      </c>
      <c r="R99" s="173">
        <f>Calc!BD99</f>
        <v>8.9152961452009087</v>
      </c>
      <c r="S99" s="15">
        <f>Input!E99</f>
        <v>0</v>
      </c>
      <c r="T99" s="68"/>
      <c r="U99" s="68">
        <f>Input!K99</f>
        <v>7.14995308550119E-3</v>
      </c>
      <c r="W99" s="68">
        <f>Calc!AS99</f>
        <v>2.2965050529527873E-5</v>
      </c>
      <c r="X99" s="68">
        <f>Calc!AT99</f>
        <v>8.6471583112919144E-8</v>
      </c>
      <c r="Y99" s="68">
        <f>Calc!AN99</f>
        <v>0.99807028821150234</v>
      </c>
      <c r="Z99" s="68">
        <f>Calc!AO99</f>
        <v>2.3676034457482706E-3</v>
      </c>
      <c r="AA99" s="68">
        <f t="shared" si="20"/>
        <v>0.99964680972313114</v>
      </c>
      <c r="AB99" s="68">
        <f t="shared" si="21"/>
        <v>0.19334572566797598</v>
      </c>
    </row>
    <row r="100" spans="1:28" x14ac:dyDescent="0.2">
      <c r="A100" s="68">
        <f>Input!A100</f>
        <v>10952</v>
      </c>
      <c r="B100" s="68" t="str">
        <f>Input!B100</f>
        <v>GeoB20960-1_531-534</v>
      </c>
      <c r="C100" s="175">
        <f>Calc!O100</f>
        <v>3.2890556407738512</v>
      </c>
      <c r="D100" s="175">
        <f>Calc!P100</f>
        <v>1.1270863630612672E-4</v>
      </c>
      <c r="E100" s="175">
        <f>Calc!X100</f>
        <v>1.0292453742265968</v>
      </c>
      <c r="F100" s="175">
        <f>Calc!Y100</f>
        <v>1.6646952331850744E-3</v>
      </c>
      <c r="G100" s="175">
        <f>Calc!AN100</f>
        <v>0.30603338224685228</v>
      </c>
      <c r="H100" s="71">
        <f>Calc!AO100</f>
        <v>5.374348523976202E-4</v>
      </c>
      <c r="I100" s="70">
        <f>Calc!AH100</f>
        <v>2985.7481848285788</v>
      </c>
      <c r="J100" s="70">
        <f>Calc!AI100</f>
        <v>7.1276173216515026</v>
      </c>
      <c r="K100" s="70">
        <f>Calc!AJ100</f>
        <v>126.29349702566017</v>
      </c>
      <c r="L100" s="70">
        <f>Calc!AK100</f>
        <v>0.50551091122119696</v>
      </c>
      <c r="M100" s="176">
        <f>Calc!AP100</f>
        <v>34.3596</v>
      </c>
      <c r="N100" s="176">
        <f>Calc!AQ100</f>
        <v>7.2300000000000003E-2</v>
      </c>
      <c r="O100" s="176">
        <f>Calc!AW100</f>
        <v>34.281100000000002</v>
      </c>
      <c r="P100" s="176">
        <f>Calc!AY100</f>
        <v>8.2911142180660063E-2</v>
      </c>
      <c r="Q100" s="177">
        <f>Calc!BC100</f>
        <v>139.12208552663196</v>
      </c>
      <c r="R100" s="176">
        <f>Calc!BD100</f>
        <v>0.55781010323934788</v>
      </c>
      <c r="S100" s="70">
        <f>Input!E100</f>
        <v>532.5</v>
      </c>
      <c r="T100" s="68"/>
      <c r="U100" s="68">
        <f>Input!K100</f>
        <v>7.1410074879850504E-3</v>
      </c>
      <c r="W100" s="68">
        <f>Calc!AS100</f>
        <v>1.0239149263885726E-4</v>
      </c>
      <c r="X100" s="68">
        <f>Calc!AT100</f>
        <v>1.6564454552611926E-7</v>
      </c>
      <c r="Y100" s="68">
        <f>Calc!AN100</f>
        <v>0.30603338224685228</v>
      </c>
      <c r="Z100" s="68">
        <f>Calc!AO100</f>
        <v>5.374348523976202E-4</v>
      </c>
      <c r="AA100" s="68">
        <f t="shared" si="20"/>
        <v>1.1262934970256602</v>
      </c>
      <c r="AB100" s="68">
        <f t="shared" si="21"/>
        <v>7.1276173216515025E-3</v>
      </c>
    </row>
    <row r="101" spans="1:28" x14ac:dyDescent="0.2">
      <c r="A101" s="13">
        <f>Input!A101</f>
        <v>10815</v>
      </c>
      <c r="B101" s="13" t="str">
        <f>Input!B101</f>
        <v>Hu1-13</v>
      </c>
      <c r="C101" s="171">
        <f>Calc!O101</f>
        <v>13.702096089682316</v>
      </c>
      <c r="D101" s="171">
        <f>Calc!P101</f>
        <v>9.8489404986044286E-4</v>
      </c>
      <c r="E101" s="171">
        <f>Calc!X101</f>
        <v>0.95896674672194238</v>
      </c>
      <c r="F101" s="171">
        <f>Calc!Y101</f>
        <v>2.6584591207182689E-3</v>
      </c>
      <c r="G101" s="171">
        <f>Calc!AN101</f>
        <v>0.99985040294866112</v>
      </c>
      <c r="H101" s="172">
        <f>Calc!AO101</f>
        <v>1.9945813298757756E-3</v>
      </c>
      <c r="I101" s="15">
        <f>Calc!AH101</f>
        <v>43661.868392811004</v>
      </c>
      <c r="J101" s="15">
        <f>Calc!AI101</f>
        <v>149.08810254168435</v>
      </c>
      <c r="K101" s="15">
        <f>Calc!AJ101</f>
        <v>-0.41745993976827211</v>
      </c>
      <c r="L101" s="15">
        <f>Calc!AK101</f>
        <v>1.1709513541314098</v>
      </c>
      <c r="M101" s="173" t="str">
        <f>Calc!AP101</f>
        <v>Out of range</v>
      </c>
      <c r="N101" s="173" t="e">
        <f>Calc!AQ101</f>
        <v>#VALUE!</v>
      </c>
      <c r="O101" s="173" t="str">
        <f>Calc!AW101</f>
        <v>Out of range</v>
      </c>
      <c r="P101" s="173">
        <f>Calc!AX101</f>
        <v>355.11982093210003</v>
      </c>
      <c r="Q101" s="178" t="e">
        <f>Calc!BC101</f>
        <v>#VALUE!</v>
      </c>
      <c r="R101" s="173" t="e">
        <f>Calc!BD101</f>
        <v>#VALUE!</v>
      </c>
      <c r="S101" s="15">
        <f>Input!E101</f>
        <v>0</v>
      </c>
      <c r="T101" s="68"/>
      <c r="U101" s="68">
        <f>Input!K101</f>
        <v>7.1466827172586983E-3</v>
      </c>
      <c r="W101" s="68">
        <f>Calc!AS101</f>
        <v>2.2899853802712852E-5</v>
      </c>
      <c r="X101" s="68">
        <f>Calc!AT101</f>
        <v>6.3504585228421786E-8</v>
      </c>
      <c r="Y101" s="68">
        <f>Calc!AN101</f>
        <v>0.99985040294866112</v>
      </c>
      <c r="Z101" s="68">
        <f>Calc!AO101</f>
        <v>1.9945813298757756E-3</v>
      </c>
      <c r="AA101" s="68">
        <f t="shared" si="20"/>
        <v>0.99958254006023173</v>
      </c>
      <c r="AB101" s="68">
        <f t="shared" si="21"/>
        <v>0.14908810254168434</v>
      </c>
    </row>
    <row r="102" spans="1:28" x14ac:dyDescent="0.2">
      <c r="A102" s="68">
        <f>Input!A102</f>
        <v>10953</v>
      </c>
      <c r="B102" s="68" t="str">
        <f>Input!B102</f>
        <v>GeoB20960-1_641-643</v>
      </c>
      <c r="C102" s="175">
        <f>Calc!O102</f>
        <v>4.1059397363873398</v>
      </c>
      <c r="D102" s="175">
        <f>Calc!P102</f>
        <v>1.2967589875740722E-4</v>
      </c>
      <c r="E102" s="175">
        <f>Calc!X102</f>
        <v>0.69157785918811643</v>
      </c>
      <c r="F102" s="175">
        <f>Calc!Y102</f>
        <v>1.127874866161665E-3</v>
      </c>
      <c r="G102" s="175">
        <f>Calc!AN102</f>
        <v>0.32254989704451331</v>
      </c>
      <c r="H102" s="71">
        <f>Calc!AO102</f>
        <v>5.9085984316723655E-4</v>
      </c>
      <c r="I102" s="70">
        <f>Calc!AH102</f>
        <v>5853.0891056907303</v>
      </c>
      <c r="J102" s="70">
        <f>Calc!AI102</f>
        <v>14.354256571731602</v>
      </c>
      <c r="K102" s="70">
        <f>Calc!AJ102</f>
        <v>125.79376545133502</v>
      </c>
      <c r="L102" s="70">
        <f>Calc!AK102</f>
        <v>0.40915491421646893</v>
      </c>
      <c r="M102" s="176">
        <f>Calc!AP102</f>
        <v>36.5672</v>
      </c>
      <c r="N102" s="176">
        <f>Calc!AQ102</f>
        <v>8.2699999999999996E-2</v>
      </c>
      <c r="O102" s="176">
        <f>Calc!AW102</f>
        <v>36.524999999999999</v>
      </c>
      <c r="P102" s="176">
        <f>Calc!AY102</f>
        <v>8.3537806690897512E-2</v>
      </c>
      <c r="Q102" s="177">
        <f>Calc!BC102</f>
        <v>139.4518702119629</v>
      </c>
      <c r="R102" s="176">
        <f>Calc!BD102</f>
        <v>0.45476891862823249</v>
      </c>
      <c r="S102" s="70">
        <f>Input!E102</f>
        <v>642</v>
      </c>
      <c r="T102" s="68"/>
      <c r="U102" s="68">
        <f>Input!K102</f>
        <v>7.1344127627875637E-3</v>
      </c>
      <c r="W102" s="68">
        <f>Calc!AS102</f>
        <v>5.5111810801254236E-5</v>
      </c>
      <c r="X102" s="68">
        <f>Calc!AT102</f>
        <v>8.9897152967250715E-8</v>
      </c>
      <c r="Y102" s="68">
        <f>Calc!AN102</f>
        <v>0.32254989704451331</v>
      </c>
      <c r="Z102" s="68">
        <f>Calc!AO102</f>
        <v>5.9085984316723655E-4</v>
      </c>
      <c r="AA102" s="68">
        <f t="shared" si="20"/>
        <v>1.125793765451335</v>
      </c>
      <c r="AB102" s="68">
        <f t="shared" si="21"/>
        <v>1.4354256571731602E-2</v>
      </c>
    </row>
    <row r="103" spans="1:28" x14ac:dyDescent="0.2">
      <c r="A103" s="13">
        <f>Input!A103</f>
        <v>10815</v>
      </c>
      <c r="B103" s="13" t="str">
        <f>Input!B103</f>
        <v>Hu1-13</v>
      </c>
      <c r="C103" s="171">
        <f>Calc!O103</f>
        <v>13.699000162565559</v>
      </c>
      <c r="D103" s="171">
        <f>Calc!P103</f>
        <v>1.0870006245830514E-3</v>
      </c>
      <c r="E103" s="171">
        <f>Calc!X103</f>
        <v>0.95937361229761542</v>
      </c>
      <c r="F103" s="171">
        <f>Calc!Y103</f>
        <v>3.1524773961355322E-3</v>
      </c>
      <c r="G103" s="171">
        <f>Calc!AN103</f>
        <v>1.0003011540750464</v>
      </c>
      <c r="H103" s="172">
        <f>Calc!AO103</f>
        <v>2.1938586311796176E-3</v>
      </c>
      <c r="I103" s="15">
        <f>Calc!AH103</f>
        <v>43653.161379960613</v>
      </c>
      <c r="J103" s="15">
        <f>Calc!AI103</f>
        <v>172.42419317534217</v>
      </c>
      <c r="K103" s="15">
        <f>Calc!AJ103</f>
        <v>0.48833958053284832</v>
      </c>
      <c r="L103" s="15">
        <f>Calc!AK103</f>
        <v>0.78335982175228402</v>
      </c>
      <c r="M103" s="173">
        <f>Calc!AP103</f>
        <v>852.88329999999996</v>
      </c>
      <c r="N103" s="173" t="e">
        <f>Calc!AQ103</f>
        <v>#VALUE!</v>
      </c>
      <c r="O103" s="173">
        <f>Calc!AW103</f>
        <v>852.88139999999999</v>
      </c>
      <c r="P103" s="173">
        <f>Calc!AX103</f>
        <v>354.89626544980001</v>
      </c>
      <c r="Q103" s="178">
        <f>Calc!BC103</f>
        <v>5.4202298933709123</v>
      </c>
      <c r="R103" s="173">
        <f>Calc!BD103</f>
        <v>13.332172011201722</v>
      </c>
      <c r="S103" s="15">
        <f>Input!E103</f>
        <v>0</v>
      </c>
      <c r="T103" s="68"/>
      <c r="U103" s="68">
        <f>Input!K103</f>
        <v>7.1435742996917781E-3</v>
      </c>
      <c r="W103" s="68">
        <f>Calc!AS103</f>
        <v>2.291474712148211E-5</v>
      </c>
      <c r="X103" s="68">
        <f>Calc!AT103</f>
        <v>7.5319229026152061E-8</v>
      </c>
      <c r="Y103" s="68">
        <f>Calc!AN103</f>
        <v>1.0003011540750464</v>
      </c>
      <c r="Z103" s="68">
        <f>Calc!AO103</f>
        <v>2.1938586311796176E-3</v>
      </c>
      <c r="AA103" s="68">
        <f t="shared" si="20"/>
        <v>1.0004883395805328</v>
      </c>
      <c r="AB103" s="68">
        <f t="shared" si="21"/>
        <v>0.17242419317534216</v>
      </c>
    </row>
    <row r="104" spans="1:28" x14ac:dyDescent="0.2">
      <c r="A104" s="68">
        <f>Input!A104</f>
        <v>10954</v>
      </c>
      <c r="B104" s="68" t="str">
        <f>Input!B104</f>
        <v>GeoB20960-1_686</v>
      </c>
      <c r="C104" s="175">
        <f>Calc!O104</f>
        <v>2.9732974342291669</v>
      </c>
      <c r="D104" s="175">
        <f>Calc!P104</f>
        <v>1.1213908976284301E-4</v>
      </c>
      <c r="E104" s="175">
        <f>Calc!X104</f>
        <v>2.3092682857567541</v>
      </c>
      <c r="F104" s="175">
        <f>Calc!Y104</f>
        <v>3.1017695006825708E-3</v>
      </c>
      <c r="G104" s="175">
        <f>Calc!AN104</f>
        <v>0.32317023704932035</v>
      </c>
      <c r="H104" s="71">
        <f>Calc!AO104</f>
        <v>5.6443248191873953E-4</v>
      </c>
      <c r="I104" s="70">
        <f>Calc!AH104</f>
        <v>1271.3687122272838</v>
      </c>
      <c r="J104" s="70">
        <f>Calc!AI104</f>
        <v>2.8008080165962688</v>
      </c>
      <c r="K104" s="70">
        <f>Calc!AJ104</f>
        <v>125.00914180187372</v>
      </c>
      <c r="L104" s="70">
        <f>Calc!AK104</f>
        <v>0.52876871989640573</v>
      </c>
      <c r="M104" s="176">
        <f>Calc!AP104</f>
        <v>36.681800000000003</v>
      </c>
      <c r="N104" s="176">
        <f>Calc!AQ104</f>
        <v>8.3299999999999999E-2</v>
      </c>
      <c r="O104" s="176">
        <f>Calc!AW104</f>
        <v>36.486899999999999</v>
      </c>
      <c r="P104" s="176">
        <f>Calc!AY104</f>
        <v>0.12539527056232322</v>
      </c>
      <c r="Q104" s="177">
        <f>Calc!BC104</f>
        <v>138.56715614965557</v>
      </c>
      <c r="R104" s="176">
        <f>Calc!BD104</f>
        <v>0.58816454777717597</v>
      </c>
      <c r="S104" s="70">
        <f>Input!E104</f>
        <v>686</v>
      </c>
      <c r="T104" s="68"/>
      <c r="U104" s="68">
        <f>Input!K104</f>
        <v>7.140099888010139E-3</v>
      </c>
      <c r="W104" s="68">
        <f>Calc!AS104</f>
        <v>2.541278170522312E-4</v>
      </c>
      <c r="X104" s="68">
        <f>Calc!AT104</f>
        <v>3.4147465542519878E-7</v>
      </c>
      <c r="Y104" s="68">
        <f>Calc!AN104</f>
        <v>0.32317023704932035</v>
      </c>
      <c r="Z104" s="68">
        <f>Calc!AO104</f>
        <v>5.6443248191873953E-4</v>
      </c>
      <c r="AA104" s="68">
        <f t="shared" si="20"/>
        <v>1.1250091418018737</v>
      </c>
      <c r="AB104" s="68">
        <f t="shared" si="21"/>
        <v>2.8008080165962687E-3</v>
      </c>
    </row>
    <row r="105" spans="1:28" x14ac:dyDescent="0.2">
      <c r="A105" s="13">
        <f>Input!A105</f>
        <v>10815</v>
      </c>
      <c r="B105" s="13" t="str">
        <f>Input!B105</f>
        <v>Hu1-13</v>
      </c>
      <c r="C105" s="171">
        <f>Calc!O105</f>
        <v>13.698481192752844</v>
      </c>
      <c r="D105" s="171">
        <f>Calc!P105</f>
        <v>9.958153402677087E-4</v>
      </c>
      <c r="E105" s="171">
        <f>Calc!X105</f>
        <v>0.95990392210006847</v>
      </c>
      <c r="F105" s="171">
        <f>Calc!Y105</f>
        <v>2.5646006309878516E-3</v>
      </c>
      <c r="G105" s="171">
        <f>Calc!AN105</f>
        <v>0.99920324618640377</v>
      </c>
      <c r="H105" s="172">
        <f>Calc!AO105</f>
        <v>2.246683577885546E-3</v>
      </c>
      <c r="I105" s="15">
        <f>Calc!AH105</f>
        <v>43579.507426219112</v>
      </c>
      <c r="J105" s="15">
        <f>Calc!AI105</f>
        <v>152.1447756554837</v>
      </c>
      <c r="K105" s="15">
        <f>Calc!AJ105</f>
        <v>0.14352130294681409</v>
      </c>
      <c r="L105" s="15">
        <f>Calc!AK105</f>
        <v>1.1269604167295169</v>
      </c>
      <c r="M105" s="173">
        <f>Calc!AP105</f>
        <v>753.005</v>
      </c>
      <c r="N105" s="173" t="e">
        <f>Calc!AQ105</f>
        <v>#VALUE!</v>
      </c>
      <c r="O105" s="173">
        <f>Calc!AW105</f>
        <v>753.00319999999999</v>
      </c>
      <c r="P105" s="173">
        <f>Calc!AX105</f>
        <v>339.17704781240002</v>
      </c>
      <c r="Q105" s="178">
        <f>Calc!BC105</f>
        <v>1.201713444030821</v>
      </c>
      <c r="R105" s="173">
        <f>Calc!BD105</f>
        <v>9.4901735810910672</v>
      </c>
      <c r="S105" s="15">
        <f>Input!E105</f>
        <v>0</v>
      </c>
      <c r="T105" s="68"/>
      <c r="U105" s="68">
        <f>Input!K105</f>
        <v>7.1441553507013873E-3</v>
      </c>
      <c r="W105" s="68">
        <f>Calc!AS105</f>
        <v>2.2928282240869122E-5</v>
      </c>
      <c r="X105" s="68">
        <f>Calc!AT105</f>
        <v>6.1280768101939975E-8</v>
      </c>
      <c r="Y105" s="68">
        <f>Calc!AN105</f>
        <v>0.99920324618640377</v>
      </c>
      <c r="Z105" s="68">
        <f>Calc!AO105</f>
        <v>2.246683577885546E-3</v>
      </c>
      <c r="AA105" s="68">
        <f t="shared" si="20"/>
        <v>1.0001435213029468</v>
      </c>
      <c r="AB105" s="68">
        <f t="shared" si="21"/>
        <v>0.1521447756554837</v>
      </c>
    </row>
    <row r="106" spans="1:28" ht="13.5" customHeight="1" x14ac:dyDescent="0.2">
      <c r="H106" s="74"/>
    </row>
    <row r="107" spans="1:28" x14ac:dyDescent="0.2">
      <c r="A107" s="13">
        <f>Input!A107</f>
        <v>10815</v>
      </c>
      <c r="B107" s="13" t="str">
        <f>Input!B107</f>
        <v>Hu1-13</v>
      </c>
      <c r="C107" s="171">
        <f>Calc!O107</f>
        <v>13.701588310677458</v>
      </c>
      <c r="D107" s="171">
        <f>Calc!P107</f>
        <v>9.7027343595770105E-4</v>
      </c>
      <c r="E107" s="171">
        <f>Calc!X107</f>
        <v>0.95888657103633468</v>
      </c>
      <c r="F107" s="171">
        <f>Calc!Y107</f>
        <v>2.6066547053543733E-3</v>
      </c>
      <c r="G107" s="171">
        <f>Calc!AN107</f>
        <v>0.99826015788727585</v>
      </c>
      <c r="H107" s="172">
        <f>Calc!AO107</f>
        <v>2.3998147947568078E-3</v>
      </c>
      <c r="I107" s="15">
        <f>Calc!AH107</f>
        <v>43594.454236318343</v>
      </c>
      <c r="J107" s="15">
        <f>Calc!AI107</f>
        <v>158.17030545086618</v>
      </c>
      <c r="K107" s="15">
        <f>Calc!AJ107</f>
        <v>-0.28978472744467521</v>
      </c>
      <c r="L107" s="15">
        <f>Calc!AK107</f>
        <v>0.96039751485799374</v>
      </c>
      <c r="M107" s="173">
        <f>Calc!AP107</f>
        <v>722.53030000000001</v>
      </c>
      <c r="N107" s="173" t="e">
        <f>Calc!AQ107</f>
        <v>#VALUE!</v>
      </c>
      <c r="O107" s="173">
        <f>Calc!AW107</f>
        <v>722.52850000000001</v>
      </c>
      <c r="P107" s="173">
        <f>Calc!AX107</f>
        <v>318.3741105268</v>
      </c>
      <c r="Q107" s="178">
        <f>Calc!BC107</f>
        <v>-2.2264353926212914</v>
      </c>
      <c r="R107" s="173">
        <f>Calc!BD107</f>
        <v>7.5144894714540715</v>
      </c>
      <c r="S107" s="15">
        <f>Input!E107</f>
        <v>0</v>
      </c>
      <c r="T107" s="68"/>
      <c r="U107" s="68">
        <f>Input!K107</f>
        <v>7.1526021961378517E-3</v>
      </c>
      <c r="W107" s="68">
        <f>Calc!AS107</f>
        <v>2.2898787824613475E-5</v>
      </c>
      <c r="X107" s="68">
        <f>Calc!AT107</f>
        <v>6.2269598885246493E-8</v>
      </c>
      <c r="Y107" s="68">
        <f>Calc!AN107</f>
        <v>0.99826015788727585</v>
      </c>
      <c r="Z107" s="68">
        <f>Calc!AO107</f>
        <v>2.3998147947568078E-3</v>
      </c>
      <c r="AA107" s="68">
        <f t="shared" ref="AA107:AA115" si="22">1+K107/1000</f>
        <v>0.99971021527255532</v>
      </c>
      <c r="AB107" s="68">
        <f t="shared" ref="AB107:AB115" si="23">J107/1000</f>
        <v>0.15817030545086619</v>
      </c>
    </row>
    <row r="108" spans="1:28" x14ac:dyDescent="0.2">
      <c r="A108" s="68">
        <f>Input!A108</f>
        <v>10955</v>
      </c>
      <c r="B108" s="68" t="str">
        <f>Input!B108</f>
        <v>GeoB20960-1_901</v>
      </c>
      <c r="C108" s="175">
        <f>Calc!O108</f>
        <v>3.6369046251220261</v>
      </c>
      <c r="D108" s="175">
        <f>Calc!P108</f>
        <v>1.4703996081005973E-4</v>
      </c>
      <c r="E108" s="175">
        <f>Calc!X108</f>
        <v>3.6298484844665992</v>
      </c>
      <c r="F108" s="175">
        <f>Calc!Y108</f>
        <v>3.5463199995405203E-3</v>
      </c>
      <c r="G108" s="175">
        <f>Calc!AN108</f>
        <v>0.4279218070660738</v>
      </c>
      <c r="H108" s="71">
        <f>Calc!AO108</f>
        <v>5.1541486086025196E-4</v>
      </c>
      <c r="I108" s="70">
        <f>Calc!AH108</f>
        <v>1308.0441391470308</v>
      </c>
      <c r="J108" s="70">
        <f>Calc!AI108</f>
        <v>2.0279310826462194</v>
      </c>
      <c r="K108" s="70">
        <f>Calc!AJ108</f>
        <v>120.88228417634551</v>
      </c>
      <c r="L108" s="70">
        <f>Calc!AK108</f>
        <v>0.53372855859762691</v>
      </c>
      <c r="M108" s="176">
        <f>Calc!AP108</f>
        <v>51.930900000000001</v>
      </c>
      <c r="N108" s="176">
        <f>Calc!AQ108</f>
        <v>9.2200000000000004E-2</v>
      </c>
      <c r="O108" s="176">
        <f>Calc!AW108</f>
        <v>51.680700000000002</v>
      </c>
      <c r="P108" s="176">
        <f>Calc!AY108</f>
        <v>0.15213269643831703</v>
      </c>
      <c r="Q108" s="177">
        <f>Calc!BC108</f>
        <v>139.86298296347815</v>
      </c>
      <c r="R108" s="176">
        <f>Calc!BD108</f>
        <v>0.62044609344299129</v>
      </c>
      <c r="S108" s="70">
        <f>Input!E108</f>
        <v>901</v>
      </c>
      <c r="T108" s="68"/>
      <c r="U108" s="68">
        <f>Input!K108</f>
        <v>7.1358101902022613E-3</v>
      </c>
      <c r="W108" s="68">
        <f>Calc!AS108</f>
        <v>3.2656734532372371E-4</v>
      </c>
      <c r="X108" s="68">
        <f>Calc!AT108</f>
        <v>3.1932559077000407E-7</v>
      </c>
      <c r="Y108" s="68">
        <f>Calc!AN108</f>
        <v>0.4279218070660738</v>
      </c>
      <c r="Z108" s="68">
        <f>Calc!AO108</f>
        <v>5.1541486086025196E-4</v>
      </c>
      <c r="AA108" s="68">
        <f t="shared" si="22"/>
        <v>1.1208822841763455</v>
      </c>
      <c r="AB108" s="68">
        <f t="shared" si="23"/>
        <v>2.0279310826462195E-3</v>
      </c>
    </row>
    <row r="109" spans="1:28" x14ac:dyDescent="0.2">
      <c r="A109" s="13">
        <f>Input!A109</f>
        <v>10815</v>
      </c>
      <c r="B109" s="13" t="str">
        <f>Input!B109</f>
        <v>Hu1-13</v>
      </c>
      <c r="C109" s="171">
        <f>Calc!O109</f>
        <v>13.700797585214756</v>
      </c>
      <c r="D109" s="171">
        <f>Calc!P109</f>
        <v>8.6793445017055741E-4</v>
      </c>
      <c r="E109" s="171">
        <f>Calc!X109</f>
        <v>0.95425959137500749</v>
      </c>
      <c r="F109" s="171">
        <f>Calc!Y109</f>
        <v>3.4101545067279633E-3</v>
      </c>
      <c r="G109" s="171">
        <f>Calc!AN109</f>
        <v>0.9982003871652666</v>
      </c>
      <c r="H109" s="172">
        <f>Calc!AO109</f>
        <v>2.223960670947571E-3</v>
      </c>
      <c r="I109" s="15">
        <f>Calc!AH109</f>
        <v>43800.682686853586</v>
      </c>
      <c r="J109" s="15">
        <f>Calc!AI109</f>
        <v>184.43441320560183</v>
      </c>
      <c r="K109" s="15">
        <f>Calc!AJ109</f>
        <v>0.14433590371254468</v>
      </c>
      <c r="L109" s="15">
        <f>Calc!AK109</f>
        <v>0.95826197789208389</v>
      </c>
      <c r="M109" s="173">
        <f>Calc!AP109</f>
        <v>677.38580000000002</v>
      </c>
      <c r="N109" s="173" t="e">
        <f>Calc!AQ109</f>
        <v>#VALUE!</v>
      </c>
      <c r="O109" s="173">
        <f>Calc!AW109</f>
        <v>677.38390000000004</v>
      </c>
      <c r="P109" s="173">
        <f>Calc!AX109</f>
        <v>280.06431226709998</v>
      </c>
      <c r="Q109" s="178">
        <f>Calc!BC109</f>
        <v>0.97629154567901721</v>
      </c>
      <c r="R109" s="173">
        <f>Calc!BD109</f>
        <v>6.4933035839607509</v>
      </c>
      <c r="S109" s="15">
        <f>Input!E109</f>
        <v>0</v>
      </c>
      <c r="T109" s="68"/>
      <c r="U109" s="68">
        <f>Input!K109</f>
        <v>7.1422139085558917E-3</v>
      </c>
      <c r="W109" s="68">
        <f>Calc!AS109</f>
        <v>2.2789607968025307E-5</v>
      </c>
      <c r="X109" s="68">
        <f>Calc!AT109</f>
        <v>8.145403511991512E-8</v>
      </c>
      <c r="Y109" s="68">
        <f>Calc!AN109</f>
        <v>0.9982003871652666</v>
      </c>
      <c r="Z109" s="68">
        <f>Calc!AO109</f>
        <v>2.223960670947571E-3</v>
      </c>
      <c r="AA109" s="68">
        <f t="shared" si="22"/>
        <v>1.0001443359037125</v>
      </c>
      <c r="AB109" s="68">
        <f t="shared" si="23"/>
        <v>0.18443441320560183</v>
      </c>
    </row>
    <row r="110" spans="1:28" x14ac:dyDescent="0.2">
      <c r="A110" s="68">
        <f>Input!A110</f>
        <v>10956</v>
      </c>
      <c r="B110" s="68" t="str">
        <f>Input!B110</f>
        <v>GeoB20960-1_924</v>
      </c>
      <c r="C110" s="175">
        <f>Calc!O110</f>
        <v>3.1114277957118275</v>
      </c>
      <c r="D110" s="175">
        <f>Calc!P110</f>
        <v>1.5476061276375179E-3</v>
      </c>
      <c r="E110" s="175">
        <f>Calc!X110</f>
        <v>1.4752052830483731</v>
      </c>
      <c r="F110" s="175">
        <f>Calc!Y110</f>
        <v>2.3645816762687516E-3</v>
      </c>
      <c r="G110" s="175">
        <f>Calc!AN110</f>
        <v>0.4335892830124064</v>
      </c>
      <c r="H110" s="71">
        <f>Calc!AO110</f>
        <v>7.957528696224417E-4</v>
      </c>
      <c r="I110" s="70">
        <f>Calc!AH110</f>
        <v>2791.485535895712</v>
      </c>
      <c r="J110" s="70">
        <f>Calc!AI110</f>
        <v>6.6587579124160738</v>
      </c>
      <c r="K110" s="70">
        <f>Calc!AJ110</f>
        <v>121.13281972826772</v>
      </c>
      <c r="L110" s="70">
        <f>Calc!AK110</f>
        <v>0.91415101860418346</v>
      </c>
      <c r="M110" s="176">
        <f>Calc!AP110</f>
        <v>52.7911</v>
      </c>
      <c r="N110" s="176">
        <f>Calc!AQ110</f>
        <v>0.14610000000000001</v>
      </c>
      <c r="O110" s="176">
        <f>Calc!AW110</f>
        <v>52.672400000000003</v>
      </c>
      <c r="P110" s="176">
        <f>Calc!AY110</f>
        <v>0.14898398604369373</v>
      </c>
      <c r="Q110" s="177">
        <f>Calc!BC110</f>
        <v>140.54564345022325</v>
      </c>
      <c r="R110" s="176">
        <f>Calc!BD110</f>
        <v>1.0622982241143013</v>
      </c>
      <c r="S110" s="70">
        <f>Input!E110</f>
        <v>924</v>
      </c>
      <c r="T110" s="68"/>
      <c r="U110" s="68">
        <f>Input!K110</f>
        <v>7.1245403279157037E-3</v>
      </c>
      <c r="W110" s="68">
        <f>Calc!AS110</f>
        <v>1.5513468301874323E-4</v>
      </c>
      <c r="X110" s="68">
        <f>Calc!AT110</f>
        <v>2.6035997142346987E-7</v>
      </c>
      <c r="Y110" s="68">
        <f>Calc!AN110</f>
        <v>0.4335892830124064</v>
      </c>
      <c r="Z110" s="68">
        <f>Calc!AO110</f>
        <v>7.957528696224417E-4</v>
      </c>
      <c r="AA110" s="68">
        <f t="shared" si="22"/>
        <v>1.1211328197282677</v>
      </c>
      <c r="AB110" s="68">
        <f t="shared" si="23"/>
        <v>6.6587579124160736E-3</v>
      </c>
    </row>
    <row r="111" spans="1:28" x14ac:dyDescent="0.2">
      <c r="A111" s="13">
        <f>Input!A111</f>
        <v>10815</v>
      </c>
      <c r="B111" s="13" t="str">
        <f>Input!B111</f>
        <v>Hu1-13</v>
      </c>
      <c r="C111" s="171">
        <f>Calc!O111</f>
        <v>13.694495630930213</v>
      </c>
      <c r="D111" s="171">
        <f>Calc!P111</f>
        <v>7.9437374005922254E-3</v>
      </c>
      <c r="E111" s="171">
        <f>Calc!X111</f>
        <v>0.95009755594198064</v>
      </c>
      <c r="F111" s="171">
        <f>Calc!Y111</f>
        <v>3.7816602073014716E-3</v>
      </c>
      <c r="G111" s="171">
        <f>Calc!AN111</f>
        <v>0.99934079168438084</v>
      </c>
      <c r="H111" s="172">
        <f>Calc!AO111</f>
        <v>2.115468471841621E-3</v>
      </c>
      <c r="I111" s="15">
        <f>Calc!AH111</f>
        <v>44022.559103003019</v>
      </c>
      <c r="J111" s="15">
        <f>Calc!AI111</f>
        <v>196.8124131460641</v>
      </c>
      <c r="K111" s="15">
        <f>Calc!AJ111</f>
        <v>1.8306947459554301</v>
      </c>
      <c r="L111" s="15">
        <f>Calc!AK111</f>
        <v>1.3739224555798366</v>
      </c>
      <c r="M111" s="173">
        <f>Calc!AP111</f>
        <v>624.61159999999995</v>
      </c>
      <c r="N111" s="173" t="e">
        <f>Calc!AQ111</f>
        <v>#VALUE!</v>
      </c>
      <c r="O111" s="173">
        <f>Calc!AW111</f>
        <v>624.60979999999995</v>
      </c>
      <c r="P111" s="173">
        <f>Calc!AX111</f>
        <v>223.08849100559999</v>
      </c>
      <c r="Q111" s="178">
        <f>Calc!BC111</f>
        <v>10.669421747339772</v>
      </c>
      <c r="R111" s="173">
        <f>Calc!BD111</f>
        <v>8.5004703835724253</v>
      </c>
      <c r="S111" s="15">
        <f>Input!E111</f>
        <v>0</v>
      </c>
      <c r="T111" s="68"/>
      <c r="U111" s="68">
        <f>Input!K111</f>
        <v>7.1371512094612257E-3</v>
      </c>
      <c r="W111" s="68">
        <f>Calc!AS111</f>
        <v>2.270065193952367E-5</v>
      </c>
      <c r="X111" s="68">
        <f>Calc!AT111</f>
        <v>9.1309565577435858E-8</v>
      </c>
      <c r="Y111" s="68">
        <f>Calc!AN111</f>
        <v>0.99934079168438084</v>
      </c>
      <c r="Z111" s="68">
        <f>Calc!AO111</f>
        <v>2.115468471841621E-3</v>
      </c>
      <c r="AA111" s="68">
        <f t="shared" si="22"/>
        <v>1.0018306947459554</v>
      </c>
      <c r="AB111" s="68">
        <f t="shared" si="23"/>
        <v>0.1968124131460641</v>
      </c>
    </row>
    <row r="112" spans="1:28" x14ac:dyDescent="0.2">
      <c r="A112" s="68">
        <f>Input!A112</f>
        <v>10957</v>
      </c>
      <c r="B112" s="68" t="str">
        <f>Input!B112</f>
        <v>GeoB20960-1_1003</v>
      </c>
      <c r="C112" s="175">
        <f>Calc!O112</f>
        <v>3.7019545413470274</v>
      </c>
      <c r="D112" s="175">
        <f>Calc!P112</f>
        <v>1.6645739813061159E-3</v>
      </c>
      <c r="E112" s="175">
        <f>Calc!X112</f>
        <v>4.3624012228859845</v>
      </c>
      <c r="F112" s="175">
        <f>Calc!Y112</f>
        <v>6.0461934180509394E-3</v>
      </c>
      <c r="G112" s="175">
        <f>Calc!AN112</f>
        <v>0.43776356476200612</v>
      </c>
      <c r="H112" s="71">
        <f>Calc!AO112</f>
        <v>8.1885433796788788E-4</v>
      </c>
      <c r="I112" s="70">
        <f>Calc!AH112</f>
        <v>1133.3913518118329</v>
      </c>
      <c r="J112" s="70">
        <f>Calc!AI112</f>
        <v>2.5889183394465949</v>
      </c>
      <c r="K112" s="70">
        <f>Calc!AJ112</f>
        <v>120.64254655159546</v>
      </c>
      <c r="L112" s="70">
        <f>Calc!AK112</f>
        <v>1.0709462958803648</v>
      </c>
      <c r="M112" s="176">
        <f>Calc!AP112</f>
        <v>53.4724</v>
      </c>
      <c r="N112" s="176">
        <f>Calc!AQ112</f>
        <v>0.14380000000000001</v>
      </c>
      <c r="O112" s="176">
        <f>Calc!AW112</f>
        <v>53.177</v>
      </c>
      <c r="P112" s="176">
        <f>Calc!AY112</f>
        <v>0.2076271276765278</v>
      </c>
      <c r="Q112" s="177">
        <f>Calc!BC112</f>
        <v>140.17626933673836</v>
      </c>
      <c r="R112" s="176">
        <f>Calc!BD112</f>
        <v>1.2470552755541813</v>
      </c>
      <c r="S112" s="70">
        <f>Input!E112</f>
        <v>1003</v>
      </c>
      <c r="T112" s="68"/>
      <c r="U112" s="68">
        <f>Input!K112</f>
        <v>7.1300479254758145E-3</v>
      </c>
      <c r="W112" s="68">
        <f>Calc!AS112</f>
        <v>3.8557662333608945E-4</v>
      </c>
      <c r="X112" s="68">
        <f>Calc!AT112</f>
        <v>5.6182080726098372E-7</v>
      </c>
      <c r="Y112" s="68">
        <f>Calc!AN112</f>
        <v>0.43776356476200612</v>
      </c>
      <c r="Z112" s="68">
        <f>Calc!AO112</f>
        <v>8.1885433796788788E-4</v>
      </c>
      <c r="AA112" s="68">
        <f t="shared" si="22"/>
        <v>1.1206425465515955</v>
      </c>
      <c r="AB112" s="68">
        <f t="shared" si="23"/>
        <v>2.5889183394465949E-3</v>
      </c>
    </row>
    <row r="113" spans="1:28" x14ac:dyDescent="0.2">
      <c r="A113" s="13">
        <f>Input!A113</f>
        <v>10815</v>
      </c>
      <c r="B113" s="13" t="str">
        <f>Input!B113</f>
        <v>Hu1-13</v>
      </c>
      <c r="C113" s="171">
        <f>Calc!O113</f>
        <v>13.688244948998147</v>
      </c>
      <c r="D113" s="171">
        <f>Calc!P113</f>
        <v>9.5852666765085595E-3</v>
      </c>
      <c r="E113" s="171">
        <f>Calc!X113</f>
        <v>0.94973913428556267</v>
      </c>
      <c r="F113" s="171">
        <f>Calc!Y113</f>
        <v>3.7674301401793781E-3</v>
      </c>
      <c r="G113" s="171">
        <f>Calc!AN113</f>
        <v>0.99721280723158268</v>
      </c>
      <c r="H113" s="172">
        <f>Calc!AO113</f>
        <v>2.3000207664980931E-3</v>
      </c>
      <c r="I113" s="15">
        <f>Calc!AH113</f>
        <v>43925.337936387165</v>
      </c>
      <c r="J113" s="15">
        <f>Calc!AI113</f>
        <v>199.19496287759432</v>
      </c>
      <c r="K113" s="15">
        <f>Calc!AJ113</f>
        <v>-0.13750892443376017</v>
      </c>
      <c r="L113" s="15">
        <f>Calc!AK113</f>
        <v>1.4143432624743504</v>
      </c>
      <c r="M113" s="173">
        <f>Calc!AP113</f>
        <v>649.41060000000004</v>
      </c>
      <c r="N113" s="173" t="e">
        <f>Calc!AQ113</f>
        <v>#VALUE!</v>
      </c>
      <c r="O113" s="173">
        <f>Calc!AW113</f>
        <v>649.40869999999995</v>
      </c>
      <c r="P113" s="173">
        <f>Calc!AX113</f>
        <v>254.72410664860001</v>
      </c>
      <c r="Q113" s="178">
        <f>Calc!BC113</f>
        <v>-0.85950714339631473</v>
      </c>
      <c r="R113" s="173">
        <f>Calc!BD113</f>
        <v>8.8458641330965637</v>
      </c>
      <c r="S113" s="15">
        <f>Input!E113</f>
        <v>0</v>
      </c>
      <c r="T113" s="68"/>
      <c r="U113" s="68">
        <f>Input!K113</f>
        <v>7.1355349260687631E-3</v>
      </c>
      <c r="W113" s="68">
        <f>Calc!AS113</f>
        <v>2.2702450432498663E-5</v>
      </c>
      <c r="X113" s="68">
        <f>Calc!AT113</f>
        <v>9.1448618286336819E-8</v>
      </c>
      <c r="Y113" s="68">
        <f>Calc!AN113</f>
        <v>0.99721280723158268</v>
      </c>
      <c r="Z113" s="68">
        <f>Calc!AO113</f>
        <v>2.3000207664980931E-3</v>
      </c>
      <c r="AA113" s="68">
        <f t="shared" si="22"/>
        <v>0.99986249107556624</v>
      </c>
      <c r="AB113" s="68">
        <f t="shared" si="23"/>
        <v>0.19919496287759433</v>
      </c>
    </row>
    <row r="114" spans="1:28" x14ac:dyDescent="0.2">
      <c r="A114" s="68">
        <f>Input!A114</f>
        <v>10958</v>
      </c>
      <c r="B114" s="68" t="str">
        <f>Input!B114</f>
        <v>GeoB20960-1_1037-1039</v>
      </c>
      <c r="C114" s="175">
        <f>Calc!O114</f>
        <v>2.7795961963630527</v>
      </c>
      <c r="D114" s="175">
        <f>Calc!P114</f>
        <v>1.2164726589985825E-4</v>
      </c>
      <c r="E114" s="175">
        <f>Calc!X114</f>
        <v>0.83402184867395479</v>
      </c>
      <c r="F114" s="175">
        <f>Calc!Y114</f>
        <v>1.1044240014099502E-3</v>
      </c>
      <c r="G114" s="175">
        <f>Calc!AN114</f>
        <v>0.59883171113999056</v>
      </c>
      <c r="H114" s="71">
        <f>Calc!AO114</f>
        <v>1.0966773589145085E-3</v>
      </c>
      <c r="I114" s="70">
        <f>Calc!AH114</f>
        <v>6081.3982721554294</v>
      </c>
      <c r="J114" s="70">
        <f>Calc!AI114</f>
        <v>13.741153668555521</v>
      </c>
      <c r="K114" s="70">
        <f>Calc!AJ114</f>
        <v>113.4070276993393</v>
      </c>
      <c r="L114" s="70">
        <f>Calc!AK114</f>
        <v>0.58635330238887284</v>
      </c>
      <c r="M114" s="176">
        <f>Calc!AP114</f>
        <v>82.768000000000001</v>
      </c>
      <c r="N114" s="176">
        <f>Calc!AQ114</f>
        <v>0.2374</v>
      </c>
      <c r="O114" s="176">
        <f>Calc!AW114</f>
        <v>82.693100000000001</v>
      </c>
      <c r="P114" s="176">
        <f>Calc!AY114</f>
        <v>0.23734605596898412</v>
      </c>
      <c r="Q114" s="177">
        <f>Calc!BC114</f>
        <v>143.21517961644062</v>
      </c>
      <c r="R114" s="176">
        <f>Calc!BD114</f>
        <v>0.74665933561996656</v>
      </c>
      <c r="S114" s="70">
        <f>Input!E114</f>
        <v>1038</v>
      </c>
      <c r="T114" s="68"/>
      <c r="U114" s="68">
        <f>Input!K114</f>
        <v>7.1236963454751681E-3</v>
      </c>
      <c r="W114" s="68">
        <f>Calc!AS114</f>
        <v>9.8177482129250876E-5</v>
      </c>
      <c r="X114" s="68">
        <f>Calc!AT114</f>
        <v>1.300790478093795E-7</v>
      </c>
      <c r="Y114" s="68">
        <f>Calc!AN114</f>
        <v>0.59883171113999056</v>
      </c>
      <c r="Z114" s="68">
        <f>Calc!AO114</f>
        <v>1.0966773589145085E-3</v>
      </c>
      <c r="AA114" s="68">
        <f t="shared" si="22"/>
        <v>1.1134070276993393</v>
      </c>
      <c r="AB114" s="68">
        <f t="shared" si="23"/>
        <v>1.3741153668555521E-2</v>
      </c>
    </row>
    <row r="115" spans="1:28" x14ac:dyDescent="0.2">
      <c r="A115" s="13">
        <f>Input!A115</f>
        <v>10815</v>
      </c>
      <c r="B115" s="13" t="str">
        <f>Input!B115</f>
        <v>Hu1-13</v>
      </c>
      <c r="C115" s="171">
        <f>Calc!O115</f>
        <v>13.700870778401196</v>
      </c>
      <c r="D115" s="171">
        <f>Calc!P115</f>
        <v>1.3885324874215585E-3</v>
      </c>
      <c r="E115" s="171">
        <f>Calc!X115</f>
        <v>0.94899859628661154</v>
      </c>
      <c r="F115" s="171">
        <f>Calc!Y115</f>
        <v>3.6937940660433273E-3</v>
      </c>
      <c r="G115" s="171">
        <f>Calc!AN115</f>
        <v>0.99685784426676904</v>
      </c>
      <c r="H115" s="172">
        <f>Calc!AO115</f>
        <v>2.2909929316801774E-3</v>
      </c>
      <c r="I115" s="15">
        <f>Calc!AH115</f>
        <v>43984.500069541944</v>
      </c>
      <c r="J115" s="15">
        <f>Calc!AI115</f>
        <v>198.76698808973623</v>
      </c>
      <c r="K115" s="15">
        <f>Calc!AJ115</f>
        <v>-0.50757787213329131</v>
      </c>
      <c r="L115" s="15">
        <f>Calc!AK115</f>
        <v>1.2740628908944673</v>
      </c>
      <c r="M115" s="173">
        <f>Calc!AP115</f>
        <v>656.87530000000004</v>
      </c>
      <c r="N115" s="173" t="e">
        <f>Calc!AQ115</f>
        <v>#VALUE!</v>
      </c>
      <c r="O115" s="173">
        <f>Calc!AW115</f>
        <v>656.87339999999995</v>
      </c>
      <c r="P115" s="173">
        <f>Calc!AX115</f>
        <v>271.71634517989997</v>
      </c>
      <c r="Q115" s="178">
        <f>Calc!BC115</f>
        <v>-3.2401868892042396</v>
      </c>
      <c r="R115" s="173">
        <f>Calc!BD115</f>
        <v>8.2210998095818759</v>
      </c>
      <c r="S115" s="15">
        <f>Input!E115</f>
        <v>0</v>
      </c>
      <c r="T115" s="68"/>
      <c r="U115" s="68">
        <f>Input!K115</f>
        <v>7.1355988392495413E-3</v>
      </c>
      <c r="W115" s="68">
        <f>Calc!AS115</f>
        <v>2.266384391525836E-5</v>
      </c>
      <c r="X115" s="68">
        <f>Calc!AT115</f>
        <v>8.8244540535937895E-8</v>
      </c>
      <c r="Y115" s="68">
        <f>Calc!AN115</f>
        <v>0.99685784426676904</v>
      </c>
      <c r="Z115" s="68">
        <f>Calc!AO115</f>
        <v>2.2909929316801774E-3</v>
      </c>
      <c r="AA115" s="68">
        <f t="shared" si="22"/>
        <v>0.99949242212786671</v>
      </c>
      <c r="AB115" s="68">
        <f t="shared" si="23"/>
        <v>0.19876698808973622</v>
      </c>
    </row>
    <row r="116" spans="1:28" ht="13.5" customHeight="1" x14ac:dyDescent="0.2">
      <c r="H116" s="74"/>
    </row>
    <row r="117" spans="1:28" x14ac:dyDescent="0.2">
      <c r="A117" s="13">
        <f>Input!A117</f>
        <v>10815</v>
      </c>
      <c r="B117" s="13" t="str">
        <f>Input!B117</f>
        <v>Hu1-13</v>
      </c>
      <c r="C117" s="171">
        <f>Calc!O117</f>
        <v>13.698907499349446</v>
      </c>
      <c r="D117" s="171">
        <f>Calc!P117</f>
        <v>1.1123385163620471E-3</v>
      </c>
      <c r="E117" s="171">
        <f>Calc!X117</f>
        <v>0.94716474267423079</v>
      </c>
      <c r="F117" s="171">
        <f>Calc!Y117</f>
        <v>3.7460996444684414E-3</v>
      </c>
      <c r="G117" s="171">
        <f>Calc!AN117</f>
        <v>0.99948911316080924</v>
      </c>
      <c r="H117" s="172">
        <f>Calc!AO117</f>
        <v>2.5943313913879182E-3</v>
      </c>
      <c r="I117" s="15">
        <f>Calc!AH117</f>
        <v>44179.65365252256</v>
      </c>
      <c r="J117" s="15">
        <f>Calc!AI117</f>
        <v>208.97207964728833</v>
      </c>
      <c r="K117" s="15">
        <f>Calc!AJ117</f>
        <v>0.4747739461818945</v>
      </c>
      <c r="L117" s="15">
        <f>Calc!AK117</f>
        <v>1.4463370355337237</v>
      </c>
      <c r="M117" s="173">
        <f>Calc!AP117</f>
        <v>734.26520000000005</v>
      </c>
      <c r="N117" s="173" t="e">
        <f>Calc!AQ117</f>
        <v>#VALUE!</v>
      </c>
      <c r="O117" s="173">
        <f>Calc!AW117</f>
        <v>734.26340000000005</v>
      </c>
      <c r="P117" s="173">
        <f>Calc!AX117</f>
        <v>330.80505159159998</v>
      </c>
      <c r="Q117" s="178">
        <f>Calc!BC117</f>
        <v>3.7705424596258323</v>
      </c>
      <c r="R117" s="173">
        <f>Calc!BD117</f>
        <v>11.92354248679206</v>
      </c>
      <c r="S117" s="15">
        <f>Input!E117</f>
        <v>0</v>
      </c>
      <c r="T117" s="68"/>
      <c r="U117" s="68">
        <f>Input!K117</f>
        <v>7.1451529905457558E-3</v>
      </c>
      <c r="W117" s="68">
        <f>Calc!AS117</f>
        <v>2.2623289920330568E-5</v>
      </c>
      <c r="X117" s="68">
        <f>Calc!AT117</f>
        <v>8.9495473566023127E-8</v>
      </c>
      <c r="Y117" s="68">
        <f>Calc!AN117</f>
        <v>0.99948911316080924</v>
      </c>
      <c r="Z117" s="68">
        <f>Calc!AO117</f>
        <v>2.5943313913879182E-3</v>
      </c>
      <c r="AA117" s="68">
        <f t="shared" ref="AA117:AA125" si="24">1+K117/1000</f>
        <v>1.0004747739461819</v>
      </c>
      <c r="AB117" s="68">
        <f t="shared" ref="AB117:AB125" si="25">J117/1000</f>
        <v>0.20897207964728831</v>
      </c>
    </row>
    <row r="118" spans="1:28" x14ac:dyDescent="0.2">
      <c r="A118" s="68">
        <f>Input!A118</f>
        <v>10959</v>
      </c>
      <c r="B118" s="68" t="str">
        <f>Input!B118</f>
        <v>GeoB20571-2_7-14</v>
      </c>
      <c r="C118" s="175">
        <f>Calc!O118</f>
        <v>3.9076871390983277</v>
      </c>
      <c r="D118" s="175">
        <f>Calc!P118</f>
        <v>1.5394236083688613E-4</v>
      </c>
      <c r="E118" s="175">
        <f>Calc!X118</f>
        <v>0.18673835420840768</v>
      </c>
      <c r="F118" s="175">
        <f>Calc!Y118</f>
        <v>5.343750113915301E-4</v>
      </c>
      <c r="G118" s="175">
        <f>Calc!AN118</f>
        <v>5.6327101413972333E-2</v>
      </c>
      <c r="H118" s="71">
        <f>Calc!AO118</f>
        <v>2.3400200285601862E-4</v>
      </c>
      <c r="I118" s="70">
        <f>Calc!AH118</f>
        <v>3599.7626528105975</v>
      </c>
      <c r="J118" s="70">
        <f>Calc!AI118</f>
        <v>18.158614828904671</v>
      </c>
      <c r="K118" s="70">
        <f>Calc!AJ118</f>
        <v>144.04976752148002</v>
      </c>
      <c r="L118" s="70">
        <f>Calc!AK118</f>
        <v>0.54248294685894027</v>
      </c>
      <c r="M118" s="176">
        <f>Calc!AP118</f>
        <v>5.5</v>
      </c>
      <c r="N118" s="176">
        <f>Calc!AQ118</f>
        <v>2.3800000000000002E-2</v>
      </c>
      <c r="O118" s="176">
        <f>Calc!AW118</f>
        <v>5.4881000000000002</v>
      </c>
      <c r="P118" s="176">
        <f>Calc!AY118</f>
        <v>2.4336709779346433E-2</v>
      </c>
      <c r="Q118" s="177">
        <f>Calc!BC118</f>
        <v>146.29814011679983</v>
      </c>
      <c r="R118" s="176">
        <f>Calc!BD118</f>
        <v>0.55104179836909772</v>
      </c>
      <c r="S118" s="70">
        <f>Input!E118</f>
        <v>10.5</v>
      </c>
      <c r="T118" s="68"/>
      <c r="U118" s="68">
        <f>Input!K118</f>
        <v>7.1286179914383839E-3</v>
      </c>
      <c r="W118" s="68">
        <f>Calc!AS118</f>
        <v>1.5636153026887227E-5</v>
      </c>
      <c r="X118" s="68">
        <f>Calc!AT118</f>
        <v>4.4749035178347493E-8</v>
      </c>
      <c r="Y118" s="68">
        <f>Calc!AN118</f>
        <v>5.6327101413972333E-2</v>
      </c>
      <c r="Z118" s="68">
        <f>Calc!AO118</f>
        <v>2.3400200285601862E-4</v>
      </c>
      <c r="AA118" s="68">
        <f t="shared" si="24"/>
        <v>1.14404976752148</v>
      </c>
      <c r="AB118" s="68">
        <f t="shared" si="25"/>
        <v>1.8158614828904671E-2</v>
      </c>
    </row>
    <row r="119" spans="1:28" x14ac:dyDescent="0.2">
      <c r="A119" s="13">
        <f>Input!A119</f>
        <v>10815</v>
      </c>
      <c r="B119" s="13" t="str">
        <f>Input!B119</f>
        <v>Hu1-13</v>
      </c>
      <c r="C119" s="171">
        <f>Calc!O119</f>
        <v>13.700272831976292</v>
      </c>
      <c r="D119" s="171">
        <f>Calc!P119</f>
        <v>1.292609249225297E-3</v>
      </c>
      <c r="E119" s="171">
        <f>Calc!X119</f>
        <v>0.94187529277663828</v>
      </c>
      <c r="F119" s="171">
        <f>Calc!Y119</f>
        <v>3.7323779041736689E-3</v>
      </c>
      <c r="G119" s="171">
        <f>Calc!AN119</f>
        <v>0.9990671159675647</v>
      </c>
      <c r="H119" s="172">
        <f>Calc!AO119</f>
        <v>2.466716476440838E-3</v>
      </c>
      <c r="I119" s="15">
        <f>Calc!AH119</f>
        <v>44413.429026991893</v>
      </c>
      <c r="J119" s="15">
        <f>Calc!AI119</f>
        <v>207.32187374752075</v>
      </c>
      <c r="K119" s="15">
        <f>Calc!AJ119</f>
        <v>-0.61490941683595146</v>
      </c>
      <c r="L119" s="15">
        <f>Calc!AK119</f>
        <v>1.1537513665350927</v>
      </c>
      <c r="M119" s="173" t="str">
        <f>Calc!AP119</f>
        <v>Out of range</v>
      </c>
      <c r="N119" s="173" t="e">
        <f>Calc!AQ119</f>
        <v>#VALUE!</v>
      </c>
      <c r="O119" s="173" t="str">
        <f>Calc!AW119</f>
        <v>Out of range</v>
      </c>
      <c r="P119" s="173">
        <f>Calc!AX119</f>
        <v>360.3442109755</v>
      </c>
      <c r="Q119" s="178" t="e">
        <f>Calc!BC119</f>
        <v>#VALUE!</v>
      </c>
      <c r="R119" s="173" t="e">
        <f>Calc!BD119</f>
        <v>#VALUE!</v>
      </c>
      <c r="S119" s="15">
        <f>Input!E119</f>
        <v>0</v>
      </c>
      <c r="T119" s="68"/>
      <c r="U119" s="68">
        <f>Input!K119</f>
        <v>7.1363160184255217E-3</v>
      </c>
      <c r="W119" s="68">
        <f>Calc!AS119</f>
        <v>2.2494707971329797E-5</v>
      </c>
      <c r="X119" s="68">
        <f>Calc!AT119</f>
        <v>8.9165248906673415E-8</v>
      </c>
      <c r="Y119" s="68">
        <f>Calc!AN119</f>
        <v>0.9990671159675647</v>
      </c>
      <c r="Z119" s="68">
        <f>Calc!AO119</f>
        <v>2.466716476440838E-3</v>
      </c>
      <c r="AA119" s="68">
        <f t="shared" si="24"/>
        <v>0.99938509058316405</v>
      </c>
      <c r="AB119" s="68">
        <f t="shared" si="25"/>
        <v>0.20732187374752076</v>
      </c>
    </row>
    <row r="120" spans="1:28" x14ac:dyDescent="0.2">
      <c r="A120" s="68">
        <f>Input!A120</f>
        <v>10960</v>
      </c>
      <c r="B120" s="68" t="str">
        <f>Input!B120</f>
        <v>GeoB20571-2_99-103</v>
      </c>
      <c r="C120" s="175">
        <f>Calc!O120</f>
        <v>3.4481425469560087</v>
      </c>
      <c r="D120" s="175">
        <f>Calc!P120</f>
        <v>1.2665505105618859E-4</v>
      </c>
      <c r="E120" s="175">
        <f>Calc!X120</f>
        <v>0.57919879675221353</v>
      </c>
      <c r="F120" s="175">
        <f>Calc!Y120</f>
        <v>7.4348572624597579E-4</v>
      </c>
      <c r="G120" s="175">
        <f>Calc!AN120</f>
        <v>6.8339134313570304E-2</v>
      </c>
      <c r="H120" s="71">
        <f>Calc!AO120</f>
        <v>2.0323657886842116E-4</v>
      </c>
      <c r="I120" s="70">
        <f>Calc!AH120</f>
        <v>1242.3989754596203</v>
      </c>
      <c r="J120" s="70">
        <f>Calc!AI120</f>
        <v>4.0240539418645769</v>
      </c>
      <c r="K120" s="70">
        <f>Calc!AJ120</f>
        <v>143.95194685209333</v>
      </c>
      <c r="L120" s="70">
        <f>Calc!AK120</f>
        <v>0.59971032716815231</v>
      </c>
      <c r="M120" s="176">
        <f>Calc!AP120</f>
        <v>6.7088000000000001</v>
      </c>
      <c r="N120" s="176">
        <f>Calc!AQ120</f>
        <v>2.06E-2</v>
      </c>
      <c r="O120" s="176">
        <f>Calc!AW120</f>
        <v>6.6669999999999998</v>
      </c>
      <c r="P120" s="176">
        <f>Calc!AY120</f>
        <v>2.9586500663565687E-2</v>
      </c>
      <c r="Q120" s="177">
        <f>Calc!BC120</f>
        <v>146.68599526940281</v>
      </c>
      <c r="R120" s="176">
        <f>Calc!BD120</f>
        <v>0.61122321534593982</v>
      </c>
      <c r="S120" s="70">
        <f>Input!E120</f>
        <v>101</v>
      </c>
      <c r="T120" s="68"/>
      <c r="U120" s="68">
        <f>Input!K120</f>
        <v>7.1286551210876939E-3</v>
      </c>
      <c r="W120" s="68">
        <f>Calc!AS120</f>
        <v>5.4961504236135286E-5</v>
      </c>
      <c r="X120" s="68">
        <f>Calc!AT120</f>
        <v>7.0579946490424867E-8</v>
      </c>
      <c r="Y120" s="68">
        <f>Calc!AN120</f>
        <v>6.8339134313570304E-2</v>
      </c>
      <c r="Z120" s="68">
        <f>Calc!AO120</f>
        <v>2.0323657886842116E-4</v>
      </c>
      <c r="AA120" s="68">
        <f t="shared" si="24"/>
        <v>1.1439519468520933</v>
      </c>
      <c r="AB120" s="68">
        <f t="shared" si="25"/>
        <v>4.0240539418645773E-3</v>
      </c>
    </row>
    <row r="121" spans="1:28" x14ac:dyDescent="0.2">
      <c r="A121" s="13">
        <f>Input!A121</f>
        <v>10815</v>
      </c>
      <c r="B121" s="13" t="str">
        <f>Input!B121</f>
        <v>Hu1-13</v>
      </c>
      <c r="C121" s="171">
        <f>Calc!O121</f>
        <v>13.700154631105738</v>
      </c>
      <c r="D121" s="171">
        <f>Calc!P121</f>
        <v>1.1000671712245262E-3</v>
      </c>
      <c r="E121" s="171">
        <f>Calc!X121</f>
        <v>0.94148152490860582</v>
      </c>
      <c r="F121" s="171">
        <f>Calc!Y121</f>
        <v>1.4434969956493805E-3</v>
      </c>
      <c r="G121" s="171">
        <f>Calc!AN121</f>
        <v>0.99932274479292416</v>
      </c>
      <c r="H121" s="172">
        <f>Calc!AO121</f>
        <v>2.1878974136554869E-3</v>
      </c>
      <c r="I121" s="15">
        <f>Calc!AH121</f>
        <v>44442.989889755052</v>
      </c>
      <c r="J121" s="15">
        <f>Calc!AI121</f>
        <v>118.73597859759869</v>
      </c>
      <c r="K121" s="15">
        <f>Calc!AJ121</f>
        <v>-1.9457220577057122E-2</v>
      </c>
      <c r="L121" s="15">
        <f>Calc!AK121</f>
        <v>1.3458237075167436</v>
      </c>
      <c r="M121" s="173">
        <f>Calc!AP121</f>
        <v>800.34500000000003</v>
      </c>
      <c r="N121" s="173" t="e">
        <f>Calc!AQ121</f>
        <v>#VALUE!</v>
      </c>
      <c r="O121" s="173">
        <f>Calc!AW121</f>
        <v>800.34320000000002</v>
      </c>
      <c r="P121" s="173">
        <f>Calc!AX121</f>
        <v>359.7271844782</v>
      </c>
      <c r="Q121" s="178">
        <f>Calc!BC121</f>
        <v>-0.18620249606808315</v>
      </c>
      <c r="R121" s="173">
        <f>Calc!BD121</f>
        <v>12.881851895339336</v>
      </c>
      <c r="S121" s="15">
        <f>Input!E121</f>
        <v>0</v>
      </c>
      <c r="T121" s="68"/>
      <c r="U121" s="68">
        <f>Input!K121</f>
        <v>7.1369269599452709E-3</v>
      </c>
      <c r="W121" s="68">
        <f>Calc!AS121</f>
        <v>2.2485497651526974E-5</v>
      </c>
      <c r="X121" s="68">
        <f>Calc!AT121</f>
        <v>3.4522428749776817E-8</v>
      </c>
      <c r="Y121" s="68">
        <f>Calc!AN121</f>
        <v>0.99932274479292416</v>
      </c>
      <c r="Z121" s="68">
        <f>Calc!AO121</f>
        <v>2.1878974136554869E-3</v>
      </c>
      <c r="AA121" s="68">
        <f t="shared" si="24"/>
        <v>0.99998054277942294</v>
      </c>
      <c r="AB121" s="68">
        <f t="shared" si="25"/>
        <v>0.11873597859759868</v>
      </c>
    </row>
    <row r="122" spans="1:28" x14ac:dyDescent="0.2">
      <c r="A122" s="68">
        <f>Input!A122</f>
        <v>10961</v>
      </c>
      <c r="B122" s="68" t="str">
        <f>Input!B122</f>
        <v>GeoB20571-2_193-197</v>
      </c>
      <c r="C122" s="175">
        <f>Calc!O122</f>
        <v>3.5502990969083714</v>
      </c>
      <c r="D122" s="175">
        <f>Calc!P122</f>
        <v>1.1630319084051893E-4</v>
      </c>
      <c r="E122" s="175">
        <f>Calc!X122</f>
        <v>0.22790550621803185</v>
      </c>
      <c r="F122" s="175">
        <f>Calc!Y122</f>
        <v>3.0529523238928026E-4</v>
      </c>
      <c r="G122" s="175">
        <f>Calc!AN122</f>
        <v>7.4511177116103458E-2</v>
      </c>
      <c r="H122" s="71">
        <f>Calc!AO122</f>
        <v>1.7965482569479326E-4</v>
      </c>
      <c r="I122" s="70">
        <f>Calc!AH122</f>
        <v>3542.4053973237073</v>
      </c>
      <c r="J122" s="70">
        <f>Calc!AI122</f>
        <v>9.7701288307525775</v>
      </c>
      <c r="K122" s="70">
        <f>Calc!AJ122</f>
        <v>142.91410849510845</v>
      </c>
      <c r="L122" s="70">
        <f>Calc!AK122</f>
        <v>0.3546892998811918</v>
      </c>
      <c r="M122" s="176">
        <f>Calc!AP122</f>
        <v>7.3415999999999997</v>
      </c>
      <c r="N122" s="176">
        <f>Calc!AQ122</f>
        <v>1.84E-2</v>
      </c>
      <c r="O122" s="176">
        <f>Calc!AW122</f>
        <v>7.3255999999999997</v>
      </c>
      <c r="P122" s="176">
        <f>Calc!AY122</f>
        <v>2.012501540266138E-2</v>
      </c>
      <c r="Q122" s="177">
        <f>Calc!BC122</f>
        <v>145.89936345667371</v>
      </c>
      <c r="R122" s="176">
        <f>Calc!BD122</f>
        <v>0.3621930093067145</v>
      </c>
      <c r="S122" s="70">
        <f>Input!E122</f>
        <v>195</v>
      </c>
      <c r="T122" s="68"/>
      <c r="U122" s="68">
        <f>Input!K122</f>
        <v>7.1298621648911778E-3</v>
      </c>
      <c r="W122" s="68">
        <f>Calc!AS122</f>
        <v>2.1004195247725185E-5</v>
      </c>
      <c r="X122" s="68">
        <f>Calc!AT122</f>
        <v>2.8144988320184017E-8</v>
      </c>
      <c r="Y122" s="68">
        <f>Calc!AN122</f>
        <v>7.4511177116103458E-2</v>
      </c>
      <c r="Z122" s="68">
        <f>Calc!AO122</f>
        <v>1.7965482569479326E-4</v>
      </c>
      <c r="AA122" s="68">
        <f t="shared" si="24"/>
        <v>1.1429141084951084</v>
      </c>
      <c r="AB122" s="68">
        <f t="shared" si="25"/>
        <v>9.7701288307525773E-3</v>
      </c>
    </row>
    <row r="123" spans="1:28" x14ac:dyDescent="0.2">
      <c r="A123" s="13">
        <f>Input!A123</f>
        <v>10815</v>
      </c>
      <c r="B123" s="13" t="str">
        <f>Input!B123</f>
        <v>Hu1-13</v>
      </c>
      <c r="C123" s="171">
        <f>Calc!O123</f>
        <v>13.70047110184178</v>
      </c>
      <c r="D123" s="171">
        <f>Calc!P123</f>
        <v>1.3740640348878044E-3</v>
      </c>
      <c r="E123" s="171">
        <f>Calc!X123</f>
        <v>0.9433951100201694</v>
      </c>
      <c r="F123" s="171">
        <f>Calc!Y123</f>
        <v>3.2371711558052164E-3</v>
      </c>
      <c r="G123" s="171">
        <f>Calc!AN123</f>
        <v>0.99783734559308768</v>
      </c>
      <c r="H123" s="172">
        <f>Calc!AO123</f>
        <v>2.6893893364573788E-3</v>
      </c>
      <c r="I123" s="15">
        <f>Calc!AH123</f>
        <v>44287.938306870456</v>
      </c>
      <c r="J123" s="15">
        <f>Calc!AI123</f>
        <v>193.19232153332067</v>
      </c>
      <c r="K123" s="15">
        <f>Calc!AJ123</f>
        <v>0.34333296392752288</v>
      </c>
      <c r="L123" s="15">
        <f>Calc!AK123</f>
        <v>1.0285075543394842</v>
      </c>
      <c r="M123" s="173">
        <f>Calc!AP123</f>
        <v>646.9701</v>
      </c>
      <c r="N123" s="173" t="e">
        <f>Calc!AQ123</f>
        <v>#VALUE!</v>
      </c>
      <c r="O123" s="173">
        <f>Calc!AW123</f>
        <v>646.9683</v>
      </c>
      <c r="P123" s="173">
        <f>Calc!AX123</f>
        <v>273.3894752544</v>
      </c>
      <c r="Q123" s="178">
        <f>Calc!BC123</f>
        <v>2.1312929158829066</v>
      </c>
      <c r="R123" s="173">
        <f>Calc!BD123</f>
        <v>6.4286140298947752</v>
      </c>
      <c r="S123" s="15">
        <f>Input!E123</f>
        <v>0</v>
      </c>
      <c r="T123" s="68"/>
      <c r="U123" s="68">
        <f>Input!K123</f>
        <v>7.135996213113731E-3</v>
      </c>
      <c r="W123" s="68">
        <f>Calc!AS123</f>
        <v>2.2530679542567276E-5</v>
      </c>
      <c r="X123" s="68">
        <f>Calc!AT123</f>
        <v>7.7344913230644965E-8</v>
      </c>
      <c r="Y123" s="68">
        <f>Calc!AN123</f>
        <v>0.99783734559308768</v>
      </c>
      <c r="Z123" s="68">
        <f>Calc!AO123</f>
        <v>2.6893893364573788E-3</v>
      </c>
      <c r="AA123" s="68">
        <f t="shared" si="24"/>
        <v>1.0003433329639275</v>
      </c>
      <c r="AB123" s="68">
        <f t="shared" si="25"/>
        <v>0.19319232153332067</v>
      </c>
    </row>
    <row r="124" spans="1:28" x14ac:dyDescent="0.2">
      <c r="A124" s="68">
        <f>Input!A124</f>
        <v>10962</v>
      </c>
      <c r="B124" s="68" t="str">
        <f>Input!B124</f>
        <v>GeoB20571-2_242-246</v>
      </c>
      <c r="C124" s="175">
        <f>Calc!O124</f>
        <v>4.2599570777373668</v>
      </c>
      <c r="D124" s="175">
        <f>Calc!P124</f>
        <v>1.5760969982062299E-4</v>
      </c>
      <c r="E124" s="175">
        <f>Calc!X124</f>
        <v>0.18430875977236172</v>
      </c>
      <c r="F124" s="175">
        <f>Calc!Y124</f>
        <v>4.4775037024382465E-4</v>
      </c>
      <c r="G124" s="175">
        <f>Calc!AN124</f>
        <v>7.7189200927291354E-2</v>
      </c>
      <c r="H124" s="71">
        <f>Calc!AO124</f>
        <v>1.9916614579690238E-4</v>
      </c>
      <c r="I124" s="70">
        <f>Calc!AH124</f>
        <v>5436.7447712561143</v>
      </c>
      <c r="J124" s="70">
        <f>Calc!AI124</f>
        <v>19.266317997226139</v>
      </c>
      <c r="K124" s="70">
        <f>Calc!AJ124</f>
        <v>143.73581813506053</v>
      </c>
      <c r="L124" s="70">
        <f>Calc!AK124</f>
        <v>0.45385135007407301</v>
      </c>
      <c r="M124" s="176">
        <f>Calc!AP124</f>
        <v>7.6087999999999996</v>
      </c>
      <c r="N124" s="176">
        <f>Calc!AQ124</f>
        <v>2.0400000000000001E-2</v>
      </c>
      <c r="O124" s="176">
        <f>Calc!AW124</f>
        <v>7.5980999999999996</v>
      </c>
      <c r="P124" s="176">
        <f>Calc!AY124</f>
        <v>2.1269188946807453E-2</v>
      </c>
      <c r="Q124" s="177">
        <f>Calc!BC124</f>
        <v>146.85112411171329</v>
      </c>
      <c r="R124" s="176">
        <f>Calc!BD124</f>
        <v>0.46377181900836045</v>
      </c>
      <c r="S124" s="70">
        <f>Input!E124</f>
        <v>244</v>
      </c>
      <c r="T124" s="68"/>
      <c r="U124" s="68">
        <f>Input!K124</f>
        <v>7.1304658782559401E-3</v>
      </c>
      <c r="W124" s="68">
        <f>Calc!AS124</f>
        <v>1.4156533604486045E-5</v>
      </c>
      <c r="X124" s="68">
        <f>Calc!AT124</f>
        <v>3.439515416603485E-8</v>
      </c>
      <c r="Y124" s="68">
        <f>Calc!AN124</f>
        <v>7.7189200927291354E-2</v>
      </c>
      <c r="Z124" s="68">
        <f>Calc!AO124</f>
        <v>1.9916614579690238E-4</v>
      </c>
      <c r="AA124" s="68">
        <f t="shared" si="24"/>
        <v>1.1437358181350605</v>
      </c>
      <c r="AB124" s="68">
        <f t="shared" si="25"/>
        <v>1.926631799722614E-2</v>
      </c>
    </row>
    <row r="125" spans="1:28" x14ac:dyDescent="0.2">
      <c r="A125" s="13">
        <f>Input!A125</f>
        <v>10815</v>
      </c>
      <c r="B125" s="13" t="str">
        <f>Input!B125</f>
        <v>Hu1-13</v>
      </c>
      <c r="C125" s="171">
        <f>Calc!O125</f>
        <v>13.699062287460714</v>
      </c>
      <c r="D125" s="171">
        <f>Calc!P125</f>
        <v>1.2771447559450442E-3</v>
      </c>
      <c r="E125" s="171">
        <f>Calc!X125</f>
        <v>0.93914907251907598</v>
      </c>
      <c r="F125" s="171">
        <f>Calc!Y125</f>
        <v>4.3173026037298789E-3</v>
      </c>
      <c r="G125" s="171">
        <f>Calc!AN125</f>
        <v>0.99636544776913105</v>
      </c>
      <c r="H125" s="172">
        <f>Calc!AO125</f>
        <v>2.8117289705293091E-3</v>
      </c>
      <c r="I125" s="15">
        <f>Calc!AH125</f>
        <v>44417.978974333637</v>
      </c>
      <c r="J125" s="15">
        <f>Calc!AI125</f>
        <v>239.5593680561347</v>
      </c>
      <c r="K125" s="15">
        <f>Calc!AJ125</f>
        <v>-0.17151287048788877</v>
      </c>
      <c r="L125" s="15">
        <f>Calc!AK125</f>
        <v>0.97180665501285135</v>
      </c>
      <c r="M125" s="173">
        <f>Calc!AP125</f>
        <v>620.08079999999995</v>
      </c>
      <c r="N125" s="173" t="e">
        <f>Calc!AQ125</f>
        <v>#VALUE!</v>
      </c>
      <c r="O125" s="173">
        <f>Calc!AW125</f>
        <v>620.07889999999998</v>
      </c>
      <c r="P125" s="173">
        <f>Calc!AX125</f>
        <v>265.67189650040001</v>
      </c>
      <c r="Q125" s="178">
        <f>Calc!BC125</f>
        <v>-0.98688959193390502</v>
      </c>
      <c r="R125" s="173">
        <f>Calc!BD125</f>
        <v>5.5987485632644738</v>
      </c>
      <c r="S125" s="15">
        <f>Input!E125</f>
        <v>0</v>
      </c>
      <c r="T125" s="68"/>
      <c r="U125" s="68">
        <f>Input!K125</f>
        <v>7.1364023100557493E-3</v>
      </c>
      <c r="W125" s="68">
        <f>Calc!AS125</f>
        <v>2.2431579976767247E-5</v>
      </c>
      <c r="X125" s="68">
        <f>Calc!AT125</f>
        <v>1.0313999623945646E-7</v>
      </c>
      <c r="Y125" s="68">
        <f>Calc!AN125</f>
        <v>0.99636544776913105</v>
      </c>
      <c r="Z125" s="68">
        <f>Calc!AO125</f>
        <v>2.8117289705293091E-3</v>
      </c>
      <c r="AA125" s="68">
        <f t="shared" si="24"/>
        <v>0.99982848712951211</v>
      </c>
      <c r="AB125" s="68">
        <f t="shared" si="25"/>
        <v>0.2395593680561347</v>
      </c>
    </row>
    <row r="126" spans="1:28" ht="13.5" customHeight="1" x14ac:dyDescent="0.2">
      <c r="H126" s="74"/>
    </row>
    <row r="127" spans="1:28" x14ac:dyDescent="0.2">
      <c r="A127" s="13">
        <f>Input!A127</f>
        <v>10815</v>
      </c>
      <c r="B127" s="13" t="str">
        <f>Input!B127</f>
        <v>Hu1-13</v>
      </c>
      <c r="C127" s="171">
        <f>Calc!O127</f>
        <v>13.701672476534766</v>
      </c>
      <c r="D127" s="171">
        <f>Calc!P127</f>
        <v>1.0665589041839859E-3</v>
      </c>
      <c r="E127" s="171">
        <f>Calc!X127</f>
        <v>0.93376276270256431</v>
      </c>
      <c r="F127" s="171">
        <f>Calc!Y127</f>
        <v>3.2127213851380126E-3</v>
      </c>
      <c r="G127" s="171">
        <f>Calc!AN127</f>
        <v>1.0006965632858174</v>
      </c>
      <c r="H127" s="172">
        <f>Calc!AO127</f>
        <v>2.3135137974501529E-3</v>
      </c>
      <c r="I127" s="15">
        <f>Calc!AH127</f>
        <v>44876.94335094159</v>
      </c>
      <c r="J127" s="15">
        <f>Calc!AI127</f>
        <v>185.99147991881841</v>
      </c>
      <c r="K127" s="15">
        <f>Calc!AJ127</f>
        <v>-0.71192274680298429</v>
      </c>
      <c r="L127" s="15">
        <f>Calc!AK127</f>
        <v>1.0479010203712988</v>
      </c>
      <c r="M127" s="173" t="str">
        <f>Calc!AP127</f>
        <v>Out of range</v>
      </c>
      <c r="N127" s="173" t="e">
        <f>Calc!AQ127</f>
        <v>#VALUE!</v>
      </c>
      <c r="O127" s="173" t="str">
        <f>Calc!AW127</f>
        <v>Out of range</v>
      </c>
      <c r="P127" s="173">
        <f>Calc!AX127</f>
        <v>306.65027405580003</v>
      </c>
      <c r="Q127" s="178" t="e">
        <f>Calc!BC127</f>
        <v>#VALUE!</v>
      </c>
      <c r="R127" s="173" t="e">
        <f>Calc!BD127</f>
        <v>#VALUE!</v>
      </c>
      <c r="S127" s="15">
        <f>Input!E127</f>
        <v>0</v>
      </c>
      <c r="T127" s="68"/>
    </row>
    <row r="128" spans="1:28" x14ac:dyDescent="0.2">
      <c r="A128" s="68">
        <f>Input!A128</f>
        <v>10963</v>
      </c>
      <c r="B128" s="68" t="str">
        <f>Input!B128</f>
        <v>GeoB20571-2_293-297</v>
      </c>
      <c r="C128" s="175">
        <f>Calc!O128</f>
        <v>3.1212957637761334</v>
      </c>
      <c r="D128" s="175">
        <f>Calc!P128</f>
        <v>1.4297424384833712E-4</v>
      </c>
      <c r="E128" s="175">
        <f>Calc!X128</f>
        <v>0.12508424230483181</v>
      </c>
      <c r="F128" s="175">
        <f>Calc!Y128</f>
        <v>2.3133994606341519E-4</v>
      </c>
      <c r="G128" s="175">
        <f>Calc!AN128</f>
        <v>8.0031019086183347E-2</v>
      </c>
      <c r="H128" s="71">
        <f>Calc!AO128</f>
        <v>1.6562357088712416E-4</v>
      </c>
      <c r="I128" s="70">
        <f>Calc!AH128</f>
        <v>6104.6551164529037</v>
      </c>
      <c r="J128" s="70">
        <f>Calc!AI128</f>
        <v>16.941106182786566</v>
      </c>
      <c r="K128" s="70">
        <f>Calc!AJ128</f>
        <v>143.18809149670142</v>
      </c>
      <c r="L128" s="70">
        <f>Calc!AK128</f>
        <v>0.47870446491787322</v>
      </c>
      <c r="M128" s="176">
        <f>Calc!AP128</f>
        <v>7.9028999999999998</v>
      </c>
      <c r="N128" s="176">
        <f>Calc!AQ128</f>
        <v>1.8700000000000001E-2</v>
      </c>
      <c r="O128" s="176">
        <f>Calc!AW128</f>
        <v>7.8929</v>
      </c>
      <c r="P128" s="176">
        <f>Calc!AY128</f>
        <v>1.8015130396081498E-2</v>
      </c>
      <c r="Q128" s="177">
        <f>Calc!BC128</f>
        <v>146.41328303185932</v>
      </c>
      <c r="R128" s="176">
        <f>Calc!BD128</f>
        <v>0.48954347527643882</v>
      </c>
      <c r="S128" s="70">
        <f>Input!E128</f>
        <v>295</v>
      </c>
      <c r="T128" s="68"/>
    </row>
    <row r="129" spans="1:20" x14ac:dyDescent="0.2">
      <c r="A129" s="13">
        <f>Input!A129</f>
        <v>10815</v>
      </c>
      <c r="B129" s="13" t="str">
        <f>Input!B129</f>
        <v>Hu1-13</v>
      </c>
      <c r="C129" s="171">
        <f>Calc!O129</f>
        <v>13.701256330786412</v>
      </c>
      <c r="D129" s="171">
        <f>Calc!P129</f>
        <v>1.0785134005452219E-3</v>
      </c>
      <c r="E129" s="171">
        <f>Calc!X129</f>
        <v>0.9347522754272175</v>
      </c>
      <c r="F129" s="171">
        <f>Calc!Y129</f>
        <v>3.7530971865550188E-3</v>
      </c>
      <c r="G129" s="171">
        <f>Calc!AN129</f>
        <v>0.99970245161233895</v>
      </c>
      <c r="H129" s="172">
        <f>Calc!AO129</f>
        <v>2.6446851667197469E-3</v>
      </c>
      <c r="I129" s="15">
        <f>Calc!AH129</f>
        <v>44783.542740196994</v>
      </c>
      <c r="J129" s="15">
        <f>Calc!AI129</f>
        <v>215.30186606791116</v>
      </c>
      <c r="K129" s="15">
        <f>Calc!AJ129</f>
        <v>0.52459370694291074</v>
      </c>
      <c r="L129" s="15">
        <f>Calc!AK129</f>
        <v>1.1616986302898631</v>
      </c>
      <c r="M129" s="173">
        <f>Calc!AP129</f>
        <v>748.05849999999998</v>
      </c>
      <c r="N129" s="173" t="e">
        <f>Calc!AQ129</f>
        <v>#VALUE!</v>
      </c>
      <c r="O129" s="173">
        <f>Calc!AW129</f>
        <v>748.05669999999998</v>
      </c>
      <c r="P129" s="173">
        <f>Calc!AX129</f>
        <v>340.20454194889999</v>
      </c>
      <c r="Q129" s="178">
        <f>Calc!BC129</f>
        <v>4.3315683555833928</v>
      </c>
      <c r="R129" s="173">
        <f>Calc!BD129</f>
        <v>10.363241315402073</v>
      </c>
      <c r="S129" s="15">
        <f>Input!E129</f>
        <v>0</v>
      </c>
      <c r="T129" s="68"/>
    </row>
    <row r="130" spans="1:20" x14ac:dyDescent="0.2">
      <c r="A130" s="68">
        <f>Input!A130</f>
        <v>10964</v>
      </c>
      <c r="B130" s="68" t="str">
        <f>Input!B130</f>
        <v>GeoB20571-2_344-346</v>
      </c>
      <c r="C130" s="175">
        <f>Calc!O130</f>
        <v>3.4481482026969976</v>
      </c>
      <c r="D130" s="175">
        <f>Calc!P130</f>
        <v>1.1776599211660089E-4</v>
      </c>
      <c r="E130" s="175">
        <f>Calc!X130</f>
        <v>0.10818050920284533</v>
      </c>
      <c r="F130" s="175">
        <f>Calc!Y130</f>
        <v>2.5428521891715712E-4</v>
      </c>
      <c r="G130" s="175">
        <f>Calc!AN130</f>
        <v>8.1772371044017009E-2</v>
      </c>
      <c r="H130" s="71">
        <f>Calc!AO130</f>
        <v>2.1743387690083114E-4</v>
      </c>
      <c r="I130" s="70">
        <f>Calc!AH130</f>
        <v>7963.6966512212912</v>
      </c>
      <c r="J130" s="70">
        <f>Calc!AI130</f>
        <v>28.26196934624458</v>
      </c>
      <c r="K130" s="70">
        <f>Calc!AJ130</f>
        <v>143.14807911358264</v>
      </c>
      <c r="L130" s="70">
        <f>Calc!AK130</f>
        <v>0.45569421605789362</v>
      </c>
      <c r="M130" s="176">
        <f>Calc!AP130</f>
        <v>8.0814000000000004</v>
      </c>
      <c r="N130" s="176">
        <f>Calc!AQ130</f>
        <v>2.1600000000000001E-2</v>
      </c>
      <c r="O130" s="176">
        <f>Calc!AW130</f>
        <v>8.0736000000000008</v>
      </c>
      <c r="P130" s="176">
        <f>Calc!AY130</f>
        <v>2.2890879572595689E-2</v>
      </c>
      <c r="Q130" s="177">
        <f>Calc!BC130</f>
        <v>146.44703047806578</v>
      </c>
      <c r="R130" s="176">
        <f>Calc!BD130</f>
        <v>0.46629199876267469</v>
      </c>
      <c r="S130" s="70">
        <f>Input!E130</f>
        <v>345</v>
      </c>
      <c r="T130" s="68"/>
    </row>
    <row r="131" spans="1:20" x14ac:dyDescent="0.2">
      <c r="A131" s="13">
        <f>Input!A131</f>
        <v>10815</v>
      </c>
      <c r="B131" s="13" t="str">
        <f>Input!B131</f>
        <v>Hu1-13</v>
      </c>
      <c r="C131" s="171">
        <f>Calc!O131</f>
        <v>13.700268842052708</v>
      </c>
      <c r="D131" s="171">
        <f>Calc!P131</f>
        <v>1.1806998092081559E-3</v>
      </c>
      <c r="E131" s="171">
        <f>Calc!X131</f>
        <v>0.93657736899154642</v>
      </c>
      <c r="F131" s="171">
        <f>Calc!Y131</f>
        <v>3.0181754053453685E-3</v>
      </c>
      <c r="G131" s="171">
        <f>Calc!AN131</f>
        <v>0.99977901156614035</v>
      </c>
      <c r="H131" s="172">
        <f>Calc!AO131</f>
        <v>2.719934851820678E-3</v>
      </c>
      <c r="I131" s="15">
        <f>Calc!AH131</f>
        <v>44696.475084121965</v>
      </c>
      <c r="J131" s="15">
        <f>Calc!AI131</f>
        <v>188.46216066966048</v>
      </c>
      <c r="K131" s="15">
        <f>Calc!AJ131</f>
        <v>5.0286672569566093E-2</v>
      </c>
      <c r="L131" s="15">
        <f>Calc!AK131</f>
        <v>0.96147184343593672</v>
      </c>
      <c r="M131" s="173">
        <f>Calc!AP131</f>
        <v>886.96339999999998</v>
      </c>
      <c r="N131" s="173" t="e">
        <f>Calc!AQ131</f>
        <v>#VALUE!</v>
      </c>
      <c r="O131" s="173">
        <f>Calc!AW131</f>
        <v>886.96159999999998</v>
      </c>
      <c r="P131" s="173">
        <f>Calc!AX131</f>
        <v>346.64321999169999</v>
      </c>
      <c r="Q131" s="178">
        <f>Calc!BC131</f>
        <v>0.6144938593520054</v>
      </c>
      <c r="R131" s="173">
        <f>Calc!BD131</f>
        <v>11.909167406915671</v>
      </c>
      <c r="S131" s="15">
        <f>Input!E131</f>
        <v>0</v>
      </c>
      <c r="T131" s="68"/>
    </row>
    <row r="132" spans="1:20" x14ac:dyDescent="0.2">
      <c r="A132" s="68">
        <f>Input!A132</f>
        <v>10965</v>
      </c>
      <c r="B132" s="68" t="str">
        <f>Input!B132</f>
        <v>GeoB20571-2_409-411</v>
      </c>
      <c r="C132" s="175">
        <f>Calc!O132</f>
        <v>4.4071353437512757</v>
      </c>
      <c r="D132" s="175">
        <f>Calc!P132</f>
        <v>1.8221155869268906E-4</v>
      </c>
      <c r="E132" s="175">
        <f>Calc!X132</f>
        <v>0.29884446725714325</v>
      </c>
      <c r="F132" s="175">
        <f>Calc!Y132</f>
        <v>6.0879238796934245E-4</v>
      </c>
      <c r="G132" s="175">
        <f>Calc!AN132</f>
        <v>8.6217442612162895E-2</v>
      </c>
      <c r="H132" s="71">
        <f>Calc!AO132</f>
        <v>2.5519105499475055E-4</v>
      </c>
      <c r="I132" s="70">
        <f>Calc!AH132</f>
        <v>3875.2674995018097</v>
      </c>
      <c r="J132" s="70">
        <f>Calc!AI132</f>
        <v>13.923500226926453</v>
      </c>
      <c r="K132" s="70">
        <f>Calc!AJ132</f>
        <v>143.57381167680151</v>
      </c>
      <c r="L132" s="70">
        <f>Calc!AK132</f>
        <v>0.56375294479563887</v>
      </c>
      <c r="M132" s="176">
        <f>Calc!AP132</f>
        <v>8.5343</v>
      </c>
      <c r="N132" s="176">
        <f>Calc!AQ132</f>
        <v>2.5100000000000001E-2</v>
      </c>
      <c r="O132" s="176">
        <f>Calc!AW132</f>
        <v>8.5175000000000001</v>
      </c>
      <c r="P132" s="176">
        <f>Calc!AY132</f>
        <v>2.7943480278236399E-2</v>
      </c>
      <c r="Q132" s="177">
        <f>Calc!BC132</f>
        <v>147.06669128309309</v>
      </c>
      <c r="R132" s="176">
        <f>Calc!BD132</f>
        <v>0.57758443381849833</v>
      </c>
      <c r="S132" s="70">
        <f>Input!E132</f>
        <v>410</v>
      </c>
      <c r="T132" s="68"/>
    </row>
    <row r="133" spans="1:20" x14ac:dyDescent="0.2">
      <c r="A133" s="13">
        <f>Input!A133</f>
        <v>10815</v>
      </c>
      <c r="B133" s="13" t="str">
        <f>Input!B133</f>
        <v>Hu1-13</v>
      </c>
      <c r="C133" s="171">
        <f>Calc!O133</f>
        <v>13.700348526185543</v>
      </c>
      <c r="D133" s="171">
        <f>Calc!P133</f>
        <v>1.0442657502675514E-3</v>
      </c>
      <c r="E133" s="171">
        <f>Calc!X133</f>
        <v>0.93990956044479301</v>
      </c>
      <c r="F133" s="171">
        <f>Calc!Y133</f>
        <v>3.1316113509357326E-3</v>
      </c>
      <c r="G133" s="171">
        <f>Calc!AN133</f>
        <v>0.99475546499430179</v>
      </c>
      <c r="H133" s="172">
        <f>Calc!AO133</f>
        <v>2.7404037775160812E-3</v>
      </c>
      <c r="I133" s="15">
        <f>Calc!AH133</f>
        <v>44314.485485834179</v>
      </c>
      <c r="J133" s="15">
        <f>Calc!AI133</f>
        <v>191.55156600462749</v>
      </c>
      <c r="K133" s="15">
        <f>Calc!AJ133</f>
        <v>-0.17600783553350929</v>
      </c>
      <c r="L133" s="15">
        <f>Calc!AK133</f>
        <v>0.88733456092459795</v>
      </c>
      <c r="M133" s="173">
        <f>Calc!AP133</f>
        <v>577.82680000000005</v>
      </c>
      <c r="N133" s="173" t="e">
        <f>Calc!AQ133</f>
        <v>#VALUE!</v>
      </c>
      <c r="O133" s="173">
        <f>Calc!AW133</f>
        <v>577.82489999999996</v>
      </c>
      <c r="P133" s="173">
        <f>Calc!AX133</f>
        <v>163.65018108000001</v>
      </c>
      <c r="Q133" s="178">
        <f>Calc!BC133</f>
        <v>-0.89891191755008737</v>
      </c>
      <c r="R133" s="173">
        <f>Calc!BD133</f>
        <v>4.5348546391643492</v>
      </c>
      <c r="S133" s="15">
        <f>Input!E133</f>
        <v>0</v>
      </c>
      <c r="T133" s="68"/>
    </row>
    <row r="134" spans="1:20" x14ac:dyDescent="0.2">
      <c r="A134" s="68">
        <f>Input!A134</f>
        <v>10966</v>
      </c>
      <c r="B134" s="68" t="str">
        <f>Input!B134</f>
        <v>GeoB20571-2_478-482</v>
      </c>
      <c r="C134" s="175">
        <f>Calc!O134</f>
        <v>3.9844728046681657</v>
      </c>
      <c r="D134" s="175">
        <f>Calc!P134</f>
        <v>1.3437055250482171E-4</v>
      </c>
      <c r="E134" s="175">
        <f>Calc!X134</f>
        <v>0.30203098417566376</v>
      </c>
      <c r="F134" s="175">
        <f>Calc!Y134</f>
        <v>5.1432593897144134E-4</v>
      </c>
      <c r="G134" s="175">
        <f>Calc!AN134</f>
        <v>8.6917049007490046E-2</v>
      </c>
      <c r="H134" s="71">
        <f>Calc!AO134</f>
        <v>2.3724899250670591E-4</v>
      </c>
      <c r="I134" s="70">
        <f>Calc!AH134</f>
        <v>3490.8230474258626</v>
      </c>
      <c r="J134" s="70">
        <f>Calc!AI134</f>
        <v>11.230163428051677</v>
      </c>
      <c r="K134" s="70">
        <f>Calc!AJ134</f>
        <v>143.38765239316297</v>
      </c>
      <c r="L134" s="70">
        <f>Calc!AK134</f>
        <v>0.53927466142977643</v>
      </c>
      <c r="M134" s="176">
        <f>Calc!AP134</f>
        <v>8.6076999999999995</v>
      </c>
      <c r="N134" s="176">
        <f>Calc!AQ134</f>
        <v>2.5999999999999999E-2</v>
      </c>
      <c r="O134" s="176">
        <f>Calc!AW134</f>
        <v>8.5889000000000006</v>
      </c>
      <c r="P134" s="176">
        <f>Calc!AY134</f>
        <v>2.6546563247339103E-2</v>
      </c>
      <c r="Q134" s="177">
        <f>Calc!BC134</f>
        <v>146.90560087014984</v>
      </c>
      <c r="R134" s="176">
        <f>Calc!BD134</f>
        <v>0.55261511250783379</v>
      </c>
      <c r="S134" s="70">
        <f>Input!E134</f>
        <v>480</v>
      </c>
      <c r="T134" s="68"/>
    </row>
    <row r="135" spans="1:20" x14ac:dyDescent="0.2">
      <c r="A135" s="13">
        <f>Input!A135</f>
        <v>10815</v>
      </c>
      <c r="B135" s="13" t="str">
        <f>Input!B135</f>
        <v>Hu1-13</v>
      </c>
      <c r="C135" s="171">
        <f>Calc!O135</f>
        <v>13.699364863572201</v>
      </c>
      <c r="D135" s="171">
        <f>Calc!P135</f>
        <v>1.3284005774201787E-3</v>
      </c>
      <c r="E135" s="171">
        <f>Calc!X135</f>
        <v>0.94040457892009122</v>
      </c>
      <c r="F135" s="171">
        <f>Calc!Y135</f>
        <v>3.6511537027338835E-3</v>
      </c>
      <c r="G135" s="171">
        <f>Calc!AN135</f>
        <v>0.99752124993946101</v>
      </c>
      <c r="H135" s="172">
        <f>Calc!AO135</f>
        <v>3.0418851786610515E-3</v>
      </c>
      <c r="I135" s="15">
        <f>Calc!AH135</f>
        <v>44411.115622865145</v>
      </c>
      <c r="J135" s="15">
        <f>Calc!AI135</f>
        <v>219.211862901621</v>
      </c>
      <c r="K135" s="15">
        <f>Calc!AJ135</f>
        <v>0.36350698176335072</v>
      </c>
      <c r="L135" s="15">
        <f>Calc!AK135</f>
        <v>1.3609076547352399</v>
      </c>
      <c r="M135" s="173">
        <f>Calc!AP135</f>
        <v>633.66279999999995</v>
      </c>
      <c r="N135" s="173" t="e">
        <f>Calc!AQ135</f>
        <v>#VALUE!</v>
      </c>
      <c r="O135" s="173">
        <f>Calc!AW135</f>
        <v>633.66099999999994</v>
      </c>
      <c r="P135" s="173">
        <f>Calc!AX135</f>
        <v>290.19439606909998</v>
      </c>
      <c r="Q135" s="178">
        <f>Calc!BC135</f>
        <v>2.173356151819624</v>
      </c>
      <c r="R135" s="173">
        <f>Calc!BD135</f>
        <v>8.1756938870016143</v>
      </c>
      <c r="S135" s="15">
        <f>Input!E135</f>
        <v>0</v>
      </c>
      <c r="T135" s="68"/>
    </row>
    <row r="136" spans="1:20" x14ac:dyDescent="0.2">
      <c r="A136" s="68">
        <f>Input!A136</f>
        <v>10967</v>
      </c>
      <c r="B136" s="68" t="str">
        <f>Input!B136</f>
        <v>GeoB20571-2_524-526</v>
      </c>
      <c r="C136" s="175">
        <f>Calc!O136</f>
        <v>3.5084964616862537</v>
      </c>
      <c r="D136" s="175">
        <f>Calc!P136</f>
        <v>1.5525188031551799E-4</v>
      </c>
      <c r="E136" s="175">
        <f>Calc!X136</f>
        <v>0.18737293799276714</v>
      </c>
      <c r="F136" s="175">
        <f>Calc!Y136</f>
        <v>5.5268785478793927E-4</v>
      </c>
      <c r="G136" s="175">
        <f>Calc!AN136</f>
        <v>8.7753096011444223E-2</v>
      </c>
      <c r="H136" s="71">
        <f>Calc!AO136</f>
        <v>3.609004912154477E-4</v>
      </c>
      <c r="I136" s="70">
        <f>Calc!AH136</f>
        <v>5010.0220904457719</v>
      </c>
      <c r="J136" s="70">
        <f>Calc!AI136</f>
        <v>25.355228808897579</v>
      </c>
      <c r="K136" s="70">
        <f>Calc!AJ136</f>
        <v>143.69826375643657</v>
      </c>
      <c r="L136" s="70">
        <f>Calc!AK136</f>
        <v>0.57944329689643992</v>
      </c>
      <c r="M136" s="176">
        <f>Calc!AP136</f>
        <v>8.6913</v>
      </c>
      <c r="N136" s="176">
        <f>Calc!AQ136</f>
        <v>3.9100000000000003E-2</v>
      </c>
      <c r="O136" s="176">
        <f>Calc!AW136</f>
        <v>8.6780000000000008</v>
      </c>
      <c r="P136" s="176">
        <f>Calc!AY136</f>
        <v>3.8068415253292541E-2</v>
      </c>
      <c r="Q136" s="177">
        <f>Calc!BC136</f>
        <v>147.26085636838957</v>
      </c>
      <c r="R136" s="176">
        <f>Calc!BD136</f>
        <v>0.59401966588691624</v>
      </c>
      <c r="S136" s="70">
        <f>Input!E136</f>
        <v>525</v>
      </c>
      <c r="T136" s="68"/>
    </row>
    <row r="137" spans="1:20" x14ac:dyDescent="0.2">
      <c r="A137" s="13">
        <f>Input!A137</f>
        <v>10815</v>
      </c>
      <c r="B137" s="13" t="str">
        <f>Input!B137</f>
        <v>Hu1-13</v>
      </c>
      <c r="C137" s="171">
        <f>Calc!O137</f>
        <v>13.698726219687433</v>
      </c>
      <c r="D137" s="171">
        <f>Calc!P137</f>
        <v>1.2374385438261987E-3</v>
      </c>
      <c r="E137" s="171">
        <f>Calc!X137</f>
        <v>0.94003296900229105</v>
      </c>
      <c r="F137" s="171">
        <f>Calc!Y137</f>
        <v>3.4021420231557147E-3</v>
      </c>
      <c r="G137" s="171">
        <f>Calc!AN137</f>
        <v>0.99778325525963096</v>
      </c>
      <c r="H137" s="172">
        <f>Calc!AO137</f>
        <v>2.5443925197168359E-3</v>
      </c>
      <c r="I137" s="15">
        <f>Calc!AH137</f>
        <v>44438.269772057356</v>
      </c>
      <c r="J137" s="15">
        <f>Calc!AI137</f>
        <v>196.70139704857434</v>
      </c>
      <c r="K137" s="15">
        <f>Calc!AJ137</f>
        <v>0.42208452511616201</v>
      </c>
      <c r="L137" s="15">
        <f>Calc!AK137</f>
        <v>1.1603264861689915</v>
      </c>
      <c r="M137" s="173">
        <f>Calc!AP137</f>
        <v>640.3596</v>
      </c>
      <c r="N137" s="173" t="e">
        <f>Calc!AQ137</f>
        <v>#VALUE!</v>
      </c>
      <c r="O137" s="173">
        <f>Calc!AW137</f>
        <v>640.35770000000002</v>
      </c>
      <c r="P137" s="173">
        <f>Calc!AX137</f>
        <v>265.9997162793</v>
      </c>
      <c r="Q137" s="178">
        <f>Calc!BC137</f>
        <v>2.5717282979008638</v>
      </c>
      <c r="R137" s="173">
        <f>Calc!BD137</f>
        <v>7.1200003761391484</v>
      </c>
      <c r="S137" s="15">
        <f>Input!E137</f>
        <v>0</v>
      </c>
      <c r="T137" s="68"/>
    </row>
    <row r="138" spans="1:20" ht="13.5" customHeight="1" x14ac:dyDescent="0.2">
      <c r="H138" s="74"/>
    </row>
    <row r="139" spans="1:20" x14ac:dyDescent="0.2">
      <c r="A139" s="13">
        <f>Input!A139</f>
        <v>10815</v>
      </c>
      <c r="B139" s="13" t="str">
        <f>Input!B139</f>
        <v>Hu1-13</v>
      </c>
      <c r="C139" s="171">
        <f>Calc!O139</f>
        <v>13.701059669888094</v>
      </c>
      <c r="D139" s="171">
        <f>Calc!P139</f>
        <v>1.4583636983349793E-3</v>
      </c>
      <c r="E139" s="171">
        <f>Calc!X139</f>
        <v>0.92788773934740654</v>
      </c>
      <c r="F139" s="171">
        <f>Calc!Y139</f>
        <v>4.328145773038217E-3</v>
      </c>
      <c r="G139" s="171">
        <f>Calc!AN139</f>
        <v>0.99813183436138608</v>
      </c>
      <c r="H139" s="172">
        <f>Calc!AO139</f>
        <v>3.4128421298100539E-3</v>
      </c>
      <c r="I139" s="15">
        <f>Calc!AH139</f>
        <v>45043.326685409469</v>
      </c>
      <c r="J139" s="15">
        <f>Calc!AI139</f>
        <v>260.4637826772954</v>
      </c>
      <c r="K139" s="15">
        <f>Calc!AJ139</f>
        <v>-0.42682950636185879</v>
      </c>
      <c r="L139" s="15">
        <f>Calc!AK139</f>
        <v>1.6695808634323037</v>
      </c>
      <c r="M139" s="173">
        <f>Calc!AP139</f>
        <v>728.25789999999995</v>
      </c>
      <c r="N139" s="173" t="e">
        <f>Calc!AQ139</f>
        <v>#VALUE!</v>
      </c>
      <c r="O139" s="173">
        <f>Calc!AW139</f>
        <v>728.25609999999995</v>
      </c>
      <c r="P139" s="173">
        <f>Calc!AX139</f>
        <v>324.95775005339999</v>
      </c>
      <c r="Q139" s="178">
        <f>Calc!BC139</f>
        <v>-3.3327966339686959</v>
      </c>
      <c r="R139" s="173">
        <f>Calc!BD139</f>
        <v>13.468213115641012</v>
      </c>
      <c r="S139" s="15">
        <f>Input!E139</f>
        <v>0</v>
      </c>
      <c r="T139" s="68"/>
    </row>
    <row r="140" spans="1:20" x14ac:dyDescent="0.2">
      <c r="A140" s="68">
        <f>Input!A140</f>
        <v>10989</v>
      </c>
      <c r="B140" s="68" t="str">
        <f>Input!B140</f>
        <v>CPR-30</v>
      </c>
      <c r="C140" s="175">
        <f>Calc!O140</f>
        <v>2.8828639167288364</v>
      </c>
      <c r="D140" s="175">
        <f>Calc!P140</f>
        <v>1.6194169191043718E-4</v>
      </c>
      <c r="E140" s="175">
        <f>Calc!X140</f>
        <v>0.16418991431457736</v>
      </c>
      <c r="F140" s="175">
        <f>Calc!Y140</f>
        <v>3.2598359850076654E-4</v>
      </c>
      <c r="G140" s="175">
        <f>Calc!AN140</f>
        <v>1.2801083125302259E-3</v>
      </c>
      <c r="H140" s="71">
        <f>Calc!AO140</f>
        <v>2.7026087392475077E-5</v>
      </c>
      <c r="I140" s="70">
        <f>Calc!AH140</f>
        <v>68.619499259160094</v>
      </c>
      <c r="J140" s="70">
        <f>Calc!AI140</f>
        <v>1.4551051782032205</v>
      </c>
      <c r="K140" s="70">
        <f>Calc!AJ140</f>
        <v>145.05634610023722</v>
      </c>
      <c r="L140" s="70">
        <f>Calc!AK140</f>
        <v>0.54781721399515559</v>
      </c>
      <c r="M140" s="176">
        <f>Calc!AP140</f>
        <v>0.122</v>
      </c>
      <c r="N140" s="176">
        <f>Calc!AQ140</f>
        <v>3.3E-3</v>
      </c>
      <c r="O140" s="176">
        <f>Calc!AW140</f>
        <v>0.10780000000000001</v>
      </c>
      <c r="P140" s="176">
        <f>Calc!AY140</f>
        <v>7.5632104372882081E-3</v>
      </c>
      <c r="Q140" s="177">
        <f>Calc!BC140</f>
        <v>145.10048157466295</v>
      </c>
      <c r="R140" s="176">
        <f>Calc!BD140</f>
        <v>0.54799264671800296</v>
      </c>
      <c r="S140" s="70">
        <f>Input!E140</f>
        <v>30</v>
      </c>
      <c r="T140" s="68"/>
    </row>
    <row r="141" spans="1:20" x14ac:dyDescent="0.2">
      <c r="A141" s="13">
        <f>Input!A141</f>
        <v>10815</v>
      </c>
      <c r="B141" s="13" t="str">
        <f>Input!B141</f>
        <v>Hu1-13</v>
      </c>
      <c r="C141" s="171">
        <f>Calc!O141</f>
        <v>13.700343547376299</v>
      </c>
      <c r="D141" s="171">
        <f>Calc!P141</f>
        <v>1.7187781015433842E-3</v>
      </c>
      <c r="E141" s="171">
        <f>Calc!X141</f>
        <v>0.93332838202529167</v>
      </c>
      <c r="F141" s="171">
        <f>Calc!Y141</f>
        <v>3.8629991911639846E-3</v>
      </c>
      <c r="G141" s="171">
        <f>Calc!AN141</f>
        <v>0.99974783320742788</v>
      </c>
      <c r="H141" s="172">
        <f>Calc!AO141</f>
        <v>2.8548648474220522E-3</v>
      </c>
      <c r="I141" s="15">
        <f>Calc!AH141</f>
        <v>44850.912748151473</v>
      </c>
      <c r="J141" s="15">
        <f>Calc!AI141</f>
        <v>225.46019233492373</v>
      </c>
      <c r="K141" s="15">
        <f>Calc!AJ141</f>
        <v>-0.50894313469651564</v>
      </c>
      <c r="L141" s="15">
        <f>Calc!AK141</f>
        <v>1.8448866279879248</v>
      </c>
      <c r="M141" s="173" t="str">
        <f>Calc!AP141</f>
        <v>Out of range</v>
      </c>
      <c r="N141" s="173" t="e">
        <f>Calc!AQ141</f>
        <v>#VALUE!</v>
      </c>
      <c r="O141" s="173" t="str">
        <f>Calc!AW141</f>
        <v>Out of range</v>
      </c>
      <c r="P141" s="173">
        <f>Calc!AX141</f>
        <v>330.20850861259999</v>
      </c>
      <c r="Q141" s="178" t="e">
        <f>Calc!BC141</f>
        <v>#VALUE!</v>
      </c>
      <c r="R141" s="173" t="e">
        <f>Calc!BD141</f>
        <v>#VALUE!</v>
      </c>
      <c r="S141" s="15">
        <f>Input!E141</f>
        <v>0</v>
      </c>
      <c r="T141" s="68"/>
    </row>
    <row r="142" spans="1:20" x14ac:dyDescent="0.2">
      <c r="A142" s="68">
        <f>Input!A142</f>
        <v>10990</v>
      </c>
      <c r="B142" s="68" t="str">
        <f>Input!B142</f>
        <v>CPR-47,5</v>
      </c>
      <c r="C142" s="175">
        <f>Calc!O142</f>
        <v>2.8942155066801658</v>
      </c>
      <c r="D142" s="175">
        <f>Calc!P142</f>
        <v>1.7233639501554874E-4</v>
      </c>
      <c r="E142" s="175">
        <f>Calc!X142</f>
        <v>8.1893044642215848E-2</v>
      </c>
      <c r="F142" s="175">
        <f>Calc!Y142</f>
        <v>2.540356529893482E-4</v>
      </c>
      <c r="G142" s="175">
        <f>Calc!AN142</f>
        <v>1.1888553774690184E-3</v>
      </c>
      <c r="H142" s="71">
        <f>Calc!AO142</f>
        <v>2.3979132704889062E-5</v>
      </c>
      <c r="I142" s="70">
        <f>Calc!AH142</f>
        <v>128.31965307109067</v>
      </c>
      <c r="J142" s="70">
        <f>Calc!AI142</f>
        <v>2.6186180466120579</v>
      </c>
      <c r="K142" s="70">
        <f>Calc!AJ142</f>
        <v>143.52937262193842</v>
      </c>
      <c r="L142" s="70">
        <f>Calc!AK142</f>
        <v>0.49627343312990574</v>
      </c>
      <c r="M142" s="176">
        <f>Calc!AP142</f>
        <v>0.1134</v>
      </c>
      <c r="N142" s="176">
        <f>Calc!AQ142</f>
        <v>4.1000000000000003E-3</v>
      </c>
      <c r="O142" s="176">
        <f>Calc!AW142</f>
        <v>0.10639999999999999</v>
      </c>
      <c r="P142" s="176">
        <f>Calc!AY142</f>
        <v>4.2146181829090558E-3</v>
      </c>
      <c r="Q142" s="177">
        <f>Calc!BC142</f>
        <v>143.5724762534561</v>
      </c>
      <c r="R142" s="176">
        <f>Calc!BD142</f>
        <v>0.49642540716217454</v>
      </c>
      <c r="S142" s="70">
        <f>Input!E142</f>
        <v>47.5</v>
      </c>
      <c r="T142" s="68"/>
    </row>
    <row r="143" spans="1:20" x14ac:dyDescent="0.2">
      <c r="A143" s="13">
        <f>Input!A143</f>
        <v>10815</v>
      </c>
      <c r="B143" s="13" t="str">
        <f>Input!B143</f>
        <v>Hu1-13</v>
      </c>
      <c r="C143" s="171">
        <f>Calc!O143</f>
        <v>13.702661292007637</v>
      </c>
      <c r="D143" s="171">
        <f>Calc!P143</f>
        <v>1.7715556114038056E-3</v>
      </c>
      <c r="E143" s="171">
        <f>Calc!X143</f>
        <v>0.94227096887435513</v>
      </c>
      <c r="F143" s="171">
        <f>Calc!Y143</f>
        <v>3.584663878290545E-3</v>
      </c>
      <c r="G143" s="171">
        <f>Calc!AN143</f>
        <v>0.99885486007854785</v>
      </c>
      <c r="H143" s="172">
        <f>Calc!AO143</f>
        <v>2.2106919366206563E-3</v>
      </c>
      <c r="I143" s="15">
        <f>Calc!AH143</f>
        <v>44393.08519137415</v>
      </c>
      <c r="J143" s="15">
        <f>Calc!AI143</f>
        <v>195.30037885842245</v>
      </c>
      <c r="K143" s="15">
        <f>Calc!AJ143</f>
        <v>1.4901787623569085</v>
      </c>
      <c r="L143" s="15">
        <f>Calc!AK143</f>
        <v>1.7994547763658555</v>
      </c>
      <c r="M143" s="173">
        <f>Calc!AP143</f>
        <v>624.4982</v>
      </c>
      <c r="N143" s="173" t="e">
        <f>Calc!AQ143</f>
        <v>#VALUE!</v>
      </c>
      <c r="O143" s="173">
        <f>Calc!AW143</f>
        <v>624.49639999999999</v>
      </c>
      <c r="P143" s="173">
        <f>Calc!AX143</f>
        <v>265.6397559056</v>
      </c>
      <c r="Q143" s="178">
        <f>Calc!BC143</f>
        <v>8.6820909982878689</v>
      </c>
      <c r="R143" s="173">
        <f>Calc!BD143</f>
        <v>10.833168321184132</v>
      </c>
      <c r="S143" s="15">
        <f>Input!E143</f>
        <v>0</v>
      </c>
      <c r="T143" s="68"/>
    </row>
    <row r="144" spans="1:20" x14ac:dyDescent="0.2">
      <c r="A144" s="68">
        <f>Input!A144</f>
        <v>10991</v>
      </c>
      <c r="B144" s="68" t="str">
        <f>Input!B144</f>
        <v>CPR-70</v>
      </c>
      <c r="C144" s="175">
        <f>Calc!O144</f>
        <v>2.7556415897971061</v>
      </c>
      <c r="D144" s="175">
        <f>Calc!P144</f>
        <v>1.9722843484421164E-4</v>
      </c>
      <c r="E144" s="175">
        <f>Calc!X144</f>
        <v>6.821289785706447E-2</v>
      </c>
      <c r="F144" s="175">
        <f>Calc!Y144</f>
        <v>2.6324565668253295E-4</v>
      </c>
      <c r="G144" s="175">
        <f>Calc!AN144</f>
        <v>1.3649484708837169E-3</v>
      </c>
      <c r="H144" s="71">
        <f>Calc!AO144</f>
        <v>2.6298516335049452E-5</v>
      </c>
      <c r="I144" s="70">
        <f>Calc!AH144</f>
        <v>168.25174028618486</v>
      </c>
      <c r="J144" s="70">
        <f>Calc!AI144</f>
        <v>3.3060800941593764</v>
      </c>
      <c r="K144" s="70">
        <f>Calc!AJ144</f>
        <v>144.64132918878315</v>
      </c>
      <c r="L144" s="70">
        <f>Calc!AK144</f>
        <v>0.54644726946238675</v>
      </c>
      <c r="M144" s="176">
        <f>Calc!AP144</f>
        <v>0.13009999999999999</v>
      </c>
      <c r="N144" s="176">
        <f>Calc!AQ144</f>
        <v>2.3999999999999998E-3</v>
      </c>
      <c r="O144" s="176">
        <f>Calc!AW144</f>
        <v>0.1239</v>
      </c>
      <c r="P144" s="176">
        <f>Calc!AY144</f>
        <v>3.9831972577394738E-3</v>
      </c>
      <c r="Q144" s="177">
        <f>Calc!BC144</f>
        <v>144.69191234006993</v>
      </c>
      <c r="R144" s="176">
        <f>Calc!BD144</f>
        <v>0.54664078958048201</v>
      </c>
      <c r="S144" s="70">
        <f>Input!E144</f>
        <v>70</v>
      </c>
      <c r="T144" s="68"/>
    </row>
    <row r="145" spans="1:20" x14ac:dyDescent="0.2">
      <c r="A145" s="13">
        <f>Input!A145</f>
        <v>10815</v>
      </c>
      <c r="B145" s="13" t="str">
        <f>Input!B145</f>
        <v>Hu1-13</v>
      </c>
      <c r="C145" s="171">
        <f>Calc!O145</f>
        <v>13.7025076595254</v>
      </c>
      <c r="D145" s="171">
        <f>Calc!P145</f>
        <v>1.6446709652572322E-3</v>
      </c>
      <c r="E145" s="171">
        <f>Calc!X145</f>
        <v>0.94752179891525434</v>
      </c>
      <c r="F145" s="171">
        <f>Calc!Y145</f>
        <v>4.0774619193643218E-3</v>
      </c>
      <c r="G145" s="171">
        <f>Calc!AN145</f>
        <v>0.99793905315784015</v>
      </c>
      <c r="H145" s="172">
        <f>Calc!AO145</f>
        <v>2.3208073571838184E-3</v>
      </c>
      <c r="I145" s="15">
        <f>Calc!AH145</f>
        <v>44106.103379466425</v>
      </c>
      <c r="J145" s="15">
        <f>Calc!AI145</f>
        <v>215.67984978577493</v>
      </c>
      <c r="K145" s="15">
        <f>Calc!AJ145</f>
        <v>-1.1315984656833367</v>
      </c>
      <c r="L145" s="15">
        <f>Calc!AK145</f>
        <v>1.331396634869054</v>
      </c>
      <c r="M145" s="173">
        <f>Calc!AP145</f>
        <v>844.27570000000003</v>
      </c>
      <c r="N145" s="173" t="e">
        <f>Calc!AQ145</f>
        <v>#VALUE!</v>
      </c>
      <c r="O145" s="173">
        <f>Calc!AW145</f>
        <v>844.27380000000005</v>
      </c>
      <c r="P145" s="173">
        <f>Calc!AX145</f>
        <v>333.97282902310002</v>
      </c>
      <c r="Q145" s="178">
        <f>Calc!BC145</f>
        <v>-12.25853617083914</v>
      </c>
      <c r="R145" s="173">
        <f>Calc!BD145</f>
        <v>29.941455865380842</v>
      </c>
      <c r="S145" s="15">
        <f>Input!E145</f>
        <v>0</v>
      </c>
      <c r="T145" s="68"/>
    </row>
    <row r="146" spans="1:20" x14ac:dyDescent="0.2">
      <c r="A146" s="68">
        <f>Input!A146</f>
        <v>10992</v>
      </c>
      <c r="B146" s="68" t="str">
        <f>Input!B146</f>
        <v>CPR-83,5</v>
      </c>
      <c r="C146" s="175">
        <f>Calc!O146</f>
        <v>2.8538628634002139</v>
      </c>
      <c r="D146" s="175">
        <f>Calc!P146</f>
        <v>1.4518913076769007E-4</v>
      </c>
      <c r="E146" s="175">
        <f>Calc!X146</f>
        <v>0.1291496215380217</v>
      </c>
      <c r="F146" s="175">
        <f>Calc!Y146</f>
        <v>3.2238393731576443E-4</v>
      </c>
      <c r="G146" s="175">
        <f>Calc!AN146</f>
        <v>1.1891001656852084E-3</v>
      </c>
      <c r="H146" s="71">
        <f>Calc!AO146</f>
        <v>2.5383284522705564E-5</v>
      </c>
      <c r="I146" s="70">
        <f>Calc!AH146</f>
        <v>80.099907451535501</v>
      </c>
      <c r="J146" s="70">
        <f>Calc!AI146</f>
        <v>1.7215092916514709</v>
      </c>
      <c r="K146" s="70">
        <f>Calc!AJ146</f>
        <v>144.50837840889142</v>
      </c>
      <c r="L146" s="70">
        <f>Calc!AK146</f>
        <v>0.37881347107675151</v>
      </c>
      <c r="M146" s="176">
        <f>Calc!AP146</f>
        <v>0.1134</v>
      </c>
      <c r="N146" s="176">
        <f>Calc!AQ146</f>
        <v>4.1000000000000003E-3</v>
      </c>
      <c r="O146" s="176">
        <f>Calc!AW146</f>
        <v>0.1021</v>
      </c>
      <c r="P146" s="176">
        <f>Calc!AY146</f>
        <v>6.1496201380217249E-3</v>
      </c>
      <c r="Q146" s="177">
        <f>Calc!BC146</f>
        <v>144.55002194322495</v>
      </c>
      <c r="R146" s="176">
        <f>Calc!BD146</f>
        <v>0.37893093907071013</v>
      </c>
      <c r="S146" s="70">
        <f>Input!E146</f>
        <v>83.5</v>
      </c>
      <c r="T146" s="68"/>
    </row>
    <row r="147" spans="1:20" x14ac:dyDescent="0.2">
      <c r="A147" s="13">
        <f>Input!A147</f>
        <v>10815</v>
      </c>
      <c r="B147" s="13" t="str">
        <f>Input!B147</f>
        <v>Hu1-13</v>
      </c>
      <c r="C147" s="171">
        <f>Calc!O147</f>
        <v>13.696783317957758</v>
      </c>
      <c r="D147" s="171">
        <f>Calc!P147</f>
        <v>1.3695420417200205E-3</v>
      </c>
      <c r="E147" s="171">
        <f>Calc!X147</f>
        <v>0.94813054280679443</v>
      </c>
      <c r="F147" s="171">
        <f>Calc!Y147</f>
        <v>3.9398457712277483E-3</v>
      </c>
      <c r="G147" s="171">
        <f>Calc!AN147</f>
        <v>0.9969547387065264</v>
      </c>
      <c r="H147" s="172">
        <f>Calc!AO147</f>
        <v>2.4448360211853787E-3</v>
      </c>
      <c r="I147" s="15">
        <f>Calc!AH147</f>
        <v>44015.913492634776</v>
      </c>
      <c r="J147" s="15">
        <f>Calc!AI147</f>
        <v>212.33290561378067</v>
      </c>
      <c r="K147" s="15">
        <f>Calc!AJ147</f>
        <v>1.1121110639302767</v>
      </c>
      <c r="L147" s="15">
        <f>Calc!AK147</f>
        <v>1.9265557862830003</v>
      </c>
      <c r="M147" s="173">
        <f>Calc!AP147</f>
        <v>586.54280000000006</v>
      </c>
      <c r="N147" s="173" t="e">
        <f>Calc!AQ147</f>
        <v>#VALUE!</v>
      </c>
      <c r="O147" s="173">
        <f>Calc!AW147</f>
        <v>586.54100000000005</v>
      </c>
      <c r="P147" s="173">
        <f>Calc!AX147</f>
        <v>217.96961817779999</v>
      </c>
      <c r="Q147" s="178">
        <f>Calc!BC147</f>
        <v>5.8212438738457104</v>
      </c>
      <c r="R147" s="173">
        <f>Calc!BD147</f>
        <v>10.18151239096732</v>
      </c>
      <c r="S147" s="15">
        <f>Input!E147</f>
        <v>0</v>
      </c>
      <c r="T147" s="68"/>
    </row>
    <row r="148" spans="1:20" x14ac:dyDescent="0.2">
      <c r="A148" s="68">
        <f>Input!A148</f>
        <v>10993</v>
      </c>
      <c r="B148" s="68" t="str">
        <f>Input!B148</f>
        <v>CPR-100</v>
      </c>
      <c r="C148" s="175">
        <f>Calc!O148</f>
        <v>2.7348111067114713</v>
      </c>
      <c r="D148" s="175">
        <f>Calc!P148</f>
        <v>1.7588126587990877E-4</v>
      </c>
      <c r="E148" s="175">
        <f>Calc!X148</f>
        <v>6.6223708788237481E-2</v>
      </c>
      <c r="F148" s="175">
        <f>Calc!Y148</f>
        <v>2.3997534982344863E-4</v>
      </c>
      <c r="G148" s="175">
        <f>Calc!AN148</f>
        <v>1.5192284179411121E-3</v>
      </c>
      <c r="H148" s="71">
        <f>Calc!AO148</f>
        <v>3.4391914407023763E-5</v>
      </c>
      <c r="I148" s="70">
        <f>Calc!AH148</f>
        <v>190.96066899860386</v>
      </c>
      <c r="J148" s="70">
        <f>Calc!AI148</f>
        <v>4.377936841200083</v>
      </c>
      <c r="K148" s="70">
        <f>Calc!AJ148</f>
        <v>145.20357366853642</v>
      </c>
      <c r="L148" s="70">
        <f>Calc!AK148</f>
        <v>0.48745778003430368</v>
      </c>
      <c r="M148" s="176">
        <f>Calc!AP148</f>
        <v>0.14480000000000001</v>
      </c>
      <c r="N148" s="176">
        <f>Calc!AQ148</f>
        <v>5.8999999999999999E-3</v>
      </c>
      <c r="O148" s="176">
        <f>Calc!AW148</f>
        <v>0.13869999999999999</v>
      </c>
      <c r="P148" s="176">
        <f>Calc!AY148</f>
        <v>4.4629688399993326E-3</v>
      </c>
      <c r="Q148" s="177">
        <f>Calc!BC148</f>
        <v>145.26042033570272</v>
      </c>
      <c r="R148" s="176">
        <f>Calc!BD148</f>
        <v>0.48765204988245786</v>
      </c>
      <c r="S148" s="70">
        <f>Input!E148</f>
        <v>100</v>
      </c>
      <c r="T148" s="68"/>
    </row>
    <row r="149" spans="1:20" x14ac:dyDescent="0.2">
      <c r="A149" s="13">
        <f>Input!A149</f>
        <v>10815</v>
      </c>
      <c r="B149" s="13" t="str">
        <f>Input!B149</f>
        <v>Hu1-13</v>
      </c>
      <c r="C149" s="171">
        <f>Calc!O149</f>
        <v>13.698268969166319</v>
      </c>
      <c r="D149" s="171">
        <f>Calc!P149</f>
        <v>1.5657607862098405E-3</v>
      </c>
      <c r="E149" s="171">
        <f>Calc!X149</f>
        <v>0.94208291918434972</v>
      </c>
      <c r="F149" s="171">
        <f>Calc!Y149</f>
        <v>3.8831816446331002E-3</v>
      </c>
      <c r="G149" s="171">
        <f>Calc!AN149</f>
        <v>0.99487945078801632</v>
      </c>
      <c r="H149" s="172">
        <f>Calc!AO149</f>
        <v>2.6021344115883063E-3</v>
      </c>
      <c r="I149" s="15">
        <f>Calc!AH149</f>
        <v>44211.052055311397</v>
      </c>
      <c r="J149" s="15">
        <f>Calc!AI149</f>
        <v>215.76653812214374</v>
      </c>
      <c r="K149" s="15">
        <f>Calc!AJ149</f>
        <v>-1.3441371952244152</v>
      </c>
      <c r="L149" s="15">
        <f>Calc!AK149</f>
        <v>1.5039330476238595</v>
      </c>
      <c r="M149" s="173">
        <f>Calc!AP149</f>
        <v>625.89729999999997</v>
      </c>
      <c r="N149" s="173" t="e">
        <f>Calc!AQ149</f>
        <v>#VALUE!</v>
      </c>
      <c r="O149" s="173">
        <f>Calc!AW149</f>
        <v>625.89549999999997</v>
      </c>
      <c r="P149" s="173">
        <f>Calc!AX149</f>
        <v>251.68987949999999</v>
      </c>
      <c r="Q149" s="178">
        <f>Calc!BC149</f>
        <v>-7.8622039775311965</v>
      </c>
      <c r="R149" s="173">
        <f>Calc!BD149</f>
        <v>9.1549894175402038</v>
      </c>
      <c r="S149" s="15">
        <f>Input!E149</f>
        <v>0</v>
      </c>
      <c r="T149" s="68"/>
    </row>
    <row r="150" spans="1:20" ht="13.5" customHeight="1" x14ac:dyDescent="0.2">
      <c r="H150" s="74"/>
    </row>
    <row r="151" spans="1:20" x14ac:dyDescent="0.2">
      <c r="A151" s="13">
        <f>Input!A151</f>
        <v>10815</v>
      </c>
      <c r="B151" s="13" t="str">
        <f>Input!B151</f>
        <v>Hu1-13</v>
      </c>
      <c r="C151" s="171">
        <f>Calc!O151</f>
        <v>13.702042622877999</v>
      </c>
      <c r="D151" s="171">
        <f>Calc!P151</f>
        <v>1.4804834062294981E-3</v>
      </c>
      <c r="E151" s="171">
        <f>Calc!X151</f>
        <v>0.95142672445304266</v>
      </c>
      <c r="F151" s="171">
        <f>Calc!Y151</f>
        <v>4.0750305640185596E-3</v>
      </c>
      <c r="G151" s="171">
        <f>Calc!AN151</f>
        <v>1.000209172869819</v>
      </c>
      <c r="H151" s="172">
        <f>Calc!AO151</f>
        <v>3.0283019020913627E-3</v>
      </c>
      <c r="I151" s="15">
        <f>Calc!AH151</f>
        <v>44023.506399717771</v>
      </c>
      <c r="J151" s="15">
        <f>Calc!AI151</f>
        <v>230.86046402579879</v>
      </c>
      <c r="K151" s="15">
        <f>Calc!AJ151</f>
        <v>-2.5491345361607909</v>
      </c>
      <c r="L151" s="15">
        <f>Calc!AK151</f>
        <v>1.3595636079516884</v>
      </c>
      <c r="M151" s="173" t="str">
        <f>Calc!AP151</f>
        <v>Out of range</v>
      </c>
      <c r="N151" s="173" t="e">
        <f>Calc!AQ151</f>
        <v>#VALUE!</v>
      </c>
      <c r="O151" s="173" t="str">
        <f>Calc!AW151</f>
        <v>Out of range</v>
      </c>
      <c r="P151" s="173">
        <f>Calc!AX151</f>
        <v>247.87401849619999</v>
      </c>
      <c r="Q151" s="178" t="e">
        <f>Calc!BC151</f>
        <v>#VALUE!</v>
      </c>
      <c r="R151" s="173" t="e">
        <f>Calc!BD151</f>
        <v>#VALUE!</v>
      </c>
      <c r="S151" s="15">
        <f>Input!E151</f>
        <v>0</v>
      </c>
      <c r="T151" s="68"/>
    </row>
    <row r="152" spans="1:20" x14ac:dyDescent="0.2">
      <c r="A152" s="68">
        <f>Input!A152</f>
        <v>11013</v>
      </c>
      <c r="B152" s="68" t="str">
        <f>Input!B152</f>
        <v>JPM_1937</v>
      </c>
      <c r="C152" s="175">
        <f>Calc!O152</f>
        <v>2.4653892634522991</v>
      </c>
      <c r="D152" s="175">
        <f>Calc!P152</f>
        <v>1.6159132890510217E-4</v>
      </c>
      <c r="E152" s="175">
        <f>Calc!X152</f>
        <v>6.7802481585030522E-2</v>
      </c>
      <c r="F152" s="175">
        <f>Calc!Y152</f>
        <v>2.950412241054999E-4</v>
      </c>
      <c r="G152" s="175">
        <f>Calc!AN152</f>
        <v>1.9994057609709465E-3</v>
      </c>
      <c r="H152" s="71">
        <f>Calc!AO152</f>
        <v>5.7785258240614836E-5</v>
      </c>
      <c r="I152" s="70">
        <f>Calc!AH152</f>
        <v>222.21187838994473</v>
      </c>
      <c r="J152" s="70">
        <f>Calc!AI152</f>
        <v>6.4945632420427071</v>
      </c>
      <c r="K152" s="70">
        <f>Calc!AJ152</f>
        <v>146.92282695405834</v>
      </c>
      <c r="L152" s="70">
        <f>Calc!AK152</f>
        <v>0.89173845649827366</v>
      </c>
      <c r="M152" s="176">
        <f>Calc!AP152</f>
        <v>0.1903</v>
      </c>
      <c r="N152" s="176">
        <f>Calc!AQ152</f>
        <v>5.5999999999999999E-3</v>
      </c>
      <c r="O152" s="176">
        <f>Calc!AW152</f>
        <v>0.18340000000000001</v>
      </c>
      <c r="P152" s="176">
        <f>Calc!AY152</f>
        <v>6.4912098400910154E-3</v>
      </c>
      <c r="Q152" s="177">
        <f>Calc!BC152</f>
        <v>146.9988888669414</v>
      </c>
      <c r="R152" s="176">
        <f>Calc!BD152</f>
        <v>0.89220417295886489</v>
      </c>
      <c r="S152" s="70">
        <f>Input!E152</f>
        <v>0</v>
      </c>
      <c r="T152" s="68"/>
    </row>
    <row r="153" spans="1:20" x14ac:dyDescent="0.2">
      <c r="A153" s="13">
        <f>Input!A153</f>
        <v>10815</v>
      </c>
      <c r="B153" s="13" t="str">
        <f>Input!B153</f>
        <v>Hu1-13</v>
      </c>
      <c r="C153" s="171">
        <f>Calc!O153</f>
        <v>13.700777783907942</v>
      </c>
      <c r="D153" s="171">
        <f>Calc!P153</f>
        <v>1.4470467915490481E-3</v>
      </c>
      <c r="E153" s="171">
        <f>Calc!X153</f>
        <v>0.94223322292862988</v>
      </c>
      <c r="F153" s="171">
        <f>Calc!Y153</f>
        <v>3.7212982212821168E-3</v>
      </c>
      <c r="G153" s="171">
        <f>Calc!AN153</f>
        <v>0.99998697677712445</v>
      </c>
      <c r="H153" s="172">
        <f>Calc!AO153</f>
        <v>3.0897388221045314E-3</v>
      </c>
      <c r="I153" s="15">
        <f>Calc!AH153</f>
        <v>44439.07212864649</v>
      </c>
      <c r="J153" s="15">
        <f>Calc!AI153</f>
        <v>222.78869544709585</v>
      </c>
      <c r="K153" s="15">
        <f>Calc!AJ153</f>
        <v>4.235513358308296E-2</v>
      </c>
      <c r="L153" s="15">
        <f>Calc!AK153</f>
        <v>1.5710650519856295</v>
      </c>
      <c r="M153" s="173" t="str">
        <f>Calc!AP153</f>
        <v>Out of range</v>
      </c>
      <c r="N153" s="173" t="e">
        <f>Calc!AQ153</f>
        <v>#VALUE!</v>
      </c>
      <c r="O153" s="173" t="str">
        <f>Calc!AW153</f>
        <v>Out of range</v>
      </c>
      <c r="P153" s="173">
        <f>Calc!AX153</f>
        <v>343.16253544099999</v>
      </c>
      <c r="Q153" s="178" t="e">
        <f>Calc!BC153</f>
        <v>#VALUE!</v>
      </c>
      <c r="R153" s="173" t="e">
        <f>Calc!BD153</f>
        <v>#VALUE!</v>
      </c>
      <c r="S153" s="15">
        <f>Input!E153</f>
        <v>0</v>
      </c>
      <c r="T153" s="68"/>
    </row>
    <row r="154" spans="1:20" x14ac:dyDescent="0.2">
      <c r="A154" s="68">
        <f>Input!A154</f>
        <v>11014</v>
      </c>
      <c r="B154" s="68" t="str">
        <f>Input!B154</f>
        <v>JPM_1968</v>
      </c>
      <c r="C154" s="175">
        <f>Calc!O154</f>
        <v>2.6486324255941525</v>
      </c>
      <c r="D154" s="175">
        <f>Calc!P154</f>
        <v>1.6410901703534038E-4</v>
      </c>
      <c r="E154" s="175">
        <f>Calc!X154</f>
        <v>3.6527809436782244E-2</v>
      </c>
      <c r="F154" s="175">
        <f>Calc!Y154</f>
        <v>1.874216270625165E-4</v>
      </c>
      <c r="G154" s="175">
        <f>Calc!AN154</f>
        <v>1.7271622473454269E-3</v>
      </c>
      <c r="H154" s="71">
        <f>Calc!AO154</f>
        <v>3.0454201365451772E-5</v>
      </c>
      <c r="I154" s="70">
        <f>Calc!AH154</f>
        <v>381.03214101733585</v>
      </c>
      <c r="J154" s="70">
        <f>Calc!AI154</f>
        <v>6.9971853113010454</v>
      </c>
      <c r="K154" s="70">
        <f>Calc!AJ154</f>
        <v>144.34309931901711</v>
      </c>
      <c r="L154" s="70">
        <f>Calc!AK154</f>
        <v>0.5994913031296597</v>
      </c>
      <c r="M154" s="176">
        <f>Calc!AP154</f>
        <v>0.16470000000000001</v>
      </c>
      <c r="N154" s="176">
        <f>Calc!AQ154</f>
        <v>5.7999999999999996E-3</v>
      </c>
      <c r="O154" s="176">
        <f>Calc!AW154</f>
        <v>0.1613</v>
      </c>
      <c r="P154" s="176">
        <f>Calc!AY154</f>
        <v>3.3828575857772396E-3</v>
      </c>
      <c r="Q154" s="177">
        <f>Calc!BC154</f>
        <v>144.40881900587769</v>
      </c>
      <c r="R154" s="176">
        <f>Calc!BD154</f>
        <v>0.59976583709835896</v>
      </c>
      <c r="S154" s="70">
        <f>Input!E154</f>
        <v>0</v>
      </c>
      <c r="T154" s="68"/>
    </row>
    <row r="155" spans="1:20" x14ac:dyDescent="0.2">
      <c r="A155" s="13">
        <f>Input!A155</f>
        <v>10815</v>
      </c>
      <c r="B155" s="13" t="str">
        <f>Input!B155</f>
        <v>Hu1-13</v>
      </c>
      <c r="C155" s="171">
        <f>Calc!O155</f>
        <v>13.700494635312923</v>
      </c>
      <c r="D155" s="171">
        <f>Calc!P155</f>
        <v>2.1602046645750016E-3</v>
      </c>
      <c r="E155" s="171">
        <f>Calc!X155</f>
        <v>0.95242064032238871</v>
      </c>
      <c r="F155" s="171">
        <f>Calc!Y155</f>
        <v>7.2173905897415383E-3</v>
      </c>
      <c r="G155" s="171">
        <f>Calc!AN155</f>
        <v>0.99103740265949236</v>
      </c>
      <c r="H155" s="172">
        <f>Calc!AO155</f>
        <v>4.2461405741960291E-3</v>
      </c>
      <c r="I155" s="15">
        <f>Calc!AH155</f>
        <v>43569.374298787108</v>
      </c>
      <c r="J155" s="15">
        <f>Calc!AI155</f>
        <v>379.22296971291735</v>
      </c>
      <c r="K155" s="15">
        <f>Calc!AJ155</f>
        <v>0.26683554238715601</v>
      </c>
      <c r="L155" s="15">
        <f>Calc!AK155</f>
        <v>1.7003559283578447</v>
      </c>
      <c r="M155" s="173">
        <f>Calc!AP155</f>
        <v>509.70179999999999</v>
      </c>
      <c r="N155" s="173" t="e">
        <f>Calc!AQ155</f>
        <v>#VALUE!</v>
      </c>
      <c r="O155" s="173">
        <f>Calc!AW155</f>
        <v>509.69990000000001</v>
      </c>
      <c r="P155" s="173">
        <f>Calc!AX155</f>
        <v>102.18136815450001</v>
      </c>
      <c r="Q155" s="178">
        <f>Calc!BC155</f>
        <v>1.1244352879065727</v>
      </c>
      <c r="R155" s="173">
        <f>Calc!BD155</f>
        <v>7.1674742333876864</v>
      </c>
      <c r="S155" s="15">
        <f>Input!E155</f>
        <v>0</v>
      </c>
      <c r="T155" s="68"/>
    </row>
    <row r="156" spans="1:20" x14ac:dyDescent="0.2">
      <c r="A156" s="68">
        <f>Input!A156</f>
        <v>11015</v>
      </c>
      <c r="B156" s="68" t="str">
        <f>Input!B156</f>
        <v>JPM_1972</v>
      </c>
      <c r="C156" s="175">
        <f>Calc!O156</f>
        <v>2.5436377797277716</v>
      </c>
      <c r="D156" s="175">
        <f>Calc!P156</f>
        <v>1.5568694807207363E-4</v>
      </c>
      <c r="E156" s="175">
        <f>Calc!X156</f>
        <v>8.089627510994285E-2</v>
      </c>
      <c r="F156" s="175">
        <f>Calc!Y156</f>
        <v>2.5142353170042107E-4</v>
      </c>
      <c r="G156" s="175">
        <f>Calc!AN156</f>
        <v>1.518660021561863E-3</v>
      </c>
      <c r="H156" s="71">
        <f>Calc!AO156</f>
        <v>3.4941977576954685E-5</v>
      </c>
      <c r="I156" s="70">
        <f>Calc!AH156</f>
        <v>145.15266623949105</v>
      </c>
      <c r="J156" s="70">
        <f>Calc!AI156</f>
        <v>3.3700543438984822</v>
      </c>
      <c r="K156" s="70">
        <f>Calc!AJ156</f>
        <v>145.17371786104195</v>
      </c>
      <c r="L156" s="70">
        <f>Calc!AK156</f>
        <v>0.62137644574736772</v>
      </c>
      <c r="M156" s="176">
        <f>Calc!AP156</f>
        <v>0.1447</v>
      </c>
      <c r="N156" s="176">
        <f>Calc!AQ156</f>
        <v>5.7999999999999996E-3</v>
      </c>
      <c r="O156" s="176">
        <f>Calc!AW156</f>
        <v>0.1368</v>
      </c>
      <c r="P156" s="176">
        <f>Calc!AY156</f>
        <v>5.1855974959178867E-3</v>
      </c>
      <c r="Q156" s="177">
        <f>Calc!BC156</f>
        <v>145.22977412812216</v>
      </c>
      <c r="R156" s="176">
        <f>Calc!BD156</f>
        <v>0.6216200124736837</v>
      </c>
      <c r="S156" s="70">
        <f>Input!E156</f>
        <v>0</v>
      </c>
      <c r="T156" s="68"/>
    </row>
    <row r="157" spans="1:20" x14ac:dyDescent="0.2">
      <c r="A157" s="13">
        <f>Input!A157</f>
        <v>10815</v>
      </c>
      <c r="B157" s="13" t="str">
        <f>Input!B157</f>
        <v>Hu1-13</v>
      </c>
      <c r="C157" s="171">
        <f>Calc!O157</f>
        <v>13.700945082660482</v>
      </c>
      <c r="D157" s="171">
        <f>Calc!P157</f>
        <v>1.6526722775869035E-3</v>
      </c>
      <c r="E157" s="171">
        <f>Calc!X157</f>
        <v>0.95092924831197034</v>
      </c>
      <c r="F157" s="171">
        <f>Calc!Y157</f>
        <v>5.226675181910577E-3</v>
      </c>
      <c r="G157" s="171">
        <f>Calc!AN157</f>
        <v>0.99818747387309747</v>
      </c>
      <c r="H157" s="172">
        <f>Calc!AO157</f>
        <v>4.1089606421995583E-3</v>
      </c>
      <c r="I157" s="15">
        <f>Calc!AH157</f>
        <v>43953.98594676044</v>
      </c>
      <c r="J157" s="15">
        <f>Calc!AI157</f>
        <v>301.78388126024294</v>
      </c>
      <c r="K157" s="15">
        <f>Calc!AJ157</f>
        <v>0.29031505362153709</v>
      </c>
      <c r="L157" s="15">
        <f>Calc!AK157</f>
        <v>2.1747271381193038</v>
      </c>
      <c r="M157" s="173">
        <f>Calc!AP157</f>
        <v>666.0136</v>
      </c>
      <c r="N157" s="173" t="e">
        <f>Calc!AQ157</f>
        <v>#VALUE!</v>
      </c>
      <c r="O157" s="173">
        <f>Calc!AW157</f>
        <v>666.01170000000002</v>
      </c>
      <c r="P157" s="173">
        <f>Calc!AX157</f>
        <v>308.6607991294</v>
      </c>
      <c r="Q157" s="178">
        <f>Calc!BC157</f>
        <v>1.9016775624041924</v>
      </c>
      <c r="R157" s="173">
        <f>Calc!BD157</f>
        <v>14.308299759123539</v>
      </c>
      <c r="S157" s="15">
        <f>Input!E157</f>
        <v>0</v>
      </c>
      <c r="T157" s="68"/>
    </row>
    <row r="158" spans="1:20" x14ac:dyDescent="0.2">
      <c r="A158" s="68">
        <f>Input!A158</f>
        <v>11016</v>
      </c>
      <c r="B158" s="68" t="str">
        <f>Input!B158</f>
        <v>JPM_1999</v>
      </c>
      <c r="C158" s="175">
        <f>Calc!O158</f>
        <v>2.7848458602990744</v>
      </c>
      <c r="D158" s="175">
        <f>Calc!P158</f>
        <v>2.1691077947262019E-4</v>
      </c>
      <c r="E158" s="175">
        <f>Calc!X158</f>
        <v>2.6146100480846896E-2</v>
      </c>
      <c r="F158" s="175">
        <f>Calc!Y158</f>
        <v>3.7759133063987863E-4</v>
      </c>
      <c r="G158" s="175">
        <f>Calc!AN158</f>
        <v>9.454557166362125E-4</v>
      </c>
      <c r="H158" s="71">
        <f>Calc!AO158</f>
        <v>4.8932890824385E-5</v>
      </c>
      <c r="I158" s="70">
        <f>Calc!AH158</f>
        <v>307.56831894026789</v>
      </c>
      <c r="J158" s="70">
        <f>Calc!AI158</f>
        <v>16.526537454151494</v>
      </c>
      <c r="K158" s="70">
        <f>Calc!AJ158</f>
        <v>145.33795610150912</v>
      </c>
      <c r="L158" s="70">
        <f>Calc!AK158</f>
        <v>0.9195590474594284</v>
      </c>
      <c r="M158" s="176">
        <f>Calc!AP158</f>
        <v>9.01E-2</v>
      </c>
      <c r="N158" s="176">
        <f>Calc!AQ158</f>
        <v>4.5999999999999999E-3</v>
      </c>
      <c r="O158" s="176">
        <f>Calc!AW158</f>
        <v>8.77E-2</v>
      </c>
      <c r="P158" s="176">
        <f>Calc!AY158</f>
        <v>4.8143870559980975E-3</v>
      </c>
      <c r="Q158" s="177">
        <f>Calc!BC158</f>
        <v>145.37393092143458</v>
      </c>
      <c r="R158" s="176">
        <f>Calc!BD158</f>
        <v>0.91978878223522986</v>
      </c>
      <c r="S158" s="70">
        <f>Input!E158</f>
        <v>0</v>
      </c>
      <c r="T158" s="68"/>
    </row>
    <row r="159" spans="1:20" x14ac:dyDescent="0.2">
      <c r="A159" s="13">
        <f>Input!A159</f>
        <v>10815</v>
      </c>
      <c r="B159" s="13" t="str">
        <f>Input!B159</f>
        <v>Hu1-13</v>
      </c>
      <c r="C159" s="171">
        <f>Calc!O159</f>
        <v>13.69995559608291</v>
      </c>
      <c r="D159" s="171">
        <f>Calc!P159</f>
        <v>1.4509363504897463E-3</v>
      </c>
      <c r="E159" s="171">
        <f>Calc!X159</f>
        <v>0.95071097230880641</v>
      </c>
      <c r="F159" s="171">
        <f>Calc!Y159</f>
        <v>3.304926414764358E-3</v>
      </c>
      <c r="G159" s="171">
        <f>Calc!AN159</f>
        <v>1.0005342689345222</v>
      </c>
      <c r="H159" s="172">
        <f>Calc!AO159</f>
        <v>2.5445888489169016E-3</v>
      </c>
      <c r="I159" s="15">
        <f>Calc!AH159</f>
        <v>44064.25690921121</v>
      </c>
      <c r="J159" s="15">
        <f>Calc!AI159</f>
        <v>189.73868453680515</v>
      </c>
      <c r="K159" s="15">
        <f>Calc!AJ159</f>
        <v>0.93931695582649688</v>
      </c>
      <c r="L159" s="15">
        <f>Calc!AK159</f>
        <v>1.3201087604698216</v>
      </c>
      <c r="M159" s="173">
        <f>Calc!AP159</f>
        <v>775.86030000000005</v>
      </c>
      <c r="N159" s="173" t="e">
        <f>Calc!AQ159</f>
        <v>#VALUE!</v>
      </c>
      <c r="O159" s="173">
        <f>Calc!AW159</f>
        <v>775.85850000000005</v>
      </c>
      <c r="P159" s="173">
        <f>Calc!AX159</f>
        <v>346.52042571089999</v>
      </c>
      <c r="Q159" s="178">
        <f>Calc!BC159</f>
        <v>8.3889631225168255</v>
      </c>
      <c r="R159" s="173">
        <f>Calc!BD159</f>
        <v>15.400574056868157</v>
      </c>
      <c r="S159" s="15">
        <f>Input!E159</f>
        <v>0</v>
      </c>
      <c r="T159" s="68"/>
    </row>
    <row r="160" spans="1:20" x14ac:dyDescent="0.2">
      <c r="A160" s="68">
        <f>Input!A160</f>
        <v>11017</v>
      </c>
      <c r="B160" s="68" t="str">
        <f>Input!B160</f>
        <v>JPM_2012</v>
      </c>
      <c r="C160" s="175">
        <f>Calc!O160</f>
        <v>2.5000985121700947</v>
      </c>
      <c r="D160" s="175">
        <f>Calc!P160</f>
        <v>2.5811482770542844E-4</v>
      </c>
      <c r="E160" s="175">
        <f>Calc!X160</f>
        <v>2.8358063411411508E-2</v>
      </c>
      <c r="F160" s="175">
        <f>Calc!Y160</f>
        <v>3.8281744840958461E-4</v>
      </c>
      <c r="G160" s="175">
        <f>Calc!AN160</f>
        <v>1.0852614698497489E-3</v>
      </c>
      <c r="H160" s="71">
        <f>Calc!AO160</f>
        <v>4.9586802561984653E-5</v>
      </c>
      <c r="I160" s="70">
        <f>Calc!AH160</f>
        <v>292.5706349031164</v>
      </c>
      <c r="J160" s="70">
        <f>Calc!AI160</f>
        <v>13.939083748244082</v>
      </c>
      <c r="K160" s="70">
        <f>Calc!AJ160</f>
        <v>144.79289351891111</v>
      </c>
      <c r="L160" s="70">
        <f>Calc!AK160</f>
        <v>0.77939715119916553</v>
      </c>
      <c r="M160" s="176">
        <f>Calc!AP160</f>
        <v>0.10340000000000001</v>
      </c>
      <c r="N160" s="176">
        <f>Calc!AQ160</f>
        <v>6.3E-3</v>
      </c>
      <c r="O160" s="176">
        <f>Calc!AW160</f>
        <v>0.10059999999999999</v>
      </c>
      <c r="P160" s="176">
        <f>Calc!AY160</f>
        <v>4.9420851211850834E-3</v>
      </c>
      <c r="Q160" s="177">
        <f>Calc!BC160</f>
        <v>144.83400594637661</v>
      </c>
      <c r="R160" s="176">
        <f>Calc!BD160</f>
        <v>0.77962106973129819</v>
      </c>
      <c r="S160" s="70">
        <f>Input!E160</f>
        <v>0</v>
      </c>
      <c r="T160" s="68"/>
    </row>
    <row r="161" spans="1:20" x14ac:dyDescent="0.2">
      <c r="A161" s="13">
        <f>Input!A161</f>
        <v>10815</v>
      </c>
      <c r="B161" s="13" t="str">
        <f>Input!B161</f>
        <v>Hu1-13</v>
      </c>
      <c r="C161" s="171">
        <f>Calc!O161</f>
        <v>13.69995559608291</v>
      </c>
      <c r="D161" s="171">
        <f>Calc!P161</f>
        <v>1.4509363504897463E-3</v>
      </c>
      <c r="E161" s="171">
        <f>Calc!X161</f>
        <v>0.95071097230880641</v>
      </c>
      <c r="F161" s="171">
        <f>Calc!Y161</f>
        <v>3.304926414764358E-3</v>
      </c>
      <c r="G161" s="171">
        <f>Calc!AN161</f>
        <v>1.0005342689345222</v>
      </c>
      <c r="H161" s="172">
        <f>Calc!AO161</f>
        <v>2.5445888489169016E-3</v>
      </c>
      <c r="I161" s="15">
        <f>Calc!AH161</f>
        <v>44064.25690921121</v>
      </c>
      <c r="J161" s="15">
        <f>Calc!AI161</f>
        <v>189.73868453680515</v>
      </c>
      <c r="K161" s="15">
        <f>Calc!AJ161</f>
        <v>0.93931695582649688</v>
      </c>
      <c r="L161" s="15">
        <f>Calc!AK161</f>
        <v>1.3201087604698216</v>
      </c>
      <c r="M161" s="173">
        <f>Calc!AP161</f>
        <v>775.86030000000005</v>
      </c>
      <c r="N161" s="173" t="e">
        <f>Calc!AQ161</f>
        <v>#VALUE!</v>
      </c>
      <c r="O161" s="173">
        <f>Calc!AW161</f>
        <v>775.85850000000005</v>
      </c>
      <c r="P161" s="173">
        <f>Calc!AX161</f>
        <v>339.92035268220002</v>
      </c>
      <c r="Q161" s="178">
        <f>Calc!BC161</f>
        <v>8.3889631225168255</v>
      </c>
      <c r="R161" s="173">
        <f>Calc!BD161</f>
        <v>15.400574056868157</v>
      </c>
      <c r="S161" s="15">
        <f>Input!E161</f>
        <v>0</v>
      </c>
      <c r="T161" s="68"/>
    </row>
    <row r="162" spans="1:20" ht="13.5" customHeight="1" x14ac:dyDescent="0.2">
      <c r="H162" s="74"/>
    </row>
    <row r="163" spans="1:20" x14ac:dyDescent="0.2">
      <c r="A163" s="13">
        <f>Input!A163</f>
        <v>10815</v>
      </c>
      <c r="B163" s="13" t="str">
        <f>Input!B163</f>
        <v>Hu1-13</v>
      </c>
      <c r="C163" s="171">
        <f>Calc!O163</f>
        <v>13.699826683113848</v>
      </c>
      <c r="D163" s="171">
        <f>Calc!P163</f>
        <v>1.394939474556717E-3</v>
      </c>
      <c r="E163" s="171">
        <f>Calc!X163</f>
        <v>0.9685754043371867</v>
      </c>
      <c r="F163" s="171">
        <f>Calc!Y163</f>
        <v>5.2423644919125387E-3</v>
      </c>
      <c r="G163" s="171">
        <f>Calc!AN163</f>
        <v>1.0003529866606093</v>
      </c>
      <c r="H163" s="172">
        <f>Calc!AO163</f>
        <v>3.1747340706700803E-3</v>
      </c>
      <c r="I163" s="15">
        <f>Calc!AH163</f>
        <v>43243.291052628731</v>
      </c>
      <c r="J163" s="15">
        <f>Calc!AI163</f>
        <v>271.28421378697379</v>
      </c>
      <c r="K163" s="15">
        <f>Calc!AJ163</f>
        <v>0.12972659210008786</v>
      </c>
      <c r="L163" s="15">
        <f>Calc!AK163</f>
        <v>1.729999288565244</v>
      </c>
      <c r="M163" s="173" t="str">
        <f>Calc!AP163</f>
        <v>Out of range</v>
      </c>
      <c r="N163" s="173" t="e">
        <f>Calc!AQ163</f>
        <v>#VALUE!</v>
      </c>
      <c r="O163" s="173" t="str">
        <f>Calc!AW163</f>
        <v>Out of range</v>
      </c>
      <c r="P163" s="173">
        <f>Calc!AX163</f>
        <v>337.68914648409998</v>
      </c>
      <c r="Q163" s="178" t="e">
        <f>Calc!BC163</f>
        <v>#VALUE!</v>
      </c>
      <c r="R163" s="173" t="e">
        <f>Calc!BD163</f>
        <v>#VALUE!</v>
      </c>
      <c r="S163" s="15">
        <f>Input!E163</f>
        <v>0</v>
      </c>
      <c r="T163" s="68"/>
    </row>
    <row r="164" spans="1:20" x14ac:dyDescent="0.2">
      <c r="A164" s="68">
        <f>Input!A164</f>
        <v>11005</v>
      </c>
      <c r="B164" s="68" t="str">
        <f>Input!B164</f>
        <v>JPM_1829</v>
      </c>
      <c r="C164" s="175">
        <f>Calc!O164</f>
        <v>2.4817343841591555</v>
      </c>
      <c r="D164" s="175">
        <f>Calc!P164</f>
        <v>1.2990609094276802E-4</v>
      </c>
      <c r="E164" s="175">
        <f>Calc!X164</f>
        <v>0.10259894870560873</v>
      </c>
      <c r="F164" s="175">
        <f>Calc!Y164</f>
        <v>3.4825515663321096E-4</v>
      </c>
      <c r="G164" s="175">
        <f>Calc!AN164</f>
        <v>3.1227054725756964E-3</v>
      </c>
      <c r="H164" s="71">
        <f>Calc!AO164</f>
        <v>5.3730074879851047E-5</v>
      </c>
      <c r="I164" s="70">
        <f>Calc!AH164</f>
        <v>230.84977875457957</v>
      </c>
      <c r="J164" s="70">
        <f>Calc!AI164</f>
        <v>4.0485948807317396</v>
      </c>
      <c r="K164" s="70">
        <f>Calc!AJ164</f>
        <v>144.46916777828721</v>
      </c>
      <c r="L164" s="70">
        <f>Calc!AK164</f>
        <v>0.61752406802637039</v>
      </c>
      <c r="M164" s="176">
        <f>Calc!AP164</f>
        <v>0.2979</v>
      </c>
      <c r="N164" s="176">
        <f>Calc!AQ164</f>
        <v>5.7000000000000002E-3</v>
      </c>
      <c r="O164" s="176">
        <f>Calc!AW164</f>
        <v>0.28760000000000002</v>
      </c>
      <c r="P164" s="176">
        <f>Calc!AY164</f>
        <v>7.2868423886948523E-3</v>
      </c>
      <c r="Q164" s="177">
        <f>Calc!BC164</f>
        <v>144.58647008426496</v>
      </c>
      <c r="R164" s="176">
        <f>Calc!BD164</f>
        <v>0.61803262111196722</v>
      </c>
      <c r="S164" s="70">
        <f>Input!E164</f>
        <v>0</v>
      </c>
      <c r="T164" s="68"/>
    </row>
    <row r="165" spans="1:20" x14ac:dyDescent="0.2">
      <c r="A165" s="13">
        <f>Input!A165</f>
        <v>10815</v>
      </c>
      <c r="B165" s="13" t="str">
        <f>Input!B165</f>
        <v>Hu1-13</v>
      </c>
      <c r="C165" s="171">
        <f>Calc!O165</f>
        <v>13.700906967860169</v>
      </c>
      <c r="D165" s="171">
        <f>Calc!P165</f>
        <v>1.1480111919298357E-3</v>
      </c>
      <c r="E165" s="171">
        <f>Calc!X165</f>
        <v>0.95969738876940491</v>
      </c>
      <c r="F165" s="171">
        <f>Calc!Y165</f>
        <v>3.946088435090706E-3</v>
      </c>
      <c r="G165" s="171">
        <f>Calc!AN165</f>
        <v>0.99965724583213988</v>
      </c>
      <c r="H165" s="172">
        <f>Calc!AO165</f>
        <v>2.6239051812592044E-3</v>
      </c>
      <c r="I165" s="15">
        <f>Calc!AH165</f>
        <v>43616.413527865254</v>
      </c>
      <c r="J165" s="15">
        <f>Calc!AI165</f>
        <v>212.73687915762244</v>
      </c>
      <c r="K165" s="15">
        <f>Calc!AJ165</f>
        <v>-0.86835452689648651</v>
      </c>
      <c r="L165" s="15">
        <f>Calc!AK165</f>
        <v>1.0782320347825736</v>
      </c>
      <c r="M165" s="173" t="str">
        <f>Calc!AP165</f>
        <v>Out of range</v>
      </c>
      <c r="N165" s="173" t="e">
        <f>Calc!AQ165</f>
        <v>#VALUE!</v>
      </c>
      <c r="O165" s="173" t="str">
        <f>Calc!AW165</f>
        <v>Out of range</v>
      </c>
      <c r="P165" s="173">
        <f>Calc!AX165</f>
        <v>343.90980593249998</v>
      </c>
      <c r="Q165" s="178" t="e">
        <f>Calc!BC165</f>
        <v>#VALUE!</v>
      </c>
      <c r="R165" s="173" t="e">
        <f>Calc!BD165</f>
        <v>#VALUE!</v>
      </c>
      <c r="S165" s="15">
        <f>Input!E165</f>
        <v>0</v>
      </c>
      <c r="T165" s="68"/>
    </row>
    <row r="166" spans="1:20" x14ac:dyDescent="0.2">
      <c r="A166" s="68">
        <f>Input!A166</f>
        <v>11006</v>
      </c>
      <c r="B166" s="68" t="str">
        <f>Input!B166</f>
        <v>JPM_1850</v>
      </c>
      <c r="C166" s="175">
        <f>Calc!O166</f>
        <v>2.5344064427854303</v>
      </c>
      <c r="D166" s="175">
        <f>Calc!P166</f>
        <v>1.2446307814618302E-4</v>
      </c>
      <c r="E166" s="175">
        <f>Calc!X166</f>
        <v>6.8144448016173184E-2</v>
      </c>
      <c r="F166" s="175">
        <f>Calc!Y166</f>
        <v>1.736897522321815E-4</v>
      </c>
      <c r="G166" s="175">
        <f>Calc!AN166</f>
        <v>2.5568998122507511E-3</v>
      </c>
      <c r="H166" s="71">
        <f>Calc!AO166</f>
        <v>2.6961546253582591E-5</v>
      </c>
      <c r="I166" s="70">
        <f>Calc!AH166</f>
        <v>290.6641886925766</v>
      </c>
      <c r="J166" s="70">
        <f>Calc!AI166</f>
        <v>3.1531812783637578</v>
      </c>
      <c r="K166" s="70">
        <f>Calc!AJ166</f>
        <v>144.97591721899772</v>
      </c>
      <c r="L166" s="70">
        <f>Calc!AK166</f>
        <v>0.5627923899057603</v>
      </c>
      <c r="M166" s="176">
        <f>Calc!AP166</f>
        <v>0.24379999999999999</v>
      </c>
      <c r="N166" s="176">
        <f>Calc!AQ166</f>
        <v>4.4999999999999997E-3</v>
      </c>
      <c r="O166" s="176">
        <f>Calc!AW166</f>
        <v>0.23710000000000001</v>
      </c>
      <c r="P166" s="176">
        <f>Calc!AY166</f>
        <v>4.2329398151409381E-3</v>
      </c>
      <c r="Q166" s="177">
        <f>Calc!BC166</f>
        <v>145.07295457746162</v>
      </c>
      <c r="R166" s="176">
        <f>Calc!BD166</f>
        <v>0.56317175253911456</v>
      </c>
      <c r="S166" s="70">
        <f>Input!E166</f>
        <v>0</v>
      </c>
      <c r="T166" s="68"/>
    </row>
    <row r="167" spans="1:20" x14ac:dyDescent="0.2">
      <c r="A167" s="13">
        <f>Input!A167</f>
        <v>10815</v>
      </c>
      <c r="B167" s="13" t="str">
        <f>Input!B167</f>
        <v>Hu1-13</v>
      </c>
      <c r="C167" s="171">
        <f>Calc!O167</f>
        <v>13.698274039021472</v>
      </c>
      <c r="D167" s="171">
        <f>Calc!P167</f>
        <v>1.7131263360036233E-3</v>
      </c>
      <c r="E167" s="171">
        <f>Calc!X167</f>
        <v>0.95291655274285314</v>
      </c>
      <c r="F167" s="171">
        <f>Calc!Y167</f>
        <v>4.7109100405681344E-3</v>
      </c>
      <c r="G167" s="171">
        <f>Calc!AN167</f>
        <v>1.0005647418115018</v>
      </c>
      <c r="H167" s="172">
        <f>Calc!AO167</f>
        <v>2.8985566402680131E-3</v>
      </c>
      <c r="I167" s="15">
        <f>Calc!AH167</f>
        <v>43958.210409639934</v>
      </c>
      <c r="J167" s="15">
        <f>Calc!AI167</f>
        <v>251.81737901900664</v>
      </c>
      <c r="K167" s="15">
        <f>Calc!AJ167</f>
        <v>0.61100091652144251</v>
      </c>
      <c r="L167" s="15">
        <f>Calc!AK167</f>
        <v>1.4752149140808226</v>
      </c>
      <c r="M167" s="173">
        <f>Calc!AP167</f>
        <v>879.3931</v>
      </c>
      <c r="N167" s="173" t="e">
        <f>Calc!AQ167</f>
        <v>#VALUE!</v>
      </c>
      <c r="O167" s="173">
        <f>Calc!AW167</f>
        <v>879.3913</v>
      </c>
      <c r="P167" s="173">
        <f>Calc!AX167</f>
        <v>351.88613477839999</v>
      </c>
      <c r="Q167" s="178">
        <f>Calc!BC167</f>
        <v>7.3085010082384656</v>
      </c>
      <c r="R167" s="173">
        <f>Calc!BD167</f>
        <v>30.817624765831614</v>
      </c>
      <c r="S167" s="15">
        <f>Input!E167</f>
        <v>0</v>
      </c>
      <c r="T167" s="68"/>
    </row>
    <row r="168" spans="1:20" x14ac:dyDescent="0.2">
      <c r="A168" s="68">
        <f>Input!A168</f>
        <v>11007</v>
      </c>
      <c r="B168" s="68" t="str">
        <f>Input!B168</f>
        <v>JPM_1870</v>
      </c>
      <c r="C168" s="175">
        <f>Calc!O168</f>
        <v>2.6210400931727249</v>
      </c>
      <c r="D168" s="175">
        <f>Calc!P168</f>
        <v>1.716807190187727E-4</v>
      </c>
      <c r="E168" s="175">
        <f>Calc!X168</f>
        <v>6.2829963331729674E-3</v>
      </c>
      <c r="F168" s="175">
        <f>Calc!Y168</f>
        <v>7.5528652682459497E-5</v>
      </c>
      <c r="G168" s="175">
        <f>Calc!AN168</f>
        <v>2.4679493632001554E-3</v>
      </c>
      <c r="H168" s="71">
        <f>Calc!AO168</f>
        <v>5.616217778603147E-5</v>
      </c>
      <c r="I168" s="70">
        <f>Calc!AH168</f>
        <v>3143.9269186254505</v>
      </c>
      <c r="J168" s="70">
        <f>Calc!AI168</f>
        <v>80.913626766891127</v>
      </c>
      <c r="K168" s="70">
        <f>Calc!AJ168</f>
        <v>144.71452733319222</v>
      </c>
      <c r="L168" s="70">
        <f>Calc!AK168</f>
        <v>0.58342654537190486</v>
      </c>
      <c r="M168" s="176">
        <f>Calc!AP168</f>
        <v>0.23530000000000001</v>
      </c>
      <c r="N168" s="176">
        <f>Calc!AQ168</f>
        <v>7.1999999999999998E-3</v>
      </c>
      <c r="O168" s="176">
        <f>Calc!AW168</f>
        <v>0.23469999999999999</v>
      </c>
      <c r="P168" s="176">
        <f>Calc!AY168</f>
        <v>5.3782570042935334E-3</v>
      </c>
      <c r="Q168" s="177">
        <f>Calc!BC168</f>
        <v>144.81040893832017</v>
      </c>
      <c r="R168" s="176">
        <f>Calc!BD168</f>
        <v>0.58381723587221845</v>
      </c>
      <c r="S168" s="70">
        <f>Input!E168</f>
        <v>0</v>
      </c>
      <c r="T168" s="68"/>
    </row>
    <row r="169" spans="1:20" x14ac:dyDescent="0.2">
      <c r="A169" s="13">
        <f>Input!A169</f>
        <v>10815</v>
      </c>
      <c r="B169" s="13" t="str">
        <f>Input!B169</f>
        <v>Hu1-13</v>
      </c>
      <c r="C169" s="171">
        <f>Calc!O169</f>
        <v>13.701245243201985</v>
      </c>
      <c r="D169" s="171">
        <f>Calc!P169</f>
        <v>1.5312113201145507E-3</v>
      </c>
      <c r="E169" s="171">
        <f>Calc!X169</f>
        <v>0.94783279865864589</v>
      </c>
      <c r="F169" s="171">
        <f>Calc!Y169</f>
        <v>3.7739348590122707E-3</v>
      </c>
      <c r="G169" s="171">
        <f>Calc!AN169</f>
        <v>0.99780343867108634</v>
      </c>
      <c r="H169" s="172">
        <f>Calc!AO169</f>
        <v>2.3341442958879932E-3</v>
      </c>
      <c r="I169" s="15">
        <f>Calc!AH169</f>
        <v>44081.577995052445</v>
      </c>
      <c r="J169" s="15">
        <f>Calc!AI169</f>
        <v>203.50827654562903</v>
      </c>
      <c r="K169" s="15">
        <f>Calc!AJ169</f>
        <v>-0.44620532224171061</v>
      </c>
      <c r="L169" s="15">
        <f>Calc!AK169</f>
        <v>1.6192314812719726</v>
      </c>
      <c r="M169" s="173">
        <f>Calc!AP169</f>
        <v>704.81309999999996</v>
      </c>
      <c r="N169" s="173" t="e">
        <f>Calc!AQ169</f>
        <v>#VALUE!</v>
      </c>
      <c r="O169" s="173">
        <f>Calc!AW169</f>
        <v>704.81119999999999</v>
      </c>
      <c r="P169" s="173">
        <f>Calc!AX169</f>
        <v>315.12238484459999</v>
      </c>
      <c r="Q169" s="178">
        <f>Calc!BC169</f>
        <v>-3.2610310746687277</v>
      </c>
      <c r="R169" s="173">
        <f>Calc!BD169</f>
        <v>12.019955526723949</v>
      </c>
      <c r="S169" s="15">
        <f>Input!E169</f>
        <v>0</v>
      </c>
      <c r="T169" s="68"/>
    </row>
    <row r="170" spans="1:20" x14ac:dyDescent="0.2">
      <c r="A170" s="68">
        <f>Input!A170</f>
        <v>11008</v>
      </c>
      <c r="B170" s="68" t="str">
        <f>Input!B170</f>
        <v>JPM_1890</v>
      </c>
      <c r="C170" s="175">
        <f>Calc!O170</f>
        <v>2.4301671311671806</v>
      </c>
      <c r="D170" s="175">
        <f>Calc!P170</f>
        <v>1.4793063273672131E-4</v>
      </c>
      <c r="E170" s="175">
        <f>Calc!X170</f>
        <v>0.1026328471158421</v>
      </c>
      <c r="F170" s="175">
        <f>Calc!Y170</f>
        <v>3.391147303245406E-4</v>
      </c>
      <c r="G170" s="175">
        <f>Calc!AN170</f>
        <v>2.7576054496149748E-3</v>
      </c>
      <c r="H170" s="71">
        <f>Calc!AO170</f>
        <v>4.6364384584148096E-5</v>
      </c>
      <c r="I170" s="70">
        <f>Calc!AH170</f>
        <v>199.23276721135764</v>
      </c>
      <c r="J170" s="70">
        <f>Calc!AI170</f>
        <v>3.4138057373211272</v>
      </c>
      <c r="K170" s="70">
        <f>Calc!AJ170</f>
        <v>145.22663413874781</v>
      </c>
      <c r="L170" s="70">
        <f>Calc!AK170</f>
        <v>0.56726087203426878</v>
      </c>
      <c r="M170" s="176">
        <f>Calc!AP170</f>
        <v>0.26290000000000002</v>
      </c>
      <c r="N170" s="176">
        <f>Calc!AQ170</f>
        <v>5.4000000000000003E-3</v>
      </c>
      <c r="O170" s="176">
        <f>Calc!AW170</f>
        <v>0.25240000000000001</v>
      </c>
      <c r="P170" s="176">
        <f>Calc!AY170</f>
        <v>6.886926826557626E-3</v>
      </c>
      <c r="Q170" s="177">
        <f>Calc!BC170</f>
        <v>145.3301141688064</v>
      </c>
      <c r="R170" s="176">
        <f>Calc!BD170</f>
        <v>0.56767209604725033</v>
      </c>
      <c r="S170" s="70">
        <f>Input!E170</f>
        <v>0</v>
      </c>
      <c r="T170" s="68"/>
    </row>
    <row r="171" spans="1:20" x14ac:dyDescent="0.2">
      <c r="A171" s="13">
        <f>Input!A171</f>
        <v>10815</v>
      </c>
      <c r="B171" s="13" t="str">
        <f>Input!B171</f>
        <v>Hu1-13</v>
      </c>
      <c r="C171" s="171">
        <f>Calc!O171</f>
        <v>13.700461933158801</v>
      </c>
      <c r="D171" s="171">
        <f>Calc!P171</f>
        <v>1.6311626172317967E-3</v>
      </c>
      <c r="E171" s="171">
        <f>Calc!X171</f>
        <v>0.94932494272755619</v>
      </c>
      <c r="F171" s="171">
        <f>Calc!Y171</f>
        <v>4.8275349297037286E-3</v>
      </c>
      <c r="G171" s="171">
        <f>Calc!AN171</f>
        <v>0.99895274924936739</v>
      </c>
      <c r="H171" s="172">
        <f>Calc!AO171</f>
        <v>2.3336725813154608E-3</v>
      </c>
      <c r="I171" s="15">
        <f>Calc!AH171</f>
        <v>44060.466830971796</v>
      </c>
      <c r="J171" s="15">
        <f>Calc!AI171</f>
        <v>246.51362024464871</v>
      </c>
      <c r="K171" s="15">
        <f>Calc!AJ171</f>
        <v>0.18520046294612236</v>
      </c>
      <c r="L171" s="15">
        <f>Calc!AK171</f>
        <v>1.8292108009938102</v>
      </c>
      <c r="M171" s="173">
        <f>Calc!AP171</f>
        <v>723.6345</v>
      </c>
      <c r="N171" s="173" t="e">
        <f>Calc!AQ171</f>
        <v>#VALUE!</v>
      </c>
      <c r="O171" s="173">
        <f>Calc!AW171</f>
        <v>723.63260000000002</v>
      </c>
      <c r="P171" s="173">
        <f>Calc!AX171</f>
        <v>328.65055629289998</v>
      </c>
      <c r="Q171" s="178">
        <f>Calc!BC171</f>
        <v>1.4273479729848009</v>
      </c>
      <c r="R171" s="173">
        <f>Calc!BD171</f>
        <v>14.14572201514002</v>
      </c>
      <c r="S171" s="15">
        <f>Input!E171</f>
        <v>0</v>
      </c>
      <c r="T171" s="68"/>
    </row>
    <row r="172" spans="1:20" x14ac:dyDescent="0.2">
      <c r="A172" s="68">
        <f>Input!A172</f>
        <v>11009</v>
      </c>
      <c r="B172" s="68" t="str">
        <f>Input!B172</f>
        <v>JPM_1910</v>
      </c>
      <c r="C172" s="175">
        <f>Calc!O172</f>
        <v>2.4932441251389297</v>
      </c>
      <c r="D172" s="175">
        <f>Calc!P172</f>
        <v>1.4863226856898191E-4</v>
      </c>
      <c r="E172" s="175">
        <f>Calc!X172</f>
        <v>2.2409539475962179E-2</v>
      </c>
      <c r="F172" s="175">
        <f>Calc!Y172</f>
        <v>5.9437372737643045E-5</v>
      </c>
      <c r="G172" s="175">
        <f>Calc!AN172</f>
        <v>1.8312309796342497E-3</v>
      </c>
      <c r="H172" s="71">
        <f>Calc!AO172</f>
        <v>2.9843699688173694E-5</v>
      </c>
      <c r="I172" s="70">
        <f>Calc!AH172</f>
        <v>622.43744445779771</v>
      </c>
      <c r="J172" s="70">
        <f>Calc!AI172</f>
        <v>10.277303000983945</v>
      </c>
      <c r="K172" s="70">
        <f>Calc!AJ172</f>
        <v>145.67941434772268</v>
      </c>
      <c r="L172" s="70">
        <f>Calc!AK172</f>
        <v>0.49881557673627808</v>
      </c>
      <c r="M172" s="176">
        <f>Calc!AP172</f>
        <v>0.1744</v>
      </c>
      <c r="N172" s="176">
        <f>Calc!AQ172</f>
        <v>5.3E-3</v>
      </c>
      <c r="O172" s="176">
        <f>Calc!AW172</f>
        <v>0.17219999999999999</v>
      </c>
      <c r="P172" s="176">
        <f>Calc!AY172</f>
        <v>3.0624635547466324E-3</v>
      </c>
      <c r="Q172" s="177">
        <f>Calc!BC172</f>
        <v>145.75022573551018</v>
      </c>
      <c r="R172" s="176">
        <f>Calc!BD172</f>
        <v>0.49905962911509805</v>
      </c>
      <c r="S172" s="70">
        <f>Input!E172</f>
        <v>0</v>
      </c>
      <c r="T172" s="68"/>
    </row>
    <row r="173" spans="1:20" x14ac:dyDescent="0.2">
      <c r="A173" s="13">
        <f>Input!A173</f>
        <v>10815</v>
      </c>
      <c r="B173" s="13" t="str">
        <f>Input!B173</f>
        <v>Hu1-13</v>
      </c>
      <c r="C173" s="171">
        <f>Calc!O173</f>
        <v>13.700126084395425</v>
      </c>
      <c r="D173" s="171">
        <f>Calc!P173</f>
        <v>1.3844250292979524E-3</v>
      </c>
      <c r="E173" s="171">
        <f>Calc!X173</f>
        <v>0.9490327544391971</v>
      </c>
      <c r="F173" s="171">
        <f>Calc!Y173</f>
        <v>4.2782616443665239E-3</v>
      </c>
      <c r="G173" s="171">
        <f>Calc!AN173</f>
        <v>1.0002962065959513</v>
      </c>
      <c r="H173" s="172">
        <f>Calc!AO173</f>
        <v>3.1117017722172686E-3</v>
      </c>
      <c r="I173" s="15">
        <f>Calc!AH173</f>
        <v>44132.223958278919</v>
      </c>
      <c r="J173" s="15">
        <f>Calc!AI173</f>
        <v>241.6778891985588</v>
      </c>
      <c r="K173" s="15">
        <f>Calc!AJ173</f>
        <v>-0.3616430151014427</v>
      </c>
      <c r="L173" s="15">
        <f>Calc!AK173</f>
        <v>1.3080069058967432</v>
      </c>
      <c r="M173" s="173" t="str">
        <f>Calc!AP173</f>
        <v>Out of range</v>
      </c>
      <c r="N173" s="173" t="e">
        <f>Calc!AQ173</f>
        <v>#VALUE!</v>
      </c>
      <c r="O173" s="173" t="str">
        <f>Calc!AW173</f>
        <v>Out of range</v>
      </c>
      <c r="P173" s="173">
        <f>Calc!AX173</f>
        <v>335.84576957460001</v>
      </c>
      <c r="Q173" s="178" t="e">
        <f>Calc!BC173</f>
        <v>#VALUE!</v>
      </c>
      <c r="R173" s="173" t="e">
        <f>Calc!BD173</f>
        <v>#VALUE!</v>
      </c>
      <c r="S173" s="15">
        <f>Input!E173</f>
        <v>0</v>
      </c>
      <c r="T173" s="68"/>
    </row>
    <row r="174" spans="1:20" x14ac:dyDescent="0.2">
      <c r="A174" s="68">
        <f>Input!A174</f>
        <v>11010</v>
      </c>
      <c r="B174" s="68" t="str">
        <f>Input!B174</f>
        <v>JPM_1928</v>
      </c>
      <c r="C174" s="175">
        <f>Calc!O174</f>
        <v>2.6015375299612127</v>
      </c>
      <c r="D174" s="175">
        <f>Calc!P174</f>
        <v>1.1144177026977321E-4</v>
      </c>
      <c r="E174" s="175">
        <f>Calc!X174</f>
        <v>0.23526703735133073</v>
      </c>
      <c r="F174" s="175">
        <f>Calc!Y174</f>
        <v>3.9208508714874972E-4</v>
      </c>
      <c r="G174" s="175">
        <f>Calc!AN174</f>
        <v>1.7609933316232991E-3</v>
      </c>
      <c r="H174" s="71">
        <f>Calc!AO174</f>
        <v>2.4623983418081348E-5</v>
      </c>
      <c r="I174" s="70">
        <f>Calc!AH174</f>
        <v>59.555447583777536</v>
      </c>
      <c r="J174" s="70">
        <f>Calc!AI174</f>
        <v>0.8386542034423331</v>
      </c>
      <c r="K174" s="70">
        <f>Calc!AJ174</f>
        <v>146.25702649211371</v>
      </c>
      <c r="L174" s="70">
        <f>Calc!AK174</f>
        <v>0.55764639855541709</v>
      </c>
      <c r="M174" s="176">
        <f>Calc!AP174</f>
        <v>0.1676</v>
      </c>
      <c r="N174" s="176">
        <f>Calc!AQ174</f>
        <v>3.3E-3</v>
      </c>
      <c r="O174" s="176">
        <f>Calc!AW174</f>
        <v>0.14510000000000001</v>
      </c>
      <c r="P174" s="176">
        <f>Calc!AY174</f>
        <v>1.1519692733611172E-2</v>
      </c>
      <c r="Q174" s="177">
        <f>Calc!BC174</f>
        <v>146.3169282152995</v>
      </c>
      <c r="R174" s="176">
        <f>Calc!BD174</f>
        <v>0.55789506903780572</v>
      </c>
      <c r="S174" s="70">
        <f>Input!E174</f>
        <v>0</v>
      </c>
      <c r="T174" s="68"/>
    </row>
    <row r="175" spans="1:20" x14ac:dyDescent="0.2">
      <c r="A175" s="13">
        <f>Input!A175</f>
        <v>10815</v>
      </c>
      <c r="B175" s="13" t="str">
        <f>Input!B175</f>
        <v>Hu1-13</v>
      </c>
      <c r="C175" s="171">
        <f>Calc!O175</f>
        <v>13.699382493120778</v>
      </c>
      <c r="D175" s="171">
        <f>Calc!P175</f>
        <v>1.4709039907299384E-3</v>
      </c>
      <c r="E175" s="171">
        <f>Calc!X175</f>
        <v>0.94541360520209428</v>
      </c>
      <c r="F175" s="171">
        <f>Calc!Y175</f>
        <v>4.2699923806497906E-3</v>
      </c>
      <c r="G175" s="171">
        <f>Calc!AN175</f>
        <v>1.0011362394403962</v>
      </c>
      <c r="H175" s="172">
        <f>Calc!AO175</f>
        <v>2.8050522478280226E-3</v>
      </c>
      <c r="I175" s="15">
        <f>Calc!AH175</f>
        <v>44335.963953296217</v>
      </c>
      <c r="J175" s="15">
        <f>Calc!AI175</f>
        <v>235.59889296623487</v>
      </c>
      <c r="K175" s="15">
        <f>Calc!AJ175</f>
        <v>-0.30877993139977189</v>
      </c>
      <c r="L175" s="15">
        <f>Calc!AK175</f>
        <v>1.2873823031953988</v>
      </c>
      <c r="M175" s="173" t="str">
        <f>Calc!AP175</f>
        <v>Out of range</v>
      </c>
      <c r="N175" s="173" t="e">
        <f>Calc!AQ175</f>
        <v>#VALUE!</v>
      </c>
      <c r="O175" s="173" t="str">
        <f>Calc!AW175</f>
        <v>Out of range</v>
      </c>
      <c r="P175" s="173">
        <f>Calc!AX175</f>
        <v>335.88894701829997</v>
      </c>
      <c r="Q175" s="178" t="e">
        <f>Calc!BC175</f>
        <v>#VALUE!</v>
      </c>
      <c r="R175" s="173" t="e">
        <f>Calc!BD175</f>
        <v>#VALUE!</v>
      </c>
      <c r="S175" s="15">
        <f>Input!E175</f>
        <v>0</v>
      </c>
      <c r="T175" s="68"/>
    </row>
    <row r="176" spans="1:20" x14ac:dyDescent="0.2">
      <c r="A176" s="68">
        <f>Input!A176</f>
        <v>11011</v>
      </c>
      <c r="B176" s="68" t="str">
        <f>Input!B176</f>
        <v>JPM_1929</v>
      </c>
      <c r="C176" s="175">
        <f>Calc!O176</f>
        <v>2.5109469427253344</v>
      </c>
      <c r="D176" s="175">
        <f>Calc!P176</f>
        <v>1.2237634378356235E-4</v>
      </c>
      <c r="E176" s="175">
        <f>Calc!X176</f>
        <v>3.1116158645029104E-2</v>
      </c>
      <c r="F176" s="175">
        <f>Calc!Y176</f>
        <v>1.7264593046424984E-4</v>
      </c>
      <c r="G176" s="175">
        <f>Calc!AN176</f>
        <v>1.825347488125801E-3</v>
      </c>
      <c r="H176" s="71">
        <f>Calc!AO176</f>
        <v>3.194741297082946E-5</v>
      </c>
      <c r="I176" s="70">
        <f>Calc!AH176</f>
        <v>450.40473871723913</v>
      </c>
      <c r="J176" s="70">
        <f>Calc!AI176</f>
        <v>8.2696348123868013</v>
      </c>
      <c r="K176" s="70">
        <f>Calc!AJ176</f>
        <v>145.68080854464637</v>
      </c>
      <c r="L176" s="70">
        <f>Calc!AK176</f>
        <v>0.65802647174272477</v>
      </c>
      <c r="M176" s="176">
        <f>Calc!AP176</f>
        <v>0.1739</v>
      </c>
      <c r="N176" s="176">
        <f>Calc!AQ176</f>
        <v>5.1000000000000004E-3</v>
      </c>
      <c r="O176" s="176">
        <f>Calc!AW176</f>
        <v>0.17080000000000001</v>
      </c>
      <c r="P176" s="176">
        <f>Calc!AY176</f>
        <v>3.4205119386707845E-3</v>
      </c>
      <c r="Q176" s="177">
        <f>Calc!BC176</f>
        <v>145.7510447635124</v>
      </c>
      <c r="R176" s="176">
        <f>Calc!BD176</f>
        <v>0.65834522545063012</v>
      </c>
      <c r="S176" s="70">
        <f>Input!E176</f>
        <v>0</v>
      </c>
      <c r="T176" s="68"/>
    </row>
    <row r="177" spans="1:20" x14ac:dyDescent="0.2">
      <c r="A177" s="13">
        <f>Input!A177</f>
        <v>10815</v>
      </c>
      <c r="B177" s="13" t="str">
        <f>Input!B177</f>
        <v>Hu1-13</v>
      </c>
      <c r="C177" s="171">
        <f>Calc!O177</f>
        <v>13.697123489873617</v>
      </c>
      <c r="D177" s="171">
        <f>Calc!P177</f>
        <v>1.8094214184592031E-3</v>
      </c>
      <c r="E177" s="171">
        <f>Calc!X177</f>
        <v>0.93342455670110913</v>
      </c>
      <c r="F177" s="171">
        <f>Calc!Y177</f>
        <v>3.9487523709122278E-3</v>
      </c>
      <c r="G177" s="171">
        <f>Calc!AN177</f>
        <v>0.99988641753226615</v>
      </c>
      <c r="H177" s="172">
        <f>Calc!AO177</f>
        <v>2.3168591949823988E-3</v>
      </c>
      <c r="I177" s="15">
        <f>Calc!AH177</f>
        <v>44841.966229495403</v>
      </c>
      <c r="J177" s="15">
        <f>Calc!AI177</f>
        <v>216.21002623302681</v>
      </c>
      <c r="K177" s="15">
        <f>Calc!AJ177</f>
        <v>0.51403433711105784</v>
      </c>
      <c r="L177" s="15">
        <f>Calc!AK177</f>
        <v>1.3885510567977997</v>
      </c>
      <c r="M177" s="173">
        <f>Calc!AP177</f>
        <v>770.90639999999996</v>
      </c>
      <c r="N177" s="173" t="e">
        <f>Calc!AQ177</f>
        <v>#VALUE!</v>
      </c>
      <c r="O177" s="173">
        <f>Calc!AW177</f>
        <v>770.90459999999996</v>
      </c>
      <c r="P177" s="173">
        <f>Calc!AX177</f>
        <v>346.54492916869998</v>
      </c>
      <c r="Q177" s="178">
        <f>Calc!BC177</f>
        <v>4.5270649854697123</v>
      </c>
      <c r="R177" s="173">
        <f>Calc!BD177</f>
        <v>13.189344445103952</v>
      </c>
      <c r="S177" s="15">
        <f>Input!E177</f>
        <v>0</v>
      </c>
      <c r="T177" s="68"/>
    </row>
    <row r="178" spans="1:20" x14ac:dyDescent="0.2">
      <c r="A178" s="68">
        <f>Input!A178</f>
        <v>11012</v>
      </c>
      <c r="B178" s="68" t="str">
        <f>Input!B178</f>
        <v>JPM_1936</v>
      </c>
      <c r="C178" s="175">
        <f>Calc!O178</f>
        <v>2.577115731315911</v>
      </c>
      <c r="D178" s="175">
        <f>Calc!P178</f>
        <v>1.2459285849811236E-4</v>
      </c>
      <c r="E178" s="175">
        <f>Calc!X178</f>
        <v>8.9820778328567802E-2</v>
      </c>
      <c r="F178" s="175">
        <f>Calc!Y178</f>
        <v>1.9676870661925212E-4</v>
      </c>
      <c r="G178" s="175">
        <f>Calc!AN178</f>
        <v>1.6476029388163267E-3</v>
      </c>
      <c r="H178" s="71">
        <f>Calc!AO178</f>
        <v>2.4671863347321139E-5</v>
      </c>
      <c r="I178" s="70">
        <f>Calc!AH178</f>
        <v>144.45885360204164</v>
      </c>
      <c r="J178" s="70">
        <f>Calc!AI178</f>
        <v>2.1861992870650062</v>
      </c>
      <c r="K178" s="70">
        <f>Calc!AJ178</f>
        <v>145.3884784988544</v>
      </c>
      <c r="L178" s="70">
        <f>Calc!AK178</f>
        <v>0.5210747547142689</v>
      </c>
      <c r="M178" s="176">
        <f>Calc!AP178</f>
        <v>0.157</v>
      </c>
      <c r="N178" s="176">
        <f>Calc!AQ178</f>
        <v>3.8999999999999998E-3</v>
      </c>
      <c r="O178" s="176">
        <f>Calc!AW178</f>
        <v>0.14829999999999999</v>
      </c>
      <c r="P178" s="176">
        <f>Calc!AY178</f>
        <v>4.9463913676536988E-3</v>
      </c>
      <c r="Q178" s="177">
        <f>Calc!BC178</f>
        <v>145.44933798309154</v>
      </c>
      <c r="R178" s="176">
        <f>Calc!BD178</f>
        <v>0.52129682997415883</v>
      </c>
      <c r="S178" s="70">
        <f>Input!E178</f>
        <v>0</v>
      </c>
      <c r="T178" s="68"/>
    </row>
    <row r="179" spans="1:20" x14ac:dyDescent="0.2">
      <c r="A179" s="13">
        <f>Input!A179</f>
        <v>10815</v>
      </c>
      <c r="B179" s="13" t="str">
        <f>Input!B179</f>
        <v>Hu1-13</v>
      </c>
      <c r="C179" s="171">
        <f>Calc!O179</f>
        <v>13.697123489873617</v>
      </c>
      <c r="D179" s="171">
        <f>Calc!P179</f>
        <v>1.8094214184592031E-3</v>
      </c>
      <c r="E179" s="171">
        <f>Calc!X179</f>
        <v>0.93342455670110913</v>
      </c>
      <c r="F179" s="171">
        <f>Calc!Y179</f>
        <v>3.9487523709122278E-3</v>
      </c>
      <c r="G179" s="171">
        <f>Calc!AN179</f>
        <v>0.99988641753226615</v>
      </c>
      <c r="H179" s="172">
        <f>Calc!AO179</f>
        <v>2.3168591949823988E-3</v>
      </c>
      <c r="I179" s="15">
        <f>Calc!AH179</f>
        <v>44841.966229495403</v>
      </c>
      <c r="J179" s="15">
        <f>Calc!AI179</f>
        <v>216.21002623302681</v>
      </c>
      <c r="K179" s="15">
        <f>Calc!AJ179</f>
        <v>0.51403433711105784</v>
      </c>
      <c r="L179" s="15">
        <f>Calc!AK179</f>
        <v>1.3885510567977997</v>
      </c>
      <c r="M179" s="173">
        <f>Calc!AP179</f>
        <v>770.90639999999996</v>
      </c>
      <c r="N179" s="173" t="e">
        <f>Calc!AQ179</f>
        <v>#VALUE!</v>
      </c>
      <c r="O179" s="173">
        <f>Calc!AW179</f>
        <v>770.90459999999996</v>
      </c>
      <c r="P179" s="173">
        <f>Calc!AX179</f>
        <v>334.19192890170001</v>
      </c>
      <c r="Q179" s="178">
        <f>Calc!BC179</f>
        <v>4.5270649854697123</v>
      </c>
      <c r="R179" s="173">
        <f>Calc!BD179</f>
        <v>13.189344445103952</v>
      </c>
      <c r="S179" s="15">
        <f>Input!E179</f>
        <v>0</v>
      </c>
      <c r="T179" s="68"/>
    </row>
    <row r="180" spans="1:20" ht="13.5" customHeight="1" x14ac:dyDescent="0.2">
      <c r="H180" s="74"/>
    </row>
    <row r="181" spans="1:20" x14ac:dyDescent="0.2">
      <c r="A181" s="13">
        <f>Input!A181</f>
        <v>10815</v>
      </c>
      <c r="B181" s="13" t="str">
        <f>Input!B181</f>
        <v>Hu1-13</v>
      </c>
      <c r="C181" s="171">
        <f>Calc!O181</f>
        <v>13.699591862307512</v>
      </c>
      <c r="D181" s="171">
        <f>Calc!P181</f>
        <v>1.0075296531621182E-3</v>
      </c>
      <c r="E181" s="171">
        <f>Calc!X181</f>
        <v>0.96900911559365821</v>
      </c>
      <c r="F181" s="171">
        <f>Calc!Y181</f>
        <v>2.9320521987623795E-3</v>
      </c>
      <c r="G181" s="171">
        <f>Calc!AN181</f>
        <v>0.99690962775875958</v>
      </c>
      <c r="H181" s="172">
        <f>Calc!AO181</f>
        <v>3.1916034939466651E-3</v>
      </c>
      <c r="I181" s="15">
        <f>Calc!AH181</f>
        <v>43074.414791084208</v>
      </c>
      <c r="J181" s="15">
        <f>Calc!AI181</f>
        <v>189.7221113824753</v>
      </c>
      <c r="K181" s="15">
        <f>Calc!AJ181</f>
        <v>0.61333645643202317</v>
      </c>
      <c r="L181" s="15">
        <f>Calc!AK181</f>
        <v>1.2509703155602854</v>
      </c>
      <c r="M181" s="173">
        <f>Calc!AP181</f>
        <v>603.26480000000004</v>
      </c>
      <c r="N181" s="173" t="e">
        <f>Calc!AQ181</f>
        <v>#VALUE!</v>
      </c>
      <c r="O181" s="173">
        <f>Calc!AW181</f>
        <v>603.26289999999995</v>
      </c>
      <c r="P181" s="173">
        <f>Calc!AX181</f>
        <v>224.01235210639999</v>
      </c>
      <c r="Q181" s="178">
        <f>Calc!BC181</f>
        <v>3.3655872821902619</v>
      </c>
      <c r="R181" s="173">
        <f>Calc!BD181</f>
        <v>6.9293735184085401</v>
      </c>
      <c r="S181" s="15">
        <f>Input!E181</f>
        <v>0</v>
      </c>
      <c r="T181" s="68"/>
    </row>
    <row r="182" spans="1:20" x14ac:dyDescent="0.2">
      <c r="A182" s="68">
        <f>Input!A182</f>
        <v>10994</v>
      </c>
      <c r="B182" s="68" t="str">
        <f>Input!B182</f>
        <v>MD13-3462G-126</v>
      </c>
      <c r="C182" s="175">
        <f>Calc!O182</f>
        <v>3.8668421813368763</v>
      </c>
      <c r="D182" s="175">
        <f>Calc!P182</f>
        <v>1.3374506287886431E-4</v>
      </c>
      <c r="E182" s="175">
        <f>Calc!X182</f>
        <v>7.1664147239277609</v>
      </c>
      <c r="F182" s="175">
        <f>Calc!Y182</f>
        <v>1.3280097653132992E-2</v>
      </c>
      <c r="G182" s="175">
        <f>Calc!AN182</f>
        <v>0.32582782419002276</v>
      </c>
      <c r="H182" s="71">
        <f>Calc!AO182</f>
        <v>6.7288888618229959E-4</v>
      </c>
      <c r="I182" s="70">
        <f>Calc!AH182</f>
        <v>536.51343291152523</v>
      </c>
      <c r="J182" s="70">
        <f>Calc!AI182</f>
        <v>1.488542549024801</v>
      </c>
      <c r="K182" s="70">
        <f>Calc!AJ182</f>
        <v>121.99021453431702</v>
      </c>
      <c r="L182" s="70">
        <f>Calc!AK182</f>
        <v>0.50604518981679147</v>
      </c>
      <c r="M182" s="176">
        <f>Calc!AP182</f>
        <v>37.161999999999999</v>
      </c>
      <c r="N182" s="176">
        <f>Calc!AQ182</f>
        <v>8.5099999999999995E-2</v>
      </c>
      <c r="O182" s="176">
        <f>Calc!AW182</f>
        <v>36.695</v>
      </c>
      <c r="P182" s="176">
        <f>Calc!AY182</f>
        <v>0.25217480015616595</v>
      </c>
      <c r="Q182" s="177">
        <f>Calc!BC182</f>
        <v>135.3002420931175</v>
      </c>
      <c r="R182" s="176">
        <f>Calc!BD182</f>
        <v>0.56945778255409651</v>
      </c>
      <c r="S182" s="70">
        <f>Input!E182</f>
        <v>126</v>
      </c>
      <c r="T182" s="68"/>
    </row>
    <row r="183" spans="1:20" x14ac:dyDescent="0.2">
      <c r="A183" s="13">
        <f>Input!A183</f>
        <v>10815</v>
      </c>
      <c r="B183" s="13" t="str">
        <f>Input!B183</f>
        <v>Hu1-13</v>
      </c>
      <c r="C183" s="171">
        <f>Calc!O183</f>
        <v>13.699829802567322</v>
      </c>
      <c r="D183" s="171">
        <f>Calc!P183</f>
        <v>1.5336404851872434E-3</v>
      </c>
      <c r="E183" s="171">
        <f>Calc!X183</f>
        <v>0.96748523651181739</v>
      </c>
      <c r="F183" s="171">
        <f>Calc!Y183</f>
        <v>4.0979435905264252E-3</v>
      </c>
      <c r="G183" s="171">
        <f>Calc!AN183</f>
        <v>1.0001180689672866</v>
      </c>
      <c r="H183" s="172">
        <f>Calc!AO183</f>
        <v>3.1233286067446375E-3</v>
      </c>
      <c r="I183" s="15">
        <f>Calc!AH183</f>
        <v>43281.861220015402</v>
      </c>
      <c r="J183" s="15">
        <f>Calc!AI183</f>
        <v>227.71856398459019</v>
      </c>
      <c r="K183" s="15">
        <f>Calc!AJ183</f>
        <v>-0.88949493735235308</v>
      </c>
      <c r="L183" s="15">
        <f>Calc!AK183</f>
        <v>1.0330437800976817</v>
      </c>
      <c r="M183" s="173" t="str">
        <f>Calc!AP183</f>
        <v>Out of range</v>
      </c>
      <c r="N183" s="173" t="e">
        <f>Calc!AQ183</f>
        <v>#VALUE!</v>
      </c>
      <c r="O183" s="173" t="str">
        <f>Calc!AW183</f>
        <v>Out of range</v>
      </c>
      <c r="P183" s="173">
        <f>Calc!AX183</f>
        <v>316.16470021819998</v>
      </c>
      <c r="Q183" s="178" t="e">
        <f>Calc!BC183</f>
        <v>#VALUE!</v>
      </c>
      <c r="R183" s="173" t="e">
        <f>Calc!BD183</f>
        <v>#VALUE!</v>
      </c>
      <c r="S183" s="15">
        <f>Input!E183</f>
        <v>0</v>
      </c>
      <c r="T183" s="68"/>
    </row>
    <row r="184" spans="1:20" x14ac:dyDescent="0.2">
      <c r="A184" s="68">
        <f>Input!A184</f>
        <v>10995</v>
      </c>
      <c r="B184" s="68" t="str">
        <f>Input!B184</f>
        <v>MD13-3462G-136</v>
      </c>
      <c r="C184" s="175">
        <f>Calc!O184</f>
        <v>3.4726808334853119</v>
      </c>
      <c r="D184" s="175">
        <f>Calc!P184</f>
        <v>1.4979449640798321E-4</v>
      </c>
      <c r="E184" s="175">
        <f>Calc!X184</f>
        <v>36.120381566733975</v>
      </c>
      <c r="F184" s="175">
        <f>Calc!Y184</f>
        <v>6.1039012124395671E-2</v>
      </c>
      <c r="G184" s="175">
        <f>Calc!AN184</f>
        <v>0.30740615243955993</v>
      </c>
      <c r="H184" s="71">
        <f>Calc!AO184</f>
        <v>7.2890458078117982E-4</v>
      </c>
      <c r="I184" s="70">
        <f>Calc!AH184</f>
        <v>90.401792203952837</v>
      </c>
      <c r="J184" s="70">
        <f>Calc!AI184</f>
        <v>0.26319428009675028</v>
      </c>
      <c r="K184" s="70">
        <f>Calc!AJ184</f>
        <v>126.56675110888904</v>
      </c>
      <c r="L184" s="70">
        <f>Calc!AK184</f>
        <v>0.45894827851794451</v>
      </c>
      <c r="M184" s="176">
        <f>Calc!AP184</f>
        <v>34.529600000000002</v>
      </c>
      <c r="N184" s="176">
        <f>Calc!AQ184</f>
        <v>0.1016</v>
      </c>
      <c r="O184" s="176">
        <f>Calc!AW184</f>
        <v>31.891300000000001</v>
      </c>
      <c r="P184" s="176">
        <f>Calc!AY184</f>
        <v>1.3412238032202026</v>
      </c>
      <c r="Q184" s="177">
        <f>Calc!BC184</f>
        <v>138.48596819497624</v>
      </c>
      <c r="R184" s="176">
        <f>Calc!BD184</f>
        <v>0.7258989432755768</v>
      </c>
      <c r="S184" s="70">
        <f>Input!E184</f>
        <v>136</v>
      </c>
      <c r="T184" s="68"/>
    </row>
    <row r="185" spans="1:20" x14ac:dyDescent="0.2">
      <c r="A185" s="13">
        <f>Input!A185</f>
        <v>10815</v>
      </c>
      <c r="B185" s="13" t="str">
        <f>Input!B185</f>
        <v>Hu1-13</v>
      </c>
      <c r="C185" s="171">
        <f>Calc!O185</f>
        <v>13.697738438401066</v>
      </c>
      <c r="D185" s="171">
        <f>Calc!P185</f>
        <v>1.3599639594323208E-3</v>
      </c>
      <c r="E185" s="171">
        <f>Calc!X185</f>
        <v>0.96739275407567704</v>
      </c>
      <c r="F185" s="171">
        <f>Calc!Y185</f>
        <v>3.0293866663544337E-3</v>
      </c>
      <c r="G185" s="171">
        <f>Calc!AN185</f>
        <v>1.0015778831565789</v>
      </c>
      <c r="H185" s="172">
        <f>Calc!AO185</f>
        <v>2.236229865847423E-3</v>
      </c>
      <c r="I185" s="15">
        <f>Calc!AH185</f>
        <v>43342.563485751052</v>
      </c>
      <c r="J185" s="15">
        <f>Calc!AI185</f>
        <v>166.63730960402347</v>
      </c>
      <c r="K185" s="15">
        <f>Calc!AJ185</f>
        <v>-1.2024462984151496</v>
      </c>
      <c r="L185" s="15">
        <f>Calc!AK185</f>
        <v>1.0891977078275739</v>
      </c>
      <c r="M185" s="173" t="str">
        <f>Calc!AP185</f>
        <v>Out of range</v>
      </c>
      <c r="N185" s="173" t="e">
        <f>Calc!AQ185</f>
        <v>#VALUE!</v>
      </c>
      <c r="O185" s="173" t="str">
        <f>Calc!AW185</f>
        <v>Out of range</v>
      </c>
      <c r="P185" s="173">
        <f>Calc!AX185</f>
        <v>239.19498523159999</v>
      </c>
      <c r="Q185" s="178" t="e">
        <f>Calc!BC185</f>
        <v>#VALUE!</v>
      </c>
      <c r="R185" s="173" t="e">
        <f>Calc!BD185</f>
        <v>#VALUE!</v>
      </c>
      <c r="S185" s="15">
        <f>Input!E185</f>
        <v>0</v>
      </c>
      <c r="T185" s="68"/>
    </row>
    <row r="186" spans="1:20" x14ac:dyDescent="0.2">
      <c r="A186" s="68">
        <f>Input!A186</f>
        <v>10996</v>
      </c>
      <c r="B186" s="68" t="str">
        <f>Input!B186</f>
        <v>MD13-3462G-248</v>
      </c>
      <c r="C186" s="175">
        <f>Calc!O186</f>
        <v>3.5899573855632885</v>
      </c>
      <c r="D186" s="175">
        <f>Calc!P186</f>
        <v>1.239098687618615E-4</v>
      </c>
      <c r="E186" s="175">
        <f>Calc!X186</f>
        <v>1.8802341979514732</v>
      </c>
      <c r="F186" s="175">
        <f>Calc!Y186</f>
        <v>2.8978093219750624E-3</v>
      </c>
      <c r="G186" s="175">
        <f>Calc!AN186</f>
        <v>0.39120391087433271</v>
      </c>
      <c r="H186" s="71">
        <f>Calc!AO186</f>
        <v>7.7045142587818007E-4</v>
      </c>
      <c r="I186" s="70">
        <f>Calc!AH186</f>
        <v>2285.8061589031549</v>
      </c>
      <c r="J186" s="70">
        <f>Calc!AI186</f>
        <v>5.7157840598620107</v>
      </c>
      <c r="K186" s="70">
        <f>Calc!AJ186</f>
        <v>122.4776712782818</v>
      </c>
      <c r="L186" s="70">
        <f>Calc!AK186</f>
        <v>0.6035050046375624</v>
      </c>
      <c r="M186" s="176">
        <f>Calc!AP186</f>
        <v>46.326599999999999</v>
      </c>
      <c r="N186" s="176">
        <f>Calc!AQ186</f>
        <v>0.1179</v>
      </c>
      <c r="O186" s="176">
        <f>Calc!AW186</f>
        <v>46.195300000000003</v>
      </c>
      <c r="P186" s="176">
        <f>Calc!AY186</f>
        <v>0.13456813773127391</v>
      </c>
      <c r="Q186" s="177">
        <f>Calc!BC186</f>
        <v>139.53209498963483</v>
      </c>
      <c r="R186" s="176">
        <f>Calc!BD186</f>
        <v>0.68957904878636089</v>
      </c>
      <c r="S186" s="70">
        <f>Input!E186</f>
        <v>248</v>
      </c>
      <c r="T186" s="68"/>
    </row>
    <row r="187" spans="1:20" x14ac:dyDescent="0.2">
      <c r="A187" s="13">
        <f>Input!A187</f>
        <v>10815</v>
      </c>
      <c r="B187" s="13" t="str">
        <f>Input!B187</f>
        <v>Hu1-13</v>
      </c>
      <c r="C187" s="171">
        <f>Calc!O187</f>
        <v>13.69751513944985</v>
      </c>
      <c r="D187" s="171">
        <f>Calc!P187</f>
        <v>1.1632382769840924E-3</v>
      </c>
      <c r="E187" s="171">
        <f>Calc!X187</f>
        <v>0.95663411380889884</v>
      </c>
      <c r="F187" s="171">
        <f>Calc!Y187</f>
        <v>3.2727805993515986E-3</v>
      </c>
      <c r="G187" s="171">
        <f>Calc!AN187</f>
        <v>1.0010720076140194</v>
      </c>
      <c r="H187" s="172">
        <f>Calc!AO187</f>
        <v>2.1249817966550138E-3</v>
      </c>
      <c r="I187" s="15">
        <f>Calc!AH187</f>
        <v>43807.157293173572</v>
      </c>
      <c r="J187" s="15">
        <f>Calc!AI187</f>
        <v>176.33607090456402</v>
      </c>
      <c r="K187" s="15">
        <f>Calc!AJ187</f>
        <v>0.31359682872866834</v>
      </c>
      <c r="L187" s="15">
        <f>Calc!AK187</f>
        <v>1.4461027978375078</v>
      </c>
      <c r="M187" s="173" t="str">
        <f>Calc!AP187</f>
        <v>Out of range</v>
      </c>
      <c r="N187" s="173" t="e">
        <f>Calc!AQ187</f>
        <v>#VALUE!</v>
      </c>
      <c r="O187" s="173" t="str">
        <f>Calc!AW187</f>
        <v>Out of range</v>
      </c>
      <c r="P187" s="173">
        <f>Calc!AX187</f>
        <v>346.71333270719998</v>
      </c>
      <c r="Q187" s="178" t="e">
        <f>Calc!BC187</f>
        <v>#VALUE!</v>
      </c>
      <c r="R187" s="173" t="e">
        <f>Calc!BD187</f>
        <v>#VALUE!</v>
      </c>
      <c r="S187" s="15">
        <f>Input!E187</f>
        <v>0</v>
      </c>
      <c r="T187" s="68"/>
    </row>
    <row r="188" spans="1:20" x14ac:dyDescent="0.2">
      <c r="A188" s="68">
        <f>Input!A188</f>
        <v>10997</v>
      </c>
      <c r="B188" s="68" t="str">
        <f>Input!B188</f>
        <v>MD13-3462G-272</v>
      </c>
      <c r="C188" s="175">
        <f>Calc!O188</f>
        <v>3.6970616844641295</v>
      </c>
      <c r="D188" s="175">
        <f>Calc!P188</f>
        <v>1.2601588994521075E-4</v>
      </c>
      <c r="E188" s="175">
        <f>Calc!X188</f>
        <v>1.1537738835431728</v>
      </c>
      <c r="F188" s="175">
        <f>Calc!Y188</f>
        <v>2.2013583388826195E-3</v>
      </c>
      <c r="G188" s="175">
        <f>Calc!AN188</f>
        <v>0.39943235169754204</v>
      </c>
      <c r="H188" s="71">
        <f>Calc!AO188</f>
        <v>7.3821204636575241E-4</v>
      </c>
      <c r="I188" s="70">
        <f>Calc!AH188</f>
        <v>3907.7735542799423</v>
      </c>
      <c r="J188" s="70">
        <f>Calc!AI188</f>
        <v>10.379411093693642</v>
      </c>
      <c r="K188" s="70">
        <f>Calc!AJ188</f>
        <v>121.93343410837953</v>
      </c>
      <c r="L188" s="70">
        <f>Calc!AK188</f>
        <v>0.47079615974985622</v>
      </c>
      <c r="M188" s="176">
        <f>Calc!AP188</f>
        <v>47.567500000000003</v>
      </c>
      <c r="N188" s="176">
        <f>Calc!AQ188</f>
        <v>0.1148</v>
      </c>
      <c r="O188" s="176">
        <f>Calc!AW188</f>
        <v>47.4893</v>
      </c>
      <c r="P188" s="176">
        <f>Calc!AY188</f>
        <v>0.11909003627542092</v>
      </c>
      <c r="Q188" s="177">
        <f>Calc!BC188</f>
        <v>139.42027433207636</v>
      </c>
      <c r="R188" s="176">
        <f>Calc!BD188</f>
        <v>0.54034984780189055</v>
      </c>
      <c r="S188" s="70">
        <f>Input!E188</f>
        <v>272</v>
      </c>
      <c r="T188" s="68"/>
    </row>
    <row r="189" spans="1:20" x14ac:dyDescent="0.2">
      <c r="A189" s="13">
        <f>Input!A189</f>
        <v>10815</v>
      </c>
      <c r="B189" s="13" t="str">
        <f>Input!B189</f>
        <v>Hu1-13</v>
      </c>
      <c r="C189" s="171">
        <f>Calc!O189</f>
        <v>13.698385721334811</v>
      </c>
      <c r="D189" s="171">
        <f>Calc!P189</f>
        <v>1.2645475375520881E-3</v>
      </c>
      <c r="E189" s="171">
        <f>Calc!X189</f>
        <v>0.95201613514576122</v>
      </c>
      <c r="F189" s="171">
        <f>Calc!Y189</f>
        <v>3.3484182397915383E-3</v>
      </c>
      <c r="G189" s="171">
        <f>Calc!AN189</f>
        <v>0.99693186700555025</v>
      </c>
      <c r="H189" s="172">
        <f>Calc!AO189</f>
        <v>3.0078088131418297E-3</v>
      </c>
      <c r="I189" s="15">
        <f>Calc!AH189</f>
        <v>43840.388053880997</v>
      </c>
      <c r="J189" s="15">
        <f>Calc!AI189</f>
        <v>203.11286940224218</v>
      </c>
      <c r="K189" s="15">
        <f>Calc!AJ189</f>
        <v>0.74850551085847705</v>
      </c>
      <c r="L189" s="15">
        <f>Calc!AK189</f>
        <v>1.1986229674554525</v>
      </c>
      <c r="M189" s="173">
        <f>Calc!AP189</f>
        <v>598.72770000000003</v>
      </c>
      <c r="N189" s="173" t="e">
        <f>Calc!AQ189</f>
        <v>#VALUE!</v>
      </c>
      <c r="O189" s="173">
        <f>Calc!AW189</f>
        <v>598.72580000000005</v>
      </c>
      <c r="P189" s="173">
        <f>Calc!AX189</f>
        <v>202.68601297039999</v>
      </c>
      <c r="Q189" s="178">
        <f>Calc!BC189</f>
        <v>4.0550516244015906</v>
      </c>
      <c r="R189" s="173">
        <f>Calc!BD189</f>
        <v>6.5753200958072995</v>
      </c>
      <c r="S189" s="15">
        <f>Input!E189</f>
        <v>0</v>
      </c>
      <c r="T189" s="68"/>
    </row>
    <row r="190" spans="1:20" x14ac:dyDescent="0.2">
      <c r="A190" s="68">
        <f>Input!A190</f>
        <v>10998</v>
      </c>
      <c r="B190" s="68" t="str">
        <f>Input!B190</f>
        <v>MD13-3462G-360</v>
      </c>
      <c r="C190" s="175">
        <f>Calc!O190</f>
        <v>3.5499351729640281</v>
      </c>
      <c r="D190" s="175">
        <f>Calc!P190</f>
        <v>1.4177356437341799E-4</v>
      </c>
      <c r="E190" s="175">
        <f>Calc!X190</f>
        <v>6.0720012993658745</v>
      </c>
      <c r="F190" s="175">
        <f>Calc!Y190</f>
        <v>8.3942732777054947E-3</v>
      </c>
      <c r="G190" s="175">
        <f>Calc!AN190</f>
        <v>0.50733259267438247</v>
      </c>
      <c r="H190" s="71">
        <f>Calc!AO190</f>
        <v>9.654169295391893E-4</v>
      </c>
      <c r="I190" s="70">
        <f>Calc!AH190</f>
        <v>904.18435440190899</v>
      </c>
      <c r="J190" s="70">
        <f>Calc!AI190</f>
        <v>2.1264141001332928</v>
      </c>
      <c r="K190" s="70">
        <f>Calc!AJ190</f>
        <v>114.776112781511</v>
      </c>
      <c r="L190" s="70">
        <f>Calc!AK190</f>
        <v>0.45635675157400218</v>
      </c>
      <c r="M190" s="176">
        <f>Calc!AP190</f>
        <v>65.390500000000003</v>
      </c>
      <c r="N190" s="176">
        <f>Calc!AQ190</f>
        <v>0.17219999999999999</v>
      </c>
      <c r="O190" s="176">
        <f>Calc!AW190</f>
        <v>64.960599999999999</v>
      </c>
      <c r="P190" s="176">
        <f>Calc!AY190</f>
        <v>0.27651520767420085</v>
      </c>
      <c r="Q190" s="177">
        <f>Calc!BC190</f>
        <v>137.86929466865067</v>
      </c>
      <c r="R190" s="176">
        <f>Calc!BD190</f>
        <v>0.55863424113122417</v>
      </c>
      <c r="S190" s="70">
        <f>Input!E190</f>
        <v>360</v>
      </c>
      <c r="T190" s="68"/>
    </row>
    <row r="191" spans="1:20" x14ac:dyDescent="0.2">
      <c r="A191" s="13">
        <f>Input!A191</f>
        <v>10815</v>
      </c>
      <c r="B191" s="13" t="str">
        <f>Input!B191</f>
        <v>Hu1-13</v>
      </c>
      <c r="C191" s="171">
        <f>Calc!O191</f>
        <v>13.698882945652196</v>
      </c>
      <c r="D191" s="171">
        <f>Calc!P191</f>
        <v>1.3228223208174897E-3</v>
      </c>
      <c r="E191" s="171">
        <f>Calc!X191</f>
        <v>0.95321500851662178</v>
      </c>
      <c r="F191" s="171">
        <f>Calc!Y191</f>
        <v>4.0200406103503101E-3</v>
      </c>
      <c r="G191" s="171">
        <f>Calc!AN191</f>
        <v>0.99797132030993441</v>
      </c>
      <c r="H191" s="172">
        <f>Calc!AO191</f>
        <v>3.36725475363532E-3</v>
      </c>
      <c r="I191" s="15">
        <f>Calc!AH191</f>
        <v>43832.493080630622</v>
      </c>
      <c r="J191" s="15">
        <f>Calc!AI191</f>
        <v>236.70057252264374</v>
      </c>
      <c r="K191" s="15">
        <f>Calc!AJ191</f>
        <v>0.30938047546147374</v>
      </c>
      <c r="L191" s="15">
        <f>Calc!AK191</f>
        <v>1.2745849543633831</v>
      </c>
      <c r="M191" s="173">
        <f>Calc!AP191</f>
        <v>654.72090000000003</v>
      </c>
      <c r="N191" s="173" t="e">
        <f>Calc!AQ191</f>
        <v>#VALUE!</v>
      </c>
      <c r="O191" s="173">
        <f>Calc!AW191</f>
        <v>654.71900000000005</v>
      </c>
      <c r="P191" s="173">
        <f>Calc!AX191</f>
        <v>306.75955063980001</v>
      </c>
      <c r="Q191" s="178">
        <f>Calc!BC191</f>
        <v>1.9629979162593454</v>
      </c>
      <c r="R191" s="173">
        <f>Calc!BD191</f>
        <v>8.140184939259953</v>
      </c>
      <c r="S191" s="15">
        <f>Input!E191</f>
        <v>0</v>
      </c>
      <c r="T191" s="68"/>
    </row>
    <row r="192" spans="1:20" x14ac:dyDescent="0.2">
      <c r="A192" s="68">
        <f>Input!A192</f>
        <v>10999</v>
      </c>
      <c r="B192" s="68" t="str">
        <f>Input!B192</f>
        <v>MD13-3462G-583</v>
      </c>
      <c r="C192" s="175">
        <f>Calc!O192</f>
        <v>3.4984813240775825</v>
      </c>
      <c r="D192" s="175">
        <f>Calc!P192</f>
        <v>1.4294182152570339E-4</v>
      </c>
      <c r="E192" s="175">
        <f>Calc!X192</f>
        <v>1.3288239412617577</v>
      </c>
      <c r="F192" s="175">
        <f>Calc!Y192</f>
        <v>2.448675182095272E-3</v>
      </c>
      <c r="G192" s="175">
        <f>Calc!AN192</f>
        <v>0.84506919434557992</v>
      </c>
      <c r="H192" s="71">
        <f>Calc!AO192</f>
        <v>1.732616010544614E-3</v>
      </c>
      <c r="I192" s="70">
        <f>Calc!AH192</f>
        <v>6796.3517742871836</v>
      </c>
      <c r="J192" s="70">
        <f>Calc!AI192</f>
        <v>18.733294958390584</v>
      </c>
      <c r="K192" s="70">
        <f>Calc!AJ192</f>
        <v>91.455512843880982</v>
      </c>
      <c r="L192" s="70">
        <f>Calc!AK192</f>
        <v>0.5271873415330951</v>
      </c>
      <c r="M192" s="176">
        <f>Calc!AP192</f>
        <v>156.4787</v>
      </c>
      <c r="N192" s="176">
        <f>Calc!AQ192</f>
        <v>0.73939999999999995</v>
      </c>
      <c r="O192" s="176">
        <f>Calc!AW192</f>
        <v>156.38380000000001</v>
      </c>
      <c r="P192" s="176">
        <f>Calc!AY192</f>
        <v>0.72182989566456435</v>
      </c>
      <c r="Q192" s="177">
        <f>Calc!BC192</f>
        <v>142.19183864815267</v>
      </c>
      <c r="R192" s="176">
        <f>Calc!BD192</f>
        <v>0.86932627296932286</v>
      </c>
      <c r="S192" s="70">
        <f>Input!E192</f>
        <v>583</v>
      </c>
      <c r="T192" s="68"/>
    </row>
    <row r="193" spans="1:20" x14ac:dyDescent="0.2">
      <c r="A193" s="13">
        <f>Input!A193</f>
        <v>10815</v>
      </c>
      <c r="B193" s="13" t="str">
        <f>Input!B193</f>
        <v>Hu1-13</v>
      </c>
      <c r="C193" s="171">
        <f>Calc!O193</f>
        <v>13.697448574265083</v>
      </c>
      <c r="D193" s="171">
        <f>Calc!P193</f>
        <v>1.4235186712213774E-3</v>
      </c>
      <c r="E193" s="171">
        <f>Calc!X193</f>
        <v>0.95597852031634223</v>
      </c>
      <c r="F193" s="171">
        <f>Calc!Y193</f>
        <v>3.4215769641574856E-3</v>
      </c>
      <c r="G193" s="171">
        <f>Calc!AN193</f>
        <v>1.0010509377029271</v>
      </c>
      <c r="H193" s="172">
        <f>Calc!AO193</f>
        <v>2.9676056912642159E-3</v>
      </c>
      <c r="I193" s="15">
        <f>Calc!AH193</f>
        <v>43836.063796088507</v>
      </c>
      <c r="J193" s="15">
        <f>Calc!AI193</f>
        <v>203.67319676501177</v>
      </c>
      <c r="K193" s="15">
        <f>Calc!AJ193</f>
        <v>-8.6902458957149875E-2</v>
      </c>
      <c r="L193" s="15">
        <f>Calc!AK193</f>
        <v>1.2430172299526532</v>
      </c>
      <c r="M193" s="173" t="str">
        <f>Calc!AP193</f>
        <v>Out of range</v>
      </c>
      <c r="N193" s="173" t="e">
        <f>Calc!AQ193</f>
        <v>#VALUE!</v>
      </c>
      <c r="O193" s="173" t="str">
        <f>Calc!AW193</f>
        <v>Out of range</v>
      </c>
      <c r="P193" s="173">
        <f>Calc!AX193</f>
        <v>334.43800720399997</v>
      </c>
      <c r="Q193" s="178" t="e">
        <f>Calc!BC193</f>
        <v>#VALUE!</v>
      </c>
      <c r="R193" s="173" t="e">
        <f>Calc!BD193</f>
        <v>#VALUE!</v>
      </c>
      <c r="S193" s="15">
        <f>Input!E193</f>
        <v>0</v>
      </c>
      <c r="T193" s="68"/>
    </row>
    <row r="194" spans="1:20" ht="13.5" customHeight="1" x14ac:dyDescent="0.2">
      <c r="H194" s="74"/>
    </row>
    <row r="195" spans="1:20" x14ac:dyDescent="0.2">
      <c r="A195" s="13">
        <f>Input!A195</f>
        <v>10815</v>
      </c>
      <c r="B195" s="13" t="str">
        <f>Input!B195</f>
        <v>Hu1-13</v>
      </c>
      <c r="C195" s="171">
        <f>Calc!O195</f>
        <v>13.702892446135248</v>
      </c>
      <c r="D195" s="171">
        <f>Calc!P195</f>
        <v>1.4299398370765963E-3</v>
      </c>
      <c r="E195" s="171">
        <f>Calc!X195</f>
        <v>0.95235277314738398</v>
      </c>
      <c r="F195" s="171">
        <f>Calc!Y195</f>
        <v>3.569074451089511E-3</v>
      </c>
      <c r="G195" s="171">
        <f>Calc!AN195</f>
        <v>0.99915918942065673</v>
      </c>
      <c r="H195" s="172">
        <f>Calc!AO195</f>
        <v>1.8334686945586131E-3</v>
      </c>
      <c r="I195" s="15">
        <f>Calc!AH195</f>
        <v>43937.254370389601</v>
      </c>
      <c r="J195" s="15">
        <f>Calc!AI195</f>
        <v>183.28301497608464</v>
      </c>
      <c r="K195" s="15">
        <f>Calc!AJ195</f>
        <v>-0.84863144728963835</v>
      </c>
      <c r="L195" s="15">
        <f>Calc!AK195</f>
        <v>0.99181834587156614</v>
      </c>
      <c r="M195" s="173" t="str">
        <f>Calc!AP195</f>
        <v>Out of range</v>
      </c>
      <c r="N195" s="173" t="e">
        <f>Calc!AQ195</f>
        <v>#VALUE!</v>
      </c>
      <c r="O195" s="173" t="str">
        <f>Calc!AW195</f>
        <v>Out of range</v>
      </c>
      <c r="P195" s="173">
        <f>Calc!AX195</f>
        <v>354.55868207470002</v>
      </c>
      <c r="Q195" s="178" t="e">
        <f>Calc!BC195</f>
        <v>#VALUE!</v>
      </c>
      <c r="R195" s="173" t="e">
        <f>Calc!BD195</f>
        <v>#VALUE!</v>
      </c>
      <c r="S195" s="15">
        <f>Input!E195</f>
        <v>0</v>
      </c>
      <c r="T195" s="68"/>
    </row>
    <row r="196" spans="1:20" x14ac:dyDescent="0.2">
      <c r="A196" s="68">
        <f>Input!A196</f>
        <v>11000</v>
      </c>
      <c r="B196" s="68" t="str">
        <f>Input!B196</f>
        <v>MD13-3462G-604</v>
      </c>
      <c r="C196" s="175">
        <f>Calc!O196</f>
        <v>3.5044602284759829</v>
      </c>
      <c r="D196" s="175">
        <f>Calc!P196</f>
        <v>1.3122488410448799E-4</v>
      </c>
      <c r="E196" s="175">
        <f>Calc!X196</f>
        <v>0.63659445467415166</v>
      </c>
      <c r="F196" s="175">
        <f>Calc!Y196</f>
        <v>1.1474534436261188E-3</v>
      </c>
      <c r="G196" s="175">
        <f>Calc!AN196</f>
        <v>0.85311956860790061</v>
      </c>
      <c r="H196" s="71">
        <f>Calc!AO196</f>
        <v>1.5715660462831298E-3</v>
      </c>
      <c r="I196" s="70">
        <f>Calc!AH196</f>
        <v>14335.350030349558</v>
      </c>
      <c r="J196" s="70">
        <f>Calc!AI196</f>
        <v>36.94250525621802</v>
      </c>
      <c r="K196" s="70">
        <f>Calc!AJ196</f>
        <v>92.984581363491529</v>
      </c>
      <c r="L196" s="70">
        <f>Calc!AK196</f>
        <v>0.54526971919179412</v>
      </c>
      <c r="M196" s="176">
        <f>Calc!AP196</f>
        <v>159.17490000000001</v>
      </c>
      <c r="N196" s="176">
        <f>Calc!AQ196</f>
        <v>0.68630000000000002</v>
      </c>
      <c r="O196" s="176">
        <f>Calc!AW196</f>
        <v>159.12960000000001</v>
      </c>
      <c r="P196" s="176">
        <f>Calc!AY196</f>
        <v>0.67563784349225531</v>
      </c>
      <c r="Q196" s="177">
        <f>Calc!BC196</f>
        <v>145.69377195243203</v>
      </c>
      <c r="R196" s="176">
        <f>Calc!BD196</f>
        <v>0.8983883758607808</v>
      </c>
      <c r="S196" s="70">
        <f>Input!E196</f>
        <v>604</v>
      </c>
      <c r="T196" s="68"/>
    </row>
    <row r="197" spans="1:20" x14ac:dyDescent="0.2">
      <c r="A197" s="13">
        <f>Input!A197</f>
        <v>10815</v>
      </c>
      <c r="B197" s="13" t="str">
        <f>Input!B197</f>
        <v>Hu1-13</v>
      </c>
      <c r="C197" s="171">
        <f>Calc!O197</f>
        <v>13.701380281729582</v>
      </c>
      <c r="D197" s="171">
        <f>Calc!P197</f>
        <v>1.137503920747472E-3</v>
      </c>
      <c r="E197" s="171">
        <f>Calc!X197</f>
        <v>0.94342485923676578</v>
      </c>
      <c r="F197" s="171">
        <f>Calc!Y197</f>
        <v>2.9974539260577806E-3</v>
      </c>
      <c r="G197" s="171">
        <f>Calc!AN197</f>
        <v>0.99833847376633655</v>
      </c>
      <c r="H197" s="172">
        <f>Calc!AO197</f>
        <v>2.5837943131725269E-3</v>
      </c>
      <c r="I197" s="15">
        <f>Calc!AH197</f>
        <v>44311.723484608061</v>
      </c>
      <c r="J197" s="15">
        <f>Calc!AI197</f>
        <v>181.54816778796857</v>
      </c>
      <c r="K197" s="15">
        <f>Calc!AJ197</f>
        <v>-0.44234242334373342</v>
      </c>
      <c r="L197" s="15">
        <f>Calc!AK197</f>
        <v>0.66806283898552843</v>
      </c>
      <c r="M197" s="173">
        <f>Calc!AP197</f>
        <v>750.24239999999998</v>
      </c>
      <c r="N197" s="173" t="e">
        <f>Calc!AQ197</f>
        <v>#VALUE!</v>
      </c>
      <c r="O197" s="173">
        <f>Calc!AW197</f>
        <v>750.2405</v>
      </c>
      <c r="P197" s="173">
        <f>Calc!AX197</f>
        <v>327.95056103960002</v>
      </c>
      <c r="Q197" s="178">
        <f>Calc!BC197</f>
        <v>-3.6749984909444615</v>
      </c>
      <c r="R197" s="173">
        <f>Calc!BD197</f>
        <v>6.3176382452606443</v>
      </c>
      <c r="S197" s="15">
        <f>Input!E197</f>
        <v>0</v>
      </c>
      <c r="T197" s="68"/>
    </row>
    <row r="198" spans="1:20" x14ac:dyDescent="0.2">
      <c r="A198" s="68">
        <f>Input!A198</f>
        <v>11001</v>
      </c>
      <c r="B198" s="68" t="str">
        <f>Input!B198</f>
        <v>MD13-3462G-654</v>
      </c>
      <c r="C198" s="175">
        <f>Calc!O198</f>
        <v>3.7105798349485002</v>
      </c>
      <c r="D198" s="175">
        <f>Calc!P198</f>
        <v>1.3436011868824617E-4</v>
      </c>
      <c r="E198" s="175">
        <f>Calc!X198</f>
        <v>0.33391392165006556</v>
      </c>
      <c r="F198" s="175">
        <f>Calc!Y198</f>
        <v>6.2800169474855252E-4</v>
      </c>
      <c r="G198" s="175">
        <f>Calc!AN198</f>
        <v>0.90416103730945019</v>
      </c>
      <c r="H198" s="71">
        <f>Calc!AO198</f>
        <v>1.5273972103952405E-3</v>
      </c>
      <c r="I198" s="70">
        <f>Calc!AH198</f>
        <v>30654.099478019696</v>
      </c>
      <c r="J198" s="70">
        <f>Calc!AI198</f>
        <v>77.486132563992797</v>
      </c>
      <c r="K198" s="70">
        <f>Calc!AJ198</f>
        <v>84.76762874997678</v>
      </c>
      <c r="L198" s="70">
        <f>Calc!AK198</f>
        <v>0.4376134445705081</v>
      </c>
      <c r="M198" s="176">
        <f>Calc!AP198</f>
        <v>186.5001</v>
      </c>
      <c r="N198" s="176">
        <f>Calc!AQ198</f>
        <v>0.86899999999999999</v>
      </c>
      <c r="O198" s="176">
        <f>Calc!AW198</f>
        <v>186.4776</v>
      </c>
      <c r="P198" s="176">
        <f>Calc!AY198</f>
        <v>0.83729441724427134</v>
      </c>
      <c r="Q198" s="177">
        <f>Calc!BC198</f>
        <v>143.47556031983325</v>
      </c>
      <c r="R198" s="176">
        <f>Calc!BD198</f>
        <v>0.81459186315102727</v>
      </c>
      <c r="S198" s="70">
        <f>Input!E198</f>
        <v>654</v>
      </c>
      <c r="T198" s="68"/>
    </row>
    <row r="199" spans="1:20" x14ac:dyDescent="0.2">
      <c r="A199" s="13">
        <f>Input!A199</f>
        <v>10815</v>
      </c>
      <c r="B199" s="13" t="str">
        <f>Input!B199</f>
        <v>Hu1-13</v>
      </c>
      <c r="C199" s="171">
        <f>Calc!O199</f>
        <v>13.698812867387273</v>
      </c>
      <c r="D199" s="171">
        <f>Calc!P199</f>
        <v>1.2763658783523702E-3</v>
      </c>
      <c r="E199" s="171">
        <f>Calc!X199</f>
        <v>0.94910325201196444</v>
      </c>
      <c r="F199" s="171">
        <f>Calc!Y199</f>
        <v>4.1837618256548754E-3</v>
      </c>
      <c r="G199" s="171">
        <f>Calc!AN199</f>
        <v>0.99821840349612034</v>
      </c>
      <c r="H199" s="172">
        <f>Calc!AO199</f>
        <v>2.3637343314285991E-3</v>
      </c>
      <c r="I199" s="15">
        <f>Calc!AH199</f>
        <v>44033.060626015707</v>
      </c>
      <c r="J199" s="15">
        <f>Calc!AI199</f>
        <v>220.29758181392805</v>
      </c>
      <c r="K199" s="15">
        <f>Calc!AJ199</f>
        <v>0.53358435728245723</v>
      </c>
      <c r="L199" s="15">
        <f>Calc!AK199</f>
        <v>0.89537560743203914</v>
      </c>
      <c r="M199" s="173">
        <f>Calc!AP199</f>
        <v>651.60839999999996</v>
      </c>
      <c r="N199" s="173" t="e">
        <f>Calc!AQ199</f>
        <v>#VALUE!</v>
      </c>
      <c r="O199" s="173">
        <f>Calc!AW199</f>
        <v>651.60659999999996</v>
      </c>
      <c r="P199" s="173">
        <f>Calc!AX199</f>
        <v>277.77834172180002</v>
      </c>
      <c r="Q199" s="178">
        <f>Calc!BC199</f>
        <v>3.3559497702611982</v>
      </c>
      <c r="R199" s="173">
        <f>Calc!BD199</f>
        <v>5.7341543690860881</v>
      </c>
      <c r="S199" s="15">
        <f>Input!E199</f>
        <v>0</v>
      </c>
      <c r="T199" s="68"/>
    </row>
    <row r="200" spans="1:20" x14ac:dyDescent="0.2">
      <c r="A200" s="68">
        <f>Input!A200</f>
        <v>11002</v>
      </c>
      <c r="B200" s="68" t="str">
        <f>Input!B200</f>
        <v>MD13-3462G-697</v>
      </c>
      <c r="C200" s="175">
        <f>Calc!O200</f>
        <v>4.3503120878514601</v>
      </c>
      <c r="D200" s="175">
        <f>Calc!P200</f>
        <v>1.7374701394371839E-4</v>
      </c>
      <c r="E200" s="175">
        <f>Calc!X200</f>
        <v>1.9140889836861654</v>
      </c>
      <c r="F200" s="175">
        <f>Calc!Y200</f>
        <v>2.6512120662342165E-3</v>
      </c>
      <c r="G200" s="175">
        <f>Calc!AN200</f>
        <v>0.8495639120938302</v>
      </c>
      <c r="H200" s="71">
        <f>Calc!AO200</f>
        <v>1.1794433764796858E-3</v>
      </c>
      <c r="I200" s="70">
        <f>Calc!AH200</f>
        <v>5897.1337138852286</v>
      </c>
      <c r="J200" s="70">
        <f>Calc!AI200</f>
        <v>11.562404424376131</v>
      </c>
      <c r="K200" s="70">
        <f>Calc!AJ200</f>
        <v>87.577984515769145</v>
      </c>
      <c r="L200" s="70">
        <f>Calc!AK200</f>
        <v>0.37612575524758107</v>
      </c>
      <c r="M200" s="176">
        <f>Calc!AP200</f>
        <v>159.75890000000001</v>
      </c>
      <c r="N200" s="176">
        <f>Calc!AQ200</f>
        <v>0.51900000000000002</v>
      </c>
      <c r="O200" s="176">
        <f>Calc!AW200</f>
        <v>159.64840000000001</v>
      </c>
      <c r="P200" s="176">
        <f>Calc!AY200</f>
        <v>0.51264679802755231</v>
      </c>
      <c r="Q200" s="177">
        <f>Calc!BC200</f>
        <v>137.42344683152933</v>
      </c>
      <c r="R200" s="176">
        <f>Calc!BD200</f>
        <v>0.62278596801419595</v>
      </c>
      <c r="S200" s="70">
        <f>Input!E200</f>
        <v>697</v>
      </c>
      <c r="T200" s="68"/>
    </row>
    <row r="201" spans="1:20" x14ac:dyDescent="0.2">
      <c r="A201" s="13">
        <f>Input!A201</f>
        <v>10815</v>
      </c>
      <c r="B201" s="13" t="str">
        <f>Input!B201</f>
        <v>Hu1-13</v>
      </c>
      <c r="C201" s="171">
        <f>Calc!O201</f>
        <v>13.699310400559607</v>
      </c>
      <c r="D201" s="171">
        <f>Calc!P201</f>
        <v>1.2190406672050484E-3</v>
      </c>
      <c r="E201" s="171">
        <f>Calc!X201</f>
        <v>0.94885645668163232</v>
      </c>
      <c r="F201" s="171">
        <f>Calc!Y201</f>
        <v>4.3111488416904655E-3</v>
      </c>
      <c r="G201" s="171">
        <f>Calc!AN201</f>
        <v>1.0004134064549866</v>
      </c>
      <c r="H201" s="172">
        <f>Calc!AO201</f>
        <v>2.8837427623172331E-3</v>
      </c>
      <c r="I201" s="15">
        <f>Calc!AH201</f>
        <v>44142.967096710345</v>
      </c>
      <c r="J201" s="15">
        <f>Calc!AI201</f>
        <v>237.49064681795159</v>
      </c>
      <c r="K201" s="15">
        <f>Calc!AJ201</f>
        <v>0.96471238425577255</v>
      </c>
      <c r="L201" s="15">
        <f>Calc!AK201</f>
        <v>1.1112799347895765</v>
      </c>
      <c r="M201" s="173">
        <f>Calc!AP201</f>
        <v>756.71669999999995</v>
      </c>
      <c r="N201" s="173" t="e">
        <f>Calc!AQ201</f>
        <v>#VALUE!</v>
      </c>
      <c r="O201" s="173">
        <f>Calc!AW201</f>
        <v>756.71489999999994</v>
      </c>
      <c r="P201" s="173">
        <f>Calc!AX201</f>
        <v>335.68435502929998</v>
      </c>
      <c r="Q201" s="178">
        <f>Calc!BC201</f>
        <v>8.1626557960225554</v>
      </c>
      <c r="R201" s="173">
        <f>Calc!BD201</f>
        <v>12.61112402863777</v>
      </c>
      <c r="S201" s="15">
        <f>Input!E201</f>
        <v>0</v>
      </c>
      <c r="T201" s="68"/>
    </row>
    <row r="202" spans="1:20" x14ac:dyDescent="0.2">
      <c r="A202" s="68">
        <f>Input!A202</f>
        <v>11003</v>
      </c>
      <c r="B202" s="68" t="str">
        <f>Input!B202</f>
        <v>MD13-3462G-801</v>
      </c>
      <c r="C202" s="175">
        <f>Calc!O202</f>
        <v>2.8444448085728364</v>
      </c>
      <c r="D202" s="175">
        <f>Calc!P202</f>
        <v>1.0250004119731596E-4</v>
      </c>
      <c r="E202" s="175">
        <f>Calc!X202</f>
        <v>2.6095371193117627</v>
      </c>
      <c r="F202" s="175">
        <f>Calc!Y202</f>
        <v>3.587626021911438E-3</v>
      </c>
      <c r="G202" s="175">
        <f>Calc!AN202</f>
        <v>0.93367468301582568</v>
      </c>
      <c r="H202" s="71">
        <f>Calc!AO202</f>
        <v>1.4229799694956198E-3</v>
      </c>
      <c r="I202" s="70">
        <f>Calc!AH202</f>
        <v>3110.123515199632</v>
      </c>
      <c r="J202" s="70">
        <f>Calc!AI202</f>
        <v>6.3826401629992651</v>
      </c>
      <c r="K202" s="70">
        <f>Calc!AJ202</f>
        <v>85.041559824185597</v>
      </c>
      <c r="L202" s="70">
        <f>Calc!AK202</f>
        <v>0.54588712013134144</v>
      </c>
      <c r="M202" s="176">
        <f>Calc!AP202</f>
        <v>203.06720000000001</v>
      </c>
      <c r="N202" s="176">
        <f>Calc!AQ202</f>
        <v>0.9839</v>
      </c>
      <c r="O202" s="176">
        <f>Calc!AW202</f>
        <v>202.83949999999999</v>
      </c>
      <c r="P202" s="176">
        <f>Calc!AY202</f>
        <v>0.9412455805489417</v>
      </c>
      <c r="Q202" s="177">
        <f>Calc!BC202</f>
        <v>150.74132908967675</v>
      </c>
      <c r="R202" s="176">
        <f>Calc!BD202</f>
        <v>1.0471916736226361</v>
      </c>
      <c r="S202" s="70">
        <f>Input!E202</f>
        <v>801</v>
      </c>
      <c r="T202" s="68"/>
    </row>
    <row r="203" spans="1:20" x14ac:dyDescent="0.2">
      <c r="A203" s="13">
        <f>Input!A203</f>
        <v>10815</v>
      </c>
      <c r="B203" s="13" t="str">
        <f>Input!B203</f>
        <v>Hu1-13</v>
      </c>
      <c r="C203" s="171">
        <f>Calc!O203</f>
        <v>13.699548881977183</v>
      </c>
      <c r="D203" s="171">
        <f>Calc!P203</f>
        <v>8.0113058044181109E-4</v>
      </c>
      <c r="E203" s="171">
        <f>Calc!X203</f>
        <v>0.94651534421952821</v>
      </c>
      <c r="F203" s="171">
        <f>Calc!Y203</f>
        <v>3.3284930533855534E-3</v>
      </c>
      <c r="G203" s="171">
        <f>Calc!AN203</f>
        <v>0.9994216991320487</v>
      </c>
      <c r="H203" s="172">
        <f>Calc!AO203</f>
        <v>2.3909839309332248E-3</v>
      </c>
      <c r="I203" s="15">
        <f>Calc!AH203</f>
        <v>44209.052920738301</v>
      </c>
      <c r="J203" s="15">
        <f>Calc!AI203</f>
        <v>188.01226271898054</v>
      </c>
      <c r="K203" s="15">
        <f>Calc!AJ203</f>
        <v>0.84165536197744473</v>
      </c>
      <c r="L203" s="15">
        <f>Calc!AK203</f>
        <v>1.2865391545269298</v>
      </c>
      <c r="M203" s="173">
        <f>Calc!AP203</f>
        <v>690.452</v>
      </c>
      <c r="N203" s="173" t="e">
        <f>Calc!AQ203</f>
        <v>#VALUE!</v>
      </c>
      <c r="O203" s="173">
        <f>Calc!AW203</f>
        <v>690.4502</v>
      </c>
      <c r="P203" s="173">
        <f>Calc!AX203</f>
        <v>316.35800751080001</v>
      </c>
      <c r="Q203" s="178">
        <f>Calc!BC203</f>
        <v>5.9068177467095788</v>
      </c>
      <c r="R203" s="173">
        <f>Calc!BD203</f>
        <v>9.527228390577509</v>
      </c>
      <c r="S203" s="15">
        <f>Input!E203</f>
        <v>0</v>
      </c>
      <c r="T203" s="68"/>
    </row>
    <row r="204" spans="1:20" x14ac:dyDescent="0.2">
      <c r="A204" s="68">
        <f>Input!A204</f>
        <v>11004</v>
      </c>
      <c r="B204" s="68" t="str">
        <f>Input!B204</f>
        <v>MD13-3462G-840</v>
      </c>
      <c r="C204" s="175">
        <f>Calc!O204</f>
        <v>3.0611415538365025</v>
      </c>
      <c r="D204" s="175">
        <f>Calc!P204</f>
        <v>1.0849605924095883E-4</v>
      </c>
      <c r="E204" s="175">
        <f>Calc!X204</f>
        <v>0.26574575755732149</v>
      </c>
      <c r="F204" s="175">
        <f>Calc!Y204</f>
        <v>4.7809624364528582E-4</v>
      </c>
      <c r="G204" s="175">
        <f>Calc!AN204</f>
        <v>0.98412949682949402</v>
      </c>
      <c r="H204" s="71">
        <f>Calc!AO204</f>
        <v>1.4859306657715628E-3</v>
      </c>
      <c r="I204" s="70">
        <f>Calc!AH204</f>
        <v>34618.710746726436</v>
      </c>
      <c r="J204" s="70">
        <f>Calc!AI204</f>
        <v>81.300099703247909</v>
      </c>
      <c r="K204" s="70">
        <f>Calc!AJ204</f>
        <v>78.139986044377437</v>
      </c>
      <c r="L204" s="70">
        <f>Calc!AK204</f>
        <v>0.41447315405103796</v>
      </c>
      <c r="M204" s="176">
        <f>Calc!AP204</f>
        <v>245.73689999999999</v>
      </c>
      <c r="N204" s="176">
        <f>Calc!AQ204</f>
        <v>1.4930000000000001</v>
      </c>
      <c r="O204" s="176">
        <f>Calc!AW204</f>
        <v>245.71539999999999</v>
      </c>
      <c r="P204" s="176">
        <f>Calc!AY204</f>
        <v>1.3976873689325287</v>
      </c>
      <c r="Q204" s="177">
        <f>Calc!BC204</f>
        <v>156.32317715167989</v>
      </c>
      <c r="R204" s="176">
        <f>Calc!BD204</f>
        <v>1.0333057479033509</v>
      </c>
      <c r="S204" s="70">
        <f>Input!E204</f>
        <v>840</v>
      </c>
      <c r="T204" s="68"/>
    </row>
    <row r="205" spans="1:20" x14ac:dyDescent="0.2">
      <c r="A205" s="13">
        <f>Input!A205</f>
        <v>10815</v>
      </c>
      <c r="B205" s="13" t="str">
        <f>Input!B205</f>
        <v>Hu1-13</v>
      </c>
      <c r="C205" s="171">
        <f>Calc!O205</f>
        <v>13.700860440493228</v>
      </c>
      <c r="D205" s="171">
        <f>Calc!P205</f>
        <v>1.5475793853638137E-3</v>
      </c>
      <c r="E205" s="171">
        <f>Calc!X205</f>
        <v>0.94712411301113719</v>
      </c>
      <c r="F205" s="171">
        <f>Calc!Y205</f>
        <v>3.3347600713336278E-3</v>
      </c>
      <c r="G205" s="171">
        <f>Calc!AN205</f>
        <v>0.99900275246502668</v>
      </c>
      <c r="H205" s="172">
        <f>Calc!AO205</f>
        <v>3.0323635179345366E-3</v>
      </c>
      <c r="I205" s="15">
        <f>Calc!AH205</f>
        <v>44166.345252617873</v>
      </c>
      <c r="J205" s="15">
        <f>Calc!AI205</f>
        <v>205.2561826018599</v>
      </c>
      <c r="K205" s="15">
        <f>Calc!AJ205</f>
        <v>1.1506080348155923</v>
      </c>
      <c r="L205" s="15">
        <f>Calc!AK205</f>
        <v>0.96808346279983559</v>
      </c>
      <c r="M205" s="173">
        <f>Calc!AP205</f>
        <v>647.72559999999999</v>
      </c>
      <c r="N205" s="173" t="e">
        <f>Calc!AQ205</f>
        <v>#VALUE!</v>
      </c>
      <c r="O205" s="173">
        <f>Calc!AW205</f>
        <v>647.72379999999998</v>
      </c>
      <c r="P205" s="173">
        <f>Calc!AX205</f>
        <v>290.73540472449997</v>
      </c>
      <c r="Q205" s="178">
        <f>Calc!BC205</f>
        <v>7.1578235092282325</v>
      </c>
      <c r="R205" s="173">
        <f>Calc!BD205</f>
        <v>6.6197605747002326</v>
      </c>
      <c r="S205" s="15">
        <f>Input!E205</f>
        <v>0</v>
      </c>
      <c r="T205" s="68"/>
    </row>
    <row r="206" spans="1:20" ht="13.5" customHeight="1" x14ac:dyDescent="0.2">
      <c r="H206" s="74"/>
    </row>
    <row r="207" spans="1:20" x14ac:dyDescent="0.2">
      <c r="A207" s="13">
        <f>Input!A207</f>
        <v>10815</v>
      </c>
      <c r="B207" s="13" t="str">
        <f>Input!B207</f>
        <v>Hu1-13</v>
      </c>
      <c r="C207" s="171">
        <f>Calc!O207</f>
        <v>13.694748205334923</v>
      </c>
      <c r="D207" s="171">
        <f>Calc!P207</f>
        <v>3.7730109789760272E-3</v>
      </c>
      <c r="E207" s="171">
        <f>Calc!X207</f>
        <v>0.95275718943905352</v>
      </c>
      <c r="F207" s="171">
        <f>Calc!Y207</f>
        <v>9.7333581800832583E-3</v>
      </c>
      <c r="G207" s="171">
        <f>Calc!AN207</f>
        <v>0.99561065733995957</v>
      </c>
      <c r="H207" s="172">
        <f>Calc!AO207</f>
        <v>5.7510238503577652E-3</v>
      </c>
      <c r="I207" s="15">
        <f>Calc!AH207</f>
        <v>43736.616542354976</v>
      </c>
      <c r="J207" s="15">
        <f>Calc!AI207</f>
        <v>513.15018571356018</v>
      </c>
      <c r="K207" s="15">
        <f>Calc!AJ207</f>
        <v>-0.10320863130808267</v>
      </c>
      <c r="L207" s="15">
        <f>Calc!AK207</f>
        <v>3.1987226890796467</v>
      </c>
      <c r="M207" s="173">
        <f>Calc!AP207</f>
        <v>595.64250000000004</v>
      </c>
      <c r="N207" s="173" t="e">
        <f>Calc!AQ207</f>
        <v>#VALUE!</v>
      </c>
      <c r="O207" s="173">
        <f>Calc!AW207</f>
        <v>595.64059999999995</v>
      </c>
      <c r="P207" s="173">
        <f>Calc!AX207</f>
        <v>270.94772871340001</v>
      </c>
      <c r="Q207" s="178">
        <f>Calc!BC207</f>
        <v>-0.5542888816664322</v>
      </c>
      <c r="R207" s="173">
        <f>Calc!BD207</f>
        <v>17.181442380452236</v>
      </c>
      <c r="S207" s="15">
        <f>Input!E207</f>
        <v>0</v>
      </c>
      <c r="T207" s="68"/>
    </row>
    <row r="208" spans="1:20" x14ac:dyDescent="0.2">
      <c r="A208" s="68">
        <f>Input!A208</f>
        <v>11035</v>
      </c>
      <c r="B208" s="68" t="str">
        <f>Input!B208</f>
        <v>GeoB23225-1 85-86</v>
      </c>
      <c r="C208" s="175">
        <f>Calc!O208</f>
        <v>1.9976326973385607</v>
      </c>
      <c r="D208" s="175">
        <f>Calc!P208</f>
        <v>1.2752856777352629E-4</v>
      </c>
      <c r="E208" s="175">
        <f>Calc!X208</f>
        <v>14.449478095988532</v>
      </c>
      <c r="F208" s="175">
        <f>Calc!Y208</f>
        <v>2.5279679774089455E-2</v>
      </c>
      <c r="G208" s="175">
        <f>Calc!AN208</f>
        <v>0.32224745435664204</v>
      </c>
      <c r="H208" s="71">
        <f>Calc!AO208</f>
        <v>9.5040167499462164E-4</v>
      </c>
      <c r="I208" s="70">
        <f>Calc!AH208</f>
        <v>135.24670534701045</v>
      </c>
      <c r="J208" s="70">
        <f>Calc!AI208</f>
        <v>0.46370239701846799</v>
      </c>
      <c r="K208" s="70">
        <f>Calc!AJ208</f>
        <v>127.39192215916306</v>
      </c>
      <c r="L208" s="70">
        <f>Calc!AK208</f>
        <v>1.0533177899732888</v>
      </c>
      <c r="M208" s="176">
        <f>Calc!AP208</f>
        <v>36.462899999999998</v>
      </c>
      <c r="N208" s="176">
        <f>Calc!AQ208</f>
        <v>0.13819999999999999</v>
      </c>
      <c r="O208" s="176">
        <f>Calc!AW208</f>
        <v>34.637999999999998</v>
      </c>
      <c r="P208" s="176">
        <f>Calc!AY208</f>
        <v>0.93131643017291199</v>
      </c>
      <c r="Q208" s="177">
        <f>Calc!BC208</f>
        <v>140.47349876089913</v>
      </c>
      <c r="R208" s="176">
        <f>Calc!BD208</f>
        <v>1.2187465893874767</v>
      </c>
      <c r="S208" s="70">
        <f>Input!E208</f>
        <v>85.5</v>
      </c>
      <c r="T208" s="68"/>
    </row>
    <row r="209" spans="1:20" x14ac:dyDescent="0.2">
      <c r="A209" s="13">
        <f>Input!A209</f>
        <v>10815</v>
      </c>
      <c r="B209" s="13" t="str">
        <f>Input!B209</f>
        <v>Hu1-13</v>
      </c>
      <c r="C209" s="171">
        <f>Calc!O209</f>
        <v>13.698581742146837</v>
      </c>
      <c r="D209" s="171">
        <f>Calc!P209</f>
        <v>1.4592309740635572E-3</v>
      </c>
      <c r="E209" s="171">
        <f>Calc!X209</f>
        <v>0.92598931941504736</v>
      </c>
      <c r="F209" s="171">
        <f>Calc!Y209</f>
        <v>3.9805084785867013E-3</v>
      </c>
      <c r="G209" s="171">
        <f>Calc!AN209</f>
        <v>0.99103260435363294</v>
      </c>
      <c r="H209" s="172">
        <f>Calc!AO209</f>
        <v>2.8450689926483759E-3</v>
      </c>
      <c r="I209" s="15">
        <f>Calc!AH209</f>
        <v>44806.5391238214</v>
      </c>
      <c r="J209" s="15">
        <f>Calc!AI209</f>
        <v>231.5620482451985</v>
      </c>
      <c r="K209" s="15">
        <f>Calc!AJ209</f>
        <v>-1.9841502375033127</v>
      </c>
      <c r="L209" s="15">
        <f>Calc!AK209</f>
        <v>1.2350996699366572</v>
      </c>
      <c r="M209" s="173">
        <f>Calc!AP209</f>
        <v>554.54639999999995</v>
      </c>
      <c r="N209" s="173" t="e">
        <f>Calc!AQ209</f>
        <v>#VALUE!</v>
      </c>
      <c r="O209" s="173">
        <f>Calc!AW209</f>
        <v>554.54459999999995</v>
      </c>
      <c r="P209" s="173">
        <f>Calc!AX209</f>
        <v>130.89103937959999</v>
      </c>
      <c r="Q209" s="178">
        <f>Calc!BC209</f>
        <v>-9.4891483277809172</v>
      </c>
      <c r="R209" s="173">
        <f>Calc!BD209</f>
        <v>6.1141506183393339</v>
      </c>
      <c r="S209" s="15">
        <f>Input!E209</f>
        <v>0</v>
      </c>
      <c r="T209" s="68"/>
    </row>
    <row r="210" spans="1:20" x14ac:dyDescent="0.2">
      <c r="A210" s="68">
        <f>Input!A210</f>
        <v>11036</v>
      </c>
      <c r="B210" s="68" t="str">
        <f>Input!B210</f>
        <v>GeoB23225-1 192-202 La-01</v>
      </c>
      <c r="C210" s="175">
        <f>Calc!O210</f>
        <v>3.8245283720811036</v>
      </c>
      <c r="D210" s="175">
        <f>Calc!P210</f>
        <v>3.3706143357874993E-4</v>
      </c>
      <c r="E210" s="175">
        <f>Calc!X210</f>
        <v>1.6810200252984544</v>
      </c>
      <c r="F210" s="175">
        <f>Calc!Y210</f>
        <v>2.7966622181231572E-3</v>
      </c>
      <c r="G210" s="175">
        <f>Calc!AN210</f>
        <v>0.32431312545953844</v>
      </c>
      <c r="H210" s="71">
        <f>Calc!AO210</f>
        <v>7.2783398393564726E-4</v>
      </c>
      <c r="I210" s="70">
        <f>Calc!AH210</f>
        <v>2237.0664981287105</v>
      </c>
      <c r="J210" s="70">
        <f>Calc!AI210</f>
        <v>6.2464282710100418</v>
      </c>
      <c r="K210" s="70">
        <f>Calc!AJ210</f>
        <v>126.97881859157212</v>
      </c>
      <c r="L210" s="70">
        <f>Calc!AK210</f>
        <v>0.95381334667811413</v>
      </c>
      <c r="M210" s="176">
        <f>Calc!AP210</f>
        <v>36.755600000000001</v>
      </c>
      <c r="N210" s="176">
        <f>Calc!AQ210</f>
        <v>9.8299999999999998E-2</v>
      </c>
      <c r="O210" s="176">
        <f>Calc!AW210</f>
        <v>36.645600000000002</v>
      </c>
      <c r="P210" s="176">
        <f>Calc!AY210</f>
        <v>0.11838687975107752</v>
      </c>
      <c r="Q210" s="177">
        <f>Calc!BC210</f>
        <v>140.81350731269518</v>
      </c>
      <c r="R210" s="176">
        <f>Calc!BD210</f>
        <v>1.0587796133469156</v>
      </c>
      <c r="S210" s="70">
        <f>Input!E210</f>
        <v>200</v>
      </c>
      <c r="T210" s="68"/>
    </row>
    <row r="211" spans="1:20" x14ac:dyDescent="0.2">
      <c r="A211" s="13">
        <f>Input!A211</f>
        <v>10815</v>
      </c>
      <c r="B211" s="13" t="str">
        <f>Input!B211</f>
        <v>Hu1-13</v>
      </c>
      <c r="C211" s="171">
        <f>Calc!O211</f>
        <v>13.699474278971479</v>
      </c>
      <c r="D211" s="171">
        <f>Calc!P211</f>
        <v>1.4387760730989127E-3</v>
      </c>
      <c r="E211" s="171">
        <f>Calc!X211</f>
        <v>0.92267753743680236</v>
      </c>
      <c r="F211" s="171">
        <f>Calc!Y211</f>
        <v>3.9666388161192969E-3</v>
      </c>
      <c r="G211" s="171">
        <f>Calc!AN211</f>
        <v>0.99303074533473568</v>
      </c>
      <c r="H211" s="172">
        <f>Calc!AO211</f>
        <v>2.60043193832004E-3</v>
      </c>
      <c r="I211" s="15">
        <f>Calc!AH211</f>
        <v>45060.963915877495</v>
      </c>
      <c r="J211" s="15">
        <f>Calc!AI211</f>
        <v>226.77941513838942</v>
      </c>
      <c r="K211" s="15">
        <f>Calc!AJ211</f>
        <v>-0.4198125625411997</v>
      </c>
      <c r="L211" s="15">
        <f>Calc!AK211</f>
        <v>1.0308430179835597</v>
      </c>
      <c r="M211" s="173">
        <f>Calc!AP211</f>
        <v>551.15859999999998</v>
      </c>
      <c r="N211" s="173" t="e">
        <f>Calc!AQ211</f>
        <v>#VALUE!</v>
      </c>
      <c r="O211" s="173">
        <f>Calc!AW211</f>
        <v>551.15679999999998</v>
      </c>
      <c r="P211" s="173">
        <f>Calc!AX211</f>
        <v>128.17213515029999</v>
      </c>
      <c r="Q211" s="178">
        <f>Calc!BC211</f>
        <v>-1.9886392522953547</v>
      </c>
      <c r="R211" s="173">
        <f>Calc!BD211</f>
        <v>4.8913400145482955</v>
      </c>
      <c r="S211" s="15">
        <f>Input!E211</f>
        <v>0</v>
      </c>
      <c r="T211" s="68"/>
    </row>
    <row r="212" spans="1:20" x14ac:dyDescent="0.2">
      <c r="A212" s="68">
        <f>Input!A212</f>
        <v>11037</v>
      </c>
      <c r="B212" s="68" t="str">
        <f>Input!B212</f>
        <v>GeoB23225-1 192-202 La-02</v>
      </c>
      <c r="C212" s="175">
        <f>Calc!O212</f>
        <v>4.7454366201081681</v>
      </c>
      <c r="D212" s="175">
        <f>Calc!P212</f>
        <v>3.3817872996638889E-4</v>
      </c>
      <c r="E212" s="175">
        <f>Calc!X212</f>
        <v>1.728590279158164</v>
      </c>
      <c r="F212" s="175">
        <f>Calc!Y212</f>
        <v>3.3317028615930206E-3</v>
      </c>
      <c r="G212" s="175">
        <f>Calc!AN212</f>
        <v>0.3084150476178727</v>
      </c>
      <c r="H212" s="71">
        <f>Calc!AO212</f>
        <v>5.9902761166765871E-4</v>
      </c>
      <c r="I212" s="70">
        <f>Calc!AH212</f>
        <v>2569.9526294293928</v>
      </c>
      <c r="J212" s="70">
        <f>Calc!AI212</f>
        <v>7.0297831389042145</v>
      </c>
      <c r="K212" s="70">
        <f>Calc!AJ212</f>
        <v>126.79207541078318</v>
      </c>
      <c r="L212" s="70">
        <f>Calc!AK212</f>
        <v>0.52810467815745721</v>
      </c>
      <c r="M212" s="176">
        <f>Calc!AP212</f>
        <v>34.653700000000001</v>
      </c>
      <c r="N212" s="176">
        <f>Calc!AQ212</f>
        <v>7.3800000000000004E-2</v>
      </c>
      <c r="O212" s="176">
        <f>Calc!AW212</f>
        <v>34.5625</v>
      </c>
      <c r="P212" s="176">
        <f>Calc!AY212</f>
        <v>9.3236010771795927E-2</v>
      </c>
      <c r="Q212" s="177">
        <f>Calc!BC212</f>
        <v>139.78226920564663</v>
      </c>
      <c r="R212" s="176">
        <f>Calc!BD212</f>
        <v>0.58337098564481915</v>
      </c>
      <c r="S212" s="70">
        <f>Input!E212</f>
        <v>200</v>
      </c>
      <c r="T212" s="68"/>
    </row>
    <row r="213" spans="1:20" x14ac:dyDescent="0.2">
      <c r="A213" s="13">
        <f>Input!A213</f>
        <v>10815</v>
      </c>
      <c r="B213" s="13" t="str">
        <f>Input!B213</f>
        <v>Hu1-13</v>
      </c>
      <c r="C213" s="171">
        <f>Calc!O213</f>
        <v>13.694972517348891</v>
      </c>
      <c r="D213" s="171">
        <f>Calc!P213</f>
        <v>1.4572618587837555E-3</v>
      </c>
      <c r="E213" s="171">
        <f>Calc!X213</f>
        <v>0.91554405572404218</v>
      </c>
      <c r="F213" s="171">
        <f>Calc!Y213</f>
        <v>3.5883830864015197E-3</v>
      </c>
      <c r="G213" s="171">
        <f>Calc!AN213</f>
        <v>0.99330022728259171</v>
      </c>
      <c r="H213" s="172">
        <f>Calc!AO213</f>
        <v>3.133526689222363E-3</v>
      </c>
      <c r="I213" s="15">
        <f>Calc!AH213</f>
        <v>45409.454195813298</v>
      </c>
      <c r="J213" s="15">
        <f>Calc!AI213</f>
        <v>228.41571500955229</v>
      </c>
      <c r="K213" s="15">
        <f>Calc!AJ213</f>
        <v>0.18772565128188923</v>
      </c>
      <c r="L213" s="15">
        <f>Calc!AK213</f>
        <v>1.1853807325167924</v>
      </c>
      <c r="M213" s="173">
        <f>Calc!AP213</f>
        <v>541.65470000000005</v>
      </c>
      <c r="N213" s="173" t="e">
        <f>Calc!AQ213</f>
        <v>#VALUE!</v>
      </c>
      <c r="O213" s="173">
        <f>Calc!AW213</f>
        <v>541.65290000000005</v>
      </c>
      <c r="P213" s="173">
        <f>Calc!AX213</f>
        <v>98.075081342600001</v>
      </c>
      <c r="Q213" s="178">
        <f>Calc!BC213</f>
        <v>0.86571744409342799</v>
      </c>
      <c r="R213" s="173">
        <f>Calc!BD213</f>
        <v>5.4681752236799088</v>
      </c>
      <c r="S213" s="15">
        <f>Input!E213</f>
        <v>0</v>
      </c>
      <c r="T213" s="68"/>
    </row>
    <row r="214" spans="1:20" x14ac:dyDescent="0.2">
      <c r="A214" s="68">
        <f>Input!A214</f>
        <v>11038</v>
      </c>
      <c r="B214" s="68" t="str">
        <f>Input!B214</f>
        <v>GeoB23225-1 192-202 La-03</v>
      </c>
      <c r="C214" s="175">
        <f>Calc!O214</f>
        <v>4.8921960668177853</v>
      </c>
      <c r="D214" s="175">
        <f>Calc!P214</f>
        <v>3.9221661930028149E-4</v>
      </c>
      <c r="E214" s="175">
        <f>Calc!X214</f>
        <v>1.3924739453459878</v>
      </c>
      <c r="F214" s="175">
        <f>Calc!Y214</f>
        <v>2.46023370450242E-3</v>
      </c>
      <c r="G214" s="175">
        <f>Calc!AN214</f>
        <v>0.31634918824698383</v>
      </c>
      <c r="H214" s="71">
        <f>Calc!AO214</f>
        <v>6.9525219101799758E-4</v>
      </c>
      <c r="I214" s="70">
        <f>Calc!AH214</f>
        <v>3376.7687816113485</v>
      </c>
      <c r="J214" s="70">
        <f>Calc!AI214</f>
        <v>9.5181930761042342</v>
      </c>
      <c r="K214" s="70">
        <f>Calc!AJ214</f>
        <v>126.23244243010956</v>
      </c>
      <c r="L214" s="70">
        <f>Calc!AK214</f>
        <v>0.46614003150895256</v>
      </c>
      <c r="M214" s="176">
        <f>Calc!AP214</f>
        <v>35.723300000000002</v>
      </c>
      <c r="N214" s="176">
        <f>Calc!AQ214</f>
        <v>9.1999999999999998E-2</v>
      </c>
      <c r="O214" s="176">
        <f>Calc!AW214</f>
        <v>35.652000000000001</v>
      </c>
      <c r="P214" s="176">
        <f>Calc!AY214</f>
        <v>0.10070529851781447</v>
      </c>
      <c r="Q214" s="177">
        <f>Calc!BC214</f>
        <v>139.59384118147361</v>
      </c>
      <c r="R214" s="176">
        <f>Calc!BD214</f>
        <v>0.51700418220248656</v>
      </c>
      <c r="S214" s="70">
        <f>Input!E214</f>
        <v>200</v>
      </c>
      <c r="T214" s="68"/>
    </row>
    <row r="215" spans="1:20" x14ac:dyDescent="0.2">
      <c r="A215" s="13">
        <f>Input!A215</f>
        <v>10815</v>
      </c>
      <c r="B215" s="13" t="str">
        <f>Input!B215</f>
        <v>Hu1-13</v>
      </c>
      <c r="C215" s="171">
        <f>Calc!O215</f>
        <v>13.696097839372538</v>
      </c>
      <c r="D215" s="171">
        <f>Calc!P215</f>
        <v>1.115619379184822E-3</v>
      </c>
      <c r="E215" s="171">
        <f>Calc!X215</f>
        <v>0.91698918962006304</v>
      </c>
      <c r="F215" s="171">
        <f>Calc!Y215</f>
        <v>3.3444035746695512E-3</v>
      </c>
      <c r="G215" s="171">
        <f>Calc!AN215</f>
        <v>0.99491772009603852</v>
      </c>
      <c r="H215" s="172">
        <f>Calc!AO215</f>
        <v>2.2677664728948453E-3</v>
      </c>
      <c r="I215" s="15">
        <f>Calc!AH215</f>
        <v>45415.450776835329</v>
      </c>
      <c r="J215" s="15">
        <f>Calc!AI215</f>
        <v>195.28939255064631</v>
      </c>
      <c r="K215" s="15">
        <f>Calc!AJ215</f>
        <v>-0.20186264522459307</v>
      </c>
      <c r="L215" s="15">
        <f>Calc!AK215</f>
        <v>1.3289568691304841</v>
      </c>
      <c r="M215" s="173">
        <f>Calc!AP215</f>
        <v>582.25530000000003</v>
      </c>
      <c r="N215" s="173" t="e">
        <f>Calc!AQ215</f>
        <v>#VALUE!</v>
      </c>
      <c r="O215" s="173">
        <f>Calc!AW215</f>
        <v>582.25350000000003</v>
      </c>
      <c r="P215" s="173">
        <f>Calc!AX215</f>
        <v>189.59868809439999</v>
      </c>
      <c r="Q215" s="178">
        <f>Calc!BC215</f>
        <v>-1.043923828097435</v>
      </c>
      <c r="R215" s="173">
        <f>Calc!BD215</f>
        <v>6.875436317625212</v>
      </c>
      <c r="S215" s="15">
        <f>Input!E215</f>
        <v>0</v>
      </c>
      <c r="T215" s="68"/>
    </row>
    <row r="216" spans="1:20" x14ac:dyDescent="0.2">
      <c r="A216" s="68">
        <f>Input!A216</f>
        <v>11039</v>
      </c>
      <c r="B216" s="68" t="str">
        <f>Input!B216</f>
        <v>GeoB23225-1 192-202 La-04</v>
      </c>
      <c r="C216" s="175">
        <f>Calc!O216</f>
        <v>4.4983526181123228</v>
      </c>
      <c r="D216" s="175">
        <f>Calc!P216</f>
        <v>3.546554989289613E-4</v>
      </c>
      <c r="E216" s="175">
        <f>Calc!X216</f>
        <v>2.1858117128322667</v>
      </c>
      <c r="F216" s="175">
        <f>Calc!Y216</f>
        <v>3.7018800849248669E-3</v>
      </c>
      <c r="G216" s="175">
        <f>Calc!AN216</f>
        <v>0.31633436516724622</v>
      </c>
      <c r="H216" s="71">
        <f>Calc!AO216</f>
        <v>5.7507317134816759E-4</v>
      </c>
      <c r="I216" s="70">
        <f>Calc!AH216</f>
        <v>1981.5258681689759</v>
      </c>
      <c r="J216" s="70">
        <f>Calc!AI216</f>
        <v>4.9207761298510508</v>
      </c>
      <c r="K216" s="70">
        <f>Calc!AJ216</f>
        <v>125.44335912317162</v>
      </c>
      <c r="L216" s="70">
        <f>Calc!AK216</f>
        <v>0.48587873100139395</v>
      </c>
      <c r="M216" s="176">
        <f>Calc!AP216</f>
        <v>35.752099999999999</v>
      </c>
      <c r="N216" s="176">
        <f>Calc!AQ216</f>
        <v>7.5300000000000006E-2</v>
      </c>
      <c r="O216" s="176">
        <f>Calc!AW216</f>
        <v>35.630200000000002</v>
      </c>
      <c r="P216" s="176">
        <f>Calc!AY216</f>
        <v>9.9690653898415818E-2</v>
      </c>
      <c r="Q216" s="177">
        <f>Calc!BC216</f>
        <v>138.71270132096791</v>
      </c>
      <c r="R216" s="176">
        <f>Calc!BD216</f>
        <v>0.53869015367863815</v>
      </c>
      <c r="S216" s="70">
        <f>Input!E216</f>
        <v>200</v>
      </c>
      <c r="T216" s="68"/>
    </row>
    <row r="217" spans="1:20" x14ac:dyDescent="0.2">
      <c r="A217" s="13">
        <f>Input!A217</f>
        <v>10815</v>
      </c>
      <c r="B217" s="13" t="str">
        <f>Input!B217</f>
        <v>Hu1-13</v>
      </c>
      <c r="C217" s="171">
        <f>Calc!O217</f>
        <v>13.684965067421361</v>
      </c>
      <c r="D217" s="171">
        <f>Calc!P217</f>
        <v>1.4642750387483367E-3</v>
      </c>
      <c r="E217" s="171">
        <f>Calc!X217</f>
        <v>0.91469674786207034</v>
      </c>
      <c r="F217" s="171">
        <f>Calc!Y217</f>
        <v>4.0439729887900774E-3</v>
      </c>
      <c r="G217" s="171">
        <f>Calc!AN217</f>
        <v>0.99694219220744362</v>
      </c>
      <c r="H217" s="172">
        <f>Calc!AO217</f>
        <v>2.1670858554449805E-3</v>
      </c>
      <c r="I217" s="15">
        <f>Calc!AH217</f>
        <v>45584.832553424872</v>
      </c>
      <c r="J217" s="15">
        <f>Calc!AI217</f>
        <v>224.52489834928863</v>
      </c>
      <c r="K217" s="15">
        <f>Calc!AJ217</f>
        <v>1.9877993183039511</v>
      </c>
      <c r="L217" s="15">
        <f>Calc!AK217</f>
        <v>0.93562069320026231</v>
      </c>
      <c r="M217" s="173">
        <f>Calc!AP217</f>
        <v>560.68119999999999</v>
      </c>
      <c r="N217" s="173" t="e">
        <f>Calc!AQ217</f>
        <v>#VALUE!</v>
      </c>
      <c r="O217" s="173">
        <f>Calc!AW217</f>
        <v>560.67939999999999</v>
      </c>
      <c r="P217" s="173">
        <f>Calc!AX217</f>
        <v>65.895172942200006</v>
      </c>
      <c r="Q217" s="178">
        <f>Calc!BC217</f>
        <v>9.6726185525277195</v>
      </c>
      <c r="R217" s="173">
        <f>Calc!BD217</f>
        <v>4.7266487603271976</v>
      </c>
      <c r="S217" s="15">
        <f>Input!E217</f>
        <v>0</v>
      </c>
      <c r="T217" s="68"/>
    </row>
    <row r="218" spans="1:20" x14ac:dyDescent="0.2">
      <c r="A218" s="68">
        <f>Input!A218</f>
        <v>11040</v>
      </c>
      <c r="B218" s="68" t="str">
        <f>Input!B218</f>
        <v>GeoB23225-1 192-202 La-05</v>
      </c>
      <c r="C218" s="175">
        <f>Calc!O218</f>
        <v>3.8925623120244524</v>
      </c>
      <c r="D218" s="175">
        <f>Calc!P218</f>
        <v>3.8093005079254641E-4</v>
      </c>
      <c r="E218" s="175">
        <f>Calc!X218</f>
        <v>2.8103399497195491</v>
      </c>
      <c r="F218" s="175">
        <f>Calc!Y218</f>
        <v>6.4693128492112218E-3</v>
      </c>
      <c r="G218" s="175">
        <f>Calc!AN218</f>
        <v>0.31869059500355612</v>
      </c>
      <c r="H218" s="71">
        <f>Calc!AO218</f>
        <v>7.5092807463149086E-4</v>
      </c>
      <c r="I218" s="70">
        <f>Calc!AH218</f>
        <v>1344.9302727519339</v>
      </c>
      <c r="J218" s="70">
        <f>Calc!AI218</f>
        <v>4.4283944350876059</v>
      </c>
      <c r="K218" s="70">
        <f>Calc!AJ218</f>
        <v>124.02089787444525</v>
      </c>
      <c r="L218" s="70">
        <f>Calc!AK218</f>
        <v>0.76261992823566982</v>
      </c>
      <c r="M218" s="176">
        <f>Calc!AP218</f>
        <v>36.1218</v>
      </c>
      <c r="N218" s="176">
        <f>Calc!AQ218</f>
        <v>0.10440000000000001</v>
      </c>
      <c r="O218" s="176">
        <f>Calc!AW218</f>
        <v>35.9405</v>
      </c>
      <c r="P218" s="176">
        <f>Calc!AY218</f>
        <v>0.13869949558521191</v>
      </c>
      <c r="Q218" s="177">
        <f>Calc!BC218</f>
        <v>137.25991662833968</v>
      </c>
      <c r="R218" s="176">
        <f>Calc!BD218</f>
        <v>0.84573651998187815</v>
      </c>
      <c r="S218" s="70">
        <f>Input!E218</f>
        <v>200</v>
      </c>
      <c r="T218" s="68"/>
    </row>
    <row r="219" spans="1:20" x14ac:dyDescent="0.2">
      <c r="A219" s="13">
        <f>Input!A219</f>
        <v>10815</v>
      </c>
      <c r="B219" s="13" t="str">
        <f>Input!B219</f>
        <v>Hu1-13</v>
      </c>
      <c r="C219" s="171">
        <f>Calc!O219</f>
        <v>13.684965067421361</v>
      </c>
      <c r="D219" s="171">
        <f>Calc!P219</f>
        <v>1.4642750387483367E-3</v>
      </c>
      <c r="E219" s="171">
        <f>Calc!X219</f>
        <v>0.91469674786207034</v>
      </c>
      <c r="F219" s="171">
        <f>Calc!Y219</f>
        <v>4.0439729887900774E-3</v>
      </c>
      <c r="G219" s="171">
        <f>Calc!AN219</f>
        <v>0.99694219220744362</v>
      </c>
      <c r="H219" s="172">
        <f>Calc!AO219</f>
        <v>2.1670858554449805E-3</v>
      </c>
      <c r="I219" s="15">
        <f>Calc!AH219</f>
        <v>45584.832553424872</v>
      </c>
      <c r="J219" s="15">
        <f>Calc!AI219</f>
        <v>224.52489834928863</v>
      </c>
      <c r="K219" s="15">
        <f>Calc!AJ219</f>
        <v>1.9877993183039511</v>
      </c>
      <c r="L219" s="15">
        <f>Calc!AK219</f>
        <v>0.93562069320026231</v>
      </c>
      <c r="M219" s="173">
        <f>Calc!AP219</f>
        <v>560.68119999999999</v>
      </c>
      <c r="N219" s="173" t="e">
        <f>Calc!AQ219</f>
        <v>#VALUE!</v>
      </c>
      <c r="O219" s="173">
        <f>Calc!AW219</f>
        <v>560.67939999999999</v>
      </c>
      <c r="P219" s="173">
        <f>Calc!AX219</f>
        <v>92.799581026799999</v>
      </c>
      <c r="Q219" s="178">
        <f>Calc!BC219</f>
        <v>9.6726185525277195</v>
      </c>
      <c r="R219" s="173">
        <f>Calc!BD219</f>
        <v>4.7266487603271976</v>
      </c>
      <c r="S219" s="15">
        <f>Input!E219</f>
        <v>0</v>
      </c>
      <c r="T219" s="68"/>
    </row>
    <row r="220" spans="1:20" ht="13.5" customHeight="1" x14ac:dyDescent="0.2">
      <c r="H220" s="74"/>
    </row>
    <row r="221" spans="1:20" x14ac:dyDescent="0.2">
      <c r="A221" s="13">
        <f>Input!A221</f>
        <v>10815</v>
      </c>
      <c r="B221" s="13" t="str">
        <f>Input!B221</f>
        <v>Hu1-13</v>
      </c>
      <c r="C221" s="171">
        <f>Calc!O221</f>
        <v>13.70019381525255</v>
      </c>
      <c r="D221" s="171">
        <f>Calc!P221</f>
        <v>1.776436321020283E-3</v>
      </c>
      <c r="E221" s="171">
        <f>Calc!X221</f>
        <v>0.98120097677872797</v>
      </c>
      <c r="F221" s="171">
        <f>Calc!Y221</f>
        <v>4.8485601262035468E-3</v>
      </c>
      <c r="G221" s="171">
        <f>Calc!AN221</f>
        <v>0.99743248090957537</v>
      </c>
      <c r="H221" s="172">
        <f>Calc!AO221</f>
        <v>2.84382618285367E-3</v>
      </c>
      <c r="I221" s="15">
        <f>Calc!AH221</f>
        <v>42563.376744673042</v>
      </c>
      <c r="J221" s="15">
        <f>Calc!AI221</f>
        <v>242.76128431854337</v>
      </c>
      <c r="K221" s="15">
        <f>Calc!AJ221</f>
        <v>0.8933651357243555</v>
      </c>
      <c r="L221" s="15">
        <f>Calc!AK221</f>
        <v>1.0406033487360185</v>
      </c>
      <c r="M221" s="173">
        <f>Calc!AP221</f>
        <v>606.80790000000002</v>
      </c>
      <c r="N221" s="173" t="e">
        <f>Calc!AQ221</f>
        <v>#VALUE!</v>
      </c>
      <c r="O221" s="173">
        <f>Calc!AW221</f>
        <v>606.80600000000004</v>
      </c>
      <c r="P221" s="173">
        <f>Calc!AX221</f>
        <v>208.52754901399999</v>
      </c>
      <c r="Q221" s="178">
        <f>Calc!BC221</f>
        <v>4.9514627861177436</v>
      </c>
      <c r="R221" s="173">
        <f>Calc!BD221</f>
        <v>5.9034657401686808</v>
      </c>
      <c r="S221" s="15">
        <f>Input!E221</f>
        <v>0</v>
      </c>
      <c r="T221" s="68"/>
    </row>
    <row r="222" spans="1:20" x14ac:dyDescent="0.2">
      <c r="A222" s="68">
        <f>Input!A222</f>
        <v>11041</v>
      </c>
      <c r="B222" s="68" t="str">
        <f>Input!B222</f>
        <v>GeoB23225-1 192-202 La-06</v>
      </c>
      <c r="C222" s="175">
        <f>Calc!O222</f>
        <v>4.5249476297484383</v>
      </c>
      <c r="D222" s="175">
        <f>Calc!P222</f>
        <v>3.421701853310214E-4</v>
      </c>
      <c r="E222" s="175">
        <f>Calc!X222</f>
        <v>4.0854388512012338</v>
      </c>
      <c r="F222" s="175">
        <f>Calc!Y222</f>
        <v>7.5476389482268987E-3</v>
      </c>
      <c r="G222" s="175">
        <f>Calc!AN222</f>
        <v>0.32012671799391901</v>
      </c>
      <c r="H222" s="71">
        <f>Calc!AO222</f>
        <v>6.5982457766947231E-4</v>
      </c>
      <c r="I222" s="70">
        <f>Calc!AH222</f>
        <v>1080.0324996366714</v>
      </c>
      <c r="J222" s="70">
        <f>Calc!AI222</f>
        <v>2.9883210678542707</v>
      </c>
      <c r="K222" s="70">
        <f>Calc!AJ222</f>
        <v>124.18684294443838</v>
      </c>
      <c r="L222" s="70">
        <f>Calc!AK222</f>
        <v>0.55482145303287111</v>
      </c>
      <c r="M222" s="176">
        <f>Calc!AP222</f>
        <v>36.307200000000002</v>
      </c>
      <c r="N222" s="176">
        <f>Calc!AQ222</f>
        <v>8.9300000000000004E-2</v>
      </c>
      <c r="O222" s="176">
        <f>Calc!AW222</f>
        <v>36.080399999999997</v>
      </c>
      <c r="P222" s="176">
        <f>Calc!AY222</f>
        <v>0.1456169336360994</v>
      </c>
      <c r="Q222" s="177">
        <f>Calc!BC222</f>
        <v>137.49785033912175</v>
      </c>
      <c r="R222" s="176">
        <f>Calc!BD222</f>
        <v>0.61688332898362996</v>
      </c>
      <c r="S222" s="70">
        <f>Input!E222</f>
        <v>200</v>
      </c>
      <c r="T222" s="68"/>
    </row>
    <row r="223" spans="1:20" x14ac:dyDescent="0.2">
      <c r="A223" s="13">
        <f>Input!A223</f>
        <v>10815</v>
      </c>
      <c r="B223" s="13" t="str">
        <f>Input!B223</f>
        <v>Hu1-13</v>
      </c>
      <c r="C223" s="171">
        <f>Calc!O223</f>
        <v>13.702319227936716</v>
      </c>
      <c r="D223" s="171">
        <f>Calc!P223</f>
        <v>1.5983064019966379E-3</v>
      </c>
      <c r="E223" s="171">
        <f>Calc!X223</f>
        <v>0.98328449453627764</v>
      </c>
      <c r="F223" s="171">
        <f>Calc!Y223</f>
        <v>4.8179825891009366E-3</v>
      </c>
      <c r="G223" s="171">
        <f>Calc!AN223</f>
        <v>0.99592975273815088</v>
      </c>
      <c r="H223" s="172">
        <f>Calc!AO223</f>
        <v>2.871026146601782E-3</v>
      </c>
      <c r="I223" s="15">
        <f>Calc!AH223</f>
        <v>42415.776939263349</v>
      </c>
      <c r="J223" s="15">
        <f>Calc!AI223</f>
        <v>241.08280918532512</v>
      </c>
      <c r="K223" s="15">
        <f>Calc!AJ223</f>
        <v>-1.2272096903466201</v>
      </c>
      <c r="L223" s="15">
        <f>Calc!AK223</f>
        <v>1.6146325278640556</v>
      </c>
      <c r="M223" s="173">
        <f>Calc!AP223</f>
        <v>661.29549999999995</v>
      </c>
      <c r="N223" s="173" t="e">
        <f>Calc!AQ223</f>
        <v>#VALUE!</v>
      </c>
      <c r="O223" s="173">
        <f>Calc!AW223</f>
        <v>661.29359999999997</v>
      </c>
      <c r="P223" s="173">
        <f>Calc!AX223</f>
        <v>306.35618893349999</v>
      </c>
      <c r="Q223" s="178">
        <f>Calc!BC223</f>
        <v>-7.932381173994413</v>
      </c>
      <c r="R223" s="173">
        <f>Calc!BD223</f>
        <v>11.130050898952746</v>
      </c>
      <c r="S223" s="15">
        <f>Input!E223</f>
        <v>0</v>
      </c>
      <c r="T223" s="68"/>
    </row>
    <row r="224" spans="1:20" x14ac:dyDescent="0.2">
      <c r="A224" s="68">
        <f>Input!A224</f>
        <v>11042</v>
      </c>
      <c r="B224" s="68" t="str">
        <f>Input!B224</f>
        <v>GeoB23225-1 192-202 La-07</v>
      </c>
      <c r="C224" s="175">
        <f>Calc!O224</f>
        <v>4.7751235552867586</v>
      </c>
      <c r="D224" s="175">
        <f>Calc!P224</f>
        <v>3.2714392537049134E-4</v>
      </c>
      <c r="E224" s="175">
        <f>Calc!X224</f>
        <v>4.1806537098761867</v>
      </c>
      <c r="F224" s="175">
        <f>Calc!Y224</f>
        <v>7.8016838410637059E-3</v>
      </c>
      <c r="G224" s="175">
        <f>Calc!AN224</f>
        <v>0.31421130004316666</v>
      </c>
      <c r="H224" s="71">
        <f>Calc!AO224</f>
        <v>8.3294420517501214E-4</v>
      </c>
      <c r="I224" s="70">
        <f>Calc!AH224</f>
        <v>1090.3391959712314</v>
      </c>
      <c r="J224" s="70">
        <f>Calc!AI224</f>
        <v>3.5339572627294471</v>
      </c>
      <c r="K224" s="70">
        <f>Calc!AJ224</f>
        <v>125.03216742169742</v>
      </c>
      <c r="L224" s="70">
        <f>Calc!AK224</f>
        <v>0.57091238359993934</v>
      </c>
      <c r="M224" s="176">
        <f>Calc!AP224</f>
        <v>35.486199999999997</v>
      </c>
      <c r="N224" s="176">
        <f>Calc!AQ224</f>
        <v>0.1166</v>
      </c>
      <c r="O224" s="176">
        <f>Calc!AW224</f>
        <v>35.266399999999997</v>
      </c>
      <c r="P224" s="176">
        <f>Calc!AY224</f>
        <v>0.15763683539592005</v>
      </c>
      <c r="Q224" s="177">
        <f>Calc!BC224</f>
        <v>138.11614206283522</v>
      </c>
      <c r="R224" s="176">
        <f>Calc!BD224</f>
        <v>0.63364142024327264</v>
      </c>
      <c r="S224" s="70">
        <f>Input!E224</f>
        <v>200</v>
      </c>
      <c r="T224" s="68"/>
    </row>
    <row r="225" spans="1:20" x14ac:dyDescent="0.2">
      <c r="A225" s="13">
        <f>Input!A225</f>
        <v>10815</v>
      </c>
      <c r="B225" s="13" t="str">
        <f>Input!B225</f>
        <v>Hu1-13</v>
      </c>
      <c r="C225" s="171">
        <f>Calc!O225</f>
        <v>13.699389058513175</v>
      </c>
      <c r="D225" s="171">
        <f>Calc!P225</f>
        <v>1.2683033637480607E-3</v>
      </c>
      <c r="E225" s="171">
        <f>Calc!X225</f>
        <v>0.96205199541326469</v>
      </c>
      <c r="F225" s="171">
        <f>Calc!Y225</f>
        <v>3.1536326797373892E-3</v>
      </c>
      <c r="G225" s="171">
        <f>Calc!AN225</f>
        <v>0.99220388718921826</v>
      </c>
      <c r="H225" s="172">
        <f>Calc!AO225</f>
        <v>2.2318652410220048E-3</v>
      </c>
      <c r="I225" s="15">
        <f>Calc!AH225</f>
        <v>43180.474299249567</v>
      </c>
      <c r="J225" s="15">
        <f>Calc!AI225</f>
        <v>171.62106623496456</v>
      </c>
      <c r="K225" s="15">
        <f>Calc!AJ225</f>
        <v>-0.92454020718579777</v>
      </c>
      <c r="L225" s="15">
        <f>Calc!AK225</f>
        <v>1.3413403473254315</v>
      </c>
      <c r="M225" s="173">
        <f>Calc!AP225</f>
        <v>549.12199999999996</v>
      </c>
      <c r="N225" s="173" t="e">
        <f>Calc!AQ225</f>
        <v>#VALUE!</v>
      </c>
      <c r="O225" s="173">
        <f>Calc!AW225</f>
        <v>549.12009999999998</v>
      </c>
      <c r="P225" s="173">
        <f>Calc!AX225</f>
        <v>116.0459964341</v>
      </c>
      <c r="Q225" s="178">
        <f>Calc!BC225</f>
        <v>-4.3544187366050098</v>
      </c>
      <c r="R225" s="173">
        <f>Calc!BD225</f>
        <v>6.3459684200487292</v>
      </c>
      <c r="S225" s="15">
        <f>Input!E225</f>
        <v>0</v>
      </c>
      <c r="T225" s="68"/>
    </row>
    <row r="226" spans="1:20" x14ac:dyDescent="0.2">
      <c r="A226" s="68">
        <f>Input!A226</f>
        <v>11043</v>
      </c>
      <c r="B226" s="68" t="str">
        <f>Input!B226</f>
        <v>GeoB23225-1 24-28 La-01</v>
      </c>
      <c r="C226" s="175">
        <f>Calc!O226</f>
        <v>4.1339504898824364</v>
      </c>
      <c r="D226" s="175">
        <f>Calc!P226</f>
        <v>2.4328974682987403E-4</v>
      </c>
      <c r="E226" s="175">
        <f>Calc!X226</f>
        <v>4.4627030612061196</v>
      </c>
      <c r="F226" s="175">
        <f>Calc!Y226</f>
        <v>6.0540318137274072E-3</v>
      </c>
      <c r="G226" s="175">
        <f>Calc!AN226</f>
        <v>0.15398445111499443</v>
      </c>
      <c r="H226" s="71">
        <f>Calc!AO226</f>
        <v>3.5425533750874577E-4</v>
      </c>
      <c r="I226" s="70">
        <f>Calc!AH226</f>
        <v>432.23975675861618</v>
      </c>
      <c r="J226" s="70">
        <f>Calc!AI226</f>
        <v>1.1541350756163369</v>
      </c>
      <c r="K226" s="70">
        <f>Calc!AJ226</f>
        <v>137.41573120929519</v>
      </c>
      <c r="L226" s="70">
        <f>Calc!AK226</f>
        <v>0.67678692643652572</v>
      </c>
      <c r="M226" s="176">
        <f>Calc!AP226</f>
        <v>15.817</v>
      </c>
      <c r="N226" s="176">
        <f>Calc!AQ226</f>
        <v>3.8600000000000002E-2</v>
      </c>
      <c r="O226" s="176">
        <f>Calc!AW226</f>
        <v>15.5472</v>
      </c>
      <c r="P226" s="176">
        <f>Calc!AY226</f>
        <v>0.14114871133489079</v>
      </c>
      <c r="Q226" s="177">
        <f>Calc!BC226</f>
        <v>143.57908473498114</v>
      </c>
      <c r="R226" s="176">
        <f>Calc!BD226</f>
        <v>0.70945108855903261</v>
      </c>
      <c r="S226" s="70">
        <f>Input!E226</f>
        <v>26</v>
      </c>
      <c r="T226" s="68"/>
    </row>
    <row r="227" spans="1:20" x14ac:dyDescent="0.2">
      <c r="A227" s="13">
        <f>Input!A227</f>
        <v>10815</v>
      </c>
      <c r="B227" s="13" t="str">
        <f>Input!B227</f>
        <v>Hu1-13</v>
      </c>
      <c r="C227" s="171">
        <f>Calc!O227</f>
        <v>13.701306827317989</v>
      </c>
      <c r="D227" s="171">
        <f>Calc!P227</f>
        <v>1.6043747333817527E-3</v>
      </c>
      <c r="E227" s="171">
        <f>Calc!X227</f>
        <v>0.96617627927764405</v>
      </c>
      <c r="F227" s="171">
        <f>Calc!Y227</f>
        <v>3.4812424582589983E-3</v>
      </c>
      <c r="G227" s="171">
        <f>Calc!AN227</f>
        <v>0.99081443546593051</v>
      </c>
      <c r="H227" s="172">
        <f>Calc!AO227</f>
        <v>2.8215400602872444E-3</v>
      </c>
      <c r="I227" s="15">
        <f>Calc!AH227</f>
        <v>42941.951366326415</v>
      </c>
      <c r="J227" s="15">
        <f>Calc!AI227</f>
        <v>197.15030741699914</v>
      </c>
      <c r="K227" s="15">
        <f>Calc!AJ227</f>
        <v>-1.2028311982783535</v>
      </c>
      <c r="L227" s="15">
        <f>Calc!AK227</f>
        <v>1.3263334064559629</v>
      </c>
      <c r="M227" s="173">
        <f>Calc!AP227</f>
        <v>533.44359999999995</v>
      </c>
      <c r="N227" s="173" t="e">
        <f>Calc!AQ227</f>
        <v>#VALUE!</v>
      </c>
      <c r="O227" s="173">
        <f>Calc!AW227</f>
        <v>533.44169999999997</v>
      </c>
      <c r="P227" s="173">
        <f>Calc!AX227</f>
        <v>47.426507174699999</v>
      </c>
      <c r="Q227" s="178">
        <f>Calc!BC227</f>
        <v>-5.419928338802781</v>
      </c>
      <c r="R227" s="173">
        <f>Calc!BD227</f>
        <v>6.0233028670436184</v>
      </c>
      <c r="S227" s="15">
        <f>Input!E227</f>
        <v>0</v>
      </c>
      <c r="T227" s="68"/>
    </row>
    <row r="228" spans="1:20" x14ac:dyDescent="0.2">
      <c r="A228" s="68">
        <f>Input!A228</f>
        <v>11044</v>
      </c>
      <c r="B228" s="68" t="str">
        <f>Input!B228</f>
        <v>GeoB23225-1 24-28 La-03</v>
      </c>
      <c r="C228" s="175">
        <f>Calc!O228</f>
        <v>4.0980548443335536</v>
      </c>
      <c r="D228" s="175">
        <f>Calc!P228</f>
        <v>2.0492160320670388E-4</v>
      </c>
      <c r="E228" s="175">
        <f>Calc!X228</f>
        <v>0.70691849772817394</v>
      </c>
      <c r="F228" s="175">
        <f>Calc!Y228</f>
        <v>1.2408323300360749E-3</v>
      </c>
      <c r="G228" s="175">
        <f>Calc!AN228</f>
        <v>0.15630035079788679</v>
      </c>
      <c r="H228" s="71">
        <f>Calc!AO228</f>
        <v>4.0829717715011561E-4</v>
      </c>
      <c r="I228" s="70">
        <f>Calc!AH228</f>
        <v>2746.2493388121734</v>
      </c>
      <c r="J228" s="70">
        <f>Calc!AI228</f>
        <v>8.6419073033604654</v>
      </c>
      <c r="K228" s="70">
        <f>Calc!AJ228</f>
        <v>136.49082343006413</v>
      </c>
      <c r="L228" s="70">
        <f>Calc!AK228</f>
        <v>0.6694585086216992</v>
      </c>
      <c r="M228" s="176">
        <f>Calc!AP228</f>
        <v>16.0869</v>
      </c>
      <c r="N228" s="176">
        <f>Calc!AQ228</f>
        <v>0.04</v>
      </c>
      <c r="O228" s="176">
        <f>Calc!AW228</f>
        <v>16.043800000000001</v>
      </c>
      <c r="P228" s="176">
        <f>Calc!AY228</f>
        <v>5.1151287266752637E-2</v>
      </c>
      <c r="Q228" s="177">
        <f>Calc!BC228</f>
        <v>142.81269563698336</v>
      </c>
      <c r="R228" s="176">
        <f>Calc!BD228</f>
        <v>0.70076924658203466</v>
      </c>
      <c r="S228" s="70">
        <f>Input!E228</f>
        <v>26</v>
      </c>
      <c r="T228" s="68"/>
    </row>
    <row r="229" spans="1:20" x14ac:dyDescent="0.2">
      <c r="A229" s="13">
        <f>Input!A229</f>
        <v>10815</v>
      </c>
      <c r="B229" s="13" t="str">
        <f>Input!B229</f>
        <v>Hu1-13</v>
      </c>
      <c r="C229" s="171">
        <f>Calc!O229</f>
        <v>13.701620174356757</v>
      </c>
      <c r="D229" s="171">
        <f>Calc!P229</f>
        <v>1.531634516122798E-3</v>
      </c>
      <c r="E229" s="171">
        <f>Calc!X229</f>
        <v>0.95782565644168127</v>
      </c>
      <c r="F229" s="171">
        <f>Calc!Y229</f>
        <v>3.7677007159413519E-3</v>
      </c>
      <c r="G229" s="171">
        <f>Calc!AN229</f>
        <v>0.99261958739751277</v>
      </c>
      <c r="H229" s="172">
        <f>Calc!AO229</f>
        <v>2.2661321555038833E-3</v>
      </c>
      <c r="I229" s="15">
        <f>Calc!AH229</f>
        <v>43396.242599303579</v>
      </c>
      <c r="J229" s="15">
        <f>Calc!AI229</f>
        <v>197.31073637540877</v>
      </c>
      <c r="K229" s="15">
        <f>Calc!AJ229</f>
        <v>0.59334202980809714</v>
      </c>
      <c r="L229" s="15">
        <f>Calc!AK229</f>
        <v>1.4851862612918361</v>
      </c>
      <c r="M229" s="173">
        <f>Calc!AP229</f>
        <v>523.7242</v>
      </c>
      <c r="N229" s="173">
        <f>Calc!AQ229</f>
        <v>44.385199999999998</v>
      </c>
      <c r="O229" s="173">
        <f>Calc!AW229</f>
        <v>523.72230000000002</v>
      </c>
      <c r="P229" s="173">
        <f>Calc!AX229</f>
        <v>82.415644936299998</v>
      </c>
      <c r="Q229" s="178">
        <f>Calc!BC229</f>
        <v>2.6012484073089674</v>
      </c>
      <c r="R229" s="173">
        <f>Calc!BD229</f>
        <v>6.5179206848236735</v>
      </c>
      <c r="S229" s="15">
        <f>Input!E229</f>
        <v>0</v>
      </c>
      <c r="T229" s="68"/>
    </row>
    <row r="230" spans="1:20" x14ac:dyDescent="0.2">
      <c r="A230" s="68">
        <f>Input!A230</f>
        <v>11045</v>
      </c>
      <c r="B230" s="68" t="str">
        <f>Input!B230</f>
        <v>GeoB23225-1 24-28 La-04</v>
      </c>
      <c r="C230" s="175">
        <f>Calc!O230</f>
        <v>4.8601417807667344</v>
      </c>
      <c r="D230" s="175">
        <f>Calc!P230</f>
        <v>2.8080578436754397E-4</v>
      </c>
      <c r="E230" s="175">
        <f>Calc!X230</f>
        <v>1.1360430572508469</v>
      </c>
      <c r="F230" s="175">
        <f>Calc!Y230</f>
        <v>1.9031627715592804E-3</v>
      </c>
      <c r="G230" s="175">
        <f>Calc!AN230</f>
        <v>0.15813528877310062</v>
      </c>
      <c r="H230" s="71">
        <f>Calc!AO230</f>
        <v>4.1596554243114006E-4</v>
      </c>
      <c r="I230" s="70">
        <f>Calc!AH230</f>
        <v>2052.9156645617022</v>
      </c>
      <c r="J230" s="70">
        <f>Calc!AI230</f>
        <v>6.4011357680622218</v>
      </c>
      <c r="K230" s="70">
        <f>Calc!AJ230</f>
        <v>135.89028339708787</v>
      </c>
      <c r="L230" s="70">
        <f>Calc!AK230</f>
        <v>0.75144388324529166</v>
      </c>
      <c r="M230" s="176">
        <f>Calc!AP230</f>
        <v>16.299399999999999</v>
      </c>
      <c r="N230" s="176">
        <f>Calc!AQ230</f>
        <v>4.99E-2</v>
      </c>
      <c r="O230" s="176">
        <f>Calc!AW230</f>
        <v>16.241</v>
      </c>
      <c r="P230" s="176">
        <f>Calc!AY230</f>
        <v>5.5916572272568417E-2</v>
      </c>
      <c r="Q230" s="177">
        <f>Calc!BC230</f>
        <v>142.26348933543701</v>
      </c>
      <c r="R230" s="176">
        <f>Calc!BD230</f>
        <v>0.78700657761261217</v>
      </c>
      <c r="S230" s="70">
        <f>Input!E230</f>
        <v>26</v>
      </c>
      <c r="T230" s="68"/>
    </row>
    <row r="231" spans="1:20" x14ac:dyDescent="0.2">
      <c r="A231" s="13">
        <f>Input!A231</f>
        <v>10815</v>
      </c>
      <c r="B231" s="13" t="str">
        <f>Input!B231</f>
        <v>Hu1-13</v>
      </c>
      <c r="C231" s="171">
        <f>Calc!O231</f>
        <v>13.699322702238224</v>
      </c>
      <c r="D231" s="171">
        <f>Calc!P231</f>
        <v>1.3436642692017824E-3</v>
      </c>
      <c r="E231" s="171">
        <f>Calc!X231</f>
        <v>0.9653363741801434</v>
      </c>
      <c r="F231" s="171">
        <f>Calc!Y231</f>
        <v>4.3748663666274452E-3</v>
      </c>
      <c r="G231" s="171">
        <f>Calc!AN231</f>
        <v>0.99317504364605014</v>
      </c>
      <c r="H231" s="172">
        <f>Calc!AO231</f>
        <v>1.8965570926078393E-3</v>
      </c>
      <c r="I231" s="15">
        <f>Calc!AH231</f>
        <v>43075.472759249868</v>
      </c>
      <c r="J231" s="15">
        <f>Calc!AI231</f>
        <v>211.79636604604713</v>
      </c>
      <c r="K231" s="15">
        <f>Calc!AJ231</f>
        <v>0.29295880168311861</v>
      </c>
      <c r="L231" s="15">
        <f>Calc!AK231</f>
        <v>1.1232284048168464</v>
      </c>
      <c r="M231" s="173">
        <f>Calc!AP231</f>
        <v>537.476</v>
      </c>
      <c r="N231" s="173">
        <f>Calc!AQ231</f>
        <v>51.569499999999998</v>
      </c>
      <c r="O231" s="173">
        <f>Calc!AW231</f>
        <v>537.47410000000002</v>
      </c>
      <c r="P231" s="173">
        <f>Calc!AX231</f>
        <v>52.7075875564</v>
      </c>
      <c r="Q231" s="178">
        <f>Calc!BC231</f>
        <v>1.3351729983085818</v>
      </c>
      <c r="R231" s="173">
        <f>Calc!BD231</f>
        <v>5.1210485044697753</v>
      </c>
      <c r="S231" s="15">
        <f>Input!E231</f>
        <v>0</v>
      </c>
      <c r="T231" s="68"/>
    </row>
    <row r="232" spans="1:20" x14ac:dyDescent="0.2">
      <c r="A232" s="68">
        <f>Input!A232</f>
        <v>11046</v>
      </c>
      <c r="B232" s="68" t="str">
        <f>Input!B232</f>
        <v>GeoB23225-1 24-28 La-06</v>
      </c>
      <c r="C232" s="175">
        <f>Calc!O232</f>
        <v>4.6212726091876126</v>
      </c>
      <c r="D232" s="175">
        <f>Calc!P232</f>
        <v>3.5766733956559763E-4</v>
      </c>
      <c r="E232" s="175">
        <f>Calc!X232</f>
        <v>3.5218097020024008</v>
      </c>
      <c r="F232" s="175">
        <f>Calc!Y232</f>
        <v>6.7380186219384375E-3</v>
      </c>
      <c r="G232" s="175">
        <f>Calc!AN232</f>
        <v>0.15826119715750503</v>
      </c>
      <c r="H232" s="71">
        <f>Calc!AO232</f>
        <v>4.6011317504902156E-4</v>
      </c>
      <c r="I232" s="70">
        <f>Calc!AH232</f>
        <v>630.34712559739262</v>
      </c>
      <c r="J232" s="70">
        <f>Calc!AI232</f>
        <v>2.1932866654060015</v>
      </c>
      <c r="K232" s="70">
        <f>Calc!AJ232</f>
        <v>134.5691285381161</v>
      </c>
      <c r="L232" s="70">
        <f>Calc!AK232</f>
        <v>0.6402919353420774</v>
      </c>
      <c r="M232" s="176">
        <f>Calc!AP232</f>
        <v>16.334199999999999</v>
      </c>
      <c r="N232" s="176">
        <f>Calc!AQ232</f>
        <v>5.5399999999999998E-2</v>
      </c>
      <c r="O232" s="176">
        <f>Calc!AW232</f>
        <v>16.1434</v>
      </c>
      <c r="P232" s="176">
        <f>Calc!AY232</f>
        <v>0.10891546983371034</v>
      </c>
      <c r="Q232" s="177">
        <f>Calc!BC232</f>
        <v>140.8415750154106</v>
      </c>
      <c r="R232" s="176">
        <f>Calc!BD232</f>
        <v>0.67153357453253104</v>
      </c>
      <c r="S232" s="70">
        <f>Input!E232</f>
        <v>26</v>
      </c>
      <c r="T232" s="68"/>
    </row>
    <row r="233" spans="1:20" x14ac:dyDescent="0.2">
      <c r="A233" s="13">
        <f>Input!A233</f>
        <v>10815</v>
      </c>
      <c r="B233" s="13" t="str">
        <f>Input!B233</f>
        <v>Hu1-13</v>
      </c>
      <c r="C233" s="171">
        <f>Calc!O233</f>
        <v>13.699322702238224</v>
      </c>
      <c r="D233" s="171">
        <f>Calc!P233</f>
        <v>1.3436642692017824E-3</v>
      </c>
      <c r="E233" s="171">
        <f>Calc!X233</f>
        <v>0.9653363741801434</v>
      </c>
      <c r="F233" s="171">
        <f>Calc!Y233</f>
        <v>4.3748663666274452E-3</v>
      </c>
      <c r="G233" s="171">
        <f>Calc!AN233</f>
        <v>0.99317504364605014</v>
      </c>
      <c r="H233" s="172">
        <f>Calc!AO233</f>
        <v>1.8965570926078393E-3</v>
      </c>
      <c r="I233" s="15">
        <f>Calc!AH233</f>
        <v>43075.472759249868</v>
      </c>
      <c r="J233" s="15">
        <f>Calc!AI233</f>
        <v>211.79636604604713</v>
      </c>
      <c r="K233" s="15">
        <f>Calc!AJ233</f>
        <v>0.29295880168311861</v>
      </c>
      <c r="L233" s="15">
        <f>Calc!AK233</f>
        <v>1.1232284048168464</v>
      </c>
      <c r="M233" s="173">
        <f>Calc!AP233</f>
        <v>537.476</v>
      </c>
      <c r="N233" s="173">
        <f>Calc!AQ233</f>
        <v>46.014099999999999</v>
      </c>
      <c r="O233" s="173">
        <f>Calc!AW233</f>
        <v>537.47410000000002</v>
      </c>
      <c r="P233" s="173">
        <f>Calc!AX233</f>
        <v>52.639644431999997</v>
      </c>
      <c r="Q233" s="178">
        <f>Calc!BC233</f>
        <v>1.3351729983085818</v>
      </c>
      <c r="R233" s="173">
        <f>Calc!BD233</f>
        <v>5.1210485044697753</v>
      </c>
      <c r="S233" s="15">
        <f>Input!E233</f>
        <v>0</v>
      </c>
      <c r="T233" s="68"/>
    </row>
    <row r="234" spans="1:20" ht="13.5" customHeight="1" x14ac:dyDescent="0.2">
      <c r="H234" s="74"/>
    </row>
    <row r="235" spans="1:20" x14ac:dyDescent="0.2">
      <c r="A235" s="13">
        <f>Input!A235</f>
        <v>10815</v>
      </c>
      <c r="B235" s="13" t="str">
        <f>Input!B235</f>
        <v>Hu1-13</v>
      </c>
      <c r="C235" s="171">
        <f>Calc!O235</f>
        <v>13.704816037935602</v>
      </c>
      <c r="D235" s="171">
        <f>Calc!P235</f>
        <v>1.3080998577414515E-3</v>
      </c>
      <c r="E235" s="171">
        <f>Calc!X235</f>
        <v>0.964181908544406</v>
      </c>
      <c r="F235" s="171">
        <f>Calc!Y235</f>
        <v>4.4923171164832805E-3</v>
      </c>
      <c r="G235" s="171">
        <f>Calc!AN235</f>
        <v>0.99304215654683603</v>
      </c>
      <c r="H235" s="172">
        <f>Calc!AO235</f>
        <v>2.5156323234045968E-3</v>
      </c>
      <c r="I235" s="15">
        <f>Calc!AH235</f>
        <v>43138.57021474545</v>
      </c>
      <c r="J235" s="15">
        <f>Calc!AI235</f>
        <v>228.74199710772783</v>
      </c>
      <c r="K235" s="15">
        <f>Calc!AJ235</f>
        <v>0.60386724241912049</v>
      </c>
      <c r="L235" s="15">
        <f>Calc!AK235</f>
        <v>1.2732924393311229</v>
      </c>
      <c r="M235" s="173">
        <f>Calc!AP235</f>
        <v>529.2672</v>
      </c>
      <c r="N235" s="173" t="e">
        <f>Calc!AQ235</f>
        <v>#VALUE!</v>
      </c>
      <c r="O235" s="173">
        <f>Calc!AW235</f>
        <v>529.26530000000002</v>
      </c>
      <c r="P235" s="173">
        <f>Calc!AX235</f>
        <v>89.935062059000003</v>
      </c>
      <c r="Q235" s="178">
        <f>Calc!BC235</f>
        <v>2.6891294857429919</v>
      </c>
      <c r="R235" s="173">
        <f>Calc!BD235</f>
        <v>5.6794582101879323</v>
      </c>
      <c r="S235" s="15">
        <f>Input!E235</f>
        <v>0</v>
      </c>
      <c r="T235" s="68"/>
    </row>
    <row r="236" spans="1:20" x14ac:dyDescent="0.2">
      <c r="A236" s="68">
        <f>Input!A236</f>
        <v>11047</v>
      </c>
      <c r="B236" s="68" t="str">
        <f>Input!B236</f>
        <v>GeoB23225-1 24-28 La-07</v>
      </c>
      <c r="C236" s="175">
        <f>Calc!O236</f>
        <v>5.1113689354318481</v>
      </c>
      <c r="D236" s="175">
        <f>Calc!P236</f>
        <v>3.8022472735822337E-4</v>
      </c>
      <c r="E236" s="175">
        <f>Calc!X236</f>
        <v>28.574967756455703</v>
      </c>
      <c r="F236" s="175">
        <f>Calc!Y236</f>
        <v>4.238385475487598E-2</v>
      </c>
      <c r="G236" s="175">
        <f>Calc!AN236</f>
        <v>0.16190978811273707</v>
      </c>
      <c r="H236" s="71">
        <f>Calc!AO236</f>
        <v>3.3868236942969618E-4</v>
      </c>
      <c r="I236" s="70">
        <f>Calc!AH236</f>
        <v>87.85796359666783</v>
      </c>
      <c r="J236" s="70">
        <f>Calc!AI236</f>
        <v>0.22519958749969826</v>
      </c>
      <c r="K236" s="70">
        <f>Calc!AJ236</f>
        <v>136.4562906352491</v>
      </c>
      <c r="L236" s="70">
        <f>Calc!AK236</f>
        <v>0.64256884038690731</v>
      </c>
      <c r="M236" s="176">
        <f>Calc!AP236</f>
        <v>16.709399999999999</v>
      </c>
      <c r="N236" s="176">
        <f>Calc!AQ236</f>
        <v>3.6600000000000001E-2</v>
      </c>
      <c r="O236" s="176">
        <f>Calc!AW236</f>
        <v>15.304</v>
      </c>
      <c r="P236" s="176">
        <f>Calc!AY236</f>
        <v>0.7094821608462013</v>
      </c>
      <c r="Q236" s="177">
        <f>Calc!BC236</f>
        <v>142.47879113035074</v>
      </c>
      <c r="R236" s="176">
        <f>Calc!BD236</f>
        <v>0.72905753187324007</v>
      </c>
      <c r="S236" s="70">
        <f>Input!E236</f>
        <v>26</v>
      </c>
      <c r="T236" s="68"/>
    </row>
    <row r="237" spans="1:20" x14ac:dyDescent="0.2">
      <c r="A237" s="13">
        <f>Input!A237</f>
        <v>10815</v>
      </c>
      <c r="B237" s="13" t="str">
        <f>Input!B237</f>
        <v>Hu1-13</v>
      </c>
      <c r="C237" s="171">
        <f>Calc!O237</f>
        <v>13.7014787333865</v>
      </c>
      <c r="D237" s="171">
        <f>Calc!P237</f>
        <v>1.8034158864408301E-3</v>
      </c>
      <c r="E237" s="171">
        <f>Calc!X237</f>
        <v>0.94998390655498621</v>
      </c>
      <c r="F237" s="171">
        <f>Calc!Y237</f>
        <v>4.318268650391483E-3</v>
      </c>
      <c r="G237" s="171">
        <f>Calc!AN237</f>
        <v>0.99215074958294969</v>
      </c>
      <c r="H237" s="172">
        <f>Calc!AO237</f>
        <v>2.6995874295539894E-3</v>
      </c>
      <c r="I237" s="15">
        <f>Calc!AH237</f>
        <v>43733.344071952255</v>
      </c>
      <c r="J237" s="15">
        <f>Calc!AI237</f>
        <v>231.61710950018156</v>
      </c>
      <c r="K237" s="15">
        <f>Calc!AJ237</f>
        <v>-1.3305950843808256</v>
      </c>
      <c r="L237" s="15">
        <f>Calc!AK237</f>
        <v>1.1980385006832328</v>
      </c>
      <c r="M237" s="173">
        <f>Calc!AP237</f>
        <v>558.18970000000002</v>
      </c>
      <c r="N237" s="173" t="e">
        <f>Calc!AQ237</f>
        <v>#VALUE!</v>
      </c>
      <c r="O237" s="173">
        <f>Calc!AW237</f>
        <v>558.18780000000004</v>
      </c>
      <c r="P237" s="173">
        <f>Calc!AX237</f>
        <v>103.7762456958</v>
      </c>
      <c r="Q237" s="178">
        <f>Calc!BC237</f>
        <v>-6.4293004453740403</v>
      </c>
      <c r="R237" s="173">
        <f>Calc!BD237</f>
        <v>5.883733746900373</v>
      </c>
      <c r="S237" s="15">
        <f>Input!E237</f>
        <v>0</v>
      </c>
      <c r="T237" s="68"/>
    </row>
    <row r="238" spans="1:20" x14ac:dyDescent="0.2">
      <c r="A238" s="68">
        <f>Input!A238</f>
        <v>11048</v>
      </c>
      <c r="B238" s="68" t="str">
        <f>Input!B238</f>
        <v>GeoB23225-1 24-28 La-08</v>
      </c>
      <c r="C238" s="175">
        <f>Calc!O238</f>
        <v>5.2113601857765834</v>
      </c>
      <c r="D238" s="175">
        <f>Calc!P238</f>
        <v>4.3069264243462822E-4</v>
      </c>
      <c r="E238" s="175">
        <f>Calc!X238</f>
        <v>57.219763150260782</v>
      </c>
      <c r="F238" s="175">
        <f>Calc!Y238</f>
        <v>9.5980705913260328E-2</v>
      </c>
      <c r="G238" s="175">
        <f>Calc!AN238</f>
        <v>0.15841784690466137</v>
      </c>
      <c r="H238" s="71">
        <f>Calc!AO238</f>
        <v>4.4326181091035836E-4</v>
      </c>
      <c r="I238" s="70">
        <f>Calc!AH238</f>
        <v>43.782646875473716</v>
      </c>
      <c r="J238" s="70">
        <f>Calc!AI238</f>
        <v>0.14278760430666662</v>
      </c>
      <c r="K238" s="70">
        <f>Calc!AJ238</f>
        <v>137.16094352993036</v>
      </c>
      <c r="L238" s="70">
        <f>Calc!AK238</f>
        <v>0.54805114900293783</v>
      </c>
      <c r="M238" s="176">
        <f>Calc!AP238</f>
        <v>16.310700000000001</v>
      </c>
      <c r="N238" s="176">
        <f>Calc!AQ238</f>
        <v>5.2699999999999997E-2</v>
      </c>
      <c r="O238" s="176">
        <f>Calc!AW238</f>
        <v>13.533799999999999</v>
      </c>
      <c r="P238" s="176">
        <f>Calc!AY238</f>
        <v>1.4098166591775572</v>
      </c>
      <c r="Q238" s="177">
        <f>Calc!BC238</f>
        <v>142.50088386415177</v>
      </c>
      <c r="R238" s="176">
        <f>Calc!BD238</f>
        <v>0.80351558741120332</v>
      </c>
      <c r="S238" s="70">
        <f>Input!E238</f>
        <v>26</v>
      </c>
      <c r="T238" s="68"/>
    </row>
    <row r="239" spans="1:20" x14ac:dyDescent="0.2">
      <c r="A239" s="13">
        <f>Input!A239</f>
        <v>10815</v>
      </c>
      <c r="B239" s="13" t="str">
        <f>Input!B239</f>
        <v>Hu1-13</v>
      </c>
      <c r="C239" s="171">
        <f>Calc!O239</f>
        <v>13.700817184415323</v>
      </c>
      <c r="D239" s="171">
        <f>Calc!P239</f>
        <v>1.7771791051580913E-3</v>
      </c>
      <c r="E239" s="171">
        <f>Calc!X239</f>
        <v>0.93730257889351165</v>
      </c>
      <c r="F239" s="171">
        <f>Calc!Y239</f>
        <v>4.3651007583838048E-3</v>
      </c>
      <c r="G239" s="171">
        <f>Calc!AN239</f>
        <v>0.99366540062784259</v>
      </c>
      <c r="H239" s="172">
        <f>Calc!AO239</f>
        <v>2.2232007207825624E-3</v>
      </c>
      <c r="I239" s="15">
        <f>Calc!AH239</f>
        <v>44390.563358260239</v>
      </c>
      <c r="J239" s="15">
        <f>Calc!AI239</f>
        <v>229.27837829222301</v>
      </c>
      <c r="K239" s="15">
        <f>Calc!AJ239</f>
        <v>0.65628770467984765</v>
      </c>
      <c r="L239" s="15">
        <f>Calc!AK239</f>
        <v>1.1591642237907414</v>
      </c>
      <c r="M239" s="173">
        <f>Calc!AP239</f>
        <v>537.22040000000004</v>
      </c>
      <c r="N239" s="173" t="e">
        <f>Calc!AQ239</f>
        <v>#VALUE!</v>
      </c>
      <c r="O239" s="173">
        <f>Calc!AW239</f>
        <v>537.21860000000004</v>
      </c>
      <c r="P239" s="173">
        <f>Calc!AX239</f>
        <v>86.294703620700005</v>
      </c>
      <c r="Q239" s="178">
        <f>Calc!BC239</f>
        <v>2.9889050321243351</v>
      </c>
      <c r="R239" s="173">
        <f>Calc!BD239</f>
        <v>5.2904645010436582</v>
      </c>
      <c r="S239" s="15">
        <f>Input!E239</f>
        <v>0</v>
      </c>
      <c r="T239" s="68"/>
    </row>
    <row r="240" spans="1:20" x14ac:dyDescent="0.2">
      <c r="A240" s="68">
        <f>Input!A240</f>
        <v>11049</v>
      </c>
      <c r="B240" s="68" t="str">
        <f>Input!B240</f>
        <v>GeoB23225-1 24-28 La-09</v>
      </c>
      <c r="C240" s="175">
        <f>Calc!O240</f>
        <v>5.3634160791278926</v>
      </c>
      <c r="D240" s="175">
        <f>Calc!P240</f>
        <v>3.7780801778838018E-4</v>
      </c>
      <c r="E240" s="175">
        <f>Calc!X240</f>
        <v>38.479124673216511</v>
      </c>
      <c r="F240" s="175">
        <f>Calc!Y240</f>
        <v>6.1051839837254505E-2</v>
      </c>
      <c r="G240" s="175">
        <f>Calc!AN240</f>
        <v>0.14021858488209829</v>
      </c>
      <c r="H240" s="71">
        <f>Calc!AO240</f>
        <v>3.2768042221066764E-4</v>
      </c>
      <c r="I240" s="70">
        <f>Calc!AH240</f>
        <v>59.363242594313171</v>
      </c>
      <c r="J240" s="70">
        <f>Calc!AI240</f>
        <v>0.16762765444975675</v>
      </c>
      <c r="K240" s="70">
        <f>Calc!AJ240</f>
        <v>135.31789325561226</v>
      </c>
      <c r="L240" s="70">
        <f>Calc!AK240</f>
        <v>0.51314588163881913</v>
      </c>
      <c r="M240" s="176">
        <f>Calc!AP240</f>
        <v>14.3383</v>
      </c>
      <c r="N240" s="176">
        <f>Calc!AQ240</f>
        <v>3.6999999999999998E-2</v>
      </c>
      <c r="O240" s="176">
        <f>Calc!AW240</f>
        <v>12.527900000000001</v>
      </c>
      <c r="P240" s="176">
        <f>Calc!AY240</f>
        <v>0.91506401391261949</v>
      </c>
      <c r="Q240" s="177">
        <f>Calc!BC240</f>
        <v>140.18756285648328</v>
      </c>
      <c r="R240" s="176">
        <f>Calc!BD240</f>
        <v>0.64316949105313692</v>
      </c>
      <c r="S240" s="70">
        <f>Input!E240</f>
        <v>26</v>
      </c>
      <c r="T240" s="68"/>
    </row>
    <row r="241" spans="1:20" x14ac:dyDescent="0.2">
      <c r="A241" s="13">
        <f>Input!A241</f>
        <v>10815</v>
      </c>
      <c r="B241" s="13" t="str">
        <f>Input!B241</f>
        <v>Hu1-13</v>
      </c>
      <c r="C241" s="171">
        <f>Calc!O241</f>
        <v>13.699819631347065</v>
      </c>
      <c r="D241" s="171">
        <f>Calc!P241</f>
        <v>1.3097628097053675E-3</v>
      </c>
      <c r="E241" s="171">
        <f>Calc!X241</f>
        <v>0.9301872533233454</v>
      </c>
      <c r="F241" s="171">
        <f>Calc!Y241</f>
        <v>4.7324337861712716E-3</v>
      </c>
      <c r="G241" s="171">
        <f>Calc!AN241</f>
        <v>0.99399367690958795</v>
      </c>
      <c r="H241" s="172">
        <f>Calc!AO241</f>
        <v>2.9403214847396881E-3</v>
      </c>
      <c r="I241" s="15">
        <f>Calc!AH241</f>
        <v>44741.641786982276</v>
      </c>
      <c r="J241" s="15">
        <f>Calc!AI241</f>
        <v>263.27316456966145</v>
      </c>
      <c r="K241" s="15">
        <f>Calc!AJ241</f>
        <v>-0.37267528945128525</v>
      </c>
      <c r="L241" s="15">
        <f>Calc!AK241</f>
        <v>1.4712262719702935</v>
      </c>
      <c r="M241" s="173">
        <f>Calc!AP241</f>
        <v>567.70809999999994</v>
      </c>
      <c r="N241" s="173" t="e">
        <f>Calc!AQ241</f>
        <v>#VALUE!</v>
      </c>
      <c r="O241" s="173">
        <f>Calc!AW241</f>
        <v>567.70630000000006</v>
      </c>
      <c r="P241" s="173">
        <f>Calc!AX241</f>
        <v>172.816595423</v>
      </c>
      <c r="Q241" s="178">
        <f>Calc!BC241</f>
        <v>-1.849755493791696</v>
      </c>
      <c r="R241" s="173">
        <f>Calc!BD241</f>
        <v>7.3118190053828078</v>
      </c>
      <c r="S241" s="15">
        <f>Input!E241</f>
        <v>0</v>
      </c>
      <c r="T241" s="68"/>
    </row>
    <row r="242" spans="1:20" x14ac:dyDescent="0.2">
      <c r="A242" s="68">
        <f>Input!A242</f>
        <v>11050</v>
      </c>
      <c r="B242" s="68" t="str">
        <f>Input!B242</f>
        <v>GeoB23225-1 24-28 La-10</v>
      </c>
      <c r="C242" s="175">
        <f>Calc!O242</f>
        <v>5.2167033196009855</v>
      </c>
      <c r="D242" s="175">
        <f>Calc!P242</f>
        <v>3.5648431967929271E-4</v>
      </c>
      <c r="E242" s="175">
        <f>Calc!X242</f>
        <v>16.111626339303115</v>
      </c>
      <c r="F242" s="175">
        <f>Calc!Y242</f>
        <v>3.2695179725878432E-2</v>
      </c>
      <c r="G242" s="175">
        <f>Calc!AN242</f>
        <v>0.13996482154988521</v>
      </c>
      <c r="H242" s="71">
        <f>Calc!AO242</f>
        <v>3.8286389145434767E-4</v>
      </c>
      <c r="I242" s="70">
        <f>Calc!AH242</f>
        <v>137.71483449674869</v>
      </c>
      <c r="J242" s="70">
        <f>Calc!AI242</f>
        <v>0.46895746818881989</v>
      </c>
      <c r="K242" s="70">
        <f>Calc!AJ242</f>
        <v>135.50068459551557</v>
      </c>
      <c r="L242" s="70">
        <f>Calc!AK242</f>
        <v>0.74251013620977913</v>
      </c>
      <c r="M242" s="176">
        <f>Calc!AP242</f>
        <v>14.308199999999999</v>
      </c>
      <c r="N242" s="176">
        <f>Calc!AQ242</f>
        <v>4.2000000000000003E-2</v>
      </c>
      <c r="O242" s="176">
        <f>Calc!AW242</f>
        <v>13.5327</v>
      </c>
      <c r="P242" s="176">
        <f>Calc!AY242</f>
        <v>0.39204379576510678</v>
      </c>
      <c r="Q242" s="177">
        <f>Calc!BC242</f>
        <v>140.77555083869376</v>
      </c>
      <c r="R242" s="176">
        <f>Calc!BD242</f>
        <v>0.7869811380554147</v>
      </c>
      <c r="S242" s="70">
        <f>Input!E242</f>
        <v>26</v>
      </c>
      <c r="T242" s="68"/>
    </row>
    <row r="243" spans="1:20" x14ac:dyDescent="0.2">
      <c r="A243" s="13">
        <f>Input!A243</f>
        <v>10815</v>
      </c>
      <c r="B243" s="13" t="str">
        <f>Input!B243</f>
        <v>Hu1-13</v>
      </c>
      <c r="C243" s="171">
        <f>Calc!O243</f>
        <v>13.700150051057765</v>
      </c>
      <c r="D243" s="171">
        <f>Calc!P243</f>
        <v>1.6090400586889627E-3</v>
      </c>
      <c r="E243" s="171">
        <f>Calc!X243</f>
        <v>0.92152877700943103</v>
      </c>
      <c r="F243" s="171">
        <f>Calc!Y243</f>
        <v>6.3499820618085675E-3</v>
      </c>
      <c r="G243" s="171">
        <f>Calc!AN243</f>
        <v>0.99462374002497089</v>
      </c>
      <c r="H243" s="172">
        <f>Calc!AO243</f>
        <v>3.0200009144869338E-3</v>
      </c>
      <c r="I243" s="15">
        <f>Calc!AH243</f>
        <v>45191.740951440122</v>
      </c>
      <c r="J243" s="15">
        <f>Calc!AI243</f>
        <v>340.252929530968</v>
      </c>
      <c r="K243" s="15">
        <f>Calc!AJ243</f>
        <v>0.31111153718410556</v>
      </c>
      <c r="L243" s="15">
        <f>Calc!AK243</f>
        <v>1.5014382593252498</v>
      </c>
      <c r="M243" s="173">
        <f>Calc!AP243</f>
        <v>561.32830000000001</v>
      </c>
      <c r="N243" s="173" t="e">
        <f>Calc!AQ243</f>
        <v>#VALUE!</v>
      </c>
      <c r="O243" s="173">
        <f>Calc!AW243</f>
        <v>561.32650000000001</v>
      </c>
      <c r="P243" s="173">
        <f>Calc!AX243</f>
        <v>159.87665194269999</v>
      </c>
      <c r="Q243" s="178">
        <f>Calc!BC243</f>
        <v>1.5166337973065587</v>
      </c>
      <c r="R243" s="173">
        <f>Calc!BD243</f>
        <v>7.3252297195681386</v>
      </c>
      <c r="S243" s="15">
        <f>Input!E243</f>
        <v>0</v>
      </c>
      <c r="T243" s="68"/>
    </row>
    <row r="244" spans="1:20" x14ac:dyDescent="0.2">
      <c r="A244" s="68"/>
      <c r="B244" s="68"/>
      <c r="C244" s="175"/>
      <c r="D244" s="175"/>
      <c r="E244" s="175"/>
      <c r="F244" s="175"/>
      <c r="G244" s="175"/>
      <c r="H244" s="71"/>
      <c r="I244" s="70"/>
      <c r="J244" s="70"/>
      <c r="K244" s="70"/>
      <c r="L244" s="70"/>
      <c r="M244" s="176"/>
      <c r="N244" s="176"/>
      <c r="O244" s="176"/>
      <c r="P244" s="176"/>
      <c r="Q244" s="177"/>
      <c r="R244" s="176"/>
      <c r="S244" s="70"/>
      <c r="T244" s="68"/>
    </row>
    <row r="245" spans="1:20" x14ac:dyDescent="0.2">
      <c r="A245" s="13">
        <f>Input!A245</f>
        <v>10815</v>
      </c>
      <c r="B245" s="13" t="str">
        <f>Input!B245</f>
        <v>Hu1-13</v>
      </c>
      <c r="C245" s="171">
        <f>Calc!O245</f>
        <v>13.697803487050084</v>
      </c>
      <c r="D245" s="171">
        <f>Calc!P245</f>
        <v>1.934243092902913E-3</v>
      </c>
      <c r="E245" s="171">
        <f>Calc!X245</f>
        <v>0.9957314656512114</v>
      </c>
      <c r="F245" s="171">
        <f>Calc!Y245</f>
        <v>5.6914661935231516E-3</v>
      </c>
      <c r="G245" s="171">
        <f>Calc!AN245</f>
        <v>0.99348437505371778</v>
      </c>
      <c r="H245" s="172">
        <f>Calc!AO245</f>
        <v>2.920560282802766E-3</v>
      </c>
      <c r="I245" s="15">
        <f>Calc!AH245</f>
        <v>41768.951205885882</v>
      </c>
      <c r="J245" s="15">
        <f>Calc!AI245</f>
        <v>268.40602068294169</v>
      </c>
      <c r="K245" s="15">
        <f>Calc!AJ245</f>
        <v>0.83705325458449664</v>
      </c>
      <c r="L245" s="15">
        <f>Calc!AK245</f>
        <v>1.3118184642805062</v>
      </c>
      <c r="M245" s="173">
        <f>Calc!AP245</f>
        <v>530.91020000000003</v>
      </c>
      <c r="N245" s="173" t="e">
        <f>Calc!AQ245</f>
        <v>#VALUE!</v>
      </c>
      <c r="O245" s="173">
        <f>Calc!AW245</f>
        <v>530.90830000000005</v>
      </c>
      <c r="P245" s="173">
        <f>Calc!AX245</f>
        <v>73.570645846600002</v>
      </c>
      <c r="Q245" s="178">
        <f>Calc!BC245</f>
        <v>3.744872204658892</v>
      </c>
      <c r="R245" s="173">
        <f>Calc!BD245</f>
        <v>5.8912356696879149</v>
      </c>
      <c r="S245" s="15">
        <f>Input!E245</f>
        <v>0</v>
      </c>
      <c r="T245" s="68"/>
    </row>
    <row r="246" spans="1:20" x14ac:dyDescent="0.2">
      <c r="A246" s="68">
        <f>Input!A246</f>
        <v>11067</v>
      </c>
      <c r="B246" s="68" t="str">
        <f>Input!B246</f>
        <v>Geob23225-1_28</v>
      </c>
      <c r="C246" s="175">
        <f>Calc!O246</f>
        <v>1.2008280513156067</v>
      </c>
      <c r="D246" s="175">
        <f>Calc!P246</f>
        <v>7.0527874288715248E-5</v>
      </c>
      <c r="E246" s="175">
        <f>Calc!X246</f>
        <v>17.64162304240525</v>
      </c>
      <c r="F246" s="175">
        <f>Calc!Y246</f>
        <v>2.8191481730112492E-2</v>
      </c>
      <c r="G246" s="175">
        <f>Calc!AN246</f>
        <v>0.34567951769484401</v>
      </c>
      <c r="H246" s="71">
        <f>Calc!AO246</f>
        <v>8.794999891097075E-4</v>
      </c>
      <c r="I246" s="70">
        <f>Calc!AH246</f>
        <v>71.392685524300461</v>
      </c>
      <c r="J246" s="70">
        <f>Calc!AI246</f>
        <v>0.2144570769462848</v>
      </c>
      <c r="K246" s="70">
        <f>Calc!AJ246</f>
        <v>124.53969901136941</v>
      </c>
      <c r="L246" s="70">
        <f>Calc!AK246</f>
        <v>0.89144864316125705</v>
      </c>
      <c r="M246" s="176">
        <f>Calc!AP246</f>
        <v>39.761200000000002</v>
      </c>
      <c r="N246" s="176">
        <f>Calc!AQ246</f>
        <v>0.13469999999999999</v>
      </c>
      <c r="O246" s="176">
        <f>Calc!AW246</f>
        <v>36.014600000000002</v>
      </c>
      <c r="P246" s="176">
        <f>Calc!AY246</f>
        <v>1.9139829549868201</v>
      </c>
      <c r="Q246" s="177">
        <f>Calc!BC246</f>
        <v>137.86292504208063</v>
      </c>
      <c r="R246" s="176">
        <f>Calc!BD246</f>
        <v>1.2362473999300203</v>
      </c>
      <c r="S246" s="70">
        <f>Input!E246</f>
        <v>28</v>
      </c>
      <c r="T246" s="68"/>
    </row>
    <row r="247" spans="1:20" x14ac:dyDescent="0.2">
      <c r="A247" s="13">
        <f>Input!A247</f>
        <v>10815</v>
      </c>
      <c r="B247" s="13" t="str">
        <f>Input!B247</f>
        <v>Hu1-13</v>
      </c>
      <c r="C247" s="171">
        <f>Calc!O247</f>
        <v>13.702741257109947</v>
      </c>
      <c r="D247" s="171">
        <f>Calc!P247</f>
        <v>1.9822598506585298E-3</v>
      </c>
      <c r="E247" s="171">
        <f>Calc!X247</f>
        <v>0.99127974341716774</v>
      </c>
      <c r="F247" s="171">
        <f>Calc!Y247</f>
        <v>4.7460551586861448E-3</v>
      </c>
      <c r="G247" s="171">
        <f>Calc!AN247</f>
        <v>0.99207990542897684</v>
      </c>
      <c r="H247" s="172">
        <f>Calc!AO247</f>
        <v>3.8408795660526381E-3</v>
      </c>
      <c r="I247" s="15">
        <f>Calc!AH247</f>
        <v>41912.320646768123</v>
      </c>
      <c r="J247" s="15">
        <f>Calc!AI247</f>
        <v>257.99408589256194</v>
      </c>
      <c r="K247" s="15">
        <f>Calc!AJ247</f>
        <v>0.46008089590299228</v>
      </c>
      <c r="L247" s="15">
        <f>Calc!AK247</f>
        <v>1.7965071967892252</v>
      </c>
      <c r="M247" s="173">
        <f>Calc!AP247</f>
        <v>519.12720000000002</v>
      </c>
      <c r="N247" s="173" t="e">
        <f>Calc!AQ247</f>
        <v>#VALUE!</v>
      </c>
      <c r="O247" s="173">
        <f>Calc!AW247</f>
        <v>519.12530000000004</v>
      </c>
      <c r="P247" s="173">
        <f>Calc!AX247</f>
        <v>95.061160394799998</v>
      </c>
      <c r="Q247" s="178">
        <f>Calc!BC247</f>
        <v>1.9910254346577552</v>
      </c>
      <c r="R247" s="173">
        <f>Calc!BD247</f>
        <v>7.781303820024827</v>
      </c>
      <c r="S247" s="15">
        <f>Input!E247</f>
        <v>0</v>
      </c>
      <c r="T247" s="68"/>
    </row>
    <row r="248" spans="1:20" x14ac:dyDescent="0.2">
      <c r="A248" s="68">
        <f>Input!A248</f>
        <v>11068</v>
      </c>
      <c r="B248" s="68" t="str">
        <f>Input!B248</f>
        <v>Geob23225-1_85-86</v>
      </c>
      <c r="C248" s="175">
        <f>Calc!O248</f>
        <v>1.2809723990913302</v>
      </c>
      <c r="D248" s="175">
        <f>Calc!P248</f>
        <v>1.5996177544325421E-3</v>
      </c>
      <c r="E248" s="175">
        <f>Calc!X248</f>
        <v>2.9557364023043049</v>
      </c>
      <c r="F248" s="175">
        <f>Calc!Y248</f>
        <v>6.0781868686787081E-3</v>
      </c>
      <c r="G248" s="175">
        <f>Calc!AN248</f>
        <v>0.22659812583538544</v>
      </c>
      <c r="H248" s="71">
        <f>Calc!AO248</f>
        <v>1.0639556108368185E-3</v>
      </c>
      <c r="I248" s="70">
        <f>Calc!AH248</f>
        <v>298.3564783098206</v>
      </c>
      <c r="J248" s="70">
        <f>Calc!AI248</f>
        <v>1.4832742191389454</v>
      </c>
      <c r="K248" s="70">
        <f>Calc!AJ248</f>
        <v>123.75179749034038</v>
      </c>
      <c r="L248" s="70">
        <f>Calc!AK248</f>
        <v>2.6349500094794895</v>
      </c>
      <c r="M248" s="176">
        <f>Calc!AP248</f>
        <v>24.454499999999999</v>
      </c>
      <c r="N248" s="176">
        <f>Calc!AQ248</f>
        <v>0.1414</v>
      </c>
      <c r="O248" s="176">
        <f>Calc!AW248</f>
        <v>23.871400000000001</v>
      </c>
      <c r="P248" s="176">
        <f>Calc!AY248</f>
        <v>0.32613667089692566</v>
      </c>
      <c r="Q248" s="177">
        <f>Calc!BC248</f>
        <v>132.37574734902714</v>
      </c>
      <c r="R248" s="176">
        <f>Calc!BD248</f>
        <v>2.8212050174129426</v>
      </c>
      <c r="S248" s="70">
        <f>Input!E248</f>
        <v>85.5</v>
      </c>
      <c r="T248" s="68"/>
    </row>
    <row r="249" spans="1:20" x14ac:dyDescent="0.2">
      <c r="A249" s="13">
        <f>Input!A249</f>
        <v>10815</v>
      </c>
      <c r="B249" s="13" t="str">
        <f>Input!B249</f>
        <v>Hu1-13</v>
      </c>
      <c r="C249" s="171">
        <f>Calc!O249</f>
        <v>13.705512906981776</v>
      </c>
      <c r="D249" s="171">
        <f>Calc!P249</f>
        <v>2.2259548400932298E-3</v>
      </c>
      <c r="E249" s="171">
        <f>Calc!X249</f>
        <v>1.0001106712530927</v>
      </c>
      <c r="F249" s="171">
        <f>Calc!Y249</f>
        <v>5.8621796366845084E-3</v>
      </c>
      <c r="G249" s="171">
        <f>Calc!AN249</f>
        <v>0.99607973448738607</v>
      </c>
      <c r="H249" s="172">
        <f>Calc!AO249</f>
        <v>3.3976032970057671E-3</v>
      </c>
      <c r="I249" s="15">
        <f>Calc!AH249</f>
        <v>41718.161910636481</v>
      </c>
      <c r="J249" s="15">
        <f>Calc!AI249</f>
        <v>282.84150427674734</v>
      </c>
      <c r="K249" s="15">
        <f>Calc!AJ249</f>
        <v>1.6764276684664292</v>
      </c>
      <c r="L249" s="15">
        <f>Calc!AK249</f>
        <v>1.8380074548345238</v>
      </c>
      <c r="M249" s="173">
        <f>Calc!AP249</f>
        <v>553.08230000000003</v>
      </c>
      <c r="N249" s="173" t="e">
        <f>Calc!AQ249</f>
        <v>#VALUE!</v>
      </c>
      <c r="O249" s="173">
        <f>Calc!AW249</f>
        <v>553.08040000000005</v>
      </c>
      <c r="P249" s="173">
        <f>Calc!AX249</f>
        <v>180.6311972044</v>
      </c>
      <c r="Q249" s="178">
        <f>Calc!BC249</f>
        <v>7.9844125937596715</v>
      </c>
      <c r="R249" s="173">
        <f>Calc!BD249</f>
        <v>8.9079081009497756</v>
      </c>
      <c r="S249" s="15">
        <f>Input!E249</f>
        <v>0</v>
      </c>
      <c r="T249" s="68"/>
    </row>
    <row r="250" spans="1:20" x14ac:dyDescent="0.2">
      <c r="A250" s="68">
        <f>Input!A250</f>
        <v>11073</v>
      </c>
      <c r="B250" s="68" t="str">
        <f>Input!B250</f>
        <v>Geob23213-1_8723</v>
      </c>
      <c r="C250" s="175">
        <f>Calc!O250</f>
        <v>0.51302824041220429</v>
      </c>
      <c r="D250" s="175">
        <f>Calc!P250</f>
        <v>5.5595773053829452E-5</v>
      </c>
      <c r="E250" s="175">
        <f>Calc!X250</f>
        <v>19.967155313767567</v>
      </c>
      <c r="F250" s="175">
        <f>Calc!Y250</f>
        <v>4.5412018993383992E-2</v>
      </c>
      <c r="G250" s="175">
        <f>Calc!AN250</f>
        <v>0.74367694408461116</v>
      </c>
      <c r="H250" s="71">
        <f>Calc!AO250</f>
        <v>4.3901370396705504E-3</v>
      </c>
      <c r="I250" s="70">
        <f>Calc!AH250</f>
        <v>58.168427992309979</v>
      </c>
      <c r="J250" s="70">
        <f>Calc!AI250</f>
        <v>0.36793374859062911</v>
      </c>
      <c r="K250" s="70">
        <f>Calc!AJ250</f>
        <v>135.68257847120279</v>
      </c>
      <c r="L250" s="70">
        <f>Calc!AK250</f>
        <v>5.7947875257104187</v>
      </c>
      <c r="M250" s="176">
        <f>Calc!AP250</f>
        <v>112.51139999999999</v>
      </c>
      <c r="N250" s="176">
        <f>Calc!AQ250</f>
        <v>1.7039</v>
      </c>
      <c r="O250" s="176">
        <f>Calc!AW250</f>
        <v>102.6982</v>
      </c>
      <c r="P250" s="176">
        <f>Calc!AY250</f>
        <v>5.3783695044545121</v>
      </c>
      <c r="Q250" s="177">
        <f>Calc!BC250</f>
        <v>181.29737850375861</v>
      </c>
      <c r="R250" s="176">
        <f>Calc!BD250</f>
        <v>8.2173577329701857</v>
      </c>
      <c r="S250" s="70">
        <f>Input!E250</f>
        <v>0</v>
      </c>
      <c r="T250" s="68"/>
    </row>
    <row r="251" spans="1:20" x14ac:dyDescent="0.2">
      <c r="A251" s="13">
        <f>Input!A251</f>
        <v>10815</v>
      </c>
      <c r="B251" s="13" t="str">
        <f>Input!B251</f>
        <v>Hu1-13</v>
      </c>
      <c r="C251" s="171">
        <f>Calc!O251</f>
        <v>13.705512906981776</v>
      </c>
      <c r="D251" s="171">
        <f>Calc!P251</f>
        <v>2.2259548400932298E-3</v>
      </c>
      <c r="E251" s="171">
        <f>Calc!X251</f>
        <v>1.0001106712530927</v>
      </c>
      <c r="F251" s="171">
        <f>Calc!Y251</f>
        <v>5.8621796366845084E-3</v>
      </c>
      <c r="G251" s="171">
        <f>Calc!AN251</f>
        <v>0.99607973448738607</v>
      </c>
      <c r="H251" s="172">
        <f>Calc!AO251</f>
        <v>3.3976032970057671E-3</v>
      </c>
      <c r="I251" s="15">
        <f>Calc!AH251</f>
        <v>41718.161910636481</v>
      </c>
      <c r="J251" s="15">
        <f>Calc!AI251</f>
        <v>282.84150427674734</v>
      </c>
      <c r="K251" s="15">
        <f>Calc!AJ251</f>
        <v>1.6764276684664292</v>
      </c>
      <c r="L251" s="15">
        <f>Calc!AK251</f>
        <v>1.8380074548345238</v>
      </c>
      <c r="M251" s="173">
        <f>Calc!AP251</f>
        <v>553.08230000000003</v>
      </c>
      <c r="N251" s="173" t="e">
        <f>Calc!AQ251</f>
        <v>#VALUE!</v>
      </c>
      <c r="O251" s="173">
        <f>Calc!AW251</f>
        <v>553.08040000000005</v>
      </c>
      <c r="P251" s="173">
        <f>Calc!AX251</f>
        <v>167.90717763379999</v>
      </c>
      <c r="Q251" s="178">
        <f>Calc!BC251</f>
        <v>7.9844125937596715</v>
      </c>
      <c r="R251" s="173">
        <f>Calc!BD251</f>
        <v>8.9079081009497756</v>
      </c>
      <c r="S251" s="15">
        <f>Input!E251</f>
        <v>0</v>
      </c>
      <c r="T251" s="68"/>
    </row>
    <row r="252" spans="1:20" ht="13.5" customHeight="1" x14ac:dyDescent="0.2">
      <c r="H252" s="74"/>
    </row>
    <row r="253" spans="1:20" x14ac:dyDescent="0.2">
      <c r="A253" s="13">
        <f>Input!A253</f>
        <v>10815</v>
      </c>
      <c r="B253" s="13" t="str">
        <f>Input!B253</f>
        <v>Hu1-13</v>
      </c>
      <c r="C253" s="171">
        <f>Calc!O253</f>
        <v>13.70087998902574</v>
      </c>
      <c r="D253" s="171">
        <f>Calc!P253</f>
        <v>3.1744495024957193E-3</v>
      </c>
      <c r="E253" s="171">
        <f>Calc!X253</f>
        <v>0.92225250306533757</v>
      </c>
      <c r="F253" s="171">
        <f>Calc!Y253</f>
        <v>1.4879319460701807E-2</v>
      </c>
      <c r="G253" s="171">
        <f>Calc!AN253</f>
        <v>0.99586151244267662</v>
      </c>
      <c r="H253" s="172">
        <f>Calc!AO253</f>
        <v>5.3202936994623641E-3</v>
      </c>
      <c r="I253" s="15">
        <f>Calc!AH253</f>
        <v>45214.881516748384</v>
      </c>
      <c r="J253" s="15">
        <f>Calc!AI253</f>
        <v>768.36430511354081</v>
      </c>
      <c r="K253" s="15">
        <f>Calc!AJ253</f>
        <v>-27.722464907432908</v>
      </c>
      <c r="L253" s="15">
        <f>Calc!AK253</f>
        <v>1.653942301291554</v>
      </c>
      <c r="M253" s="173" t="str">
        <f>Calc!AP253</f>
        <v>Out of range</v>
      </c>
      <c r="N253" s="173" t="e">
        <f>Calc!AQ253</f>
        <v>#VALUE!</v>
      </c>
      <c r="O253" s="173" t="str">
        <f>Calc!AW253</f>
        <v>Out of range</v>
      </c>
      <c r="P253" s="173">
        <f>Calc!AX253</f>
        <v>0</v>
      </c>
      <c r="Q253" s="178" t="e">
        <f>Calc!BC253</f>
        <v>#VALUE!</v>
      </c>
      <c r="R253" s="173" t="e">
        <f>Calc!BD253</f>
        <v>#VALUE!</v>
      </c>
      <c r="S253" s="15">
        <f>Input!E253</f>
        <v>0</v>
      </c>
      <c r="T253" s="68"/>
    </row>
    <row r="254" spans="1:20" x14ac:dyDescent="0.2">
      <c r="A254" s="68">
        <f>Input!A254</f>
        <v>11069</v>
      </c>
      <c r="B254" s="68" t="str">
        <f>Input!B254</f>
        <v>Geob23225-1_62-63</v>
      </c>
      <c r="C254" s="175">
        <f>Calc!O254</f>
        <v>0.16958023858002766</v>
      </c>
      <c r="D254" s="175">
        <f>Calc!P254</f>
        <v>5.8764100368226495E-5</v>
      </c>
      <c r="E254" s="175">
        <f>Calc!X254</f>
        <v>3.2572529050634048E-2</v>
      </c>
      <c r="F254" s="175">
        <f>Calc!Y254</f>
        <v>1.4944872340091889E-4</v>
      </c>
      <c r="G254" s="175">
        <f>Calc!AN254</f>
        <v>0.34947921743095994</v>
      </c>
      <c r="H254" s="71">
        <f>Calc!AO254</f>
        <v>1.7681227864711033E-3</v>
      </c>
      <c r="I254" s="70">
        <f>Calc!AH254</f>
        <v>5535.9337123109626</v>
      </c>
      <c r="J254" s="70">
        <f>Calc!AI254</f>
        <v>37.761371805967158</v>
      </c>
      <c r="K254" s="70">
        <f>Calc!AJ254</f>
        <v>119.26509650352114</v>
      </c>
      <c r="L254" s="70">
        <f>Calc!AK254</f>
        <v>1.7500987385970557</v>
      </c>
      <c r="M254" s="176">
        <f>Calc!AP254</f>
        <v>40.525700000000001</v>
      </c>
      <c r="N254" s="176">
        <f>Calc!AQ254</f>
        <v>0.2697</v>
      </c>
      <c r="O254" s="176">
        <f>Calc!AW254</f>
        <v>40.4773</v>
      </c>
      <c r="P254" s="176">
        <f>Calc!AY254</f>
        <v>0.25990988009633181</v>
      </c>
      <c r="Q254" s="177">
        <f>Calc!BC254</f>
        <v>133.69727285577807</v>
      </c>
      <c r="R254" s="176">
        <f>Calc!BD254</f>
        <v>1.9643261701656964</v>
      </c>
      <c r="S254" s="70">
        <f>Input!E254</f>
        <v>62.5</v>
      </c>
      <c r="T254" s="68"/>
    </row>
    <row r="255" spans="1:20" x14ac:dyDescent="0.2">
      <c r="A255" s="13">
        <f>Input!A255</f>
        <v>10815</v>
      </c>
      <c r="B255" s="13" t="str">
        <f>Input!B255</f>
        <v>Hu1-13</v>
      </c>
      <c r="C255" s="171">
        <f>Calc!O255</f>
        <v>13.703116439785886</v>
      </c>
      <c r="D255" s="171">
        <f>Calc!P255</f>
        <v>3.8860012015909428E-3</v>
      </c>
      <c r="E255" s="171">
        <f>Calc!X255</f>
        <v>0.91017691876079321</v>
      </c>
      <c r="F255" s="171">
        <f>Calc!Y255</f>
        <v>1.1701686158019262E-2</v>
      </c>
      <c r="G255" s="171">
        <f>Calc!AN255</f>
        <v>0.99523325586941491</v>
      </c>
      <c r="H255" s="172">
        <f>Calc!AO255</f>
        <v>6.9746750171130164E-3</v>
      </c>
      <c r="I255" s="15">
        <f>Calc!AH255</f>
        <v>45793.331393417728</v>
      </c>
      <c r="J255" s="15">
        <f>Calc!AI255</f>
        <v>670.40290972970502</v>
      </c>
      <c r="K255" s="15">
        <f>Calc!AJ255</f>
        <v>-26.363194923673671</v>
      </c>
      <c r="L255" s="15">
        <f>Calc!AK255</f>
        <v>1.2932053844639533</v>
      </c>
      <c r="M255" s="173" t="str">
        <f>Calc!AP255</f>
        <v>Out of range</v>
      </c>
      <c r="N255" s="173" t="e">
        <f>Calc!AQ255</f>
        <v>#VALUE!</v>
      </c>
      <c r="O255" s="173" t="str">
        <f>Calc!AW255</f>
        <v>Out of range</v>
      </c>
      <c r="P255" s="173">
        <f>Calc!AX255</f>
        <v>0</v>
      </c>
      <c r="Q255" s="178" t="e">
        <f>Calc!BC255</f>
        <v>#VALUE!</v>
      </c>
      <c r="R255" s="173" t="e">
        <f>Calc!BD255</f>
        <v>#VALUE!</v>
      </c>
      <c r="S255" s="15">
        <f>Input!E255</f>
        <v>0</v>
      </c>
      <c r="T255" s="68"/>
    </row>
    <row r="256" spans="1:20" x14ac:dyDescent="0.2">
      <c r="A256" s="68">
        <f>Input!A256</f>
        <v>11070</v>
      </c>
      <c r="B256" s="68" t="str">
        <f>Input!B256</f>
        <v>Geob23225-1_99</v>
      </c>
      <c r="C256" s="175">
        <f>Calc!O256</f>
        <v>4.5152981999476691E-2</v>
      </c>
      <c r="D256" s="175">
        <f>Calc!P256</f>
        <v>5.0400975850234934E-5</v>
      </c>
      <c r="E256" s="175">
        <f>Calc!X256</f>
        <v>0.11317395103792313</v>
      </c>
      <c r="F256" s="175">
        <f>Calc!Y256</f>
        <v>1.4995101088824351E-3</v>
      </c>
      <c r="G256" s="175">
        <f>Calc!AN256</f>
        <v>0.35035070818296643</v>
      </c>
      <c r="H256" s="71">
        <f>Calc!AO256</f>
        <v>9.750453495370015E-3</v>
      </c>
      <c r="I256" s="70">
        <f>Calc!AH256</f>
        <v>424.88348282758773</v>
      </c>
      <c r="J256" s="70">
        <f>Calc!AI256</f>
        <v>13.087829785040949</v>
      </c>
      <c r="K256" s="70">
        <f>Calc!AJ256</f>
        <v>90.573311628227231</v>
      </c>
      <c r="L256" s="70">
        <f>Calc!AK256</f>
        <v>5.4202217824514465</v>
      </c>
      <c r="M256" s="176">
        <f>Calc!AP256</f>
        <v>42.010199999999998</v>
      </c>
      <c r="N256" s="176">
        <f>Calc!AQ256</f>
        <v>1.4552</v>
      </c>
      <c r="O256" s="176">
        <f>Calc!AW256</f>
        <v>41.359000000000002</v>
      </c>
      <c r="P256" s="176">
        <f>Calc!AY256</f>
        <v>1.4803607091439259</v>
      </c>
      <c r="Q256" s="177">
        <f>Calc!BC256</f>
        <v>101.78646877168026</v>
      </c>
      <c r="R256" s="176">
        <f>Calc!BD256</f>
        <v>6.1060806697833785</v>
      </c>
      <c r="S256" s="70">
        <f>Input!E256</f>
        <v>99</v>
      </c>
      <c r="T256" s="68"/>
    </row>
    <row r="257" spans="1:20" x14ac:dyDescent="0.2">
      <c r="A257" s="13">
        <f>Input!A257</f>
        <v>10815</v>
      </c>
      <c r="B257" s="13" t="str">
        <f>Input!B257</f>
        <v>Hu1-13</v>
      </c>
      <c r="C257" s="171">
        <f>Calc!O257</f>
        <v>13.700731143075117</v>
      </c>
      <c r="D257" s="171">
        <f>Calc!P257</f>
        <v>5.1495821218053451E-3</v>
      </c>
      <c r="E257" s="171">
        <f>Calc!X257</f>
        <v>0.86445307885407885</v>
      </c>
      <c r="F257" s="171">
        <f>Calc!Y257</f>
        <v>1.1035140478897951E-2</v>
      </c>
      <c r="G257" s="171">
        <f>Calc!AN257</f>
        <v>0.99394203411934234</v>
      </c>
      <c r="H257" s="172">
        <f>Calc!AO257</f>
        <v>5.389778481304318E-3</v>
      </c>
      <c r="I257" s="15">
        <f>Calc!AH257</f>
        <v>48144.558146619544</v>
      </c>
      <c r="J257" s="15">
        <f>Calc!AI257</f>
        <v>667.49365650637571</v>
      </c>
      <c r="K257" s="15">
        <f>Calc!AJ257</f>
        <v>19.171999214403492</v>
      </c>
      <c r="L257" s="15">
        <f>Calc!AK257</f>
        <v>1.4551388227584443</v>
      </c>
      <c r="M257" s="173">
        <f>Calc!AP257</f>
        <v>377.96179999999998</v>
      </c>
      <c r="N257" s="173">
        <f>Calc!AQ257</f>
        <v>20.357700000000001</v>
      </c>
      <c r="O257" s="173">
        <f>Calc!AW257</f>
        <v>377.96019999999999</v>
      </c>
      <c r="P257" s="173">
        <f>Calc!AX257</f>
        <v>20.380501581499999</v>
      </c>
      <c r="Q257" s="178">
        <f>Calc!BC257</f>
        <v>55.705406248123168</v>
      </c>
      <c r="R257" s="173">
        <f>Calc!BD257</f>
        <v>5.1624607167229399</v>
      </c>
      <c r="S257" s="15">
        <f>Input!E257</f>
        <v>0</v>
      </c>
      <c r="T257" s="68"/>
    </row>
    <row r="258" spans="1:20" x14ac:dyDescent="0.2">
      <c r="A258" s="68">
        <f>Input!A258</f>
        <v>11071</v>
      </c>
      <c r="B258" s="68" t="str">
        <f>Input!B258</f>
        <v>Geob23225-1_98.5</v>
      </c>
      <c r="C258" s="175">
        <f>Calc!O258</f>
        <v>7.2822595981991839E-2</v>
      </c>
      <c r="D258" s="175">
        <f>Calc!P258</f>
        <v>2.2173365465330504E-5</v>
      </c>
      <c r="E258" s="175">
        <f>Calc!X258</f>
        <v>3.8935128820409705E-2</v>
      </c>
      <c r="F258" s="175">
        <f>Calc!Y258</f>
        <v>2.1787337996702295E-4</v>
      </c>
      <c r="G258" s="175">
        <f>Calc!AN258</f>
        <v>0.28332370703033322</v>
      </c>
      <c r="H258" s="71">
        <f>Calc!AO258</f>
        <v>2.8406426601792338E-3</v>
      </c>
      <c r="I258" s="70">
        <f>Calc!AH258</f>
        <v>1608.6119735733976</v>
      </c>
      <c r="J258" s="70">
        <f>Calc!AI258</f>
        <v>18.463598109019202</v>
      </c>
      <c r="K258" s="70">
        <f>Calc!AJ258</f>
        <v>85.269775276912483</v>
      </c>
      <c r="L258" s="70">
        <f>Calc!AK258</f>
        <v>2.1251759344274035</v>
      </c>
      <c r="M258" s="176">
        <f>Calc!AP258</f>
        <v>32.853999999999999</v>
      </c>
      <c r="N258" s="176">
        <f>Calc!AQ258</f>
        <v>0.39219999999999999</v>
      </c>
      <c r="O258" s="176">
        <f>Calc!AW258</f>
        <v>32.714399999999998</v>
      </c>
      <c r="P258" s="176">
        <f>Calc!AY258</f>
        <v>0.3974037752209309</v>
      </c>
      <c r="Q258" s="177">
        <f>Calc!BC258</f>
        <v>93.516889559787828</v>
      </c>
      <c r="R258" s="176">
        <f>Calc!BD258</f>
        <v>2.3330770114545585</v>
      </c>
      <c r="S258" s="70">
        <f>Input!E258</f>
        <v>98.5</v>
      </c>
      <c r="T258" s="68"/>
    </row>
    <row r="259" spans="1:20" x14ac:dyDescent="0.2">
      <c r="A259" s="13">
        <f>Input!A259</f>
        <v>10815</v>
      </c>
      <c r="B259" s="13" t="str">
        <f>Input!B259</f>
        <v>Hu1-13</v>
      </c>
      <c r="C259" s="171">
        <f>Calc!O259</f>
        <v>13.699703261939186</v>
      </c>
      <c r="D259" s="171">
        <f>Calc!P259</f>
        <v>4.1751824447212611E-3</v>
      </c>
      <c r="E259" s="171">
        <f>Calc!X259</f>
        <v>0.87383197965917447</v>
      </c>
      <c r="F259" s="171">
        <f>Calc!Y259</f>
        <v>1.194260756125682E-2</v>
      </c>
      <c r="G259" s="171">
        <f>Calc!AN259</f>
        <v>0.99256454277904138</v>
      </c>
      <c r="H259" s="172">
        <f>Calc!AO259</f>
        <v>3.9865038116649737E-3</v>
      </c>
      <c r="I259" s="15">
        <f>Calc!AH259</f>
        <v>47558.244134918743</v>
      </c>
      <c r="J259" s="15">
        <f>Calc!AI259</f>
        <v>677.30607615420126</v>
      </c>
      <c r="K259" s="15">
        <f>Calc!AJ259</f>
        <v>4.8436875505779575</v>
      </c>
      <c r="L259" s="15">
        <f>Calc!AK259</f>
        <v>1.4619995720917747</v>
      </c>
      <c r="M259" s="173">
        <f>Calc!AP259</f>
        <v>464.96280000000002</v>
      </c>
      <c r="N259" s="173">
        <f>Calc!AQ259</f>
        <v>41.9176</v>
      </c>
      <c r="O259" s="173">
        <f>Calc!AW259</f>
        <v>464.96109999999999</v>
      </c>
      <c r="P259" s="173">
        <f>Calc!AX259</f>
        <v>47.420300047700003</v>
      </c>
      <c r="Q259" s="178">
        <f>Calc!BC259</f>
        <v>17.990151029491475</v>
      </c>
      <c r="R259" s="173">
        <f>Calc!BD259</f>
        <v>5.6950592121001238</v>
      </c>
      <c r="S259" s="15">
        <f>Input!E259</f>
        <v>0</v>
      </c>
      <c r="T259" s="68"/>
    </row>
    <row r="260" spans="1:20" x14ac:dyDescent="0.2">
      <c r="A260" s="68">
        <f>Input!A260</f>
        <v>11072</v>
      </c>
      <c r="B260" s="68" t="str">
        <f>Input!B260</f>
        <v>Geob23213-1_8835</v>
      </c>
      <c r="C260" s="175">
        <f>Calc!O260</f>
        <v>0.2676429631436526</v>
      </c>
      <c r="D260" s="175">
        <f>Calc!P260</f>
        <v>2.243319306236495E-5</v>
      </c>
      <c r="E260" s="175">
        <f>Calc!X260</f>
        <v>1.1327948183415455</v>
      </c>
      <c r="F260" s="175">
        <f>Calc!Y260</f>
        <v>3.0359297163946941E-3</v>
      </c>
      <c r="G260" s="175">
        <f>Calc!AN260</f>
        <v>0.77519991866940297</v>
      </c>
      <c r="H260" s="71">
        <f>Calc!AO260</f>
        <v>2.7455956290865654E-3</v>
      </c>
      <c r="I260" s="70">
        <f>Calc!AH260</f>
        <v>555.95919587969684</v>
      </c>
      <c r="J260" s="70">
        <f>Calc!AI260</f>
        <v>2.4688495496819711</v>
      </c>
      <c r="K260" s="70">
        <f>Calc!AJ260</f>
        <v>93.387406208932603</v>
      </c>
      <c r="L260" s="70">
        <f>Calc!AK260</f>
        <v>1.7462171451832884</v>
      </c>
      <c r="M260" s="176">
        <f>Calc!AP260</f>
        <v>130.9419</v>
      </c>
      <c r="N260" s="176">
        <f>Calc!AQ260</f>
        <v>0.97789999999999999</v>
      </c>
      <c r="O260" s="176">
        <f>Calc!AW260</f>
        <v>129.87219999999999</v>
      </c>
      <c r="P260" s="176">
        <f>Calc!AY260</f>
        <v>1.1247870930310262</v>
      </c>
      <c r="Q260" s="177">
        <f>Calc!BC260</f>
        <v>134.72876910482896</v>
      </c>
      <c r="R260" s="176">
        <f>Calc!BD260</f>
        <v>2.5552853539645159</v>
      </c>
      <c r="S260" s="70">
        <f>Input!E260</f>
        <v>0</v>
      </c>
      <c r="T260" s="68"/>
    </row>
    <row r="261" spans="1:20" x14ac:dyDescent="0.2">
      <c r="A261" s="13">
        <f>Input!A261</f>
        <v>10815</v>
      </c>
      <c r="B261" s="13" t="str">
        <f>Input!B261</f>
        <v>Hu1-13</v>
      </c>
      <c r="C261" s="171">
        <f>Calc!O261</f>
        <v>13.698378914655901</v>
      </c>
      <c r="D261" s="171">
        <f>Calc!P261</f>
        <v>4.0918727931713384E-3</v>
      </c>
      <c r="E261" s="171">
        <f>Calc!X261</f>
        <v>0.88205423245758319</v>
      </c>
      <c r="F261" s="171">
        <f>Calc!Y261</f>
        <v>1.1895796458691148E-2</v>
      </c>
      <c r="G261" s="171">
        <f>Calc!AN261</f>
        <v>0.99385413633746988</v>
      </c>
      <c r="H261" s="172">
        <f>Calc!AO261</f>
        <v>5.5757750428297812E-3</v>
      </c>
      <c r="I261" s="15">
        <f>Calc!AH261</f>
        <v>47171.573773660857</v>
      </c>
      <c r="J261" s="15">
        <f>Calc!AI261</f>
        <v>688.88355771561771</v>
      </c>
      <c r="K261" s="15">
        <f>Calc!AJ261</f>
        <v>9.8323850307895366</v>
      </c>
      <c r="L261" s="15">
        <f>Calc!AK261</f>
        <v>1.4390180188110997</v>
      </c>
      <c r="M261" s="173">
        <f>Calc!AP261</f>
        <v>429.78969999999998</v>
      </c>
      <c r="N261" s="173">
        <f>Calc!AQ261</f>
        <v>38.868400000000001</v>
      </c>
      <c r="O261" s="173">
        <f>Calc!AW261</f>
        <v>429.78800000000001</v>
      </c>
      <c r="P261" s="173">
        <f>Calc!AX261</f>
        <v>35.166562641600002</v>
      </c>
      <c r="Q261" s="178">
        <f>Calc!BC261</f>
        <v>33.068099480929106</v>
      </c>
      <c r="R261" s="173">
        <f>Calc!BD261</f>
        <v>5.6849251893120183</v>
      </c>
      <c r="S261" s="15">
        <f>Input!E261</f>
        <v>0</v>
      </c>
      <c r="T261" s="68"/>
    </row>
    <row r="262" spans="1:20" x14ac:dyDescent="0.2">
      <c r="A262" s="68">
        <f>Input!A262</f>
        <v>11074</v>
      </c>
      <c r="B262" s="68" t="str">
        <f>Input!B262</f>
        <v>Geob23213-1_8538</v>
      </c>
      <c r="C262" s="175">
        <f>Calc!O262</f>
        <v>0.34094661990796382</v>
      </c>
      <c r="D262" s="175">
        <f>Calc!P262</f>
        <v>3.3566602457275097E-5</v>
      </c>
      <c r="E262" s="175">
        <f>Calc!X262</f>
        <v>24.604586008184132</v>
      </c>
      <c r="F262" s="175">
        <f>Calc!Y262</f>
        <v>5.9612803352467908E-2</v>
      </c>
      <c r="G262" s="175">
        <f>Calc!AN262</f>
        <v>0.66341361597348059</v>
      </c>
      <c r="H262" s="71">
        <f>Calc!AO262</f>
        <v>2.2315230540619329E-3</v>
      </c>
      <c r="I262" s="70">
        <f>Calc!AH262</f>
        <v>27.925003235068139</v>
      </c>
      <c r="J262" s="70">
        <f>Calc!AI262</f>
        <v>0.11572847554721481</v>
      </c>
      <c r="K262" s="70">
        <f>Calc!AJ262</f>
        <v>157.6801788564417</v>
      </c>
      <c r="L262" s="70">
        <f>Calc!AK262</f>
        <v>1.3664213296073162</v>
      </c>
      <c r="M262" s="176">
        <f>Calc!AP262</f>
        <v>90.489400000000003</v>
      </c>
      <c r="N262" s="176">
        <f>Calc!AQ262</f>
        <v>0.4118</v>
      </c>
      <c r="O262" s="176">
        <f>Calc!AW262</f>
        <v>71.779700000000005</v>
      </c>
      <c r="P262" s="176">
        <f>Calc!AY262</f>
        <v>10.282184736831679</v>
      </c>
      <c r="Q262" s="177">
        <f>Calc!BC262</f>
        <v>193.085948217137</v>
      </c>
      <c r="R262" s="176">
        <f>Calc!BD262</f>
        <v>5.8472808975241275</v>
      </c>
      <c r="S262" s="70">
        <f>Input!E262</f>
        <v>0</v>
      </c>
      <c r="T262" s="68"/>
    </row>
    <row r="263" spans="1:20" x14ac:dyDescent="0.2">
      <c r="A263" s="13">
        <f>Input!A263</f>
        <v>10815</v>
      </c>
      <c r="B263" s="13" t="str">
        <f>Input!B263</f>
        <v>Hu1-13</v>
      </c>
      <c r="C263" s="171">
        <f>Calc!O263</f>
        <v>13.706650998689419</v>
      </c>
      <c r="D263" s="171">
        <f>Calc!P263</f>
        <v>4.2474485943368463E-3</v>
      </c>
      <c r="E263" s="171">
        <f>Calc!X263</f>
        <v>0.87894621865159228</v>
      </c>
      <c r="F263" s="171">
        <f>Calc!Y263</f>
        <v>1.137804981361209E-2</v>
      </c>
      <c r="G263" s="171">
        <f>Calc!AN263</f>
        <v>0.99400080895667231</v>
      </c>
      <c r="H263" s="172">
        <f>Calc!AO263</f>
        <v>4.5268547402017578E-3</v>
      </c>
      <c r="I263" s="15">
        <f>Calc!AH263</f>
        <v>47373.95245263492</v>
      </c>
      <c r="J263" s="15">
        <f>Calc!AI263</f>
        <v>649.93920348060681</v>
      </c>
      <c r="K263" s="15">
        <f>Calc!AJ263</f>
        <v>26.503801282104167</v>
      </c>
      <c r="L263" s="15">
        <f>Calc!AK263</f>
        <v>1.3882368840631372</v>
      </c>
      <c r="M263" s="173">
        <f>Calc!AP263</f>
        <v>350.59440000000001</v>
      </c>
      <c r="N263" s="173">
        <f>Calc!AQ263</f>
        <v>12.962400000000001</v>
      </c>
      <c r="O263" s="173">
        <f>Calc!AW263</f>
        <v>350.59280000000001</v>
      </c>
      <c r="P263" s="173">
        <f>Calc!AX263</f>
        <v>12.133583312600001</v>
      </c>
      <c r="Q263" s="178">
        <f>Calc!BC263</f>
        <v>71.284726114628612</v>
      </c>
      <c r="R263" s="173">
        <f>Calc!BD263</f>
        <v>4.4794611860251958</v>
      </c>
      <c r="S263" s="15">
        <f>Input!E263</f>
        <v>0</v>
      </c>
      <c r="T263" s="68"/>
    </row>
    <row r="264" spans="1:20" ht="13.5" customHeight="1" x14ac:dyDescent="0.2">
      <c r="H264" s="74"/>
    </row>
    <row r="265" spans="1:20" x14ac:dyDescent="0.2">
      <c r="A265" s="13">
        <f>Input!A265</f>
        <v>10815</v>
      </c>
      <c r="B265" s="13" t="str">
        <f>Input!B265</f>
        <v>Hu1-13</v>
      </c>
      <c r="C265" s="171">
        <f>Calc!O265</f>
        <v>13.700347823105956</v>
      </c>
      <c r="D265" s="171">
        <f>Calc!P265</f>
        <v>1.0430651897626849E-3</v>
      </c>
      <c r="E265" s="171">
        <f>Calc!X265</f>
        <v>0.97687247845537983</v>
      </c>
      <c r="F265" s="171">
        <f>Calc!Y265</f>
        <v>4.4438303188081424E-3</v>
      </c>
      <c r="G265" s="171">
        <f>Calc!AN265</f>
        <v>0.9923795354005327</v>
      </c>
      <c r="H265" s="172">
        <f>Calc!AO265</f>
        <v>3.4263285508852148E-3</v>
      </c>
      <c r="I265" s="15">
        <f>Calc!AH265</f>
        <v>42535.872723080414</v>
      </c>
      <c r="J265" s="15">
        <f>Calc!AI265</f>
        <v>242.8968579514947</v>
      </c>
      <c r="K265" s="15">
        <f>Calc!AJ265</f>
        <v>0.1655519706313946</v>
      </c>
      <c r="L265" s="15">
        <f>Calc!AK265</f>
        <v>1.0668604177647896</v>
      </c>
      <c r="M265" s="173">
        <f>Calc!AP265</f>
        <v>528.55100000000004</v>
      </c>
      <c r="N265" s="173" t="e">
        <f>Calc!AQ265</f>
        <v>#VALUE!</v>
      </c>
      <c r="O265" s="173">
        <f>Calc!AW265</f>
        <v>528.54909999999995</v>
      </c>
      <c r="P265" s="173">
        <f>Calc!AX265</f>
        <v>108.7763340214</v>
      </c>
      <c r="Q265" s="178">
        <f>Calc!BC265</f>
        <v>0.73574415338359345</v>
      </c>
      <c r="R265" s="173">
        <f>Calc!BD265</f>
        <v>4.742537643594356</v>
      </c>
      <c r="S265" s="15">
        <f>Input!E265</f>
        <v>0</v>
      </c>
      <c r="T265" s="68"/>
    </row>
    <row r="266" spans="1:20" x14ac:dyDescent="0.2">
      <c r="A266" s="68">
        <f>Input!A266</f>
        <v>11075</v>
      </c>
      <c r="B266" s="68" t="str">
        <f>Input!B266</f>
        <v>MeBo24 T10-La-06</v>
      </c>
      <c r="C266" s="175">
        <f>Calc!O266</f>
        <v>7.6087919462901166</v>
      </c>
      <c r="D266" s="175">
        <f>Calc!P266</f>
        <v>6.4136725365181971E-4</v>
      </c>
      <c r="E266" s="175">
        <f>Calc!X266</f>
        <v>19.552155384005477</v>
      </c>
      <c r="F266" s="175">
        <f>Calc!Y266</f>
        <v>5.6422052774764191E-2</v>
      </c>
      <c r="G266" s="175">
        <f>Calc!AN266</f>
        <v>0.14585557060986201</v>
      </c>
      <c r="H266" s="71">
        <f>Calc!AO266</f>
        <v>6.53526765033749E-4</v>
      </c>
      <c r="I266" s="70">
        <f>Calc!AH266</f>
        <v>172.37482757115907</v>
      </c>
      <c r="J266" s="70">
        <f>Calc!AI266</f>
        <v>0.91855632456133451</v>
      </c>
      <c r="K266" s="70">
        <f>Calc!AJ266</f>
        <v>135.6461132668949</v>
      </c>
      <c r="L266" s="70">
        <f>Calc!AK266</f>
        <v>0.87781288701612981</v>
      </c>
      <c r="M266" s="176">
        <f>Calc!AP266</f>
        <v>14.9498</v>
      </c>
      <c r="N266" s="176">
        <f>Calc!AQ266</f>
        <v>7.9600000000000004E-2</v>
      </c>
      <c r="O266" s="176">
        <f>Calc!AW266</f>
        <v>14.305199999999999</v>
      </c>
      <c r="P266" s="176">
        <f>Calc!AY266</f>
        <v>0.33178309433035069</v>
      </c>
      <c r="Q266" s="177">
        <f>Calc!BC266</f>
        <v>141.23420189045419</v>
      </c>
      <c r="R266" s="176">
        <f>Calc!BD266</f>
        <v>0.92349236135095125</v>
      </c>
      <c r="S266" s="70">
        <f>Input!E266</f>
        <v>0</v>
      </c>
      <c r="T266" s="68"/>
    </row>
    <row r="267" spans="1:20" x14ac:dyDescent="0.2">
      <c r="A267" s="13">
        <f>Input!A267</f>
        <v>10815</v>
      </c>
      <c r="B267" s="13" t="str">
        <f>Input!B267</f>
        <v>Hu1-13</v>
      </c>
      <c r="C267" s="171">
        <f>Calc!O267</f>
        <v>13.701127791615427</v>
      </c>
      <c r="D267" s="171">
        <f>Calc!P267</f>
        <v>1.0684041979972453E-3</v>
      </c>
      <c r="E267" s="171">
        <f>Calc!X267</f>
        <v>0.94931106962560807</v>
      </c>
      <c r="F267" s="171">
        <f>Calc!Y267</f>
        <v>4.3911476634723636E-3</v>
      </c>
      <c r="G267" s="171">
        <f>Calc!AN267</f>
        <v>0.99497761422726916</v>
      </c>
      <c r="H267" s="172">
        <f>Calc!AO267</f>
        <v>3.9110329265255482E-3</v>
      </c>
      <c r="I267" s="15">
        <f>Calc!AH267</f>
        <v>43887.911143268328</v>
      </c>
      <c r="J267" s="15">
        <f>Calc!AI267</f>
        <v>266.38633537655988</v>
      </c>
      <c r="K267" s="15">
        <f>Calc!AJ267</f>
        <v>0.61509138983972811</v>
      </c>
      <c r="L267" s="15">
        <f>Calc!AK267</f>
        <v>0.91404619698580736</v>
      </c>
      <c r="M267" s="173">
        <f>Calc!AP267</f>
        <v>559.97519999999997</v>
      </c>
      <c r="N267" s="173" t="e">
        <f>Calc!AQ267</f>
        <v>#VALUE!</v>
      </c>
      <c r="O267" s="173">
        <f>Calc!AW267</f>
        <v>559.97329999999999</v>
      </c>
      <c r="P267" s="173">
        <f>Calc!AX267</f>
        <v>174.7756339158</v>
      </c>
      <c r="Q267" s="178">
        <f>Calc!BC267</f>
        <v>2.9870725578405568</v>
      </c>
      <c r="R267" s="173">
        <f>Calc!BD267</f>
        <v>4.4844043033395424</v>
      </c>
      <c r="S267" s="15">
        <f>Input!E267</f>
        <v>0</v>
      </c>
      <c r="T267" s="68"/>
    </row>
    <row r="268" spans="1:20" x14ac:dyDescent="0.2">
      <c r="A268" s="68">
        <f>Input!A268</f>
        <v>11076</v>
      </c>
      <c r="B268" s="68" t="str">
        <f>Input!B268</f>
        <v>MeBo24 T10-La-07</v>
      </c>
      <c r="C268" s="175">
        <f>Calc!O268</f>
        <v>6.4113705451440905</v>
      </c>
      <c r="D268" s="175">
        <f>Calc!P268</f>
        <v>5.2678855240204461E-4</v>
      </c>
      <c r="E268" s="175">
        <f>Calc!X268</f>
        <v>29.510174055076313</v>
      </c>
      <c r="F268" s="175">
        <f>Calc!Y268</f>
        <v>8.0857869689897208E-2</v>
      </c>
      <c r="G268" s="175">
        <f>Calc!AN268</f>
        <v>0.12951495375129643</v>
      </c>
      <c r="H268" s="71">
        <f>Calc!AO268</f>
        <v>5.2719523553620962E-4</v>
      </c>
      <c r="I268" s="70">
        <f>Calc!AH268</f>
        <v>85.546174272292049</v>
      </c>
      <c r="J268" s="70">
        <f>Calc!AI268</f>
        <v>0.41970062111139006</v>
      </c>
      <c r="K268" s="70">
        <f>Calc!AJ268</f>
        <v>136.49764119538909</v>
      </c>
      <c r="L268" s="70">
        <f>Calc!AK268</f>
        <v>0.70957671212548512</v>
      </c>
      <c r="M268" s="176">
        <f>Calc!AP268</f>
        <v>13.162699999999999</v>
      </c>
      <c r="N268" s="176">
        <f>Calc!AQ268</f>
        <v>5.8999999999999997E-2</v>
      </c>
      <c r="O268" s="176">
        <f>Calc!AW268</f>
        <v>12.005599999999999</v>
      </c>
      <c r="P268" s="176">
        <f>Calc!AY268</f>
        <v>0.58541708616615473</v>
      </c>
      <c r="Q268" s="177">
        <f>Calc!BC268</f>
        <v>141.20148717320905</v>
      </c>
      <c r="R268" s="176">
        <f>Calc!BD268</f>
        <v>0.77020589599550726</v>
      </c>
      <c r="S268" s="70">
        <f>Input!E268</f>
        <v>0</v>
      </c>
      <c r="T268" s="68"/>
    </row>
    <row r="269" spans="1:20" x14ac:dyDescent="0.2">
      <c r="A269" s="13">
        <f>Input!A269</f>
        <v>10815</v>
      </c>
      <c r="B269" s="13" t="str">
        <f>Input!B269</f>
        <v>Hu1-13</v>
      </c>
      <c r="C269" s="171">
        <f>Calc!O269</f>
        <v>13.699220231085862</v>
      </c>
      <c r="D269" s="171">
        <f>Calc!P269</f>
        <v>1.0581538926486697E-3</v>
      </c>
      <c r="E269" s="171">
        <f>Calc!X269</f>
        <v>0.95198441529923727</v>
      </c>
      <c r="F269" s="171">
        <f>Calc!Y269</f>
        <v>4.35893702305141E-3</v>
      </c>
      <c r="G269" s="171">
        <f>Calc!AN269</f>
        <v>0.99453976456554871</v>
      </c>
      <c r="H269" s="172">
        <f>Calc!AO269</f>
        <v>2.761415721272485E-3</v>
      </c>
      <c r="I269" s="15">
        <f>Calc!AH269</f>
        <v>43739.316301148319</v>
      </c>
      <c r="J269" s="15">
        <f>Calc!AI269</f>
        <v>234.19425014526041</v>
      </c>
      <c r="K269" s="15">
        <f>Calc!AJ269</f>
        <v>-0.34729064301064483</v>
      </c>
      <c r="L269" s="15">
        <f>Calc!AK269</f>
        <v>1.0219760658036776</v>
      </c>
      <c r="M269" s="173">
        <f>Calc!AP269</f>
        <v>578.38409999999999</v>
      </c>
      <c r="N269" s="173" t="e">
        <f>Calc!AQ269</f>
        <v>#VALUE!</v>
      </c>
      <c r="O269" s="173">
        <f>Calc!AW269</f>
        <v>578.38229999999999</v>
      </c>
      <c r="P269" s="173">
        <f>Calc!AX269</f>
        <v>145.19414493560001</v>
      </c>
      <c r="Q269" s="178">
        <f>Calc!BC269</f>
        <v>-1.7764842875837359</v>
      </c>
      <c r="R269" s="173">
        <f>Calc!BD269</f>
        <v>5.2387927715271863</v>
      </c>
      <c r="S269" s="15">
        <f>Input!E269</f>
        <v>0</v>
      </c>
      <c r="T269" s="68"/>
    </row>
    <row r="270" spans="1:20" x14ac:dyDescent="0.2">
      <c r="A270" s="68">
        <f>Input!A270</f>
        <v>11077</v>
      </c>
      <c r="B270" s="68" t="str">
        <f>Input!B270</f>
        <v>MeBo24 T10-La-11</v>
      </c>
      <c r="C270" s="175">
        <f>Calc!O270</f>
        <v>4.9495393768024245</v>
      </c>
      <c r="D270" s="175">
        <f>Calc!P270</f>
        <v>3.9124585455233436E-4</v>
      </c>
      <c r="E270" s="175">
        <f>Calc!X270</f>
        <v>30.82532773778248</v>
      </c>
      <c r="F270" s="175">
        <f>Calc!Y270</f>
        <v>8.3624165950786006E-2</v>
      </c>
      <c r="G270" s="175">
        <f>Calc!AN270</f>
        <v>0.11597767186771044</v>
      </c>
      <c r="H270" s="71">
        <f>Calc!AO270</f>
        <v>4.0924858655227829E-4</v>
      </c>
      <c r="I270" s="70">
        <f>Calc!AH270</f>
        <v>56.652844160419527</v>
      </c>
      <c r="J270" s="70">
        <f>Calc!AI270</f>
        <v>0.25212019322192514</v>
      </c>
      <c r="K270" s="70">
        <f>Calc!AJ270</f>
        <v>138.62696207274428</v>
      </c>
      <c r="L270" s="70">
        <f>Calc!AK270</f>
        <v>0.7180734602397012</v>
      </c>
      <c r="M270" s="176">
        <f>Calc!AP270</f>
        <v>11.6898</v>
      </c>
      <c r="N270" s="176">
        <f>Calc!AQ270</f>
        <v>4.5600000000000002E-2</v>
      </c>
      <c r="O270" s="176">
        <f>Calc!AW270</f>
        <v>10.123200000000001</v>
      </c>
      <c r="P270" s="176">
        <f>Calc!AY270</f>
        <v>0.79148112420845651</v>
      </c>
      <c r="Q270" s="177">
        <f>Calc!BC270</f>
        <v>142.64440816096848</v>
      </c>
      <c r="R270" s="176">
        <f>Calc!BD270</f>
        <v>0.80465026341770152</v>
      </c>
      <c r="S270" s="70">
        <f>Input!E270</f>
        <v>0</v>
      </c>
      <c r="T270" s="68"/>
    </row>
    <row r="271" spans="1:20" x14ac:dyDescent="0.2">
      <c r="A271" s="13">
        <f>Input!A271</f>
        <v>10815</v>
      </c>
      <c r="B271" s="13" t="str">
        <f>Input!B271</f>
        <v>Hu1-13</v>
      </c>
      <c r="C271" s="171">
        <f>Calc!O271</f>
        <v>13.699885113911638</v>
      </c>
      <c r="D271" s="171">
        <f>Calc!P271</f>
        <v>9.4407043794991123E-4</v>
      </c>
      <c r="E271" s="171">
        <f>Calc!X271</f>
        <v>0.93820186784389126</v>
      </c>
      <c r="F271" s="171">
        <f>Calc!Y271</f>
        <v>4.2473185712853627E-3</v>
      </c>
      <c r="G271" s="171">
        <f>Calc!AN271</f>
        <v>0.99630050473123866</v>
      </c>
      <c r="H271" s="172">
        <f>Calc!AO271</f>
        <v>4.1307308610043208E-3</v>
      </c>
      <c r="I271" s="15">
        <f>Calc!AH271</f>
        <v>44462.59555609728</v>
      </c>
      <c r="J271" s="15">
        <f>Calc!AI271</f>
        <v>272.92802093961302</v>
      </c>
      <c r="K271" s="15">
        <f>Calc!AJ271</f>
        <v>-2.057738227323469E-2</v>
      </c>
      <c r="L271" s="15">
        <f>Calc!AK271</f>
        <v>1.3422139910491333</v>
      </c>
      <c r="M271" s="173">
        <f>Calc!AP271</f>
        <v>611.46699999999998</v>
      </c>
      <c r="N271" s="173" t="e">
        <f>Calc!AQ271</f>
        <v>#VALUE!</v>
      </c>
      <c r="O271" s="173">
        <f>Calc!AW271</f>
        <v>611.46510000000001</v>
      </c>
      <c r="P271" s="173">
        <f>Calc!AX271</f>
        <v>269.44585921790002</v>
      </c>
      <c r="Q271" s="178">
        <f>Calc!BC271</f>
        <v>-0.11555928921757802</v>
      </c>
      <c r="R271" s="173">
        <f>Calc!BD271</f>
        <v>7.5377863308029749</v>
      </c>
      <c r="S271" s="15">
        <f>Input!E271</f>
        <v>0</v>
      </c>
      <c r="T271" s="68"/>
    </row>
    <row r="272" spans="1:20" x14ac:dyDescent="0.2">
      <c r="A272" s="68">
        <f>Input!A272</f>
        <v>11078</v>
      </c>
      <c r="B272" s="68" t="str">
        <f>Input!B272</f>
        <v>MeBo24 T10-La-17</v>
      </c>
      <c r="C272" s="175">
        <f>Calc!O272</f>
        <v>3.660475106797132</v>
      </c>
      <c r="D272" s="175">
        <f>Calc!P272</f>
        <v>2.4669780924327681E-4</v>
      </c>
      <c r="E272" s="175">
        <f>Calc!X272</f>
        <v>32.201456881796339</v>
      </c>
      <c r="F272" s="175">
        <f>Calc!Y272</f>
        <v>9.756865894898864E-2</v>
      </c>
      <c r="G272" s="175">
        <f>Calc!AN272</f>
        <v>9.8142321488182277E-2</v>
      </c>
      <c r="H272" s="71">
        <f>Calc!AO272</f>
        <v>4.3494114279982919E-4</v>
      </c>
      <c r="I272" s="70">
        <f>Calc!AH272</f>
        <v>33.965141943414963</v>
      </c>
      <c r="J272" s="70">
        <f>Calc!AI272</f>
        <v>0.18232777081588603</v>
      </c>
      <c r="K272" s="70">
        <f>Calc!AJ272</f>
        <v>142.42924299772318</v>
      </c>
      <c r="L272" s="70">
        <f>Calc!AK272</f>
        <v>0.76276749041463454</v>
      </c>
      <c r="M272" s="176">
        <f>Calc!AP272</f>
        <v>9.7772000000000006</v>
      </c>
      <c r="N272" s="176">
        <f>Calc!AQ272</f>
        <v>4.8300000000000003E-2</v>
      </c>
      <c r="O272" s="176">
        <f>Calc!AW272</f>
        <v>7.5636999999999999</v>
      </c>
      <c r="P272" s="176">
        <f>Calc!AY272</f>
        <v>1.1210320292768563</v>
      </c>
      <c r="Q272" s="177">
        <f>Calc!BC272</f>
        <v>145.50210461965918</v>
      </c>
      <c r="R272" s="176">
        <f>Calc!BD272</f>
        <v>0.90502944194657564</v>
      </c>
      <c r="S272" s="70">
        <f>Input!E272</f>
        <v>0</v>
      </c>
      <c r="T272" s="68"/>
    </row>
    <row r="273" spans="1:20" x14ac:dyDescent="0.2">
      <c r="A273" s="13">
        <f>Input!A273</f>
        <v>10815</v>
      </c>
      <c r="B273" s="13" t="str">
        <f>Input!B273</f>
        <v>Hu1-13</v>
      </c>
      <c r="C273" s="171">
        <f>Calc!O273</f>
        <v>13.700720649422905</v>
      </c>
      <c r="D273" s="171">
        <f>Calc!P273</f>
        <v>1.310592567872638E-3</v>
      </c>
      <c r="E273" s="171">
        <f>Calc!X273</f>
        <v>0.93779724345092319</v>
      </c>
      <c r="F273" s="171">
        <f>Calc!Y273</f>
        <v>3.9370935950893858E-3</v>
      </c>
      <c r="G273" s="171">
        <f>Calc!AN273</f>
        <v>0.99602978038257084</v>
      </c>
      <c r="H273" s="172">
        <f>Calc!AO273</f>
        <v>2.7089454250828825E-3</v>
      </c>
      <c r="I273" s="15">
        <f>Calc!AH273</f>
        <v>44472.40462451116</v>
      </c>
      <c r="J273" s="15">
        <f>Calc!AI273</f>
        <v>222.41998162507744</v>
      </c>
      <c r="K273" s="15">
        <f>Calc!AJ273</f>
        <v>-6.0355462507932778E-2</v>
      </c>
      <c r="L273" s="15">
        <f>Calc!AK273</f>
        <v>1.1124333028625106</v>
      </c>
      <c r="M273" s="173">
        <f>Calc!AP273</f>
        <v>605.27449999999999</v>
      </c>
      <c r="N273" s="173" t="e">
        <f>Calc!AQ273</f>
        <v>#VALUE!</v>
      </c>
      <c r="O273" s="173">
        <f>Calc!AW273</f>
        <v>605.27260000000001</v>
      </c>
      <c r="P273" s="173">
        <f>Calc!AX273</f>
        <v>220.32067109959999</v>
      </c>
      <c r="Q273" s="178">
        <f>Calc!BC273</f>
        <v>-0.3330747871514339</v>
      </c>
      <c r="R273" s="173">
        <f>Calc!BD273</f>
        <v>6.1395714250108284</v>
      </c>
      <c r="S273" s="15">
        <f>Input!E273</f>
        <v>0</v>
      </c>
      <c r="T273" s="68"/>
    </row>
    <row r="274" spans="1:20" x14ac:dyDescent="0.2">
      <c r="A274" s="68">
        <f>Input!A274</f>
        <v>11080</v>
      </c>
      <c r="B274" s="68" t="str">
        <f>Input!B274</f>
        <v>MeBo24 T09-La-04</v>
      </c>
      <c r="C274" s="175">
        <f>Calc!O274</f>
        <v>1.929699010003525</v>
      </c>
      <c r="D274" s="175">
        <f>Calc!P274</f>
        <v>1.5243001478181428E-4</v>
      </c>
      <c r="E274" s="175">
        <f>Calc!X274</f>
        <v>-7.3743198271460052E-3</v>
      </c>
      <c r="F274" s="175">
        <f>Calc!Y274</f>
        <v>-9.4767516637890315E-5</v>
      </c>
      <c r="G274" s="175">
        <f>Calc!AN274</f>
        <v>6.6902910216011635E-2</v>
      </c>
      <c r="H274" s="71">
        <f>Calc!AO274</f>
        <v>3.6301624123301313E-4</v>
      </c>
      <c r="I274" s="70">
        <f>Calc!AH274</f>
        <v>-53292.828059291627</v>
      </c>
      <c r="J274" s="70">
        <f>Calc!AI274</f>
        <v>-743.39974610026115</v>
      </c>
      <c r="K274" s="70">
        <f>Calc!AJ274</f>
        <v>139.20886976473378</v>
      </c>
      <c r="L274" s="70">
        <f>Calc!AK274</f>
        <v>1.6706853654495331</v>
      </c>
      <c r="M274" s="176">
        <f>Calc!AP274</f>
        <v>6.5919999999999996</v>
      </c>
      <c r="N274" s="176">
        <f>Calc!AQ274</f>
        <v>3.9199999999999999E-2</v>
      </c>
      <c r="O274" s="176">
        <f>Calc!AW274</f>
        <v>6.593</v>
      </c>
      <c r="P274" s="176">
        <f>Calc!AY274</f>
        <v>3.8221186062633583E-2</v>
      </c>
      <c r="Q274" s="177">
        <f>Calc!BC274</f>
        <v>141.82321355687671</v>
      </c>
      <c r="R274" s="176">
        <f>Calc!BD274</f>
        <v>1.7021295931407336</v>
      </c>
      <c r="S274" s="70">
        <f>Input!E274</f>
        <v>0</v>
      </c>
      <c r="T274" s="68"/>
    </row>
    <row r="275" spans="1:20" x14ac:dyDescent="0.2">
      <c r="A275" s="13">
        <f>Input!A275</f>
        <v>10815</v>
      </c>
      <c r="B275" s="13" t="str">
        <f>Input!B275</f>
        <v>Hu1-13</v>
      </c>
      <c r="C275" s="171">
        <f>Calc!O275</f>
        <v>13.700720649422905</v>
      </c>
      <c r="D275" s="171">
        <f>Calc!P275</f>
        <v>1.310592567872638E-3</v>
      </c>
      <c r="E275" s="171">
        <f>Calc!X275</f>
        <v>0.93779724345092319</v>
      </c>
      <c r="F275" s="171">
        <f>Calc!Y275</f>
        <v>3.9370935950893858E-3</v>
      </c>
      <c r="G275" s="171">
        <f>Calc!AN275</f>
        <v>0.99602978038257084</v>
      </c>
      <c r="H275" s="172">
        <f>Calc!AO275</f>
        <v>2.7089454250828825E-3</v>
      </c>
      <c r="I275" s="15">
        <f>Calc!AH275</f>
        <v>44472.40462451116</v>
      </c>
      <c r="J275" s="15">
        <f>Calc!AI275</f>
        <v>222.41998162507744</v>
      </c>
      <c r="K275" s="15">
        <f>Calc!AJ275</f>
        <v>-6.0355462507932778E-2</v>
      </c>
      <c r="L275" s="15">
        <f>Calc!AK275</f>
        <v>1.1124333028625106</v>
      </c>
      <c r="M275" s="173">
        <f>Calc!AP275</f>
        <v>605.27449999999999</v>
      </c>
      <c r="N275" s="173" t="e">
        <f>Calc!AQ275</f>
        <v>#VALUE!</v>
      </c>
      <c r="O275" s="173">
        <f>Calc!AW275</f>
        <v>605.27260000000001</v>
      </c>
      <c r="P275" s="173">
        <f>Calc!AX275</f>
        <v>209.07124360399999</v>
      </c>
      <c r="Q275" s="178">
        <f>Calc!BC275</f>
        <v>-0.3330747871514339</v>
      </c>
      <c r="R275" s="173">
        <f>Calc!BD275</f>
        <v>6.1395714250108284</v>
      </c>
      <c r="S275" s="15">
        <f>Input!E275</f>
        <v>0</v>
      </c>
      <c r="T275" s="68"/>
    </row>
    <row r="276" spans="1:20" ht="13.5" customHeight="1" x14ac:dyDescent="0.2">
      <c r="H276" s="74"/>
    </row>
    <row r="277" spans="1:20" x14ac:dyDescent="0.2">
      <c r="A277" s="13">
        <f>Input!A277</f>
        <v>10815</v>
      </c>
      <c r="B277" s="13" t="str">
        <f>Input!B277</f>
        <v>Hu1-13</v>
      </c>
      <c r="C277" s="171">
        <f>Calc!O277</f>
        <v>13.702318036592828</v>
      </c>
      <c r="D277" s="171">
        <f>Calc!P277</f>
        <v>1.8160709581362341E-3</v>
      </c>
      <c r="E277" s="171">
        <f>Calc!X277</f>
        <v>0.9858160613319209</v>
      </c>
      <c r="F277" s="171">
        <f>Calc!Y277</f>
        <v>8.7987325127584504E-3</v>
      </c>
      <c r="G277" s="171">
        <f>Calc!AN277</f>
        <v>0.99121899613071685</v>
      </c>
      <c r="H277" s="172">
        <f>Calc!AO277</f>
        <v>5.0492319484067476E-3</v>
      </c>
      <c r="I277" s="15">
        <f>Calc!AH277</f>
        <v>42106.738149257151</v>
      </c>
      <c r="J277" s="15">
        <f>Calc!AI277</f>
        <v>432.68105960222783</v>
      </c>
      <c r="K277" s="15">
        <f>Calc!AJ277</f>
        <v>-1.9367768764939619</v>
      </c>
      <c r="L277" s="15">
        <f>Calc!AK277</f>
        <v>1.9606072314398193</v>
      </c>
      <c r="M277" s="173">
        <f>Calc!AP277</f>
        <v>556.702</v>
      </c>
      <c r="N277" s="173" t="e">
        <f>Calc!AQ277</f>
        <v>#VALUE!</v>
      </c>
      <c r="O277" s="173">
        <f>Calc!AW277</f>
        <v>556.70010000000002</v>
      </c>
      <c r="P277" s="173">
        <f>Calc!AX277</f>
        <v>223.1473902809</v>
      </c>
      <c r="Q277" s="178">
        <f>Calc!BC277</f>
        <v>-9.3191019965162294</v>
      </c>
      <c r="R277" s="173">
        <f>Calc!BD277</f>
        <v>9.82059805014209</v>
      </c>
      <c r="S277" s="15">
        <f>Input!E277</f>
        <v>0</v>
      </c>
      <c r="T277" s="68"/>
    </row>
    <row r="278" spans="1:20" x14ac:dyDescent="0.2">
      <c r="A278" s="68">
        <f>Input!A278</f>
        <v>11079</v>
      </c>
      <c r="B278" s="68" t="str">
        <f>Input!B278</f>
        <v>MeBo24 T09-La-02</v>
      </c>
      <c r="C278" s="175">
        <f>Calc!O278</f>
        <v>1.4533856834090961</v>
      </c>
      <c r="D278" s="175">
        <f>Calc!P278</f>
        <v>1.3659282142003168E-4</v>
      </c>
      <c r="E278" s="175">
        <f>Calc!X278</f>
        <v>2.815583733102129E-2</v>
      </c>
      <c r="F278" s="175">
        <f>Calc!Y278</f>
        <v>2.3924551827109869E-4</v>
      </c>
      <c r="G278" s="175">
        <f>Calc!AN278</f>
        <v>7.7660637632808782E-2</v>
      </c>
      <c r="H278" s="71">
        <f>Calc!AO278</f>
        <v>5.7919886077587696E-4</v>
      </c>
      <c r="I278" s="70">
        <f>Calc!AH278</f>
        <v>12192.980421905899</v>
      </c>
      <c r="J278" s="70">
        <f>Calc!AI278</f>
        <v>137.84880203136316</v>
      </c>
      <c r="K278" s="70">
        <f>Calc!AJ278</f>
        <v>141.08006549213204</v>
      </c>
      <c r="L278" s="70">
        <f>Calc!AK278</f>
        <v>3.2189660950868588</v>
      </c>
      <c r="M278" s="176">
        <f>Calc!AP278</f>
        <v>7.6755000000000004</v>
      </c>
      <c r="N278" s="176">
        <f>Calc!AQ278</f>
        <v>6.3299999999999995E-2</v>
      </c>
      <c r="O278" s="176">
        <f>Calc!AW278</f>
        <v>7.6707000000000001</v>
      </c>
      <c r="P278" s="176">
        <f>Calc!AY278</f>
        <v>6.3509351212057683E-2</v>
      </c>
      <c r="Q278" s="177">
        <f>Calc!BC278</f>
        <v>144.16734533655799</v>
      </c>
      <c r="R278" s="176">
        <f>Calc!BD278</f>
        <v>3.2895087769389479</v>
      </c>
      <c r="S278" s="70">
        <f>Input!E278</f>
        <v>0</v>
      </c>
      <c r="T278" s="68"/>
    </row>
    <row r="279" spans="1:20" x14ac:dyDescent="0.2">
      <c r="A279" s="13">
        <f>Input!A279</f>
        <v>10815</v>
      </c>
      <c r="B279" s="13" t="str">
        <f>Input!B279</f>
        <v>Hu1-13</v>
      </c>
      <c r="C279" s="171">
        <f>Calc!O279</f>
        <v>13.700751237147221</v>
      </c>
      <c r="D279" s="171">
        <f>Calc!P279</f>
        <v>2.2263058830348324E-3</v>
      </c>
      <c r="E279" s="171">
        <f>Calc!X279</f>
        <v>1.008381634151843</v>
      </c>
      <c r="F279" s="171">
        <f>Calc!Y279</f>
        <v>8.0210603759372362E-3</v>
      </c>
      <c r="G279" s="171">
        <f>Calc!AN279</f>
        <v>0.99919153321286891</v>
      </c>
      <c r="H279" s="172">
        <f>Calc!AO279</f>
        <v>4.1680612908195714E-3</v>
      </c>
      <c r="I279" s="15">
        <f>Calc!AH279</f>
        <v>41490.820983635975</v>
      </c>
      <c r="J279" s="15">
        <f>Calc!AI279</f>
        <v>372.60228496690428</v>
      </c>
      <c r="K279" s="15">
        <f>Calc!AJ279</f>
        <v>2.0019224547815906</v>
      </c>
      <c r="L279" s="15">
        <f>Calc!AK279</f>
        <v>1.9686446980333354</v>
      </c>
      <c r="M279" s="173">
        <f>Calc!AP279</f>
        <v>612.34429999999998</v>
      </c>
      <c r="N279" s="173" t="e">
        <f>Calc!AQ279</f>
        <v>#VALUE!</v>
      </c>
      <c r="O279" s="173">
        <f>Calc!AW279</f>
        <v>612.3424</v>
      </c>
      <c r="P279" s="173">
        <f>Calc!AX279</f>
        <v>283.00444085010002</v>
      </c>
      <c r="Q279" s="178">
        <f>Calc!BC279</f>
        <v>11.270344997559809</v>
      </c>
      <c r="R279" s="173">
        <f>Calc!BD279</f>
        <v>12.035738907971329</v>
      </c>
      <c r="S279" s="15">
        <f>Input!E279</f>
        <v>0</v>
      </c>
      <c r="T279" s="68"/>
    </row>
    <row r="280" spans="1:20" x14ac:dyDescent="0.2">
      <c r="A280" s="68">
        <f>Input!A280</f>
        <v>11081</v>
      </c>
      <c r="B280" s="68" t="str">
        <f>Input!B280</f>
        <v>MeBo24 T09-La-05</v>
      </c>
      <c r="C280" s="175">
        <f>Calc!O280</f>
        <v>2.0835639577485963</v>
      </c>
      <c r="D280" s="175">
        <f>Calc!P280</f>
        <v>2.0358223457125546E-4</v>
      </c>
      <c r="E280" s="175">
        <f>Calc!X280</f>
        <v>1.3053716624986061E-2</v>
      </c>
      <c r="F280" s="175">
        <f>Calc!Y280</f>
        <v>1.0965169700698183E-4</v>
      </c>
      <c r="G280" s="175">
        <f>Calc!AN280</f>
        <v>8.6916538604301291E-2</v>
      </c>
      <c r="H280" s="71">
        <f>Calc!AO280</f>
        <v>4.8359588328611072E-4</v>
      </c>
      <c r="I280" s="70">
        <f>Calc!AH280</f>
        <v>42276.025563204195</v>
      </c>
      <c r="J280" s="70">
        <f>Calc!AI280</f>
        <v>425.93630284513466</v>
      </c>
      <c r="K280" s="70">
        <f>Calc!AJ280</f>
        <v>141.13268838531835</v>
      </c>
      <c r="L280" s="70">
        <f>Calc!AK280</f>
        <v>2.4115612501917103</v>
      </c>
      <c r="M280" s="176">
        <f>Calc!AP280</f>
        <v>8.6255000000000006</v>
      </c>
      <c r="N280" s="176">
        <f>Calc!AQ280</f>
        <v>5.8299999999999998E-2</v>
      </c>
      <c r="O280" s="176">
        <f>Calc!AW280</f>
        <v>8.6240000000000006</v>
      </c>
      <c r="P280" s="176">
        <f>Calc!AY280</f>
        <v>5.3478709856880864E-2</v>
      </c>
      <c r="Q280" s="177">
        <f>Calc!BC280</f>
        <v>144.60963588078175</v>
      </c>
      <c r="R280" s="176">
        <f>Calc!BD280</f>
        <v>2.4710688963112335</v>
      </c>
      <c r="S280" s="70">
        <f>Input!E280</f>
        <v>0</v>
      </c>
      <c r="T280" s="68"/>
    </row>
    <row r="281" spans="1:20" x14ac:dyDescent="0.2">
      <c r="A281" s="13">
        <f>Input!A281</f>
        <v>10815</v>
      </c>
      <c r="B281" s="13" t="str">
        <f>Input!B281</f>
        <v>Hu1-13</v>
      </c>
      <c r="C281" s="171">
        <f>Calc!O281</f>
        <v>13.700133736196332</v>
      </c>
      <c r="D281" s="171">
        <f>Calc!P281</f>
        <v>2.3778547554751724E-3</v>
      </c>
      <c r="E281" s="171">
        <f>Calc!X281</f>
        <v>0.99157374887364147</v>
      </c>
      <c r="F281" s="171">
        <f>Calc!Y281</f>
        <v>7.6890356584329057E-3</v>
      </c>
      <c r="G281" s="171">
        <f>Calc!AN281</f>
        <v>0.99499252516141612</v>
      </c>
      <c r="H281" s="172">
        <f>Calc!AO281</f>
        <v>3.9723466709887254E-3</v>
      </c>
      <c r="I281" s="15">
        <f>Calc!AH281</f>
        <v>42014.90959095984</v>
      </c>
      <c r="J281" s="15">
        <f>Calc!AI281</f>
        <v>366.37142471392417</v>
      </c>
      <c r="K281" s="15">
        <f>Calc!AJ281</f>
        <v>-0.91732644459563417</v>
      </c>
      <c r="L281" s="15">
        <f>Calc!AK281</f>
        <v>2.0750279695311904</v>
      </c>
      <c r="M281" s="173">
        <f>Calc!AP281</f>
        <v>610.30020000000002</v>
      </c>
      <c r="N281" s="173" t="e">
        <f>Calc!AQ281</f>
        <v>#VALUE!</v>
      </c>
      <c r="O281" s="173">
        <f>Calc!AW281</f>
        <v>610.29819999999995</v>
      </c>
      <c r="P281" s="173">
        <f>Calc!AX281</f>
        <v>274.47256516649998</v>
      </c>
      <c r="Q281" s="178">
        <f>Calc!BC281</f>
        <v>-5.1346221639699312</v>
      </c>
      <c r="R281" s="173">
        <f>Calc!BD281</f>
        <v>11.803353624440797</v>
      </c>
      <c r="S281" s="15">
        <f>Input!E281</f>
        <v>0</v>
      </c>
      <c r="T281" s="68"/>
    </row>
    <row r="282" spans="1:20" x14ac:dyDescent="0.2">
      <c r="A282" s="68">
        <f>Input!A282</f>
        <v>11082</v>
      </c>
      <c r="B282" s="68" t="str">
        <f>Input!B282</f>
        <v>MeBo24 T09-La-06</v>
      </c>
      <c r="C282" s="175">
        <f>Calc!O282</f>
        <v>3.1502239801060741</v>
      </c>
      <c r="D282" s="175">
        <f>Calc!P282</f>
        <v>2.6898144964431148E-4</v>
      </c>
      <c r="E282" s="175">
        <f>Calc!X282</f>
        <v>1.927522134252955E-4</v>
      </c>
      <c r="F282" s="175">
        <f>Calc!Y282</f>
        <v>1.6703969617244152E-6</v>
      </c>
      <c r="G282" s="175">
        <f>Calc!AN282</f>
        <v>9.0004143580228194E-2</v>
      </c>
      <c r="H282" s="71">
        <f>Calc!AO282</f>
        <v>4.5759756509537573E-4</v>
      </c>
      <c r="I282" s="70">
        <f>Calc!AH282</f>
        <v>4474213.424480129</v>
      </c>
      <c r="J282" s="70">
        <f>Calc!AI282</f>
        <v>44952.320098144133</v>
      </c>
      <c r="K282" s="70">
        <f>Calc!AJ282</f>
        <v>140.54275969789964</v>
      </c>
      <c r="L282" s="70">
        <f>Calc!AK282</f>
        <v>1.4748147915364545</v>
      </c>
      <c r="M282" s="176">
        <f>Calc!AP282</f>
        <v>8.9491999999999994</v>
      </c>
      <c r="N282" s="176">
        <f>Calc!AQ282</f>
        <v>4.7899999999999998E-2</v>
      </c>
      <c r="O282" s="176">
        <f>Calc!AW282</f>
        <v>8.9491999999999994</v>
      </c>
      <c r="P282" s="176">
        <f>Calc!AY282</f>
        <v>4.8941917013003801E-2</v>
      </c>
      <c r="Q282" s="177">
        <f>Calc!BC282</f>
        <v>144.13739279251735</v>
      </c>
      <c r="R282" s="176">
        <f>Calc!BD282</f>
        <v>1.5126668310401554</v>
      </c>
      <c r="S282" s="70">
        <f>Input!E282</f>
        <v>0</v>
      </c>
      <c r="T282" s="68"/>
    </row>
    <row r="283" spans="1:20" x14ac:dyDescent="0.2">
      <c r="A283" s="13">
        <f>Input!A283</f>
        <v>10815</v>
      </c>
      <c r="B283" s="13" t="str">
        <f>Input!B283</f>
        <v>Hu1-13</v>
      </c>
      <c r="C283" s="171">
        <f>Calc!O283</f>
        <v>13.702408439867259</v>
      </c>
      <c r="D283" s="171">
        <f>Calc!P283</f>
        <v>2.4528941022801494E-3</v>
      </c>
      <c r="E283" s="171">
        <f>Calc!X283</f>
        <v>1.0042568999541657</v>
      </c>
      <c r="F283" s="171">
        <f>Calc!Y283</f>
        <v>7.3408890813749413E-3</v>
      </c>
      <c r="G283" s="171">
        <f>Calc!AN283</f>
        <v>0.99548968255442505</v>
      </c>
      <c r="H283" s="172">
        <f>Calc!AO283</f>
        <v>4.0166310593372206E-3</v>
      </c>
      <c r="I283" s="15">
        <f>Calc!AH283</f>
        <v>41511.906258550407</v>
      </c>
      <c r="J283" s="15">
        <f>Calc!AI283</f>
        <v>346.52017820888074</v>
      </c>
      <c r="K283" s="15">
        <f>Calc!AJ283</f>
        <v>1.2911033346607592</v>
      </c>
      <c r="L283" s="15">
        <f>Calc!AK283</f>
        <v>2.4254252194906831</v>
      </c>
      <c r="M283" s="173">
        <f>Calc!AP283</f>
        <v>552.21879999999999</v>
      </c>
      <c r="N283" s="173" t="e">
        <f>Calc!AQ283</f>
        <v>#VALUE!</v>
      </c>
      <c r="O283" s="173">
        <f>Calc!AW283</f>
        <v>552.21690000000001</v>
      </c>
      <c r="P283" s="173">
        <f>Calc!AX283</f>
        <v>224.75671853259999</v>
      </c>
      <c r="Q283" s="178">
        <f>Calc!BC283</f>
        <v>6.134241133034477</v>
      </c>
      <c r="R283" s="173">
        <f>Calc!BD283</f>
        <v>11.627879150660563</v>
      </c>
      <c r="S283" s="15">
        <f>Input!E283</f>
        <v>0</v>
      </c>
      <c r="T283" s="68"/>
    </row>
    <row r="284" spans="1:20" x14ac:dyDescent="0.2">
      <c r="A284" s="68">
        <f>Input!A284</f>
        <v>11083</v>
      </c>
      <c r="B284" s="68" t="str">
        <f>Input!B284</f>
        <v>MeBo24 T08-La-09</v>
      </c>
      <c r="C284" s="175">
        <f>Calc!O284</f>
        <v>2.920142454393277</v>
      </c>
      <c r="D284" s="175">
        <f>Calc!P284</f>
        <v>2.3544035323820104E-4</v>
      </c>
      <c r="E284" s="175">
        <f>Calc!X284</f>
        <v>0.41680330958079331</v>
      </c>
      <c r="F284" s="175">
        <f>Calc!Y284</f>
        <v>1.322254411456599E-3</v>
      </c>
      <c r="G284" s="175">
        <f>Calc!AN284</f>
        <v>0.16960668829977513</v>
      </c>
      <c r="H284" s="71">
        <f>Calc!AO284</f>
        <v>6.5392074748280059E-4</v>
      </c>
      <c r="I284" s="70">
        <f>Calc!AH284</f>
        <v>3619.7925555717129</v>
      </c>
      <c r="J284" s="70">
        <f>Calc!AI284</f>
        <v>18.070855258587162</v>
      </c>
      <c r="K284" s="70">
        <f>Calc!AJ284</f>
        <v>130.17814904621483</v>
      </c>
      <c r="L284" s="70">
        <f>Calc!AK284</f>
        <v>1.0978743486762541</v>
      </c>
      <c r="M284" s="176">
        <f>Calc!AP284</f>
        <v>17.676500000000001</v>
      </c>
      <c r="N284" s="176">
        <f>Calc!AQ284</f>
        <v>6.7799999999999999E-2</v>
      </c>
      <c r="O284" s="176">
        <f>Calc!AW284</f>
        <v>17.640599999999999</v>
      </c>
      <c r="P284" s="176">
        <f>Calc!AY284</f>
        <v>7.8329084739506602E-2</v>
      </c>
      <c r="Q284" s="177">
        <f>Calc!BC284</f>
        <v>136.82280865984225</v>
      </c>
      <c r="R284" s="176">
        <f>Calc!BD284</f>
        <v>1.1543092440568175</v>
      </c>
      <c r="S284" s="70">
        <f>Input!E284</f>
        <v>0</v>
      </c>
      <c r="T284" s="68"/>
    </row>
    <row r="285" spans="1:20" x14ac:dyDescent="0.2">
      <c r="A285" s="13">
        <f>Input!A285</f>
        <v>10815</v>
      </c>
      <c r="B285" s="13" t="str">
        <f>Input!B285</f>
        <v>Hu1-13</v>
      </c>
      <c r="C285" s="171">
        <f>Calc!O285</f>
        <v>13.700427326787894</v>
      </c>
      <c r="D285" s="171">
        <f>Calc!P285</f>
        <v>2.031692663984971E-3</v>
      </c>
      <c r="E285" s="171">
        <f>Calc!X285</f>
        <v>0.9622991228626524</v>
      </c>
      <c r="F285" s="171">
        <f>Calc!Y285</f>
        <v>7.9606401072724667E-3</v>
      </c>
      <c r="G285" s="171">
        <f>Calc!AN285</f>
        <v>0.99800001299150265</v>
      </c>
      <c r="H285" s="172">
        <f>Calc!AO285</f>
        <v>4.9156230769451829E-3</v>
      </c>
      <c r="I285" s="15">
        <f>Calc!AH285</f>
        <v>43424.857262234254</v>
      </c>
      <c r="J285" s="15">
        <f>Calc!AI285</f>
        <v>418.03708184024669</v>
      </c>
      <c r="K285" s="15">
        <f>Calc!AJ285</f>
        <v>-0.13227017616579406</v>
      </c>
      <c r="L285" s="15">
        <f>Calc!AK285</f>
        <v>2.2131645711950294</v>
      </c>
      <c r="M285" s="173">
        <f>Calc!AP285</f>
        <v>688.47860000000003</v>
      </c>
      <c r="N285" s="173" t="e">
        <f>Calc!AQ285</f>
        <v>#VALUE!</v>
      </c>
      <c r="O285" s="173">
        <f>Calc!AW285</f>
        <v>688.47670000000005</v>
      </c>
      <c r="P285" s="173">
        <f>Calc!AX285</f>
        <v>310.50440074099998</v>
      </c>
      <c r="Q285" s="178">
        <f>Calc!BC285</f>
        <v>-0.92312917495164759</v>
      </c>
      <c r="R285" s="173">
        <f>Calc!BD285</f>
        <v>15.472753688449222</v>
      </c>
      <c r="S285" s="15">
        <f>Input!E285</f>
        <v>0</v>
      </c>
      <c r="T285" s="68"/>
    </row>
    <row r="286" spans="1:20" x14ac:dyDescent="0.2">
      <c r="A286" s="68">
        <f>Input!A286</f>
        <v>11084</v>
      </c>
      <c r="B286" s="68" t="str">
        <f>Input!B286</f>
        <v>MeBo24 T05-La-03</v>
      </c>
      <c r="C286" s="175">
        <f>Calc!O286</f>
        <v>4.71666922980575</v>
      </c>
      <c r="D286" s="175">
        <f>Calc!P286</f>
        <v>3.5431413036029249E-4</v>
      </c>
      <c r="E286" s="175">
        <f>Calc!X286</f>
        <v>2.5351583301925804</v>
      </c>
      <c r="F286" s="175">
        <f>Calc!Y286</f>
        <v>6.0716052332935866E-3</v>
      </c>
      <c r="G286" s="175">
        <f>Calc!AN286</f>
        <v>0.28430058843124645</v>
      </c>
      <c r="H286" s="71">
        <f>Calc!AO286</f>
        <v>7.9316729674096037E-4</v>
      </c>
      <c r="I286" s="70">
        <f>Calc!AH286</f>
        <v>1613.3272452196188</v>
      </c>
      <c r="J286" s="70">
        <f>Calc!AI286</f>
        <v>5.9307454071797308</v>
      </c>
      <c r="K286" s="70">
        <f>Calc!AJ286</f>
        <v>125.63178372438743</v>
      </c>
      <c r="L286" s="70">
        <f>Calc!AK286</f>
        <v>0.80263249282488658</v>
      </c>
      <c r="M286" s="176">
        <f>Calc!AP286</f>
        <v>31.566199999999998</v>
      </c>
      <c r="N286" s="176">
        <f>Calc!AQ286</f>
        <v>0.10440000000000001</v>
      </c>
      <c r="O286" s="176">
        <f>Calc!AW286</f>
        <v>31.4312</v>
      </c>
      <c r="P286" s="176">
        <f>Calc!AY286</f>
        <v>0.12503573379656527</v>
      </c>
      <c r="Q286" s="177">
        <f>Calc!BC286</f>
        <v>137.28458161577402</v>
      </c>
      <c r="R286" s="176">
        <f>Calc!BD286</f>
        <v>0.87841626369459691</v>
      </c>
      <c r="S286" s="70">
        <f>Input!E286</f>
        <v>0</v>
      </c>
      <c r="T286" s="68"/>
    </row>
    <row r="287" spans="1:20" x14ac:dyDescent="0.2">
      <c r="A287" s="13">
        <f>Input!A287</f>
        <v>10815</v>
      </c>
      <c r="B287" s="13" t="str">
        <f>Input!B287</f>
        <v>Hu1-13</v>
      </c>
      <c r="C287" s="171">
        <f>Calc!O287</f>
        <v>13.700427326787894</v>
      </c>
      <c r="D287" s="171">
        <f>Calc!P287</f>
        <v>2.031692663984971E-3</v>
      </c>
      <c r="E287" s="171">
        <f>Calc!X287</f>
        <v>0.9622991228626524</v>
      </c>
      <c r="F287" s="171">
        <f>Calc!Y287</f>
        <v>7.9606401072724667E-3</v>
      </c>
      <c r="G287" s="171">
        <f>Calc!AN287</f>
        <v>0.99800001299150265</v>
      </c>
      <c r="H287" s="172">
        <f>Calc!AO287</f>
        <v>4.9156230769451829E-3</v>
      </c>
      <c r="I287" s="15">
        <f>Calc!AH287</f>
        <v>43424.857262234254</v>
      </c>
      <c r="J287" s="15">
        <f>Calc!AI287</f>
        <v>418.03708184024669</v>
      </c>
      <c r="K287" s="15">
        <f>Calc!AJ287</f>
        <v>-0.13227017616579406</v>
      </c>
      <c r="L287" s="15">
        <f>Calc!AK287</f>
        <v>2.2131645711950294</v>
      </c>
      <c r="M287" s="173">
        <f>Calc!AP287</f>
        <v>688.47860000000003</v>
      </c>
      <c r="N287" s="173" t="e">
        <f>Calc!AQ287</f>
        <v>#VALUE!</v>
      </c>
      <c r="O287" s="173">
        <f>Calc!AW287</f>
        <v>688.47670000000005</v>
      </c>
      <c r="P287" s="173">
        <f>Calc!AX287</f>
        <v>315.40934020729998</v>
      </c>
      <c r="Q287" s="178">
        <f>Calc!BC287</f>
        <v>-0.92312917495164759</v>
      </c>
      <c r="R287" s="173">
        <f>Calc!BD287</f>
        <v>15.472753688449222</v>
      </c>
      <c r="S287" s="15">
        <f>Input!E287</f>
        <v>0</v>
      </c>
      <c r="T287" s="68"/>
    </row>
    <row r="288" spans="1:20" ht="13.5" customHeight="1" x14ac:dyDescent="0.2">
      <c r="H288" s="74"/>
    </row>
    <row r="289" spans="1:20" x14ac:dyDescent="0.2">
      <c r="A289" s="13">
        <f>Input!A289</f>
        <v>10815</v>
      </c>
      <c r="B289" s="13" t="str">
        <f>Input!B289</f>
        <v>Hu1-13</v>
      </c>
      <c r="C289" s="171">
        <f>Calc!O289</f>
        <v>13.700465741702653</v>
      </c>
      <c r="D289" s="171">
        <f>Calc!P289</f>
        <v>1.2684746956663079E-3</v>
      </c>
      <c r="E289" s="171">
        <f>Calc!X289</f>
        <v>0.98400227955831199</v>
      </c>
      <c r="F289" s="171">
        <f>Calc!Y289</f>
        <v>4.3981957471082751E-3</v>
      </c>
      <c r="G289" s="171">
        <f>Calc!AN289</f>
        <v>0.9998086153152691</v>
      </c>
      <c r="H289" s="172">
        <f>Calc!AO289</f>
        <v>2.4359923571535174E-3</v>
      </c>
      <c r="I289" s="15">
        <f>Calc!AH289</f>
        <v>42544.157769699006</v>
      </c>
      <c r="J289" s="15">
        <f>Calc!AI289</f>
        <v>216.54091784898142</v>
      </c>
      <c r="K289" s="15">
        <f>Calc!AJ289</f>
        <v>-2.1977774973570563</v>
      </c>
      <c r="L289" s="15">
        <f>Calc!AK289</f>
        <v>1.0921768914574965</v>
      </c>
      <c r="M289" s="173" t="str">
        <f>Calc!AP289</f>
        <v>Out of range</v>
      </c>
      <c r="N289" s="173" t="e">
        <f>Calc!AQ289</f>
        <v>#VALUE!</v>
      </c>
      <c r="O289" s="173" t="str">
        <f>Calc!AW289</f>
        <v>Out of range</v>
      </c>
      <c r="P289" s="173">
        <f>Calc!AX289</f>
        <v>268.85615168840002</v>
      </c>
      <c r="Q289" s="178" t="e">
        <f>Calc!BC289</f>
        <v>#VALUE!</v>
      </c>
      <c r="R289" s="173" t="e">
        <f>Calc!BD289</f>
        <v>#VALUE!</v>
      </c>
      <c r="S289" s="15">
        <f>Input!E289</f>
        <v>0</v>
      </c>
      <c r="T289" s="68"/>
    </row>
    <row r="290" spans="1:20" x14ac:dyDescent="0.2">
      <c r="A290" s="68">
        <f>Input!A290</f>
        <v>11085</v>
      </c>
      <c r="B290" s="68" t="str">
        <f>Input!B290</f>
        <v>MeBo24 T02-La-10</v>
      </c>
      <c r="C290" s="175">
        <f>Calc!O290</f>
        <v>5.1038479017462803</v>
      </c>
      <c r="D290" s="175">
        <f>Calc!P290</f>
        <v>3.9932485815216326E-4</v>
      </c>
      <c r="E290" s="175">
        <f>Calc!X290</f>
        <v>0.3953536405749622</v>
      </c>
      <c r="F290" s="175">
        <f>Calc!Y290</f>
        <v>1.1691452633758694E-3</v>
      </c>
      <c r="G290" s="175">
        <f>Calc!AN290</f>
        <v>0.11623891510839639</v>
      </c>
      <c r="H290" s="71">
        <f>Calc!AO290</f>
        <v>5.5728965741923004E-4</v>
      </c>
      <c r="I290" s="70">
        <f>Calc!AH290</f>
        <v>4576.549588021504</v>
      </c>
      <c r="J290" s="70">
        <f>Calc!AI290</f>
        <v>25.777292125429966</v>
      </c>
      <c r="K290" s="70">
        <f>Calc!AJ290</f>
        <v>137.73866596734052</v>
      </c>
      <c r="L290" s="70">
        <f>Calc!AK290</f>
        <v>0.61405008207333378</v>
      </c>
      <c r="M290" s="176">
        <f>Calc!AP290</f>
        <v>11.7273</v>
      </c>
      <c r="N290" s="176">
        <f>Calc!AQ290</f>
        <v>5.9799999999999999E-2</v>
      </c>
      <c r="O290" s="176">
        <f>Calc!AW290</f>
        <v>11.7079</v>
      </c>
      <c r="P290" s="176">
        <f>Calc!AY290</f>
        <v>6.0473181348070587E-2</v>
      </c>
      <c r="Q290" s="177">
        <f>Calc!BC290</f>
        <v>142.36562340949556</v>
      </c>
      <c r="R290" s="176">
        <f>Calc!BD290</f>
        <v>0.63514229596463689</v>
      </c>
      <c r="S290" s="70">
        <f>Input!E290</f>
        <v>0</v>
      </c>
      <c r="T290" s="68"/>
    </row>
    <row r="291" spans="1:20" x14ac:dyDescent="0.2">
      <c r="A291" s="13">
        <f>Input!A291</f>
        <v>10815</v>
      </c>
      <c r="B291" s="13" t="str">
        <f>Input!B291</f>
        <v>Hu1-13</v>
      </c>
      <c r="C291" s="171">
        <f>Calc!O291</f>
        <v>13.702023361171326</v>
      </c>
      <c r="D291" s="171">
        <f>Calc!P291</f>
        <v>1.2511805404882377E-3</v>
      </c>
      <c r="E291" s="171">
        <f>Calc!X291</f>
        <v>0.9987920567931714</v>
      </c>
      <c r="F291" s="171">
        <f>Calc!Y291</f>
        <v>4.6613224011157499E-3</v>
      </c>
      <c r="G291" s="171">
        <f>Calc!AN291</f>
        <v>0.99600880774047773</v>
      </c>
      <c r="H291" s="172">
        <f>Calc!AO291</f>
        <v>3.8409891450903724E-3</v>
      </c>
      <c r="I291" s="15">
        <f>Calc!AH291</f>
        <v>41759.629029199314</v>
      </c>
      <c r="J291" s="15">
        <f>Calc!AI291</f>
        <v>252.78841575314999</v>
      </c>
      <c r="K291" s="15">
        <f>Calc!AJ291</f>
        <v>-2.8219667545895666</v>
      </c>
      <c r="L291" s="15">
        <f>Calc!AK291</f>
        <v>1.1119988528550051</v>
      </c>
      <c r="M291" s="173" t="str">
        <f>Calc!AP291</f>
        <v>Out of range</v>
      </c>
      <c r="N291" s="173" t="e">
        <f>Calc!AQ291</f>
        <v>#VALUE!</v>
      </c>
      <c r="O291" s="173" t="str">
        <f>Calc!AW291</f>
        <v>Out of range</v>
      </c>
      <c r="P291" s="173">
        <f>Calc!AX291</f>
        <v>341.64017899049998</v>
      </c>
      <c r="Q291" s="178" t="e">
        <f>Calc!BC291</f>
        <v>#VALUE!</v>
      </c>
      <c r="R291" s="173" t="e">
        <f>Calc!BD291</f>
        <v>#VALUE!</v>
      </c>
      <c r="S291" s="15">
        <f>Input!E291</f>
        <v>0</v>
      </c>
      <c r="T291" s="68"/>
    </row>
    <row r="292" spans="1:20" x14ac:dyDescent="0.2">
      <c r="A292" s="68">
        <f>Input!A292</f>
        <v>11086</v>
      </c>
      <c r="B292" s="68" t="str">
        <f>Input!B292</f>
        <v>MeBo24 T06-Lf-01</v>
      </c>
      <c r="C292" s="175">
        <f>Calc!O292</f>
        <v>3.2360348695454983</v>
      </c>
      <c r="D292" s="175">
        <f>Calc!P292</f>
        <v>2.0194548369764572E-4</v>
      </c>
      <c r="E292" s="175">
        <f>Calc!X292</f>
        <v>0.56899091542560021</v>
      </c>
      <c r="F292" s="175">
        <f>Calc!Y292</f>
        <v>1.9129276120196065E-3</v>
      </c>
      <c r="G292" s="175">
        <f>Calc!AN292</f>
        <v>0.23610222442513548</v>
      </c>
      <c r="H292" s="71">
        <f>Calc!AO292</f>
        <v>8.3239072711128439E-4</v>
      </c>
      <c r="I292" s="70">
        <f>Calc!AH292</f>
        <v>4094.7776486637431</v>
      </c>
      <c r="J292" s="70">
        <f>Calc!AI292</f>
        <v>19.946415419362069</v>
      </c>
      <c r="K292" s="70">
        <f>Calc!AJ292</f>
        <v>128.01023287006319</v>
      </c>
      <c r="L292" s="70">
        <f>Calc!AK292</f>
        <v>0.83557788021993173</v>
      </c>
      <c r="M292" s="176">
        <f>Calc!AP292</f>
        <v>25.493600000000001</v>
      </c>
      <c r="N292" s="176">
        <f>Calc!AQ292</f>
        <v>0.10290000000000001</v>
      </c>
      <c r="O292" s="176">
        <f>Calc!AW292</f>
        <v>25.4495</v>
      </c>
      <c r="P292" s="176">
        <f>Calc!AY292</f>
        <v>0.10557453689846268</v>
      </c>
      <c r="Q292" s="177">
        <f>Calc!BC292</f>
        <v>137.54212323511135</v>
      </c>
      <c r="R292" s="176">
        <f>Calc!BD292</f>
        <v>0.89873136535431075</v>
      </c>
      <c r="S292" s="70">
        <f>Input!E292</f>
        <v>0</v>
      </c>
      <c r="T292" s="68"/>
    </row>
    <row r="293" spans="1:20" x14ac:dyDescent="0.2">
      <c r="A293" s="13">
        <f>Input!A293</f>
        <v>10815</v>
      </c>
      <c r="B293" s="13" t="str">
        <f>Input!B293</f>
        <v>Hu1-13</v>
      </c>
      <c r="C293" s="171">
        <f>Calc!O293</f>
        <v>13.700225693113653</v>
      </c>
      <c r="D293" s="171">
        <f>Calc!P293</f>
        <v>1.4013911538270816E-3</v>
      </c>
      <c r="E293" s="171">
        <f>Calc!X293</f>
        <v>0.98688942244338174</v>
      </c>
      <c r="F293" s="171">
        <f>Calc!Y293</f>
        <v>4.0566594833745624E-3</v>
      </c>
      <c r="G293" s="171">
        <f>Calc!AN293</f>
        <v>0.99956847541183558</v>
      </c>
      <c r="H293" s="172">
        <f>Calc!AO293</f>
        <v>2.4955029786849383E-3</v>
      </c>
      <c r="I293" s="15">
        <f>Calc!AH293</f>
        <v>42408.763250753313</v>
      </c>
      <c r="J293" s="15">
        <f>Calc!AI293</f>
        <v>203.91111151800371</v>
      </c>
      <c r="K293" s="15">
        <f>Calc!AJ293</f>
        <v>-1.2406611296703618</v>
      </c>
      <c r="L293" s="15">
        <f>Calc!AK293</f>
        <v>1.1581425070361651</v>
      </c>
      <c r="M293" s="173" t="str">
        <f>Calc!AP293</f>
        <v>Out of range</v>
      </c>
      <c r="N293" s="173" t="e">
        <f>Calc!AQ293</f>
        <v>#VALUE!</v>
      </c>
      <c r="O293" s="173" t="str">
        <f>Calc!AW293</f>
        <v>Out of range</v>
      </c>
      <c r="P293" s="173">
        <f>Calc!AX293</f>
        <v>343.74687822649997</v>
      </c>
      <c r="Q293" s="178" t="e">
        <f>Calc!BC293</f>
        <v>#VALUE!</v>
      </c>
      <c r="R293" s="173" t="e">
        <f>Calc!BD293</f>
        <v>#VALUE!</v>
      </c>
      <c r="S293" s="15">
        <f>Input!E293</f>
        <v>0</v>
      </c>
      <c r="T293" s="68"/>
    </row>
    <row r="294" spans="1:20" x14ac:dyDescent="0.2">
      <c r="A294" s="68">
        <f>Input!A294</f>
        <v>11087</v>
      </c>
      <c r="B294" s="68" t="str">
        <f>Input!B294</f>
        <v>MeBo24 T06-Lf-07</v>
      </c>
      <c r="C294" s="175">
        <f>Calc!O294</f>
        <v>4.856102001093225</v>
      </c>
      <c r="D294" s="175">
        <f>Calc!P294</f>
        <v>5.9443716360458817E-4</v>
      </c>
      <c r="E294" s="175">
        <f>Calc!X294</f>
        <v>3.1421441600098081</v>
      </c>
      <c r="F294" s="175">
        <f>Calc!Y294</f>
        <v>5.5811911714217302E-3</v>
      </c>
      <c r="G294" s="175">
        <f>Calc!AN294</f>
        <v>0.2410619028918323</v>
      </c>
      <c r="H294" s="71">
        <f>Calc!AO294</f>
        <v>5.3056616505834557E-4</v>
      </c>
      <c r="I294" s="70">
        <f>Calc!AH294</f>
        <v>1136.756757435322</v>
      </c>
      <c r="J294" s="70">
        <f>Calc!AI294</f>
        <v>3.2120631599389844</v>
      </c>
      <c r="K294" s="70">
        <f>Calc!AJ294</f>
        <v>126.96291852818109</v>
      </c>
      <c r="L294" s="70">
        <f>Calc!AK294</f>
        <v>0.62080161355186936</v>
      </c>
      <c r="M294" s="176">
        <f>Calc!AP294</f>
        <v>26.123999999999999</v>
      </c>
      <c r="N294" s="176">
        <f>Calc!AQ294</f>
        <v>6.7599999999999993E-2</v>
      </c>
      <c r="O294" s="176">
        <f>Calc!AW294</f>
        <v>25.961400000000001</v>
      </c>
      <c r="P294" s="176">
        <f>Calc!AY294</f>
        <v>0.10538614023115572</v>
      </c>
      <c r="Q294" s="177">
        <f>Calc!BC294</f>
        <v>136.61403569874014</v>
      </c>
      <c r="R294" s="176">
        <f>Calc!BD294</f>
        <v>0.66922648988849709</v>
      </c>
      <c r="S294" s="70">
        <f>Input!E294</f>
        <v>0</v>
      </c>
      <c r="T294" s="68"/>
    </row>
    <row r="295" spans="1:20" x14ac:dyDescent="0.2">
      <c r="A295" s="13">
        <f>Input!A295</f>
        <v>10815</v>
      </c>
      <c r="B295" s="13" t="str">
        <f>Input!B295</f>
        <v>Hu1-13</v>
      </c>
      <c r="C295" s="171">
        <f>Calc!O295</f>
        <v>13.701447052251055</v>
      </c>
      <c r="D295" s="171">
        <f>Calc!P295</f>
        <v>1.1702569869226952E-3</v>
      </c>
      <c r="E295" s="171">
        <f>Calc!X295</f>
        <v>1.0007101821060371</v>
      </c>
      <c r="F295" s="171">
        <f>Calc!Y295</f>
        <v>5.1231076174626904E-3</v>
      </c>
      <c r="G295" s="171">
        <f>Calc!AN295</f>
        <v>0.99718034467479011</v>
      </c>
      <c r="H295" s="172">
        <f>Calc!AO295</f>
        <v>3.9373000662811988E-3</v>
      </c>
      <c r="I295" s="15">
        <f>Calc!AH295</f>
        <v>41726.855403758942</v>
      </c>
      <c r="J295" s="15">
        <f>Calc!AI295</f>
        <v>269.74991227869322</v>
      </c>
      <c r="K295" s="15">
        <f>Calc!AJ295</f>
        <v>-3.6477656212012821</v>
      </c>
      <c r="L295" s="15">
        <f>Calc!AK295</f>
        <v>1.1399516501373748</v>
      </c>
      <c r="M295" s="173" t="str">
        <f>Calc!AP295</f>
        <v>Out of range</v>
      </c>
      <c r="N295" s="173" t="e">
        <f>Calc!AQ295</f>
        <v>#VALUE!</v>
      </c>
      <c r="O295" s="173" t="str">
        <f>Calc!AW295</f>
        <v>Out of range</v>
      </c>
      <c r="P295" s="173">
        <f>Calc!AX295</f>
        <v>305.02047460919999</v>
      </c>
      <c r="Q295" s="178" t="e">
        <f>Calc!BC295</f>
        <v>#VALUE!</v>
      </c>
      <c r="R295" s="173" t="e">
        <f>Calc!BD295</f>
        <v>#VALUE!</v>
      </c>
      <c r="S295" s="15">
        <f>Input!E295</f>
        <v>0</v>
      </c>
      <c r="T295" s="68"/>
    </row>
    <row r="296" spans="1:20" x14ac:dyDescent="0.2">
      <c r="A296" s="68">
        <f>Input!A296</f>
        <v>11088</v>
      </c>
      <c r="B296" s="68" t="str">
        <f>Input!B296</f>
        <v>MeBo24 T06-Lf-08</v>
      </c>
      <c r="C296" s="175">
        <f>Calc!O296</f>
        <v>5.3286645332195368</v>
      </c>
      <c r="D296" s="175">
        <f>Calc!P296</f>
        <v>4.7121744107162596E-4</v>
      </c>
      <c r="E296" s="175">
        <f>Calc!X296</f>
        <v>3.0461106478675015</v>
      </c>
      <c r="F296" s="175">
        <f>Calc!Y296</f>
        <v>6.1275398113225642E-3</v>
      </c>
      <c r="G296" s="175">
        <f>Calc!AN296</f>
        <v>0.22038115901800173</v>
      </c>
      <c r="H296" s="71">
        <f>Calc!AO296</f>
        <v>5.3273752127502155E-4</v>
      </c>
      <c r="I296" s="70">
        <f>Calc!AH296</f>
        <v>1173.2826993522401</v>
      </c>
      <c r="J296" s="70">
        <f>Calc!AI296</f>
        <v>3.688337811790368</v>
      </c>
      <c r="K296" s="70">
        <f>Calc!AJ296</f>
        <v>127.84434624345286</v>
      </c>
      <c r="L296" s="70">
        <f>Calc!AK296</f>
        <v>0.75135198935395242</v>
      </c>
      <c r="M296" s="176">
        <f>Calc!AP296</f>
        <v>23.609500000000001</v>
      </c>
      <c r="N296" s="176">
        <f>Calc!AQ296</f>
        <v>6.6900000000000001E-2</v>
      </c>
      <c r="O296" s="176">
        <f>Calc!AW296</f>
        <v>23.465800000000002</v>
      </c>
      <c r="P296" s="176">
        <f>Calc!AY296</f>
        <v>9.7649040086305969E-2</v>
      </c>
      <c r="Q296" s="177">
        <f>Calc!BC296</f>
        <v>136.5970532112446</v>
      </c>
      <c r="R296" s="176">
        <f>Calc!BD296</f>
        <v>0.80367440718278838</v>
      </c>
      <c r="S296" s="70">
        <f>Input!E296</f>
        <v>0</v>
      </c>
      <c r="T296" s="68"/>
    </row>
    <row r="297" spans="1:20" x14ac:dyDescent="0.2">
      <c r="A297" s="13">
        <f>Input!A297</f>
        <v>10815</v>
      </c>
      <c r="B297" s="13" t="str">
        <f>Input!B297</f>
        <v>Hu1-13</v>
      </c>
      <c r="C297" s="171">
        <f>Calc!O297</f>
        <v>13.700293972178892</v>
      </c>
      <c r="D297" s="171">
        <f>Calc!P297</f>
        <v>1.3339050968623487E-3</v>
      </c>
      <c r="E297" s="171">
        <f>Calc!X297</f>
        <v>0.99504600658935272</v>
      </c>
      <c r="F297" s="171">
        <f>Calc!Y297</f>
        <v>5.1714431966889858E-3</v>
      </c>
      <c r="G297" s="171">
        <f>Calc!AN297</f>
        <v>0.99441758064568198</v>
      </c>
      <c r="H297" s="172">
        <f>Calc!AO297</f>
        <v>4.3285855540288829E-3</v>
      </c>
      <c r="I297" s="15">
        <f>Calc!AH297</f>
        <v>41844.592989932309</v>
      </c>
      <c r="J297" s="15">
        <f>Calc!AI297</f>
        <v>283.64620304669347</v>
      </c>
      <c r="K297" s="15">
        <f>Calc!AJ297</f>
        <v>-2.4604382876314279</v>
      </c>
      <c r="L297" s="15">
        <f>Calc!AK297</f>
        <v>1.1665440575526731</v>
      </c>
      <c r="M297" s="173">
        <f>Calc!AP297</f>
        <v>673.52020000000005</v>
      </c>
      <c r="N297" s="173" t="e">
        <f>Calc!AQ297</f>
        <v>#VALUE!</v>
      </c>
      <c r="O297" s="173">
        <f>Calc!AW297</f>
        <v>673.51819999999998</v>
      </c>
      <c r="P297" s="173">
        <f>Calc!AX297</f>
        <v>308.22339660210002</v>
      </c>
      <c r="Q297" s="178">
        <f>Calc!BC297</f>
        <v>-16.461894260304689</v>
      </c>
      <c r="R297" s="173">
        <f>Calc!BD297</f>
        <v>13.827258382958572</v>
      </c>
      <c r="S297" s="15">
        <f>Input!E297</f>
        <v>0</v>
      </c>
      <c r="T297" s="68"/>
    </row>
    <row r="298" spans="1:20" x14ac:dyDescent="0.2">
      <c r="A298" s="68">
        <f>Input!A298</f>
        <v>11089</v>
      </c>
      <c r="B298" s="68" t="str">
        <f>Input!B298</f>
        <v>MeBo24 T06-Lf-09</v>
      </c>
      <c r="C298" s="175">
        <f>Calc!O298</f>
        <v>4.7720747572440017</v>
      </c>
      <c r="D298" s="175">
        <f>Calc!P298</f>
        <v>2.8544125416131487E-4</v>
      </c>
      <c r="E298" s="175">
        <f>Calc!X298</f>
        <v>6.2046132847143509</v>
      </c>
      <c r="F298" s="175">
        <f>Calc!Y298</f>
        <v>1.3680328762935377E-2</v>
      </c>
      <c r="G298" s="175">
        <f>Calc!AN298</f>
        <v>0.23639820367248965</v>
      </c>
      <c r="H298" s="71">
        <f>Calc!AO298</f>
        <v>7.5579795684424002E-4</v>
      </c>
      <c r="I298" s="70">
        <f>Calc!AH298</f>
        <v>552.57256077615841</v>
      </c>
      <c r="J298" s="70">
        <f>Calc!AI298</f>
        <v>2.1457714173320515</v>
      </c>
      <c r="K298" s="70">
        <f>Calc!AJ298</f>
        <v>126.42467488109888</v>
      </c>
      <c r="L298" s="70">
        <f>Calc!AK298</f>
        <v>0.92282235927120149</v>
      </c>
      <c r="M298" s="176">
        <f>Calc!AP298</f>
        <v>25.571000000000002</v>
      </c>
      <c r="N298" s="176">
        <f>Calc!AQ298</f>
        <v>9.5799999999999996E-2</v>
      </c>
      <c r="O298" s="176">
        <f>Calc!AW298</f>
        <v>25.2438</v>
      </c>
      <c r="P298" s="176">
        <f>Calc!AY298</f>
        <v>0.18956510214376268</v>
      </c>
      <c r="Q298" s="177">
        <f>Calc!BC298</f>
        <v>135.75967046067512</v>
      </c>
      <c r="R298" s="176">
        <f>Calc!BD298</f>
        <v>0.99361988158452852</v>
      </c>
      <c r="S298" s="70">
        <f>Input!E298</f>
        <v>0</v>
      </c>
      <c r="T298" s="68"/>
    </row>
    <row r="299" spans="1:20" x14ac:dyDescent="0.2">
      <c r="A299" s="13">
        <f>Input!A299</f>
        <v>10815</v>
      </c>
      <c r="B299" s="13" t="str">
        <f>Input!B299</f>
        <v>Hu1-13</v>
      </c>
      <c r="C299" s="171">
        <f>Calc!O299</f>
        <v>13.700293972178892</v>
      </c>
      <c r="D299" s="171">
        <f>Calc!P299</f>
        <v>1.3339050968623487E-3</v>
      </c>
      <c r="E299" s="171">
        <f>Calc!X299</f>
        <v>0.99504600658935272</v>
      </c>
      <c r="F299" s="171">
        <f>Calc!Y299</f>
        <v>5.1714431966889858E-3</v>
      </c>
      <c r="G299" s="171">
        <f>Calc!AN299</f>
        <v>0.99441758064568198</v>
      </c>
      <c r="H299" s="172">
        <f>Calc!AO299</f>
        <v>4.3285855540288829E-3</v>
      </c>
      <c r="I299" s="15">
        <f>Calc!AH299</f>
        <v>41844.592989932309</v>
      </c>
      <c r="J299" s="15">
        <f>Calc!AI299</f>
        <v>283.64620304669347</v>
      </c>
      <c r="K299" s="15">
        <f>Calc!AJ299</f>
        <v>-2.4604382876314279</v>
      </c>
      <c r="L299" s="15">
        <f>Calc!AK299</f>
        <v>1.1665440575526731</v>
      </c>
      <c r="M299" s="173">
        <f>Calc!AP299</f>
        <v>673.52020000000005</v>
      </c>
      <c r="N299" s="173" t="e">
        <f>Calc!AQ299</f>
        <v>#VALUE!</v>
      </c>
      <c r="O299" s="173">
        <f>Calc!AW299</f>
        <v>673.51819999999998</v>
      </c>
      <c r="P299" s="173">
        <f>Calc!AX299</f>
        <v>307.155259027</v>
      </c>
      <c r="Q299" s="178">
        <f>Calc!BC299</f>
        <v>-16.461894260304689</v>
      </c>
      <c r="R299" s="173">
        <f>Calc!BD299</f>
        <v>13.827258382958572</v>
      </c>
      <c r="S299" s="15">
        <f>Input!E299</f>
        <v>0</v>
      </c>
      <c r="T299" s="68"/>
    </row>
    <row r="300" spans="1:20" ht="13.5" customHeight="1" x14ac:dyDescent="0.2">
      <c r="H300" s="74"/>
    </row>
    <row r="301" spans="1:20" ht="13.5" customHeight="1" x14ac:dyDescent="0.2"/>
    <row r="302" spans="1:20" ht="13.5" customHeight="1" x14ac:dyDescent="0.2">
      <c r="H302" s="74"/>
    </row>
    <row r="303" spans="1:20" ht="13.5" customHeight="1" x14ac:dyDescent="0.2">
      <c r="H303" s="74"/>
    </row>
    <row r="304" spans="1:20" ht="13.5" customHeight="1" x14ac:dyDescent="0.2">
      <c r="H304" s="74"/>
    </row>
    <row r="305" spans="8:8" ht="13.5" customHeight="1" x14ac:dyDescent="0.2"/>
    <row r="306" spans="8:8" ht="13.5" customHeight="1" x14ac:dyDescent="0.2">
      <c r="H306" s="74"/>
    </row>
    <row r="307" spans="8:8" ht="13.5" customHeight="1" x14ac:dyDescent="0.2">
      <c r="H307" s="74"/>
    </row>
    <row r="308" spans="8:8" ht="13.5" customHeight="1" x14ac:dyDescent="0.2">
      <c r="H308" s="74"/>
    </row>
    <row r="309" spans="8:8" ht="13.5" customHeight="1" x14ac:dyDescent="0.2">
      <c r="H309" s="74"/>
    </row>
    <row r="310" spans="8:8" ht="13.5" customHeight="1" x14ac:dyDescent="0.2">
      <c r="H310" s="74"/>
    </row>
    <row r="311" spans="8:8" ht="13.5" customHeight="1" x14ac:dyDescent="0.2">
      <c r="H311" s="74"/>
    </row>
    <row r="312" spans="8:8" ht="13.5" customHeight="1" x14ac:dyDescent="0.2">
      <c r="H312" s="74"/>
    </row>
    <row r="313" spans="8:8" ht="13.5" customHeight="1" x14ac:dyDescent="0.2"/>
    <row r="314" spans="8:8" ht="13.5" customHeight="1" x14ac:dyDescent="0.2">
      <c r="H314" s="74"/>
    </row>
    <row r="315" spans="8:8" ht="13.5" customHeight="1" x14ac:dyDescent="0.2">
      <c r="H315" s="74"/>
    </row>
    <row r="316" spans="8:8" ht="13.5" customHeight="1" x14ac:dyDescent="0.2">
      <c r="H316" s="74"/>
    </row>
    <row r="317" spans="8:8" ht="13.5" customHeight="1" x14ac:dyDescent="0.2"/>
    <row r="318" spans="8:8" ht="13.5" customHeight="1" x14ac:dyDescent="0.2">
      <c r="H318" s="74"/>
    </row>
    <row r="319" spans="8:8" ht="13.5" customHeight="1" x14ac:dyDescent="0.2">
      <c r="H319" s="74"/>
    </row>
    <row r="320" spans="8:8" ht="13.5" customHeight="1" x14ac:dyDescent="0.2">
      <c r="H320" s="74"/>
    </row>
    <row r="321" spans="8:8" ht="13.5" customHeight="1" x14ac:dyDescent="0.2">
      <c r="H321" s="74"/>
    </row>
    <row r="322" spans="8:8" ht="13.5" customHeight="1" x14ac:dyDescent="0.2">
      <c r="H322" s="74"/>
    </row>
    <row r="323" spans="8:8" ht="13.5" customHeight="1" x14ac:dyDescent="0.2">
      <c r="H323" s="74"/>
    </row>
    <row r="324" spans="8:8" ht="13.5" customHeight="1" x14ac:dyDescent="0.2">
      <c r="H324" s="74"/>
    </row>
    <row r="325" spans="8:8" ht="13.5" customHeight="1" x14ac:dyDescent="0.2"/>
    <row r="326" spans="8:8" ht="13.5" customHeight="1" x14ac:dyDescent="0.2">
      <c r="H326" s="74"/>
    </row>
    <row r="327" spans="8:8" ht="13.5" customHeight="1" x14ac:dyDescent="0.2">
      <c r="H327" s="74"/>
    </row>
    <row r="328" spans="8:8" ht="13.5" customHeight="1" x14ac:dyDescent="0.2">
      <c r="H328" s="74"/>
    </row>
    <row r="329" spans="8:8" ht="13.5" customHeight="1" x14ac:dyDescent="0.2"/>
    <row r="330" spans="8:8" ht="13.5" customHeight="1" x14ac:dyDescent="0.2">
      <c r="H330" s="74"/>
    </row>
    <row r="331" spans="8:8" ht="13.5" customHeight="1" x14ac:dyDescent="0.2">
      <c r="H331" s="74"/>
    </row>
    <row r="332" spans="8:8" ht="13.5" customHeight="1" x14ac:dyDescent="0.2">
      <c r="H332" s="74"/>
    </row>
    <row r="333" spans="8:8" ht="13.5" customHeight="1" x14ac:dyDescent="0.2">
      <c r="H333" s="74"/>
    </row>
    <row r="334" spans="8:8" ht="13.5" customHeight="1" x14ac:dyDescent="0.2">
      <c r="H334" s="74"/>
    </row>
    <row r="335" spans="8:8" ht="13.5" customHeight="1" x14ac:dyDescent="0.2">
      <c r="H335" s="74"/>
    </row>
    <row r="336" spans="8:8" ht="13.5" customHeight="1" x14ac:dyDescent="0.2">
      <c r="H336" s="74"/>
    </row>
    <row r="337" spans="8:8" ht="13.5" customHeight="1" x14ac:dyDescent="0.2"/>
    <row r="338" spans="8:8" ht="13.5" customHeight="1" x14ac:dyDescent="0.2">
      <c r="H338" s="74"/>
    </row>
    <row r="339" spans="8:8" ht="13.5" customHeight="1" x14ac:dyDescent="0.2">
      <c r="H339" s="74"/>
    </row>
    <row r="340" spans="8:8" ht="13.5" customHeight="1" x14ac:dyDescent="0.2">
      <c r="H340" s="74"/>
    </row>
    <row r="341" spans="8:8" ht="13.5" customHeight="1" x14ac:dyDescent="0.2"/>
    <row r="342" spans="8:8" ht="13.5" customHeight="1" x14ac:dyDescent="0.2">
      <c r="H342" s="74"/>
    </row>
    <row r="343" spans="8:8" ht="13.5" customHeight="1" x14ac:dyDescent="0.2">
      <c r="H343" s="74"/>
    </row>
    <row r="344" spans="8:8" ht="13.5" customHeight="1" x14ac:dyDescent="0.2">
      <c r="H344" s="74"/>
    </row>
    <row r="345" spans="8:8" ht="13.5" customHeight="1" x14ac:dyDescent="0.2">
      <c r="H345" s="74"/>
    </row>
    <row r="346" spans="8:8" ht="13.5" customHeight="1" x14ac:dyDescent="0.2">
      <c r="H346" s="74"/>
    </row>
    <row r="347" spans="8:8" ht="13.5" customHeight="1" x14ac:dyDescent="0.2">
      <c r="H347" s="74"/>
    </row>
    <row r="348" spans="8:8" ht="13.5" customHeight="1" x14ac:dyDescent="0.2">
      <c r="H348" s="74"/>
    </row>
    <row r="352" spans="8:8" ht="13.5" customHeight="1" x14ac:dyDescent="0.2">
      <c r="H352" s="74"/>
    </row>
    <row r="353" spans="8:8" ht="13.5" customHeight="1" x14ac:dyDescent="0.2">
      <c r="H353" s="74"/>
    </row>
    <row r="354" spans="8:8" ht="13.5" customHeight="1" x14ac:dyDescent="0.2">
      <c r="H354" s="74"/>
    </row>
    <row r="355" spans="8:8" ht="13.5" customHeight="1" x14ac:dyDescent="0.2">
      <c r="H355" s="74"/>
    </row>
    <row r="356" spans="8:8" ht="13.5" customHeight="1" x14ac:dyDescent="0.2">
      <c r="H356" s="74"/>
    </row>
    <row r="357" spans="8:8" ht="13.5" customHeight="1" x14ac:dyDescent="0.2">
      <c r="H357" s="74"/>
    </row>
    <row r="358" spans="8:8" ht="13.5" customHeight="1" x14ac:dyDescent="0.2">
      <c r="H358" s="74"/>
    </row>
    <row r="360" spans="8:8" ht="13.5" customHeight="1" x14ac:dyDescent="0.2">
      <c r="H360" s="74"/>
    </row>
    <row r="361" spans="8:8" ht="13.5" customHeight="1" x14ac:dyDescent="0.2">
      <c r="H361" s="74"/>
    </row>
    <row r="362" spans="8:8" ht="13.5" customHeight="1" x14ac:dyDescent="0.2">
      <c r="H362" s="74"/>
    </row>
    <row r="363" spans="8:8" ht="13.5" customHeight="1" x14ac:dyDescent="0.2">
      <c r="H363" s="74"/>
    </row>
    <row r="364" spans="8:8" ht="13.5" customHeight="1" x14ac:dyDescent="0.2">
      <c r="H364" s="74"/>
    </row>
    <row r="365" spans="8:8" ht="13.5" customHeight="1" x14ac:dyDescent="0.2">
      <c r="H365" s="74"/>
    </row>
    <row r="366" spans="8:8" ht="13.5" customHeight="1" x14ac:dyDescent="0.2">
      <c r="H366" s="74"/>
    </row>
    <row r="367" spans="8:8" ht="13.5" customHeight="1" x14ac:dyDescent="0.2">
      <c r="H367" s="74"/>
    </row>
    <row r="368" spans="8:8" ht="13.5" customHeight="1" x14ac:dyDescent="0.2">
      <c r="H368" s="74"/>
    </row>
    <row r="369" spans="8:8" ht="13.5" customHeight="1" x14ac:dyDescent="0.2">
      <c r="H369" s="74"/>
    </row>
    <row r="370" spans="8:8" ht="13.5" customHeight="1" x14ac:dyDescent="0.2">
      <c r="H370" s="74"/>
    </row>
    <row r="371" spans="8:8" ht="13.5" customHeight="1" x14ac:dyDescent="0.2">
      <c r="H371" s="74"/>
    </row>
    <row r="372" spans="8:8" ht="13.5" customHeight="1" x14ac:dyDescent="0.2">
      <c r="H372" s="74"/>
    </row>
    <row r="374" spans="8:8" ht="13.5" customHeight="1" x14ac:dyDescent="0.2">
      <c r="H374" s="74"/>
    </row>
    <row r="375" spans="8:8" ht="13.5" customHeight="1" x14ac:dyDescent="0.2">
      <c r="H375" s="74"/>
    </row>
    <row r="376" spans="8:8" ht="13.5" customHeight="1" x14ac:dyDescent="0.2">
      <c r="H376" s="74"/>
    </row>
    <row r="377" spans="8:8" ht="13.5" customHeight="1" x14ac:dyDescent="0.2">
      <c r="H377" s="74"/>
    </row>
    <row r="378" spans="8:8" ht="13.5" customHeight="1" x14ac:dyDescent="0.2">
      <c r="H378" s="74"/>
    </row>
    <row r="379" spans="8:8" ht="13.5" customHeight="1" x14ac:dyDescent="0.2">
      <c r="H379" s="74"/>
    </row>
    <row r="380" spans="8:8" ht="13.5" customHeight="1" x14ac:dyDescent="0.2">
      <c r="H380" s="74"/>
    </row>
    <row r="381" spans="8:8" ht="13.5" customHeight="1" x14ac:dyDescent="0.2">
      <c r="H381" s="74"/>
    </row>
    <row r="382" spans="8:8" ht="13.5" customHeight="1" x14ac:dyDescent="0.2">
      <c r="H382" s="74"/>
    </row>
    <row r="384" spans="8:8" ht="13.5" customHeight="1" x14ac:dyDescent="0.2">
      <c r="H384" s="74"/>
    </row>
    <row r="385" spans="8:8" ht="13.5" customHeight="1" x14ac:dyDescent="0.2">
      <c r="H385" s="74"/>
    </row>
    <row r="386" spans="8:8" ht="13.5" customHeight="1" x14ac:dyDescent="0.2">
      <c r="H386" s="74"/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26"/>
  <sheetViews>
    <sheetView topLeftCell="A7" workbookViewId="0">
      <selection activeCell="C23" sqref="C23:D25"/>
    </sheetView>
  </sheetViews>
  <sheetFormatPr baseColWidth="10" defaultRowHeight="12.75" x14ac:dyDescent="0.2"/>
  <cols>
    <col min="1" max="1" width="19.42578125" bestFit="1" customWidth="1"/>
    <col min="2" max="2" width="16.85546875" customWidth="1"/>
    <col min="3" max="3" width="14.7109375" customWidth="1"/>
    <col min="4" max="4" width="17.42578125" customWidth="1"/>
    <col min="257" max="257" width="19.42578125" bestFit="1" customWidth="1"/>
    <col min="258" max="258" width="15.42578125" customWidth="1"/>
    <col min="259" max="259" width="14.7109375" customWidth="1"/>
    <col min="260" max="260" width="17.42578125" customWidth="1"/>
    <col min="513" max="513" width="19.42578125" bestFit="1" customWidth="1"/>
    <col min="514" max="514" width="15.42578125" customWidth="1"/>
    <col min="515" max="515" width="14.7109375" customWidth="1"/>
    <col min="516" max="516" width="17.42578125" customWidth="1"/>
    <col min="769" max="769" width="19.42578125" bestFit="1" customWidth="1"/>
    <col min="770" max="770" width="15.42578125" customWidth="1"/>
    <col min="771" max="771" width="14.7109375" customWidth="1"/>
    <col min="772" max="772" width="17.42578125" customWidth="1"/>
    <col min="1025" max="1025" width="19.42578125" bestFit="1" customWidth="1"/>
    <col min="1026" max="1026" width="15.42578125" customWidth="1"/>
    <col min="1027" max="1027" width="14.7109375" customWidth="1"/>
    <col min="1028" max="1028" width="17.42578125" customWidth="1"/>
    <col min="1281" max="1281" width="19.42578125" bestFit="1" customWidth="1"/>
    <col min="1282" max="1282" width="15.42578125" customWidth="1"/>
    <col min="1283" max="1283" width="14.7109375" customWidth="1"/>
    <col min="1284" max="1284" width="17.42578125" customWidth="1"/>
    <col min="1537" max="1537" width="19.42578125" bestFit="1" customWidth="1"/>
    <col min="1538" max="1538" width="15.42578125" customWidth="1"/>
    <col min="1539" max="1539" width="14.7109375" customWidth="1"/>
    <col min="1540" max="1540" width="17.42578125" customWidth="1"/>
    <col min="1793" max="1793" width="19.42578125" bestFit="1" customWidth="1"/>
    <col min="1794" max="1794" width="15.42578125" customWidth="1"/>
    <col min="1795" max="1795" width="14.7109375" customWidth="1"/>
    <col min="1796" max="1796" width="17.42578125" customWidth="1"/>
    <col min="2049" max="2049" width="19.42578125" bestFit="1" customWidth="1"/>
    <col min="2050" max="2050" width="15.42578125" customWidth="1"/>
    <col min="2051" max="2051" width="14.7109375" customWidth="1"/>
    <col min="2052" max="2052" width="17.42578125" customWidth="1"/>
    <col min="2305" max="2305" width="19.42578125" bestFit="1" customWidth="1"/>
    <col min="2306" max="2306" width="15.42578125" customWidth="1"/>
    <col min="2307" max="2307" width="14.7109375" customWidth="1"/>
    <col min="2308" max="2308" width="17.42578125" customWidth="1"/>
    <col min="2561" max="2561" width="19.42578125" bestFit="1" customWidth="1"/>
    <col min="2562" max="2562" width="15.42578125" customWidth="1"/>
    <col min="2563" max="2563" width="14.7109375" customWidth="1"/>
    <col min="2564" max="2564" width="17.42578125" customWidth="1"/>
    <col min="2817" max="2817" width="19.42578125" bestFit="1" customWidth="1"/>
    <col min="2818" max="2818" width="15.42578125" customWidth="1"/>
    <col min="2819" max="2819" width="14.7109375" customWidth="1"/>
    <col min="2820" max="2820" width="17.42578125" customWidth="1"/>
    <col min="3073" max="3073" width="19.42578125" bestFit="1" customWidth="1"/>
    <col min="3074" max="3074" width="15.42578125" customWidth="1"/>
    <col min="3075" max="3075" width="14.7109375" customWidth="1"/>
    <col min="3076" max="3076" width="17.42578125" customWidth="1"/>
    <col min="3329" max="3329" width="19.42578125" bestFit="1" customWidth="1"/>
    <col min="3330" max="3330" width="15.42578125" customWidth="1"/>
    <col min="3331" max="3331" width="14.7109375" customWidth="1"/>
    <col min="3332" max="3332" width="17.42578125" customWidth="1"/>
    <col min="3585" max="3585" width="19.42578125" bestFit="1" customWidth="1"/>
    <col min="3586" max="3586" width="15.42578125" customWidth="1"/>
    <col min="3587" max="3587" width="14.7109375" customWidth="1"/>
    <col min="3588" max="3588" width="17.42578125" customWidth="1"/>
    <col min="3841" max="3841" width="19.42578125" bestFit="1" customWidth="1"/>
    <col min="3842" max="3842" width="15.42578125" customWidth="1"/>
    <col min="3843" max="3843" width="14.7109375" customWidth="1"/>
    <col min="3844" max="3844" width="17.42578125" customWidth="1"/>
    <col min="4097" max="4097" width="19.42578125" bestFit="1" customWidth="1"/>
    <col min="4098" max="4098" width="15.42578125" customWidth="1"/>
    <col min="4099" max="4099" width="14.7109375" customWidth="1"/>
    <col min="4100" max="4100" width="17.42578125" customWidth="1"/>
    <col min="4353" max="4353" width="19.42578125" bestFit="1" customWidth="1"/>
    <col min="4354" max="4354" width="15.42578125" customWidth="1"/>
    <col min="4355" max="4355" width="14.7109375" customWidth="1"/>
    <col min="4356" max="4356" width="17.42578125" customWidth="1"/>
    <col min="4609" max="4609" width="19.42578125" bestFit="1" customWidth="1"/>
    <col min="4610" max="4610" width="15.42578125" customWidth="1"/>
    <col min="4611" max="4611" width="14.7109375" customWidth="1"/>
    <col min="4612" max="4612" width="17.42578125" customWidth="1"/>
    <col min="4865" max="4865" width="19.42578125" bestFit="1" customWidth="1"/>
    <col min="4866" max="4866" width="15.42578125" customWidth="1"/>
    <col min="4867" max="4867" width="14.7109375" customWidth="1"/>
    <col min="4868" max="4868" width="17.42578125" customWidth="1"/>
    <col min="5121" max="5121" width="19.42578125" bestFit="1" customWidth="1"/>
    <col min="5122" max="5122" width="15.42578125" customWidth="1"/>
    <col min="5123" max="5123" width="14.7109375" customWidth="1"/>
    <col min="5124" max="5124" width="17.42578125" customWidth="1"/>
    <col min="5377" max="5377" width="19.42578125" bestFit="1" customWidth="1"/>
    <col min="5378" max="5378" width="15.42578125" customWidth="1"/>
    <col min="5379" max="5379" width="14.7109375" customWidth="1"/>
    <col min="5380" max="5380" width="17.42578125" customWidth="1"/>
    <col min="5633" max="5633" width="19.42578125" bestFit="1" customWidth="1"/>
    <col min="5634" max="5634" width="15.42578125" customWidth="1"/>
    <col min="5635" max="5635" width="14.7109375" customWidth="1"/>
    <col min="5636" max="5636" width="17.42578125" customWidth="1"/>
    <col min="5889" max="5889" width="19.42578125" bestFit="1" customWidth="1"/>
    <col min="5890" max="5890" width="15.42578125" customWidth="1"/>
    <col min="5891" max="5891" width="14.7109375" customWidth="1"/>
    <col min="5892" max="5892" width="17.42578125" customWidth="1"/>
    <col min="6145" max="6145" width="19.42578125" bestFit="1" customWidth="1"/>
    <col min="6146" max="6146" width="15.42578125" customWidth="1"/>
    <col min="6147" max="6147" width="14.7109375" customWidth="1"/>
    <col min="6148" max="6148" width="17.42578125" customWidth="1"/>
    <col min="6401" max="6401" width="19.42578125" bestFit="1" customWidth="1"/>
    <col min="6402" max="6402" width="15.42578125" customWidth="1"/>
    <col min="6403" max="6403" width="14.7109375" customWidth="1"/>
    <col min="6404" max="6404" width="17.42578125" customWidth="1"/>
    <col min="6657" max="6657" width="19.42578125" bestFit="1" customWidth="1"/>
    <col min="6658" max="6658" width="15.42578125" customWidth="1"/>
    <col min="6659" max="6659" width="14.7109375" customWidth="1"/>
    <col min="6660" max="6660" width="17.42578125" customWidth="1"/>
    <col min="6913" max="6913" width="19.42578125" bestFit="1" customWidth="1"/>
    <col min="6914" max="6914" width="15.42578125" customWidth="1"/>
    <col min="6915" max="6915" width="14.7109375" customWidth="1"/>
    <col min="6916" max="6916" width="17.42578125" customWidth="1"/>
    <col min="7169" max="7169" width="19.42578125" bestFit="1" customWidth="1"/>
    <col min="7170" max="7170" width="15.42578125" customWidth="1"/>
    <col min="7171" max="7171" width="14.7109375" customWidth="1"/>
    <col min="7172" max="7172" width="17.42578125" customWidth="1"/>
    <col min="7425" max="7425" width="19.42578125" bestFit="1" customWidth="1"/>
    <col min="7426" max="7426" width="15.42578125" customWidth="1"/>
    <col min="7427" max="7427" width="14.7109375" customWidth="1"/>
    <col min="7428" max="7428" width="17.42578125" customWidth="1"/>
    <col min="7681" max="7681" width="19.42578125" bestFit="1" customWidth="1"/>
    <col min="7682" max="7682" width="15.42578125" customWidth="1"/>
    <col min="7683" max="7683" width="14.7109375" customWidth="1"/>
    <col min="7684" max="7684" width="17.42578125" customWidth="1"/>
    <col min="7937" max="7937" width="19.42578125" bestFit="1" customWidth="1"/>
    <col min="7938" max="7938" width="15.42578125" customWidth="1"/>
    <col min="7939" max="7939" width="14.7109375" customWidth="1"/>
    <col min="7940" max="7940" width="17.42578125" customWidth="1"/>
    <col min="8193" max="8193" width="19.42578125" bestFit="1" customWidth="1"/>
    <col min="8194" max="8194" width="15.42578125" customWidth="1"/>
    <col min="8195" max="8195" width="14.7109375" customWidth="1"/>
    <col min="8196" max="8196" width="17.42578125" customWidth="1"/>
    <col min="8449" max="8449" width="19.42578125" bestFit="1" customWidth="1"/>
    <col min="8450" max="8450" width="15.42578125" customWidth="1"/>
    <col min="8451" max="8451" width="14.7109375" customWidth="1"/>
    <col min="8452" max="8452" width="17.42578125" customWidth="1"/>
    <col min="8705" max="8705" width="19.42578125" bestFit="1" customWidth="1"/>
    <col min="8706" max="8706" width="15.42578125" customWidth="1"/>
    <col min="8707" max="8707" width="14.7109375" customWidth="1"/>
    <col min="8708" max="8708" width="17.42578125" customWidth="1"/>
    <col min="8961" max="8961" width="19.42578125" bestFit="1" customWidth="1"/>
    <col min="8962" max="8962" width="15.42578125" customWidth="1"/>
    <col min="8963" max="8963" width="14.7109375" customWidth="1"/>
    <col min="8964" max="8964" width="17.42578125" customWidth="1"/>
    <col min="9217" max="9217" width="19.42578125" bestFit="1" customWidth="1"/>
    <col min="9218" max="9218" width="15.42578125" customWidth="1"/>
    <col min="9219" max="9219" width="14.7109375" customWidth="1"/>
    <col min="9220" max="9220" width="17.42578125" customWidth="1"/>
    <col min="9473" max="9473" width="19.42578125" bestFit="1" customWidth="1"/>
    <col min="9474" max="9474" width="15.42578125" customWidth="1"/>
    <col min="9475" max="9475" width="14.7109375" customWidth="1"/>
    <col min="9476" max="9476" width="17.42578125" customWidth="1"/>
    <col min="9729" max="9729" width="19.42578125" bestFit="1" customWidth="1"/>
    <col min="9730" max="9730" width="15.42578125" customWidth="1"/>
    <col min="9731" max="9731" width="14.7109375" customWidth="1"/>
    <col min="9732" max="9732" width="17.42578125" customWidth="1"/>
    <col min="9985" max="9985" width="19.42578125" bestFit="1" customWidth="1"/>
    <col min="9986" max="9986" width="15.42578125" customWidth="1"/>
    <col min="9987" max="9987" width="14.7109375" customWidth="1"/>
    <col min="9988" max="9988" width="17.42578125" customWidth="1"/>
    <col min="10241" max="10241" width="19.42578125" bestFit="1" customWidth="1"/>
    <col min="10242" max="10242" width="15.42578125" customWidth="1"/>
    <col min="10243" max="10243" width="14.7109375" customWidth="1"/>
    <col min="10244" max="10244" width="17.42578125" customWidth="1"/>
    <col min="10497" max="10497" width="19.42578125" bestFit="1" customWidth="1"/>
    <col min="10498" max="10498" width="15.42578125" customWidth="1"/>
    <col min="10499" max="10499" width="14.7109375" customWidth="1"/>
    <col min="10500" max="10500" width="17.42578125" customWidth="1"/>
    <col min="10753" max="10753" width="19.42578125" bestFit="1" customWidth="1"/>
    <col min="10754" max="10754" width="15.42578125" customWidth="1"/>
    <col min="10755" max="10755" width="14.7109375" customWidth="1"/>
    <col min="10756" max="10756" width="17.42578125" customWidth="1"/>
    <col min="11009" max="11009" width="19.42578125" bestFit="1" customWidth="1"/>
    <col min="11010" max="11010" width="15.42578125" customWidth="1"/>
    <col min="11011" max="11011" width="14.7109375" customWidth="1"/>
    <col min="11012" max="11012" width="17.42578125" customWidth="1"/>
    <col min="11265" max="11265" width="19.42578125" bestFit="1" customWidth="1"/>
    <col min="11266" max="11266" width="15.42578125" customWidth="1"/>
    <col min="11267" max="11267" width="14.7109375" customWidth="1"/>
    <col min="11268" max="11268" width="17.42578125" customWidth="1"/>
    <col min="11521" max="11521" width="19.42578125" bestFit="1" customWidth="1"/>
    <col min="11522" max="11522" width="15.42578125" customWidth="1"/>
    <col min="11523" max="11523" width="14.7109375" customWidth="1"/>
    <col min="11524" max="11524" width="17.42578125" customWidth="1"/>
    <col min="11777" max="11777" width="19.42578125" bestFit="1" customWidth="1"/>
    <col min="11778" max="11778" width="15.42578125" customWidth="1"/>
    <col min="11779" max="11779" width="14.7109375" customWidth="1"/>
    <col min="11780" max="11780" width="17.42578125" customWidth="1"/>
    <col min="12033" max="12033" width="19.42578125" bestFit="1" customWidth="1"/>
    <col min="12034" max="12034" width="15.42578125" customWidth="1"/>
    <col min="12035" max="12035" width="14.7109375" customWidth="1"/>
    <col min="12036" max="12036" width="17.42578125" customWidth="1"/>
    <col min="12289" max="12289" width="19.42578125" bestFit="1" customWidth="1"/>
    <col min="12290" max="12290" width="15.42578125" customWidth="1"/>
    <col min="12291" max="12291" width="14.7109375" customWidth="1"/>
    <col min="12292" max="12292" width="17.42578125" customWidth="1"/>
    <col min="12545" max="12545" width="19.42578125" bestFit="1" customWidth="1"/>
    <col min="12546" max="12546" width="15.42578125" customWidth="1"/>
    <col min="12547" max="12547" width="14.7109375" customWidth="1"/>
    <col min="12548" max="12548" width="17.42578125" customWidth="1"/>
    <col min="12801" max="12801" width="19.42578125" bestFit="1" customWidth="1"/>
    <col min="12802" max="12802" width="15.42578125" customWidth="1"/>
    <col min="12803" max="12803" width="14.7109375" customWidth="1"/>
    <col min="12804" max="12804" width="17.42578125" customWidth="1"/>
    <col min="13057" max="13057" width="19.42578125" bestFit="1" customWidth="1"/>
    <col min="13058" max="13058" width="15.42578125" customWidth="1"/>
    <col min="13059" max="13059" width="14.7109375" customWidth="1"/>
    <col min="13060" max="13060" width="17.42578125" customWidth="1"/>
    <col min="13313" max="13313" width="19.42578125" bestFit="1" customWidth="1"/>
    <col min="13314" max="13314" width="15.42578125" customWidth="1"/>
    <col min="13315" max="13315" width="14.7109375" customWidth="1"/>
    <col min="13316" max="13316" width="17.42578125" customWidth="1"/>
    <col min="13569" max="13569" width="19.42578125" bestFit="1" customWidth="1"/>
    <col min="13570" max="13570" width="15.42578125" customWidth="1"/>
    <col min="13571" max="13571" width="14.7109375" customWidth="1"/>
    <col min="13572" max="13572" width="17.42578125" customWidth="1"/>
    <col min="13825" max="13825" width="19.42578125" bestFit="1" customWidth="1"/>
    <col min="13826" max="13826" width="15.42578125" customWidth="1"/>
    <col min="13827" max="13827" width="14.7109375" customWidth="1"/>
    <col min="13828" max="13828" width="17.42578125" customWidth="1"/>
    <col min="14081" max="14081" width="19.42578125" bestFit="1" customWidth="1"/>
    <col min="14082" max="14082" width="15.42578125" customWidth="1"/>
    <col min="14083" max="14083" width="14.7109375" customWidth="1"/>
    <col min="14084" max="14084" width="17.42578125" customWidth="1"/>
    <col min="14337" max="14337" width="19.42578125" bestFit="1" customWidth="1"/>
    <col min="14338" max="14338" width="15.42578125" customWidth="1"/>
    <col min="14339" max="14339" width="14.7109375" customWidth="1"/>
    <col min="14340" max="14340" width="17.42578125" customWidth="1"/>
    <col min="14593" max="14593" width="19.42578125" bestFit="1" customWidth="1"/>
    <col min="14594" max="14594" width="15.42578125" customWidth="1"/>
    <col min="14595" max="14595" width="14.7109375" customWidth="1"/>
    <col min="14596" max="14596" width="17.42578125" customWidth="1"/>
    <col min="14849" max="14849" width="19.42578125" bestFit="1" customWidth="1"/>
    <col min="14850" max="14850" width="15.42578125" customWidth="1"/>
    <col min="14851" max="14851" width="14.7109375" customWidth="1"/>
    <col min="14852" max="14852" width="17.42578125" customWidth="1"/>
    <col min="15105" max="15105" width="19.42578125" bestFit="1" customWidth="1"/>
    <col min="15106" max="15106" width="15.42578125" customWidth="1"/>
    <col min="15107" max="15107" width="14.7109375" customWidth="1"/>
    <col min="15108" max="15108" width="17.42578125" customWidth="1"/>
    <col min="15361" max="15361" width="19.42578125" bestFit="1" customWidth="1"/>
    <col min="15362" max="15362" width="15.42578125" customWidth="1"/>
    <col min="15363" max="15363" width="14.7109375" customWidth="1"/>
    <col min="15364" max="15364" width="17.42578125" customWidth="1"/>
    <col min="15617" max="15617" width="19.42578125" bestFit="1" customWidth="1"/>
    <col min="15618" max="15618" width="15.42578125" customWidth="1"/>
    <col min="15619" max="15619" width="14.7109375" customWidth="1"/>
    <col min="15620" max="15620" width="17.42578125" customWidth="1"/>
    <col min="15873" max="15873" width="19.42578125" bestFit="1" customWidth="1"/>
    <col min="15874" max="15874" width="15.42578125" customWidth="1"/>
    <col min="15875" max="15875" width="14.7109375" customWidth="1"/>
    <col min="15876" max="15876" width="17.42578125" customWidth="1"/>
    <col min="16129" max="16129" width="19.42578125" bestFit="1" customWidth="1"/>
    <col min="16130" max="16130" width="15.42578125" customWidth="1"/>
    <col min="16131" max="16131" width="14.7109375" customWidth="1"/>
    <col min="16132" max="16132" width="17.42578125" customWidth="1"/>
  </cols>
  <sheetData>
    <row r="1" spans="1:12" ht="15" x14ac:dyDescent="0.25">
      <c r="A1" s="2" t="s">
        <v>83</v>
      </c>
    </row>
    <row r="3" spans="1:12" ht="15" x14ac:dyDescent="0.25">
      <c r="A3" s="2" t="s">
        <v>84</v>
      </c>
      <c r="B3" s="10">
        <v>233.03963519999999</v>
      </c>
    </row>
    <row r="4" spans="1:12" x14ac:dyDescent="0.2">
      <c r="A4" s="3" t="s">
        <v>85</v>
      </c>
      <c r="B4" s="10">
        <v>234.0409521</v>
      </c>
    </row>
    <row r="5" spans="1:12" x14ac:dyDescent="0.2">
      <c r="A5" s="3" t="s">
        <v>86</v>
      </c>
      <c r="B5" s="10">
        <v>235.04392989999999</v>
      </c>
    </row>
    <row r="6" spans="1:12" x14ac:dyDescent="0.2">
      <c r="A6" s="3" t="s">
        <v>87</v>
      </c>
      <c r="B6" s="10">
        <v>236.045568</v>
      </c>
    </row>
    <row r="7" spans="1:12" x14ac:dyDescent="0.2">
      <c r="A7" s="3" t="s">
        <v>88</v>
      </c>
      <c r="B7" s="10">
        <v>238.0507882</v>
      </c>
    </row>
    <row r="8" spans="1:12" x14ac:dyDescent="0.2">
      <c r="A8" s="3"/>
      <c r="B8" s="10"/>
    </row>
    <row r="9" spans="1:12" x14ac:dyDescent="0.2">
      <c r="A9" s="3" t="s">
        <v>89</v>
      </c>
      <c r="B9" s="10">
        <v>229.03176199999999</v>
      </c>
    </row>
    <row r="10" spans="1:12" x14ac:dyDescent="0.2">
      <c r="A10" s="3" t="s">
        <v>90</v>
      </c>
      <c r="B10" s="10">
        <v>230.0331338</v>
      </c>
    </row>
    <row r="11" spans="1:12" x14ac:dyDescent="0.2">
      <c r="A11" s="3" t="s">
        <v>91</v>
      </c>
      <c r="B11" s="10">
        <v>232.0380553</v>
      </c>
      <c r="L11" s="4"/>
    </row>
    <row r="12" spans="1:12" x14ac:dyDescent="0.2">
      <c r="B12" s="9"/>
    </row>
    <row r="13" spans="1:12" x14ac:dyDescent="0.2">
      <c r="B13" s="9"/>
    </row>
    <row r="14" spans="1:12" ht="15" x14ac:dyDescent="0.25">
      <c r="A14" s="2" t="s">
        <v>92</v>
      </c>
      <c r="B14" s="9" t="s">
        <v>110</v>
      </c>
    </row>
    <row r="15" spans="1:12" x14ac:dyDescent="0.2">
      <c r="B15" s="9"/>
    </row>
    <row r="16" spans="1:12" ht="15" x14ac:dyDescent="0.25">
      <c r="A16" s="2" t="s">
        <v>93</v>
      </c>
      <c r="B16" s="10">
        <v>9.1704999999999997E-6</v>
      </c>
      <c r="G16" s="4"/>
    </row>
    <row r="17" spans="1:8" ht="15" x14ac:dyDescent="0.25">
      <c r="A17" s="2" t="s">
        <v>94</v>
      </c>
      <c r="B17" s="12">
        <v>2.8220599999999998E-6</v>
      </c>
      <c r="D17" s="10"/>
    </row>
    <row r="18" spans="1:8" ht="15" x14ac:dyDescent="0.25">
      <c r="A18" s="2" t="s">
        <v>95</v>
      </c>
      <c r="B18" s="12">
        <v>1.5512499999999999E-10</v>
      </c>
      <c r="H18" s="4"/>
    </row>
    <row r="19" spans="1:8" ht="15" x14ac:dyDescent="0.25">
      <c r="A19" s="5" t="s">
        <v>96</v>
      </c>
      <c r="B19" s="12">
        <v>4.9475200000000001E-11</v>
      </c>
    </row>
    <row r="20" spans="1:8" s="2" customFormat="1" ht="15" x14ac:dyDescent="0.25">
      <c r="A20" s="3"/>
    </row>
    <row r="21" spans="1:8" ht="15" x14ac:dyDescent="0.25">
      <c r="A21" s="2" t="s">
        <v>100</v>
      </c>
      <c r="B21" s="2" t="s">
        <v>97</v>
      </c>
      <c r="C21" s="2" t="s">
        <v>98</v>
      </c>
      <c r="D21" s="6" t="s">
        <v>99</v>
      </c>
    </row>
    <row r="22" spans="1:8" ht="15" x14ac:dyDescent="0.25">
      <c r="A22" s="2"/>
    </row>
    <row r="23" spans="1:8" ht="15" x14ac:dyDescent="0.25">
      <c r="A23" s="2" t="s">
        <v>101</v>
      </c>
      <c r="B23" s="8">
        <v>3.8677800000000002</v>
      </c>
      <c r="C23" s="7">
        <v>9.0000000000000006E-5</v>
      </c>
      <c r="D23" s="193">
        <f>C23/B23</f>
        <v>2.326916215503467E-5</v>
      </c>
    </row>
    <row r="24" spans="1:8" ht="15" x14ac:dyDescent="0.25">
      <c r="A24" s="2" t="s">
        <v>102</v>
      </c>
      <c r="B24" s="8">
        <v>3.8556E-2</v>
      </c>
      <c r="C24" s="11">
        <v>5.4000000000000008E-6</v>
      </c>
      <c r="D24" s="193">
        <f>C24/B24</f>
        <v>1.400560224089636E-4</v>
      </c>
    </row>
    <row r="25" spans="1:8" ht="15" x14ac:dyDescent="0.25">
      <c r="A25" s="2" t="s">
        <v>103</v>
      </c>
      <c r="B25" s="1">
        <v>1.8067E-2</v>
      </c>
      <c r="C25" s="11">
        <f>0.0000031</f>
        <v>3.1E-6</v>
      </c>
      <c r="D25" s="194">
        <f>C25/B25</f>
        <v>1.7158355011900149E-4</v>
      </c>
      <c r="E25" s="10"/>
    </row>
    <row r="26" spans="1:8" ht="15" x14ac:dyDescent="0.25">
      <c r="A26" s="2"/>
      <c r="E26" s="1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Constants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2021-04-01T11:17:10Z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3b97b238-2fdc-47ee-b555-c1ad6fe178da</vt:lpwstr>
  </property>
</Properties>
</file>